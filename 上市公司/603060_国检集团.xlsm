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B111B3B1-FD52-4D98-A042-829B13E00180}"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Q29" i="12" l="1"/>
  <c r="P29" i="12"/>
  <c r="O29" i="12"/>
  <c r="M29" i="12"/>
  <c r="I29" i="12"/>
  <c r="F29" i="12"/>
  <c r="G29" i="12"/>
  <c r="H29" i="12"/>
  <c r="J29" i="12"/>
  <c r="K29" i="12"/>
  <c r="L29" i="12"/>
  <c r="N29" i="12"/>
  <c r="E29" i="12"/>
  <c r="B2" i="13"/>
  <c r="F75" i="10"/>
  <c r="G75" i="10"/>
  <c r="H75" i="10"/>
  <c r="I75" i="10"/>
  <c r="J75" i="10"/>
  <c r="K75" i="10"/>
  <c r="L75" i="10"/>
  <c r="M75" i="10"/>
  <c r="N75" i="10"/>
  <c r="O75" i="10"/>
  <c r="P75" i="10"/>
  <c r="Q75" i="10"/>
  <c r="R75" i="10"/>
  <c r="S75" i="10"/>
  <c r="T75" i="10"/>
  <c r="U75" i="10"/>
  <c r="V75" i="10"/>
  <c r="W75" i="10"/>
  <c r="X75" i="10"/>
  <c r="Y75" i="10"/>
  <c r="Z75" i="10"/>
  <c r="AA75" i="10"/>
  <c r="AB75" i="10"/>
  <c r="AC75" i="10"/>
  <c r="F74" i="10"/>
  <c r="G74" i="10"/>
  <c r="H74" i="10"/>
  <c r="I74" i="10"/>
  <c r="J74" i="10"/>
  <c r="K74" i="10"/>
  <c r="L74" i="10"/>
  <c r="M74" i="10"/>
  <c r="N74" i="10"/>
  <c r="O74" i="10"/>
  <c r="P74" i="10"/>
  <c r="Q74" i="10"/>
  <c r="R74" i="10"/>
  <c r="S74" i="10"/>
  <c r="T74" i="10"/>
  <c r="U74" i="10"/>
  <c r="V74" i="10"/>
  <c r="W74" i="10"/>
  <c r="X74" i="10"/>
  <c r="Y74" i="10"/>
  <c r="Z74" i="10"/>
  <c r="AA74" i="10"/>
  <c r="AB74" i="10"/>
  <c r="AC74" i="10"/>
  <c r="E75" i="10"/>
  <c r="E74" i="10"/>
  <c r="F76" i="10"/>
  <c r="G76" i="10"/>
  <c r="H76" i="10"/>
  <c r="I76" i="10"/>
  <c r="J76" i="10"/>
  <c r="K76" i="10"/>
  <c r="L76" i="10"/>
  <c r="M76" i="10"/>
  <c r="N76" i="10"/>
  <c r="O76" i="10"/>
  <c r="P76" i="10"/>
  <c r="Q76" i="10"/>
  <c r="R76" i="10"/>
  <c r="S76" i="10"/>
  <c r="T76" i="10"/>
  <c r="U76" i="10"/>
  <c r="V76" i="10"/>
  <c r="W76" i="10"/>
  <c r="X76" i="10"/>
  <c r="Y76" i="10"/>
  <c r="Z76" i="10"/>
  <c r="AA76" i="10"/>
  <c r="AB76" i="10"/>
  <c r="AC76" i="10"/>
  <c r="E76" i="10"/>
  <c r="Q71" i="10"/>
  <c r="R71" i="10"/>
  <c r="P71" i="10"/>
  <c r="N71" i="10"/>
  <c r="O71" i="10"/>
  <c r="M71" i="10"/>
  <c r="N69" i="10"/>
  <c r="O69" i="10"/>
  <c r="F71" i="10"/>
  <c r="G71" i="10"/>
  <c r="H71" i="10"/>
  <c r="I71" i="10"/>
  <c r="J71" i="10"/>
  <c r="K71" i="10"/>
  <c r="L71" i="10"/>
  <c r="S71" i="10"/>
  <c r="T71" i="10"/>
  <c r="U71" i="10"/>
  <c r="V71" i="10"/>
  <c r="W71" i="10"/>
  <c r="X71" i="10"/>
  <c r="Y71" i="10"/>
  <c r="Z71" i="10"/>
  <c r="AA71" i="10"/>
  <c r="AB71" i="10"/>
  <c r="AC71" i="10"/>
  <c r="E71" i="10"/>
  <c r="F70" i="10"/>
  <c r="G70" i="10"/>
  <c r="H70" i="10"/>
  <c r="I70" i="10"/>
  <c r="J70" i="10"/>
  <c r="K70" i="10"/>
  <c r="L70" i="10"/>
  <c r="M70" i="10"/>
  <c r="N70" i="10"/>
  <c r="O70" i="10"/>
  <c r="P70" i="10"/>
  <c r="Q70" i="10"/>
  <c r="R70" i="10"/>
  <c r="S70" i="10"/>
  <c r="T70" i="10"/>
  <c r="U70" i="10"/>
  <c r="V70" i="10"/>
  <c r="W70" i="10"/>
  <c r="X70" i="10"/>
  <c r="Y70" i="10"/>
  <c r="Z70" i="10"/>
  <c r="AA70" i="10"/>
  <c r="AB70" i="10"/>
  <c r="AC70" i="10"/>
  <c r="E70" i="10"/>
  <c r="F69" i="10"/>
  <c r="G69" i="10"/>
  <c r="H69" i="10"/>
  <c r="I69" i="10"/>
  <c r="J69" i="10"/>
  <c r="K69" i="10"/>
  <c r="L69" i="10"/>
  <c r="M69" i="10"/>
  <c r="P69" i="10"/>
  <c r="Q69" i="10"/>
  <c r="R69" i="10"/>
  <c r="S69" i="10"/>
  <c r="T69" i="10"/>
  <c r="U69" i="10"/>
  <c r="V69" i="10"/>
  <c r="W69" i="10"/>
  <c r="X69" i="10"/>
  <c r="Y69" i="10"/>
  <c r="Z69" i="10"/>
  <c r="AA69" i="10"/>
  <c r="AB69" i="10"/>
  <c r="AC69" i="10"/>
  <c r="E69" i="10"/>
  <c r="F68" i="10"/>
  <c r="G68" i="10"/>
  <c r="H68" i="10"/>
  <c r="I68" i="10"/>
  <c r="J68" i="10"/>
  <c r="K68" i="10"/>
  <c r="L68" i="10"/>
  <c r="M68" i="10"/>
  <c r="N68" i="10"/>
  <c r="O68" i="10"/>
  <c r="P68" i="10"/>
  <c r="Q68" i="10"/>
  <c r="R68" i="10"/>
  <c r="S68" i="10"/>
  <c r="T68" i="10"/>
  <c r="U68" i="10"/>
  <c r="V68" i="10"/>
  <c r="W68" i="10"/>
  <c r="X68" i="10"/>
  <c r="Y68" i="10"/>
  <c r="Z68" i="10"/>
  <c r="AA68" i="10"/>
  <c r="AB68" i="10"/>
  <c r="AC68" i="10"/>
  <c r="E68" i="10"/>
  <c r="F73" i="10"/>
  <c r="G73" i="10"/>
  <c r="H73" i="10"/>
  <c r="I73" i="10"/>
  <c r="J73" i="10"/>
  <c r="K73" i="10"/>
  <c r="L73" i="10"/>
  <c r="M73" i="10"/>
  <c r="N73" i="10"/>
  <c r="O73" i="10"/>
  <c r="P73" i="10"/>
  <c r="Q73" i="10"/>
  <c r="R73" i="10"/>
  <c r="S73" i="10"/>
  <c r="T73" i="10"/>
  <c r="U73" i="10"/>
  <c r="V73" i="10"/>
  <c r="W73" i="10"/>
  <c r="X73" i="10"/>
  <c r="Y73" i="10"/>
  <c r="Z73" i="10"/>
  <c r="AA73" i="10"/>
  <c r="AB73" i="10"/>
  <c r="AC73" i="10"/>
  <c r="E73" i="10"/>
  <c r="F67" i="10"/>
  <c r="G67" i="10"/>
  <c r="H67" i="10"/>
  <c r="I67" i="10"/>
  <c r="J67" i="10"/>
  <c r="K67" i="10"/>
  <c r="L67" i="10"/>
  <c r="M67" i="10"/>
  <c r="N67" i="10"/>
  <c r="O67" i="10"/>
  <c r="P67" i="10"/>
  <c r="Q67" i="10"/>
  <c r="R67" i="10"/>
  <c r="S67" i="10"/>
  <c r="T67" i="10"/>
  <c r="U67" i="10"/>
  <c r="V67" i="10"/>
  <c r="W67" i="10"/>
  <c r="X67" i="10"/>
  <c r="Y67" i="10"/>
  <c r="Z67" i="10"/>
  <c r="AA67" i="10"/>
  <c r="AB67" i="10"/>
  <c r="AC67" i="10"/>
  <c r="E67" i="10"/>
  <c r="E24" i="9"/>
  <c r="E23" i="9"/>
  <c r="E22" i="9"/>
  <c r="E21" i="9"/>
  <c r="E20" i="9"/>
  <c r="CL27" i="12"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Y100" i="11" l="1"/>
  <c r="Y101" i="11" s="1"/>
  <c r="Q100" i="11"/>
  <c r="Q101" i="11" s="1"/>
  <c r="I100" i="11"/>
  <c r="I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P6" i="10" s="1"/>
  <c r="O4" i="10"/>
  <c r="O6" i="10" s="1"/>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Q3" i="10" s="1"/>
  <c r="P2" i="10"/>
  <c r="O2" i="10"/>
  <c r="N2" i="10"/>
  <c r="N3" i="10" s="1"/>
  <c r="M2" i="10"/>
  <c r="M3" i="10" s="1"/>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R6" i="10" l="1"/>
  <c r="P3" i="10"/>
  <c r="Q6" i="10"/>
  <c r="CK29" i="10"/>
  <c r="O3" i="10"/>
  <c r="S6" i="10"/>
  <c r="M6" i="10"/>
  <c r="R3" i="10"/>
  <c r="N6" i="10"/>
  <c r="F3" i="10"/>
  <c r="V3" i="10"/>
  <c r="AD3" i="10"/>
  <c r="AL3" i="10"/>
  <c r="AT3" i="10"/>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8" i="10" s="1"/>
  <c r="BW7" i="6"/>
  <c r="CE7" i="10"/>
  <c r="CE8" i="10" s="1"/>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8" i="10" s="1"/>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8" i="10" s="1"/>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8" i="10" s="1"/>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8" i="10" s="1"/>
  <c r="BT7" i="6"/>
  <c r="CB7" i="10"/>
  <c r="CB8" i="10" s="1"/>
  <c r="CB7" i="6"/>
  <c r="CJ7" i="10"/>
  <c r="CJ9" i="10" s="1"/>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8" i="10" s="1"/>
  <c r="BU7" i="6"/>
  <c r="CC7" i="10"/>
  <c r="CC8" i="10" s="1"/>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K28" i="12" s="1"/>
  <c r="AS25" i="12"/>
  <c r="AS26" i="12" s="1"/>
  <c r="AS27" i="12" s="1"/>
  <c r="AS28" i="12" s="1"/>
  <c r="BA25" i="12"/>
  <c r="BA26" i="12" s="1"/>
  <c r="BA27" i="12" s="1"/>
  <c r="BA28" i="12" s="1"/>
  <c r="BI25" i="12"/>
  <c r="BI26" i="12" s="1"/>
  <c r="BI27" i="12" s="1"/>
  <c r="BI28" i="12" s="1"/>
  <c r="BQ25" i="12"/>
  <c r="BQ26" i="12" s="1"/>
  <c r="BQ27" i="12" s="1"/>
  <c r="BQ28"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V28" i="12" s="1"/>
  <c r="AD25" i="12"/>
  <c r="AD26" i="12" s="1"/>
  <c r="AD27" i="12" s="1"/>
  <c r="AD28" i="12" s="1"/>
  <c r="AL25" i="12"/>
  <c r="AL26" i="12" s="1"/>
  <c r="AL27" i="12" s="1"/>
  <c r="AT25" i="12"/>
  <c r="AT26" i="12" s="1"/>
  <c r="AT27" i="12" s="1"/>
  <c r="BB25" i="12"/>
  <c r="BB26" i="12" s="1"/>
  <c r="BB27" i="12" s="1"/>
  <c r="BJ25" i="12"/>
  <c r="BJ26" i="12" s="1"/>
  <c r="BJ27" i="12" s="1"/>
  <c r="BR25" i="12"/>
  <c r="BR26" i="12" s="1"/>
  <c r="BR27" i="12" s="1"/>
  <c r="BZ25" i="12"/>
  <c r="BZ26" i="12" s="1"/>
  <c r="BZ27" i="12" s="1"/>
  <c r="BZ28" i="12" s="1"/>
  <c r="CH25" i="12"/>
  <c r="CH26" i="12" s="1"/>
  <c r="I25" i="12"/>
  <c r="I26" i="12" s="1"/>
  <c r="I27" i="12" s="1"/>
  <c r="I28" i="12" s="1"/>
  <c r="Q25" i="12"/>
  <c r="Q26" i="12" s="1"/>
  <c r="Q27" i="12" s="1"/>
  <c r="Y25" i="12"/>
  <c r="AG25" i="12"/>
  <c r="AG26" i="12" s="1"/>
  <c r="AG27" i="12" s="1"/>
  <c r="AO25" i="12"/>
  <c r="AO26" i="12" s="1"/>
  <c r="AO27" i="12" s="1"/>
  <c r="AW25" i="12"/>
  <c r="AW26" i="12" s="1"/>
  <c r="AW27" i="12" s="1"/>
  <c r="BE25" i="12"/>
  <c r="BE26" i="12" s="1"/>
  <c r="BE27" i="12" s="1"/>
  <c r="BE28" i="12" s="1"/>
  <c r="BM25" i="12"/>
  <c r="BM26" i="12" s="1"/>
  <c r="BM27" i="12" s="1"/>
  <c r="BM28" i="12" s="1"/>
  <c r="BU25" i="12"/>
  <c r="BU26" i="12" s="1"/>
  <c r="BU27" i="12" s="1"/>
  <c r="BU28"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7" i="6"/>
  <c r="P7" i="10"/>
  <c r="P7" i="6"/>
  <c r="X7" i="10"/>
  <c r="X8" i="10" s="1"/>
  <c r="X7" i="6"/>
  <c r="AF7" i="10"/>
  <c r="AF8" i="10" s="1"/>
  <c r="AF7" i="6"/>
  <c r="I7" i="10"/>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7" i="6"/>
  <c r="T7" i="10"/>
  <c r="T7" i="6"/>
  <c r="AB7" i="10"/>
  <c r="AB8" i="10" s="1"/>
  <c r="AB7" i="6"/>
  <c r="AJ7" i="10"/>
  <c r="AJ9" i="10" s="1"/>
  <c r="AJ7" i="6"/>
  <c r="E7" i="10"/>
  <c r="E9" i="10" s="1"/>
  <c r="E7" i="6"/>
  <c r="M7" i="10"/>
  <c r="M7" i="6"/>
  <c r="U7" i="10"/>
  <c r="U9" i="10" s="1"/>
  <c r="U7" i="6"/>
  <c r="AC7" i="10"/>
  <c r="AC9" i="10" s="1"/>
  <c r="AC7" i="6"/>
  <c r="E5" i="10"/>
  <c r="E26" i="10"/>
  <c r="F7" i="10"/>
  <c r="F7" i="6"/>
  <c r="N7" i="10"/>
  <c r="N7" i="6"/>
  <c r="V7" i="10"/>
  <c r="V8" i="10" s="1"/>
  <c r="V7" i="6"/>
  <c r="AD7" i="10"/>
  <c r="AD8" i="10" s="1"/>
  <c r="AD7" i="6"/>
  <c r="G7" i="10"/>
  <c r="G7" i="6"/>
  <c r="O7" i="10"/>
  <c r="O7" i="6"/>
  <c r="W7" i="10"/>
  <c r="W8" i="10" s="1"/>
  <c r="W7" i="6"/>
  <c r="AE7" i="10"/>
  <c r="AE8" i="10" s="1"/>
  <c r="AE7" i="6"/>
  <c r="H28" i="11"/>
  <c r="P28" i="11"/>
  <c r="X28" i="11"/>
  <c r="AF28" i="11"/>
  <c r="AN28" i="11"/>
  <c r="M22" i="9"/>
  <c r="I22" i="9"/>
  <c r="I23" i="9"/>
  <c r="M23" i="9"/>
  <c r="AC32" i="12"/>
  <c r="Y32" i="12"/>
  <c r="U32" i="12"/>
  <c r="K25" i="12"/>
  <c r="K26" i="12" s="1"/>
  <c r="K27" i="12" s="1"/>
  <c r="K28"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G28" i="12" s="1"/>
  <c r="BO25" i="12"/>
  <c r="BO26" i="12" s="1"/>
  <c r="BO27" i="12" s="1"/>
  <c r="BO28" i="12" s="1"/>
  <c r="BW25" i="12"/>
  <c r="BW26" i="12" s="1"/>
  <c r="BW27" i="12" s="1"/>
  <c r="BW28" i="12" s="1"/>
  <c r="CE25" i="12"/>
  <c r="CE26" i="12" s="1"/>
  <c r="CE27" i="12" s="1"/>
  <c r="BJ28" i="11"/>
  <c r="S28" i="11"/>
  <c r="BX43" i="11"/>
  <c r="BF28" i="11"/>
  <c r="BK57" i="11"/>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K8" i="10"/>
  <c r="BS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J2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Z6" i="10"/>
  <c r="AH6" i="10"/>
  <c r="AP6" i="10"/>
  <c r="AX6" i="10"/>
  <c r="BF6" i="10"/>
  <c r="BN6" i="10"/>
  <c r="BV6" i="10"/>
  <c r="CD6" i="10"/>
  <c r="I11" i="10"/>
  <c r="Q11" i="10"/>
  <c r="Y11" i="10"/>
  <c r="AG11" i="10"/>
  <c r="AO11" i="10"/>
  <c r="AW11" i="10"/>
  <c r="BE11" i="10"/>
  <c r="BM11" i="10"/>
  <c r="BU11" i="10"/>
  <c r="CC11" i="10"/>
  <c r="BP19" i="10"/>
  <c r="BP13" i="10"/>
  <c r="CF19" i="10"/>
  <c r="CF13" i="10"/>
  <c r="H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J69" i="11"/>
  <c r="CJ70" i="11" s="1"/>
  <c r="I69" i="11"/>
  <c r="I70" i="11" s="1"/>
  <c r="Q69" i="11"/>
  <c r="Q70" i="11" s="1"/>
  <c r="Y69" i="11"/>
  <c r="Y70" i="11" s="1"/>
  <c r="AG69" i="11"/>
  <c r="AG70" i="11" s="1"/>
  <c r="AO69" i="11"/>
  <c r="AO70" i="11" s="1"/>
  <c r="AW69" i="11"/>
  <c r="AW70" i="11" s="1"/>
  <c r="BE69" i="11"/>
  <c r="BE70"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E28" i="12" s="1"/>
  <c r="AM25" i="12"/>
  <c r="AM26" i="12" s="1"/>
  <c r="AM27" i="12" s="1"/>
  <c r="AM28" i="12" s="1"/>
  <c r="AU25" i="12"/>
  <c r="AU26" i="12" s="1"/>
  <c r="AU27" i="12" s="1"/>
  <c r="AU28" i="12" s="1"/>
  <c r="BC25" i="12"/>
  <c r="BC26" i="12" s="1"/>
  <c r="BC27" i="12" s="1"/>
  <c r="BC28" i="12" s="1"/>
  <c r="BK25" i="12"/>
  <c r="BK26" i="12" s="1"/>
  <c r="BK27" i="12" s="1"/>
  <c r="BS25" i="12"/>
  <c r="BS26" i="12" s="1"/>
  <c r="BS27" i="12" s="1"/>
  <c r="CA25" i="12"/>
  <c r="CA26" i="12" s="1"/>
  <c r="CA27" i="12" s="1"/>
  <c r="CI25" i="12"/>
  <c r="CI26" i="12" s="1"/>
  <c r="H25" i="12"/>
  <c r="H26" i="12" s="1"/>
  <c r="H27" i="12" s="1"/>
  <c r="P25" i="12"/>
  <c r="P26" i="12" s="1"/>
  <c r="P27" i="12" s="1"/>
  <c r="P28" i="12" s="1"/>
  <c r="X25" i="12"/>
  <c r="X26" i="12" s="1"/>
  <c r="X27" i="12" s="1"/>
  <c r="X28" i="12" s="1"/>
  <c r="AF25" i="12"/>
  <c r="AF26" i="12" s="1"/>
  <c r="AF27" i="12" s="1"/>
  <c r="AF28" i="12" s="1"/>
  <c r="AN25" i="12"/>
  <c r="AN26" i="12" s="1"/>
  <c r="AN27" i="12" s="1"/>
  <c r="AN28" i="12" s="1"/>
  <c r="AV25" i="12"/>
  <c r="AV26" i="12" s="1"/>
  <c r="AV27" i="12" s="1"/>
  <c r="AV28"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C26" i="12" s="1"/>
  <c r="CC27" i="12" s="1"/>
  <c r="CC28" i="12" s="1"/>
  <c r="CK25" i="12"/>
  <c r="CK26" i="12" s="1"/>
  <c r="J25" i="12"/>
  <c r="J26" i="12" s="1"/>
  <c r="J27" i="12" s="1"/>
  <c r="R25" i="12"/>
  <c r="R26" i="12" s="1"/>
  <c r="R27" i="12" s="1"/>
  <c r="Z25" i="12"/>
  <c r="Z26" i="12" s="1"/>
  <c r="Z27" i="12" s="1"/>
  <c r="Z28" i="12" s="1"/>
  <c r="AH25" i="12"/>
  <c r="AH26" i="12" s="1"/>
  <c r="AH27" i="12" s="1"/>
  <c r="AH28" i="12" s="1"/>
  <c r="AP25" i="12"/>
  <c r="AP26" i="12" s="1"/>
  <c r="AP27" i="12" s="1"/>
  <c r="AP28" i="12" s="1"/>
  <c r="AX25" i="12"/>
  <c r="AX26" i="12" s="1"/>
  <c r="AX27" i="12" s="1"/>
  <c r="AX28" i="12" s="1"/>
  <c r="BF25" i="12"/>
  <c r="BF26" i="12" s="1"/>
  <c r="BF27" i="12" s="1"/>
  <c r="BN25" i="12"/>
  <c r="BN26" i="12" s="1"/>
  <c r="BN27" i="12" s="1"/>
  <c r="BV25" i="12"/>
  <c r="BV26" i="12" s="1"/>
  <c r="BV27" i="12" s="1"/>
  <c r="CD25" i="12"/>
  <c r="CD26" i="12" s="1"/>
  <c r="CD27" i="12" s="1"/>
  <c r="CD28" i="12" s="1"/>
  <c r="L25" i="12"/>
  <c r="L26" i="12" s="1"/>
  <c r="L27" i="12" s="1"/>
  <c r="L28" i="12" s="1"/>
  <c r="T25" i="12"/>
  <c r="T26" i="12" s="1"/>
  <c r="T27" i="12" s="1"/>
  <c r="T28" i="12" s="1"/>
  <c r="AB25" i="12"/>
  <c r="AB26" i="12" s="1"/>
  <c r="AB27" i="12" s="1"/>
  <c r="AJ25" i="12"/>
  <c r="AJ26" i="12" s="1"/>
  <c r="AJ27" i="12" s="1"/>
  <c r="AR25" i="12"/>
  <c r="AR26" i="12" s="1"/>
  <c r="AR27" i="12" s="1"/>
  <c r="AZ25" i="12"/>
  <c r="AZ26" i="12" s="1"/>
  <c r="AZ27" i="12" s="1"/>
  <c r="BH25" i="12"/>
  <c r="BH26" i="12" s="1"/>
  <c r="BH27" i="12" s="1"/>
  <c r="BH28" i="12" s="1"/>
  <c r="BP25" i="12"/>
  <c r="BP26" i="12" s="1"/>
  <c r="BP27" i="12" s="1"/>
  <c r="BP28" i="12" s="1"/>
  <c r="BX25" i="12"/>
  <c r="BX26" i="12" s="1"/>
  <c r="BX27" i="12" s="1"/>
  <c r="BX28" i="12" s="1"/>
  <c r="CF25" i="12"/>
  <c r="CF26" i="12" s="1"/>
  <c r="CF27" i="12" s="1"/>
  <c r="CF28"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CK18" i="12"/>
  <c r="X13" i="12"/>
  <c r="BL13" i="12"/>
  <c r="CJ13" i="12"/>
  <c r="Y26" i="12"/>
  <c r="Y27" i="12" s="1"/>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S28" i="12" l="1"/>
  <c r="R28" i="12"/>
  <c r="H28" i="12"/>
  <c r="N28" i="12"/>
  <c r="BV28" i="12"/>
  <c r="J28" i="12"/>
  <c r="BL28" i="12"/>
  <c r="W28" i="12"/>
  <c r="AY28" i="12"/>
  <c r="AW28" i="12"/>
  <c r="BR28" i="12"/>
  <c r="F28" i="12"/>
  <c r="CB28" i="12"/>
  <c r="AZ28" i="12"/>
  <c r="BN28" i="12"/>
  <c r="BD28" i="12"/>
  <c r="CA28" i="12"/>
  <c r="O28" i="12"/>
  <c r="AQ28" i="12"/>
  <c r="AO28" i="12"/>
  <c r="BJ28" i="12"/>
  <c r="U28" i="12"/>
  <c r="BT28" i="12"/>
  <c r="AR28" i="12"/>
  <c r="BF28" i="12"/>
  <c r="BS28" i="12"/>
  <c r="G28" i="12"/>
  <c r="AI28" i="12"/>
  <c r="AG28" i="12"/>
  <c r="BB28" i="12"/>
  <c r="BY28" i="12"/>
  <c r="M28" i="12"/>
  <c r="AJ28" i="12"/>
  <c r="BK28" i="12"/>
  <c r="AA28" i="12"/>
  <c r="AT28" i="12"/>
  <c r="E28" i="12"/>
  <c r="CL28" i="12"/>
  <c r="Y28" i="12"/>
  <c r="AC28" i="12"/>
  <c r="AB28" i="12"/>
  <c r="CE28" i="12"/>
  <c r="Q28" i="12"/>
  <c r="AL28" i="12"/>
  <c r="M9" i="10"/>
  <c r="BO9" i="10"/>
  <c r="BK9" i="10"/>
  <c r="L8" i="10"/>
  <c r="L9" i="10"/>
  <c r="K9" i="10"/>
  <c r="J9" i="10"/>
  <c r="I8" i="10"/>
  <c r="I9" i="10"/>
  <c r="H8" i="10"/>
  <c r="H9" i="10"/>
  <c r="BZ9" i="10"/>
  <c r="BR9" i="10"/>
  <c r="F8" i="10"/>
  <c r="F9" i="10"/>
  <c r="Q9" i="10"/>
  <c r="CE9" i="10"/>
  <c r="G8" i="10"/>
  <c r="G9" i="10"/>
  <c r="R9" i="10"/>
  <c r="P8" i="10"/>
  <c r="P9" i="10"/>
  <c r="CI8" i="10"/>
  <c r="BO8" i="10"/>
  <c r="CB9" i="10"/>
  <c r="O8" i="10"/>
  <c r="O9" i="10"/>
  <c r="N8" i="10"/>
  <c r="N9" i="10"/>
  <c r="BR8" i="10"/>
  <c r="AJ74" i="11"/>
  <c r="CD8" i="10"/>
  <c r="BI9" i="10"/>
  <c r="CC9" i="10"/>
  <c r="D11" i="13"/>
  <c r="D12" i="13" s="1"/>
  <c r="CH27" i="12"/>
  <c r="CH28" i="12" s="1"/>
  <c r="CK27" i="12"/>
  <c r="CK28" i="12" s="1"/>
  <c r="CI27" i="12"/>
  <c r="CI28" i="12" s="1"/>
  <c r="CJ27" i="12"/>
  <c r="CJ28" i="12" s="1"/>
  <c r="BE74" i="11"/>
  <c r="CB74" i="1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C39"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AX16" i="9"/>
  <c r="Y23" i="7"/>
  <c r="R23" i="7"/>
  <c r="T23" i="7"/>
  <c r="M23" i="7"/>
  <c r="W23" i="7"/>
  <c r="F23" i="7"/>
  <c r="BB31" i="6"/>
  <c r="BB32" i="6" s="1"/>
  <c r="BJ31" i="6"/>
  <c r="BJ32" i="6" s="1"/>
  <c r="AR9" i="10"/>
  <c r="AP74" i="11"/>
  <c r="AP75" i="11" s="1"/>
  <c r="BF9" i="10"/>
  <c r="AA9" i="10"/>
  <c r="AW9" i="10"/>
  <c r="AZ8" i="10"/>
  <c r="AK8" i="10"/>
  <c r="AK9" i="10"/>
  <c r="AT9" i="10"/>
  <c r="Z9" i="10"/>
  <c r="BC9" i="10"/>
  <c r="AP9" i="10"/>
  <c r="T9" i="10"/>
  <c r="AS9" i="10"/>
  <c r="T8" i="10"/>
  <c r="V9" i="10"/>
  <c r="U8" i="10"/>
  <c r="M8" i="10"/>
  <c r="R8" i="10"/>
  <c r="Q8" i="10"/>
  <c r="Z74" i="11"/>
  <c r="Z75" i="11" s="1"/>
  <c r="X9" i="10"/>
  <c r="AR32" i="9"/>
  <c r="AT32" i="9"/>
  <c r="R32" i="9"/>
  <c r="AN32" i="9"/>
  <c r="AX32" i="9"/>
  <c r="AY74" i="11"/>
  <c r="AY75" i="11" s="1"/>
  <c r="BG74" i="11"/>
  <c r="BG75" i="11" s="1"/>
  <c r="AK25" i="9"/>
  <c r="AU25" i="9"/>
  <c r="AY25" i="9"/>
  <c r="K25" i="9"/>
  <c r="AK16" i="9"/>
  <c r="AU74" i="11"/>
  <c r="AU75" i="11" s="1"/>
  <c r="AL74" i="11"/>
  <c r="AL75" i="11" s="1"/>
  <c r="BA16" i="9"/>
  <c r="BE16" i="9"/>
  <c r="BL32" i="9"/>
  <c r="BJ25" i="9"/>
  <c r="AC25" i="9"/>
  <c r="AA74" i="11"/>
  <c r="AA75" i="11" s="1"/>
  <c r="AB74" i="11"/>
  <c r="AB75" i="11" s="1"/>
  <c r="AO9" i="10"/>
  <c r="BR31" i="6"/>
  <c r="BR32" i="6" s="1"/>
  <c r="AT31" i="6"/>
  <c r="AT32" i="6" s="1"/>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AI8" i="10"/>
  <c r="AF9" i="10"/>
  <c r="AD9" i="10"/>
  <c r="L74" i="11"/>
  <c r="L75" i="11" s="1"/>
  <c r="U74" i="11"/>
  <c r="U75" i="11" s="1"/>
  <c r="AJ8" i="10"/>
  <c r="Y9" i="10"/>
  <c r="AH8" i="10"/>
  <c r="S9" i="10"/>
  <c r="W9" i="10"/>
  <c r="AI74" i="11"/>
  <c r="AI75" i="11" s="1"/>
  <c r="O74" i="11"/>
  <c r="O75" i="11" s="1"/>
  <c r="AD32" i="9"/>
  <c r="X32" i="9"/>
  <c r="E23" i="7"/>
  <c r="N23" i="7"/>
  <c r="S74" i="11"/>
  <c r="S75" i="11" s="1"/>
  <c r="M74" i="11"/>
  <c r="M75" i="11" s="1"/>
  <c r="K8" i="10"/>
  <c r="E74" i="11"/>
  <c r="E75" i="11" s="1"/>
  <c r="K74" i="11"/>
  <c r="K75" i="11" s="1"/>
  <c r="J8" i="10"/>
  <c r="E8" i="10"/>
  <c r="O16" i="9"/>
  <c r="M34" i="9"/>
  <c r="N16" i="9"/>
  <c r="H16" i="9"/>
  <c r="L16" i="9"/>
  <c r="F16" i="9"/>
  <c r="I74" i="11"/>
  <c r="I75" i="11" s="1"/>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I32" i="12"/>
  <c r="M32"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AG25" i="9"/>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E32" i="12"/>
  <c r="CL17" i="9"/>
  <c r="CL15" i="9"/>
  <c r="CG28" i="12"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CH31" i="10" l="1"/>
  <c r="AD31" i="10"/>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N42" i="10"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CD49" i="10" l="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<sst xmlns="http://schemas.openxmlformats.org/spreadsheetml/2006/main" count="857" uniqueCount="758">
  <si>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</si>
  <si>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</si>
  <si>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</si>
  <si>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</si>
  <si>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</si>
  <si>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</si>
  <si>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</si>
  <si>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</si>
  <si>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</si>
  <si>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</si>
  <si>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</si>
  <si>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</si>
  <si>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</si>
  <si>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</si>
  <si>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</si>
  <si>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</si>
  <si>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</si>
  <si>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</si>
  <si>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</si>
  <si>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</si>
  <si>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</si>
  <si>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</si>
  <si>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</si>
  <si>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</si>
  <si>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</si>
  <si>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</si>
  <si>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</si>
  <si>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</si>
  <si>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</si>
  <si>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</si>
  <si>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</si>
  <si>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</si>
  <si>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</si>
  <si>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</si>
  <si>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</si>
  <si>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</si>
  <si>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</si>
  <si>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</si>
  <si>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</si>
  <si>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</si>
  <si>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</si>
  <si>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</si>
  <si>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</si>
  <si>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</si>
  <si>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</si>
  <si>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</si>
  <si>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</si>
  <si>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</si>
  <si>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</si>
  <si>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</si>
  <si>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</si>
  <si>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</si>
  <si>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</si>
  <si>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</si>
  <si>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</si>
  <si>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</si>
  <si>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</si>
  <si>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</si>
  <si>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</si>
  <si>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</si>
  <si>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</si>
  <si>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</si>
  <si>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</si>
  <si>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</si>
  <si>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</si>
  <si>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</si>
  <si>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</si>
  <si>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</si>
  <si>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</si>
  <si>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</si>
  <si>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</si>
  <si>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</si>
  <si>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</si>
  <si>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</si>
  <si>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</si>
  <si>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</si>
  <si>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</si>
  <si>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</si>
  <si>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</si>
  <si>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</si>
  <si>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</si>
  <si>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</si>
  <si>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</si>
  <si>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</si>
  <si>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</si>
  <si>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</si>
  <si>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</si>
  <si>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</si>
  <si>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</si>
  <si>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</si>
  <si>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</si>
  <si>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</si>
  <si>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</si>
  <si>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</si>
  <si>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</si>
  <si>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</si>
  <si>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</si>
  <si>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</si>
  <si>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</si>
  <si>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</si>
  <si>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</si>
  <si>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</si>
  <si>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</si>
  <si>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</si>
  <si>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</si>
  <si>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</si>
  <si>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</si>
  <si>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</si>
  <si>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</si>
  <si>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</si>
  <si>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</si>
  <si>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</si>
  <si>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</si>
  <si>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</si>
  <si>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</si>
  <si>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</si>
  <si>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</si>
  <si>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</si>
  <si>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</si>
  <si>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</si>
  <si>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</si>
  <si>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</si>
  <si>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</si>
  <si>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</si>
  <si>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</si>
  <si>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</si>
  <si>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</si>
  <si>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</si>
  <si>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</si>
  <si>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</si>
  <si>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</si>
  <si>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</si>
  <si>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</si>
  <si>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</si>
  <si>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</si>
  <si>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</si>
  <si>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</si>
  <si>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</si>
  <si>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</si>
  <si>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</si>
  <si>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</si>
  <si>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</si>
  <si>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</si>
  <si>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</si>
  <si>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</si>
  <si>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</si>
  <si>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</si>
  <si>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</si>
  <si>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</si>
  <si>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</si>
  <si>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</si>
  <si>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</si>
  <si>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</si>
  <si>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</si>
  <si>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</si>
  <si>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</si>
  <si>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</si>
  <si>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</si>
  <si>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</si>
  <si>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</si>
  <si>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</si>
  <si>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</si>
  <si>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</si>
  <si>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</si>
  <si>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</si>
  <si>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</si>
  <si>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</si>
  <si>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</si>
  <si>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</si>
  <si>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</si>
  <si>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</si>
  <si>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</si>
  <si>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</si>
  <si>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</si>
  <si>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</si>
  <si>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</si>
  <si>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</si>
  <si>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</si>
  <si>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</si>
  <si>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</si>
  <si>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</si>
  <si>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</si>
  <si>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</si>
  <si>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</si>
  <si>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</si>
  <si>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</si>
  <si>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</si>
  <si>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</si>
  <si>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</si>
  <si>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</si>
  <si>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</si>
  <si>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</si>
  <si>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</si>
  <si>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</si>
  <si>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</si>
  <si>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</si>
  <si>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</si>
  <si>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</si>
  <si>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</si>
  <si>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</si>
  <si>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</si>
  <si>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</si>
  <si>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</si>
  <si>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</si>
  <si>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</si>
  <si>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</si>
  <si>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</si>
  <si>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</si>
  <si>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</si>
  <si>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</si>
  <si>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</si>
  <si>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</si>
  <si>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</si>
  <si>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</si>
  <si>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</si>
  <si>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</si>
  <si>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</si>
  <si>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</si>
  <si>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</si>
  <si>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</si>
  <si>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</si>
  <si>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</si>
  <si>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</si>
  <si>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</si>
  <si>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</si>
  <si>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</si>
  <si>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</si>
  <si>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</si>
  <si>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</si>
  <si>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</si>
  <si>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</si>
  <si>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</si>
  <si>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</si>
  <si>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</si>
  <si>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</si>
  <si>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</si>
  <si>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</si>
  <si>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</si>
  <si>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</si>
  <si>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</si>
  <si>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</si>
  <si>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</si>
  <si>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</si>
  <si>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</si>
  <si>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</si>
  <si>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</si>
  <si>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</si>
  <si>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</si>
  <si>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</si>
  <si>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</si>
  <si>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</si>
  <si>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</si>
  <si>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</si>
  <si>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</si>
  <si>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</si>
  <si>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</si>
  <si>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</si>
  <si>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</si>
  <si>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</si>
  <si>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</si>
  <si>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</si>
  <si>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</si>
  <si>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</si>
  <si>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</si>
  <si>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</si>
  <si>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</si>
  <si>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</si>
  <si>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</si>
  <si>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</si>
  <si>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</si>
  <si>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</si>
  <si>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</si>
  <si>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</si>
  <si>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</si>
  <si>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</si>
  <si>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</si>
  <si>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</si>
  <si>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</si>
  <si>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</si>
  <si>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</si>
  <si>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</si>
  <si>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</si>
  <si>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</si>
  <si>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</si>
  <si>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</si>
  <si>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</si>
  <si>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</si>
  <si>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</si>
  <si>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</si>
  <si>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</si>
  <si>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</si>
  <si>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</si>
  <si>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</si>
  <si>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</si>
  <si>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</si>
  <si>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</si>
  <si>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</si>
  <si>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</si>
  <si>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</si>
  <si>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</si>
  <si>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</si>
  <si>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</si>
  <si>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</si>
  <si>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</si>
  <si>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</si>
  <si>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</si>
  <si>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</si>
  <si>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</si>
  <si>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</si>
  <si>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</si>
  <si>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</si>
  <si>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</si>
  <si>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</si>
  <si>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</si>
  <si>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</si>
  <si>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</si>
  <si>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</si>
  <si>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</si>
  <si>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</si>
  <si>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</si>
  <si>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</si>
  <si>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</si>
  <si>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</si>
  <si>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</si>
  <si>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</si>
  <si>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</si>
  <si>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</si>
  <si>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</si>
  <si>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</si>
  <si>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</si>
  <si>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</si>
  <si>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</si>
  <si>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</si>
  <si>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</si>
  <si>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</si>
  <si>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</si>
  <si>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</si>
  <si>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</si>
  <si>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</si>
  <si>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</si>
  <si>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</si>
  <si>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</si>
  <si>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</si>
  <si>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</si>
  <si>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</si>
  <si>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</si>
  <si>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</si>
  <si>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</si>
  <si>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</si>
  <si>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</si>
  <si>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</si>
  <si>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</si>
  <si>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</si>
  <si>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</si>
  <si>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</si>
  <si>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</si>
  <si>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</si>
  <si>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</si>
  <si>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</si>
  <si>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</si>
  <si>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</si>
  <si>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</si>
  <si>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</si>
  <si>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</si>
  <si>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</si>
  <si>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</si>
  <si>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</si>
  <si>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</si>
  <si>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</si>
  <si>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</si>
  <si>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</si>
  <si>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</si>
  <si>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</si>
  <si>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</si>
  <si>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</si>
  <si>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</si>
  <si>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</si>
  <si>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</si>
  <si>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</si>
  <si>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</si>
  <si>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</si>
  <si>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</si>
  <si>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</si>
  <si>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</si>
  <si>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</si>
  <si>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</si>
  <si>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</si>
  <si>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</si>
  <si>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</si>
  <si>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</si>
  <si>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</si>
  <si>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</si>
  <si>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</si>
  <si>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</si>
  <si>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</si>
  <si>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</si>
  <si>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</si>
  <si>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</si>
  <si>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</si>
  <si>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</si>
  <si>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</si>
  <si>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</si>
  <si>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</si>
  <si>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</si>
  <si>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</si>
  <si>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</si>
  <si>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</si>
  <si>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</si>
  <si>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</si>
  <si>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</si>
  <si>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</si>
  <si>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</si>
  <si>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</si>
  <si>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</si>
  <si>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</si>
  <si>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</si>
  <si>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</si>
  <si>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</si>
  <si>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</si>
  <si>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</si>
  <si>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</si>
  <si>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</si>
  <si>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</si>
  <si>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</si>
  <si>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</si>
  <si>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</si>
  <si>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</si>
  <si>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</si>
  <si>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</si>
  <si>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</si>
  <si>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</si>
  <si>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</si>
  <si>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</si>
  <si>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</si>
  <si>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</si>
  <si>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</si>
  <si>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</si>
  <si>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</si>
  <si>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</si>
  <si>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</si>
  <si>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</si>
  <si>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</si>
  <si>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</si>
  <si>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</si>
  <si>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</si>
  <si>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</si>
  <si>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</si>
  <si>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</si>
  <si>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</si>
  <si>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</si>
  <si>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</si>
  <si>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</si>
  <si>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</si>
  <si>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</si>
  <si>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</si>
  <si>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</si>
  <si>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</si>
  <si>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</si>
  <si>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</si>
  <si>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</si>
  <si>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</si>
  <si>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</si>
  <si>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</si>
  <si>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</si>
  <si>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</si>
  <si>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</si>
  <si>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</si>
  <si>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</si>
  <si>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</si>
  <si>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</si>
  <si>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</si>
  <si>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</si>
  <si>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</si>
  <si>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</si>
  <si>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</si>
  <si>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</si>
  <si>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</si>
  <si>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</si>
  <si>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</si>
  <si>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</si>
  <si>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</si>
  <si>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</si>
  <si>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</si>
  <si>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</si>
  <si>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</si>
  <si>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</si>
  <si>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</si>
  <si>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</si>
  <si>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</si>
  <si>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</si>
  <si>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</si>
  <si>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</si>
  <si>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</si>
  <si>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</si>
  <si>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</si>
  <si>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</si>
  <si>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</si>
  <si>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</si>
  <si>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</si>
  <si>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</si>
  <si>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</si>
  <si>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</si>
  <si>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</si>
  <si>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</si>
  <si>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</si>
  <si>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</si>
  <si>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</si>
  <si>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</si>
  <si>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</si>
  <si>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</si>
  <si>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</si>
  <si>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</si>
  <si>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</si>
  <si>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</si>
  <si>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</si>
  <si>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</si>
  <si>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</si>
  <si>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</si>
  <si>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</si>
  <si>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</si>
  <si>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</si>
  <si>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</si>
  <si>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</si>
  <si>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</si>
  <si>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</si>
  <si>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</si>
  <si>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</si>
  <si>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</si>
  <si>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</si>
  <si>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</si>
  <si>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</si>
  <si>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</si>
  <si>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</si>
  <si>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</si>
  <si>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</si>
  <si>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</si>
  <si>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</si>
  <si>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</si>
  <si>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</si>
  <si>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</si>
  <si>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</si>
  <si>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</si>
  <si>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</si>
  <si>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</si>
  <si>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</si>
  <si>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</si>
  <si>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</si>
  <si>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</si>
  <si>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</si>
  <si>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</si>
  <si>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</si>
  <si>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</si>
  <si>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</si>
  <si>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</si>
  <si>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</si>
  <si>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</si>
  <si>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</si>
  <si>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</si>
  <si>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</si>
  <si>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</si>
  <si>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</si>
  <si>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</si>
  <si>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</si>
  <si>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</si>
  <si>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</si>
  <si>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</si>
  <si>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</si>
  <si>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</si>
  <si>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</si>
  <si>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</si>
  <si>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</si>
  <si>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</si>
  <si>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</si>
  <si>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</si>
  <si>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</si>
  <si>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</si>
  <si>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</si>
  <si>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</si>
  <si>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</si>
  <si>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</si>
  <si>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</si>
  <si>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</si>
  <si>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</si>
  <si>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</si>
  <si>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</si>
  <si>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</si>
  <si>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</si>
  <si>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</si>
  <si>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</si>
  <si>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</si>
  <si>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</si>
  <si>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</si>
  <si>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</si>
  <si>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</si>
  <si>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</si>
  <si>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</si>
  <si>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</si>
  <si>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</si>
  <si>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</si>
  <si>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</si>
  <si>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</si>
  <si>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</si>
  <si>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</si>
  <si>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</si>
  <si>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</si>
  <si>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</si>
  <si>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</si>
  <si>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</si>
  <si>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</si>
  <si>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</si>
  <si>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</si>
  <si>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</si>
  <si>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</si>
  <si>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</si>
  <si>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</si>
  <si>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</si>
  <si>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</si>
  <si>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</si>
  <si>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</si>
  <si>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</si>
  <si>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</si>
  <si>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</si>
  <si>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</si>
  <si>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</si>
  <si>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</si>
  <si>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</si>
  <si>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</si>
  <si>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</si>
  <si>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</si>
  <si>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</si>
  <si>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</si>
  <si>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</si>
  <si>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</si>
  <si>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</si>
  <si>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</si>
  <si>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</si>
  <si>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</si>
  <si>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</si>
  <si>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</si>
  <si>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</si>
  <si>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</si>
  <si>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</si>
  <si>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</si>
  <si>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</si>
  <si>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</si>
  <si>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</si>
  <si>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</si>
  <si>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</si>
  <si>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</si>
  <si>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</si>
  <si>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</si>
  <si>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</si>
  <si>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</si>
  <si>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</si>
  <si>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</si>
  <si>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</si>
  <si>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</si>
  <si>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</si>
  <si>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</si>
  <si>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</si>
  <si>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</si>
  <si>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</si>
  <si>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</si>
  <si>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</si>
  <si>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</si>
  <si>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</si>
  <si>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</si>
  <si>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</si>
  <si>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</si>
  <si>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</si>
  <si>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</si>
  <si>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</si>
  <si>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</si>
  <si>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</si>
  <si>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</si>
  <si>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</si>
  <si>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</si>
  <si>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</si>
  <si>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</si>
  <si>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</si>
  <si>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</si>
  <si>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</si>
  <si>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</si>
  <si>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</si>
  <si>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</si>
  <si>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</si>
  <si>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</si>
  <si>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</si>
  <si>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</si>
  <si>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</si>
  <si>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</si>
  <si>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</si>
  <si>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</si>
  <si>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</si>
  <si>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</si>
  <si>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</si>
  <si>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</si>
  <si>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</si>
  <si>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</si>
  <si>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</si>
  <si>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</si>
  <si>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</si>
  <si>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</si>
  <si>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</si>
  <si>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</si>
  <si>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</si>
  <si>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</si>
  <si>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</si>
  <si>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</si>
  <si>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</si>
  <si>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</si>
  <si>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</si>
  <si>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</si>
  <si>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</si>
  <si>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</si>
  <si>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</si>
  <si>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</si>
  <si>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</si>
  <si>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</si>
  <si>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</si>
  <si>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</si>
  <si>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</si>
  <si>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</si>
  <si>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</si>
  <si>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</si>
  <si>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</si>
  <si>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</si>
  <si>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</si>
  <si>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</si>
  <si>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</si>
  <si>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</si>
  <si>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</si>
  <si>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</si>
  <si>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</si>
  <si>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</si>
  <si>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</si>
  <si>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</si>
  <si>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</si>
  <si>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</si>
  <si>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</si>
  <si>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</si>
  <si>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</si>
  <si>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</si>
  <si>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</si>
  <si>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</si>
  <si>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</si>
  <si>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</si>
  <si>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</si>
  <si>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</si>
  <si>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</si>
  <si>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</si>
  <si>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</si>
  <si>
    <t>息税前利润结构分析</t>
    <phoneticPr fontId="1" type="noConversion"/>
  </si>
  <si>
    <t>息税前经营利润</t>
    <phoneticPr fontId="1" type="noConversion"/>
  </si>
  <si>
    <t>息税前金融资产收益</t>
    <phoneticPr fontId="1" type="noConversion"/>
  </si>
  <si>
    <t>息税前利润</t>
    <phoneticPr fontId="1" type="noConversion"/>
  </si>
  <si>
    <t>息税前利润增长率</t>
    <phoneticPr fontId="1" type="noConversion"/>
  </si>
  <si>
    <t>百分比</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</si>
</sst>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9">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0" fillId="0" borderId="16" xfId="0" applyNumberFormat="1" applyBorder="1" applyAlignment="1">
      <alignment horizontal="center" vertical="center"/>
    </xf>
    <xf numFmtId="14" fontId="0" fillId="0" borderId="16" xfId="0" applyNumberFormat="1" applyBorder="1">
      <alignment vertical="center"/>
    </xf>
    <xf numFmtId="14" fontId="0" fillId="0" borderId="17" xfId="0" applyNumberFormat="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13"/>
                <c:pt idx="0">
                  <c:v>0.46027880196447662</c:v>
                </c:pt>
                <c:pt idx="1">
                  <c:v>0.47603951276111672</c:v>
                </c:pt>
                <c:pt idx="2">
                  <c:v>0.4671137818263727</c:v>
                </c:pt>
                <c:pt idx="3">
                  <c:v>0.4559064115895709</c:v>
                </c:pt>
                <c:pt idx="4">
                  <c:v>0.47382714846472457</c:v>
                </c:pt>
                <c:pt idx="5">
                  <c:v>0.47465956709160112</c:v>
                </c:pt>
                <c:pt idx="6">
                  <c:v>0.50317215676675964</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13"/>
                <c:pt idx="0">
                  <c:v>0.17525343041100466</c:v>
                </c:pt>
                <c:pt idx="1">
                  <c:v>0.19586382616854753</c:v>
                </c:pt>
                <c:pt idx="2">
                  <c:v>0.19676808984178054</c:v>
                </c:pt>
                <c:pt idx="3">
                  <c:v>0.19478875442815524</c:v>
                </c:pt>
                <c:pt idx="4">
                  <c:v>0.19214313898353419</c:v>
                </c:pt>
                <c:pt idx="5">
                  <c:v>0.1986145470454749</c:v>
                </c:pt>
                <c:pt idx="6">
                  <c:v>0.21804035417062992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13"/>
                <c:pt idx="0">
                  <c:v>0.22096240780960927</c:v>
                </c:pt>
                <c:pt idx="1">
                  <c:v>0.23227361159850929</c:v>
                </c:pt>
                <c:pt idx="2">
                  <c:v>0.23366781761171718</c:v>
                </c:pt>
                <c:pt idx="3">
                  <c:v>0.23010448239094775</c:v>
                </c:pt>
                <c:pt idx="4">
                  <c:v>0.23042017511296525</c:v>
                </c:pt>
                <c:pt idx="5">
                  <c:v>0.24421779960748016</c:v>
                </c:pt>
                <c:pt idx="6">
                  <c:v>0.26381320271879261</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13"/>
                <c:pt idx="0">
                  <c:v>0.18695113404979027</c:v>
                </c:pt>
                <c:pt idx="1">
                  <c:v>0.19802119408505692</c:v>
                </c:pt>
                <c:pt idx="2">
                  <c:v>0.19769711272695309</c:v>
                </c:pt>
                <c:pt idx="3">
                  <c:v>0.19478875442815524</c:v>
                </c:pt>
                <c:pt idx="4">
                  <c:v>0.19214313898353419</c:v>
                </c:pt>
                <c:pt idx="5">
                  <c:v>0.1986145470454749</c:v>
                </c:pt>
                <c:pt idx="6">
                  <c:v>0.21804035417062992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13"/>
                <c:pt idx="0">
                  <c:v>0.2199828310864515</c:v>
                </c:pt>
                <c:pt idx="1">
                  <c:v>0.22456186266648392</c:v>
                </c:pt>
                <c:pt idx="2">
                  <c:v>0.22319992043673903</c:v>
                </c:pt>
                <c:pt idx="3">
                  <c:v>0.21202736122965787</c:v>
                </c:pt>
                <c:pt idx="4">
                  <c:v>0.2077833423365289</c:v>
                </c:pt>
                <c:pt idx="5">
                  <c:v>0.2442284025039296</c:v>
                </c:pt>
                <c:pt idx="6">
                  <c:v>0.26568032405587588</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13"/>
                <c:pt idx="0">
                  <c:v>0.18612233705622691</c:v>
                </c:pt>
                <c:pt idx="1">
                  <c:v>0.19144666449689415</c:v>
                </c:pt>
                <c:pt idx="2">
                  <c:v>0.18884063831396986</c:v>
                </c:pt>
                <c:pt idx="3">
                  <c:v>0.17948605420229893</c:v>
                </c:pt>
                <c:pt idx="4">
                  <c:v>0.17326670117084073</c:v>
                </c:pt>
                <c:pt idx="5">
                  <c:v>0.19862317004297572</c:v>
                </c:pt>
                <c:pt idx="6">
                  <c:v>0.21958352105318776</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180701153.99000001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149796047.52000001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138852954.72999999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Cache>
                <c:formatCode>General</c:formatCode>
                <c:ptCount val="1"/>
                <c:pt idx="0">
                  <c:v>112122121.2</c:v>
                </c:pt>
              </c:numCache>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Cache>
                <c:formatCode>General</c:formatCode>
                <c:ptCount val="1"/>
                <c:pt idx="0">
                  <c:v>100755792.95999999</c:v>
                </c:pt>
              </c:numCache>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96615239.569999993</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Cache>
                <c:formatCode>General</c:formatCode>
                <c:ptCount val="1"/>
                <c:pt idx="0">
                  <c:v>84191840.510000005</c:v>
                </c:pt>
              </c:numCache>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Cache>
                <c:formatCode>General</c:formatCode>
                <c:ptCount val="1"/>
                <c:pt idx="0">
                  <c:v>3668316314.3099999</c:v>
                </c:pt>
              </c:numCache>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11247079416.6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Cache>
                <c:formatCode>General</c:formatCode>
                <c:ptCount val="1"/>
                <c:pt idx="0">
                  <c:v>9844446542.8700008</c:v>
                </c:pt>
              </c:numCache>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Cache>
                <c:formatCode>General</c:formatCode>
                <c:ptCount val="1"/>
                <c:pt idx="0">
                  <c:v>8018840509.5699997</c:v>
                </c:pt>
              </c:numCache>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Cache>
                <c:formatCode>General</c:formatCode>
                <c:ptCount val="1"/>
                <c:pt idx="0">
                  <c:v>5021265735.6800003</c:v>
                </c:pt>
              </c:numCache>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13738666127.280001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13"/>
                <c:pt idx="0">
                  <c:v>52494399.365199998</c:v>
                </c:pt>
                <c:pt idx="1">
                  <c:v>48481079.171599939</c:v>
                </c:pt>
                <c:pt idx="2">
                  <c:v>81757183.258399993</c:v>
                </c:pt>
                <c:pt idx="3">
                  <c:v>74563688.741600037</c:v>
                </c:pt>
                <c:pt idx="4">
                  <c:v>67236857.736000031</c:v>
                </c:pt>
                <c:pt idx="5">
                  <c:v>78574092.780000001</c:v>
                </c:pt>
                <c:pt idx="6">
                  <c:v>69584154.749999985</c:v>
                </c:pt>
                <c:pt idx="7">
                  <c:v>-3868038785.9252005</c:v>
                </c:pt>
                <c:pt idx="8">
                  <c:v>-5049936089.9771996</c:v>
                </c:pt>
                <c:pt idx="9">
                  <c:v>-4645524401.3476</c:v>
                </c:pt>
                <c:pt idx="10">
                  <c:v>-4262542827.1395998</c:v>
                </c:pt>
                <c:pt idx="11">
                  <c:v>-3818321607.2244005</c:v>
                </c:pt>
                <c:pt idx="12">
                  <c:v>-5119375855.2939997</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1094321354.0599999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985414241.73000002</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387347869.01999998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Cache>
                <c:formatCode>General</c:formatCode>
                <c:ptCount val="1"/>
                <c:pt idx="0">
                  <c:v>254378428.47999999</c:v>
                </c:pt>
              </c:numCache>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Cache>
                <c:formatCode>General</c:formatCode>
                <c:ptCount val="1"/>
                <c:pt idx="0">
                  <c:v>209769272.30000001</c:v>
                </c:pt>
              </c:numCache>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0</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Cache>
                <c:formatCode>General</c:formatCode>
                <c:ptCount val="1"/>
              </c:numCache>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Cache>
                <c:formatCode>General</c:formatCode>
                <c:ptCount val="1"/>
                <c:pt idx="0">
                  <c:v>39754833137.690002</c:v>
                </c:pt>
              </c:numCache>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37019284552.089996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Cache>
                <c:formatCode>General</c:formatCode>
                <c:ptCount val="1"/>
                <c:pt idx="0">
                  <c:v>35936255140.220001</c:v>
                </c:pt>
              </c:numCache>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Cache>
                <c:formatCode>General</c:formatCode>
                <c:ptCount val="1"/>
                <c:pt idx="0">
                  <c:v>34492053862.870003</c:v>
                </c:pt>
              </c:numCache>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Cache>
                <c:formatCode>General</c:formatCode>
                <c:ptCount val="1"/>
                <c:pt idx="0">
                  <c:v>35275133265.93</c:v>
                </c:pt>
              </c:numCache>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31521070553.299999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416,358,416.99 </c:v>
                </c:pt>
                <c:pt idx="5">
                  <c:v>409,281,856.69 </c:v>
                </c:pt>
                <c:pt idx="6">
                  <c:v>409,439,801.31 </c:v>
                </c:pt>
                <c:pt idx="7">
                  <c:v>402,209,558.91 </c:v>
                </c:pt>
                <c:pt idx="8">
                  <c:v>382,712,115.78 </c:v>
                </c:pt>
                <c:pt idx="9">
                  <c:v>374,389,056.73 </c:v>
                </c:pt>
                <c:pt idx="10">
                  <c:v>121,825,467.79 </c:v>
                </c:pt>
                <c:pt idx="11">
                  <c:v>95,918,076.37 </c:v>
                </c:pt>
                <c:pt idx="12">
                  <c:v>0.00 </c:v>
                </c:pt>
                <c:pt idx="13">
                  <c:v>0.00 </c:v>
                </c:pt>
                <c:pt idx="14">
                  <c:v>0.00 </c:v>
                </c:pt>
                <c:pt idx="15">
                  <c:v>7,740,932,584.29 </c:v>
                </c:pt>
                <c:pt idx="16">
                  <c:v>7,185,660,413.80 </c:v>
                </c:pt>
                <c:pt idx="17">
                  <c:v>7,206,369,226.26 </c:v>
                </c:pt>
                <c:pt idx="18">
                  <c:v>7,305,520,980.60 </c:v>
                </c:pt>
                <c:pt idx="19">
                  <c:v>7,309,510,343.54 </c:v>
                </c:pt>
                <c:pt idx="20">
                  <c:v>7,323,681,060.21 </c:v>
                </c:pt>
              </c:strCache>
            </c:strRef>
          </c:tx>
          <c:invertIfNegative val="0"/>
          <c:cat>
            <c:numRef>
              <c:f>投资和筹资活动现金流表!$E$12</c:f>
              <c:numCache>
                <c:formatCode>#,##0.00_ </c:formatCode>
                <c:ptCount val="1"/>
                <c:pt idx="0">
                  <c:v>416358416.99000001</c:v>
                </c:pt>
              </c:numCache>
            </c:numRef>
          </c:cat>
          <c:val>
            <c:numRef>
              <c:f>投资和筹资活动现金流表!$E$12:$U$12</c:f>
              <c:numCache>
                <c:formatCode>#,##0.00_ </c:formatCode>
                <c:ptCount val="8"/>
                <c:pt idx="0">
                  <c:v>416358416.99000001</c:v>
                </c:pt>
                <c:pt idx="1">
                  <c:v>382712115.77999997</c:v>
                </c:pt>
                <c:pt idx="2">
                  <c:v>0</c:v>
                </c:pt>
                <c:pt idx="3">
                  <c:v>0</c:v>
                </c:pt>
                <c:pt idx="4">
                  <c:v>7740932584.29</c:v>
                </c:pt>
                <c:pt idx="5">
                  <c:v>7185660413.8000002</c:v>
                </c:pt>
                <c:pt idx="6">
                  <c:v>7206369226.2600002</c:v>
                </c:pt>
                <c:pt idx="7">
                  <c:v>7323681060.21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8"/>
                <c:pt idx="0">
                  <c:v>0.14260628172055442</c:v>
                </c:pt>
                <c:pt idx="1">
                  <c:v>7.1033161739847542E-2</c:v>
                </c:pt>
                <c:pt idx="2">
                  <c:v>0</c:v>
                </c:pt>
                <c:pt idx="3">
                  <c:v>0</c:v>
                </c:pt>
                <c:pt idx="4">
                  <c:v>2.3219582098516094E-2</c:v>
                </c:pt>
                <c:pt idx="5">
                  <c:v>1.3471413532720595E-2</c:v>
                </c:pt>
                <c:pt idx="6">
                  <c:v>2.7531781674052362E-3</c:v>
                </c:pt>
                <c:pt idx="7">
                  <c:v>-4.7203522452421924E-2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9"/>
                <c:pt idx="0">
                  <c:v>1.6395023022859767</c:v>
                </c:pt>
                <c:pt idx="1">
                  <c:v>3.435642816090148</c:v>
                </c:pt>
                <c:pt idx="2">
                  <c:v>3.9143031649511677</c:v>
                </c:pt>
                <c:pt idx="3">
                  <c:v>4.254244556321777</c:v>
                </c:pt>
                <c:pt idx="4">
                  <c:v>0.4834955543219927</c:v>
                </c:pt>
                <c:pt idx="5">
                  <c:v>1.0950456710242547</c:v>
                </c:pt>
                <c:pt idx="6">
                  <c:v>1.6401074053194495</c:v>
                </c:pt>
                <c:pt idx="7">
                  <c:v>4.3194707290998364</c:v>
                </c:pt>
                <c:pt idx="8">
                  <c:v>24.659349284007479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9"/>
                <c:pt idx="0">
                  <c:v>94851294.410000011</c:v>
                </c:pt>
                <c:pt idx="1">
                  <c:v>59187114.920000002</c:v>
                </c:pt>
                <c:pt idx="2">
                  <c:v>44651968.810000002</c:v>
                </c:pt>
                <c:pt idx="3">
                  <c:v>33859090.399999999</c:v>
                </c:pt>
                <c:pt idx="4">
                  <c:v>205414887.25</c:v>
                </c:pt>
                <c:pt idx="5">
                  <c:v>96801002.939999998</c:v>
                </c:pt>
                <c:pt idx="6">
                  <c:v>19840418.419999998</c:v>
                </c:pt>
                <c:pt idx="7">
                  <c:v>337752203.54000002</c:v>
                </c:pt>
                <c:pt idx="8">
                  <c:v>354821491.18000001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9"/>
                <c:pt idx="0">
                  <c:v>0</c:v>
                </c:pt>
                <c:pt idx="1">
                  <c:v>0</c:v>
                </c:pt>
                <c:pt idx="2">
                  <c:v>921520.42999999993</c:v>
                </c:pt>
                <c:pt idx="3">
                  <c:v>600000</c:v>
                </c:pt>
                <c:pt idx="4">
                  <c:v>27774600</c:v>
                </c:pt>
                <c:pt idx="5">
                  <c:v>3635607.03</c:v>
                </c:pt>
                <c:pt idx="6">
                  <c:v>37253856.159999996</c:v>
                </c:pt>
                <c:pt idx="7">
                  <c:v>0</c:v>
                </c:pt>
                <c:pt idx="8">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9"/>
                <c:pt idx="0">
                  <c:v>155508915.56</c:v>
                </c:pt>
                <c:pt idx="1">
                  <c:v>203345786.18000001</c:v>
                </c:pt>
                <c:pt idx="2">
                  <c:v>178388453.16999999</c:v>
                </c:pt>
                <c:pt idx="3">
                  <c:v>146597397.75</c:v>
                </c:pt>
                <c:pt idx="4">
                  <c:v>112746080.40000001</c:v>
                </c:pt>
                <c:pt idx="5">
                  <c:v>109982674.95999999</c:v>
                </c:pt>
                <c:pt idx="6">
                  <c:v>93640742.540000007</c:v>
                </c:pt>
                <c:pt idx="7" formatCode="#,##0.00_ ">
                  <c:v>1458910756.8800001</c:v>
                </c:pt>
                <c:pt idx="8" formatCode="#,##0.00_ ">
                  <c:v>8749667084.4799995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9"/>
                <c:pt idx="0">
                  <c:v>-123222270.77</c:v>
                </c:pt>
                <c:pt idx="1">
                  <c:v>365598873.93000001</c:v>
                </c:pt>
                <c:pt idx="2">
                  <c:v>-52083823.039999999</c:v>
                </c:pt>
                <c:pt idx="3">
                  <c:v>-111140469.13</c:v>
                </c:pt>
                <c:pt idx="4">
                  <c:v>72950844.609999999</c:v>
                </c:pt>
                <c:pt idx="5">
                  <c:v>35371287.210000001</c:v>
                </c:pt>
                <c:pt idx="6">
                  <c:v>15274725.51</c:v>
                </c:pt>
                <c:pt idx="7" formatCode="#,##0.00_ ">
                  <c:v>-3219033426.9200001</c:v>
                </c:pt>
                <c:pt idx="8" formatCode="#,##0.00_ ">
                  <c:v>-2113851892.23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9"/>
                <c:pt idx="0">
                  <c:v>-44000000</c:v>
                </c:pt>
                <c:pt idx="1">
                  <c:v>484000000</c:v>
                </c:pt>
                <c:pt idx="2">
                  <c:v>-116880000</c:v>
                </c:pt>
                <c:pt idx="3">
                  <c:v>-23000000</c:v>
                </c:pt>
                <c:pt idx="4">
                  <c:v>2172280</c:v>
                </c:pt>
                <c:pt idx="5">
                  <c:v>3000000</c:v>
                </c:pt>
                <c:pt idx="6">
                  <c:v>17450000</c:v>
                </c:pt>
                <c:pt idx="7">
                  <c:v>172467935.24000001</c:v>
                </c:pt>
                <c:pt idx="8">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9"/>
                <c:pt idx="0">
                  <c:v>-77033701.510000005</c:v>
                </c:pt>
                <c:pt idx="1">
                  <c:v>-18431089.029999994</c:v>
                </c:pt>
                <c:pt idx="2">
                  <c:v>-18421796.050000004</c:v>
                </c:pt>
                <c:pt idx="3">
                  <c:v>-75394914</c:v>
                </c:pt>
                <c:pt idx="4">
                  <c:v>112598585</c:v>
                </c:pt>
                <c:pt idx="5">
                  <c:v>46837129</c:v>
                </c:pt>
                <c:pt idx="6">
                  <c:v>19000000</c:v>
                </c:pt>
                <c:pt idx="7">
                  <c:v>0</c:v>
                </c:pt>
                <c:pt idx="8">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9"/>
                <c:pt idx="0">
                  <c:v>0</c:v>
                </c:pt>
                <c:pt idx="1">
                  <c:v>52421993.420000002</c:v>
                </c:pt>
                <c:pt idx="2">
                  <c:v>44625725.329999998</c:v>
                </c:pt>
                <c:pt idx="3">
                  <c:v>34603887</c:v>
                </c:pt>
                <c:pt idx="4">
                  <c:v>192098585</c:v>
                </c:pt>
                <c:pt idx="5">
                  <c:v>65837129</c:v>
                </c:pt>
                <c:pt idx="6">
                  <c:v>19000000</c:v>
                </c:pt>
                <c:pt idx="7">
                  <c:v>0</c:v>
                </c:pt>
                <c:pt idx="8">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9"/>
                <c:pt idx="0">
                  <c:v>33000000</c:v>
                </c:pt>
                <c:pt idx="1">
                  <c:v>0</c:v>
                </c:pt>
                <c:pt idx="2">
                  <c:v>-1000000</c:v>
                </c:pt>
                <c:pt idx="3">
                  <c:v>0</c:v>
                </c:pt>
                <c:pt idx="4">
                  <c:v>0</c:v>
                </c:pt>
                <c:pt idx="5">
                  <c:v>28858831.859999999</c:v>
                </c:pt>
                <c:pt idx="6">
                  <c:v>1000000</c:v>
                </c:pt>
                <c:pt idx="7">
                  <c:v>0</c:v>
                </c:pt>
                <c:pt idx="8">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9"/>
                <c:pt idx="0">
                  <c:v>378508.09</c:v>
                </c:pt>
                <c:pt idx="1">
                  <c:v>4668557.12</c:v>
                </c:pt>
                <c:pt idx="2">
                  <c:v>5798721.3799999999</c:v>
                </c:pt>
                <c:pt idx="3">
                  <c:v>0</c:v>
                </c:pt>
                <c:pt idx="4">
                  <c:v>0</c:v>
                </c:pt>
                <c:pt idx="5">
                  <c:v>0</c:v>
                </c:pt>
                <c:pt idx="6">
                  <c:v>0</c:v>
                </c:pt>
                <c:pt idx="7">
                  <c:v>0</c:v>
                </c:pt>
                <c:pt idx="8">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9"/>
                <c:pt idx="0">
                  <c:v>0</c:v>
                </c:pt>
                <c:pt idx="1">
                  <c:v>76655193.420000002</c:v>
                </c:pt>
                <c:pt idx="2">
                  <c:v>103040800</c:v>
                </c:pt>
                <c:pt idx="3">
                  <c:v>71213008.239999995</c:v>
                </c:pt>
                <c:pt idx="4">
                  <c:v>23881671.98</c:v>
                </c:pt>
                <c:pt idx="5">
                  <c:v>0</c:v>
                </c:pt>
                <c:pt idx="6">
                  <c:v>0</c:v>
                </c:pt>
                <c:pt idx="7">
                  <c:v>0</c:v>
                </c:pt>
                <c:pt idx="8">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9"/>
                <c:pt idx="0">
                  <c:v>1094321354.0599999</c:v>
                </c:pt>
                <c:pt idx="1">
                  <c:v>985414241.73000002</c:v>
                </c:pt>
                <c:pt idx="2">
                  <c:v>387347869.01999998</c:v>
                </c:pt>
                <c:pt idx="3">
                  <c:v>254378428.47999999</c:v>
                </c:pt>
                <c:pt idx="4">
                  <c:v>209769272.30000001</c:v>
                </c:pt>
                <c:pt idx="5">
                  <c:v>0</c:v>
                </c:pt>
                <c:pt idx="6">
                  <c:v>39038063287.049995</c:v>
                </c:pt>
                <c:pt idx="7">
                  <c:v>37019284552.089996</c:v>
                </c:pt>
                <c:pt idx="8">
                  <c:v>31521070553.299999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9"/>
                <c:pt idx="0">
                  <c:v>1094888457.78</c:v>
                </c:pt>
                <c:pt idx="1">
                  <c:v>1062069435.15</c:v>
                </c:pt>
                <c:pt idx="2">
                  <c:v>490388669.01999992</c:v>
                </c:pt>
                <c:pt idx="3">
                  <c:v>329687136.41000009</c:v>
                </c:pt>
                <c:pt idx="4">
                  <c:v>237522643.97</c:v>
                </c:pt>
                <c:pt idx="5">
                  <c:v>0</c:v>
                </c:pt>
                <c:pt idx="6">
                  <c:v>0</c:v>
                </c:pt>
                <c:pt idx="7">
                  <c:v>0</c:v>
                </c:pt>
                <c:pt idx="8">
                  <c:v>0</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3"/>
                <c:pt idx="0">
                  <c:v>7.9958563543822539E-2</c:v>
                </c:pt>
                <c:pt idx="1">
                  <c:v>7.7423211434860251E-2</c:v>
                </c:pt>
                <c:pt idx="2">
                  <c:v>8.319924668900805E-2</c:v>
                </c:pt>
                <c:pt idx="3">
                  <c:v>6.1726018491338186E-2</c:v>
                </c:pt>
                <c:pt idx="4">
                  <c:v>7.0652387088279353E-2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15"/>
                <c:pt idx="0">
                  <c:v>-0.18627936951868862</c:v>
                </c:pt>
                <c:pt idx="1">
                  <c:v>2.6426555628332489</c:v>
                </c:pt>
                <c:pt idx="2">
                  <c:v>0.90997800670767637</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15"/>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15"/>
                <c:pt idx="0">
                  <c:v>0.10226949277914017</c:v>
                </c:pt>
                <c:pt idx="1">
                  <c:v>-5.2905683483427488</c:v>
                </c:pt>
                <c:pt idx="2">
                  <c:v>166.55916449506071</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15"/>
                <c:pt idx="0">
                  <c:v>0.10398101915288804</c:v>
                </c:pt>
                <c:pt idx="1">
                  <c:v>4.453888054654211</c:v>
                </c:pt>
                <c:pt idx="2">
                  <c:v>0.83368510994203993</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15"/>
                <c:pt idx="0">
                  <c:v>0.10535118194975809</c:v>
                </c:pt>
                <c:pt idx="1">
                  <c:v>0.93526768493559631</c:v>
                </c:pt>
                <c:pt idx="2">
                  <c:v>2.1270332666845766</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15"/>
                <c:pt idx="0">
                  <c:v>0.14435109917701514</c:v>
                </c:pt>
                <c:pt idx="1">
                  <c:v>8.8413565883275341E-2</c:v>
                </c:pt>
                <c:pt idx="2">
                  <c:v>2.3059934037419318</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15"/>
                <c:pt idx="0">
                  <c:v>-1</c:v>
                </c:pt>
                <c:pt idx="1">
                  <c:v>0.37051317647058823</c:v>
                </c:pt>
                <c:pt idx="2">
                  <c:v>1.7071434384210524</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15"/>
                <c:pt idx="0">
                  <c:v>-1</c:v>
                </c:pt>
                <c:pt idx="1">
                  <c:v>-0.69593425557640465</c:v>
                </c:pt>
                <c:pt idx="2">
                  <c:v>6.9853788127730763</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15"/>
                <c:pt idx="0">
                  <c:v>0.32854873917419702</c:v>
                </c:pt>
                <c:pt idx="1">
                  <c:v>0.4162377303961905</c:v>
                </c:pt>
                <c:pt idx="2">
                  <c:v>0.35829787789832579</c:v>
                </c:pt>
                <c:pt idx="3">
                  <c:v>0.24747755742914701</c:v>
                </c:pt>
                <c:pt idx="4">
                  <c:v>0.24396088058892268</c:v>
                </c:pt>
                <c:pt idx="5">
                  <c:v>0.39849469017989569</c:v>
                </c:pt>
                <c:pt idx="6">
                  <c:v>0.44894427174475343</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15"/>
                <c:pt idx="0">
                  <c:v>3.0140056519465851E-2</c:v>
                </c:pt>
                <c:pt idx="1">
                  <c:v>0</c:v>
                </c:pt>
                <c:pt idx="2">
                  <c:v>0</c:v>
                </c:pt>
                <c:pt idx="3">
                  <c:v>0</c:v>
                </c:pt>
                <c:pt idx="4">
                  <c:v>0</c:v>
                </c:pt>
                <c:pt idx="5">
                  <c:v>3.0331787005374589E-3</c:v>
                </c:pt>
                <c:pt idx="6">
                  <c:v>4.2101249097172555E-3</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15"/>
                <c:pt idx="0">
                  <c:v>0.46597690823635923</c:v>
                </c:pt>
                <c:pt idx="1">
                  <c:v>0.41978031708165381</c:v>
                </c:pt>
                <c:pt idx="2">
                  <c:v>0.75771180013952333</c:v>
                </c:pt>
                <c:pt idx="3">
                  <c:v>0.83529639868839234</c:v>
                </c:pt>
                <c:pt idx="4">
                  <c:v>0.80462159246572784</c:v>
                </c:pt>
                <c:pt idx="5">
                  <c:v>0.54603872607915194</c:v>
                </c:pt>
                <c:pt idx="6">
                  <c:v>0.54850252739042038</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15"/>
                <c:pt idx="0">
                  <c:v>0</c:v>
                </c:pt>
                <c:pt idx="1">
                  <c:v>0.75985471305069985</c:v>
                </c:pt>
                <c:pt idx="2">
                  <c:v>0.56886772081772297</c:v>
                </c:pt>
                <c:pt idx="3">
                  <c:v>0.41245797781073129</c:v>
                </c:pt>
                <c:pt idx="4">
                  <c:v>0.52061166409769288</c:v>
                </c:pt>
                <c:pt idx="5">
                  <c:v>0.92450987013661379</c:v>
                </c:pt>
                <c:pt idx="6">
                  <c:v>0.79558918721904326</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15"/>
                <c:pt idx="0">
                  <c:v>0</c:v>
                </c:pt>
                <c:pt idx="1">
                  <c:v>0.2401452869493001</c:v>
                </c:pt>
                <c:pt idx="2">
                  <c:v>0.43113227918227703</c:v>
                </c:pt>
                <c:pt idx="3">
                  <c:v>0.58754202218926876</c:v>
                </c:pt>
                <c:pt idx="4">
                  <c:v>0.47938833590230712</c:v>
                </c:pt>
                <c:pt idx="5">
                  <c:v>7.5490129863386324E-2</c:v>
                </c:pt>
                <c:pt idx="6">
                  <c:v>0.20441081278095674</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15"/>
                <c:pt idx="0">
                  <c:v>2.8738418355018784</c:v>
                </c:pt>
                <c:pt idx="1">
                  <c:v>3.2038704469551074</c:v>
                </c:pt>
                <c:pt idx="2">
                  <c:v>-1.3085270795446515</c:v>
                </c:pt>
                <c:pt idx="3">
                  <c:v>-0.94278025005111488</c:v>
                </c:pt>
                <c:pt idx="4">
                  <c:v>-0.16788370862244986</c:v>
                </c:pt>
                <c:pt idx="5">
                  <c:v>4.7914553258429047</c:v>
                </c:pt>
                <c:pt idx="6">
                  <c:v>-221.67278913462309</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15"/>
                <c:pt idx="0">
                  <c:v>359724222.34000003</c:v>
                </c:pt>
                <c:pt idx="1">
                  <c:v>442073371.21000004</c:v>
                </c:pt>
                <c:pt idx="2">
                  <c:v>203669416.86000001</c:v>
                </c:pt>
                <c:pt idx="3">
                  <c:v>121360190</c:v>
                </c:pt>
                <c:pt idx="4">
                  <c:v>121048251.62</c:v>
                </c:pt>
                <c:pt idx="5">
                  <c:v>131378573.28</c:v>
                </c:pt>
                <c:pt idx="6">
                  <c:v>106634430.42</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15"/>
                <c:pt idx="0">
                  <c:v>33000000</c:v>
                </c:pt>
                <c:pt idx="1">
                  <c:v>0</c:v>
                </c:pt>
                <c:pt idx="2">
                  <c:v>0</c:v>
                </c:pt>
                <c:pt idx="3">
                  <c:v>0</c:v>
                </c:pt>
                <c:pt idx="4">
                  <c:v>0</c:v>
                </c:pt>
                <c:pt idx="5">
                  <c:v>1000000</c:v>
                </c:pt>
                <c:pt idx="6">
                  <c:v>1000000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15"/>
                <c:pt idx="0">
                  <c:v>510192738.41999996</c:v>
                </c:pt>
                <c:pt idx="1">
                  <c:v>445835844.24999994</c:v>
                </c:pt>
                <c:pt idx="2">
                  <c:v>430710674</c:v>
                </c:pt>
                <c:pt idx="3">
                  <c:v>409619889.18999994</c:v>
                </c:pt>
                <c:pt idx="4">
                  <c:v>399236290.46000004</c:v>
                </c:pt>
                <c:pt idx="5">
                  <c:v>180021943.97000003</c:v>
                </c:pt>
                <c:pt idx="6">
                  <c:v>130281770.53</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15"/>
                <c:pt idx="0">
                  <c:v>1094888457.78</c:v>
                </c:pt>
                <c:pt idx="1">
                  <c:v>1062069435.15</c:v>
                </c:pt>
                <c:pt idx="2">
                  <c:v>568436012.11000001</c:v>
                </c:pt>
                <c:pt idx="3">
                  <c:v>490388669.01999992</c:v>
                </c:pt>
                <c:pt idx="4">
                  <c:v>496178942.00000006</c:v>
                </c:pt>
                <c:pt idx="5">
                  <c:v>329687136.41000009</c:v>
                </c:pt>
                <c:pt idx="6">
                  <c:v>237522643.97</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15"/>
                <c:pt idx="0">
                  <c:v>0</c:v>
                </c:pt>
                <c:pt idx="1">
                  <c:v>58246810</c:v>
                </c:pt>
                <c:pt idx="2">
                  <c:v>51435725.329999998</c:v>
                </c:pt>
                <c:pt idx="3">
                  <c:v>42500000</c:v>
                </c:pt>
                <c:pt idx="4">
                  <c:v>92895714</c:v>
                </c:pt>
                <c:pt idx="5">
                  <c:v>65837129</c:v>
                </c:pt>
                <c:pt idx="6">
                  <c:v>19000000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15"/>
                <c:pt idx="0">
                  <c:v>0</c:v>
                </c:pt>
                <c:pt idx="1">
                  <c:v>18408383.420000002</c:v>
                </c:pt>
                <c:pt idx="2">
                  <c:v>38982000</c:v>
                </c:pt>
                <c:pt idx="3">
                  <c:v>60540800</c:v>
                </c:pt>
                <c:pt idx="4">
                  <c:v>85540000</c:v>
                </c:pt>
                <c:pt idx="5">
                  <c:v>5375879.2400000002</c:v>
                </c:pt>
                <c:pt idx="6">
                  <c:v>4881671.9800000004</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15"/>
                <c:pt idx="0">
                  <c:v>359724222.34000003</c:v>
                </c:pt>
                <c:pt idx="1">
                  <c:v>383826561.20999998</c:v>
                </c:pt>
                <c:pt idx="2">
                  <c:v>152233691.53000009</c:v>
                </c:pt>
                <c:pt idx="3">
                  <c:v>78860190</c:v>
                </c:pt>
                <c:pt idx="4">
                  <c:v>28152537.620000005</c:v>
                </c:pt>
                <c:pt idx="5">
                  <c:v>65541444.280000031</c:v>
                </c:pt>
                <c:pt idx="6">
                  <c:v>87634430.419999987</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15"/>
                <c:pt idx="0">
                  <c:v>-359724222.34000003</c:v>
                </c:pt>
                <c:pt idx="1">
                  <c:v>-383826561.21000004</c:v>
                </c:pt>
                <c:pt idx="2">
                  <c:v>-152233691.53000003</c:v>
                </c:pt>
                <c:pt idx="3">
                  <c:v>-78860190</c:v>
                </c:pt>
                <c:pt idx="4">
                  <c:v>-28152537.620000005</c:v>
                </c:pt>
                <c:pt idx="5">
                  <c:v>-65541444.280000001</c:v>
                </c:pt>
                <c:pt idx="6">
                  <c:v>-87634430.420000002</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13"/>
                <c:pt idx="0">
                  <c:v>0.53972119803552332</c:v>
                </c:pt>
                <c:pt idx="1">
                  <c:v>0.52396048723888333</c:v>
                </c:pt>
                <c:pt idx="2">
                  <c:v>0.53288621817362725</c:v>
                </c:pt>
                <c:pt idx="3">
                  <c:v>0.5440935884104291</c:v>
                </c:pt>
                <c:pt idx="4">
                  <c:v>0.52617285153527549</c:v>
                </c:pt>
                <c:pt idx="5">
                  <c:v>0.52534043290839894</c:v>
                </c:pt>
                <c:pt idx="6">
                  <c:v>0.49682784323324036</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13"/>
                <c:pt idx="0">
                  <c:v>0.46027880196447662</c:v>
                </c:pt>
                <c:pt idx="1">
                  <c:v>0.47603951276111672</c:v>
                </c:pt>
                <c:pt idx="2">
                  <c:v>0.4671137818263727</c:v>
                </c:pt>
                <c:pt idx="3">
                  <c:v>0.4559064115895709</c:v>
                </c:pt>
                <c:pt idx="4">
                  <c:v>0.47382714846472457</c:v>
                </c:pt>
                <c:pt idx="5">
                  <c:v>0.47465956709160112</c:v>
                </c:pt>
                <c:pt idx="6">
                  <c:v>0.50317215676675964</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13"/>
                <c:pt idx="0">
                  <c:v>6.2650970349010324E-3</c:v>
                </c:pt>
                <c:pt idx="1">
                  <c:v>6.1307419960337567E-3</c:v>
                </c:pt>
                <c:pt idx="2">
                  <c:v>5.7384015197086873E-3</c:v>
                </c:pt>
                <c:pt idx="3">
                  <c:v>6.0232114615277532E-3</c:v>
                </c:pt>
                <c:pt idx="4">
                  <c:v>9.1600679907708846E-3</c:v>
                </c:pt>
                <c:pt idx="5">
                  <c:v>3.4052362607657684E-2</c:v>
                </c:pt>
                <c:pt idx="6">
                  <c:v>5.0201860212045125E-2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13"/>
                <c:pt idx="0">
                  <c:v>2.8798878199443059E-2</c:v>
                </c:pt>
                <c:pt idx="1">
                  <c:v>2.9381160077168889E-2</c:v>
                </c:pt>
                <c:pt idx="2">
                  <c:v>2.8580287432759546E-2</c:v>
                </c:pt>
                <c:pt idx="3">
                  <c:v>3.1912318485518044E-2</c:v>
                </c:pt>
                <c:pt idx="4">
                  <c:v>3.3734342698347561E-2</c:v>
                </c:pt>
                <c:pt idx="5">
                  <c:v>2.4317433649054195E-2</c:v>
                </c:pt>
                <c:pt idx="6">
                  <c:v>2.2292435600285015E-2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13"/>
                <c:pt idx="0">
                  <c:v>0.22065105448567834</c:v>
                </c:pt>
                <c:pt idx="1">
                  <c:v>0.23303967035101161</c:v>
                </c:pt>
                <c:pt idx="2">
                  <c:v>0.20508156546521147</c:v>
                </c:pt>
                <c:pt idx="3">
                  <c:v>0.20360990415177094</c:v>
                </c:pt>
                <c:pt idx="4">
                  <c:v>0.21166981594504927</c:v>
                </c:pt>
                <c:pt idx="5">
                  <c:v>0.18079652234569915</c:v>
                </c:pt>
                <c:pt idx="6">
                  <c:v>0.16573293178498275</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13"/>
                <c:pt idx="0">
                  <c:v>4.8858100615170276E-3</c:v>
                </c:pt>
                <c:pt idx="1">
                  <c:v>4.3023346024469149E-3</c:v>
                </c:pt>
                <c:pt idx="2">
                  <c:v>3.8267102950871918E-3</c:v>
                </c:pt>
                <c:pt idx="3">
                  <c:v>3.1403343215580934E-3</c:v>
                </c:pt>
                <c:pt idx="4">
                  <c:v>3.0359117098810052E-3</c:v>
                </c:pt>
                <c:pt idx="5">
                  <c:v>2.1748492519014823E-3</c:v>
                </c:pt>
                <c:pt idx="6">
                  <c:v>2.4648843593685354E-3</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13"/>
                <c:pt idx="0">
                  <c:v>4.7634695404986845E-4</c:v>
                </c:pt>
                <c:pt idx="1">
                  <c:v>6.9148286043160996E-4</c:v>
                </c:pt>
                <c:pt idx="2">
                  <c:v>8.6144277511009393E-3</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13"/>
                <c:pt idx="0">
                  <c:v>7.9349724004554745E-3</c:v>
                </c:pt>
                <c:pt idx="1">
                  <c:v>2.724895334502923E-2</c:v>
                </c:pt>
                <c:pt idx="2">
                  <c:v>1.7297370988308223E-2</c:v>
                </c:pt>
                <c:pt idx="3">
                  <c:v>1.8883839221751689E-2</c:v>
                </c:pt>
                <c:pt idx="4">
                  <c:v>1.4193164992289408E-2</c:v>
                </c:pt>
                <c:pt idx="5">
                  <c:v>1.089940037019157E-2</c:v>
                </c:pt>
                <c:pt idx="6">
                  <c:v>1.3331579087144134E-3</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13"/>
                <c:pt idx="0">
                  <c:v>0.26901215913604476</c:v>
                </c:pt>
                <c:pt idx="1">
                  <c:v>0.30079434323212201</c:v>
                </c:pt>
                <c:pt idx="2">
                  <c:v>0.26913876345217608</c:v>
                </c:pt>
                <c:pt idx="3">
                  <c:v>0.2635696076421265</c:v>
                </c:pt>
                <c:pt idx="4">
                  <c:v>0.27179330333633811</c:v>
                </c:pt>
                <c:pt idx="5">
                  <c:v>0.25224056822450408</c:v>
                </c:pt>
                <c:pt idx="6">
                  <c:v>0.24202526986539583</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13"/>
                <c:pt idx="0">
                  <c:v>0.17525343041100466</c:v>
                </c:pt>
                <c:pt idx="1">
                  <c:v>0.19586382616854753</c:v>
                </c:pt>
                <c:pt idx="2">
                  <c:v>0.19676808984178054</c:v>
                </c:pt>
                <c:pt idx="3">
                  <c:v>0.19478875442815524</c:v>
                </c:pt>
                <c:pt idx="4">
                  <c:v>0.19214313898353419</c:v>
                </c:pt>
                <c:pt idx="5">
                  <c:v>0.1986145470454749</c:v>
                </c:pt>
                <c:pt idx="6">
                  <c:v>0.21804035417062992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13"/>
                <c:pt idx="0">
                  <c:v>0.9374290843527584</c:v>
                </c:pt>
                <c:pt idx="1">
                  <c:v>0.98910536861229748</c:v>
                </c:pt>
                <c:pt idx="2">
                  <c:v>0.99530077666609307</c:v>
                </c:pt>
                <c:pt idx="3">
                  <c:v>1</c:v>
                </c:pt>
                <c:pt idx="4">
                  <c:v>1</c:v>
                </c:pt>
                <c:pt idx="5">
                  <c:v>1</c:v>
                </c:pt>
                <c:pt idx="6">
                  <c:v>1</c:v>
                </c:pt>
                <c:pt idx="7">
                  <c:v>0</c:v>
                </c:pt>
                <c:pt idx="8">
                  <c:v>7.0645929211098782E-3</c:v>
                </c:pt>
                <c:pt idx="9">
                  <c:v>0</c:v>
                </c:pt>
                <c:pt idx="10">
                  <c:v>0</c:v>
                </c:pt>
                <c:pt idx="11">
                  <c:v>0</c:v>
                </c:pt>
                <c:pt idx="12">
                  <c:v>1.518950113071451E-2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13"/>
                <c:pt idx="0">
                  <c:v>6.2570915647241654E-2</c:v>
                </c:pt>
                <c:pt idx="1">
                  <c:v>1.0894631387702497E-2</c:v>
                </c:pt>
                <c:pt idx="2">
                  <c:v>4.6992233339068828E-3</c:v>
                </c:pt>
                <c:pt idx="3">
                  <c:v>0</c:v>
                </c:pt>
                <c:pt idx="4">
                  <c:v>0</c:v>
                </c:pt>
                <c:pt idx="5">
                  <c:v>0</c:v>
                </c:pt>
                <c:pt idx="6">
                  <c:v>0</c:v>
                </c:pt>
                <c:pt idx="7">
                  <c:v>0</c:v>
                </c:pt>
                <c:pt idx="8">
                  <c:v>0.99293540707889016</c:v>
                </c:pt>
                <c:pt idx="9">
                  <c:v>1</c:v>
                </c:pt>
                <c:pt idx="10">
                  <c:v>1</c:v>
                </c:pt>
                <c:pt idx="11">
                  <c:v>0</c:v>
                </c:pt>
                <c:pt idx="12">
                  <c:v>0.98481049886928551</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17"/>
                <c:pt idx="0">
                  <c:v>0.18612233705622691</c:v>
                </c:pt>
                <c:pt idx="1">
                  <c:v>0.19144666449689415</c:v>
                </c:pt>
                <c:pt idx="2">
                  <c:v>0.18884063831396986</c:v>
                </c:pt>
                <c:pt idx="3">
                  <c:v>0.17948605420229893</c:v>
                </c:pt>
                <c:pt idx="4">
                  <c:v>0.17326670117084073</c:v>
                </c:pt>
                <c:pt idx="5">
                  <c:v>0.19862317004297572</c:v>
                </c:pt>
                <c:pt idx="6">
                  <c:v>0.21958352105318776</c:v>
                </c:pt>
                <c:pt idx="7">
                  <c:v>0</c:v>
                </c:pt>
                <c:pt idx="8">
                  <c:v>0</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13"/>
                <c:pt idx="0">
                  <c:v>0.9374290843527584</c:v>
                </c:pt>
                <c:pt idx="1">
                  <c:v>0.98910536861229748</c:v>
                </c:pt>
                <c:pt idx="2">
                  <c:v>0.99530077666609307</c:v>
                </c:pt>
                <c:pt idx="3">
                  <c:v>1</c:v>
                </c:pt>
                <c:pt idx="4">
                  <c:v>1</c:v>
                </c:pt>
                <c:pt idx="5">
                  <c:v>1</c:v>
                </c:pt>
                <c:pt idx="6">
                  <c:v>1</c:v>
                </c:pt>
                <c:pt idx="7">
                  <c:v>0</c:v>
                </c:pt>
                <c:pt idx="8">
                  <c:v>7.0645929211098782E-3</c:v>
                </c:pt>
                <c:pt idx="9">
                  <c:v>0</c:v>
                </c:pt>
                <c:pt idx="10">
                  <c:v>0</c:v>
                </c:pt>
                <c:pt idx="11">
                  <c:v>0</c:v>
                </c:pt>
                <c:pt idx="12">
                  <c:v>1.518950113071451E-2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13"/>
                <c:pt idx="0">
                  <c:v>6.2570915647241654E-2</c:v>
                </c:pt>
                <c:pt idx="1">
                  <c:v>1.0894631387702497E-2</c:v>
                </c:pt>
                <c:pt idx="2">
                  <c:v>4.6992233339068828E-3</c:v>
                </c:pt>
                <c:pt idx="3">
                  <c:v>0</c:v>
                </c:pt>
                <c:pt idx="4">
                  <c:v>0</c:v>
                </c:pt>
                <c:pt idx="5">
                  <c:v>0</c:v>
                </c:pt>
                <c:pt idx="6">
                  <c:v>0</c:v>
                </c:pt>
                <c:pt idx="7">
                  <c:v>0</c:v>
                </c:pt>
                <c:pt idx="8">
                  <c:v>0.99293540707889016</c:v>
                </c:pt>
                <c:pt idx="9">
                  <c:v>1</c:v>
                </c:pt>
                <c:pt idx="10">
                  <c:v>1</c:v>
                </c:pt>
                <c:pt idx="11">
                  <c:v>0</c:v>
                </c:pt>
                <c:pt idx="12">
                  <c:v>0.98481049886928551</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13"/>
                <c:pt idx="0">
                  <c:v>4.4332279543305431E-3</c:v>
                </c:pt>
                <c:pt idx="1">
                  <c:v>3.320114101189986E-2</c:v>
                </c:pt>
                <c:pt idx="2">
                  <c:v>4.4798198065822303E-2</c:v>
                </c:pt>
                <c:pt idx="3">
                  <c:v>7.8560491188419568E-2</c:v>
                </c:pt>
                <c:pt idx="4">
                  <c:v>9.8241539680014922E-2</c:v>
                </c:pt>
                <c:pt idx="5">
                  <c:v>-4.3415739829244515E-5</c:v>
                </c:pt>
                <c:pt idx="6">
                  <c:v>-7.0774370571342615E-3</c:v>
                </c:pt>
                <c:pt idx="7">
                  <c:v>0</c:v>
                </c:pt>
                <c:pt idx="8">
                  <c:v>-6.7888825451387635E-3</c:v>
                </c:pt>
                <c:pt idx="9">
                  <c:v>-176.66928344170117</c:v>
                </c:pt>
                <c:pt idx="10">
                  <c:v>-126.44470457436741</c:v>
                </c:pt>
                <c:pt idx="11">
                  <c:v>0</c:v>
                </c:pt>
                <c:pt idx="12">
                  <c:v>-1.5307164788183503E-2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13"/>
                <c:pt idx="0">
                  <c:v>752408925.78999996</c:v>
                </c:pt>
                <c:pt idx="1">
                  <c:v>665011421.55999994</c:v>
                </c:pt>
                <c:pt idx="2">
                  <c:v>597037871.64999998</c:v>
                </c:pt>
                <c:pt idx="3">
                  <c:v>528809680.74000001</c:v>
                </c:pt>
                <c:pt idx="4">
                  <c:v>484907942.22000003</c:v>
                </c:pt>
                <c:pt idx="5">
                  <c:v>395593790.81</c:v>
                </c:pt>
                <c:pt idx="6">
                  <c:v>316891515.43000001</c:v>
                </c:pt>
                <c:pt idx="7">
                  <c:v>0</c:v>
                </c:pt>
                <c:pt idx="8">
                  <c:v>0</c:v>
                </c:pt>
                <c:pt idx="9">
                  <c:v>0</c:v>
                </c:pt>
                <c:pt idx="10">
                  <c:v>0</c:v>
                </c:pt>
                <c:pt idx="11">
                  <c:v>0</c:v>
                </c:pt>
                <c:pt idx="12">
                  <c:v>0</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13"/>
                <c:pt idx="0">
                  <c:v>406091046.83999997</c:v>
                </c:pt>
                <c:pt idx="1">
                  <c:v>348439708.45999998</c:v>
                </c:pt>
                <c:pt idx="2">
                  <c:v>318153253.52999997</c:v>
                </c:pt>
                <c:pt idx="3">
                  <c:v>287721956.77999997</c:v>
                </c:pt>
                <c:pt idx="4">
                  <c:v>255145394.69</c:v>
                </c:pt>
                <c:pt idx="5">
                  <c:v>207821413.31999999</c:v>
                </c:pt>
                <c:pt idx="6">
                  <c:v>157440528.15000001</c:v>
                </c:pt>
                <c:pt idx="7">
                  <c:v>0</c:v>
                </c:pt>
                <c:pt idx="8">
                  <c:v>0</c:v>
                </c:pt>
                <c:pt idx="9">
                  <c:v>0</c:v>
                </c:pt>
                <c:pt idx="10">
                  <c:v>0</c:v>
                </c:pt>
                <c:pt idx="11">
                  <c:v>0</c:v>
                </c:pt>
                <c:pt idx="12">
                  <c:v>0</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13"/>
                <c:pt idx="0">
                  <c:v>346317878.94999999</c:v>
                </c:pt>
                <c:pt idx="1">
                  <c:v>316571713.09999996</c:v>
                </c:pt>
                <c:pt idx="2">
                  <c:v>278884618.12</c:v>
                </c:pt>
                <c:pt idx="3">
                  <c:v>241087723.96000004</c:v>
                </c:pt>
                <c:pt idx="4">
                  <c:v>229762547.53000003</c:v>
                </c:pt>
                <c:pt idx="5">
                  <c:v>187772377.49000001</c:v>
                </c:pt>
                <c:pt idx="6">
                  <c:v>159450987.28</c:v>
                </c:pt>
                <c:pt idx="7">
                  <c:v>0</c:v>
                </c:pt>
                <c:pt idx="8">
                  <c:v>0</c:v>
                </c:pt>
                <c:pt idx="9">
                  <c:v>0</c:v>
                </c:pt>
                <c:pt idx="10">
                  <c:v>0</c:v>
                </c:pt>
                <c:pt idx="11">
                  <c:v>0</c:v>
                </c:pt>
                <c:pt idx="12">
                  <c:v>0</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13"/>
                <c:pt idx="0">
                  <c:v>2.446723373759797E-2</c:v>
                </c:pt>
                <c:pt idx="1">
                  <c:v>3.2453307491898771E-3</c:v>
                </c:pt>
                <c:pt idx="2">
                  <c:v>4.5703772058822752E-3</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13"/>
                <c:pt idx="0">
                  <c:v>3.9193783320427644</c:v>
                </c:pt>
                <c:pt idx="1">
                  <c:v>3.8183887385058446</c:v>
                </c:pt>
                <c:pt idx="2">
                  <c:v>-14.708478201411541</c:v>
                </c:pt>
                <c:pt idx="3">
                  <c:v>30.590694215305408</c:v>
                </c:pt>
                <c:pt idx="4">
                  <c:v>-1232.1162293195634</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13"/>
                <c:pt idx="0">
                  <c:v>1.4747542823132131</c:v>
                </c:pt>
                <c:pt idx="1">
                  <c:v>1.4916060028298186</c:v>
                </c:pt>
                <c:pt idx="2">
                  <c:v>1.4575412166401598</c:v>
                </c:pt>
                <c:pt idx="3">
                  <c:v>2.9374734495041568</c:v>
                </c:pt>
                <c:pt idx="4">
                  <c:v>3.721993800416922</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13"/>
                <c:pt idx="0">
                  <c:v>2.0916270828124737</c:v>
                </c:pt>
                <c:pt idx="1">
                  <c:v>1.5043010162313004</c:v>
                </c:pt>
                <c:pt idx="2">
                  <c:v>4.9195528752056168</c:v>
                </c:pt>
                <c:pt idx="3">
                  <c:v>4.0250831436034602</c:v>
                </c:pt>
                <c:pt idx="4">
                  <c:v>4.5473862457941383</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13"/>
                <c:pt idx="0">
                  <c:v>22.800270478484848</c:v>
                </c:pt>
                <c:pt idx="1">
                  <c:v>0</c:v>
                </c:pt>
                <c:pt idx="2">
                  <c:v>0</c:v>
                </c:pt>
                <c:pt idx="3">
                  <c:v>528.80968073999998</c:v>
                </c:pt>
                <c:pt idx="4">
                  <c:v>484.90794222000005</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13"/>
                <c:pt idx="0">
                  <c:v>1.4639119106434102</c:v>
                </c:pt>
                <c:pt idx="1">
                  <c:v>1.5972090257418095</c:v>
                </c:pt>
                <c:pt idx="2">
                  <c:v>1.5600182148223498</c:v>
                </c:pt>
                <c:pt idx="3">
                  <c:v>4.3407153720234453</c:v>
                </c:pt>
                <c:pt idx="4">
                  <c:v>5.0554385635246453</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13"/>
                <c:pt idx="0">
                  <c:v>2.3557604114777506</c:v>
                </c:pt>
                <c:pt idx="1">
                  <c:v>2.5508578070937977</c:v>
                </c:pt>
                <c:pt idx="2">
                  <c:v>2.7161157127329396</c:v>
                </c:pt>
                <c:pt idx="3">
                  <c:v>5.2543098589827633</c:v>
                </c:pt>
                <c:pt idx="4">
                  <c:v>5.7666579129900333</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13"/>
                <c:pt idx="0">
                  <c:v>15.581136280710211</c:v>
                </c:pt>
                <c:pt idx="1">
                  <c:v>12.462892219918631</c:v>
                </c:pt>
                <c:pt idx="2">
                  <c:v>11.843974767457324</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13"/>
                <c:pt idx="0">
                  <c:v>13.551517060523418</c:v>
                </c:pt>
                <c:pt idx="1">
                  <c:v>11.685833991991124</c:v>
                </c:pt>
                <c:pt idx="2">
                  <c:v>8.9635240386310766</c:v>
                </c:pt>
                <c:pt idx="3">
                  <c:v>45.348105519854471</c:v>
                </c:pt>
                <c:pt idx="4">
                  <c:v>111.4195798237248</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13"/>
                <c:pt idx="0">
                  <c:v>-29.030392628383336</c:v>
                </c:pt>
                <c:pt idx="1">
                  <c:v>-36.014579011171236</c:v>
                </c:pt>
                <c:pt idx="2">
                  <c:v>-82.379271871561315</c:v>
                </c:pt>
                <c:pt idx="3">
                  <c:v>-75.008337360241342</c:v>
                </c:pt>
                <c:pt idx="4">
                  <c:v>-611.66242940012341</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13"/>
                <c:pt idx="0">
                  <c:v>32.872119943275472</c:v>
                </c:pt>
                <c:pt idx="1">
                  <c:v>35.186402469377001</c:v>
                </c:pt>
                <c:pt idx="2">
                  <c:v>88.182591962322505</c:v>
                </c:pt>
                <c:pt idx="3">
                  <c:v>92.998734074170031</c:v>
                </c:pt>
                <c:pt idx="4">
                  <c:v>113.33443478565277</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13"/>
                <c:pt idx="0">
                  <c:v>-29.187802809533867</c:v>
                </c:pt>
                <c:pt idx="1">
                  <c:v>-83.0512704924367</c:v>
                </c:pt>
                <c:pt idx="2">
                  <c:v>-469.77698701470155</c:v>
                </c:pt>
                <c:pt idx="3">
                  <c:v>-8.1689187762428954</c:v>
                </c:pt>
                <c:pt idx="4">
                  <c:v>-58.801363149208498</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13"/>
                <c:pt idx="0">
                  <c:v>0.22195863805614968</c:v>
                </c:pt>
                <c:pt idx="1">
                  <c:v>0.24642377362702966</c:v>
                </c:pt>
                <c:pt idx="2">
                  <c:v>0.37626623045121321</c:v>
                </c:pt>
                <c:pt idx="3">
                  <c:v>0.6167065227160371</c:v>
                </c:pt>
                <c:pt idx="4">
                  <c:v>0.86022103088660162</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13"/>
                <c:pt idx="0">
                  <c:v>0.20713658762934281</c:v>
                </c:pt>
                <c:pt idx="1">
                  <c:v>0.22974307621905316</c:v>
                </c:pt>
                <c:pt idx="2">
                  <c:v>0.23256976035081309</c:v>
                </c:pt>
                <c:pt idx="3">
                  <c:v>0.23010448239094775</c:v>
                </c:pt>
                <c:pt idx="4">
                  <c:v>0.23042017511296525</c:v>
                </c:pt>
                <c:pt idx="5">
                  <c:v>0.24421779960748016</c:v>
                </c:pt>
                <c:pt idx="6">
                  <c:v>0.26381320271879261</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13"/>
                <c:pt idx="0">
                  <c:v>140040107.69</c:v>
                </c:pt>
                <c:pt idx="1">
                  <c:v>127314218.50999995</c:v>
                </c:pt>
                <c:pt idx="2">
                  <c:v>112745012.78</c:v>
                </c:pt>
                <c:pt idx="3">
                  <c:v>94913963.020000041</c:v>
                </c:pt>
                <c:pt idx="4">
                  <c:v>84018399.520000041</c:v>
                </c:pt>
                <c:pt idx="5">
                  <c:v>78574092.780000001</c:v>
                </c:pt>
                <c:pt idx="6">
                  <c:v>69584154.749999985</c:v>
                </c:pt>
                <c:pt idx="7">
                  <c:v>-687652134.91000009</c:v>
                </c:pt>
                <c:pt idx="8">
                  <c:v>-2088393325.8100002</c:v>
                </c:pt>
                <c:pt idx="9">
                  <c:v>-1770623990.1299999</c:v>
                </c:pt>
                <c:pt idx="10">
                  <c:v>-1503178518.1099999</c:v>
                </c:pt>
                <c:pt idx="11">
                  <c:v>-996310945.95000005</c:v>
                </c:pt>
                <c:pt idx="12">
                  <c:v>-2597690211.0299997</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13"/>
                <c:pt idx="0">
                  <c:v>1094321354.0599999</c:v>
                </c:pt>
                <c:pt idx="1">
                  <c:v>985414241.73000002</c:v>
                </c:pt>
                <c:pt idx="2">
                  <c:v>387347869.01999998</c:v>
                </c:pt>
                <c:pt idx="3">
                  <c:v>254378428.47999999</c:v>
                </c:pt>
                <c:pt idx="4">
                  <c:v>209769272.30000001</c:v>
                </c:pt>
                <c:pt idx="5">
                  <c:v>0</c:v>
                </c:pt>
                <c:pt idx="6">
                  <c:v>39038063287.049995</c:v>
                </c:pt>
                <c:pt idx="7">
                  <c:v>39754833137.689995</c:v>
                </c:pt>
                <c:pt idx="8">
                  <c:v>37019284552.089996</c:v>
                </c:pt>
                <c:pt idx="9">
                  <c:v>35936255140.220001</c:v>
                </c:pt>
                <c:pt idx="10">
                  <c:v>34492053862.870003</c:v>
                </c:pt>
                <c:pt idx="11">
                  <c:v>35275133265.93</c:v>
                </c:pt>
                <c:pt idx="12">
                  <c:v>31521070553.299999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13"/>
                <c:pt idx="0">
                  <c:v>752408925.78999996</c:v>
                </c:pt>
                <c:pt idx="1">
                  <c:v>665011421.55999994</c:v>
                </c:pt>
                <c:pt idx="2">
                  <c:v>597037871.64999998</c:v>
                </c:pt>
                <c:pt idx="3">
                  <c:v>528809680.74000001</c:v>
                </c:pt>
                <c:pt idx="4">
                  <c:v>484907942.22000003</c:v>
                </c:pt>
                <c:pt idx="5">
                  <c:v>395593790.81</c:v>
                </c:pt>
                <c:pt idx="6">
                  <c:v>316891515.43000001</c:v>
                </c:pt>
                <c:pt idx="7">
                  <c:v>0</c:v>
                </c:pt>
                <c:pt idx="8">
                  <c:v>0</c:v>
                </c:pt>
                <c:pt idx="9">
                  <c:v>0</c:v>
                </c:pt>
                <c:pt idx="10">
                  <c:v>0</c:v>
                </c:pt>
                <c:pt idx="11">
                  <c:v>0</c:v>
                </c:pt>
                <c:pt idx="12">
                  <c:v>0</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13"/>
                <c:pt idx="0">
                  <c:v>155851417.39000002</c:v>
                </c:pt>
                <c:pt idx="1">
                  <c:v>152781769.70999995</c:v>
                </c:pt>
                <c:pt idx="2">
                  <c:v>138852954.72999999</c:v>
                </c:pt>
                <c:pt idx="3">
                  <c:v>121681477.87000003</c:v>
                </c:pt>
                <c:pt idx="4">
                  <c:v>111732572.96000004</c:v>
                </c:pt>
                <c:pt idx="5">
                  <c:v>96611045.13000001</c:v>
                </c:pt>
                <c:pt idx="6">
                  <c:v>83600165.599999994</c:v>
                </c:pt>
                <c:pt idx="7">
                  <c:v>0</c:v>
                </c:pt>
                <c:pt idx="8">
                  <c:v>5869478</c:v>
                </c:pt>
                <c:pt idx="9">
                  <c:v>0</c:v>
                </c:pt>
                <c:pt idx="10">
                  <c:v>0</c:v>
                </c:pt>
                <c:pt idx="11">
                  <c:v>0</c:v>
                </c:pt>
                <c:pt idx="12">
                  <c:v>12046824.75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13"/>
                <c:pt idx="0">
                  <c:v>33000000</c:v>
                </c:pt>
                <c:pt idx="1">
                  <c:v>0</c:v>
                </c:pt>
                <c:pt idx="2">
                  <c:v>0</c:v>
                </c:pt>
                <c:pt idx="3">
                  <c:v>1000000</c:v>
                </c:pt>
                <c:pt idx="4">
                  <c:v>1000000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9"/>
                <c:pt idx="0">
                  <c:v>0.910081488524912</c:v>
                </c:pt>
                <c:pt idx="1">
                  <c:v>0.91425717439173315</c:v>
                </c:pt>
                <c:pt idx="2">
                  <c:v>0.9125544579974576</c:v>
                </c:pt>
                <c:pt idx="3">
                  <c:v>0.91333919093527371</c:v>
                </c:pt>
                <c:pt idx="4">
                  <c:v>0.90936906099469261</c:v>
                </c:pt>
                <c:pt idx="5">
                  <c:v>0.90861264850498236</c:v>
                </c:pt>
                <c:pt idx="6">
                  <c:v>0.87689618734883246</c:v>
                </c:pt>
                <c:pt idx="7">
                  <c:v>0</c:v>
                </c:pt>
                <c:pt idx="8">
                  <c:v>0</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9"/>
                <c:pt idx="0">
                  <c:v>0.81272439873856683</c:v>
                </c:pt>
                <c:pt idx="1">
                  <c:v>0.77622149581955668</c:v>
                </c:pt>
                <c:pt idx="2">
                  <c:v>0.79260201097490013</c:v>
                </c:pt>
                <c:pt idx="3">
                  <c:v>0.77440812191955832</c:v>
                </c:pt>
                <c:pt idx="4">
                  <c:v>0.77907422179111407</c:v>
                </c:pt>
                <c:pt idx="5">
                  <c:v>0.73956715847805299</c:v>
                </c:pt>
                <c:pt idx="6">
                  <c:v>0.69908482942987427</c:v>
                </c:pt>
                <c:pt idx="7">
                  <c:v>0</c:v>
                </c:pt>
                <c:pt idx="8">
                  <c:v>0</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9"/>
                <c:pt idx="0">
                  <c:v>1.1793285878507214</c:v>
                </c:pt>
                <c:pt idx="1">
                  <c:v>1.5611759010027901</c:v>
                </c:pt>
                <c:pt idx="2">
                  <c:v>1.518483893063914</c:v>
                </c:pt>
                <c:pt idx="3">
                  <c:v>1.4231903281433107</c:v>
                </c:pt>
                <c:pt idx="4">
                  <c:v>1.2100888906413343</c:v>
                </c:pt>
                <c:pt idx="5">
                  <c:v>1.3997928076262516</c:v>
                </c:pt>
                <c:pt idx="6">
                  <c:v>1.3552435800955127</c:v>
                </c:pt>
                <c:pt idx="7">
                  <c:v>0</c:v>
                </c:pt>
                <c:pt idx="8">
                  <c:v>0</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9"/>
                <c:pt idx="0">
                  <c:v>1.1104598398641805</c:v>
                </c:pt>
                <c:pt idx="1">
                  <c:v>1.597196201334167</c:v>
                </c:pt>
                <c:pt idx="2">
                  <c:v>1.5822292159218645</c:v>
                </c:pt>
                <c:pt idx="3">
                  <c:v>1.5445293093399688</c:v>
                </c:pt>
                <c:pt idx="4">
                  <c:v>1.3419213058582664</c:v>
                </c:pt>
                <c:pt idx="5">
                  <c:v>1.3997320372242927</c:v>
                </c:pt>
                <c:pt idx="6">
                  <c:v>1.3457193361970101</c:v>
                </c:pt>
                <c:pt idx="7">
                  <c:v>0</c:v>
                </c:pt>
                <c:pt idx="8">
                  <c:v>0</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9"/>
                <c:pt idx="0">
                  <c:v>-0.30938466657583774</c:v>
                </c:pt>
                <c:pt idx="1">
                  <c:v>0.16117963373298377</c:v>
                </c:pt>
                <c:pt idx="2">
                  <c:v>0.31926468739527003</c:v>
                </c:pt>
                <c:pt idx="3">
                  <c:v>0.37909762869686159</c:v>
                </c:pt>
                <c:pt idx="4">
                  <c:v>-0.22169309719796962</c:v>
                </c:pt>
                <c:pt idx="5">
                  <c:v>0.1745173305628081</c:v>
                </c:pt>
                <c:pt idx="6">
                  <c:v>0</c:v>
                </c:pt>
                <c:pt idx="7">
                  <c:v>0</c:v>
                </c:pt>
                <c:pt idx="8">
                  <c:v>0</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9"/>
                <c:pt idx="0">
                  <c:v>155508915.56</c:v>
                </c:pt>
                <c:pt idx="1">
                  <c:v>203345786.18000001</c:v>
                </c:pt>
                <c:pt idx="2">
                  <c:v>178388453.16999999</c:v>
                </c:pt>
                <c:pt idx="3">
                  <c:v>146597397.75</c:v>
                </c:pt>
                <c:pt idx="4">
                  <c:v>112746080.40000001</c:v>
                </c:pt>
                <c:pt idx="5">
                  <c:v>109982674.95999999</c:v>
                </c:pt>
                <c:pt idx="6">
                  <c:v>93640742.540000007</c:v>
                </c:pt>
                <c:pt idx="7">
                  <c:v>0</c:v>
                </c:pt>
                <c:pt idx="8">
                  <c:v>0</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9"/>
                <c:pt idx="0">
                  <c:v>131862245.31655653</c:v>
                </c:pt>
                <c:pt idx="1">
                  <c:v>130251681.47252651</c:v>
                </c:pt>
                <c:pt idx="2">
                  <c:v>117478001.56777264</c:v>
                </c:pt>
                <c:pt idx="3">
                  <c:v>103006179.04089503</c:v>
                </c:pt>
                <c:pt idx="4">
                  <c:v>93171734.136197031</c:v>
                </c:pt>
                <c:pt idx="5">
                  <c:v>78570681.575730503</c:v>
                </c:pt>
                <c:pt idx="6">
                  <c:v>69095138.258024842</c:v>
                </c:pt>
                <c:pt idx="7">
                  <c:v>-14654163.3124847</c:v>
                </c:pt>
                <c:pt idx="8">
                  <c:v>-38862740.031897604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9"/>
                <c:pt idx="0">
                  <c:v>140040107.69</c:v>
                </c:pt>
                <c:pt idx="1">
                  <c:v>127314218.50999995</c:v>
                </c:pt>
                <c:pt idx="2">
                  <c:v>112745012.78</c:v>
                </c:pt>
                <c:pt idx="3">
                  <c:v>94913963.020000041</c:v>
                </c:pt>
                <c:pt idx="4">
                  <c:v>84018399.520000041</c:v>
                </c:pt>
                <c:pt idx="5">
                  <c:v>78574092.780000001</c:v>
                </c:pt>
                <c:pt idx="6">
                  <c:v>69584154.749999985</c:v>
                </c:pt>
                <c:pt idx="7">
                  <c:v>-2088393325.8100002</c:v>
                </c:pt>
                <c:pt idx="8">
                  <c:v>-2597690211.0299997</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34</xdr:row>
      <xdr:rowOff>9525</xdr:rowOff>
    </xdr:from>
    <xdr:to>
      <xdr:col>4</xdr:col>
      <xdr:colOff>77468</xdr:colOff>
      <xdr:row>38</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29</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33</xdr:row>
      <xdr:rowOff>67627</xdr:rowOff>
    </xdr:from>
    <xdr:to>
      <xdr:col>28</xdr:col>
      <xdr:colOff>312420</xdr:colOff>
      <xdr:row>47</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Q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1" width="12.77734375" style="188" hidden="1" customWidth="1"/>
    <col min="12" max="16" width="12.77734375" style="188" bestFit="1" customWidth="1"/>
    <col min="17" max="17" width="9.5546875" style="188" hidden="1" customWidth="1"/>
    <col min="18" max="16384" width="8.88671875" style="188"/>
  </cols>
  <sheetData>
    <row r="1" spans="1:17" x14ac:dyDescent="0.25">
      <c r="A1" s="188">
        <v>603060</v>
      </c>
      <c r="B1" s="188">
        <v>20180930</v>
      </c>
      <c r="C1" s="188">
        <v>20180630</v>
      </c>
      <c r="D1" s="188">
        <v>20180331</v>
      </c>
      <c r="E1" s="188">
        <v>20171231</v>
      </c>
      <c r="F1" s="188">
        <v>20170930</v>
      </c>
      <c r="G1" s="188">
        <v>20170630</v>
      </c>
      <c r="H1" s="188">
        <v>20170331</v>
      </c>
      <c r="I1" s="188">
        <v>20161231</v>
      </c>
      <c r="J1" s="188">
        <v>20160930</v>
      </c>
      <c r="K1" s="188">
        <v>20160630</v>
      </c>
      <c r="L1" s="188">
        <v>20151231</v>
      </c>
      <c r="M1" s="188">
        <v>20141231</v>
      </c>
      <c r="N1" s="188">
        <v>20131231</v>
      </c>
      <c r="O1" s="188">
        <v>20121231</v>
      </c>
      <c r="P1" s="188">
        <v>20111231</v>
      </c>
      <c r="Q1" s="188">
        <v>19700101</v>
      </c>
    </row>
    <row r="2" spans="1:17"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row>
    <row r="3" spans="1:17" x14ac:dyDescent="0.25">
      <c r="A3" s="188" t="s">
        <v>107</v>
      </c>
    </row>
    <row r="4" spans="1:17" x14ac:dyDescent="0.25">
      <c r="A4" s="188" t="s">
        <v>108</v>
      </c>
      <c r="B4" s="188">
        <v>187902000.50999999</v>
      </c>
      <c r="C4" s="188">
        <v>199548286.19999999</v>
      </c>
      <c r="D4" s="188">
        <v>168531632.84999999</v>
      </c>
      <c r="E4" s="188">
        <v>326019035.54000002</v>
      </c>
      <c r="F4" s="188">
        <v>239821834.81</v>
      </c>
      <c r="G4" s="188">
        <v>327855534.62</v>
      </c>
      <c r="H4" s="188">
        <v>509672126.22000003</v>
      </c>
      <c r="I4" s="188">
        <v>408833913.93000001</v>
      </c>
      <c r="J4" s="188">
        <v>139991968.87</v>
      </c>
      <c r="K4" s="188">
        <v>92104488.760000005</v>
      </c>
      <c r="L4" s="188">
        <v>169591310.78</v>
      </c>
      <c r="M4" s="188">
        <v>86443435.120000005</v>
      </c>
      <c r="N4" s="188">
        <v>85292847.939999998</v>
      </c>
      <c r="O4" s="188">
        <v>131378573.28</v>
      </c>
      <c r="P4" s="188">
        <v>106634430.42</v>
      </c>
      <c r="Q4" s="188">
        <v>0</v>
      </c>
    </row>
    <row r="5" spans="1:17"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row>
    <row r="6" spans="1:17"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row>
    <row r="7" spans="1:17" x14ac:dyDescent="0.25">
      <c r="A7" s="188" t="s">
        <v>111</v>
      </c>
      <c r="B7" s="188">
        <v>5199053.92</v>
      </c>
      <c r="C7" s="188">
        <v>3648514.72</v>
      </c>
      <c r="D7" s="188">
        <v>1245108</v>
      </c>
      <c r="E7" s="188">
        <v>720088</v>
      </c>
      <c r="F7" s="188">
        <v>2115758</v>
      </c>
      <c r="G7" s="188">
        <v>829112</v>
      </c>
      <c r="H7" s="188">
        <v>1282961.99</v>
      </c>
      <c r="I7" s="188">
        <v>1825000</v>
      </c>
      <c r="J7" s="188">
        <v>1500000</v>
      </c>
      <c r="K7" s="188">
        <v>394719.46</v>
      </c>
      <c r="L7" s="188">
        <v>1252000</v>
      </c>
      <c r="M7" s="188">
        <v>702499.52</v>
      </c>
      <c r="N7" s="188">
        <v>480000</v>
      </c>
      <c r="O7" s="188">
        <v>836000</v>
      </c>
      <c r="P7" s="188">
        <v>550000</v>
      </c>
      <c r="Q7" s="188">
        <v>0</v>
      </c>
    </row>
    <row r="8" spans="1:17" x14ac:dyDescent="0.25">
      <c r="A8" s="188" t="s">
        <v>112</v>
      </c>
      <c r="B8" s="188">
        <v>125212660.15000001</v>
      </c>
      <c r="C8" s="188">
        <v>123548286.2</v>
      </c>
      <c r="D8" s="188">
        <v>88230106.799999997</v>
      </c>
      <c r="E8" s="188">
        <v>89932350.730000004</v>
      </c>
      <c r="F8" s="188">
        <v>93801644.189999998</v>
      </c>
      <c r="G8" s="188">
        <v>90911558.549999997</v>
      </c>
      <c r="H8" s="188">
        <v>67513681.430000007</v>
      </c>
      <c r="I8" s="188">
        <v>67335435.269999996</v>
      </c>
      <c r="J8" s="188">
        <v>68859063.090000004</v>
      </c>
      <c r="K8" s="188">
        <v>75380548.560000002</v>
      </c>
      <c r="L8" s="188">
        <v>58118663.490000002</v>
      </c>
      <c r="M8" s="188">
        <v>45098704.270000003</v>
      </c>
      <c r="N8" s="188">
        <v>38201523.140000001</v>
      </c>
      <c r="O8" s="188">
        <v>27982712.039999999</v>
      </c>
      <c r="P8" s="188">
        <v>22282694.469999999</v>
      </c>
      <c r="Q8" s="188">
        <v>0</v>
      </c>
    </row>
    <row r="9" spans="1:17" x14ac:dyDescent="0.25">
      <c r="A9" s="188" t="s">
        <v>113</v>
      </c>
      <c r="B9" s="188">
        <v>98753885.299999997</v>
      </c>
      <c r="C9" s="188">
        <v>79718888.640000001</v>
      </c>
      <c r="D9" s="188">
        <v>111174068.3</v>
      </c>
      <c r="E9" s="188">
        <v>47474507.119999997</v>
      </c>
      <c r="F9" s="188">
        <v>67078797.5</v>
      </c>
      <c r="G9" s="188">
        <v>41636974.009999998</v>
      </c>
      <c r="H9" s="188">
        <v>39832117.380000003</v>
      </c>
      <c r="I9" s="188">
        <v>31210016.84</v>
      </c>
      <c r="J9" s="188">
        <v>57241531.32</v>
      </c>
      <c r="K9" s="188">
        <v>38196818.43</v>
      </c>
      <c r="L9" s="188">
        <v>20179670.890000001</v>
      </c>
      <c r="M9" s="188">
        <v>14965128.539999999</v>
      </c>
      <c r="N9" s="188">
        <v>17834380.370000001</v>
      </c>
      <c r="O9" s="188">
        <v>82432352.989999995</v>
      </c>
      <c r="P9" s="188">
        <v>17928567.52</v>
      </c>
      <c r="Q9" s="188">
        <v>0</v>
      </c>
    </row>
    <row r="10" spans="1:17" x14ac:dyDescent="0.25">
      <c r="A10" s="188" t="s">
        <v>114</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row>
    <row r="11" spans="1:17"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row>
    <row r="12" spans="1:17" x14ac:dyDescent="0.25">
      <c r="A12" s="188" t="s">
        <v>116</v>
      </c>
      <c r="B12" s="188">
        <v>16139414.6</v>
      </c>
      <c r="C12" s="188">
        <v>17518667.739999998</v>
      </c>
      <c r="D12" s="188">
        <v>15609644.17</v>
      </c>
      <c r="E12" s="188">
        <v>12397053.27</v>
      </c>
      <c r="F12" s="188">
        <v>15420521.49</v>
      </c>
      <c r="G12" s="188">
        <v>9476003.0199999996</v>
      </c>
      <c r="H12" s="188">
        <v>9391762.6400000006</v>
      </c>
      <c r="I12" s="188">
        <v>7976791.7199999997</v>
      </c>
      <c r="J12" s="188">
        <v>10148269.23</v>
      </c>
      <c r="K12" s="188">
        <v>7729919.8099999996</v>
      </c>
      <c r="L12" s="188">
        <v>6237675.7400000002</v>
      </c>
      <c r="M12" s="188">
        <v>3840200</v>
      </c>
      <c r="N12" s="188">
        <v>2574462.85</v>
      </c>
      <c r="O12" s="188">
        <v>8740143.8900000006</v>
      </c>
      <c r="P12" s="188">
        <v>4771786.5599999996</v>
      </c>
      <c r="Q12" s="188">
        <v>0</v>
      </c>
    </row>
    <row r="13" spans="1:17"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row>
    <row r="14" spans="1:17" x14ac:dyDescent="0.25">
      <c r="A14" s="188" t="s">
        <v>118</v>
      </c>
      <c r="B14" s="188">
        <v>15528183.74</v>
      </c>
      <c r="C14" s="188">
        <v>12483626.75</v>
      </c>
      <c r="D14" s="188">
        <v>13958775.08</v>
      </c>
      <c r="E14" s="188">
        <v>12117745.539999999</v>
      </c>
      <c r="F14" s="188">
        <v>12503960.84</v>
      </c>
      <c r="G14" s="188">
        <v>13673254.140000001</v>
      </c>
      <c r="H14" s="188">
        <v>12157989.869999999</v>
      </c>
      <c r="I14" s="188">
        <v>12589577.720000001</v>
      </c>
      <c r="J14" s="188">
        <v>10846087.970000001</v>
      </c>
      <c r="K14" s="188">
        <v>8984778.7699999996</v>
      </c>
      <c r="L14" s="188">
        <v>5961470.6200000001</v>
      </c>
      <c r="M14" s="188">
        <v>7215783.6699999999</v>
      </c>
      <c r="N14" s="188">
        <v>8664830.7799999993</v>
      </c>
      <c r="O14" s="188">
        <v>6187653.1900000004</v>
      </c>
      <c r="P14" s="188">
        <v>4502522.03</v>
      </c>
      <c r="Q14" s="188">
        <v>0</v>
      </c>
    </row>
    <row r="15" spans="1:17"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row>
    <row r="16" spans="1:17"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row>
    <row r="17" spans="1:17"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row>
    <row r="18" spans="1:17"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row>
    <row r="19" spans="1:17" x14ac:dyDescent="0.25">
      <c r="A19" s="188" t="s">
        <v>123</v>
      </c>
      <c r="B19" s="188">
        <v>391032485.85000002</v>
      </c>
      <c r="C19" s="188">
        <v>325665211.44</v>
      </c>
      <c r="D19" s="188">
        <v>360886555.61000001</v>
      </c>
      <c r="E19" s="188">
        <v>269799622.24000001</v>
      </c>
      <c r="F19" s="188">
        <v>370327329.44999999</v>
      </c>
      <c r="G19" s="188">
        <v>266904158.88999999</v>
      </c>
      <c r="H19" s="188">
        <v>137730505.25999999</v>
      </c>
      <c r="I19" s="188">
        <v>270774049.74000001</v>
      </c>
      <c r="J19" s="188">
        <v>0</v>
      </c>
      <c r="K19" s="188">
        <v>0</v>
      </c>
      <c r="L19" s="188">
        <v>0</v>
      </c>
      <c r="M19" s="188">
        <v>0</v>
      </c>
      <c r="N19" s="188">
        <v>0</v>
      </c>
      <c r="O19" s="188">
        <v>0</v>
      </c>
      <c r="P19" s="188">
        <v>0</v>
      </c>
      <c r="Q19" s="188">
        <v>0</v>
      </c>
    </row>
    <row r="20" spans="1:17" x14ac:dyDescent="0.25">
      <c r="A20" s="188" t="s">
        <v>124</v>
      </c>
      <c r="B20" s="188">
        <v>839767684.07000005</v>
      </c>
      <c r="C20" s="188">
        <v>762131481.69000006</v>
      </c>
      <c r="D20" s="188">
        <v>759635890.80999994</v>
      </c>
      <c r="E20" s="188">
        <v>758460402.44000006</v>
      </c>
      <c r="F20" s="188">
        <v>801069846.27999997</v>
      </c>
      <c r="G20" s="188">
        <v>751286595.23000002</v>
      </c>
      <c r="H20" s="188">
        <v>777581144.78999996</v>
      </c>
      <c r="I20" s="188">
        <v>800544785.22000003</v>
      </c>
      <c r="J20" s="188">
        <v>288586920.48000002</v>
      </c>
      <c r="K20" s="188">
        <v>222791273.78999999</v>
      </c>
      <c r="L20" s="188">
        <v>261340791.52000001</v>
      </c>
      <c r="M20" s="188">
        <v>158265751.12</v>
      </c>
      <c r="N20" s="188">
        <v>153048045.08000001</v>
      </c>
      <c r="O20" s="188">
        <v>257557435.38999999</v>
      </c>
      <c r="P20" s="188">
        <v>156670001</v>
      </c>
      <c r="Q20" s="188">
        <v>0</v>
      </c>
    </row>
    <row r="21" spans="1:17" x14ac:dyDescent="0.25">
      <c r="A21" s="188" t="s">
        <v>125</v>
      </c>
    </row>
    <row r="22" spans="1:17"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row>
    <row r="23" spans="1:17" x14ac:dyDescent="0.25">
      <c r="A23" s="188" t="s">
        <v>127</v>
      </c>
      <c r="B23" s="188">
        <v>1000000</v>
      </c>
      <c r="C23" s="188">
        <v>1000000</v>
      </c>
      <c r="D23" s="188">
        <v>1000000</v>
      </c>
      <c r="E23" s="188">
        <v>1000000</v>
      </c>
      <c r="F23" s="188">
        <v>1000000</v>
      </c>
      <c r="G23" s="188">
        <v>1000000</v>
      </c>
      <c r="H23" s="188">
        <v>1000000</v>
      </c>
      <c r="I23" s="188">
        <v>1000000</v>
      </c>
      <c r="J23" s="188">
        <v>1000000</v>
      </c>
      <c r="K23" s="188">
        <v>1000000</v>
      </c>
      <c r="L23" s="188">
        <v>1000000</v>
      </c>
      <c r="M23" s="188">
        <v>1000000</v>
      </c>
      <c r="N23" s="188">
        <v>1000000</v>
      </c>
      <c r="O23" s="188">
        <v>0</v>
      </c>
      <c r="P23" s="188">
        <v>0</v>
      </c>
      <c r="Q23" s="188">
        <v>0</v>
      </c>
    </row>
    <row r="24" spans="1:17"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row>
    <row r="25" spans="1:17"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row>
    <row r="26" spans="1:17" x14ac:dyDescent="0.25">
      <c r="A26" s="188" t="s">
        <v>130</v>
      </c>
      <c r="B26" s="188">
        <v>32819170.129999999</v>
      </c>
      <c r="C26" s="188">
        <v>32819170.129999999</v>
      </c>
      <c r="D26" s="188">
        <v>33000000</v>
      </c>
      <c r="E26" s="188">
        <v>33000000</v>
      </c>
      <c r="F26" s="188">
        <v>0</v>
      </c>
      <c r="G26" s="188">
        <v>0</v>
      </c>
      <c r="H26" s="188">
        <v>0</v>
      </c>
      <c r="I26" s="188">
        <v>0</v>
      </c>
      <c r="J26" s="188">
        <v>0</v>
      </c>
      <c r="K26" s="188">
        <v>0</v>
      </c>
      <c r="L26" s="188">
        <v>0</v>
      </c>
      <c r="M26" s="188">
        <v>0</v>
      </c>
      <c r="N26" s="188">
        <v>0</v>
      </c>
      <c r="O26" s="188">
        <v>1000000</v>
      </c>
      <c r="P26" s="188">
        <v>1000000</v>
      </c>
      <c r="Q26" s="188">
        <v>0</v>
      </c>
    </row>
    <row r="27" spans="1:17" x14ac:dyDescent="0.25">
      <c r="A27" s="188" t="s">
        <v>131</v>
      </c>
      <c r="B27" s="188">
        <v>22623344.309999999</v>
      </c>
      <c r="C27" s="188">
        <v>32269266.760000002</v>
      </c>
      <c r="D27" s="188">
        <v>32487226.780000001</v>
      </c>
      <c r="E27" s="188">
        <v>32705186.800000001</v>
      </c>
      <c r="F27" s="188">
        <v>31922835.780000001</v>
      </c>
      <c r="G27" s="188">
        <v>32134569.809999999</v>
      </c>
      <c r="H27" s="188">
        <v>32346303.84</v>
      </c>
      <c r="I27" s="188">
        <v>32239457.280000001</v>
      </c>
      <c r="J27" s="188">
        <v>32449119.48</v>
      </c>
      <c r="K27" s="188">
        <v>32658781.68</v>
      </c>
      <c r="L27" s="188">
        <v>33078106.079999998</v>
      </c>
      <c r="M27" s="188">
        <v>33916754.880000003</v>
      </c>
      <c r="N27" s="188">
        <v>34755403.68</v>
      </c>
      <c r="O27" s="188">
        <v>0</v>
      </c>
      <c r="P27" s="188">
        <v>0</v>
      </c>
      <c r="Q27" s="188">
        <v>0</v>
      </c>
    </row>
    <row r="28" spans="1:17" x14ac:dyDescent="0.25">
      <c r="A28" s="188" t="s">
        <v>132</v>
      </c>
      <c r="B28" s="188">
        <v>373810305.35000002</v>
      </c>
      <c r="C28" s="188">
        <v>359489220.79000002</v>
      </c>
      <c r="D28" s="188">
        <v>329044971.12</v>
      </c>
      <c r="E28" s="188">
        <v>319391107.06</v>
      </c>
      <c r="F28" s="188">
        <v>267304832.13</v>
      </c>
      <c r="G28" s="188">
        <v>263148285.97999999</v>
      </c>
      <c r="H28" s="188">
        <v>258002324.71000001</v>
      </c>
      <c r="I28" s="188">
        <v>260701094.24000001</v>
      </c>
      <c r="J28" s="188">
        <v>228037011.72</v>
      </c>
      <c r="K28" s="188">
        <v>228140943.62</v>
      </c>
      <c r="L28" s="188">
        <v>232212647.59999999</v>
      </c>
      <c r="M28" s="188">
        <v>219813120.94</v>
      </c>
      <c r="N28" s="188">
        <v>215450318.12</v>
      </c>
      <c r="O28" s="188">
        <v>100643033.04000001</v>
      </c>
      <c r="P28" s="188">
        <v>84088210.109999999</v>
      </c>
      <c r="Q28" s="188">
        <v>0</v>
      </c>
    </row>
    <row r="29" spans="1:17" x14ac:dyDescent="0.25">
      <c r="A29" s="188" t="s">
        <v>133</v>
      </c>
      <c r="B29" s="188">
        <v>59032185.189999998</v>
      </c>
      <c r="C29" s="188">
        <v>48498833.020000003</v>
      </c>
      <c r="D29" s="188">
        <v>50085419.869999997</v>
      </c>
      <c r="E29" s="188">
        <v>48289733.960000001</v>
      </c>
      <c r="F29" s="188">
        <v>70180899.620000005</v>
      </c>
      <c r="G29" s="188">
        <v>67669223.189999998</v>
      </c>
      <c r="H29" s="188">
        <v>67064214.490000002</v>
      </c>
      <c r="I29" s="188">
        <v>53359317.390000001</v>
      </c>
      <c r="J29" s="188">
        <v>69635501.519999996</v>
      </c>
      <c r="K29" s="188">
        <v>68701890.849999994</v>
      </c>
      <c r="L29" s="188">
        <v>56098042</v>
      </c>
      <c r="M29" s="188">
        <v>50408573.420000002</v>
      </c>
      <c r="N29" s="188">
        <v>57075147.840000004</v>
      </c>
      <c r="O29" s="188">
        <v>0</v>
      </c>
      <c r="P29" s="188">
        <v>0</v>
      </c>
      <c r="Q29" s="188">
        <v>0</v>
      </c>
    </row>
    <row r="30" spans="1:17"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row>
    <row r="31" spans="1:17"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row>
    <row r="32" spans="1:17"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row>
    <row r="33" spans="1:17"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row>
    <row r="34" spans="1:17"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row>
    <row r="35" spans="1:17" x14ac:dyDescent="0.25">
      <c r="A35" s="188" t="s">
        <v>139</v>
      </c>
      <c r="B35" s="188">
        <v>55534924.060000002</v>
      </c>
      <c r="C35" s="188">
        <v>55650916.25</v>
      </c>
      <c r="D35" s="188">
        <v>54909373.960000001</v>
      </c>
      <c r="E35" s="188">
        <v>55522117.740000002</v>
      </c>
      <c r="F35" s="188">
        <v>55376172.719999999</v>
      </c>
      <c r="G35" s="188">
        <v>55591959.420000002</v>
      </c>
      <c r="H35" s="188">
        <v>56545406.509999998</v>
      </c>
      <c r="I35" s="188">
        <v>56907484.909999996</v>
      </c>
      <c r="J35" s="188">
        <v>65440239.509999998</v>
      </c>
      <c r="K35" s="188">
        <v>66009379.030000001</v>
      </c>
      <c r="L35" s="188">
        <v>67270884.709999993</v>
      </c>
      <c r="M35" s="188">
        <v>66607493.780000001</v>
      </c>
      <c r="N35" s="188">
        <v>57043974.93</v>
      </c>
      <c r="O35" s="188">
        <v>11661119.57</v>
      </c>
      <c r="P35" s="188">
        <v>4352089.13</v>
      </c>
      <c r="Q35" s="188">
        <v>0</v>
      </c>
    </row>
    <row r="36" spans="1:17"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row>
    <row r="37" spans="1:17" x14ac:dyDescent="0.25">
      <c r="A37" s="188" t="s">
        <v>141</v>
      </c>
      <c r="B37" s="188">
        <v>80234108.319999993</v>
      </c>
      <c r="C37" s="188">
        <v>80234108.319999993</v>
      </c>
      <c r="D37" s="188">
        <v>62947457.899999999</v>
      </c>
      <c r="E37" s="188">
        <v>62947457.899999999</v>
      </c>
      <c r="F37" s="188">
        <v>62947457.899999999</v>
      </c>
      <c r="G37" s="188">
        <v>62947457.899999999</v>
      </c>
      <c r="H37" s="188">
        <v>62947457.899999999</v>
      </c>
      <c r="I37" s="188">
        <v>62947457.899999999</v>
      </c>
      <c r="J37" s="188">
        <v>62947457.899999999</v>
      </c>
      <c r="K37" s="188">
        <v>62947457.899999999</v>
      </c>
      <c r="L37" s="188">
        <v>62947457.899999999</v>
      </c>
      <c r="M37" s="188">
        <v>62082734.619999997</v>
      </c>
      <c r="N37" s="188">
        <v>62082734.619999997</v>
      </c>
      <c r="O37" s="188">
        <v>62082734.619999997</v>
      </c>
      <c r="P37" s="188">
        <v>36083966.270000003</v>
      </c>
      <c r="Q37" s="188">
        <v>0</v>
      </c>
    </row>
    <row r="38" spans="1:17" x14ac:dyDescent="0.25">
      <c r="A38" s="188" t="s">
        <v>142</v>
      </c>
      <c r="B38" s="188">
        <v>13467738.970000001</v>
      </c>
      <c r="C38" s="188">
        <v>14511415.01</v>
      </c>
      <c r="D38" s="188">
        <v>10827544.130000001</v>
      </c>
      <c r="E38" s="188">
        <v>10456250.720000001</v>
      </c>
      <c r="F38" s="188">
        <v>9860098.1400000006</v>
      </c>
      <c r="G38" s="188">
        <v>10678917.27</v>
      </c>
      <c r="H38" s="188">
        <v>11193269.960000001</v>
      </c>
      <c r="I38" s="188">
        <v>11742230.220000001</v>
      </c>
      <c r="J38" s="188">
        <v>12237893.699999999</v>
      </c>
      <c r="K38" s="188">
        <v>12478785.4</v>
      </c>
      <c r="L38" s="188">
        <v>12476028.9</v>
      </c>
      <c r="M38" s="188">
        <v>11175137.050000001</v>
      </c>
      <c r="N38" s="188">
        <v>9058705.0399999991</v>
      </c>
      <c r="O38" s="188">
        <v>7781969.0499999998</v>
      </c>
      <c r="P38" s="188">
        <v>5988595.79</v>
      </c>
      <c r="Q38" s="188">
        <v>0</v>
      </c>
    </row>
    <row r="39" spans="1:17" x14ac:dyDescent="0.25">
      <c r="A39" s="188" t="s">
        <v>143</v>
      </c>
      <c r="B39" s="188">
        <v>2718847.41</v>
      </c>
      <c r="C39" s="188">
        <v>2565909.73</v>
      </c>
      <c r="D39" s="188">
        <v>2013329.79</v>
      </c>
      <c r="E39" s="188">
        <v>1877052.63</v>
      </c>
      <c r="F39" s="188">
        <v>2031495.54</v>
      </c>
      <c r="G39" s="188">
        <v>1778307.05</v>
      </c>
      <c r="H39" s="188">
        <v>1450899.23</v>
      </c>
      <c r="I39" s="188">
        <v>1408832.95</v>
      </c>
      <c r="J39" s="188">
        <v>1482090.76</v>
      </c>
      <c r="K39" s="188">
        <v>1450020.73</v>
      </c>
      <c r="L39" s="188">
        <v>1073849.6200000001</v>
      </c>
      <c r="M39" s="188">
        <v>791035.71</v>
      </c>
      <c r="N39" s="188">
        <v>1005507.12</v>
      </c>
      <c r="O39" s="188">
        <v>739346.13</v>
      </c>
      <c r="P39" s="188">
        <v>489181.34</v>
      </c>
      <c r="Q39" s="188">
        <v>0</v>
      </c>
    </row>
    <row r="40" spans="1:17" x14ac:dyDescent="0.25">
      <c r="A40" s="188" t="s">
        <v>144</v>
      </c>
      <c r="B40" s="188">
        <v>12730000</v>
      </c>
      <c r="C40" s="188">
        <v>12730000</v>
      </c>
      <c r="D40" s="188">
        <v>12730000</v>
      </c>
      <c r="E40" s="188">
        <v>12730000</v>
      </c>
      <c r="F40" s="188">
        <v>0</v>
      </c>
      <c r="G40" s="188">
        <v>0</v>
      </c>
      <c r="H40" s="188">
        <v>0</v>
      </c>
      <c r="I40" s="188">
        <v>0</v>
      </c>
      <c r="J40" s="188">
        <v>0</v>
      </c>
      <c r="K40" s="188">
        <v>0</v>
      </c>
      <c r="L40" s="188">
        <v>0</v>
      </c>
      <c r="M40" s="188">
        <v>0</v>
      </c>
      <c r="N40" s="188">
        <v>0</v>
      </c>
      <c r="O40" s="188">
        <v>0</v>
      </c>
      <c r="P40" s="188">
        <v>0</v>
      </c>
      <c r="Q40" s="188">
        <v>0</v>
      </c>
    </row>
    <row r="41" spans="1:17" x14ac:dyDescent="0.25">
      <c r="A41" s="188" t="s">
        <v>145</v>
      </c>
      <c r="B41" s="188">
        <v>653970623.74000001</v>
      </c>
      <c r="C41" s="188">
        <v>639768840.00999999</v>
      </c>
      <c r="D41" s="188">
        <v>589045323.54999995</v>
      </c>
      <c r="E41" s="188">
        <v>577918906.80999994</v>
      </c>
      <c r="F41" s="188">
        <v>500623791.82999998</v>
      </c>
      <c r="G41" s="188">
        <v>494948720.62</v>
      </c>
      <c r="H41" s="188">
        <v>490549876.63999999</v>
      </c>
      <c r="I41" s="188">
        <v>480305874.88999999</v>
      </c>
      <c r="J41" s="188">
        <v>473229314.58999997</v>
      </c>
      <c r="K41" s="188">
        <v>473387259.20999998</v>
      </c>
      <c r="L41" s="188">
        <v>466157016.81</v>
      </c>
      <c r="M41" s="188">
        <v>445794850.39999998</v>
      </c>
      <c r="N41" s="188">
        <v>437471791.35000002</v>
      </c>
      <c r="O41" s="188">
        <v>183908202.41</v>
      </c>
      <c r="P41" s="188">
        <v>132002042.64</v>
      </c>
      <c r="Q41" s="188">
        <v>0</v>
      </c>
    </row>
    <row r="42" spans="1:17" x14ac:dyDescent="0.25">
      <c r="A42" s="188" t="s">
        <v>146</v>
      </c>
      <c r="B42" s="188">
        <v>1493738307.8099999</v>
      </c>
      <c r="C42" s="188">
        <v>1401900321.7</v>
      </c>
      <c r="D42" s="188">
        <v>1348681214.3599999</v>
      </c>
      <c r="E42" s="188">
        <v>1336379309.25</v>
      </c>
      <c r="F42" s="188">
        <v>1301693638.1099999</v>
      </c>
      <c r="G42" s="188">
        <v>1246235315.8499999</v>
      </c>
      <c r="H42" s="188">
        <v>1268131021.4300001</v>
      </c>
      <c r="I42" s="188">
        <v>1280850660.1099999</v>
      </c>
      <c r="J42" s="188">
        <v>761816235.07000005</v>
      </c>
      <c r="K42" s="188">
        <v>696178533</v>
      </c>
      <c r="L42" s="188">
        <v>727497808.33000004</v>
      </c>
      <c r="M42" s="188">
        <v>604060601.51999998</v>
      </c>
      <c r="N42" s="188">
        <v>590519836.42999995</v>
      </c>
      <c r="O42" s="188">
        <v>441465637.80000001</v>
      </c>
      <c r="P42" s="188">
        <v>288672043.63999999</v>
      </c>
      <c r="Q42" s="188">
        <v>0</v>
      </c>
    </row>
    <row r="43" spans="1:17" x14ac:dyDescent="0.25">
      <c r="A43" s="188" t="s">
        <v>147</v>
      </c>
    </row>
    <row r="44" spans="1:17" x14ac:dyDescent="0.25">
      <c r="A44" s="188" t="s">
        <v>148</v>
      </c>
      <c r="B44" s="188">
        <v>0</v>
      </c>
      <c r="C44" s="188">
        <v>0</v>
      </c>
      <c r="D44" s="188">
        <v>0</v>
      </c>
      <c r="E44" s="188">
        <v>0</v>
      </c>
      <c r="F44" s="188">
        <v>0</v>
      </c>
      <c r="G44" s="188">
        <v>0</v>
      </c>
      <c r="H44" s="188">
        <v>11600000</v>
      </c>
      <c r="I44" s="188">
        <v>42916810</v>
      </c>
      <c r="J44" s="188">
        <v>72922535.329999998</v>
      </c>
      <c r="K44" s="188">
        <v>72922535.329999998</v>
      </c>
      <c r="L44" s="188">
        <v>43935725.329999998</v>
      </c>
      <c r="M44" s="188">
        <v>30000000</v>
      </c>
      <c r="N44" s="188">
        <v>85395714</v>
      </c>
      <c r="O44" s="188">
        <v>65837129</v>
      </c>
      <c r="P44" s="188">
        <v>19000000</v>
      </c>
      <c r="Q44" s="188">
        <v>0</v>
      </c>
    </row>
    <row r="45" spans="1:17"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row>
    <row r="46" spans="1:17"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row>
    <row r="47" spans="1:17" x14ac:dyDescent="0.25">
      <c r="A47" s="188" t="s">
        <v>151</v>
      </c>
      <c r="B47" s="188">
        <v>0</v>
      </c>
      <c r="C47" s="188">
        <v>21072775.23</v>
      </c>
      <c r="D47" s="188">
        <v>23805543.710000001</v>
      </c>
      <c r="E47" s="188">
        <v>26684896.559999999</v>
      </c>
      <c r="F47" s="188">
        <v>23489182.59</v>
      </c>
      <c r="G47" s="188">
        <v>27088420.690000001</v>
      </c>
      <c r="H47" s="188">
        <v>21954398.149999999</v>
      </c>
      <c r="I47" s="188">
        <v>24173548.850000001</v>
      </c>
      <c r="J47" s="188">
        <v>14368780.27</v>
      </c>
      <c r="K47" s="188">
        <v>13307494.48</v>
      </c>
      <c r="L47" s="188">
        <v>14975145</v>
      </c>
      <c r="M47" s="188">
        <v>13610642.210000001</v>
      </c>
      <c r="N47" s="188">
        <v>10539377.300000001</v>
      </c>
      <c r="O47" s="188">
        <v>11989258.949999999</v>
      </c>
      <c r="P47" s="188">
        <v>9250353.9199999999</v>
      </c>
      <c r="Q47" s="188">
        <v>0</v>
      </c>
    </row>
    <row r="48" spans="1:17" x14ac:dyDescent="0.25">
      <c r="A48" s="188" t="s">
        <v>152</v>
      </c>
      <c r="B48" s="188">
        <v>148385241.72</v>
      </c>
      <c r="C48" s="188">
        <v>128197164.84999999</v>
      </c>
      <c r="D48" s="188">
        <v>113261614.64</v>
      </c>
      <c r="E48" s="188">
        <v>120053117.72</v>
      </c>
      <c r="F48" s="188">
        <v>114627725.93000001</v>
      </c>
      <c r="G48" s="188">
        <v>113230300.17</v>
      </c>
      <c r="H48" s="188">
        <v>98184675.569999993</v>
      </c>
      <c r="I48" s="188">
        <v>91595701.829999998</v>
      </c>
      <c r="J48" s="188">
        <v>101211357.90000001</v>
      </c>
      <c r="K48" s="188">
        <v>94876287.590000004</v>
      </c>
      <c r="L48" s="188">
        <v>75303557.980000004</v>
      </c>
      <c r="M48" s="188">
        <v>60296060.520000003</v>
      </c>
      <c r="N48" s="188">
        <v>50030370.259999998</v>
      </c>
      <c r="O48" s="188">
        <v>42918736.100000001</v>
      </c>
      <c r="P48" s="188">
        <v>24418235.510000002</v>
      </c>
      <c r="Q48" s="188">
        <v>0</v>
      </c>
    </row>
    <row r="49" spans="1:17"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row>
    <row r="50" spans="1:17" x14ac:dyDescent="0.25">
      <c r="A50" s="188" t="s">
        <v>154</v>
      </c>
      <c r="B50" s="188">
        <v>20467602.600000001</v>
      </c>
      <c r="C50" s="188">
        <v>14903356.49</v>
      </c>
      <c r="D50" s="188">
        <v>10680537.25</v>
      </c>
      <c r="E50" s="188">
        <v>8170558.8700000001</v>
      </c>
      <c r="F50" s="188">
        <v>15142921.58</v>
      </c>
      <c r="G50" s="188">
        <v>13533638.300000001</v>
      </c>
      <c r="H50" s="188">
        <v>10830993.4</v>
      </c>
      <c r="I50" s="188">
        <v>9489546.7300000004</v>
      </c>
      <c r="J50" s="188">
        <v>12521854.380000001</v>
      </c>
      <c r="K50" s="188">
        <v>11496488.359999999</v>
      </c>
      <c r="L50" s="188">
        <v>10129941.09</v>
      </c>
      <c r="M50" s="188">
        <v>9193258.1500000004</v>
      </c>
      <c r="N50" s="188">
        <v>8900574.2699999996</v>
      </c>
      <c r="O50" s="188">
        <v>8906854.6400000006</v>
      </c>
      <c r="P50" s="188">
        <v>4513601.68</v>
      </c>
      <c r="Q50" s="188">
        <v>0</v>
      </c>
    </row>
    <row r="51" spans="1:17" x14ac:dyDescent="0.25">
      <c r="A51" s="188" t="s">
        <v>155</v>
      </c>
      <c r="B51" s="188">
        <v>20443983.670000002</v>
      </c>
      <c r="C51" s="188">
        <v>13890846.109999999</v>
      </c>
      <c r="D51" s="188">
        <v>11907071.220000001</v>
      </c>
      <c r="E51" s="188">
        <v>14439712.59</v>
      </c>
      <c r="F51" s="188">
        <v>17247322.530000001</v>
      </c>
      <c r="G51" s="188">
        <v>13785653.859999999</v>
      </c>
      <c r="H51" s="188">
        <v>12391222.91</v>
      </c>
      <c r="I51" s="188">
        <v>16353223.52</v>
      </c>
      <c r="J51" s="188">
        <v>16085288.16</v>
      </c>
      <c r="K51" s="188">
        <v>12567886.960000001</v>
      </c>
      <c r="L51" s="188">
        <v>12949155.01</v>
      </c>
      <c r="M51" s="188">
        <v>11925485.59</v>
      </c>
      <c r="N51" s="188">
        <v>11869292.460000001</v>
      </c>
      <c r="O51" s="188">
        <v>18845016.690000001</v>
      </c>
      <c r="P51" s="188">
        <v>6730391.4800000004</v>
      </c>
      <c r="Q51" s="188">
        <v>0</v>
      </c>
    </row>
    <row r="52" spans="1:17" x14ac:dyDescent="0.25">
      <c r="A52" s="188" t="s">
        <v>156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row>
    <row r="53" spans="1:17" x14ac:dyDescent="0.25">
      <c r="A53" s="188" t="s">
        <v>157</v>
      </c>
      <c r="B53" s="188">
        <v>960345.13</v>
      </c>
      <c r="C53" s="188">
        <v>960345.13</v>
      </c>
      <c r="D53" s="188">
        <v>8155220</v>
      </c>
      <c r="E53" s="188">
        <v>567103.72</v>
      </c>
      <c r="F53" s="188">
        <v>567103.72</v>
      </c>
      <c r="G53" s="188">
        <v>567103.72</v>
      </c>
      <c r="H53" s="188">
        <v>10550000</v>
      </c>
      <c r="I53" s="188">
        <v>0</v>
      </c>
      <c r="J53" s="188">
        <v>900000</v>
      </c>
      <c r="K53" s="188">
        <v>900000</v>
      </c>
      <c r="L53" s="188">
        <v>0</v>
      </c>
      <c r="M53" s="188">
        <v>0</v>
      </c>
      <c r="N53" s="188">
        <v>0</v>
      </c>
      <c r="O53" s="188">
        <v>4095699.69</v>
      </c>
      <c r="P53" s="188">
        <v>3871699.69</v>
      </c>
      <c r="Q53" s="188">
        <v>0</v>
      </c>
    </row>
    <row r="54" spans="1:17" x14ac:dyDescent="0.25">
      <c r="A54" s="188" t="s">
        <v>158</v>
      </c>
      <c r="B54" s="188">
        <v>25224491.100000001</v>
      </c>
      <c r="C54" s="188">
        <v>22077445.870000001</v>
      </c>
      <c r="D54" s="188">
        <v>19733787.27</v>
      </c>
      <c r="E54" s="188">
        <v>14439889.460000001</v>
      </c>
      <c r="F54" s="188">
        <v>24275596.039999999</v>
      </c>
      <c r="G54" s="188">
        <v>20897435.510000002</v>
      </c>
      <c r="H54" s="188">
        <v>21287300.050000001</v>
      </c>
      <c r="I54" s="188">
        <v>21021321.73</v>
      </c>
      <c r="J54" s="188">
        <v>11081311.4</v>
      </c>
      <c r="K54" s="188">
        <v>8152834.1900000004</v>
      </c>
      <c r="L54" s="188">
        <v>6104017.5599999996</v>
      </c>
      <c r="M54" s="188">
        <v>6160149.7300000004</v>
      </c>
      <c r="N54" s="188">
        <v>5606792.2400000002</v>
      </c>
      <c r="O54" s="188">
        <v>26232376.57</v>
      </c>
      <c r="P54" s="188">
        <v>5516544.9699999997</v>
      </c>
      <c r="Q54" s="188">
        <v>0</v>
      </c>
    </row>
    <row r="55" spans="1:17"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row>
    <row r="56" spans="1:17"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row>
    <row r="57" spans="1:17"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row>
    <row r="58" spans="1:17" x14ac:dyDescent="0.25">
      <c r="A58" s="188" t="s">
        <v>162</v>
      </c>
      <c r="B58" s="188">
        <v>0</v>
      </c>
      <c r="C58" s="188">
        <v>0</v>
      </c>
      <c r="D58" s="188">
        <v>0</v>
      </c>
      <c r="E58" s="188">
        <v>0</v>
      </c>
      <c r="F58" s="188">
        <v>0</v>
      </c>
      <c r="G58" s="188">
        <v>0</v>
      </c>
      <c r="H58" s="188">
        <v>22160703.5</v>
      </c>
      <c r="I58" s="188">
        <v>15330000</v>
      </c>
      <c r="J58" s="188">
        <v>11320000</v>
      </c>
      <c r="K58" s="188">
        <v>11320000</v>
      </c>
      <c r="L58" s="188">
        <v>7500000</v>
      </c>
      <c r="M58" s="188">
        <v>12500000</v>
      </c>
      <c r="N58" s="188">
        <v>7500000</v>
      </c>
      <c r="O58" s="188">
        <v>0</v>
      </c>
      <c r="P58" s="188">
        <v>0</v>
      </c>
      <c r="Q58" s="188">
        <v>0</v>
      </c>
    </row>
    <row r="59" spans="1:17"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row>
    <row r="60" spans="1:17" x14ac:dyDescent="0.25">
      <c r="A60" s="188" t="s">
        <v>164</v>
      </c>
      <c r="B60" s="188">
        <v>232905736.87</v>
      </c>
      <c r="C60" s="188">
        <v>201101933.68000001</v>
      </c>
      <c r="D60" s="188">
        <v>187543774.09</v>
      </c>
      <c r="E60" s="188">
        <v>184355278.91999999</v>
      </c>
      <c r="F60" s="188">
        <v>195349852.38999999</v>
      </c>
      <c r="G60" s="188">
        <v>189102552.25</v>
      </c>
      <c r="H60" s="188">
        <v>208959293.58000001</v>
      </c>
      <c r="I60" s="188">
        <v>220880152.66</v>
      </c>
      <c r="J60" s="188">
        <v>240411127.44</v>
      </c>
      <c r="K60" s="188">
        <v>225543526.91</v>
      </c>
      <c r="L60" s="188">
        <v>170897541.97</v>
      </c>
      <c r="M60" s="188">
        <v>143685596.19999999</v>
      </c>
      <c r="N60" s="188">
        <v>179842120.53</v>
      </c>
      <c r="O60" s="188">
        <v>178825071.63999999</v>
      </c>
      <c r="P60" s="188">
        <v>73300827.25</v>
      </c>
      <c r="Q60" s="188">
        <v>0</v>
      </c>
    </row>
    <row r="61" spans="1:17" x14ac:dyDescent="0.25">
      <c r="A61" s="188" t="s">
        <v>165</v>
      </c>
    </row>
    <row r="62" spans="1:17" x14ac:dyDescent="0.25">
      <c r="A62" s="188" t="s">
        <v>166</v>
      </c>
      <c r="B62" s="188">
        <v>0</v>
      </c>
      <c r="C62" s="188">
        <v>0</v>
      </c>
      <c r="D62" s="188">
        <v>0</v>
      </c>
      <c r="E62" s="188">
        <v>0</v>
      </c>
      <c r="F62" s="188">
        <v>0</v>
      </c>
      <c r="G62" s="188">
        <v>0</v>
      </c>
      <c r="H62" s="188">
        <v>9890479.9199999999</v>
      </c>
      <c r="I62" s="188">
        <v>18408383.420000002</v>
      </c>
      <c r="J62" s="188">
        <v>28105583.420000002</v>
      </c>
      <c r="K62" s="188">
        <v>27650855.510000002</v>
      </c>
      <c r="L62" s="188">
        <v>38982000</v>
      </c>
      <c r="M62" s="188">
        <v>60540800</v>
      </c>
      <c r="N62" s="188">
        <v>85540000</v>
      </c>
      <c r="O62" s="188">
        <v>0</v>
      </c>
      <c r="P62" s="188">
        <v>0</v>
      </c>
      <c r="Q62" s="188">
        <v>0</v>
      </c>
    </row>
    <row r="63" spans="1:17"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row>
    <row r="64" spans="1:17" x14ac:dyDescent="0.25">
      <c r="A64" s="188" t="s">
        <v>168</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row>
    <row r="65" spans="1:17"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row>
    <row r="66" spans="1:17" x14ac:dyDescent="0.25">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row>
    <row r="67" spans="1:17"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row>
    <row r="68" spans="1:17" x14ac:dyDescent="0.25">
      <c r="A68" s="188" t="s">
        <v>172</v>
      </c>
      <c r="B68" s="188">
        <v>872618.03</v>
      </c>
      <c r="C68" s="188">
        <v>928017.97</v>
      </c>
      <c r="D68" s="188">
        <v>856873.5</v>
      </c>
      <c r="E68" s="188">
        <v>1020981.59</v>
      </c>
      <c r="F68" s="188">
        <v>1072764.8600000001</v>
      </c>
      <c r="G68" s="188">
        <v>1124560.6299999999</v>
      </c>
      <c r="H68" s="188">
        <v>1176343.8799999999</v>
      </c>
      <c r="I68" s="188">
        <v>1230573.3600000001</v>
      </c>
      <c r="J68" s="188">
        <v>1285465.9099999999</v>
      </c>
      <c r="K68" s="188">
        <v>1340333.4099999999</v>
      </c>
      <c r="L68" s="188">
        <v>1368236.73</v>
      </c>
      <c r="M68" s="188">
        <v>1258206.33</v>
      </c>
      <c r="N68" s="188">
        <v>2480097.21</v>
      </c>
      <c r="O68" s="188">
        <v>2886258.44</v>
      </c>
      <c r="P68" s="188">
        <v>720272.11</v>
      </c>
      <c r="Q68" s="188">
        <v>0</v>
      </c>
    </row>
    <row r="69" spans="1:17" x14ac:dyDescent="0.25">
      <c r="A69" s="188" t="s">
        <v>173</v>
      </c>
      <c r="B69" s="188">
        <v>54595655.280000001</v>
      </c>
      <c r="C69" s="188">
        <v>56758360.18</v>
      </c>
      <c r="D69" s="188">
        <v>54523002.539999999</v>
      </c>
      <c r="E69" s="188">
        <v>56681694.68</v>
      </c>
      <c r="F69" s="188">
        <v>51506546.460000001</v>
      </c>
      <c r="G69" s="188">
        <v>54952976.710000001</v>
      </c>
      <c r="H69" s="188">
        <v>56306918.93</v>
      </c>
      <c r="I69" s="188">
        <v>54917308.939999998</v>
      </c>
      <c r="J69" s="188">
        <v>47569365.140000001</v>
      </c>
      <c r="K69" s="188">
        <v>42367421.420000002</v>
      </c>
      <c r="L69" s="188">
        <v>38231742.850000001</v>
      </c>
      <c r="M69" s="188">
        <v>11228129.970000001</v>
      </c>
      <c r="N69" s="188">
        <v>4914390.6900000004</v>
      </c>
      <c r="O69" s="188">
        <v>0</v>
      </c>
      <c r="P69" s="188">
        <v>0</v>
      </c>
      <c r="Q69" s="188">
        <v>0</v>
      </c>
    </row>
    <row r="70" spans="1:17"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5375879.2400000002</v>
      </c>
      <c r="P70" s="188">
        <v>4881671.9800000004</v>
      </c>
      <c r="Q70" s="188">
        <v>0</v>
      </c>
    </row>
    <row r="71" spans="1:17" x14ac:dyDescent="0.25">
      <c r="A71" s="188" t="s">
        <v>175</v>
      </c>
      <c r="B71" s="188">
        <v>55468273.310000002</v>
      </c>
      <c r="C71" s="188">
        <v>57686378.149999999</v>
      </c>
      <c r="D71" s="188">
        <v>55379876.039999999</v>
      </c>
      <c r="E71" s="188">
        <v>57702676.270000003</v>
      </c>
      <c r="F71" s="188">
        <v>52579311.32</v>
      </c>
      <c r="G71" s="188">
        <v>56077537.340000004</v>
      </c>
      <c r="H71" s="188">
        <v>67373742.730000004</v>
      </c>
      <c r="I71" s="188">
        <v>74556265.719999999</v>
      </c>
      <c r="J71" s="188">
        <v>76960414.469999999</v>
      </c>
      <c r="K71" s="188">
        <v>71358610.340000004</v>
      </c>
      <c r="L71" s="188">
        <v>78581979.579999998</v>
      </c>
      <c r="M71" s="188">
        <v>73027136.299999997</v>
      </c>
      <c r="N71" s="188">
        <v>92934487.900000006</v>
      </c>
      <c r="O71" s="188">
        <v>8262137.6799999997</v>
      </c>
      <c r="P71" s="188">
        <v>5601944.0899999999</v>
      </c>
      <c r="Q71" s="188">
        <v>0</v>
      </c>
    </row>
    <row r="72" spans="1:17" x14ac:dyDescent="0.25">
      <c r="A72" s="188" t="s">
        <v>176</v>
      </c>
      <c r="B72" s="188">
        <v>288374010.18000001</v>
      </c>
      <c r="C72" s="188">
        <v>258788311.83000001</v>
      </c>
      <c r="D72" s="188">
        <v>242923650.13</v>
      </c>
      <c r="E72" s="188">
        <v>242057955.19</v>
      </c>
      <c r="F72" s="188">
        <v>247929163.71000001</v>
      </c>
      <c r="G72" s="188">
        <v>245180089.59</v>
      </c>
      <c r="H72" s="188">
        <v>276333036.31</v>
      </c>
      <c r="I72" s="188">
        <v>295436418.38</v>
      </c>
      <c r="J72" s="188">
        <v>317371541.91000003</v>
      </c>
      <c r="K72" s="188">
        <v>296902137.25</v>
      </c>
      <c r="L72" s="188">
        <v>249479521.55000001</v>
      </c>
      <c r="M72" s="188">
        <v>216712732.5</v>
      </c>
      <c r="N72" s="188">
        <v>272776608.43000001</v>
      </c>
      <c r="O72" s="188">
        <v>187087209.31999999</v>
      </c>
      <c r="P72" s="188">
        <v>78902771.340000004</v>
      </c>
      <c r="Q72" s="188">
        <v>0</v>
      </c>
    </row>
    <row r="73" spans="1:17" x14ac:dyDescent="0.25">
      <c r="A73" s="188" t="s">
        <v>177</v>
      </c>
    </row>
    <row r="74" spans="1:17" x14ac:dyDescent="0.25">
      <c r="A74" s="188" t="s">
        <v>178</v>
      </c>
      <c r="B74" s="188">
        <v>220000000</v>
      </c>
      <c r="C74" s="188">
        <v>220000000</v>
      </c>
      <c r="D74" s="188">
        <v>220000000</v>
      </c>
      <c r="E74" s="188">
        <v>220000000</v>
      </c>
      <c r="F74" s="188">
        <v>220000000</v>
      </c>
      <c r="G74" s="188">
        <v>220000000</v>
      </c>
      <c r="H74" s="188">
        <v>220000000</v>
      </c>
      <c r="I74" s="188">
        <v>220000000</v>
      </c>
      <c r="J74" s="188">
        <v>165000000</v>
      </c>
      <c r="K74" s="188">
        <v>165000000</v>
      </c>
      <c r="L74" s="188">
        <v>165000000</v>
      </c>
      <c r="M74" s="188">
        <v>165000000</v>
      </c>
      <c r="N74" s="188">
        <v>165000000</v>
      </c>
      <c r="O74" s="188">
        <v>120000000</v>
      </c>
      <c r="P74" s="188">
        <v>120000000</v>
      </c>
      <c r="Q74" s="188">
        <v>0</v>
      </c>
    </row>
    <row r="75" spans="1:17" x14ac:dyDescent="0.25">
      <c r="A75" s="188" t="s">
        <v>179</v>
      </c>
      <c r="B75" s="188">
        <v>437605497.49000001</v>
      </c>
      <c r="C75" s="188">
        <v>437605497.49000001</v>
      </c>
      <c r="D75" s="188">
        <v>437868907.13</v>
      </c>
      <c r="E75" s="188">
        <v>444112288.20999998</v>
      </c>
      <c r="F75" s="188">
        <v>444127345.81</v>
      </c>
      <c r="G75" s="188">
        <v>447414712.44</v>
      </c>
      <c r="H75" s="188">
        <v>447414712.44</v>
      </c>
      <c r="I75" s="188">
        <v>452749000</v>
      </c>
      <c r="J75" s="188">
        <v>0</v>
      </c>
      <c r="K75" s="188">
        <v>0</v>
      </c>
      <c r="L75" s="188">
        <v>0</v>
      </c>
      <c r="M75" s="188">
        <v>0</v>
      </c>
      <c r="N75" s="188">
        <v>0</v>
      </c>
      <c r="O75" s="188">
        <v>8283573.2199999997</v>
      </c>
      <c r="P75" s="188">
        <v>32158303.510000002</v>
      </c>
      <c r="Q75" s="188">
        <v>0</v>
      </c>
    </row>
    <row r="76" spans="1:17"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row>
    <row r="77" spans="1:17" x14ac:dyDescent="0.25">
      <c r="A77" s="188" t="s">
        <v>181</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row>
    <row r="78" spans="1:17"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row>
    <row r="79" spans="1:17" x14ac:dyDescent="0.25">
      <c r="A79" s="188" t="s">
        <v>183</v>
      </c>
      <c r="B79" s="188">
        <v>54901547.390000001</v>
      </c>
      <c r="C79" s="188">
        <v>54901547.390000001</v>
      </c>
      <c r="D79" s="188">
        <v>54901547.390000001</v>
      </c>
      <c r="E79" s="188">
        <v>54901547.390000001</v>
      </c>
      <c r="F79" s="188">
        <v>41649772.039999999</v>
      </c>
      <c r="G79" s="188">
        <v>41649772.039999999</v>
      </c>
      <c r="H79" s="188">
        <v>41649772.039999999</v>
      </c>
      <c r="I79" s="188">
        <v>41649772.039999999</v>
      </c>
      <c r="J79" s="188">
        <v>32313868.780000001</v>
      </c>
      <c r="K79" s="188">
        <v>32313868.780000001</v>
      </c>
      <c r="L79" s="188">
        <v>32313868.780000001</v>
      </c>
      <c r="M79" s="188">
        <v>23879820.050000001</v>
      </c>
      <c r="N79" s="188">
        <v>17792276.98</v>
      </c>
      <c r="O79" s="188">
        <v>11499826.24</v>
      </c>
      <c r="P79" s="188">
        <v>5716209.9100000001</v>
      </c>
      <c r="Q79" s="188">
        <v>0</v>
      </c>
    </row>
    <row r="80" spans="1:17"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row>
    <row r="81" spans="1:17" x14ac:dyDescent="0.25">
      <c r="A81" s="188" t="s">
        <v>185</v>
      </c>
      <c r="B81" s="188">
        <v>405130426.11000001</v>
      </c>
      <c r="C81" s="188">
        <v>344730687.36000001</v>
      </c>
      <c r="D81" s="188">
        <v>329161186.69</v>
      </c>
      <c r="E81" s="188">
        <v>309730685.50999999</v>
      </c>
      <c r="F81" s="188">
        <v>285431724.88999999</v>
      </c>
      <c r="G81" s="188">
        <v>235465084.58000001</v>
      </c>
      <c r="H81" s="188">
        <v>229618761.40000001</v>
      </c>
      <c r="I81" s="188">
        <v>213958299.72</v>
      </c>
      <c r="J81" s="188">
        <v>192528751.72</v>
      </c>
      <c r="K81" s="188">
        <v>150876634.36000001</v>
      </c>
      <c r="L81" s="188">
        <v>225650846.91999999</v>
      </c>
      <c r="M81" s="188">
        <v>152205707.21000001</v>
      </c>
      <c r="N81" s="188">
        <v>96151137.299999997</v>
      </c>
      <c r="O81" s="188">
        <v>81318205.790000007</v>
      </c>
      <c r="P81" s="188">
        <v>25548975.48</v>
      </c>
      <c r="Q81" s="188">
        <v>0</v>
      </c>
    </row>
    <row r="82" spans="1:17" x14ac:dyDescent="0.25">
      <c r="A82" s="188" t="s">
        <v>186</v>
      </c>
      <c r="B82" s="188">
        <v>1117637470.99</v>
      </c>
      <c r="C82" s="188">
        <v>1057237732.24</v>
      </c>
      <c r="D82" s="188">
        <v>1041931641.21</v>
      </c>
      <c r="E82" s="188">
        <v>1028744521.11</v>
      </c>
      <c r="F82" s="188">
        <v>991208842.74000001</v>
      </c>
      <c r="G82" s="188">
        <v>944529569.05999994</v>
      </c>
      <c r="H82" s="188">
        <v>938683245.88</v>
      </c>
      <c r="I82" s="188">
        <v>928357071.75999999</v>
      </c>
      <c r="J82" s="188">
        <v>389842620.5</v>
      </c>
      <c r="K82" s="188">
        <v>348190503.13999999</v>
      </c>
      <c r="L82" s="188">
        <v>422964715.69999999</v>
      </c>
      <c r="M82" s="188">
        <v>341085527.25999999</v>
      </c>
      <c r="N82" s="188">
        <v>278943414.27999997</v>
      </c>
      <c r="O82" s="188">
        <v>221101605.25</v>
      </c>
      <c r="P82" s="188">
        <v>183423488.90000001</v>
      </c>
      <c r="Q82" s="188">
        <v>0</v>
      </c>
    </row>
    <row r="83" spans="1:17" x14ac:dyDescent="0.25">
      <c r="A83" s="188" t="s">
        <v>187</v>
      </c>
      <c r="B83" s="188">
        <v>87726826.640000001</v>
      </c>
      <c r="C83" s="188">
        <v>85874277.629999995</v>
      </c>
      <c r="D83" s="188">
        <v>63825923.020000003</v>
      </c>
      <c r="E83" s="188">
        <v>65576832.950000003</v>
      </c>
      <c r="F83" s="188">
        <v>62555631.659999996</v>
      </c>
      <c r="G83" s="188">
        <v>56525657.200000003</v>
      </c>
      <c r="H83" s="188">
        <v>53114739.240000002</v>
      </c>
      <c r="I83" s="188">
        <v>57057169.969999999</v>
      </c>
      <c r="J83" s="188">
        <v>54602072.659999996</v>
      </c>
      <c r="K83" s="188">
        <v>51085892.609999999</v>
      </c>
      <c r="L83" s="188">
        <v>55053571.079999998</v>
      </c>
      <c r="M83" s="188">
        <v>46262341.759999998</v>
      </c>
      <c r="N83" s="188">
        <v>38799813.719999999</v>
      </c>
      <c r="O83" s="188">
        <v>33276823.23</v>
      </c>
      <c r="P83" s="188">
        <v>26345783.399999999</v>
      </c>
      <c r="Q83" s="188">
        <v>0</v>
      </c>
    </row>
    <row r="84" spans="1:17" x14ac:dyDescent="0.25">
      <c r="A84" s="188" t="s">
        <v>188</v>
      </c>
      <c r="B84" s="188">
        <v>1205364297.6300001</v>
      </c>
      <c r="C84" s="188">
        <v>1143112009.8699999</v>
      </c>
      <c r="D84" s="188">
        <v>1105757564.23</v>
      </c>
      <c r="E84" s="188">
        <v>1094321354.0599999</v>
      </c>
      <c r="F84" s="188">
        <v>1053764474.4</v>
      </c>
      <c r="G84" s="188">
        <v>1001055226.26</v>
      </c>
      <c r="H84" s="188">
        <v>991797985.12</v>
      </c>
      <c r="I84" s="188">
        <v>985414241.73000002</v>
      </c>
      <c r="J84" s="188">
        <v>444444693.16000003</v>
      </c>
      <c r="K84" s="188">
        <v>399276395.75</v>
      </c>
      <c r="L84" s="188">
        <v>478018286.77999997</v>
      </c>
      <c r="M84" s="188">
        <v>387347869.01999998</v>
      </c>
      <c r="N84" s="188">
        <v>317743228</v>
      </c>
      <c r="O84" s="188">
        <v>254378428.47999999</v>
      </c>
      <c r="P84" s="188">
        <v>209769272.30000001</v>
      </c>
      <c r="Q84" s="188">
        <v>0</v>
      </c>
    </row>
    <row r="85" spans="1:17" x14ac:dyDescent="0.25">
      <c r="A85" s="188" t="s">
        <v>189</v>
      </c>
      <c r="B85" s="188">
        <v>1493738307.8099999</v>
      </c>
      <c r="C85" s="188">
        <v>1401900321.7</v>
      </c>
      <c r="D85" s="188">
        <v>1348681214.3599999</v>
      </c>
      <c r="E85" s="188">
        <v>1336379309.25</v>
      </c>
      <c r="F85" s="188">
        <v>1301693638.1099999</v>
      </c>
      <c r="G85" s="188">
        <v>1246235315.8499999</v>
      </c>
      <c r="H85" s="188">
        <v>1268131021.4300001</v>
      </c>
      <c r="I85" s="188">
        <v>1280850660.1099999</v>
      </c>
      <c r="J85" s="188">
        <v>761816235.07000005</v>
      </c>
      <c r="K85" s="188">
        <v>696178533</v>
      </c>
      <c r="L85" s="188">
        <v>727497808.33000004</v>
      </c>
      <c r="M85" s="188">
        <v>604060601.51999998</v>
      </c>
      <c r="N85" s="188">
        <v>590519836.42999995</v>
      </c>
      <c r="O85" s="188">
        <v>441465637.80000001</v>
      </c>
      <c r="P85" s="188">
        <v>288672043.63999999</v>
      </c>
      <c r="Q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S31"/>
  <sheetViews>
    <sheetView workbookViewId="0">
      <selection activeCell="A2" sqref="A2"/>
    </sheetView>
  </sheetViews>
  <sheetFormatPr defaultRowHeight="14.4" x14ac:dyDescent="0.25"/>
  <cols>
    <col min="1" max="1" width="39.1093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4" width="12.77734375" style="188" hidden="1" customWidth="1"/>
    <col min="15" max="18" width="12.77734375" style="188" bestFit="1" customWidth="1"/>
    <col min="19" max="19" width="9.5546875" style="188" hidden="1" customWidth="1"/>
    <col min="20" max="16384" width="8.88671875" style="188"/>
  </cols>
  <sheetData>
    <row r="1" spans="1:19" x14ac:dyDescent="0.25">
      <c r="A1" s="188">
        <v>603060</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20141231</v>
      </c>
      <c r="P1" s="188">
        <v>20131231</v>
      </c>
      <c r="Q1" s="188">
        <v>20121231</v>
      </c>
      <c r="R1" s="188">
        <v>20111231</v>
      </c>
      <c r="S1" s="188">
        <v>19700101</v>
      </c>
    </row>
    <row r="2" spans="1:19"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row>
    <row r="3" spans="1:19" x14ac:dyDescent="0.25">
      <c r="A3" s="188" t="s">
        <v>190</v>
      </c>
      <c r="B3" s="188">
        <v>626649436.39999998</v>
      </c>
      <c r="C3" s="188">
        <v>392876131.64999998</v>
      </c>
      <c r="D3" s="188">
        <v>172354512.02000001</v>
      </c>
      <c r="E3" s="188">
        <v>752408925.78999996</v>
      </c>
      <c r="F3" s="188">
        <v>525772942.17000002</v>
      </c>
      <c r="G3" s="188">
        <v>339770745.41000003</v>
      </c>
      <c r="H3" s="188">
        <v>153700781.78999999</v>
      </c>
      <c r="I3" s="188">
        <v>665011421.55999994</v>
      </c>
      <c r="J3" s="188">
        <v>454007921.24000001</v>
      </c>
      <c r="K3" s="188">
        <v>283257330.20999998</v>
      </c>
      <c r="L3" s="188">
        <v>124302689.18000001</v>
      </c>
      <c r="M3" s="188">
        <v>597037871.64999998</v>
      </c>
      <c r="N3" s="188">
        <v>409475329.64999998</v>
      </c>
      <c r="O3" s="188">
        <v>528809680.74000001</v>
      </c>
      <c r="P3" s="188">
        <v>484907942.22000003</v>
      </c>
      <c r="Q3" s="188">
        <v>395593790.81</v>
      </c>
      <c r="R3" s="188">
        <v>316891515.43000001</v>
      </c>
      <c r="S3" s="188">
        <v>0</v>
      </c>
    </row>
    <row r="4" spans="1:19" x14ac:dyDescent="0.25">
      <c r="A4" s="188" t="s">
        <v>191</v>
      </c>
      <c r="B4" s="188">
        <v>626649436.39999998</v>
      </c>
      <c r="C4" s="188">
        <v>392876131.64999998</v>
      </c>
      <c r="D4" s="188">
        <v>172354512.02000001</v>
      </c>
      <c r="E4" s="188">
        <v>752408925.78999996</v>
      </c>
      <c r="F4" s="188">
        <v>525772942.17000002</v>
      </c>
      <c r="G4" s="188">
        <v>339770745.41000003</v>
      </c>
      <c r="H4" s="188">
        <v>153700781.78999999</v>
      </c>
      <c r="I4" s="188">
        <v>665011421.55999994</v>
      </c>
      <c r="J4" s="188">
        <v>454007921.24000001</v>
      </c>
      <c r="K4" s="188">
        <v>283257330.20999998</v>
      </c>
      <c r="L4" s="188">
        <v>124302689.18000001</v>
      </c>
      <c r="M4" s="188">
        <v>597037871.64999998</v>
      </c>
      <c r="N4" s="188">
        <v>409475329.64999998</v>
      </c>
      <c r="O4" s="188">
        <v>528809680.74000001</v>
      </c>
      <c r="P4" s="188">
        <v>484907942.22000003</v>
      </c>
      <c r="Q4" s="188">
        <v>395593790.81</v>
      </c>
      <c r="R4" s="188">
        <v>316891515.43000001</v>
      </c>
      <c r="S4" s="188">
        <v>0</v>
      </c>
    </row>
    <row r="5" spans="1:19" x14ac:dyDescent="0.25">
      <c r="A5" s="188" t="s">
        <v>192</v>
      </c>
      <c r="B5" s="188">
        <v>488054679.17000002</v>
      </c>
      <c r="C5" s="188">
        <v>315476991.39999998</v>
      </c>
      <c r="D5" s="188">
        <v>160220923.65000001</v>
      </c>
      <c r="E5" s="188">
        <v>600734577.75</v>
      </c>
      <c r="F5" s="188">
        <v>409384604.44</v>
      </c>
      <c r="G5" s="188">
        <v>274438604.85000002</v>
      </c>
      <c r="H5" s="188">
        <v>134989423.28</v>
      </c>
      <c r="I5" s="188">
        <v>533672750.88999999</v>
      </c>
      <c r="J5" s="188">
        <v>352406895.89999998</v>
      </c>
      <c r="K5" s="188">
        <v>233424928.65000001</v>
      </c>
      <c r="L5" s="188">
        <v>116386964.67</v>
      </c>
      <c r="M5" s="188">
        <v>468512102.48000002</v>
      </c>
      <c r="N5" s="188">
        <v>321874182.82999998</v>
      </c>
      <c r="O5" s="188">
        <v>426673516.52999997</v>
      </c>
      <c r="P5" s="188">
        <v>391034527.69</v>
      </c>
      <c r="Q5" s="188">
        <v>303290286.35000002</v>
      </c>
      <c r="R5" s="188">
        <v>233122141.34999999</v>
      </c>
      <c r="S5" s="188">
        <v>0</v>
      </c>
    </row>
    <row r="6" spans="1:19" x14ac:dyDescent="0.25">
      <c r="A6" s="188" t="s">
        <v>193</v>
      </c>
      <c r="B6" s="188">
        <v>319507261.20999998</v>
      </c>
      <c r="C6" s="188">
        <v>205508609.28999999</v>
      </c>
      <c r="D6" s="188">
        <v>108278238.17</v>
      </c>
      <c r="E6" s="188">
        <v>406091046.83999997</v>
      </c>
      <c r="F6" s="188">
        <v>271365768.27999997</v>
      </c>
      <c r="G6" s="188">
        <v>181470105.86000001</v>
      </c>
      <c r="H6" s="188">
        <v>91249713.920000002</v>
      </c>
      <c r="I6" s="188">
        <v>348439708.45999998</v>
      </c>
      <c r="J6" s="188">
        <v>228589200.88</v>
      </c>
      <c r="K6" s="188">
        <v>149382777.41999999</v>
      </c>
      <c r="L6" s="188">
        <v>74864949.950000003</v>
      </c>
      <c r="M6" s="188">
        <v>318153253.52999997</v>
      </c>
      <c r="N6" s="188">
        <v>215473046.52000001</v>
      </c>
      <c r="O6" s="188">
        <v>287721956.77999997</v>
      </c>
      <c r="P6" s="188">
        <v>255145394.69</v>
      </c>
      <c r="Q6" s="188">
        <v>207821413.31999999</v>
      </c>
      <c r="R6" s="188">
        <v>157440528.15000001</v>
      </c>
      <c r="S6" s="188">
        <v>0</v>
      </c>
    </row>
    <row r="7" spans="1:19" x14ac:dyDescent="0.25">
      <c r="A7" s="188" t="s">
        <v>194</v>
      </c>
      <c r="B7" s="188">
        <v>3338613.63</v>
      </c>
      <c r="C7" s="188">
        <v>2097807.5099999998</v>
      </c>
      <c r="D7" s="188">
        <v>678109.79</v>
      </c>
      <c r="E7" s="188">
        <v>4713914.93</v>
      </c>
      <c r="F7" s="188">
        <v>3122552.32</v>
      </c>
      <c r="G7" s="188">
        <v>2242285.31</v>
      </c>
      <c r="H7" s="188">
        <v>741441.45</v>
      </c>
      <c r="I7" s="188">
        <v>4077013.45</v>
      </c>
      <c r="J7" s="188">
        <v>2478089.7400000002</v>
      </c>
      <c r="K7" s="188">
        <v>1674570.11</v>
      </c>
      <c r="L7" s="188">
        <v>761096.69</v>
      </c>
      <c r="M7" s="188">
        <v>3426043.03</v>
      </c>
      <c r="N7" s="188">
        <v>2528370.9500000002</v>
      </c>
      <c r="O7" s="188">
        <v>3185132.53</v>
      </c>
      <c r="P7" s="188">
        <v>4441789.72</v>
      </c>
      <c r="Q7" s="188">
        <v>13470903.210000001</v>
      </c>
      <c r="R7" s="188">
        <v>15908543.560000001</v>
      </c>
      <c r="S7" s="188">
        <v>0</v>
      </c>
    </row>
    <row r="8" spans="1:19" x14ac:dyDescent="0.25">
      <c r="A8" s="188" t="s">
        <v>195</v>
      </c>
      <c r="B8" s="188">
        <v>19614822.73</v>
      </c>
      <c r="C8" s="188">
        <v>12943635.039999999</v>
      </c>
      <c r="D8" s="188">
        <v>5945114.6299999999</v>
      </c>
      <c r="E8" s="188">
        <v>21668533.010000002</v>
      </c>
      <c r="F8" s="188">
        <v>13228844.43</v>
      </c>
      <c r="G8" s="188">
        <v>9180163.4299999997</v>
      </c>
      <c r="H8" s="188">
        <v>5012251.4000000004</v>
      </c>
      <c r="I8" s="188">
        <v>19538807.030000001</v>
      </c>
      <c r="J8" s="188">
        <v>12545397.220000001</v>
      </c>
      <c r="K8" s="188">
        <v>8046351.9000000004</v>
      </c>
      <c r="L8" s="188">
        <v>3789818.57</v>
      </c>
      <c r="M8" s="188">
        <v>17063513.98</v>
      </c>
      <c r="N8" s="188">
        <v>11785946.41</v>
      </c>
      <c r="O8" s="188">
        <v>16875542.949999999</v>
      </c>
      <c r="P8" s="188">
        <v>16358050.699999999</v>
      </c>
      <c r="Q8" s="188">
        <v>9619825.7599999998</v>
      </c>
      <c r="R8" s="188">
        <v>7064283.7000000002</v>
      </c>
      <c r="S8" s="188">
        <v>0</v>
      </c>
    </row>
    <row r="9" spans="1:19" x14ac:dyDescent="0.25">
      <c r="A9" s="188" t="s">
        <v>196</v>
      </c>
      <c r="B9" s="188">
        <v>89584612.290000007</v>
      </c>
      <c r="C9" s="188">
        <v>92580103.870000005</v>
      </c>
      <c r="D9" s="188">
        <v>44799856.780000001</v>
      </c>
      <c r="E9" s="188">
        <v>166019822.88</v>
      </c>
      <c r="F9" s="188">
        <v>117685777.28</v>
      </c>
      <c r="G9" s="188">
        <v>79178722.430000007</v>
      </c>
      <c r="H9" s="188">
        <v>37534449.25</v>
      </c>
      <c r="I9" s="188">
        <v>154974042.46000001</v>
      </c>
      <c r="J9" s="188">
        <v>103999553.73999999</v>
      </c>
      <c r="K9" s="188">
        <v>70613526.260000005</v>
      </c>
      <c r="L9" s="188">
        <v>35456383.57</v>
      </c>
      <c r="M9" s="188">
        <v>122441461.36</v>
      </c>
      <c r="N9" s="188">
        <v>86931351.890000001</v>
      </c>
      <c r="O9" s="188">
        <v>107670888.41</v>
      </c>
      <c r="P9" s="188">
        <v>102640374.88</v>
      </c>
      <c r="Q9" s="188">
        <v>71521981.640000001</v>
      </c>
      <c r="R9" s="188">
        <v>52519359.909999996</v>
      </c>
      <c r="S9" s="188">
        <v>0</v>
      </c>
    </row>
    <row r="10" spans="1:19" x14ac:dyDescent="0.25">
      <c r="A10" s="188" t="s">
        <v>197</v>
      </c>
      <c r="B10" s="188">
        <v>-1166585.8899999999</v>
      </c>
      <c r="C10" s="188">
        <v>-879288.47</v>
      </c>
      <c r="D10" s="188">
        <v>-630229.32999999996</v>
      </c>
      <c r="E10" s="188">
        <v>-1434867.01</v>
      </c>
      <c r="F10" s="188">
        <v>-758922.69</v>
      </c>
      <c r="G10" s="188">
        <v>-281346.90000000002</v>
      </c>
      <c r="H10" s="188">
        <v>183351.79</v>
      </c>
      <c r="I10" s="188">
        <v>3782077.84</v>
      </c>
      <c r="J10" s="188">
        <v>3238675.13</v>
      </c>
      <c r="K10" s="188">
        <v>1975386.39</v>
      </c>
      <c r="L10" s="188">
        <v>993260.07</v>
      </c>
      <c r="M10" s="188">
        <v>5143139.6100000003</v>
      </c>
      <c r="N10" s="188">
        <v>4223801.82</v>
      </c>
      <c r="O10" s="188">
        <v>9559356.6699999999</v>
      </c>
      <c r="P10" s="188">
        <v>10976780</v>
      </c>
      <c r="Q10" s="188">
        <v>-4194.4399999999996</v>
      </c>
      <c r="R10" s="188">
        <v>-591674.91</v>
      </c>
      <c r="S10" s="188">
        <v>0</v>
      </c>
    </row>
    <row r="11" spans="1:19" x14ac:dyDescent="0.25">
      <c r="A11" s="188" t="s">
        <v>198</v>
      </c>
      <c r="B11" s="188">
        <v>4541033.96</v>
      </c>
      <c r="C11" s="188">
        <v>3226124.16</v>
      </c>
      <c r="D11" s="188">
        <v>1149833.6100000001</v>
      </c>
      <c r="E11" s="188">
        <v>3676127.1</v>
      </c>
      <c r="F11" s="188">
        <v>4740584.82</v>
      </c>
      <c r="G11" s="188">
        <v>2648674.7200000002</v>
      </c>
      <c r="H11" s="188">
        <v>268215.46999999997</v>
      </c>
      <c r="I11" s="188">
        <v>2861101.65</v>
      </c>
      <c r="J11" s="188">
        <v>1555979.19</v>
      </c>
      <c r="K11" s="188">
        <v>1732316.57</v>
      </c>
      <c r="L11" s="188">
        <v>521455.82</v>
      </c>
      <c r="M11" s="188">
        <v>2284690.9700000002</v>
      </c>
      <c r="N11" s="188">
        <v>931665.24</v>
      </c>
      <c r="O11" s="188">
        <v>1660639.19</v>
      </c>
      <c r="P11" s="188">
        <v>1472137.7</v>
      </c>
      <c r="Q11" s="188">
        <v>860356.86</v>
      </c>
      <c r="R11" s="188">
        <v>781100.94</v>
      </c>
      <c r="S11" s="188">
        <v>0</v>
      </c>
    </row>
    <row r="12" spans="1:19" x14ac:dyDescent="0.25">
      <c r="A12" s="188" t="s">
        <v>199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row>
    <row r="13" spans="1:19" x14ac:dyDescent="0.25">
      <c r="A13" s="188" t="s">
        <v>200</v>
      </c>
      <c r="B13" s="188">
        <v>10097461.369999999</v>
      </c>
      <c r="C13" s="188">
        <v>6298289.5899999999</v>
      </c>
      <c r="D13" s="188">
        <v>4090676.54</v>
      </c>
      <c r="E13" s="188">
        <v>8230887.71</v>
      </c>
      <c r="F13" s="188">
        <v>5563118.3600000003</v>
      </c>
      <c r="G13" s="188">
        <v>2828229.63</v>
      </c>
      <c r="H13" s="188">
        <v>741331</v>
      </c>
      <c r="I13" s="188">
        <v>336511.65</v>
      </c>
      <c r="J13" s="188">
        <v>95728.77</v>
      </c>
      <c r="K13" s="188">
        <v>59769.87</v>
      </c>
      <c r="L13" s="188">
        <v>0</v>
      </c>
      <c r="M13" s="188">
        <v>0</v>
      </c>
      <c r="N13" s="188">
        <v>107261.55</v>
      </c>
      <c r="O13" s="188">
        <v>0</v>
      </c>
      <c r="P13" s="188">
        <v>0</v>
      </c>
      <c r="Q13" s="188">
        <v>0</v>
      </c>
      <c r="R13" s="188">
        <v>0</v>
      </c>
      <c r="S13" s="188">
        <v>0</v>
      </c>
    </row>
    <row r="14" spans="1:19" x14ac:dyDescent="0.25">
      <c r="A14" s="188" t="s">
        <v>201</v>
      </c>
      <c r="B14" s="188">
        <v>0</v>
      </c>
      <c r="C14" s="188">
        <v>0</v>
      </c>
      <c r="D14" s="188">
        <v>0</v>
      </c>
      <c r="E14" s="188">
        <v>0</v>
      </c>
      <c r="F14" s="188">
        <v>0</v>
      </c>
      <c r="G14" s="188">
        <v>0</v>
      </c>
      <c r="H14" s="188">
        <v>0</v>
      </c>
      <c r="I14" s="188">
        <v>0</v>
      </c>
      <c r="J14" s="188">
        <v>0</v>
      </c>
      <c r="K14" s="188">
        <v>0</v>
      </c>
      <c r="L14" s="188">
        <v>0</v>
      </c>
      <c r="M14" s="188">
        <v>0</v>
      </c>
      <c r="N14" s="188">
        <v>0</v>
      </c>
      <c r="O14" s="188">
        <v>0</v>
      </c>
      <c r="P14" s="188">
        <v>0</v>
      </c>
      <c r="Q14" s="188">
        <v>0</v>
      </c>
      <c r="R14" s="188">
        <v>0</v>
      </c>
      <c r="S14" s="188">
        <v>0</v>
      </c>
    </row>
    <row r="15" spans="1:19"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row>
    <row r="16" spans="1:19" x14ac:dyDescent="0.25">
      <c r="A16" s="188" t="s">
        <v>203</v>
      </c>
      <c r="B16" s="188">
        <v>161801078.66999999</v>
      </c>
      <c r="C16" s="188">
        <v>92506812.459999993</v>
      </c>
      <c r="D16" s="188">
        <v>20877505.170000002</v>
      </c>
      <c r="E16" s="188">
        <v>174730809.93000001</v>
      </c>
      <c r="F16" s="188">
        <v>132166195.56999999</v>
      </c>
      <c r="G16" s="188">
        <v>73494579.420000002</v>
      </c>
      <c r="H16" s="188">
        <v>19452689.510000002</v>
      </c>
      <c r="I16" s="188">
        <v>131675182.31999999</v>
      </c>
      <c r="J16" s="188">
        <v>101696754.11</v>
      </c>
      <c r="K16" s="188">
        <v>49892171.43</v>
      </c>
      <c r="L16" s="188">
        <v>7915724.5099999998</v>
      </c>
      <c r="M16" s="188">
        <v>128525769.17</v>
      </c>
      <c r="N16" s="188">
        <v>87708408.370000005</v>
      </c>
      <c r="O16" s="188">
        <v>102136164.20999999</v>
      </c>
      <c r="P16" s="188">
        <v>93873414.530000001</v>
      </c>
      <c r="Q16" s="188">
        <v>92303504.459999993</v>
      </c>
      <c r="R16" s="188">
        <v>83769374.079999998</v>
      </c>
      <c r="S16" s="188">
        <v>0</v>
      </c>
    </row>
    <row r="17" spans="1:19" x14ac:dyDescent="0.25">
      <c r="A17" s="188" t="s">
        <v>204</v>
      </c>
      <c r="B17" s="188">
        <v>9658682.9600000009</v>
      </c>
      <c r="C17" s="188">
        <v>6113335.8399999999</v>
      </c>
      <c r="D17" s="188">
        <v>3986830.23</v>
      </c>
      <c r="E17" s="188">
        <v>6642281.1200000001</v>
      </c>
      <c r="F17" s="188">
        <v>2973384.32</v>
      </c>
      <c r="G17" s="188">
        <v>815125.21</v>
      </c>
      <c r="H17" s="188">
        <v>1746001.04</v>
      </c>
      <c r="I17" s="188">
        <v>18745445.350000001</v>
      </c>
      <c r="J17" s="188">
        <v>9657025.8300000001</v>
      </c>
      <c r="K17" s="188">
        <v>7838512.2300000004</v>
      </c>
      <c r="L17" s="188">
        <v>2974519.12</v>
      </c>
      <c r="M17" s="188">
        <v>12691476.43</v>
      </c>
      <c r="N17" s="188">
        <v>8343327.8399999999</v>
      </c>
      <c r="O17" s="188">
        <v>10732730.42</v>
      </c>
      <c r="P17" s="188">
        <v>7956926.2000000002</v>
      </c>
      <c r="Q17" s="188">
        <v>4563168.58</v>
      </c>
      <c r="R17" s="188">
        <v>842082.41</v>
      </c>
      <c r="S17" s="188">
        <v>0</v>
      </c>
    </row>
    <row r="18" spans="1:19" x14ac:dyDescent="0.25">
      <c r="A18" s="188" t="s">
        <v>205</v>
      </c>
      <c r="B18" s="188">
        <v>374038.64</v>
      </c>
      <c r="C18" s="188">
        <v>207835.13</v>
      </c>
      <c r="D18" s="188">
        <v>26352.16</v>
      </c>
      <c r="E18" s="188">
        <v>671937.06</v>
      </c>
      <c r="F18" s="188">
        <v>222435.24</v>
      </c>
      <c r="G18" s="188">
        <v>151234.70000000001</v>
      </c>
      <c r="H18" s="188">
        <v>45300.33</v>
      </c>
      <c r="I18" s="188">
        <v>624580.15</v>
      </c>
      <c r="J18" s="188">
        <v>355927.35</v>
      </c>
      <c r="K18" s="188">
        <v>152289.14000000001</v>
      </c>
      <c r="L18" s="188">
        <v>26163.48</v>
      </c>
      <c r="M18" s="188">
        <v>2364290.87</v>
      </c>
      <c r="N18" s="188">
        <v>1541431.11</v>
      </c>
      <c r="O18" s="188">
        <v>746773.43</v>
      </c>
      <c r="P18" s="188">
        <v>1074547.77</v>
      </c>
      <c r="Q18" s="188">
        <v>251433.47</v>
      </c>
      <c r="R18" s="188">
        <v>419615.98</v>
      </c>
      <c r="S18" s="188">
        <v>0</v>
      </c>
    </row>
    <row r="19" spans="1:19" x14ac:dyDescent="0.25">
      <c r="A19" s="188" t="s">
        <v>206</v>
      </c>
      <c r="B19" s="188">
        <v>0</v>
      </c>
      <c r="C19" s="188">
        <v>0</v>
      </c>
      <c r="D19" s="188">
        <v>0</v>
      </c>
      <c r="E19" s="188">
        <v>0</v>
      </c>
      <c r="F19" s="188">
        <v>126214.14</v>
      </c>
      <c r="G19" s="188">
        <v>58987.66</v>
      </c>
      <c r="H19" s="188">
        <v>32752.98</v>
      </c>
      <c r="I19" s="188">
        <v>547035.85</v>
      </c>
      <c r="J19" s="188">
        <v>348066</v>
      </c>
      <c r="K19" s="188">
        <v>149848.67000000001</v>
      </c>
      <c r="L19" s="188">
        <v>26156.95</v>
      </c>
      <c r="M19" s="188">
        <v>1059629.52</v>
      </c>
      <c r="N19" s="188">
        <v>250877.28</v>
      </c>
      <c r="O19" s="188">
        <v>746773.43</v>
      </c>
      <c r="P19" s="188">
        <v>1009593.45</v>
      </c>
      <c r="Q19" s="188">
        <v>223537.89</v>
      </c>
      <c r="R19" s="188">
        <v>217109.99</v>
      </c>
      <c r="S19" s="188">
        <v>0</v>
      </c>
    </row>
    <row r="20" spans="1:19" x14ac:dyDescent="0.25">
      <c r="A20" s="188" t="s">
        <v>207</v>
      </c>
      <c r="B20" s="188">
        <v>171085722.99000001</v>
      </c>
      <c r="C20" s="188">
        <v>98412313.170000002</v>
      </c>
      <c r="D20" s="188">
        <v>24837983.239999998</v>
      </c>
      <c r="E20" s="188">
        <v>180701153.99000001</v>
      </c>
      <c r="F20" s="188">
        <v>134917144.65000001</v>
      </c>
      <c r="G20" s="188">
        <v>74158469.930000007</v>
      </c>
      <c r="H20" s="188">
        <v>21153390.219999999</v>
      </c>
      <c r="I20" s="188">
        <v>149796047.52000001</v>
      </c>
      <c r="J20" s="188">
        <v>110997852.59</v>
      </c>
      <c r="K20" s="188">
        <v>57578394.520000003</v>
      </c>
      <c r="L20" s="188">
        <v>10864080.15</v>
      </c>
      <c r="M20" s="188">
        <v>138852954.72999999</v>
      </c>
      <c r="N20" s="188">
        <v>94510305.099999994</v>
      </c>
      <c r="O20" s="188">
        <v>112122121.2</v>
      </c>
      <c r="P20" s="188">
        <v>100755792.95999999</v>
      </c>
      <c r="Q20" s="188">
        <v>96615239.569999993</v>
      </c>
      <c r="R20" s="188">
        <v>84191840.510000005</v>
      </c>
      <c r="S20" s="188">
        <v>0</v>
      </c>
    </row>
    <row r="21" spans="1:19" x14ac:dyDescent="0.25">
      <c r="A21" s="188" t="s">
        <v>208</v>
      </c>
      <c r="B21" s="188">
        <v>24055102.030000001</v>
      </c>
      <c r="C21" s="188">
        <v>14833979.970000001</v>
      </c>
      <c r="D21" s="188">
        <v>5246553.07</v>
      </c>
      <c r="E21" s="188">
        <v>25476937.940000001</v>
      </c>
      <c r="F21" s="188">
        <v>20249808.260000002</v>
      </c>
      <c r="G21" s="188">
        <v>12200381.68</v>
      </c>
      <c r="H21" s="188">
        <v>4219646.83</v>
      </c>
      <c r="I21" s="188">
        <v>22021985.010000002</v>
      </c>
      <c r="J21" s="188">
        <v>17539446.210000001</v>
      </c>
      <c r="K21" s="188">
        <v>9288285.5500000007</v>
      </c>
      <c r="L21" s="188">
        <v>2029810.56</v>
      </c>
      <c r="M21" s="188">
        <v>20513792.670000002</v>
      </c>
      <c r="N21" s="188">
        <v>15626808.42</v>
      </c>
      <c r="O21" s="188">
        <v>17208158.18</v>
      </c>
      <c r="P21" s="188">
        <v>16737393.439999999</v>
      </c>
      <c r="Q21" s="188">
        <v>18041146.789999999</v>
      </c>
      <c r="R21" s="188">
        <v>14607685.76</v>
      </c>
      <c r="S21" s="188">
        <v>0</v>
      </c>
    </row>
    <row r="22" spans="1:19" x14ac:dyDescent="0.25">
      <c r="A22" s="188" t="s">
        <v>209</v>
      </c>
      <c r="B22" s="188">
        <v>147030620.96000001</v>
      </c>
      <c r="C22" s="188">
        <v>83578333.200000003</v>
      </c>
      <c r="D22" s="188">
        <v>19591430.170000002</v>
      </c>
      <c r="E22" s="188">
        <v>155224216.05000001</v>
      </c>
      <c r="F22" s="188">
        <v>114667336.39</v>
      </c>
      <c r="G22" s="188">
        <v>61958088.25</v>
      </c>
      <c r="H22" s="188">
        <v>16933743.390000001</v>
      </c>
      <c r="I22" s="188">
        <v>127774062.51000001</v>
      </c>
      <c r="J22" s="188">
        <v>93458406.379999995</v>
      </c>
      <c r="K22" s="188">
        <v>48290108.969999999</v>
      </c>
      <c r="L22" s="188">
        <v>8834269.5899999999</v>
      </c>
      <c r="M22" s="188">
        <v>118339162.06</v>
      </c>
      <c r="N22" s="188">
        <v>78883496.680000007</v>
      </c>
      <c r="O22" s="188">
        <v>94913963.019999996</v>
      </c>
      <c r="P22" s="188">
        <v>84018399.519999996</v>
      </c>
      <c r="Q22" s="188">
        <v>78574092.780000001</v>
      </c>
      <c r="R22" s="188">
        <v>69584154.75</v>
      </c>
      <c r="S22" s="188">
        <v>0</v>
      </c>
    </row>
    <row r="23" spans="1:19" x14ac:dyDescent="0.25">
      <c r="A23" s="188" t="s">
        <v>210</v>
      </c>
      <c r="B23" s="188">
        <v>139399740.59999999</v>
      </c>
      <c r="C23" s="188">
        <v>79000001.849999994</v>
      </c>
      <c r="D23" s="188">
        <v>19430501.170000002</v>
      </c>
      <c r="E23" s="188">
        <v>144224161.13999999</v>
      </c>
      <c r="F23" s="188">
        <v>106673425.17</v>
      </c>
      <c r="G23" s="188">
        <v>56706784.859999999</v>
      </c>
      <c r="H23" s="188">
        <v>15660461.68</v>
      </c>
      <c r="I23" s="188">
        <v>115773356.06</v>
      </c>
      <c r="J23" s="188">
        <v>85007904.799999997</v>
      </c>
      <c r="K23" s="188">
        <v>43355787.439999998</v>
      </c>
      <c r="L23" s="188">
        <v>6613940.6299999999</v>
      </c>
      <c r="M23" s="188">
        <v>104879188.44</v>
      </c>
      <c r="N23" s="188">
        <v>68857786.689999998</v>
      </c>
      <c r="O23" s="188">
        <v>85142112.980000004</v>
      </c>
      <c r="P23" s="188">
        <v>77841809.030000001</v>
      </c>
      <c r="Q23" s="188">
        <v>73628488.819999993</v>
      </c>
      <c r="R23" s="188">
        <v>65045129.409999996</v>
      </c>
      <c r="S23" s="188">
        <v>0</v>
      </c>
    </row>
    <row r="24" spans="1:19" x14ac:dyDescent="0.25">
      <c r="A24" s="188" t="s">
        <v>211</v>
      </c>
      <c r="B24" s="188">
        <v>7630880.3600000003</v>
      </c>
      <c r="C24" s="188">
        <v>4578331.3499999996</v>
      </c>
      <c r="D24" s="188">
        <v>160929</v>
      </c>
      <c r="E24" s="188">
        <v>11000054.91</v>
      </c>
      <c r="F24" s="188">
        <v>7993911.2199999997</v>
      </c>
      <c r="G24" s="188">
        <v>5251303.3899999997</v>
      </c>
      <c r="H24" s="188">
        <v>1273281.71</v>
      </c>
      <c r="I24" s="188">
        <v>12000706.449999999</v>
      </c>
      <c r="J24" s="188">
        <v>8450501.5800000001</v>
      </c>
      <c r="K24" s="188">
        <v>4934321.53</v>
      </c>
      <c r="L24" s="188">
        <v>2220328.96</v>
      </c>
      <c r="M24" s="188">
        <v>13459973.619999999</v>
      </c>
      <c r="N24" s="188">
        <v>10025709.99</v>
      </c>
      <c r="O24" s="188">
        <v>9771850.0399999991</v>
      </c>
      <c r="P24" s="188">
        <v>6176590.4900000002</v>
      </c>
      <c r="Q24" s="188">
        <v>4945603.96</v>
      </c>
      <c r="R24" s="188">
        <v>4539025.34</v>
      </c>
      <c r="S24" s="188">
        <v>0</v>
      </c>
    </row>
    <row r="25" spans="1:19" x14ac:dyDescent="0.25">
      <c r="A25" s="188" t="s">
        <v>212</v>
      </c>
    </row>
    <row r="26" spans="1:19" x14ac:dyDescent="0.25">
      <c r="A26" s="188" t="s">
        <v>213</v>
      </c>
      <c r="B26" s="188">
        <v>0.63360000000000005</v>
      </c>
      <c r="C26" s="188">
        <v>0.35909999999999997</v>
      </c>
      <c r="D26" s="188">
        <v>8.8300000000000003E-2</v>
      </c>
      <c r="E26" s="188">
        <v>0.65559999999999996</v>
      </c>
      <c r="F26" s="188">
        <v>0.4849</v>
      </c>
      <c r="G26" s="188">
        <v>0.25779999999999997</v>
      </c>
      <c r="H26" s="188">
        <v>7.1199999999999999E-2</v>
      </c>
      <c r="I26" s="188">
        <v>0.68269999999999997</v>
      </c>
      <c r="J26" s="188">
        <v>0</v>
      </c>
      <c r="K26" s="188">
        <v>0.26279999999999998</v>
      </c>
      <c r="L26" s="188">
        <v>4.0099999999999997E-2</v>
      </c>
      <c r="M26" s="188">
        <v>0.63560000000000005</v>
      </c>
      <c r="N26" s="188">
        <v>0</v>
      </c>
      <c r="O26" s="188">
        <v>0.51600000000000001</v>
      </c>
      <c r="P26" s="188">
        <v>0.4718</v>
      </c>
      <c r="Q26" s="188">
        <v>0.44619999999999999</v>
      </c>
      <c r="R26" s="188">
        <v>0.39419999999999999</v>
      </c>
      <c r="S26" s="188">
        <v>0</v>
      </c>
    </row>
    <row r="27" spans="1:19" x14ac:dyDescent="0.25">
      <c r="A27" s="188" t="s">
        <v>214</v>
      </c>
      <c r="B27" s="188">
        <v>0.63360000000000005</v>
      </c>
      <c r="C27" s="188">
        <v>0.35909999999999997</v>
      </c>
      <c r="D27" s="188">
        <v>8.8300000000000003E-2</v>
      </c>
      <c r="E27" s="188">
        <v>0.65559999999999996</v>
      </c>
      <c r="F27" s="188">
        <v>0.4849</v>
      </c>
      <c r="G27" s="188">
        <v>0.25779999999999997</v>
      </c>
      <c r="H27" s="188">
        <v>7.1199999999999999E-2</v>
      </c>
      <c r="I27" s="188">
        <v>0.68269999999999997</v>
      </c>
      <c r="J27" s="188">
        <v>0</v>
      </c>
      <c r="K27" s="188">
        <v>0.26279999999999998</v>
      </c>
      <c r="L27" s="188">
        <v>4.0099999999999997E-2</v>
      </c>
      <c r="M27" s="188">
        <v>0.63560000000000005</v>
      </c>
      <c r="N27" s="188">
        <v>0</v>
      </c>
      <c r="O27" s="188">
        <v>0.51600000000000001</v>
      </c>
      <c r="P27" s="188">
        <v>0.4718</v>
      </c>
      <c r="Q27" s="188">
        <v>0.44619999999999999</v>
      </c>
      <c r="R27" s="188">
        <v>0.39419999999999999</v>
      </c>
      <c r="S27" s="188">
        <v>0</v>
      </c>
    </row>
    <row r="28" spans="1:19" x14ac:dyDescent="0.25">
      <c r="A28" s="188" t="s">
        <v>215</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row>
    <row r="29" spans="1:19" x14ac:dyDescent="0.25">
      <c r="A29" s="188" t="s">
        <v>216</v>
      </c>
      <c r="B29" s="188">
        <v>147030620.96000001</v>
      </c>
      <c r="C29" s="188">
        <v>83578333.200000003</v>
      </c>
      <c r="D29" s="188">
        <v>19591430.170000002</v>
      </c>
      <c r="E29" s="188">
        <v>155224216.05000001</v>
      </c>
      <c r="F29" s="188">
        <v>114667336.39</v>
      </c>
      <c r="G29" s="188">
        <v>61958088.25</v>
      </c>
      <c r="H29" s="188">
        <v>16933743.390000001</v>
      </c>
      <c r="I29" s="188">
        <v>127774062.51000001</v>
      </c>
      <c r="J29" s="188">
        <v>0</v>
      </c>
      <c r="K29" s="188">
        <v>48290108.969999999</v>
      </c>
      <c r="L29" s="188">
        <v>8834269.5899999999</v>
      </c>
      <c r="M29" s="188">
        <v>118339162.06</v>
      </c>
      <c r="N29" s="188">
        <v>0</v>
      </c>
      <c r="O29" s="188">
        <v>94913963.019999996</v>
      </c>
      <c r="P29" s="188">
        <v>84018399.519999996</v>
      </c>
      <c r="Q29" s="188">
        <v>0</v>
      </c>
      <c r="R29" s="188">
        <v>0</v>
      </c>
      <c r="S29" s="188">
        <v>0</v>
      </c>
    </row>
    <row r="30" spans="1:19" x14ac:dyDescent="0.25">
      <c r="A30" s="188" t="s">
        <v>217</v>
      </c>
      <c r="B30" s="188">
        <v>139399740.59999999</v>
      </c>
      <c r="C30" s="188">
        <v>79000001.849999994</v>
      </c>
      <c r="D30" s="188">
        <v>19430501.170000002</v>
      </c>
      <c r="E30" s="188">
        <v>144224161.13999999</v>
      </c>
      <c r="F30" s="188">
        <v>106673425.17</v>
      </c>
      <c r="G30" s="188">
        <v>56706784.859999999</v>
      </c>
      <c r="H30" s="188">
        <v>15660461.68</v>
      </c>
      <c r="I30" s="188">
        <v>115773356.06</v>
      </c>
      <c r="J30" s="188">
        <v>0</v>
      </c>
      <c r="K30" s="188">
        <v>43355787.439999998</v>
      </c>
      <c r="L30" s="188">
        <v>6613940.6299999999</v>
      </c>
      <c r="M30" s="188">
        <v>104879188.44</v>
      </c>
      <c r="N30" s="188">
        <v>0</v>
      </c>
      <c r="O30" s="188">
        <v>85142112.980000004</v>
      </c>
      <c r="P30" s="188">
        <v>77841809.030000001</v>
      </c>
      <c r="Q30" s="188">
        <v>0</v>
      </c>
      <c r="R30" s="188">
        <v>0</v>
      </c>
      <c r="S30" s="188">
        <v>0</v>
      </c>
    </row>
    <row r="31" spans="1:19" x14ac:dyDescent="0.25">
      <c r="A31" s="188" t="s">
        <v>218</v>
      </c>
      <c r="B31" s="188">
        <v>7630880.3600000003</v>
      </c>
      <c r="C31" s="188">
        <v>4578331.3499999996</v>
      </c>
      <c r="D31" s="188">
        <v>160929</v>
      </c>
      <c r="E31" s="188">
        <v>11000054.91</v>
      </c>
      <c r="F31" s="188">
        <v>7993911.2199999997</v>
      </c>
      <c r="G31" s="188">
        <v>5251303.3899999997</v>
      </c>
      <c r="H31" s="188">
        <v>1273281.71</v>
      </c>
      <c r="I31" s="188">
        <v>12000706.449999999</v>
      </c>
      <c r="J31" s="188">
        <v>0</v>
      </c>
      <c r="K31" s="188">
        <v>4934321.53</v>
      </c>
      <c r="L31" s="188">
        <v>2220328.96</v>
      </c>
      <c r="M31" s="188">
        <v>13459973.619999999</v>
      </c>
      <c r="N31" s="188">
        <v>0</v>
      </c>
      <c r="O31" s="188">
        <v>9771850.0399999991</v>
      </c>
      <c r="P31" s="188">
        <v>6176590.4900000002</v>
      </c>
      <c r="Q31" s="188">
        <v>0</v>
      </c>
      <c r="R31" s="188">
        <v>0</v>
      </c>
      <c r="S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S77"/>
  <sheetViews>
    <sheetView workbookViewId="0">
      <selection activeCell="A31" sqref="A31"/>
    </sheetView>
  </sheetViews>
  <sheetFormatPr defaultRowHeight="14.4" x14ac:dyDescent="0.25"/>
  <cols>
    <col min="1" max="1" width="57.777343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4" width="13.88671875" style="188" hidden="1" customWidth="1"/>
    <col min="15" max="18" width="13.88671875" style="188" bestFit="1" customWidth="1"/>
    <col min="19" max="19" width="9.5546875" style="188" hidden="1" customWidth="1"/>
    <col min="20" max="16384" width="8.88671875" style="188"/>
  </cols>
  <sheetData>
    <row r="1" spans="1:19" x14ac:dyDescent="0.25">
      <c r="A1" s="188">
        <v>603060</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20141231</v>
      </c>
      <c r="P1" s="188">
        <v>20131231</v>
      </c>
      <c r="Q1" s="188">
        <v>20121231</v>
      </c>
      <c r="R1" s="188">
        <v>20111231</v>
      </c>
      <c r="S1" s="188">
        <v>19700101</v>
      </c>
    </row>
    <row r="2" spans="1:19"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row>
    <row r="3" spans="1:19" x14ac:dyDescent="0.25">
      <c r="A3" s="188" t="s">
        <v>219</v>
      </c>
    </row>
    <row r="4" spans="1:19" x14ac:dyDescent="0.25">
      <c r="A4" s="188" t="s">
        <v>220</v>
      </c>
      <c r="B4" s="188">
        <v>659665560.52999997</v>
      </c>
      <c r="C4" s="188">
        <v>392892543.87</v>
      </c>
      <c r="D4" s="188">
        <v>177583663.96000001</v>
      </c>
      <c r="E4" s="188">
        <v>801161519.13999999</v>
      </c>
      <c r="F4" s="188">
        <v>554516123.82000005</v>
      </c>
      <c r="G4" s="188">
        <v>360711308.88</v>
      </c>
      <c r="H4" s="188">
        <v>170192175.44999999</v>
      </c>
      <c r="I4" s="188">
        <v>711350011.96000004</v>
      </c>
      <c r="J4" s="188">
        <v>498709587.62</v>
      </c>
      <c r="K4" s="188">
        <v>305322938.24000001</v>
      </c>
      <c r="L4" s="188">
        <v>127848330.19</v>
      </c>
      <c r="M4" s="188">
        <v>637450598.5</v>
      </c>
      <c r="N4" s="188">
        <v>454338256.08999997</v>
      </c>
      <c r="O4" s="188">
        <v>565089648.98000002</v>
      </c>
      <c r="P4" s="188">
        <v>515923527.69999999</v>
      </c>
      <c r="Q4" s="188">
        <v>420546580.74000001</v>
      </c>
      <c r="R4" s="188">
        <v>325120725.17000002</v>
      </c>
      <c r="S4" s="188">
        <v>0</v>
      </c>
    </row>
    <row r="5" spans="1:19" x14ac:dyDescent="0.25">
      <c r="A5" s="188" t="s">
        <v>221</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row>
    <row r="6" spans="1:19" x14ac:dyDescent="0.25">
      <c r="A6" s="188" t="s">
        <v>222</v>
      </c>
      <c r="B6" s="188">
        <v>43315066.299999997</v>
      </c>
      <c r="C6" s="188">
        <v>29693139.300000001</v>
      </c>
      <c r="D6" s="188">
        <v>14280324.74</v>
      </c>
      <c r="E6" s="188">
        <v>36262909.530000001</v>
      </c>
      <c r="F6" s="188">
        <v>26061897.059999999</v>
      </c>
      <c r="G6" s="188">
        <v>15841524.33</v>
      </c>
      <c r="H6" s="188">
        <v>8300628.6100000003</v>
      </c>
      <c r="I6" s="188">
        <v>55617980.659999996</v>
      </c>
      <c r="J6" s="188">
        <v>34584149.729999997</v>
      </c>
      <c r="K6" s="188">
        <v>16355101.470000001</v>
      </c>
      <c r="L6" s="188">
        <v>7646073.4199999999</v>
      </c>
      <c r="M6" s="188">
        <v>47304988.530000001</v>
      </c>
      <c r="N6" s="188">
        <v>35062391.770000003</v>
      </c>
      <c r="O6" s="188">
        <v>24025024.07</v>
      </c>
      <c r="P6" s="188">
        <v>9740805.0199999996</v>
      </c>
      <c r="Q6" s="188">
        <v>5284780.84</v>
      </c>
      <c r="R6" s="188">
        <v>6450921.5499999998</v>
      </c>
      <c r="S6" s="188">
        <v>0</v>
      </c>
    </row>
    <row r="7" spans="1:19" x14ac:dyDescent="0.25">
      <c r="A7" s="188" t="s">
        <v>223</v>
      </c>
      <c r="B7" s="188">
        <v>702980626.83000004</v>
      </c>
      <c r="C7" s="188">
        <v>422585683.17000002</v>
      </c>
      <c r="D7" s="188">
        <v>191863988.69999999</v>
      </c>
      <c r="E7" s="188">
        <v>837424428.66999996</v>
      </c>
      <c r="F7" s="188">
        <v>580578020.88</v>
      </c>
      <c r="G7" s="188">
        <v>376552833.20999998</v>
      </c>
      <c r="H7" s="188">
        <v>178492804.06</v>
      </c>
      <c r="I7" s="188">
        <v>766967992.62</v>
      </c>
      <c r="J7" s="188">
        <v>533293737.35000002</v>
      </c>
      <c r="K7" s="188">
        <v>321678039.70999998</v>
      </c>
      <c r="L7" s="188">
        <v>135494403.61000001</v>
      </c>
      <c r="M7" s="188">
        <v>684755587.02999997</v>
      </c>
      <c r="N7" s="188">
        <v>489400647.86000001</v>
      </c>
      <c r="O7" s="188">
        <v>589114673.04999995</v>
      </c>
      <c r="P7" s="188">
        <v>525664332.72000003</v>
      </c>
      <c r="Q7" s="188">
        <v>425831361.57999998</v>
      </c>
      <c r="R7" s="188">
        <v>331571646.72000003</v>
      </c>
      <c r="S7" s="188">
        <v>0</v>
      </c>
    </row>
    <row r="8" spans="1:19" x14ac:dyDescent="0.25">
      <c r="A8" s="188" t="s">
        <v>224</v>
      </c>
      <c r="B8" s="188">
        <v>229663185.24000001</v>
      </c>
      <c r="C8" s="188">
        <v>143330980.00999999</v>
      </c>
      <c r="D8" s="188">
        <v>82253001.049999997</v>
      </c>
      <c r="E8" s="188">
        <v>244840380.53</v>
      </c>
      <c r="F8" s="188">
        <v>169857410.24000001</v>
      </c>
      <c r="G8" s="188">
        <v>106075990.33</v>
      </c>
      <c r="H8" s="188">
        <v>59586637.090000004</v>
      </c>
      <c r="I8" s="188">
        <v>182420074.81999999</v>
      </c>
      <c r="J8" s="188">
        <v>133080799.20999999</v>
      </c>
      <c r="K8" s="188">
        <v>81681480.540000007</v>
      </c>
      <c r="L8" s="188">
        <v>42162364.82</v>
      </c>
      <c r="M8" s="188">
        <v>179496995.66</v>
      </c>
      <c r="N8" s="188">
        <v>147693214.06999999</v>
      </c>
      <c r="O8" s="188">
        <v>156711904.91999999</v>
      </c>
      <c r="P8" s="188">
        <v>161425714.91</v>
      </c>
      <c r="Q8" s="188">
        <v>122925383.56999999</v>
      </c>
      <c r="R8" s="188">
        <v>91605157.790000007</v>
      </c>
      <c r="S8" s="188">
        <v>0</v>
      </c>
    </row>
    <row r="9" spans="1:19" x14ac:dyDescent="0.25">
      <c r="A9" s="188" t="s">
        <v>225</v>
      </c>
      <c r="B9" s="188">
        <v>228546068.62</v>
      </c>
      <c r="C9" s="188">
        <v>157753123.15000001</v>
      </c>
      <c r="D9" s="188">
        <v>85608887.620000005</v>
      </c>
      <c r="E9" s="188">
        <v>277144839.24000001</v>
      </c>
      <c r="F9" s="188">
        <v>193003150.27000001</v>
      </c>
      <c r="G9" s="188">
        <v>131935658.45999999</v>
      </c>
      <c r="H9" s="188">
        <v>72149341.040000007</v>
      </c>
      <c r="I9" s="188">
        <v>253177088.38999999</v>
      </c>
      <c r="J9" s="188">
        <v>170156535.68000001</v>
      </c>
      <c r="K9" s="188">
        <v>117396651.3</v>
      </c>
      <c r="L9" s="188">
        <v>66175167.109999999</v>
      </c>
      <c r="M9" s="188">
        <v>212040085.53</v>
      </c>
      <c r="N9" s="188">
        <v>149971279.61000001</v>
      </c>
      <c r="O9" s="188">
        <v>187788781.61000001</v>
      </c>
      <c r="P9" s="188">
        <v>156975592.97999999</v>
      </c>
      <c r="Q9" s="188">
        <v>118605915.26000001</v>
      </c>
      <c r="R9" s="188">
        <v>84544720.900000006</v>
      </c>
      <c r="S9" s="188">
        <v>0</v>
      </c>
    </row>
    <row r="10" spans="1:19" x14ac:dyDescent="0.25">
      <c r="A10" s="188" t="s">
        <v>226</v>
      </c>
      <c r="B10" s="188">
        <v>44051968.299999997</v>
      </c>
      <c r="C10" s="188">
        <v>29341479.859999999</v>
      </c>
      <c r="D10" s="188">
        <v>12061329.85</v>
      </c>
      <c r="E10" s="188">
        <v>59964090.539999999</v>
      </c>
      <c r="F10" s="188">
        <v>45147841.590000004</v>
      </c>
      <c r="G10" s="188">
        <v>31462655.48</v>
      </c>
      <c r="H10" s="188">
        <v>13874624.289999999</v>
      </c>
      <c r="I10" s="188">
        <v>52500098.460000001</v>
      </c>
      <c r="J10" s="188">
        <v>41470887.240000002</v>
      </c>
      <c r="K10" s="188">
        <v>25257564.039999999</v>
      </c>
      <c r="L10" s="188">
        <v>12358083.92</v>
      </c>
      <c r="M10" s="188">
        <v>53793332.039999999</v>
      </c>
      <c r="N10" s="188">
        <v>41343522.07</v>
      </c>
      <c r="O10" s="188">
        <v>47908966.039999999</v>
      </c>
      <c r="P10" s="188">
        <v>42141585.780000001</v>
      </c>
      <c r="Q10" s="188">
        <v>35892772.869999997</v>
      </c>
      <c r="R10" s="188">
        <v>31171477.239999998</v>
      </c>
      <c r="S10" s="188">
        <v>0</v>
      </c>
    </row>
    <row r="11" spans="1:19" x14ac:dyDescent="0.25">
      <c r="A11" s="188" t="s">
        <v>227</v>
      </c>
      <c r="B11" s="188">
        <v>75217756.060000002</v>
      </c>
      <c r="C11" s="188">
        <v>47533156.920000002</v>
      </c>
      <c r="D11" s="188">
        <v>19598458.370000001</v>
      </c>
      <c r="E11" s="188">
        <v>99966202.799999997</v>
      </c>
      <c r="F11" s="188">
        <v>62789560.590000004</v>
      </c>
      <c r="G11" s="188">
        <v>40058981.840000004</v>
      </c>
      <c r="H11" s="188">
        <v>13805909.039999999</v>
      </c>
      <c r="I11" s="188">
        <v>75524944.769999996</v>
      </c>
      <c r="J11" s="188">
        <v>50916290.060000002</v>
      </c>
      <c r="K11" s="188">
        <v>30741716.789999999</v>
      </c>
      <c r="L11" s="188">
        <v>10537052.390000001</v>
      </c>
      <c r="M11" s="188">
        <v>61036720.630000003</v>
      </c>
      <c r="N11" s="188">
        <v>64627878.990000002</v>
      </c>
      <c r="O11" s="188">
        <v>50107622.729999997</v>
      </c>
      <c r="P11" s="188">
        <v>52375358.649999999</v>
      </c>
      <c r="Q11" s="188">
        <v>38424614.920000002</v>
      </c>
      <c r="R11" s="188">
        <v>30609548.25</v>
      </c>
      <c r="S11" s="188">
        <v>0</v>
      </c>
    </row>
    <row r="12" spans="1:19" x14ac:dyDescent="0.25">
      <c r="A12" s="188" t="s">
        <v>228</v>
      </c>
      <c r="B12" s="188">
        <v>577478978.22000003</v>
      </c>
      <c r="C12" s="188">
        <v>377958739.94</v>
      </c>
      <c r="D12" s="188">
        <v>199521676.88999999</v>
      </c>
      <c r="E12" s="188">
        <v>681915513.11000001</v>
      </c>
      <c r="F12" s="188">
        <v>470797962.69</v>
      </c>
      <c r="G12" s="188">
        <v>309533286.11000001</v>
      </c>
      <c r="H12" s="188">
        <v>159416511.46000001</v>
      </c>
      <c r="I12" s="188">
        <v>563622206.44000006</v>
      </c>
      <c r="J12" s="188">
        <v>395624512.19</v>
      </c>
      <c r="K12" s="188">
        <v>255077412.66999999</v>
      </c>
      <c r="L12" s="188">
        <v>131232668.23999999</v>
      </c>
      <c r="M12" s="188">
        <v>506367133.86000001</v>
      </c>
      <c r="N12" s="188">
        <v>403635894.74000001</v>
      </c>
      <c r="O12" s="188">
        <v>442517275.30000001</v>
      </c>
      <c r="P12" s="188">
        <v>412918252.31999999</v>
      </c>
      <c r="Q12" s="188">
        <v>315848686.62</v>
      </c>
      <c r="R12" s="188">
        <v>237930904.18000001</v>
      </c>
      <c r="S12" s="188">
        <v>0</v>
      </c>
    </row>
    <row r="13" spans="1:19" x14ac:dyDescent="0.25">
      <c r="A13" s="188" t="s">
        <v>229</v>
      </c>
      <c r="B13" s="188">
        <v>125501648.61</v>
      </c>
      <c r="C13" s="188">
        <v>44626943.229999997</v>
      </c>
      <c r="D13" s="188">
        <v>-7657688.1900000004</v>
      </c>
      <c r="E13" s="188">
        <v>155508915.56</v>
      </c>
      <c r="F13" s="188">
        <v>109780058.19</v>
      </c>
      <c r="G13" s="188">
        <v>67019547.100000001</v>
      </c>
      <c r="H13" s="188">
        <v>19076292.600000001</v>
      </c>
      <c r="I13" s="188">
        <v>203345786.18000001</v>
      </c>
      <c r="J13" s="188">
        <v>137669225.16</v>
      </c>
      <c r="K13" s="188">
        <v>66600627.039999999</v>
      </c>
      <c r="L13" s="188">
        <v>4261735.37</v>
      </c>
      <c r="M13" s="188">
        <v>178388453.16999999</v>
      </c>
      <c r="N13" s="188">
        <v>85764753.120000005</v>
      </c>
      <c r="O13" s="188">
        <v>146597397.75</v>
      </c>
      <c r="P13" s="188">
        <v>112746080.40000001</v>
      </c>
      <c r="Q13" s="188">
        <v>109982674.95999999</v>
      </c>
      <c r="R13" s="188">
        <v>93640742.540000007</v>
      </c>
      <c r="S13" s="188">
        <v>0</v>
      </c>
    </row>
    <row r="14" spans="1:19" x14ac:dyDescent="0.25">
      <c r="A14" s="188" t="s">
        <v>230</v>
      </c>
    </row>
    <row r="15" spans="1:19" x14ac:dyDescent="0.25">
      <c r="A15" s="188" t="s">
        <v>231</v>
      </c>
      <c r="B15" s="188">
        <v>0</v>
      </c>
      <c r="C15" s="188">
        <v>0</v>
      </c>
      <c r="D15" s="188">
        <v>0</v>
      </c>
      <c r="E15" s="188">
        <v>0</v>
      </c>
      <c r="F15" s="188">
        <v>0</v>
      </c>
      <c r="G15" s="188">
        <v>0</v>
      </c>
      <c r="H15" s="188">
        <v>0</v>
      </c>
      <c r="I15" s="188">
        <v>0</v>
      </c>
      <c r="J15" s="188">
        <v>0</v>
      </c>
      <c r="K15" s="188">
        <v>0</v>
      </c>
      <c r="L15" s="188">
        <v>0</v>
      </c>
      <c r="M15" s="188">
        <v>1000000</v>
      </c>
      <c r="N15" s="188">
        <v>1000000</v>
      </c>
      <c r="O15" s="188">
        <v>0</v>
      </c>
      <c r="P15" s="188">
        <v>0</v>
      </c>
      <c r="Q15" s="188">
        <v>0</v>
      </c>
      <c r="R15" s="188">
        <v>0</v>
      </c>
      <c r="S15" s="188">
        <v>0</v>
      </c>
    </row>
    <row r="16" spans="1:19" x14ac:dyDescent="0.25">
      <c r="A16" s="188" t="s">
        <v>232</v>
      </c>
      <c r="B16" s="188">
        <v>10278291.24</v>
      </c>
      <c r="C16" s="188">
        <v>6479119.46</v>
      </c>
      <c r="D16" s="188">
        <v>4090676.54</v>
      </c>
      <c r="E16" s="188">
        <v>8230887.71</v>
      </c>
      <c r="F16" s="188">
        <v>5563118.3600000003</v>
      </c>
      <c r="G16" s="188">
        <v>2828229.63</v>
      </c>
      <c r="H16" s="188">
        <v>741331</v>
      </c>
      <c r="I16" s="188">
        <v>336511.65</v>
      </c>
      <c r="J16" s="188">
        <v>95728.77</v>
      </c>
      <c r="K16" s="188">
        <v>59769.87</v>
      </c>
      <c r="L16" s="188">
        <v>0</v>
      </c>
      <c r="M16" s="188">
        <v>0</v>
      </c>
      <c r="N16" s="188">
        <v>0</v>
      </c>
      <c r="O16" s="188">
        <v>0</v>
      </c>
      <c r="P16" s="188">
        <v>0</v>
      </c>
      <c r="Q16" s="188">
        <v>0</v>
      </c>
      <c r="R16" s="188">
        <v>0</v>
      </c>
      <c r="S16" s="188">
        <v>0</v>
      </c>
    </row>
    <row r="17" spans="1:19" x14ac:dyDescent="0.25">
      <c r="A17" s="188" t="s">
        <v>233</v>
      </c>
      <c r="B17" s="188">
        <v>55629.26</v>
      </c>
      <c r="C17" s="188">
        <v>52629.26</v>
      </c>
      <c r="D17" s="188">
        <v>37795.65</v>
      </c>
      <c r="E17" s="188">
        <v>370072.1</v>
      </c>
      <c r="F17" s="188">
        <v>436200</v>
      </c>
      <c r="G17" s="188">
        <v>424700</v>
      </c>
      <c r="H17" s="188">
        <v>281880</v>
      </c>
      <c r="I17" s="188">
        <v>9612025.1600000001</v>
      </c>
      <c r="J17" s="188">
        <v>49163.3</v>
      </c>
      <c r="K17" s="188">
        <v>17833</v>
      </c>
      <c r="L17" s="188">
        <v>7689</v>
      </c>
      <c r="M17" s="188">
        <v>67792.53</v>
      </c>
      <c r="N17" s="188">
        <v>45745.03</v>
      </c>
      <c r="O17" s="188">
        <v>176528</v>
      </c>
      <c r="P17" s="188">
        <v>119436</v>
      </c>
      <c r="Q17" s="188">
        <v>1219188.68</v>
      </c>
      <c r="R17" s="188">
        <v>374680.55</v>
      </c>
      <c r="S17" s="188">
        <v>0</v>
      </c>
    </row>
    <row r="18" spans="1:19" x14ac:dyDescent="0.25">
      <c r="A18" s="188" t="s">
        <v>234</v>
      </c>
      <c r="B18" s="188">
        <v>0</v>
      </c>
      <c r="C18" s="188">
        <v>0</v>
      </c>
      <c r="D18" s="188">
        <v>0</v>
      </c>
      <c r="E18" s="188">
        <v>0</v>
      </c>
      <c r="F18" s="188">
        <v>0</v>
      </c>
      <c r="G18" s="188">
        <v>0</v>
      </c>
      <c r="H18" s="188">
        <v>0</v>
      </c>
      <c r="I18" s="188">
        <v>0</v>
      </c>
      <c r="J18" s="188">
        <v>0</v>
      </c>
      <c r="K18" s="188">
        <v>0</v>
      </c>
      <c r="L18" s="188">
        <v>0</v>
      </c>
      <c r="M18" s="188">
        <v>107261.55</v>
      </c>
      <c r="N18" s="188">
        <v>107261.55</v>
      </c>
      <c r="O18" s="188">
        <v>0</v>
      </c>
      <c r="P18" s="188">
        <v>0</v>
      </c>
      <c r="Q18" s="188">
        <v>0</v>
      </c>
      <c r="R18" s="188">
        <v>0</v>
      </c>
      <c r="S18" s="188">
        <v>0</v>
      </c>
    </row>
    <row r="19" spans="1:19" x14ac:dyDescent="0.25">
      <c r="A19" s="188" t="s">
        <v>235</v>
      </c>
      <c r="B19" s="188">
        <v>873000000</v>
      </c>
      <c r="C19" s="188">
        <v>558000000</v>
      </c>
      <c r="D19" s="188">
        <v>313000000</v>
      </c>
      <c r="E19" s="188">
        <v>1175270000</v>
      </c>
      <c r="F19" s="188">
        <v>880270000</v>
      </c>
      <c r="G19" s="188">
        <v>453570000</v>
      </c>
      <c r="H19" s="188">
        <v>217770000</v>
      </c>
      <c r="I19" s="188">
        <v>224500000</v>
      </c>
      <c r="J19" s="188">
        <v>0</v>
      </c>
      <c r="K19" s="188">
        <v>0</v>
      </c>
      <c r="L19" s="188">
        <v>102000000</v>
      </c>
      <c r="M19" s="188">
        <v>0</v>
      </c>
      <c r="N19" s="188">
        <v>0</v>
      </c>
      <c r="O19" s="188">
        <v>0</v>
      </c>
      <c r="P19" s="188">
        <v>0</v>
      </c>
      <c r="Q19" s="188">
        <v>10000000</v>
      </c>
      <c r="R19" s="188">
        <v>0</v>
      </c>
      <c r="S19" s="188">
        <v>0</v>
      </c>
    </row>
    <row r="20" spans="1:19" x14ac:dyDescent="0.25">
      <c r="A20" s="188" t="s">
        <v>236</v>
      </c>
      <c r="B20" s="188">
        <v>883333920.5</v>
      </c>
      <c r="C20" s="188">
        <v>564531748.72000003</v>
      </c>
      <c r="D20" s="188">
        <v>317128472.19</v>
      </c>
      <c r="E20" s="188">
        <v>1183870959.8099999</v>
      </c>
      <c r="F20" s="188">
        <v>886269318.36000001</v>
      </c>
      <c r="G20" s="188">
        <v>456822929.63</v>
      </c>
      <c r="H20" s="188">
        <v>218793211</v>
      </c>
      <c r="I20" s="188">
        <v>234448536.81</v>
      </c>
      <c r="J20" s="188">
        <v>144892.07</v>
      </c>
      <c r="K20" s="188">
        <v>77602.87</v>
      </c>
      <c r="L20" s="188">
        <v>102007689</v>
      </c>
      <c r="M20" s="188">
        <v>1175054.08</v>
      </c>
      <c r="N20" s="188">
        <v>1153006.58</v>
      </c>
      <c r="O20" s="188">
        <v>176528</v>
      </c>
      <c r="P20" s="188">
        <v>119436</v>
      </c>
      <c r="Q20" s="188">
        <v>11219188.68</v>
      </c>
      <c r="R20" s="188">
        <v>374680.55</v>
      </c>
      <c r="S20" s="188">
        <v>0</v>
      </c>
    </row>
    <row r="21" spans="1:19" x14ac:dyDescent="0.25">
      <c r="A21" s="188" t="s">
        <v>237</v>
      </c>
      <c r="B21" s="188">
        <v>74805991.439999998</v>
      </c>
      <c r="C21" s="188">
        <v>44863084.299999997</v>
      </c>
      <c r="D21" s="188">
        <v>20165188.25</v>
      </c>
      <c r="E21" s="188">
        <v>95221366.510000005</v>
      </c>
      <c r="F21" s="188">
        <v>59997371.659999996</v>
      </c>
      <c r="G21" s="188">
        <v>30176346.969999999</v>
      </c>
      <c r="H21" s="188">
        <v>17617551.010000002</v>
      </c>
      <c r="I21" s="188">
        <v>68799140.079999998</v>
      </c>
      <c r="J21" s="188">
        <v>56123747.530000001</v>
      </c>
      <c r="K21" s="188">
        <v>33793913.229999997</v>
      </c>
      <c r="L21" s="188">
        <v>16034616.74</v>
      </c>
      <c r="M21" s="188">
        <v>44719761.340000004</v>
      </c>
      <c r="N21" s="188">
        <v>28732733.170000002</v>
      </c>
      <c r="O21" s="188">
        <v>34035618.399999999</v>
      </c>
      <c r="P21" s="188">
        <v>205534323.25</v>
      </c>
      <c r="Q21" s="188">
        <v>98020191.620000005</v>
      </c>
      <c r="R21" s="188">
        <v>20215098.969999999</v>
      </c>
      <c r="S21" s="188">
        <v>0</v>
      </c>
    </row>
    <row r="22" spans="1:19" x14ac:dyDescent="0.25">
      <c r="A22" s="188" t="s">
        <v>238</v>
      </c>
      <c r="B22" s="188">
        <v>0</v>
      </c>
      <c r="C22" s="188">
        <v>0</v>
      </c>
      <c r="D22" s="188">
        <v>40559669</v>
      </c>
      <c r="E22" s="188">
        <v>33000000</v>
      </c>
      <c r="F22" s="188">
        <v>0</v>
      </c>
      <c r="G22" s="188">
        <v>0</v>
      </c>
      <c r="H22" s="188">
        <v>0</v>
      </c>
      <c r="I22" s="188">
        <v>0</v>
      </c>
      <c r="J22" s="188">
        <v>0</v>
      </c>
      <c r="K22" s="188">
        <v>0</v>
      </c>
      <c r="L22" s="188">
        <v>0</v>
      </c>
      <c r="M22" s="188">
        <v>0</v>
      </c>
      <c r="N22" s="188">
        <v>0</v>
      </c>
      <c r="O22" s="188">
        <v>0</v>
      </c>
      <c r="P22" s="188">
        <v>0</v>
      </c>
      <c r="Q22" s="188">
        <v>28858831.859999999</v>
      </c>
      <c r="R22" s="188">
        <v>1000000</v>
      </c>
      <c r="S22" s="188">
        <v>0</v>
      </c>
    </row>
    <row r="23" spans="1:19" x14ac:dyDescent="0.25">
      <c r="A23" s="188" t="s">
        <v>239</v>
      </c>
      <c r="B23" s="188">
        <v>21781052.800000001</v>
      </c>
      <c r="C23" s="188">
        <v>21781052.800000001</v>
      </c>
      <c r="D23" s="188">
        <v>0</v>
      </c>
      <c r="E23" s="188">
        <v>0</v>
      </c>
      <c r="F23" s="188">
        <v>0</v>
      </c>
      <c r="G23" s="188">
        <v>0</v>
      </c>
      <c r="H23" s="188">
        <v>0</v>
      </c>
      <c r="I23" s="188">
        <v>0</v>
      </c>
      <c r="J23" s="188">
        <v>0</v>
      </c>
      <c r="K23" s="188">
        <v>0</v>
      </c>
      <c r="L23" s="188">
        <v>0</v>
      </c>
      <c r="M23" s="188">
        <v>1028781.98</v>
      </c>
      <c r="N23" s="188">
        <v>1028781.98</v>
      </c>
      <c r="O23" s="188">
        <v>600000</v>
      </c>
      <c r="P23" s="188">
        <v>27774600</v>
      </c>
      <c r="Q23" s="188">
        <v>3635607.03</v>
      </c>
      <c r="R23" s="188">
        <v>37253856.159999996</v>
      </c>
      <c r="S23" s="188">
        <v>0</v>
      </c>
    </row>
    <row r="24" spans="1:19" x14ac:dyDescent="0.25">
      <c r="A24" s="188" t="s">
        <v>240</v>
      </c>
      <c r="B24" s="188">
        <v>996000000</v>
      </c>
      <c r="C24" s="188">
        <v>616000000</v>
      </c>
      <c r="D24" s="188">
        <v>406000000</v>
      </c>
      <c r="E24" s="188">
        <v>1172700000</v>
      </c>
      <c r="F24" s="188">
        <v>980700000</v>
      </c>
      <c r="G24" s="188">
        <v>450700000</v>
      </c>
      <c r="H24" s="188">
        <v>85000000</v>
      </c>
      <c r="I24" s="188">
        <v>494070000</v>
      </c>
      <c r="J24" s="188">
        <v>0</v>
      </c>
      <c r="K24" s="188">
        <v>0</v>
      </c>
      <c r="L24" s="188">
        <v>102000000</v>
      </c>
      <c r="M24" s="188">
        <v>0</v>
      </c>
      <c r="N24" s="188">
        <v>0</v>
      </c>
      <c r="O24" s="188">
        <v>0</v>
      </c>
      <c r="P24" s="188">
        <v>0</v>
      </c>
      <c r="Q24" s="188">
        <v>1314377.48</v>
      </c>
      <c r="R24" s="188">
        <v>20069857.199999999</v>
      </c>
      <c r="S24" s="188">
        <v>0</v>
      </c>
    </row>
    <row r="25" spans="1:19" x14ac:dyDescent="0.25">
      <c r="A25" s="188" t="s">
        <v>241</v>
      </c>
      <c r="B25" s="188">
        <v>1092587044.24</v>
      </c>
      <c r="C25" s="188">
        <v>682644137.10000002</v>
      </c>
      <c r="D25" s="188">
        <v>466724857.25</v>
      </c>
      <c r="E25" s="188">
        <v>1300921366.51</v>
      </c>
      <c r="F25" s="188">
        <v>1040697371.66</v>
      </c>
      <c r="G25" s="188">
        <v>480876346.97000003</v>
      </c>
      <c r="H25" s="188">
        <v>102617551.01000001</v>
      </c>
      <c r="I25" s="188">
        <v>562869140.08000004</v>
      </c>
      <c r="J25" s="188">
        <v>56123747.530000001</v>
      </c>
      <c r="K25" s="188">
        <v>33793913.229999997</v>
      </c>
      <c r="L25" s="188">
        <v>118034616.73999999</v>
      </c>
      <c r="M25" s="188">
        <v>45748543.32</v>
      </c>
      <c r="N25" s="188">
        <v>29761515.149999999</v>
      </c>
      <c r="O25" s="188">
        <v>34635618.399999999</v>
      </c>
      <c r="P25" s="188">
        <v>233308923.25</v>
      </c>
      <c r="Q25" s="188">
        <v>131829007.98999999</v>
      </c>
      <c r="R25" s="188">
        <v>78538812.329999998</v>
      </c>
      <c r="S25" s="188">
        <v>0</v>
      </c>
    </row>
    <row r="26" spans="1:19" x14ac:dyDescent="0.25">
      <c r="A26" s="188" t="s">
        <v>242</v>
      </c>
      <c r="B26" s="188">
        <v>-209253123.74000001</v>
      </c>
      <c r="C26" s="188">
        <v>-118112388.38</v>
      </c>
      <c r="D26" s="188">
        <v>-149596385.06</v>
      </c>
      <c r="E26" s="188">
        <v>-117050406.7</v>
      </c>
      <c r="F26" s="188">
        <v>-154428053.30000001</v>
      </c>
      <c r="G26" s="188">
        <v>-24053417.34</v>
      </c>
      <c r="H26" s="188">
        <v>116175659.98999999</v>
      </c>
      <c r="I26" s="188">
        <v>-328420603.26999998</v>
      </c>
      <c r="J26" s="188">
        <v>-55978855.460000001</v>
      </c>
      <c r="K26" s="188">
        <v>-33716310.359999999</v>
      </c>
      <c r="L26" s="188">
        <v>-16026927.74</v>
      </c>
      <c r="M26" s="188">
        <v>-44573489.240000002</v>
      </c>
      <c r="N26" s="188">
        <v>-28608508.57</v>
      </c>
      <c r="O26" s="188">
        <v>-34459090.399999999</v>
      </c>
      <c r="P26" s="188">
        <v>-233189487.25</v>
      </c>
      <c r="Q26" s="188">
        <v>-120609819.31</v>
      </c>
      <c r="R26" s="188">
        <v>-78164131.780000001</v>
      </c>
      <c r="S26" s="188">
        <v>0</v>
      </c>
    </row>
    <row r="27" spans="1:19" x14ac:dyDescent="0.25">
      <c r="A27" s="188" t="s">
        <v>243</v>
      </c>
    </row>
    <row r="28" spans="1:19" x14ac:dyDescent="0.25">
      <c r="A28" s="188" t="s">
        <v>244</v>
      </c>
      <c r="B28" s="188">
        <v>0</v>
      </c>
      <c r="C28" s="188">
        <v>0</v>
      </c>
      <c r="D28" s="188">
        <v>0</v>
      </c>
      <c r="E28" s="188">
        <v>0</v>
      </c>
      <c r="F28" s="188">
        <v>0</v>
      </c>
      <c r="G28" s="188">
        <v>0</v>
      </c>
      <c r="H28" s="188">
        <v>0</v>
      </c>
      <c r="I28" s="188">
        <v>519200000</v>
      </c>
      <c r="J28" s="188">
        <v>0</v>
      </c>
      <c r="K28" s="188">
        <v>0</v>
      </c>
      <c r="L28" s="188">
        <v>0</v>
      </c>
      <c r="M28" s="188">
        <v>1250000</v>
      </c>
      <c r="N28" s="188">
        <v>0</v>
      </c>
      <c r="O28" s="188">
        <v>0</v>
      </c>
      <c r="P28" s="188">
        <v>2172280</v>
      </c>
      <c r="Q28" s="188">
        <v>3000000</v>
      </c>
      <c r="R28" s="188">
        <v>17450000</v>
      </c>
      <c r="S28" s="188">
        <v>0</v>
      </c>
    </row>
    <row r="29" spans="1:19" x14ac:dyDescent="0.25">
      <c r="A29" s="188" t="s">
        <v>245</v>
      </c>
      <c r="B29" s="188">
        <v>0</v>
      </c>
      <c r="C29" s="188">
        <v>0</v>
      </c>
      <c r="D29" s="188">
        <v>0</v>
      </c>
      <c r="E29" s="188">
        <v>0</v>
      </c>
      <c r="F29" s="188">
        <v>0</v>
      </c>
      <c r="G29" s="188">
        <v>0</v>
      </c>
      <c r="H29" s="188">
        <v>0</v>
      </c>
      <c r="I29" s="188">
        <v>0</v>
      </c>
      <c r="J29" s="188">
        <v>0</v>
      </c>
      <c r="K29" s="188">
        <v>0</v>
      </c>
      <c r="L29" s="188">
        <v>0</v>
      </c>
      <c r="M29" s="188">
        <v>1250000</v>
      </c>
      <c r="N29" s="188">
        <v>0</v>
      </c>
      <c r="O29" s="188">
        <v>0</v>
      </c>
      <c r="P29" s="188">
        <v>2172280</v>
      </c>
      <c r="Q29" s="188">
        <v>0</v>
      </c>
      <c r="R29" s="188">
        <v>0</v>
      </c>
      <c r="S29" s="188">
        <v>0</v>
      </c>
    </row>
    <row r="30" spans="1:19" x14ac:dyDescent="0.25">
      <c r="A30" s="188" t="s">
        <v>246</v>
      </c>
      <c r="B30" s="188">
        <v>0</v>
      </c>
      <c r="C30" s="188">
        <v>0</v>
      </c>
      <c r="D30" s="188">
        <v>0</v>
      </c>
      <c r="E30" s="188">
        <v>0</v>
      </c>
      <c r="F30" s="188">
        <v>0</v>
      </c>
      <c r="G30" s="188">
        <v>0</v>
      </c>
      <c r="H30" s="188">
        <v>0</v>
      </c>
      <c r="I30" s="188">
        <v>52421993.420000002</v>
      </c>
      <c r="J30" s="188">
        <v>49821993.420000002</v>
      </c>
      <c r="K30" s="188">
        <v>47680065.509999998</v>
      </c>
      <c r="L30" s="188">
        <v>26660263.5</v>
      </c>
      <c r="M30" s="188">
        <v>44625725.329999998</v>
      </c>
      <c r="N30" s="188">
        <v>11330000</v>
      </c>
      <c r="O30" s="188">
        <v>34603887</v>
      </c>
      <c r="P30" s="188">
        <v>192098585</v>
      </c>
      <c r="Q30" s="188">
        <v>65837129</v>
      </c>
      <c r="R30" s="188">
        <v>19000000</v>
      </c>
      <c r="S30" s="188">
        <v>0</v>
      </c>
    </row>
    <row r="31" spans="1:19"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row>
    <row r="32" spans="1:19" x14ac:dyDescent="0.25">
      <c r="A32" s="188" t="s">
        <v>248</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row>
    <row r="33" spans="1:19" x14ac:dyDescent="0.25">
      <c r="A33" s="188" t="s">
        <v>249</v>
      </c>
      <c r="B33" s="188">
        <v>0</v>
      </c>
      <c r="C33" s="188">
        <v>0</v>
      </c>
      <c r="D33" s="188">
        <v>0</v>
      </c>
      <c r="E33" s="188">
        <v>0</v>
      </c>
      <c r="F33" s="188">
        <v>0</v>
      </c>
      <c r="G33" s="188">
        <v>0</v>
      </c>
      <c r="H33" s="188">
        <v>0</v>
      </c>
      <c r="I33" s="188">
        <v>571621993.41999996</v>
      </c>
      <c r="J33" s="188">
        <v>49821993.420000002</v>
      </c>
      <c r="K33" s="188">
        <v>47680065.509999998</v>
      </c>
      <c r="L33" s="188">
        <v>26660263.5</v>
      </c>
      <c r="M33" s="188">
        <v>45875725.329999998</v>
      </c>
      <c r="N33" s="188">
        <v>11330000</v>
      </c>
      <c r="O33" s="188">
        <v>34603887</v>
      </c>
      <c r="P33" s="188">
        <v>194270865</v>
      </c>
      <c r="Q33" s="188">
        <v>68837129</v>
      </c>
      <c r="R33" s="188">
        <v>36450000</v>
      </c>
      <c r="S33" s="188">
        <v>0</v>
      </c>
    </row>
    <row r="34" spans="1:19" x14ac:dyDescent="0.25">
      <c r="A34" s="188" t="s">
        <v>250</v>
      </c>
      <c r="B34" s="188">
        <v>0</v>
      </c>
      <c r="C34" s="188">
        <v>0</v>
      </c>
      <c r="D34" s="188">
        <v>0</v>
      </c>
      <c r="E34" s="188">
        <v>76655193.420000002</v>
      </c>
      <c r="F34" s="188">
        <v>76655193.420000002</v>
      </c>
      <c r="G34" s="188">
        <v>76655193.420000002</v>
      </c>
      <c r="H34" s="188">
        <v>33004010</v>
      </c>
      <c r="I34" s="188">
        <v>66184525.329999998</v>
      </c>
      <c r="J34" s="188">
        <v>27891600</v>
      </c>
      <c r="K34" s="188">
        <v>26204400</v>
      </c>
      <c r="L34" s="188">
        <v>9187200</v>
      </c>
      <c r="M34" s="188">
        <v>57248800</v>
      </c>
      <c r="N34" s="188">
        <v>21561600</v>
      </c>
      <c r="O34" s="188">
        <v>109998801</v>
      </c>
      <c r="P34" s="188">
        <v>79500000</v>
      </c>
      <c r="Q34" s="188">
        <v>19000000</v>
      </c>
      <c r="R34" s="188">
        <v>0</v>
      </c>
      <c r="S34" s="188">
        <v>0</v>
      </c>
    </row>
    <row r="35" spans="1:19" x14ac:dyDescent="0.25">
      <c r="A35" s="188" t="s">
        <v>550</v>
      </c>
      <c r="B35" s="188">
        <v>53497103.719999999</v>
      </c>
      <c r="C35" s="188">
        <v>52297103.719999999</v>
      </c>
      <c r="D35" s="188">
        <v>567103.72</v>
      </c>
      <c r="E35" s="188">
        <v>46567077.350000001</v>
      </c>
      <c r="F35" s="188">
        <v>46567077.350000001</v>
      </c>
      <c r="G35" s="188">
        <v>46567077.350000001</v>
      </c>
      <c r="H35" s="188">
        <v>685762.36</v>
      </c>
      <c r="I35" s="188">
        <v>133101204.90000001</v>
      </c>
      <c r="J35" s="188">
        <v>130357588.36</v>
      </c>
      <c r="K35" s="188">
        <v>128806872.48999999</v>
      </c>
      <c r="L35" s="188">
        <v>1206431.31</v>
      </c>
      <c r="M35" s="188">
        <v>39991880.43</v>
      </c>
      <c r="N35" s="188">
        <v>38899233.530000001</v>
      </c>
      <c r="O35" s="188">
        <v>35295555.130000003</v>
      </c>
      <c r="P35" s="188">
        <v>38078510.979999997</v>
      </c>
      <c r="Q35" s="188">
        <v>14465841.789999999</v>
      </c>
      <c r="R35" s="188">
        <v>21090851.629999999</v>
      </c>
      <c r="S35" s="188">
        <v>0</v>
      </c>
    </row>
    <row r="36" spans="1:19" x14ac:dyDescent="0.25">
      <c r="A36" s="188" t="s">
        <v>251</v>
      </c>
      <c r="B36" s="188">
        <v>9497103.7200000007</v>
      </c>
      <c r="C36" s="188">
        <v>8297103.7199999997</v>
      </c>
      <c r="D36" s="188">
        <v>567103.72</v>
      </c>
      <c r="E36" s="188">
        <v>10550000</v>
      </c>
      <c r="F36" s="188">
        <v>10550000</v>
      </c>
      <c r="G36" s="188">
        <v>10550000</v>
      </c>
      <c r="H36" s="188">
        <v>0</v>
      </c>
      <c r="I36" s="188">
        <v>9997107.5600000005</v>
      </c>
      <c r="J36" s="188">
        <v>8902000</v>
      </c>
      <c r="K36" s="188">
        <v>8902000</v>
      </c>
      <c r="L36" s="188">
        <v>0</v>
      </c>
      <c r="M36" s="188">
        <v>11193159.050000001</v>
      </c>
      <c r="N36" s="188">
        <v>11193364.210000001</v>
      </c>
      <c r="O36" s="188">
        <v>2309322</v>
      </c>
      <c r="P36" s="188">
        <v>2825880</v>
      </c>
      <c r="Q36" s="188">
        <v>0</v>
      </c>
      <c r="R36" s="188">
        <v>0</v>
      </c>
      <c r="S36" s="188">
        <v>0</v>
      </c>
    </row>
    <row r="37" spans="1:19" x14ac:dyDescent="0.25">
      <c r="A37" s="188" t="s">
        <v>252</v>
      </c>
      <c r="B37" s="188">
        <v>0</v>
      </c>
      <c r="C37" s="188">
        <v>0</v>
      </c>
      <c r="D37" s="188">
        <v>0</v>
      </c>
      <c r="E37" s="188">
        <v>0</v>
      </c>
      <c r="F37" s="188">
        <v>0</v>
      </c>
      <c r="G37" s="188">
        <v>0</v>
      </c>
      <c r="H37" s="188">
        <v>0</v>
      </c>
      <c r="I37" s="188">
        <v>6737389.2599999998</v>
      </c>
      <c r="J37" s="188">
        <v>1583018.87</v>
      </c>
      <c r="K37" s="188">
        <v>1515945</v>
      </c>
      <c r="L37" s="188">
        <v>0</v>
      </c>
      <c r="M37" s="188">
        <v>718867.94</v>
      </c>
      <c r="N37" s="188">
        <v>652830.19999999995</v>
      </c>
      <c r="O37" s="188">
        <v>450000</v>
      </c>
      <c r="P37" s="188">
        <v>3741509.41</v>
      </c>
      <c r="Q37" s="188">
        <v>0</v>
      </c>
      <c r="R37" s="188">
        <v>84422.86</v>
      </c>
      <c r="S37" s="188">
        <v>0</v>
      </c>
    </row>
    <row r="38" spans="1:19" x14ac:dyDescent="0.25">
      <c r="A38" s="188" t="s">
        <v>253</v>
      </c>
      <c r="B38" s="188">
        <v>53497103.719999999</v>
      </c>
      <c r="C38" s="188">
        <v>52297103.719999999</v>
      </c>
      <c r="D38" s="188">
        <v>567103.72</v>
      </c>
      <c r="E38" s="188">
        <v>123222270.77</v>
      </c>
      <c r="F38" s="188">
        <v>123222270.77</v>
      </c>
      <c r="G38" s="188">
        <v>123222270.77</v>
      </c>
      <c r="H38" s="188">
        <v>33689772.359999999</v>
      </c>
      <c r="I38" s="188">
        <v>206023119.49000001</v>
      </c>
      <c r="J38" s="188">
        <v>159832207.22999999</v>
      </c>
      <c r="K38" s="188">
        <v>156527217.49000001</v>
      </c>
      <c r="L38" s="188">
        <v>10393631.310000001</v>
      </c>
      <c r="M38" s="188">
        <v>97959548.370000005</v>
      </c>
      <c r="N38" s="188">
        <v>61113663.729999997</v>
      </c>
      <c r="O38" s="188">
        <v>145744356.13</v>
      </c>
      <c r="P38" s="188">
        <v>121320020.39</v>
      </c>
      <c r="Q38" s="188">
        <v>33465841.789999999</v>
      </c>
      <c r="R38" s="188">
        <v>21175274.489999998</v>
      </c>
      <c r="S38" s="188">
        <v>0</v>
      </c>
    </row>
    <row r="39" spans="1:19" x14ac:dyDescent="0.25">
      <c r="A39" s="188" t="s">
        <v>254</v>
      </c>
      <c r="B39" s="188">
        <v>-53497103.719999999</v>
      </c>
      <c r="C39" s="188">
        <v>-52297103.719999999</v>
      </c>
      <c r="D39" s="188">
        <v>-567103.72</v>
      </c>
      <c r="E39" s="188">
        <v>-123222270.77</v>
      </c>
      <c r="F39" s="188">
        <v>-123222270.77</v>
      </c>
      <c r="G39" s="188">
        <v>-123222270.77</v>
      </c>
      <c r="H39" s="188">
        <v>-33689772.359999999</v>
      </c>
      <c r="I39" s="188">
        <v>365598873.93000001</v>
      </c>
      <c r="J39" s="188">
        <v>-110010213.81</v>
      </c>
      <c r="K39" s="188">
        <v>-108847151.98</v>
      </c>
      <c r="L39" s="188">
        <v>16266632.189999999</v>
      </c>
      <c r="M39" s="188">
        <v>-52083823.039999999</v>
      </c>
      <c r="N39" s="188">
        <v>-49783663.729999997</v>
      </c>
      <c r="O39" s="188">
        <v>-111140469.13</v>
      </c>
      <c r="P39" s="188">
        <v>72950844.609999999</v>
      </c>
      <c r="Q39" s="188">
        <v>35371287.210000001</v>
      </c>
      <c r="R39" s="188">
        <v>15274725.51</v>
      </c>
      <c r="S39" s="188">
        <v>0</v>
      </c>
    </row>
    <row r="40" spans="1:19" x14ac:dyDescent="0.25">
      <c r="A40" s="188" t="s">
        <v>255</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row>
    <row r="41" spans="1:19" x14ac:dyDescent="0.25">
      <c r="A41" s="188" t="s">
        <v>256</v>
      </c>
      <c r="B41" s="188">
        <v>-137248578.84999999</v>
      </c>
      <c r="C41" s="188">
        <v>-125782548.87</v>
      </c>
      <c r="D41" s="188">
        <v>-157821176.97</v>
      </c>
      <c r="E41" s="188">
        <v>-84763761.909999996</v>
      </c>
      <c r="F41" s="188">
        <v>-167870265.88</v>
      </c>
      <c r="G41" s="188">
        <v>-80256141.010000005</v>
      </c>
      <c r="H41" s="188">
        <v>101562180.23</v>
      </c>
      <c r="I41" s="188">
        <v>240524056.84</v>
      </c>
      <c r="J41" s="188">
        <v>-28319844.109999999</v>
      </c>
      <c r="K41" s="188">
        <v>-75962835.299999997</v>
      </c>
      <c r="L41" s="188">
        <v>4501439.82</v>
      </c>
      <c r="M41" s="188">
        <v>81731140.890000001</v>
      </c>
      <c r="N41" s="188">
        <v>7372580.8200000003</v>
      </c>
      <c r="O41" s="188">
        <v>997838.22</v>
      </c>
      <c r="P41" s="188">
        <v>-47492562.240000002</v>
      </c>
      <c r="Q41" s="188">
        <v>24744142.859999999</v>
      </c>
      <c r="R41" s="188">
        <v>30751336.27</v>
      </c>
      <c r="S41" s="188">
        <v>0</v>
      </c>
    </row>
    <row r="42" spans="1:19" x14ac:dyDescent="0.25">
      <c r="A42" s="188" t="s">
        <v>257</v>
      </c>
      <c r="B42" s="188">
        <v>322375285.07999998</v>
      </c>
      <c r="C42" s="188">
        <v>322375285.07999998</v>
      </c>
      <c r="D42" s="188">
        <v>322375285.07999998</v>
      </c>
      <c r="E42" s="188">
        <v>407139046.99000001</v>
      </c>
      <c r="F42" s="188">
        <v>407139046.99000001</v>
      </c>
      <c r="G42" s="188">
        <v>407139046.99000001</v>
      </c>
      <c r="H42" s="188">
        <v>407139046.99000001</v>
      </c>
      <c r="I42" s="188">
        <v>166614990.15000001</v>
      </c>
      <c r="J42" s="188">
        <v>166614990.15000001</v>
      </c>
      <c r="K42" s="188">
        <v>166614990.15000001</v>
      </c>
      <c r="L42" s="188">
        <v>166614990.15000001</v>
      </c>
      <c r="M42" s="188">
        <v>84883849.260000005</v>
      </c>
      <c r="N42" s="188">
        <v>84883849.260000005</v>
      </c>
      <c r="O42" s="188">
        <v>83886011.040000007</v>
      </c>
      <c r="P42" s="188">
        <v>131378573.28</v>
      </c>
      <c r="Q42" s="188">
        <v>106634430.42</v>
      </c>
      <c r="R42" s="188">
        <v>75883094.150000006</v>
      </c>
      <c r="S42" s="188">
        <v>0</v>
      </c>
    </row>
    <row r="43" spans="1:19" x14ac:dyDescent="0.25">
      <c r="A43" s="188" t="s">
        <v>258</v>
      </c>
      <c r="B43" s="188">
        <v>185126706.22999999</v>
      </c>
      <c r="C43" s="188">
        <v>196592736.21000001</v>
      </c>
      <c r="D43" s="188">
        <v>164554108.11000001</v>
      </c>
      <c r="E43" s="188">
        <v>322375285.07999998</v>
      </c>
      <c r="F43" s="188">
        <v>239268781.11000001</v>
      </c>
      <c r="G43" s="188">
        <v>326882905.98000002</v>
      </c>
      <c r="H43" s="188">
        <v>508701227.22000003</v>
      </c>
      <c r="I43" s="188">
        <v>407139046.99000001</v>
      </c>
      <c r="J43" s="188">
        <v>138295146.03999999</v>
      </c>
      <c r="K43" s="188">
        <v>90652154.849999994</v>
      </c>
      <c r="L43" s="188">
        <v>171116429.97</v>
      </c>
      <c r="M43" s="188">
        <v>166614990.15000001</v>
      </c>
      <c r="N43" s="188">
        <v>92256430.079999998</v>
      </c>
      <c r="O43" s="188">
        <v>84883849.260000005</v>
      </c>
      <c r="P43" s="188">
        <v>83886011.040000007</v>
      </c>
      <c r="Q43" s="188">
        <v>131378573.28</v>
      </c>
      <c r="R43" s="188">
        <v>106634430.42</v>
      </c>
      <c r="S43" s="188">
        <v>0</v>
      </c>
    </row>
    <row r="44" spans="1:19" x14ac:dyDescent="0.25">
      <c r="A44" s="188" t="s">
        <v>259</v>
      </c>
    </row>
    <row r="45" spans="1:19" x14ac:dyDescent="0.25">
      <c r="A45" s="188" t="s">
        <v>260</v>
      </c>
      <c r="B45" s="188">
        <v>0</v>
      </c>
      <c r="C45" s="188">
        <v>83578333.200000003</v>
      </c>
      <c r="D45" s="188">
        <v>0</v>
      </c>
      <c r="E45" s="188">
        <v>155224216.05000001</v>
      </c>
      <c r="F45" s="188">
        <v>0</v>
      </c>
      <c r="G45" s="188">
        <v>61958088.25</v>
      </c>
      <c r="H45" s="188">
        <v>0</v>
      </c>
      <c r="I45" s="188">
        <v>127774062.51000001</v>
      </c>
      <c r="J45" s="188">
        <v>0</v>
      </c>
      <c r="K45" s="188">
        <v>48290108.969999999</v>
      </c>
      <c r="L45" s="188">
        <v>0</v>
      </c>
      <c r="M45" s="188">
        <v>118339162.06</v>
      </c>
      <c r="N45" s="188">
        <v>0</v>
      </c>
      <c r="O45" s="188">
        <v>94913963.019999996</v>
      </c>
      <c r="P45" s="188">
        <v>84018399.519999996</v>
      </c>
      <c r="Q45" s="188">
        <v>0</v>
      </c>
      <c r="R45" s="188">
        <v>0</v>
      </c>
      <c r="S45" s="188">
        <v>0</v>
      </c>
    </row>
    <row r="46" spans="1:19"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row>
    <row r="47" spans="1:19"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row>
    <row r="48" spans="1:19" x14ac:dyDescent="0.25">
      <c r="A48" s="188" t="s">
        <v>262</v>
      </c>
      <c r="B48" s="188">
        <v>0</v>
      </c>
      <c r="C48" s="188">
        <v>3226124.16</v>
      </c>
      <c r="D48" s="188">
        <v>0</v>
      </c>
      <c r="E48" s="188">
        <v>3676127.1</v>
      </c>
      <c r="F48" s="188">
        <v>0</v>
      </c>
      <c r="G48" s="188">
        <v>2648674.7200000002</v>
      </c>
      <c r="H48" s="188">
        <v>0</v>
      </c>
      <c r="I48" s="188">
        <v>2861101.65</v>
      </c>
      <c r="J48" s="188">
        <v>0</v>
      </c>
      <c r="K48" s="188">
        <v>1732316.57</v>
      </c>
      <c r="L48" s="188">
        <v>0</v>
      </c>
      <c r="M48" s="188">
        <v>2284690.9700000002</v>
      </c>
      <c r="N48" s="188">
        <v>0</v>
      </c>
      <c r="O48" s="188">
        <v>1660639.19</v>
      </c>
      <c r="P48" s="188">
        <v>1472137.7</v>
      </c>
      <c r="Q48" s="188">
        <v>0</v>
      </c>
      <c r="R48" s="188">
        <v>0</v>
      </c>
      <c r="S48" s="188">
        <v>0</v>
      </c>
    </row>
    <row r="49" spans="1:19" x14ac:dyDescent="0.25">
      <c r="A49" s="188" t="s">
        <v>263</v>
      </c>
      <c r="B49" s="188">
        <v>0</v>
      </c>
      <c r="C49" s="188">
        <v>16895591.510000002</v>
      </c>
      <c r="D49" s="188">
        <v>0</v>
      </c>
      <c r="E49" s="188">
        <v>26809345.239999998</v>
      </c>
      <c r="F49" s="188">
        <v>0</v>
      </c>
      <c r="G49" s="188">
        <v>12871866.01</v>
      </c>
      <c r="H49" s="188">
        <v>0</v>
      </c>
      <c r="I49" s="188">
        <v>23950808.620000001</v>
      </c>
      <c r="J49" s="188">
        <v>0</v>
      </c>
      <c r="K49" s="188">
        <v>11482492.609999999</v>
      </c>
      <c r="L49" s="188">
        <v>0</v>
      </c>
      <c r="M49" s="188">
        <v>22725146.620000001</v>
      </c>
      <c r="N49" s="188">
        <v>0</v>
      </c>
      <c r="O49" s="188">
        <v>19959625.489999998</v>
      </c>
      <c r="P49" s="188">
        <v>18635575.57</v>
      </c>
      <c r="Q49" s="188">
        <v>0</v>
      </c>
      <c r="R49" s="188">
        <v>0</v>
      </c>
      <c r="S49" s="188">
        <v>0</v>
      </c>
    </row>
    <row r="50" spans="1:19" x14ac:dyDescent="0.25">
      <c r="A50" s="188" t="s">
        <v>264</v>
      </c>
      <c r="B50" s="188">
        <v>0</v>
      </c>
      <c r="C50" s="188">
        <v>1815688.67</v>
      </c>
      <c r="D50" s="188">
        <v>0</v>
      </c>
      <c r="E50" s="188">
        <v>3381039.48</v>
      </c>
      <c r="F50" s="188">
        <v>0</v>
      </c>
      <c r="G50" s="188">
        <v>1613504.83</v>
      </c>
      <c r="H50" s="188">
        <v>0</v>
      </c>
      <c r="I50" s="188">
        <v>3232061.94</v>
      </c>
      <c r="J50" s="188">
        <v>0</v>
      </c>
      <c r="K50" s="188">
        <v>1592210.19</v>
      </c>
      <c r="L50" s="188">
        <v>0</v>
      </c>
      <c r="M50" s="188">
        <v>3041889.61</v>
      </c>
      <c r="N50" s="188">
        <v>0</v>
      </c>
      <c r="O50" s="188">
        <v>2568358.56</v>
      </c>
      <c r="P50" s="188">
        <v>2197792.02</v>
      </c>
      <c r="Q50" s="188">
        <v>0</v>
      </c>
      <c r="R50" s="188">
        <v>0</v>
      </c>
      <c r="S50" s="188">
        <v>0</v>
      </c>
    </row>
    <row r="51" spans="1:19" x14ac:dyDescent="0.25">
      <c r="A51" s="188" t="s">
        <v>265</v>
      </c>
      <c r="B51" s="188">
        <v>0</v>
      </c>
      <c r="C51" s="188">
        <v>2934456.31</v>
      </c>
      <c r="D51" s="188">
        <v>0</v>
      </c>
      <c r="E51" s="188">
        <v>5093971.0599999996</v>
      </c>
      <c r="F51" s="188">
        <v>0</v>
      </c>
      <c r="G51" s="188">
        <v>2722045.52</v>
      </c>
      <c r="H51" s="188">
        <v>0</v>
      </c>
      <c r="I51" s="188">
        <v>4709691.8600000003</v>
      </c>
      <c r="J51" s="188">
        <v>0</v>
      </c>
      <c r="K51" s="188">
        <v>2343474.65</v>
      </c>
      <c r="L51" s="188">
        <v>0</v>
      </c>
      <c r="M51" s="188">
        <v>4194991.1500000004</v>
      </c>
      <c r="N51" s="188">
        <v>0</v>
      </c>
      <c r="O51" s="188">
        <v>3655631.76</v>
      </c>
      <c r="P51" s="188">
        <v>3868753.34</v>
      </c>
      <c r="Q51" s="188">
        <v>0</v>
      </c>
      <c r="R51" s="188">
        <v>0</v>
      </c>
      <c r="S51" s="188">
        <v>0</v>
      </c>
    </row>
    <row r="52" spans="1:19"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row>
    <row r="53" spans="1:19"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row>
    <row r="54" spans="1:19" x14ac:dyDescent="0.25">
      <c r="A54" s="188" t="s">
        <v>268</v>
      </c>
      <c r="B54" s="188">
        <v>0</v>
      </c>
      <c r="C54" s="188">
        <v>174958.78</v>
      </c>
      <c r="D54" s="188">
        <v>0</v>
      </c>
      <c r="E54" s="188">
        <v>-305982.92</v>
      </c>
      <c r="F54" s="188">
        <v>0</v>
      </c>
      <c r="G54" s="188">
        <v>-239730.3</v>
      </c>
      <c r="H54" s="188">
        <v>0</v>
      </c>
      <c r="I54" s="188">
        <v>109300.88</v>
      </c>
      <c r="J54" s="188">
        <v>0</v>
      </c>
      <c r="K54" s="188">
        <v>137951.65</v>
      </c>
      <c r="L54" s="188">
        <v>0</v>
      </c>
      <c r="M54" s="188">
        <v>1045475.52</v>
      </c>
      <c r="N54" s="188">
        <v>0</v>
      </c>
      <c r="O54" s="188">
        <v>702006.33</v>
      </c>
      <c r="P54" s="188">
        <v>971546.66</v>
      </c>
      <c r="Q54" s="188">
        <v>0</v>
      </c>
      <c r="R54" s="188">
        <v>0</v>
      </c>
      <c r="S54" s="188">
        <v>0</v>
      </c>
    </row>
    <row r="55" spans="1:19" x14ac:dyDescent="0.25">
      <c r="A55" s="188" t="s">
        <v>269</v>
      </c>
      <c r="B55" s="188">
        <v>0</v>
      </c>
      <c r="C55" s="188">
        <v>0</v>
      </c>
      <c r="D55" s="188">
        <v>0</v>
      </c>
      <c r="E55" s="188">
        <v>497595.84</v>
      </c>
      <c r="F55" s="188">
        <v>0</v>
      </c>
      <c r="G55" s="188">
        <v>0</v>
      </c>
      <c r="H55" s="188">
        <v>0</v>
      </c>
      <c r="I55" s="188">
        <v>0</v>
      </c>
      <c r="J55" s="188">
        <v>0</v>
      </c>
      <c r="K55" s="188">
        <v>0</v>
      </c>
      <c r="L55" s="188">
        <v>0</v>
      </c>
      <c r="M55" s="188">
        <v>0</v>
      </c>
      <c r="N55" s="188">
        <v>0</v>
      </c>
      <c r="O55" s="188">
        <v>0</v>
      </c>
      <c r="P55" s="188">
        <v>0</v>
      </c>
      <c r="Q55" s="188">
        <v>0</v>
      </c>
      <c r="R55" s="188">
        <v>0</v>
      </c>
      <c r="S55" s="188">
        <v>0</v>
      </c>
    </row>
    <row r="56" spans="1:19" x14ac:dyDescent="0.25">
      <c r="A56" s="188" t="s">
        <v>270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row>
    <row r="57" spans="1:19"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row>
    <row r="58" spans="1:19"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row>
    <row r="59" spans="1:19" x14ac:dyDescent="0.25">
      <c r="A59" s="188" t="s">
        <v>197</v>
      </c>
      <c r="B59" s="188">
        <v>0</v>
      </c>
      <c r="C59" s="188">
        <v>0</v>
      </c>
      <c r="D59" s="188">
        <v>0</v>
      </c>
      <c r="E59" s="188">
        <v>378508.09</v>
      </c>
      <c r="F59" s="188">
        <v>0</v>
      </c>
      <c r="G59" s="188">
        <v>674708.09</v>
      </c>
      <c r="H59" s="188">
        <v>0</v>
      </c>
      <c r="I59" s="188">
        <v>4668557.12</v>
      </c>
      <c r="J59" s="188">
        <v>0</v>
      </c>
      <c r="K59" s="188">
        <v>2552343.5</v>
      </c>
      <c r="L59" s="188">
        <v>0</v>
      </c>
      <c r="M59" s="188">
        <v>5798721.3799999999</v>
      </c>
      <c r="N59" s="188">
        <v>0</v>
      </c>
      <c r="O59" s="188">
        <v>9986233.1300000008</v>
      </c>
      <c r="P59" s="188">
        <v>11156931.289999999</v>
      </c>
      <c r="Q59" s="188">
        <v>0</v>
      </c>
      <c r="R59" s="188">
        <v>0</v>
      </c>
      <c r="S59" s="188">
        <v>0</v>
      </c>
    </row>
    <row r="60" spans="1:19" x14ac:dyDescent="0.25">
      <c r="A60" s="188" t="s">
        <v>273</v>
      </c>
      <c r="B60" s="188">
        <v>0</v>
      </c>
      <c r="C60" s="188">
        <v>-6298289.5899999999</v>
      </c>
      <c r="D60" s="188">
        <v>0</v>
      </c>
      <c r="E60" s="188">
        <v>-8230887.71</v>
      </c>
      <c r="F60" s="188">
        <v>0</v>
      </c>
      <c r="G60" s="188">
        <v>-2828229.63</v>
      </c>
      <c r="H60" s="188">
        <v>0</v>
      </c>
      <c r="I60" s="188">
        <v>-336511.65</v>
      </c>
      <c r="J60" s="188">
        <v>0</v>
      </c>
      <c r="K60" s="188">
        <v>-59769.87</v>
      </c>
      <c r="L60" s="188">
        <v>0</v>
      </c>
      <c r="M60" s="188">
        <v>0</v>
      </c>
      <c r="N60" s="188">
        <v>0</v>
      </c>
      <c r="O60" s="188">
        <v>0</v>
      </c>
      <c r="P60" s="188">
        <v>0</v>
      </c>
      <c r="Q60" s="188">
        <v>0</v>
      </c>
      <c r="R60" s="188">
        <v>0</v>
      </c>
      <c r="S60" s="188">
        <v>0</v>
      </c>
    </row>
    <row r="61" spans="1:19" x14ac:dyDescent="0.25">
      <c r="A61" s="188" t="s">
        <v>274</v>
      </c>
      <c r="B61" s="188">
        <v>0</v>
      </c>
      <c r="C61" s="188">
        <v>-688857.1</v>
      </c>
      <c r="D61" s="188">
        <v>0</v>
      </c>
      <c r="E61" s="188">
        <v>-468219.68</v>
      </c>
      <c r="F61" s="188">
        <v>0</v>
      </c>
      <c r="G61" s="188">
        <v>-369474.1</v>
      </c>
      <c r="H61" s="188">
        <v>0</v>
      </c>
      <c r="I61" s="188">
        <v>-334983.33</v>
      </c>
      <c r="J61" s="188">
        <v>0</v>
      </c>
      <c r="K61" s="188">
        <v>-376171.11</v>
      </c>
      <c r="L61" s="188">
        <v>0</v>
      </c>
      <c r="M61" s="188">
        <v>-245768.52</v>
      </c>
      <c r="N61" s="188">
        <v>0</v>
      </c>
      <c r="O61" s="188">
        <v>214471.41</v>
      </c>
      <c r="P61" s="188">
        <v>-266160.99</v>
      </c>
      <c r="Q61" s="188">
        <v>0</v>
      </c>
      <c r="R61" s="188">
        <v>0</v>
      </c>
      <c r="S61" s="188">
        <v>0</v>
      </c>
    </row>
    <row r="62" spans="1:19" x14ac:dyDescent="0.25">
      <c r="A62" s="188" t="s">
        <v>275</v>
      </c>
      <c r="B62" s="188">
        <v>0</v>
      </c>
      <c r="C62" s="188">
        <v>-92963.62</v>
      </c>
      <c r="D62" s="188">
        <v>0</v>
      </c>
      <c r="E62" s="188">
        <v>-209591.77</v>
      </c>
      <c r="F62" s="188">
        <v>0</v>
      </c>
      <c r="G62" s="188">
        <v>-106012.73</v>
      </c>
      <c r="H62" s="188">
        <v>0</v>
      </c>
      <c r="I62" s="188">
        <v>-137663.37</v>
      </c>
      <c r="J62" s="188">
        <v>0</v>
      </c>
      <c r="K62" s="188">
        <v>-27903.32</v>
      </c>
      <c r="L62" s="188">
        <v>0</v>
      </c>
      <c r="M62" s="188">
        <v>-327799.8</v>
      </c>
      <c r="N62" s="188">
        <v>0</v>
      </c>
      <c r="O62" s="188">
        <v>-1221890.8799999999</v>
      </c>
      <c r="P62" s="188">
        <v>-406161.23</v>
      </c>
      <c r="Q62" s="188">
        <v>0</v>
      </c>
      <c r="R62" s="188">
        <v>0</v>
      </c>
      <c r="S62" s="188">
        <v>0</v>
      </c>
    </row>
    <row r="63" spans="1:19" x14ac:dyDescent="0.25">
      <c r="A63" s="188" t="s">
        <v>276</v>
      </c>
      <c r="B63" s="188">
        <v>0</v>
      </c>
      <c r="C63" s="188">
        <v>-365881.21</v>
      </c>
      <c r="D63" s="188">
        <v>0</v>
      </c>
      <c r="E63" s="188">
        <v>471832.18</v>
      </c>
      <c r="F63" s="188">
        <v>0</v>
      </c>
      <c r="G63" s="188">
        <v>-1083676.42</v>
      </c>
      <c r="H63" s="188">
        <v>0</v>
      </c>
      <c r="I63" s="188">
        <v>-6628107.0999999996</v>
      </c>
      <c r="J63" s="188">
        <v>0</v>
      </c>
      <c r="K63" s="188">
        <v>-3023308.15</v>
      </c>
      <c r="L63" s="188">
        <v>0</v>
      </c>
      <c r="M63" s="188">
        <v>1254313.05</v>
      </c>
      <c r="N63" s="188">
        <v>0</v>
      </c>
      <c r="O63" s="188">
        <v>1449047.11</v>
      </c>
      <c r="P63" s="188">
        <v>-2477177.59</v>
      </c>
      <c r="Q63" s="188">
        <v>0</v>
      </c>
      <c r="R63" s="188">
        <v>0</v>
      </c>
      <c r="S63" s="188">
        <v>0</v>
      </c>
    </row>
    <row r="64" spans="1:19" x14ac:dyDescent="0.25">
      <c r="A64" s="188" t="s">
        <v>277</v>
      </c>
      <c r="B64" s="188">
        <v>0</v>
      </c>
      <c r="C64" s="188">
        <v>-66721700.090000004</v>
      </c>
      <c r="D64" s="188">
        <v>0</v>
      </c>
      <c r="E64" s="188">
        <v>-86524571.530000001</v>
      </c>
      <c r="F64" s="188">
        <v>0</v>
      </c>
      <c r="G64" s="188">
        <v>-33379175.120000001</v>
      </c>
      <c r="H64" s="188">
        <v>0</v>
      </c>
      <c r="I64" s="188">
        <v>-40699017.789999999</v>
      </c>
      <c r="J64" s="188">
        <v>0</v>
      </c>
      <c r="K64" s="188">
        <v>-21376080.02</v>
      </c>
      <c r="L64" s="188">
        <v>0</v>
      </c>
      <c r="M64" s="188">
        <v>-24418583.870000001</v>
      </c>
      <c r="N64" s="188">
        <v>0</v>
      </c>
      <c r="O64" s="188">
        <v>-7808128.8200000003</v>
      </c>
      <c r="P64" s="188">
        <v>-11835375.74</v>
      </c>
      <c r="Q64" s="188">
        <v>0</v>
      </c>
      <c r="R64" s="188">
        <v>0</v>
      </c>
      <c r="S64" s="188">
        <v>0</v>
      </c>
    </row>
    <row r="65" spans="1:19" x14ac:dyDescent="0.25">
      <c r="A65" s="188" t="s">
        <v>278</v>
      </c>
      <c r="B65" s="188">
        <v>0</v>
      </c>
      <c r="C65" s="188">
        <v>10169482.210000001</v>
      </c>
      <c r="D65" s="188">
        <v>0</v>
      </c>
      <c r="E65" s="188">
        <v>55715534.130000003</v>
      </c>
      <c r="F65" s="188">
        <v>0</v>
      </c>
      <c r="G65" s="188">
        <v>22536957.98</v>
      </c>
      <c r="H65" s="188">
        <v>0</v>
      </c>
      <c r="I65" s="188">
        <v>84176484.840000004</v>
      </c>
      <c r="J65" s="188">
        <v>0</v>
      </c>
      <c r="K65" s="188">
        <v>23332961.370000001</v>
      </c>
      <c r="L65" s="188">
        <v>0</v>
      </c>
      <c r="M65" s="188">
        <v>44696215</v>
      </c>
      <c r="N65" s="188">
        <v>0</v>
      </c>
      <c r="O65" s="188">
        <v>20517441.449999999</v>
      </c>
      <c r="P65" s="188">
        <v>5409819.8499999996</v>
      </c>
      <c r="Q65" s="188">
        <v>0</v>
      </c>
      <c r="R65" s="188">
        <v>0</v>
      </c>
      <c r="S65" s="188">
        <v>0</v>
      </c>
    </row>
    <row r="66" spans="1:19"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row>
    <row r="67" spans="1:19"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row>
    <row r="68" spans="1:19"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row>
    <row r="69" spans="1:19" x14ac:dyDescent="0.25">
      <c r="A69" s="188" t="s">
        <v>282</v>
      </c>
      <c r="B69" s="188">
        <v>0</v>
      </c>
      <c r="C69" s="188">
        <v>44626943.229999997</v>
      </c>
      <c r="D69" s="188">
        <v>0</v>
      </c>
      <c r="E69" s="188">
        <v>155508915.56</v>
      </c>
      <c r="F69" s="188">
        <v>0</v>
      </c>
      <c r="G69" s="188">
        <v>67019547.100000001</v>
      </c>
      <c r="H69" s="188">
        <v>0</v>
      </c>
      <c r="I69" s="188">
        <v>203345786.18000001</v>
      </c>
      <c r="J69" s="188">
        <v>0</v>
      </c>
      <c r="K69" s="188">
        <v>66600627.039999999</v>
      </c>
      <c r="L69" s="188">
        <v>0</v>
      </c>
      <c r="M69" s="188">
        <v>178388453.16999999</v>
      </c>
      <c r="N69" s="188">
        <v>0</v>
      </c>
      <c r="O69" s="188">
        <v>146597397.75</v>
      </c>
      <c r="P69" s="188">
        <v>112746080.40000001</v>
      </c>
      <c r="Q69" s="188">
        <v>0</v>
      </c>
      <c r="R69" s="188">
        <v>0</v>
      </c>
      <c r="S69" s="188">
        <v>0</v>
      </c>
    </row>
    <row r="70" spans="1:19"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row>
    <row r="71" spans="1:19"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row>
    <row r="72" spans="1:19"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row>
    <row r="73" spans="1:19" x14ac:dyDescent="0.25">
      <c r="A73" s="188" t="s">
        <v>286</v>
      </c>
      <c r="B73" s="188">
        <v>0</v>
      </c>
      <c r="C73" s="188">
        <v>196592736.21000001</v>
      </c>
      <c r="D73" s="188">
        <v>0</v>
      </c>
      <c r="E73" s="188">
        <v>322375285.07999998</v>
      </c>
      <c r="F73" s="188">
        <v>0</v>
      </c>
      <c r="G73" s="188">
        <v>326882905.98000002</v>
      </c>
      <c r="H73" s="188">
        <v>0</v>
      </c>
      <c r="I73" s="188">
        <v>407139046.99000001</v>
      </c>
      <c r="J73" s="188">
        <v>0</v>
      </c>
      <c r="K73" s="188">
        <v>90652154.849999994</v>
      </c>
      <c r="L73" s="188">
        <v>0</v>
      </c>
      <c r="M73" s="188">
        <v>166614990.15000001</v>
      </c>
      <c r="N73" s="188">
        <v>0</v>
      </c>
      <c r="O73" s="188">
        <v>84883849.260000005</v>
      </c>
      <c r="P73" s="188">
        <v>83886011.040000007</v>
      </c>
      <c r="Q73" s="188">
        <v>0</v>
      </c>
      <c r="R73" s="188">
        <v>0</v>
      </c>
      <c r="S73" s="188">
        <v>0</v>
      </c>
    </row>
    <row r="74" spans="1:19" x14ac:dyDescent="0.25">
      <c r="A74" s="188" t="s">
        <v>287</v>
      </c>
      <c r="B74" s="188">
        <v>0</v>
      </c>
      <c r="C74" s="188">
        <v>322375285.07999998</v>
      </c>
      <c r="D74" s="188">
        <v>0</v>
      </c>
      <c r="E74" s="188">
        <v>407139046.99000001</v>
      </c>
      <c r="F74" s="188">
        <v>0</v>
      </c>
      <c r="G74" s="188">
        <v>407139046.99000001</v>
      </c>
      <c r="H74" s="188">
        <v>0</v>
      </c>
      <c r="I74" s="188">
        <v>166614990.15000001</v>
      </c>
      <c r="J74" s="188">
        <v>0</v>
      </c>
      <c r="K74" s="188">
        <v>166614990.15000001</v>
      </c>
      <c r="L74" s="188">
        <v>0</v>
      </c>
      <c r="M74" s="188">
        <v>84883849.260000005</v>
      </c>
      <c r="N74" s="188">
        <v>0</v>
      </c>
      <c r="O74" s="188">
        <v>83886011.040000007</v>
      </c>
      <c r="P74" s="188">
        <v>131378573.28</v>
      </c>
      <c r="Q74" s="188">
        <v>0</v>
      </c>
      <c r="R74" s="188">
        <v>0</v>
      </c>
      <c r="S74" s="188">
        <v>0</v>
      </c>
    </row>
    <row r="75" spans="1:19"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row>
    <row r="76" spans="1:19"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row>
    <row r="77" spans="1:19" x14ac:dyDescent="0.25">
      <c r="A77" s="188" t="s">
        <v>290</v>
      </c>
      <c r="B77" s="188">
        <v>0</v>
      </c>
      <c r="C77" s="188">
        <v>-125782548.87</v>
      </c>
      <c r="D77" s="188">
        <v>0</v>
      </c>
      <c r="E77" s="188">
        <v>-84763761.909999996</v>
      </c>
      <c r="F77" s="188">
        <v>0</v>
      </c>
      <c r="G77" s="188">
        <v>-80256141.010000005</v>
      </c>
      <c r="H77" s="188">
        <v>0</v>
      </c>
      <c r="I77" s="188">
        <v>240524056.84</v>
      </c>
      <c r="J77" s="188">
        <v>0</v>
      </c>
      <c r="K77" s="188">
        <v>-75962835.299999997</v>
      </c>
      <c r="L77" s="188">
        <v>0</v>
      </c>
      <c r="M77" s="188">
        <v>81731140.890000001</v>
      </c>
      <c r="N77" s="188">
        <v>0</v>
      </c>
      <c r="O77" s="188">
        <v>997838.22</v>
      </c>
      <c r="P77" s="188">
        <v>-47492562.240000002</v>
      </c>
      <c r="Q77" s="188">
        <v>0</v>
      </c>
      <c r="R77" s="188">
        <v>0</v>
      </c>
      <c r="S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1" width="17.77734375" hidden="1" customWidth="1"/>
    <col min="12" max="16" width="17.77734375" bestFit="1" customWidth="1"/>
    <col min="17" max="17" width="9.5546875" hidden="1" customWidth="1"/>
    <col min="18"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603060</v>
      </c>
      <c r="B1" s="188">
        <v>20180930</v>
      </c>
      <c r="C1" s="188">
        <v>20180630</v>
      </c>
      <c r="D1" s="188">
        <v>20180331</v>
      </c>
      <c r="E1" s="188">
        <v>20171231</v>
      </c>
      <c r="F1" s="188">
        <v>20170930</v>
      </c>
      <c r="G1" s="188">
        <v>20170630</v>
      </c>
      <c r="H1" s="188">
        <v>20170331</v>
      </c>
      <c r="I1" s="188">
        <v>20161231</v>
      </c>
      <c r="J1" s="188">
        <v>20160930</v>
      </c>
      <c r="K1" s="188">
        <v>20160630</v>
      </c>
      <c r="L1" s="188">
        <v>20151231</v>
      </c>
      <c r="M1" s="188">
        <v>20141231</v>
      </c>
      <c r="N1" s="188">
        <v>20131231</v>
      </c>
      <c r="O1" s="188">
        <v>20121231</v>
      </c>
      <c r="P1" s="188">
        <v>20111231</v>
      </c>
      <c r="Q1" s="188">
        <v>19700101</v>
      </c>
      <c r="R1" s="188"/>
      <c r="S1" s="188"/>
      <c r="T1" s="188"/>
      <c r="U1" s="188"/>
      <c r="V1" s="188"/>
      <c r="W1" s="188"/>
      <c r="X1" s="188"/>
      <c r="Y1" s="188"/>
      <c r="Z1" s="188"/>
      <c r="AA1" s="188"/>
      <c r="AB1" s="188"/>
      <c r="AC1" s="188"/>
      <c r="AD1" s="188"/>
      <c r="AE1" s="188"/>
      <c r="AF1" s="188"/>
      <c r="AG1" s="188"/>
      <c r="AH1" s="188"/>
      <c r="AI1" s="188"/>
      <c r="AJ1" s="188"/>
      <c r="AK1" s="188"/>
      <c r="AL1" s="188"/>
      <c r="AM1" s="188"/>
      <c r="AN1" s="188"/>
      <c r="AO1" s="188"/>
      <c r="AP1" s="188"/>
      <c r="AQ1" s="188"/>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187902000.50999999</v>
      </c>
      <c r="C4" s="188">
        <v>199548286.19999999</v>
      </c>
      <c r="D4" s="188">
        <v>168531632.84999999</v>
      </c>
      <c r="E4" s="188">
        <v>326019035.54000002</v>
      </c>
      <c r="F4" s="188">
        <v>239821834.81</v>
      </c>
      <c r="G4" s="188">
        <v>327855534.62</v>
      </c>
      <c r="H4" s="188">
        <v>509672126.22000003</v>
      </c>
      <c r="I4" s="188">
        <v>408833913.93000001</v>
      </c>
      <c r="J4" s="188">
        <v>139991968.87</v>
      </c>
      <c r="K4" s="188">
        <v>92104488.760000005</v>
      </c>
      <c r="L4" s="188">
        <v>169591310.78</v>
      </c>
      <c r="M4" s="188">
        <v>86443435.120000005</v>
      </c>
      <c r="N4" s="188">
        <v>85292847.939999998</v>
      </c>
      <c r="O4" s="188">
        <v>131378573.28</v>
      </c>
      <c r="P4" s="188">
        <v>106634430.42</v>
      </c>
      <c r="Q4" s="188">
        <v>0</v>
      </c>
      <c r="R4" s="188"/>
      <c r="S4" s="188"/>
      <c r="T4" s="188"/>
      <c r="U4" s="188"/>
      <c r="V4" s="188"/>
      <c r="W4" s="188"/>
      <c r="X4" s="188"/>
      <c r="Y4" s="188"/>
      <c r="Z4" s="188"/>
      <c r="AA4" s="188"/>
      <c r="AB4" s="188"/>
      <c r="AC4" s="188"/>
      <c r="AD4" s="188"/>
      <c r="AE4" s="188"/>
      <c r="AF4" s="188"/>
      <c r="AG4" s="188"/>
      <c r="AH4" s="188"/>
      <c r="AI4" s="188"/>
      <c r="AJ4" s="188"/>
      <c r="AK4" s="188"/>
      <c r="AL4" s="188"/>
      <c r="AM4" s="188"/>
      <c r="AN4" s="188"/>
      <c r="AO4" s="188"/>
      <c r="AP4" s="188"/>
      <c r="AQ4" s="188"/>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c r="S5" s="188"/>
      <c r="T5" s="188"/>
      <c r="U5" s="188"/>
      <c r="V5" s="188"/>
      <c r="W5" s="188"/>
      <c r="X5" s="188"/>
      <c r="Y5" s="188"/>
      <c r="Z5" s="188"/>
      <c r="AA5" s="188"/>
      <c r="AB5" s="188"/>
      <c r="AC5" s="188"/>
      <c r="AD5" s="188"/>
      <c r="AE5" s="188"/>
      <c r="AF5" s="188"/>
      <c r="AG5" s="188"/>
      <c r="AH5" s="188"/>
      <c r="AI5" s="188"/>
      <c r="AJ5" s="188"/>
      <c r="AK5" s="188"/>
      <c r="AL5" s="188"/>
      <c r="AM5" s="188"/>
      <c r="AN5" s="188"/>
      <c r="AO5" s="188"/>
      <c r="AP5" s="188"/>
      <c r="AQ5" s="188"/>
      <c r="AR5" s="188"/>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c r="S6" s="188"/>
      <c r="T6" s="188"/>
      <c r="U6" s="188"/>
      <c r="V6" s="188"/>
      <c r="W6" s="188"/>
      <c r="X6" s="188"/>
      <c r="Y6" s="188"/>
      <c r="Z6" s="188"/>
      <c r="AA6" s="188"/>
      <c r="AB6" s="188"/>
      <c r="AC6" s="188"/>
      <c r="AD6" s="188"/>
      <c r="AE6" s="188"/>
      <c r="AF6" s="188"/>
      <c r="AG6" s="188"/>
      <c r="AH6" s="188"/>
      <c r="AI6" s="188"/>
      <c r="AJ6" s="188"/>
      <c r="AK6" s="188"/>
      <c r="AL6" s="188"/>
      <c r="AM6" s="188"/>
      <c r="AN6" s="188"/>
      <c r="AO6" s="188"/>
      <c r="AP6" s="188"/>
      <c r="AQ6" s="188"/>
      <c r="AR6" s="188"/>
      <c r="AS6" s="188"/>
      <c r="AT6" s="188"/>
      <c r="AU6" s="188"/>
      <c r="AV6" s="188"/>
      <c r="AW6" s="188"/>
      <c r="AX6" s="188"/>
      <c r="AY6" s="188"/>
      <c r="AZ6" s="188"/>
      <c r="BA6" s="188"/>
      <c r="BB6" s="188"/>
      <c r="BC6" s="188"/>
      <c r="BD6" s="188"/>
      <c r="BE6" s="188"/>
      <c r="BF6" s="188"/>
      <c r="BG6" s="188"/>
      <c r="BH6" s="188"/>
      <c r="BI6" s="188"/>
      <c r="BJ6" s="188"/>
      <c r="BK6" s="188"/>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c r="S7" s="188"/>
      <c r="T7" s="188"/>
      <c r="U7" s="188"/>
      <c r="V7" s="188"/>
      <c r="W7" s="188"/>
      <c r="X7" s="188"/>
      <c r="Y7" s="188"/>
      <c r="Z7" s="188"/>
      <c r="AA7" s="188"/>
      <c r="AB7" s="188"/>
      <c r="AC7" s="188"/>
      <c r="AD7" s="188"/>
      <c r="AE7" s="188"/>
      <c r="AF7" s="188"/>
      <c r="AG7" s="188"/>
      <c r="AH7" s="188"/>
      <c r="AI7" s="188"/>
      <c r="AJ7" s="188"/>
      <c r="AK7" s="188"/>
      <c r="AL7" s="188"/>
      <c r="AM7" s="188"/>
      <c r="AN7" s="188"/>
      <c r="AO7" s="188"/>
      <c r="AP7" s="188"/>
      <c r="AQ7" s="188"/>
      <c r="AR7" s="188"/>
      <c r="AS7" s="188"/>
      <c r="AT7" s="188"/>
      <c r="AU7" s="188"/>
      <c r="AV7" s="188"/>
      <c r="AW7" s="188"/>
      <c r="AX7" s="188"/>
      <c r="AY7" s="188"/>
      <c r="AZ7" s="188"/>
      <c r="BA7" s="188"/>
      <c r="BB7" s="188"/>
      <c r="BC7" s="188"/>
      <c r="BD7" s="188"/>
      <c r="BE7" s="188"/>
      <c r="BF7" s="188"/>
      <c r="BG7" s="188"/>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1000000</v>
      </c>
      <c r="C8" s="188">
        <v>1000000</v>
      </c>
      <c r="D8" s="188">
        <v>1000000</v>
      </c>
      <c r="E8" s="188">
        <v>1000000</v>
      </c>
      <c r="F8" s="188">
        <v>1000000</v>
      </c>
      <c r="G8" s="188">
        <v>1000000</v>
      </c>
      <c r="H8" s="188">
        <v>1000000</v>
      </c>
      <c r="I8" s="188">
        <v>1000000</v>
      </c>
      <c r="J8" s="188">
        <v>1000000</v>
      </c>
      <c r="K8" s="188">
        <v>1000000</v>
      </c>
      <c r="L8" s="188">
        <v>1000000</v>
      </c>
      <c r="M8" s="188">
        <v>1000000</v>
      </c>
      <c r="N8" s="188">
        <v>1000000</v>
      </c>
      <c r="O8" s="188">
        <v>0</v>
      </c>
      <c r="P8" s="188">
        <v>0</v>
      </c>
      <c r="Q8" s="188">
        <v>0</v>
      </c>
      <c r="R8" s="188"/>
      <c r="S8" s="188"/>
      <c r="T8" s="188"/>
      <c r="U8" s="188"/>
      <c r="V8" s="188"/>
      <c r="W8" s="188"/>
      <c r="X8" s="188"/>
      <c r="Y8" s="188"/>
      <c r="Z8" s="188"/>
      <c r="AA8" s="188"/>
      <c r="AB8" s="188"/>
      <c r="AC8" s="188"/>
      <c r="AD8" s="188"/>
      <c r="AE8" s="188"/>
      <c r="AF8" s="188"/>
      <c r="AG8" s="188"/>
      <c r="AH8" s="188"/>
      <c r="AI8" s="188"/>
      <c r="AJ8" s="188"/>
      <c r="AK8" s="188"/>
      <c r="AL8" s="188"/>
      <c r="AM8" s="188"/>
      <c r="AN8" s="188"/>
      <c r="AO8" s="188"/>
      <c r="AP8" s="188"/>
      <c r="AQ8" s="188"/>
      <c r="AR8" s="188"/>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c r="S9" s="188"/>
      <c r="T9" s="188"/>
      <c r="U9" s="188"/>
      <c r="V9" s="188"/>
      <c r="W9" s="188"/>
      <c r="X9" s="188"/>
      <c r="Y9" s="188"/>
      <c r="Z9" s="188"/>
      <c r="AA9" s="188"/>
      <c r="AB9" s="188"/>
      <c r="AC9" s="188"/>
      <c r="AD9" s="188"/>
      <c r="AE9" s="188"/>
      <c r="AF9" s="188"/>
      <c r="AG9" s="188"/>
      <c r="AH9" s="188"/>
      <c r="AI9" s="188"/>
      <c r="AJ9" s="188"/>
      <c r="AK9" s="188"/>
      <c r="AL9" s="188"/>
      <c r="AM9" s="188"/>
      <c r="AN9" s="188"/>
      <c r="AO9" s="188"/>
      <c r="AP9" s="188"/>
      <c r="AQ9" s="188"/>
      <c r="AR9" s="188"/>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22623344.309999999</v>
      </c>
      <c r="C10" s="188">
        <v>32269266.760000002</v>
      </c>
      <c r="D10" s="188">
        <v>32487226.780000001</v>
      </c>
      <c r="E10" s="188">
        <v>32705186.800000001</v>
      </c>
      <c r="F10" s="188">
        <v>31922835.780000001</v>
      </c>
      <c r="G10" s="188">
        <v>32134569.809999999</v>
      </c>
      <c r="H10" s="188">
        <v>32346303.84</v>
      </c>
      <c r="I10" s="188">
        <v>32239457.280000001</v>
      </c>
      <c r="J10" s="188">
        <v>32449119.48</v>
      </c>
      <c r="K10" s="188">
        <v>32658781.68</v>
      </c>
      <c r="L10" s="188">
        <v>33078106.079999998</v>
      </c>
      <c r="M10" s="188">
        <v>33916754.880000003</v>
      </c>
      <c r="N10" s="188">
        <v>34755403.68</v>
      </c>
      <c r="O10" s="188">
        <v>0</v>
      </c>
      <c r="P10" s="188">
        <v>0</v>
      </c>
      <c r="Q10" s="188">
        <v>0</v>
      </c>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c r="S11" s="188"/>
      <c r="T11" s="188"/>
      <c r="U11" s="188"/>
      <c r="V11" s="188"/>
      <c r="W11" s="188"/>
      <c r="X11" s="188"/>
      <c r="Y11" s="188"/>
      <c r="Z11" s="188"/>
      <c r="AA11" s="188"/>
      <c r="AB11" s="188"/>
      <c r="AC11" s="188"/>
      <c r="AD11" s="188"/>
      <c r="AE11" s="188"/>
      <c r="AF11" s="188"/>
      <c r="AG11" s="188"/>
      <c r="AH11" s="188"/>
      <c r="AI11" s="188"/>
      <c r="AJ11" s="188"/>
      <c r="AK11" s="188"/>
      <c r="AL11" s="188"/>
      <c r="AM11" s="188"/>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c r="S12" s="188"/>
      <c r="T12" s="188"/>
      <c r="U12" s="188"/>
      <c r="V12" s="188"/>
      <c r="W12" s="188"/>
      <c r="X12" s="188"/>
      <c r="Y12" s="188"/>
      <c r="Z12" s="188"/>
      <c r="AA12" s="188"/>
      <c r="AB12" s="188"/>
      <c r="AC12" s="188"/>
      <c r="AD12" s="188"/>
      <c r="AE12" s="188"/>
      <c r="AF12" s="188"/>
      <c r="AG12" s="188"/>
      <c r="AH12" s="188"/>
      <c r="AI12" s="188"/>
      <c r="AJ12" s="188"/>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211525344.81999999</v>
      </c>
      <c r="C17" s="33">
        <f t="shared" ref="C17:BN17" si="0">SUM(C4:C13)</f>
        <v>232817552.95999998</v>
      </c>
      <c r="D17" s="33">
        <f t="shared" si="0"/>
        <v>202018859.63</v>
      </c>
      <c r="E17" s="33">
        <f t="shared" si="0"/>
        <v>359724222.34000003</v>
      </c>
      <c r="F17" s="33">
        <f t="shared" si="0"/>
        <v>272744670.59000003</v>
      </c>
      <c r="G17" s="33">
        <f t="shared" si="0"/>
        <v>360990104.43000001</v>
      </c>
      <c r="H17" s="33">
        <f t="shared" si="0"/>
        <v>543018430.06000006</v>
      </c>
      <c r="I17" s="33">
        <f t="shared" si="0"/>
        <v>442073371.21000004</v>
      </c>
      <c r="J17" s="33">
        <f t="shared" si="0"/>
        <v>173441088.34999999</v>
      </c>
      <c r="K17" s="33">
        <f t="shared" si="0"/>
        <v>125763270.44</v>
      </c>
      <c r="L17" s="33">
        <f t="shared" si="0"/>
        <v>203669416.86000001</v>
      </c>
      <c r="M17" s="33">
        <f t="shared" si="0"/>
        <v>121360190</v>
      </c>
      <c r="N17" s="33">
        <f t="shared" si="0"/>
        <v>121048251.62</v>
      </c>
      <c r="O17" s="33">
        <f t="shared" si="0"/>
        <v>131378573.28</v>
      </c>
      <c r="P17" s="33">
        <f t="shared" si="0"/>
        <v>106634430.42</v>
      </c>
      <c r="Q17" s="33">
        <f t="shared" si="0"/>
        <v>0</v>
      </c>
      <c r="R17" s="33">
        <f t="shared" si="0"/>
        <v>0</v>
      </c>
      <c r="S17" s="33">
        <f t="shared" si="0"/>
        <v>0</v>
      </c>
      <c r="T17" s="33">
        <f t="shared" si="0"/>
        <v>0</v>
      </c>
      <c r="U17" s="33">
        <f t="shared" si="0"/>
        <v>0</v>
      </c>
      <c r="V17" s="33">
        <f t="shared" si="0"/>
        <v>0</v>
      </c>
      <c r="W17" s="33">
        <f t="shared" si="0"/>
        <v>0</v>
      </c>
      <c r="X17" s="33">
        <f t="shared" si="0"/>
        <v>0</v>
      </c>
      <c r="Y17" s="33">
        <f t="shared" si="0"/>
        <v>0</v>
      </c>
      <c r="Z17" s="33">
        <f t="shared" si="0"/>
        <v>0</v>
      </c>
      <c r="AA17" s="33">
        <f t="shared" si="0"/>
        <v>0</v>
      </c>
      <c r="AB17" s="33">
        <f t="shared" si="0"/>
        <v>0</v>
      </c>
      <c r="AC17" s="33">
        <f t="shared" si="0"/>
        <v>0</v>
      </c>
      <c r="AD17" s="33">
        <f t="shared" si="0"/>
        <v>0</v>
      </c>
      <c r="AE17" s="33">
        <f t="shared" si="0"/>
        <v>0</v>
      </c>
      <c r="AF17" s="33">
        <f t="shared" si="0"/>
        <v>0</v>
      </c>
      <c r="AG17" s="33">
        <f t="shared" si="0"/>
        <v>0</v>
      </c>
      <c r="AH17" s="33">
        <f t="shared" si="0"/>
        <v>0</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8">
        <v>32819170.129999999</v>
      </c>
      <c r="C19" s="188">
        <v>32819170.129999999</v>
      </c>
      <c r="D19" s="188">
        <v>33000000</v>
      </c>
      <c r="E19" s="188">
        <v>33000000</v>
      </c>
      <c r="F19" s="188">
        <v>0</v>
      </c>
      <c r="G19" s="188">
        <v>0</v>
      </c>
      <c r="H19" s="188">
        <v>0</v>
      </c>
      <c r="I19" s="188">
        <v>0</v>
      </c>
      <c r="J19" s="188">
        <v>0</v>
      </c>
      <c r="K19" s="188">
        <v>0</v>
      </c>
      <c r="L19" s="188">
        <v>0</v>
      </c>
      <c r="M19" s="188">
        <v>0</v>
      </c>
      <c r="N19" s="188">
        <v>0</v>
      </c>
      <c r="O19" s="188">
        <v>1000000</v>
      </c>
      <c r="P19" s="188">
        <v>1000000</v>
      </c>
      <c r="Q19" s="188">
        <v>0</v>
      </c>
      <c r="R19" s="188"/>
      <c r="S19" s="188"/>
      <c r="T19" s="188"/>
      <c r="U19" s="188"/>
      <c r="V19" s="188"/>
      <c r="W19" s="188"/>
      <c r="X19" s="188"/>
      <c r="Y19" s="188"/>
      <c r="Z19" s="188"/>
      <c r="AA19" s="188"/>
      <c r="AB19" s="188"/>
      <c r="AC19" s="188"/>
      <c r="AD19" s="188"/>
      <c r="AE19" s="188"/>
      <c r="AF19" s="188"/>
      <c r="AG19" s="188"/>
      <c r="AH19" s="188"/>
      <c r="AI19" s="188"/>
      <c r="AJ19" s="188"/>
      <c r="AK19" s="188"/>
      <c r="AL19" s="188"/>
      <c r="AM19" s="188"/>
      <c r="AN19" s="188"/>
      <c r="AO19" s="188"/>
      <c r="AP19" s="188"/>
      <c r="AQ19" s="188"/>
      <c r="AR19" s="188"/>
      <c r="AS19" s="188"/>
      <c r="AT19" s="188"/>
      <c r="AU19" s="188"/>
      <c r="AV19" s="188"/>
      <c r="AW19" s="188"/>
      <c r="AX19" s="188"/>
      <c r="AY19" s="188"/>
      <c r="AZ19" s="188"/>
      <c r="BA19" s="188"/>
      <c r="BB19" s="188"/>
      <c r="BC19" s="188"/>
      <c r="BD19" s="188"/>
      <c r="BE19" s="188"/>
      <c r="BF19" s="188"/>
      <c r="BG19" s="188"/>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5199053.92</v>
      </c>
      <c r="C22" s="188">
        <v>3648514.72</v>
      </c>
      <c r="D22" s="188">
        <v>1245108</v>
      </c>
      <c r="E22" s="188">
        <v>720088</v>
      </c>
      <c r="F22" s="188">
        <v>2115758</v>
      </c>
      <c r="G22" s="188">
        <v>829112</v>
      </c>
      <c r="H22" s="188">
        <v>1282961.99</v>
      </c>
      <c r="I22" s="188">
        <v>1825000</v>
      </c>
      <c r="J22" s="188">
        <v>1500000</v>
      </c>
      <c r="K22" s="188">
        <v>394719.46</v>
      </c>
      <c r="L22" s="188">
        <v>1252000</v>
      </c>
      <c r="M22" s="188">
        <v>702499.52</v>
      </c>
      <c r="N22" s="188">
        <v>480000</v>
      </c>
      <c r="O22" s="188">
        <v>836000</v>
      </c>
      <c r="P22" s="188">
        <v>550000</v>
      </c>
      <c r="Q22" s="188">
        <v>0</v>
      </c>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125212660.15000001</v>
      </c>
      <c r="C23" s="188">
        <v>123548286.2</v>
      </c>
      <c r="D23" s="188">
        <v>88230106.799999997</v>
      </c>
      <c r="E23" s="188">
        <v>89932350.730000004</v>
      </c>
      <c r="F23" s="188">
        <v>93801644.189999998</v>
      </c>
      <c r="G23" s="188">
        <v>90911558.549999997</v>
      </c>
      <c r="H23" s="188">
        <v>67513681.430000007</v>
      </c>
      <c r="I23" s="188">
        <v>67335435.269999996</v>
      </c>
      <c r="J23" s="188">
        <v>68859063.090000004</v>
      </c>
      <c r="K23" s="188">
        <v>75380548.560000002</v>
      </c>
      <c r="L23" s="188">
        <v>58118663.490000002</v>
      </c>
      <c r="M23" s="188">
        <v>45098704.270000003</v>
      </c>
      <c r="N23" s="188">
        <v>38201523.140000001</v>
      </c>
      <c r="O23" s="188">
        <v>27982712.039999999</v>
      </c>
      <c r="P23" s="188">
        <v>22282694.469999999</v>
      </c>
      <c r="Q23" s="188">
        <v>0</v>
      </c>
      <c r="R23" s="188"/>
      <c r="S23" s="188"/>
      <c r="T23" s="188"/>
      <c r="U23" s="188"/>
      <c r="V23" s="188"/>
      <c r="W23" s="188"/>
      <c r="X23" s="188"/>
      <c r="Y23" s="188"/>
      <c r="Z23" s="188"/>
      <c r="AA23" s="188"/>
      <c r="AB23" s="188"/>
      <c r="AC23" s="188"/>
      <c r="AD23" s="188"/>
      <c r="AE23" s="188"/>
      <c r="AF23" s="188"/>
      <c r="AG23" s="188"/>
      <c r="AH23" s="188"/>
      <c r="AI23" s="188"/>
      <c r="AJ23" s="188"/>
      <c r="AK23" s="188"/>
      <c r="AL23" s="188"/>
      <c r="AM23" s="188"/>
      <c r="AN23" s="188"/>
      <c r="AO23" s="188"/>
      <c r="AP23" s="188"/>
      <c r="AQ23" s="188"/>
      <c r="AR23" s="188"/>
      <c r="AS23" s="188"/>
      <c r="AT23" s="188"/>
      <c r="AU23" s="188"/>
      <c r="AV23" s="188"/>
      <c r="AW23" s="188"/>
      <c r="AX23" s="188"/>
      <c r="AY23" s="188"/>
      <c r="AZ23" s="188"/>
      <c r="BA23" s="188"/>
      <c r="BB23" s="188"/>
      <c r="BC23" s="188"/>
      <c r="BD23" s="188"/>
      <c r="BE23" s="188"/>
      <c r="BF23" s="188"/>
      <c r="BG23" s="188"/>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98753885.299999997</v>
      </c>
      <c r="C24" s="188">
        <v>79718888.640000001</v>
      </c>
      <c r="D24" s="188">
        <v>111174068.3</v>
      </c>
      <c r="E24" s="188">
        <v>47474507.119999997</v>
      </c>
      <c r="F24" s="188">
        <v>67078797.5</v>
      </c>
      <c r="G24" s="188">
        <v>41636974.009999998</v>
      </c>
      <c r="H24" s="188">
        <v>39832117.380000003</v>
      </c>
      <c r="I24" s="188">
        <v>31210016.84</v>
      </c>
      <c r="J24" s="188">
        <v>57241531.32</v>
      </c>
      <c r="K24" s="188">
        <v>38196818.43</v>
      </c>
      <c r="L24" s="188">
        <v>20179670.890000001</v>
      </c>
      <c r="M24" s="188">
        <v>14965128.539999999</v>
      </c>
      <c r="N24" s="188">
        <v>17834380.370000001</v>
      </c>
      <c r="O24" s="188">
        <v>82432352.989999995</v>
      </c>
      <c r="P24" s="188">
        <v>17928567.52</v>
      </c>
      <c r="Q24" s="188">
        <v>0</v>
      </c>
      <c r="R24" s="188"/>
      <c r="S24" s="188"/>
      <c r="T24" s="188"/>
      <c r="U24" s="188"/>
      <c r="V24" s="188"/>
      <c r="W24" s="188"/>
      <c r="X24" s="188"/>
      <c r="Y24" s="188"/>
      <c r="Z24" s="188"/>
      <c r="AA24" s="188"/>
      <c r="AB24" s="188"/>
      <c r="AC24" s="188"/>
      <c r="AD24" s="188"/>
      <c r="AE24" s="188"/>
      <c r="AF24" s="188"/>
      <c r="AG24" s="188"/>
      <c r="AH24" s="188"/>
      <c r="AI24" s="188"/>
      <c r="AJ24" s="188"/>
      <c r="AK24" s="188"/>
      <c r="AL24" s="188"/>
      <c r="AM24" s="188"/>
      <c r="AN24" s="188"/>
      <c r="AO24" s="188"/>
      <c r="AP24" s="188"/>
      <c r="AQ24" s="188"/>
      <c r="AR24" s="188"/>
      <c r="AS24" s="188"/>
      <c r="AT24" s="188"/>
      <c r="AU24" s="188"/>
      <c r="AV24" s="188"/>
      <c r="AW24" s="188"/>
      <c r="AX24" s="188"/>
      <c r="AY24" s="188"/>
      <c r="AZ24" s="188"/>
      <c r="BA24" s="188"/>
      <c r="BB24" s="188"/>
      <c r="BC24" s="188"/>
      <c r="BD24" s="188"/>
      <c r="BE24" s="188"/>
      <c r="BF24" s="188"/>
      <c r="BG24" s="188"/>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16139414.6</v>
      </c>
      <c r="C25" s="188">
        <v>17518667.739999998</v>
      </c>
      <c r="D25" s="188">
        <v>15609644.17</v>
      </c>
      <c r="E25" s="188">
        <v>12397053.27</v>
      </c>
      <c r="F25" s="188">
        <v>15420521.49</v>
      </c>
      <c r="G25" s="188">
        <v>9476003.0199999996</v>
      </c>
      <c r="H25" s="188">
        <v>9391762.6400000006</v>
      </c>
      <c r="I25" s="188">
        <v>7976791.7199999997</v>
      </c>
      <c r="J25" s="188">
        <v>10148269.23</v>
      </c>
      <c r="K25" s="188">
        <v>7729919.8099999996</v>
      </c>
      <c r="L25" s="188">
        <v>6237675.7400000002</v>
      </c>
      <c r="M25" s="188">
        <v>3840200</v>
      </c>
      <c r="N25" s="188">
        <v>2574462.85</v>
      </c>
      <c r="O25" s="188">
        <v>8740143.8900000006</v>
      </c>
      <c r="P25" s="188">
        <v>4771786.5599999996</v>
      </c>
      <c r="Q25" s="188">
        <v>0</v>
      </c>
      <c r="R25" s="188"/>
      <c r="S25" s="188"/>
      <c r="T25" s="188"/>
      <c r="U25" s="188"/>
      <c r="V25" s="188"/>
      <c r="W25" s="188"/>
      <c r="X25" s="188"/>
      <c r="Y25" s="188"/>
      <c r="Z25" s="188"/>
      <c r="AA25" s="188"/>
      <c r="AB25" s="188"/>
      <c r="AC25" s="188"/>
      <c r="AD25" s="188"/>
      <c r="AE25" s="188"/>
      <c r="AF25" s="188"/>
      <c r="AG25" s="188"/>
      <c r="AH25" s="188"/>
      <c r="AI25" s="188"/>
      <c r="AJ25" s="188"/>
      <c r="AK25" s="188"/>
      <c r="AL25" s="188"/>
      <c r="AM25" s="188"/>
      <c r="AN25" s="188"/>
      <c r="AO25" s="188"/>
      <c r="AP25" s="188"/>
      <c r="AQ25" s="188"/>
      <c r="AR25" s="188"/>
      <c r="AS25" s="188"/>
      <c r="AT25" s="188"/>
      <c r="AU25" s="188"/>
      <c r="AV25" s="188"/>
      <c r="AW25" s="188"/>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15528183.74</v>
      </c>
      <c r="C26" s="188">
        <v>12483626.75</v>
      </c>
      <c r="D26" s="188">
        <v>13958775.08</v>
      </c>
      <c r="E26" s="188">
        <v>12117745.539999999</v>
      </c>
      <c r="F26" s="188">
        <v>12503960.84</v>
      </c>
      <c r="G26" s="188">
        <v>13673254.140000001</v>
      </c>
      <c r="H26" s="188">
        <v>12157989.869999999</v>
      </c>
      <c r="I26" s="188">
        <v>12589577.720000001</v>
      </c>
      <c r="J26" s="188">
        <v>10846087.970000001</v>
      </c>
      <c r="K26" s="188">
        <v>8984778.7699999996</v>
      </c>
      <c r="L26" s="188">
        <v>5961470.6200000001</v>
      </c>
      <c r="M26" s="188">
        <v>7215783.6699999999</v>
      </c>
      <c r="N26" s="188">
        <v>8664830.7799999993</v>
      </c>
      <c r="O26" s="188">
        <v>6187653.1900000004</v>
      </c>
      <c r="P26" s="188">
        <v>4502522.03</v>
      </c>
      <c r="Q26" s="188">
        <v>0</v>
      </c>
      <c r="R26" s="188"/>
      <c r="S26" s="188"/>
      <c r="T26" s="188"/>
      <c r="U26" s="188"/>
      <c r="V26" s="188"/>
      <c r="W26" s="188"/>
      <c r="X26" s="188"/>
      <c r="Y26" s="188"/>
      <c r="Z26" s="188"/>
      <c r="AA26" s="188"/>
      <c r="AB26" s="188"/>
      <c r="AC26" s="188"/>
      <c r="AD26" s="188"/>
      <c r="AE26" s="188"/>
      <c r="AF26" s="188"/>
      <c r="AG26" s="188"/>
      <c r="AH26" s="188"/>
      <c r="AI26" s="188"/>
      <c r="AJ26" s="188"/>
      <c r="AK26" s="188"/>
      <c r="AL26" s="188"/>
      <c r="AM26" s="188"/>
      <c r="AN26" s="188"/>
      <c r="AO26" s="188"/>
      <c r="AP26" s="188"/>
      <c r="AQ26" s="188"/>
      <c r="AR26" s="188"/>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391032485.85000002</v>
      </c>
      <c r="C27" s="188">
        <v>325665211.44</v>
      </c>
      <c r="D27" s="188">
        <v>360886555.61000001</v>
      </c>
      <c r="E27" s="188">
        <v>269799622.24000001</v>
      </c>
      <c r="F27" s="188">
        <v>370327329.44999999</v>
      </c>
      <c r="G27" s="188">
        <v>266904158.88999999</v>
      </c>
      <c r="H27" s="188">
        <v>137730505.25999999</v>
      </c>
      <c r="I27" s="188">
        <v>270774049.74000001</v>
      </c>
      <c r="J27" s="188">
        <v>0</v>
      </c>
      <c r="K27" s="188">
        <v>0</v>
      </c>
      <c r="L27" s="188">
        <v>0</v>
      </c>
      <c r="M27" s="188">
        <v>0</v>
      </c>
      <c r="N27" s="188">
        <v>0</v>
      </c>
      <c r="O27" s="188">
        <v>0</v>
      </c>
      <c r="P27" s="188">
        <v>0</v>
      </c>
      <c r="Q27" s="188">
        <v>0</v>
      </c>
      <c r="R27" s="188"/>
      <c r="S27" s="188"/>
      <c r="T27" s="188"/>
      <c r="U27" s="188"/>
      <c r="V27" s="188"/>
      <c r="W27" s="188"/>
      <c r="X27" s="188"/>
      <c r="Y27" s="188"/>
      <c r="Z27" s="188"/>
      <c r="AA27" s="188"/>
      <c r="AB27" s="188"/>
      <c r="AC27" s="188"/>
      <c r="AD27" s="188"/>
      <c r="AE27" s="188"/>
      <c r="AF27" s="188"/>
      <c r="AG27" s="188"/>
      <c r="AH27" s="188"/>
      <c r="AI27" s="188"/>
      <c r="AJ27" s="188"/>
      <c r="AK27" s="188"/>
      <c r="AL27" s="188"/>
      <c r="AM27" s="188"/>
      <c r="AN27" s="188"/>
      <c r="AO27" s="188"/>
      <c r="AP27" s="188"/>
      <c r="AQ27" s="188"/>
      <c r="AR27" s="188"/>
      <c r="AS27" s="188"/>
      <c r="AT27" s="188"/>
      <c r="AU27" s="188"/>
      <c r="AV27" s="188"/>
      <c r="AW27" s="188"/>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c r="S28" s="188"/>
      <c r="T28" s="188"/>
      <c r="U28" s="188"/>
      <c r="V28" s="188"/>
      <c r="W28" s="188"/>
      <c r="X28" s="188"/>
      <c r="Y28" s="188"/>
      <c r="Z28" s="188"/>
      <c r="AA28" s="188"/>
      <c r="AB28" s="188"/>
      <c r="AC28" s="188"/>
      <c r="AD28" s="188"/>
      <c r="AE28" s="188"/>
      <c r="AF28" s="188"/>
      <c r="AG28" s="188"/>
      <c r="AH28" s="188"/>
      <c r="AI28" s="188"/>
      <c r="AJ28" s="188"/>
      <c r="AK28" s="188"/>
      <c r="AL28" s="188"/>
      <c r="AM28" s="188"/>
      <c r="AN28" s="188"/>
      <c r="AO28" s="188"/>
      <c r="AP28" s="188"/>
      <c r="AQ28" s="188"/>
      <c r="AR28" s="188"/>
      <c r="AS28" s="188"/>
      <c r="AT28" s="188"/>
      <c r="AU28" s="188"/>
      <c r="AV28" s="188"/>
      <c r="AW28" s="188"/>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c r="S29" s="188"/>
      <c r="T29" s="188"/>
      <c r="U29" s="188"/>
      <c r="V29" s="188"/>
      <c r="W29" s="188"/>
      <c r="X29" s="188"/>
      <c r="Y29" s="188"/>
      <c r="Z29" s="188"/>
      <c r="AA29" s="188"/>
      <c r="AB29" s="188"/>
      <c r="AC29" s="188"/>
      <c r="AD29" s="188"/>
      <c r="AE29" s="188"/>
      <c r="AF29" s="188"/>
      <c r="AG29" s="188"/>
      <c r="AH29" s="188"/>
      <c r="AI29" s="188"/>
      <c r="AJ29" s="188"/>
      <c r="AK29" s="188"/>
      <c r="AL29" s="188"/>
      <c r="AM29" s="188"/>
      <c r="AN29" s="188"/>
      <c r="AO29" s="188"/>
      <c r="AP29" s="188"/>
      <c r="AQ29" s="188"/>
      <c r="AR29" s="188"/>
      <c r="AS29" s="188"/>
      <c r="AT29" s="188"/>
      <c r="AU29" s="188"/>
      <c r="AV29" s="188"/>
      <c r="AW29" s="188"/>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651865683.56000006</v>
      </c>
      <c r="C33" s="35">
        <f t="shared" ref="C33:BN33" si="2">SUM(C22:C29)</f>
        <v>562583195.49000001</v>
      </c>
      <c r="D33" s="35">
        <f t="shared" si="2"/>
        <v>591104257.96000004</v>
      </c>
      <c r="E33" s="35">
        <f t="shared" si="2"/>
        <v>432441366.89999998</v>
      </c>
      <c r="F33" s="35">
        <f t="shared" si="2"/>
        <v>561248011.47000003</v>
      </c>
      <c r="G33" s="35">
        <f t="shared" si="2"/>
        <v>423431060.61000001</v>
      </c>
      <c r="H33" s="35">
        <f t="shared" si="2"/>
        <v>267909018.56999999</v>
      </c>
      <c r="I33" s="35">
        <f t="shared" si="2"/>
        <v>391710871.29000002</v>
      </c>
      <c r="J33" s="35">
        <f t="shared" si="2"/>
        <v>148594951.60999998</v>
      </c>
      <c r="K33" s="35">
        <f t="shared" si="2"/>
        <v>130686785.02999999</v>
      </c>
      <c r="L33" s="35">
        <f t="shared" si="2"/>
        <v>91749480.739999995</v>
      </c>
      <c r="M33" s="35">
        <f t="shared" si="2"/>
        <v>71822316</v>
      </c>
      <c r="N33" s="35">
        <f t="shared" si="2"/>
        <v>67755197.140000001</v>
      </c>
      <c r="O33" s="35">
        <f t="shared" si="2"/>
        <v>126178862.11</v>
      </c>
      <c r="P33" s="35">
        <f t="shared" si="2"/>
        <v>50035570.579999998</v>
      </c>
      <c r="Q33" s="35">
        <f t="shared" si="2"/>
        <v>0</v>
      </c>
      <c r="R33" s="35">
        <f t="shared" si="2"/>
        <v>0</v>
      </c>
      <c r="S33" s="35">
        <f t="shared" si="2"/>
        <v>0</v>
      </c>
      <c r="T33" s="35">
        <f t="shared" si="2"/>
        <v>0</v>
      </c>
      <c r="U33" s="35">
        <f t="shared" si="2"/>
        <v>0</v>
      </c>
      <c r="V33" s="35">
        <f t="shared" si="2"/>
        <v>0</v>
      </c>
      <c r="W33" s="35">
        <f t="shared" si="2"/>
        <v>0</v>
      </c>
      <c r="X33" s="35">
        <f t="shared" si="2"/>
        <v>0</v>
      </c>
      <c r="Y33" s="35">
        <f t="shared" si="2"/>
        <v>0</v>
      </c>
      <c r="Z33" s="35">
        <f t="shared" si="2"/>
        <v>0</v>
      </c>
      <c r="AA33" s="35">
        <f t="shared" si="2"/>
        <v>0</v>
      </c>
      <c r="AB33" s="35">
        <f t="shared" si="2"/>
        <v>0</v>
      </c>
      <c r="AC33" s="35">
        <f t="shared" si="2"/>
        <v>0</v>
      </c>
      <c r="AD33" s="35">
        <f t="shared" si="2"/>
        <v>0</v>
      </c>
      <c r="AE33" s="35">
        <f t="shared" si="2"/>
        <v>0</v>
      </c>
      <c r="AF33" s="35">
        <f t="shared" si="2"/>
        <v>0</v>
      </c>
      <c r="AG33" s="35">
        <f t="shared" si="2"/>
        <v>0</v>
      </c>
      <c r="AH33" s="35">
        <f t="shared" si="2"/>
        <v>0</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c r="S35" s="188"/>
      <c r="T35" s="188"/>
      <c r="U35" s="188"/>
      <c r="V35" s="188"/>
      <c r="W35" s="188"/>
      <c r="X35" s="188"/>
      <c r="Y35" s="188"/>
      <c r="Z35" s="188"/>
      <c r="AA35" s="188"/>
      <c r="AB35" s="188"/>
      <c r="AC35" s="188"/>
      <c r="AD35" s="188"/>
      <c r="AE35" s="188"/>
      <c r="AF35" s="188"/>
      <c r="AG35" s="188"/>
      <c r="AH35" s="188"/>
      <c r="AI35" s="188"/>
      <c r="AJ35" s="188"/>
      <c r="AK35" s="188"/>
      <c r="AL35" s="188"/>
      <c r="AM35" s="188"/>
      <c r="AN35" s="188"/>
      <c r="AO35" s="188"/>
      <c r="AP35" s="188"/>
      <c r="AQ35" s="188"/>
      <c r="AR35" s="188"/>
      <c r="AS35" s="188"/>
      <c r="AT35" s="188"/>
      <c r="AU35" s="188"/>
      <c r="AV35" s="188"/>
      <c r="AW35" s="188"/>
      <c r="AX35" s="188"/>
      <c r="AY35" s="188"/>
      <c r="AZ35" s="188"/>
      <c r="BA35" s="188"/>
      <c r="BB35" s="188"/>
      <c r="BC35" s="188"/>
      <c r="BD35" s="188"/>
      <c r="BE35" s="188"/>
      <c r="BF35" s="188"/>
      <c r="BG35" s="188"/>
      <c r="BH35" s="188"/>
      <c r="BI35" s="188"/>
      <c r="BJ35" s="188"/>
      <c r="BK35" s="188"/>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21072775.23</v>
      </c>
      <c r="D36" s="188">
        <v>23805543.710000001</v>
      </c>
      <c r="E36" s="188">
        <v>26684896.559999999</v>
      </c>
      <c r="F36" s="188">
        <v>23489182.59</v>
      </c>
      <c r="G36" s="188">
        <v>27088420.690000001</v>
      </c>
      <c r="H36" s="188">
        <v>21954398.149999999</v>
      </c>
      <c r="I36" s="188">
        <v>24173548.850000001</v>
      </c>
      <c r="J36" s="188">
        <v>14368780.27</v>
      </c>
      <c r="K36" s="188">
        <v>13307494.48</v>
      </c>
      <c r="L36" s="188">
        <v>14975145</v>
      </c>
      <c r="M36" s="188">
        <v>13610642.210000001</v>
      </c>
      <c r="N36" s="188">
        <v>10539377.300000001</v>
      </c>
      <c r="O36" s="188">
        <v>11989258.949999999</v>
      </c>
      <c r="P36" s="188">
        <v>9250353.9199999999</v>
      </c>
      <c r="Q36" s="188">
        <v>0</v>
      </c>
      <c r="R36" s="188"/>
      <c r="S36" s="188"/>
      <c r="T36" s="188"/>
      <c r="U36" s="188"/>
      <c r="V36" s="188"/>
      <c r="W36" s="188"/>
      <c r="X36" s="188"/>
      <c r="Y36" s="188"/>
      <c r="Z36" s="188"/>
      <c r="AA36" s="188"/>
      <c r="AB36" s="188"/>
      <c r="AC36" s="188"/>
      <c r="AD36" s="188"/>
      <c r="AE36" s="188"/>
      <c r="AF36" s="188"/>
      <c r="AG36" s="188"/>
      <c r="AH36" s="188"/>
      <c r="AI36" s="188"/>
      <c r="AJ36" s="188"/>
      <c r="AK36" s="188"/>
      <c r="AL36" s="188"/>
      <c r="AM36" s="188"/>
      <c r="AN36" s="188"/>
      <c r="AO36" s="188"/>
      <c r="AP36" s="188"/>
      <c r="AQ36" s="188"/>
      <c r="AR36" s="188"/>
      <c r="AS36" s="188"/>
      <c r="AT36" s="188"/>
      <c r="AU36" s="188"/>
      <c r="AV36" s="188"/>
      <c r="AW36" s="188"/>
      <c r="AX36" s="188"/>
      <c r="AY36" s="188"/>
      <c r="AZ36" s="188"/>
      <c r="BA36" s="188"/>
      <c r="BB36" s="188"/>
      <c r="BC36" s="188"/>
      <c r="BD36" s="188"/>
      <c r="BE36" s="188"/>
      <c r="BF36" s="188"/>
      <c r="BG36" s="188"/>
      <c r="BH36" s="188"/>
      <c r="BI36" s="188"/>
      <c r="BJ36" s="188"/>
      <c r="BK36" s="188"/>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148385241.72</v>
      </c>
      <c r="C37" s="188">
        <v>128197164.84999999</v>
      </c>
      <c r="D37" s="188">
        <v>113261614.64</v>
      </c>
      <c r="E37" s="188">
        <v>120053117.72</v>
      </c>
      <c r="F37" s="188">
        <v>114627725.93000001</v>
      </c>
      <c r="G37" s="188">
        <v>113230300.17</v>
      </c>
      <c r="H37" s="188">
        <v>98184675.569999993</v>
      </c>
      <c r="I37" s="188">
        <v>91595701.829999998</v>
      </c>
      <c r="J37" s="188">
        <v>101211357.90000001</v>
      </c>
      <c r="K37" s="188">
        <v>94876287.590000004</v>
      </c>
      <c r="L37" s="188">
        <v>75303557.980000004</v>
      </c>
      <c r="M37" s="188">
        <v>60296060.520000003</v>
      </c>
      <c r="N37" s="188">
        <v>50030370.259999998</v>
      </c>
      <c r="O37" s="188">
        <v>42918736.100000001</v>
      </c>
      <c r="P37" s="188">
        <v>24418235.510000002</v>
      </c>
      <c r="Q37" s="188">
        <v>0</v>
      </c>
      <c r="R37" s="188"/>
      <c r="S37" s="188"/>
      <c r="T37" s="188"/>
      <c r="U37" s="188"/>
      <c r="V37" s="188"/>
      <c r="W37" s="188"/>
      <c r="X37" s="188"/>
      <c r="Y37" s="188"/>
      <c r="Z37" s="188"/>
      <c r="AA37" s="188"/>
      <c r="AB37" s="188"/>
      <c r="AC37" s="188"/>
      <c r="AD37" s="188"/>
      <c r="AE37" s="188"/>
      <c r="AF37" s="188"/>
      <c r="AG37" s="188"/>
      <c r="AH37" s="188"/>
      <c r="AI37" s="188"/>
      <c r="AJ37" s="188"/>
      <c r="AK37" s="188"/>
      <c r="AL37" s="188"/>
      <c r="AM37" s="188"/>
      <c r="AN37" s="188"/>
      <c r="AO37" s="188"/>
      <c r="AP37" s="188"/>
      <c r="AQ37" s="188"/>
      <c r="AR37" s="188"/>
      <c r="AS37" s="188"/>
      <c r="AT37" s="188"/>
      <c r="AU37" s="188"/>
      <c r="AV37" s="188"/>
      <c r="AW37" s="188"/>
      <c r="AX37" s="188"/>
      <c r="AY37" s="188"/>
      <c r="AZ37" s="188"/>
      <c r="BA37" s="188"/>
      <c r="BB37" s="188"/>
      <c r="BC37" s="188"/>
      <c r="BD37" s="188"/>
      <c r="BE37" s="188"/>
      <c r="BF37" s="188"/>
      <c r="BG37" s="188"/>
      <c r="BH37" s="188"/>
      <c r="BI37" s="188"/>
      <c r="BJ37" s="188"/>
      <c r="BK37" s="188"/>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c r="S38" s="188"/>
      <c r="T38" s="188"/>
      <c r="U38" s="188"/>
      <c r="V38" s="188"/>
      <c r="W38" s="188"/>
      <c r="X38" s="188"/>
      <c r="Y38" s="188"/>
      <c r="Z38" s="188"/>
      <c r="AA38" s="188"/>
      <c r="AB38" s="188"/>
      <c r="AC38" s="188"/>
      <c r="AD38" s="188"/>
      <c r="AE38" s="188"/>
      <c r="AF38" s="188"/>
      <c r="AG38" s="188"/>
      <c r="AH38" s="188"/>
      <c r="AI38" s="188"/>
      <c r="AJ38" s="188"/>
      <c r="AK38" s="188"/>
      <c r="AL38" s="188"/>
      <c r="AM38" s="188"/>
      <c r="AN38" s="188"/>
      <c r="AO38" s="188"/>
      <c r="AP38" s="188"/>
      <c r="AQ38" s="188"/>
      <c r="AR38" s="188"/>
      <c r="AS38" s="188"/>
      <c r="AT38" s="188"/>
      <c r="AU38" s="188"/>
      <c r="AV38" s="188"/>
      <c r="AW38" s="188"/>
      <c r="AX38" s="188"/>
      <c r="AY38" s="188"/>
      <c r="AZ38" s="188"/>
      <c r="BA38" s="188"/>
      <c r="BB38" s="188"/>
      <c r="BC38" s="188"/>
      <c r="BD38" s="188"/>
      <c r="BE38" s="188"/>
      <c r="BF38" s="188"/>
      <c r="BG38" s="188"/>
      <c r="BH38" s="188"/>
      <c r="BI38" s="188"/>
      <c r="BJ38" s="188"/>
      <c r="BK38" s="188"/>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20467602.600000001</v>
      </c>
      <c r="C39" s="188">
        <v>14903356.49</v>
      </c>
      <c r="D39" s="188">
        <v>10680537.25</v>
      </c>
      <c r="E39" s="188">
        <v>8170558.8700000001</v>
      </c>
      <c r="F39" s="188">
        <v>15142921.58</v>
      </c>
      <c r="G39" s="188">
        <v>13533638.300000001</v>
      </c>
      <c r="H39" s="188">
        <v>10830993.4</v>
      </c>
      <c r="I39" s="188">
        <v>9489546.7300000004</v>
      </c>
      <c r="J39" s="188">
        <v>12521854.380000001</v>
      </c>
      <c r="K39" s="188">
        <v>11496488.359999999</v>
      </c>
      <c r="L39" s="188">
        <v>10129941.09</v>
      </c>
      <c r="M39" s="188">
        <v>9193258.1500000004</v>
      </c>
      <c r="N39" s="188">
        <v>8900574.2699999996</v>
      </c>
      <c r="O39" s="188">
        <v>8906854.6400000006</v>
      </c>
      <c r="P39" s="188">
        <v>4513601.68</v>
      </c>
      <c r="Q39" s="188">
        <v>0</v>
      </c>
      <c r="R39" s="188"/>
      <c r="S39" s="188"/>
      <c r="T39" s="188"/>
      <c r="U39" s="188"/>
      <c r="V39" s="188"/>
      <c r="W39" s="188"/>
      <c r="X39" s="188"/>
      <c r="Y39" s="188"/>
      <c r="Z39" s="188"/>
      <c r="AA39" s="188"/>
      <c r="AB39" s="188"/>
      <c r="AC39" s="188"/>
      <c r="AD39" s="188"/>
      <c r="AE39" s="188"/>
      <c r="AF39" s="188"/>
      <c r="AG39" s="188"/>
      <c r="AH39" s="188"/>
      <c r="AI39" s="188"/>
      <c r="AJ39" s="188"/>
      <c r="AK39" s="188"/>
      <c r="AL39" s="188"/>
      <c r="AM39" s="188"/>
      <c r="AN39" s="188"/>
      <c r="AO39" s="188"/>
      <c r="AP39" s="188"/>
      <c r="AQ39" s="188"/>
      <c r="AR39" s="188"/>
      <c r="AS39" s="188"/>
      <c r="AT39" s="188"/>
      <c r="AU39" s="188"/>
      <c r="AV39" s="188"/>
      <c r="AW39" s="188"/>
      <c r="AX39" s="188"/>
      <c r="AY39" s="188"/>
      <c r="AZ39" s="188"/>
      <c r="BA39" s="188"/>
      <c r="BB39" s="188"/>
      <c r="BC39" s="188"/>
      <c r="BD39" s="188"/>
      <c r="BE39" s="188"/>
      <c r="BF39" s="188"/>
      <c r="BG39" s="188"/>
      <c r="BH39" s="188"/>
      <c r="BI39" s="188"/>
      <c r="BJ39" s="188"/>
      <c r="BK39" s="188"/>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20443983.670000002</v>
      </c>
      <c r="C40" s="188">
        <v>13890846.109999999</v>
      </c>
      <c r="D40" s="188">
        <v>11907071.220000001</v>
      </c>
      <c r="E40" s="188">
        <v>14439712.59</v>
      </c>
      <c r="F40" s="188">
        <v>17247322.530000001</v>
      </c>
      <c r="G40" s="188">
        <v>13785653.859999999</v>
      </c>
      <c r="H40" s="188">
        <v>12391222.91</v>
      </c>
      <c r="I40" s="188">
        <v>16353223.52</v>
      </c>
      <c r="J40" s="188">
        <v>16085288.16</v>
      </c>
      <c r="K40" s="188">
        <v>12567886.960000001</v>
      </c>
      <c r="L40" s="188">
        <v>12949155.01</v>
      </c>
      <c r="M40" s="188">
        <v>11925485.59</v>
      </c>
      <c r="N40" s="188">
        <v>11869292.460000001</v>
      </c>
      <c r="O40" s="188">
        <v>18845016.690000001</v>
      </c>
      <c r="P40" s="188">
        <v>6730391.4800000004</v>
      </c>
      <c r="Q40" s="188">
        <v>0</v>
      </c>
      <c r="R40" s="188"/>
      <c r="S40" s="188"/>
      <c r="T40" s="188"/>
      <c r="U40" s="188"/>
      <c r="V40" s="188"/>
      <c r="W40" s="188"/>
      <c r="X40" s="188"/>
      <c r="Y40" s="188"/>
      <c r="Z40" s="188"/>
      <c r="AA40" s="188"/>
      <c r="AB40" s="188"/>
      <c r="AC40" s="188"/>
      <c r="AD40" s="188"/>
      <c r="AE40" s="188"/>
      <c r="AF40" s="188"/>
      <c r="AG40" s="188"/>
      <c r="AH40" s="188"/>
      <c r="AI40" s="188"/>
      <c r="AJ40" s="188"/>
      <c r="AK40" s="188"/>
      <c r="AL40" s="188"/>
      <c r="AM40" s="188"/>
      <c r="AN40" s="188"/>
      <c r="AO40" s="188"/>
      <c r="AP40" s="188"/>
      <c r="AQ40" s="188"/>
      <c r="AR40" s="188"/>
      <c r="AS40" s="188"/>
      <c r="AT40" s="188"/>
      <c r="AU40" s="188"/>
      <c r="AV40" s="188"/>
      <c r="AW40" s="188"/>
      <c r="AX40" s="188"/>
      <c r="AY40" s="188"/>
      <c r="AZ40" s="188"/>
      <c r="BA40" s="188"/>
      <c r="BB40" s="188"/>
      <c r="BC40" s="188"/>
      <c r="BD40" s="188"/>
      <c r="BE40" s="188"/>
      <c r="BF40" s="188"/>
      <c r="BG40" s="188"/>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25224491.100000001</v>
      </c>
      <c r="C41" s="188">
        <v>22077445.870000001</v>
      </c>
      <c r="D41" s="188">
        <v>19733787.27</v>
      </c>
      <c r="E41" s="188">
        <v>14439889.460000001</v>
      </c>
      <c r="F41" s="188">
        <v>24275596.039999999</v>
      </c>
      <c r="G41" s="188">
        <v>20897435.510000002</v>
      </c>
      <c r="H41" s="188">
        <v>21287300.050000001</v>
      </c>
      <c r="I41" s="188">
        <v>21021321.73</v>
      </c>
      <c r="J41" s="188">
        <v>11081311.4</v>
      </c>
      <c r="K41" s="188">
        <v>8152834.1900000004</v>
      </c>
      <c r="L41" s="188">
        <v>6104017.5599999996</v>
      </c>
      <c r="M41" s="188">
        <v>6160149.7300000004</v>
      </c>
      <c r="N41" s="188">
        <v>5606792.2400000002</v>
      </c>
      <c r="O41" s="188">
        <v>26232376.57</v>
      </c>
      <c r="P41" s="188">
        <v>5516544.9699999997</v>
      </c>
      <c r="Q41" s="188">
        <v>0</v>
      </c>
      <c r="R41" s="188"/>
      <c r="S41" s="188"/>
      <c r="T41" s="188"/>
      <c r="U41" s="188"/>
      <c r="V41" s="188"/>
      <c r="W41" s="188"/>
      <c r="X41" s="188"/>
      <c r="Y41" s="188"/>
      <c r="Z41" s="188"/>
      <c r="AA41" s="188"/>
      <c r="AB41" s="188"/>
      <c r="AC41" s="188"/>
      <c r="AD41" s="188"/>
      <c r="AE41" s="188"/>
      <c r="AF41" s="188"/>
      <c r="AG41" s="188"/>
      <c r="AH41" s="188"/>
      <c r="AI41" s="188"/>
      <c r="AJ41" s="188"/>
      <c r="AK41" s="188"/>
      <c r="AL41" s="188"/>
      <c r="AM41" s="188"/>
      <c r="AN41" s="188"/>
      <c r="AO41" s="188"/>
      <c r="AP41" s="188"/>
      <c r="AQ41" s="188"/>
      <c r="AR41" s="188"/>
      <c r="AS41" s="188"/>
      <c r="AT41" s="188"/>
      <c r="AU41" s="188"/>
      <c r="AV41" s="188"/>
      <c r="AW41" s="188"/>
      <c r="AX41" s="188"/>
      <c r="AY41" s="188"/>
      <c r="AZ41" s="188"/>
      <c r="BA41" s="188"/>
      <c r="BB41" s="188"/>
      <c r="BC41" s="188"/>
      <c r="BD41" s="188"/>
      <c r="BE41" s="188"/>
      <c r="BF41" s="188"/>
      <c r="BG41" s="188"/>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3"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c r="S42" s="188"/>
      <c r="T42" s="188"/>
      <c r="U42" s="188"/>
      <c r="V42" s="188"/>
      <c r="W42" s="188"/>
      <c r="X42" s="188"/>
      <c r="Y42" s="188"/>
      <c r="Z42" s="188"/>
      <c r="AA42" s="188"/>
      <c r="AB42" s="188"/>
      <c r="AC42" s="188"/>
      <c r="AD42" s="188"/>
      <c r="AE42" s="188"/>
      <c r="AF42" s="188"/>
      <c r="AG42" s="188"/>
      <c r="AH42" s="188"/>
      <c r="AI42" s="188"/>
      <c r="AJ42" s="188"/>
      <c r="AK42" s="188"/>
      <c r="AL42" s="188"/>
      <c r="AM42" s="188"/>
      <c r="AN42" s="188"/>
      <c r="AO42" s="188"/>
      <c r="AP42" s="188"/>
      <c r="AQ42" s="188"/>
      <c r="AR42" s="188"/>
      <c r="AS42" s="188"/>
      <c r="AT42" s="188"/>
      <c r="AU42" s="188"/>
      <c r="AV42" s="188"/>
      <c r="AW42" s="188"/>
      <c r="AX42" s="188"/>
      <c r="AY42" s="188"/>
      <c r="AZ42" s="188"/>
      <c r="BA42" s="188"/>
      <c r="BB42" s="188"/>
      <c r="BC42" s="188"/>
      <c r="BD42" s="188"/>
      <c r="BE42" s="188"/>
      <c r="BF42" s="188"/>
      <c r="BG42" s="188"/>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54595655.280000001</v>
      </c>
      <c r="C43" s="188">
        <v>56758360.18</v>
      </c>
      <c r="D43" s="188">
        <v>54523002.539999999</v>
      </c>
      <c r="E43" s="188">
        <v>56681694.68</v>
      </c>
      <c r="F43" s="188">
        <v>51506546.460000001</v>
      </c>
      <c r="G43" s="188">
        <v>54952976.710000001</v>
      </c>
      <c r="H43" s="188">
        <v>56306918.93</v>
      </c>
      <c r="I43" s="188">
        <v>54917308.939999998</v>
      </c>
      <c r="J43" s="188">
        <v>47569365.140000001</v>
      </c>
      <c r="K43" s="188">
        <v>42367421.420000002</v>
      </c>
      <c r="L43" s="188">
        <v>38231742.850000001</v>
      </c>
      <c r="M43" s="188">
        <v>11228129.970000001</v>
      </c>
      <c r="N43" s="188">
        <v>4914390.6900000004</v>
      </c>
      <c r="O43" s="188">
        <v>0</v>
      </c>
      <c r="P43" s="188">
        <v>0</v>
      </c>
      <c r="Q43" s="188">
        <v>0</v>
      </c>
      <c r="R43" s="188"/>
      <c r="S43" s="188"/>
      <c r="T43" s="188"/>
      <c r="U43" s="188"/>
      <c r="V43" s="188"/>
      <c r="W43" s="188"/>
      <c r="X43" s="188"/>
      <c r="Y43" s="188"/>
      <c r="Z43" s="188"/>
      <c r="AA43" s="188"/>
      <c r="AB43" s="188"/>
      <c r="AC43" s="188"/>
      <c r="AD43" s="188"/>
      <c r="AE43" s="188"/>
      <c r="AF43" s="188"/>
      <c r="AG43" s="188"/>
      <c r="AH43" s="188"/>
      <c r="AI43" s="188"/>
      <c r="AJ43" s="188"/>
      <c r="AK43" s="188"/>
      <c r="AL43" s="188"/>
      <c r="AM43" s="188"/>
      <c r="AN43" s="188"/>
      <c r="AO43" s="188"/>
      <c r="AP43" s="188"/>
      <c r="AQ43" s="188"/>
      <c r="AR43" s="188"/>
      <c r="AS43" s="188"/>
      <c r="AT43" s="188"/>
      <c r="AU43" s="188"/>
      <c r="AV43" s="188"/>
      <c r="AW43" s="188"/>
      <c r="AX43" s="188"/>
      <c r="AY43" s="188"/>
      <c r="AZ43" s="188"/>
      <c r="BA43" s="188"/>
      <c r="BB43" s="188"/>
      <c r="BC43" s="188"/>
      <c r="BD43" s="188"/>
      <c r="BE43" s="188"/>
      <c r="BF43" s="188"/>
      <c r="BG43" s="188"/>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c r="S44" s="188"/>
      <c r="T44" s="188"/>
      <c r="U44" s="188"/>
      <c r="V44" s="188"/>
      <c r="W44" s="188"/>
      <c r="X44" s="188"/>
      <c r="Y44" s="188"/>
      <c r="Z44" s="188"/>
      <c r="AA44" s="188"/>
      <c r="AB44" s="188"/>
      <c r="AC44" s="188"/>
      <c r="AD44" s="188"/>
      <c r="AE44" s="188"/>
      <c r="AF44" s="188"/>
      <c r="AG44" s="188"/>
      <c r="AH44" s="188"/>
      <c r="AI44" s="188"/>
      <c r="AJ44" s="188"/>
      <c r="AK44" s="188"/>
      <c r="AL44" s="188"/>
      <c r="AM44" s="188"/>
      <c r="AN44" s="188"/>
      <c r="AO44" s="188"/>
      <c r="AP44" s="188"/>
      <c r="AQ44" s="188"/>
      <c r="AR44" s="188"/>
      <c r="AS44" s="188"/>
      <c r="AT44" s="188"/>
      <c r="AU44" s="188"/>
      <c r="AV44" s="188"/>
      <c r="AW44" s="188"/>
      <c r="AX44" s="188"/>
      <c r="AY44" s="188"/>
      <c r="AZ44" s="188"/>
      <c r="BA44" s="188"/>
      <c r="BB44" s="188"/>
      <c r="BC44" s="188"/>
      <c r="BD44" s="188"/>
      <c r="BE44" s="188"/>
      <c r="BF44" s="188"/>
      <c r="BG44" s="188"/>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c r="S45" s="188"/>
      <c r="T45" s="188"/>
      <c r="U45" s="188"/>
      <c r="V45" s="188"/>
      <c r="W45" s="188"/>
      <c r="X45" s="188"/>
      <c r="Y45" s="188"/>
      <c r="Z45" s="188"/>
      <c r="AA45" s="188"/>
      <c r="AB45" s="188"/>
      <c r="AC45" s="188"/>
      <c r="AD45" s="188"/>
      <c r="AE45" s="188"/>
      <c r="AF45" s="188"/>
      <c r="AG45" s="188"/>
      <c r="AH45" s="188"/>
      <c r="AI45" s="188"/>
      <c r="AJ45" s="188"/>
      <c r="AK45" s="188"/>
      <c r="AL45" s="188"/>
      <c r="AM45" s="188"/>
      <c r="AN45" s="188"/>
      <c r="AO45" s="188"/>
      <c r="AP45" s="188"/>
      <c r="AQ45" s="188"/>
      <c r="AR45" s="188"/>
      <c r="AS45" s="188"/>
      <c r="AT45" s="188"/>
      <c r="AU45" s="188"/>
      <c r="AV45" s="188"/>
      <c r="AW45" s="188"/>
      <c r="AX45" s="188"/>
      <c r="AY45" s="188"/>
      <c r="AZ45" s="188"/>
      <c r="BA45" s="188"/>
      <c r="BB45" s="188"/>
      <c r="BC45" s="188"/>
      <c r="BD45" s="188"/>
      <c r="BE45" s="188"/>
      <c r="BF45" s="188"/>
      <c r="BG45" s="188"/>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269116974.37</v>
      </c>
      <c r="C49" s="35">
        <f>SUM(C35:C41)+SUM(C43:C45)</f>
        <v>256899948.73000002</v>
      </c>
      <c r="D49" s="35">
        <f>SUM(D35:D41)+SUM(D43:D45)</f>
        <v>233911556.63</v>
      </c>
      <c r="E49" s="35">
        <f>SUM(E35:E45)</f>
        <v>240469869.88000003</v>
      </c>
      <c r="F49" s="35">
        <f t="shared" ref="F49:BQ49" si="4">SUM(F35:F45)</f>
        <v>246289295.13000003</v>
      </c>
      <c r="G49" s="35">
        <f t="shared" si="4"/>
        <v>243488425.24000004</v>
      </c>
      <c r="H49" s="35">
        <f t="shared" si="4"/>
        <v>220955509.01000002</v>
      </c>
      <c r="I49" s="35">
        <f t="shared" si="4"/>
        <v>217550651.59999999</v>
      </c>
      <c r="J49" s="35">
        <f t="shared" si="4"/>
        <v>202837957.25</v>
      </c>
      <c r="K49" s="35">
        <f t="shared" si="4"/>
        <v>182768413</v>
      </c>
      <c r="L49" s="35">
        <f t="shared" si="4"/>
        <v>157693559.49000001</v>
      </c>
      <c r="M49" s="35">
        <f t="shared" si="4"/>
        <v>112413726.17000002</v>
      </c>
      <c r="N49" s="35">
        <f t="shared" si="4"/>
        <v>91860797.219999984</v>
      </c>
      <c r="O49" s="35">
        <f t="shared" si="4"/>
        <v>108892242.94999999</v>
      </c>
      <c r="P49" s="35">
        <f t="shared" si="4"/>
        <v>50429127.560000002</v>
      </c>
      <c r="Q49" s="35">
        <f t="shared" si="4"/>
        <v>0</v>
      </c>
      <c r="R49" s="35">
        <f t="shared" si="4"/>
        <v>0</v>
      </c>
      <c r="S49" s="35">
        <f t="shared" si="4"/>
        <v>0</v>
      </c>
      <c r="T49" s="35">
        <f t="shared" si="4"/>
        <v>0</v>
      </c>
      <c r="U49" s="35">
        <f t="shared" si="4"/>
        <v>0</v>
      </c>
      <c r="V49" s="35">
        <f t="shared" si="4"/>
        <v>0</v>
      </c>
      <c r="W49" s="35">
        <f t="shared" si="4"/>
        <v>0</v>
      </c>
      <c r="X49" s="35">
        <f t="shared" si="4"/>
        <v>0</v>
      </c>
      <c r="Y49" s="35">
        <f t="shared" si="4"/>
        <v>0</v>
      </c>
      <c r="Z49" s="35">
        <f t="shared" si="4"/>
        <v>0</v>
      </c>
      <c r="AA49" s="35">
        <f t="shared" si="4"/>
        <v>0</v>
      </c>
      <c r="AB49" s="35">
        <f t="shared" si="4"/>
        <v>0</v>
      </c>
      <c r="AC49" s="35">
        <f t="shared" si="4"/>
        <v>0</v>
      </c>
      <c r="AD49" s="35">
        <f t="shared" si="4"/>
        <v>0</v>
      </c>
      <c r="AE49" s="35">
        <f t="shared" si="4"/>
        <v>0</v>
      </c>
      <c r="AF49" s="35">
        <f t="shared" si="4"/>
        <v>0</v>
      </c>
      <c r="AG49" s="35">
        <f t="shared" si="4"/>
        <v>0</v>
      </c>
      <c r="AH49" s="35">
        <f t="shared" si="4"/>
        <v>0</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382748709.19000006</v>
      </c>
      <c r="C50" s="36">
        <f t="shared" ref="C50:BN50" si="6">C33-C49</f>
        <v>305683246.75999999</v>
      </c>
      <c r="D50" s="36">
        <f t="shared" si="6"/>
        <v>357192701.33000004</v>
      </c>
      <c r="E50" s="36">
        <f t="shared" si="6"/>
        <v>191971497.01999995</v>
      </c>
      <c r="F50" s="36">
        <f t="shared" si="6"/>
        <v>314958716.34000003</v>
      </c>
      <c r="G50" s="36">
        <f t="shared" si="6"/>
        <v>179942635.36999997</v>
      </c>
      <c r="H50" s="36">
        <f t="shared" si="6"/>
        <v>46953509.559999973</v>
      </c>
      <c r="I50" s="36">
        <f t="shared" si="6"/>
        <v>174160219.69000003</v>
      </c>
      <c r="J50" s="36">
        <f t="shared" si="6"/>
        <v>-54243005.640000015</v>
      </c>
      <c r="K50" s="36">
        <f t="shared" si="6"/>
        <v>-52081627.970000014</v>
      </c>
      <c r="L50" s="36">
        <f t="shared" si="6"/>
        <v>-65944078.750000015</v>
      </c>
      <c r="M50" s="36">
        <f t="shared" si="6"/>
        <v>-40591410.170000017</v>
      </c>
      <c r="N50" s="36">
        <f t="shared" si="6"/>
        <v>-24105600.079999983</v>
      </c>
      <c r="O50" s="36">
        <f t="shared" si="6"/>
        <v>17286619.160000011</v>
      </c>
      <c r="P50" s="36">
        <f t="shared" si="6"/>
        <v>-393556.98000000417</v>
      </c>
      <c r="Q50" s="36">
        <f t="shared" si="6"/>
        <v>0</v>
      </c>
      <c r="R50" s="36">
        <f t="shared" si="6"/>
        <v>0</v>
      </c>
      <c r="S50" s="36">
        <f t="shared" si="6"/>
        <v>0</v>
      </c>
      <c r="T50" s="36">
        <f t="shared" si="6"/>
        <v>0</v>
      </c>
      <c r="U50" s="36">
        <f t="shared" si="6"/>
        <v>0</v>
      </c>
      <c r="V50" s="36">
        <f t="shared" si="6"/>
        <v>0</v>
      </c>
      <c r="W50" s="36">
        <f t="shared" si="6"/>
        <v>0</v>
      </c>
      <c r="X50" s="36">
        <f t="shared" si="6"/>
        <v>0</v>
      </c>
      <c r="Y50" s="36">
        <f t="shared" si="6"/>
        <v>0</v>
      </c>
      <c r="Z50" s="36">
        <f t="shared" si="6"/>
        <v>0</v>
      </c>
      <c r="AA50" s="36">
        <f t="shared" si="6"/>
        <v>0</v>
      </c>
      <c r="AB50" s="36">
        <f t="shared" si="6"/>
        <v>0</v>
      </c>
      <c r="AC50" s="36">
        <f t="shared" si="6"/>
        <v>0</v>
      </c>
      <c r="AD50" s="36">
        <f t="shared" si="6"/>
        <v>0</v>
      </c>
      <c r="AE50" s="36">
        <f t="shared" si="6"/>
        <v>0</v>
      </c>
      <c r="AF50" s="36">
        <f t="shared" si="6"/>
        <v>0</v>
      </c>
      <c r="AG50" s="36">
        <f t="shared" si="6"/>
        <v>0</v>
      </c>
      <c r="AH50" s="36">
        <f t="shared" si="6"/>
        <v>0</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373810305.35000002</v>
      </c>
      <c r="C52" s="188">
        <v>359489220.79000002</v>
      </c>
      <c r="D52" s="188">
        <v>329044971.12</v>
      </c>
      <c r="E52" s="188">
        <v>319391107.06</v>
      </c>
      <c r="F52" s="188">
        <v>267304832.13</v>
      </c>
      <c r="G52" s="188">
        <v>263148285.97999999</v>
      </c>
      <c r="H52" s="188">
        <v>258002324.71000001</v>
      </c>
      <c r="I52" s="188">
        <v>260701094.24000001</v>
      </c>
      <c r="J52" s="188">
        <v>228037011.72</v>
      </c>
      <c r="K52" s="188">
        <v>228140943.62</v>
      </c>
      <c r="L52" s="188">
        <v>232212647.59999999</v>
      </c>
      <c r="M52" s="188">
        <v>219813120.94</v>
      </c>
      <c r="N52" s="188">
        <v>215450318.12</v>
      </c>
      <c r="O52" s="188">
        <v>100643033.04000001</v>
      </c>
      <c r="P52" s="188">
        <v>84088210.109999999</v>
      </c>
      <c r="Q52" s="188">
        <v>0</v>
      </c>
      <c r="R52" s="188"/>
      <c r="S52" s="188"/>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59032185.189999998</v>
      </c>
      <c r="C53" s="188">
        <v>48498833.020000003</v>
      </c>
      <c r="D53" s="188">
        <v>50085419.869999997</v>
      </c>
      <c r="E53" s="188">
        <v>48289733.960000001</v>
      </c>
      <c r="F53" s="188">
        <v>70180899.620000005</v>
      </c>
      <c r="G53" s="188">
        <v>67669223.189999998</v>
      </c>
      <c r="H53" s="188">
        <v>67064214.490000002</v>
      </c>
      <c r="I53" s="188">
        <v>53359317.390000001</v>
      </c>
      <c r="J53" s="188">
        <v>69635501.519999996</v>
      </c>
      <c r="K53" s="188">
        <v>68701890.849999994</v>
      </c>
      <c r="L53" s="188">
        <v>56098042</v>
      </c>
      <c r="M53" s="188">
        <v>50408573.420000002</v>
      </c>
      <c r="N53" s="188">
        <v>57075147.840000004</v>
      </c>
      <c r="O53" s="188">
        <v>0</v>
      </c>
      <c r="P53" s="188">
        <v>0</v>
      </c>
      <c r="Q53" s="188">
        <v>0</v>
      </c>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c r="S54" s="188"/>
      <c r="T54" s="188"/>
      <c r="U54" s="188"/>
      <c r="V54" s="188"/>
      <c r="W54" s="188"/>
      <c r="X54" s="188"/>
      <c r="Y54" s="188"/>
      <c r="Z54" s="188"/>
      <c r="AA54" s="188"/>
      <c r="AB54" s="188"/>
      <c r="AC54" s="188"/>
      <c r="AD54" s="188"/>
      <c r="AE54" s="188"/>
      <c r="AF54" s="188"/>
      <c r="AG54" s="188"/>
      <c r="AH54" s="188"/>
      <c r="AI54" s="188"/>
      <c r="AJ54" s="188"/>
      <c r="AK54" s="188"/>
      <c r="AL54" s="188"/>
      <c r="AM54" s="188"/>
      <c r="AN54" s="188"/>
      <c r="AO54" s="188"/>
      <c r="AP54" s="188"/>
      <c r="AQ54" s="188"/>
      <c r="AR54" s="188"/>
      <c r="AS54" s="188"/>
      <c r="AT54" s="188"/>
      <c r="AU54" s="188"/>
      <c r="AV54" s="188"/>
      <c r="AW54" s="188"/>
      <c r="AX54" s="188"/>
      <c r="AY54" s="188"/>
      <c r="AZ54" s="188"/>
      <c r="BA54" s="188"/>
      <c r="BB54" s="188"/>
      <c r="BC54" s="188"/>
      <c r="BD54" s="188"/>
      <c r="BE54" s="188"/>
      <c r="BF54" s="188"/>
      <c r="BG54" s="188"/>
      <c r="BH54" s="188"/>
      <c r="BI54" s="188"/>
      <c r="BJ54" s="188"/>
      <c r="BK54" s="188"/>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c r="S55" s="188"/>
      <c r="T55" s="188"/>
      <c r="U55" s="188"/>
      <c r="V55" s="188"/>
      <c r="W55" s="188"/>
      <c r="X55" s="188"/>
      <c r="Y55" s="188"/>
      <c r="Z55" s="188"/>
      <c r="AA55" s="188"/>
      <c r="AB55" s="188"/>
      <c r="AC55" s="188"/>
      <c r="AD55" s="188"/>
      <c r="AE55" s="188"/>
      <c r="AF55" s="188"/>
      <c r="AG55" s="188"/>
      <c r="AH55" s="188"/>
      <c r="AI55" s="188"/>
      <c r="AJ55" s="188"/>
      <c r="AK55" s="188"/>
      <c r="AL55" s="188"/>
      <c r="AM55" s="188"/>
      <c r="AN55" s="188"/>
      <c r="AO55" s="188"/>
      <c r="AP55" s="188"/>
      <c r="AQ55" s="188"/>
      <c r="AR55" s="188"/>
      <c r="AS55" s="188"/>
      <c r="AT55" s="188"/>
      <c r="AU55" s="188"/>
      <c r="AV55" s="188"/>
      <c r="AW55" s="188"/>
      <c r="AX55" s="188"/>
      <c r="AY55" s="188"/>
      <c r="AZ55" s="188"/>
      <c r="BA55" s="188"/>
      <c r="BB55" s="188"/>
      <c r="BC55" s="188"/>
      <c r="BD55" s="188"/>
      <c r="BE55" s="188"/>
      <c r="BF55" s="188"/>
      <c r="BG55" s="188"/>
      <c r="BH55" s="188"/>
      <c r="BI55" s="188"/>
      <c r="BJ55" s="188"/>
      <c r="BK55" s="188"/>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c r="S56" s="188"/>
      <c r="T56" s="188"/>
      <c r="U56" s="188"/>
      <c r="V56" s="188"/>
      <c r="W56" s="188"/>
      <c r="X56" s="188"/>
      <c r="Y56" s="188"/>
      <c r="Z56" s="188"/>
      <c r="AA56" s="188"/>
      <c r="AB56" s="188"/>
      <c r="AC56" s="188"/>
      <c r="AD56" s="188"/>
      <c r="AE56" s="188"/>
      <c r="AF56" s="188"/>
      <c r="AG56" s="188"/>
      <c r="AH56" s="188"/>
      <c r="AI56" s="188"/>
      <c r="AJ56" s="188"/>
      <c r="AK56" s="188"/>
      <c r="AL56" s="188"/>
      <c r="AM56" s="188"/>
      <c r="AN56" s="188"/>
      <c r="AO56" s="188"/>
      <c r="AP56" s="188"/>
      <c r="AQ56" s="188"/>
      <c r="AR56" s="188"/>
      <c r="AS56" s="188"/>
      <c r="AT56" s="188"/>
      <c r="AU56" s="188"/>
      <c r="AV56" s="188"/>
      <c r="AW56" s="188"/>
      <c r="AX56" s="188"/>
      <c r="AY56" s="188"/>
      <c r="AZ56" s="188"/>
      <c r="BA56" s="188"/>
      <c r="BB56" s="188"/>
      <c r="BC56" s="188"/>
      <c r="BD56" s="188"/>
      <c r="BE56" s="188"/>
      <c r="BF56" s="188"/>
      <c r="BG56" s="188"/>
      <c r="BH56" s="188"/>
      <c r="BI56" s="188"/>
      <c r="BJ56" s="188"/>
      <c r="BK56" s="188"/>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c r="S57" s="188"/>
      <c r="T57" s="188"/>
      <c r="U57" s="188"/>
      <c r="V57" s="188"/>
      <c r="W57" s="188"/>
      <c r="X57" s="188"/>
      <c r="Y57" s="188"/>
      <c r="Z57" s="188"/>
      <c r="AA57" s="188"/>
      <c r="AB57" s="188"/>
      <c r="AC57" s="188"/>
      <c r="AD57" s="188"/>
      <c r="AE57" s="188"/>
      <c r="AF57" s="188"/>
      <c r="AG57" s="188"/>
      <c r="AH57" s="188"/>
      <c r="AI57" s="188"/>
      <c r="AJ57" s="188"/>
      <c r="AK57" s="188"/>
      <c r="AL57" s="188"/>
      <c r="AM57" s="188"/>
      <c r="AN57" s="188"/>
      <c r="AO57" s="188"/>
      <c r="AP57" s="188"/>
      <c r="AQ57" s="188"/>
      <c r="AR57" s="188"/>
      <c r="AS57" s="188"/>
      <c r="AT57" s="188"/>
      <c r="AU57" s="188"/>
      <c r="AV57" s="188"/>
      <c r="AW57" s="188"/>
      <c r="AX57" s="188"/>
      <c r="AY57" s="188"/>
      <c r="AZ57" s="188"/>
      <c r="BA57" s="188"/>
      <c r="BB57" s="188"/>
      <c r="BC57" s="188"/>
      <c r="BD57" s="188"/>
      <c r="BE57" s="188"/>
      <c r="BF57" s="188"/>
      <c r="BG57" s="188"/>
      <c r="BH57" s="188"/>
      <c r="BI57" s="188"/>
      <c r="BJ57" s="188"/>
      <c r="BK57" s="188"/>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55534924.060000002</v>
      </c>
      <c r="C58" s="188">
        <v>55650916.25</v>
      </c>
      <c r="D58" s="188">
        <v>54909373.960000001</v>
      </c>
      <c r="E58" s="188">
        <v>55522117.740000002</v>
      </c>
      <c r="F58" s="188">
        <v>55376172.719999999</v>
      </c>
      <c r="G58" s="188">
        <v>55591959.420000002</v>
      </c>
      <c r="H58" s="188">
        <v>56545406.509999998</v>
      </c>
      <c r="I58" s="188">
        <v>56907484.909999996</v>
      </c>
      <c r="J58" s="188">
        <v>65440239.509999998</v>
      </c>
      <c r="K58" s="188">
        <v>66009379.030000001</v>
      </c>
      <c r="L58" s="188">
        <v>67270884.709999993</v>
      </c>
      <c r="M58" s="188">
        <v>66607493.780000001</v>
      </c>
      <c r="N58" s="188">
        <v>57043974.93</v>
      </c>
      <c r="O58" s="188">
        <v>11661119.57</v>
      </c>
      <c r="P58" s="188">
        <v>4352089.13</v>
      </c>
      <c r="Q58" s="188">
        <v>0</v>
      </c>
      <c r="R58" s="188"/>
      <c r="S58" s="188"/>
      <c r="T58" s="188"/>
      <c r="U58" s="188"/>
      <c r="V58" s="188"/>
      <c r="W58" s="188"/>
      <c r="X58" s="188"/>
      <c r="Y58" s="188"/>
      <c r="Z58" s="188"/>
      <c r="AA58" s="188"/>
      <c r="AB58" s="188"/>
      <c r="AC58" s="188"/>
      <c r="AD58" s="188"/>
      <c r="AE58" s="188"/>
      <c r="AF58" s="188"/>
      <c r="AG58" s="188"/>
      <c r="AH58" s="188"/>
      <c r="AI58" s="188"/>
      <c r="AJ58" s="188"/>
      <c r="AK58" s="188"/>
      <c r="AL58" s="188"/>
      <c r="AM58" s="188"/>
      <c r="AN58" s="188"/>
      <c r="AO58" s="188"/>
      <c r="AP58" s="188"/>
      <c r="AQ58" s="188"/>
      <c r="AR58" s="188"/>
      <c r="AS58" s="188"/>
      <c r="AT58" s="188"/>
      <c r="AU58" s="188"/>
      <c r="AV58" s="188"/>
      <c r="AW58" s="188"/>
      <c r="AX58" s="188"/>
      <c r="AY58" s="188"/>
      <c r="AZ58" s="188"/>
      <c r="BA58" s="188"/>
      <c r="BB58" s="188"/>
      <c r="BC58" s="188"/>
      <c r="BD58" s="188"/>
      <c r="BE58" s="188"/>
      <c r="BF58" s="188"/>
      <c r="BG58" s="188"/>
      <c r="BH58" s="188"/>
      <c r="BI58" s="188"/>
      <c r="BJ58" s="188"/>
      <c r="BK58" s="188"/>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c r="S59" s="188"/>
      <c r="T59" s="188"/>
      <c r="U59" s="188"/>
      <c r="V59" s="188"/>
      <c r="W59" s="188"/>
      <c r="X59" s="188"/>
      <c r="Y59" s="188"/>
      <c r="Z59" s="188"/>
      <c r="AA59" s="188"/>
      <c r="AB59" s="188"/>
      <c r="AC59" s="188"/>
      <c r="AD59" s="188"/>
      <c r="AE59" s="188"/>
      <c r="AF59" s="188"/>
      <c r="AG59" s="188"/>
      <c r="AH59" s="188"/>
      <c r="AI59" s="188"/>
      <c r="AJ59" s="188"/>
      <c r="AK59" s="188"/>
      <c r="AL59" s="188"/>
      <c r="AM59" s="188"/>
      <c r="AN59" s="188"/>
      <c r="AO59" s="188"/>
      <c r="AP59" s="188"/>
      <c r="AQ59" s="188"/>
      <c r="AR59" s="188"/>
      <c r="AS59" s="188"/>
      <c r="AT59" s="188"/>
      <c r="AU59" s="188"/>
      <c r="AV59" s="188"/>
      <c r="AW59" s="188"/>
      <c r="AX59" s="188"/>
      <c r="AY59" s="188"/>
      <c r="AZ59" s="188"/>
      <c r="BA59" s="188"/>
      <c r="BB59" s="188"/>
      <c r="BC59" s="188"/>
      <c r="BD59" s="188"/>
      <c r="BE59" s="188"/>
      <c r="BF59" s="188"/>
      <c r="BG59" s="188"/>
      <c r="BH59" s="188"/>
      <c r="BI59" s="188"/>
      <c r="BJ59" s="188"/>
      <c r="BK59" s="188"/>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80234108.319999993</v>
      </c>
      <c r="C60" s="188">
        <v>80234108.319999993</v>
      </c>
      <c r="D60" s="188">
        <v>62947457.899999999</v>
      </c>
      <c r="E60" s="188">
        <v>62947457.899999999</v>
      </c>
      <c r="F60" s="188">
        <v>62947457.899999999</v>
      </c>
      <c r="G60" s="188">
        <v>62947457.899999999</v>
      </c>
      <c r="H60" s="188">
        <v>62947457.899999999</v>
      </c>
      <c r="I60" s="188">
        <v>62947457.899999999</v>
      </c>
      <c r="J60" s="188">
        <v>62947457.899999999</v>
      </c>
      <c r="K60" s="188">
        <v>62947457.899999999</v>
      </c>
      <c r="L60" s="188">
        <v>62947457.899999999</v>
      </c>
      <c r="M60" s="188">
        <v>62082734.619999997</v>
      </c>
      <c r="N60" s="188">
        <v>62082734.619999997</v>
      </c>
      <c r="O60" s="188">
        <v>62082734.619999997</v>
      </c>
      <c r="P60" s="188">
        <v>36083966.270000003</v>
      </c>
      <c r="Q60" s="188">
        <v>0</v>
      </c>
      <c r="R60" s="188"/>
      <c r="S60" s="188"/>
      <c r="T60" s="188"/>
      <c r="U60" s="188"/>
      <c r="V60" s="188"/>
      <c r="W60" s="188"/>
      <c r="X60" s="188"/>
      <c r="Y60" s="188"/>
      <c r="Z60" s="188"/>
      <c r="AA60" s="188"/>
      <c r="AB60" s="188"/>
      <c r="AC60" s="188"/>
      <c r="AD60" s="188"/>
      <c r="AE60" s="188"/>
      <c r="AF60" s="188"/>
      <c r="AG60" s="188"/>
      <c r="AH60" s="188"/>
      <c r="AI60" s="188"/>
      <c r="AJ60" s="188"/>
      <c r="AK60" s="188"/>
      <c r="AL60" s="188"/>
      <c r="AM60" s="188"/>
      <c r="AN60" s="188"/>
      <c r="AO60" s="188"/>
      <c r="AP60" s="188"/>
      <c r="AQ60" s="188"/>
      <c r="AR60" s="188"/>
      <c r="AS60" s="188"/>
      <c r="AT60" s="188"/>
      <c r="AU60" s="188"/>
      <c r="AV60" s="188"/>
      <c r="AW60" s="188"/>
      <c r="AX60" s="188"/>
      <c r="AY60" s="188"/>
      <c r="AZ60" s="188"/>
      <c r="BA60" s="188"/>
      <c r="BB60" s="188"/>
      <c r="BC60" s="188"/>
      <c r="BD60" s="188"/>
      <c r="BE60" s="188"/>
      <c r="BF60" s="188"/>
      <c r="BG60" s="188"/>
      <c r="BH60" s="188"/>
      <c r="BI60" s="188"/>
      <c r="BJ60" s="188"/>
      <c r="BK60" s="188"/>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13467738.970000001</v>
      </c>
      <c r="C61" s="188">
        <v>14511415.01</v>
      </c>
      <c r="D61" s="188">
        <v>10827544.130000001</v>
      </c>
      <c r="E61" s="188">
        <v>10456250.720000001</v>
      </c>
      <c r="F61" s="188">
        <v>9860098.1400000006</v>
      </c>
      <c r="G61" s="188">
        <v>10678917.27</v>
      </c>
      <c r="H61" s="188">
        <v>11193269.960000001</v>
      </c>
      <c r="I61" s="188">
        <v>11742230.220000001</v>
      </c>
      <c r="J61" s="188">
        <v>12237893.699999999</v>
      </c>
      <c r="K61" s="188">
        <v>12478785.4</v>
      </c>
      <c r="L61" s="188">
        <v>12476028.9</v>
      </c>
      <c r="M61" s="188">
        <v>11175137.050000001</v>
      </c>
      <c r="N61" s="188">
        <v>9058705.0399999991</v>
      </c>
      <c r="O61" s="188">
        <v>7781969.0499999998</v>
      </c>
      <c r="P61" s="188">
        <v>5988595.79</v>
      </c>
      <c r="Q61" s="188">
        <v>0</v>
      </c>
      <c r="R61" s="188"/>
      <c r="S61" s="188"/>
      <c r="T61" s="188"/>
      <c r="U61" s="188"/>
      <c r="V61" s="188"/>
      <c r="W61" s="188"/>
      <c r="X61" s="188"/>
      <c r="Y61" s="188"/>
      <c r="Z61" s="188"/>
      <c r="AA61" s="188"/>
      <c r="AB61" s="188"/>
      <c r="AC61" s="188"/>
      <c r="AD61" s="188"/>
      <c r="AE61" s="188"/>
      <c r="AF61" s="188"/>
      <c r="AG61" s="188"/>
      <c r="AH61" s="188"/>
      <c r="AI61" s="188"/>
      <c r="AJ61" s="188"/>
      <c r="AK61" s="188"/>
      <c r="AL61" s="188"/>
      <c r="AM61" s="188"/>
      <c r="AN61" s="188"/>
      <c r="AO61" s="188"/>
      <c r="AP61" s="188"/>
      <c r="AQ61" s="188"/>
      <c r="AR61" s="188"/>
      <c r="AS61" s="188"/>
      <c r="AT61" s="188"/>
      <c r="AU61" s="188"/>
      <c r="AV61" s="188"/>
      <c r="AW61" s="188"/>
      <c r="AX61" s="188"/>
      <c r="AY61" s="188"/>
      <c r="AZ61" s="188"/>
      <c r="BA61" s="188"/>
      <c r="BB61" s="188"/>
      <c r="BC61" s="188"/>
      <c r="BD61" s="188"/>
      <c r="BE61" s="188"/>
      <c r="BF61" s="188"/>
      <c r="BG61" s="188"/>
      <c r="BH61" s="188"/>
      <c r="BI61" s="188"/>
      <c r="BJ61" s="188"/>
      <c r="BK61" s="188"/>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2718847.41</v>
      </c>
      <c r="C62" s="188">
        <v>2565909.73</v>
      </c>
      <c r="D62" s="188">
        <v>2013329.79</v>
      </c>
      <c r="E62" s="188">
        <v>1877052.63</v>
      </c>
      <c r="F62" s="188">
        <v>2031495.54</v>
      </c>
      <c r="G62" s="188">
        <v>1778307.05</v>
      </c>
      <c r="H62" s="188">
        <v>1450899.23</v>
      </c>
      <c r="I62" s="188">
        <v>1408832.95</v>
      </c>
      <c r="J62" s="188">
        <v>1482090.76</v>
      </c>
      <c r="K62" s="188">
        <v>1450020.73</v>
      </c>
      <c r="L62" s="188">
        <v>1073849.6200000001</v>
      </c>
      <c r="M62" s="188">
        <v>791035.71</v>
      </c>
      <c r="N62" s="188">
        <v>1005507.12</v>
      </c>
      <c r="O62" s="188">
        <v>739346.13</v>
      </c>
      <c r="P62" s="188">
        <v>489181.34</v>
      </c>
      <c r="Q62" s="188">
        <v>0</v>
      </c>
      <c r="R62" s="188"/>
      <c r="S62" s="188"/>
      <c r="T62" s="188"/>
      <c r="U62" s="188"/>
      <c r="V62" s="188"/>
      <c r="W62" s="188"/>
      <c r="X62" s="188"/>
      <c r="Y62" s="188"/>
      <c r="Z62" s="188"/>
      <c r="AA62" s="188"/>
      <c r="AB62" s="188"/>
      <c r="AC62" s="188"/>
      <c r="AD62" s="188"/>
      <c r="AE62" s="188"/>
      <c r="AF62" s="188"/>
      <c r="AG62" s="188"/>
      <c r="AH62" s="188"/>
      <c r="AI62" s="188"/>
      <c r="AJ62" s="188"/>
      <c r="AK62" s="188"/>
      <c r="AL62" s="188"/>
      <c r="AM62" s="188"/>
      <c r="AN62" s="188"/>
      <c r="AO62" s="188"/>
      <c r="AP62" s="188"/>
      <c r="AQ62" s="188"/>
      <c r="AR62" s="188"/>
      <c r="AS62" s="188"/>
      <c r="AT62" s="188"/>
      <c r="AU62" s="188"/>
      <c r="AV62" s="188"/>
      <c r="AW62" s="188"/>
      <c r="AX62" s="188"/>
      <c r="AY62" s="188"/>
      <c r="AZ62" s="188"/>
      <c r="BA62" s="188"/>
      <c r="BB62" s="188"/>
      <c r="BC62" s="188"/>
      <c r="BD62" s="188"/>
      <c r="BE62" s="188"/>
      <c r="BF62" s="188"/>
      <c r="BG62" s="188"/>
      <c r="BH62" s="188"/>
      <c r="BI62" s="188"/>
      <c r="BJ62" s="188"/>
      <c r="BK62" s="188"/>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872618.03</v>
      </c>
      <c r="C63" s="188">
        <v>928017.97</v>
      </c>
      <c r="D63" s="188">
        <v>856873.5</v>
      </c>
      <c r="E63" s="188">
        <v>1020981.59</v>
      </c>
      <c r="F63" s="188">
        <v>1072764.8600000001</v>
      </c>
      <c r="G63" s="188">
        <v>1124560.6299999999</v>
      </c>
      <c r="H63" s="188">
        <v>1176343.8799999999</v>
      </c>
      <c r="I63" s="188">
        <v>1230573.3600000001</v>
      </c>
      <c r="J63" s="188">
        <v>1285465.9099999999</v>
      </c>
      <c r="K63" s="188">
        <v>1340333.4099999999</v>
      </c>
      <c r="L63" s="188">
        <v>1368236.73</v>
      </c>
      <c r="M63" s="188">
        <v>1258206.33</v>
      </c>
      <c r="N63" s="188">
        <v>2480097.21</v>
      </c>
      <c r="O63" s="188">
        <v>2886258.44</v>
      </c>
      <c r="P63" s="188">
        <v>720272.11</v>
      </c>
      <c r="Q63" s="188">
        <v>0</v>
      </c>
      <c r="R63" s="188"/>
      <c r="S63" s="188"/>
      <c r="T63" s="188"/>
      <c r="U63" s="188"/>
      <c r="V63" s="188"/>
      <c r="W63" s="188"/>
      <c r="X63" s="188"/>
      <c r="Y63" s="188"/>
      <c r="Z63" s="188"/>
      <c r="AA63" s="188"/>
      <c r="AB63" s="188"/>
      <c r="AC63" s="188"/>
      <c r="AD63" s="188"/>
      <c r="AE63" s="188"/>
      <c r="AF63" s="188"/>
      <c r="AG63" s="188"/>
      <c r="AH63" s="188"/>
      <c r="AI63" s="188"/>
      <c r="AJ63" s="188"/>
      <c r="AK63" s="188"/>
      <c r="AL63" s="188"/>
      <c r="AM63" s="188"/>
      <c r="AN63" s="188"/>
      <c r="AO63" s="188"/>
      <c r="AP63" s="188"/>
      <c r="AQ63" s="188"/>
      <c r="AR63" s="188"/>
      <c r="AS63" s="188"/>
      <c r="AT63" s="188"/>
      <c r="AU63" s="188"/>
      <c r="AV63" s="188"/>
      <c r="AW63" s="188"/>
      <c r="AX63" s="188"/>
      <c r="AY63" s="188"/>
      <c r="AZ63" s="188"/>
      <c r="BA63" s="188"/>
      <c r="BB63" s="188"/>
      <c r="BC63" s="188"/>
      <c r="BD63" s="188"/>
      <c r="BE63" s="188"/>
      <c r="BF63" s="188"/>
      <c r="BG63" s="188"/>
      <c r="BH63" s="188"/>
      <c r="BI63" s="188"/>
      <c r="BJ63" s="188"/>
      <c r="BK63" s="188"/>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12730000</v>
      </c>
      <c r="C64" s="188">
        <v>12730000</v>
      </c>
      <c r="D64" s="188">
        <v>12730000</v>
      </c>
      <c r="E64" s="188">
        <v>12730000</v>
      </c>
      <c r="F64" s="188">
        <v>0</v>
      </c>
      <c r="G64" s="188">
        <v>0</v>
      </c>
      <c r="H64" s="188">
        <v>0</v>
      </c>
      <c r="I64" s="188">
        <v>0</v>
      </c>
      <c r="J64" s="188">
        <v>0</v>
      </c>
      <c r="K64" s="188">
        <v>0</v>
      </c>
      <c r="L64" s="188">
        <v>0</v>
      </c>
      <c r="M64" s="188">
        <v>0</v>
      </c>
      <c r="N64" s="188">
        <v>0</v>
      </c>
      <c r="O64" s="188">
        <v>0</v>
      </c>
      <c r="P64" s="188">
        <v>0</v>
      </c>
      <c r="Q64" s="188">
        <v>0</v>
      </c>
      <c r="R64" s="188"/>
      <c r="S64" s="188"/>
      <c r="T64" s="188"/>
      <c r="U64" s="188"/>
      <c r="V64" s="188"/>
      <c r="W64" s="188"/>
      <c r="X64" s="188"/>
      <c r="Y64" s="188"/>
      <c r="Z64" s="188"/>
      <c r="AA64" s="188"/>
      <c r="AB64" s="188"/>
      <c r="AC64" s="188"/>
      <c r="AD64" s="188"/>
      <c r="AE64" s="188"/>
      <c r="AF64" s="188"/>
      <c r="AG64" s="188"/>
      <c r="AH64" s="188"/>
      <c r="AI64" s="188"/>
      <c r="AJ64" s="188"/>
      <c r="AK64" s="188"/>
      <c r="AL64" s="188"/>
      <c r="AM64" s="188"/>
      <c r="AN64" s="188"/>
      <c r="AO64" s="188"/>
      <c r="AP64" s="188"/>
      <c r="AQ64" s="188"/>
      <c r="AR64" s="188"/>
      <c r="AS64" s="188"/>
      <c r="AT64" s="188"/>
      <c r="AU64" s="188"/>
      <c r="AV64" s="188"/>
      <c r="AW64" s="188"/>
      <c r="AX64" s="188"/>
      <c r="AY64" s="188"/>
      <c r="AZ64" s="188"/>
      <c r="BA64" s="188"/>
      <c r="BB64" s="188"/>
      <c r="BC64" s="188"/>
      <c r="BD64" s="188"/>
      <c r="BE64" s="188"/>
      <c r="BF64" s="188"/>
      <c r="BG64" s="188"/>
      <c r="BH64" s="188"/>
      <c r="BI64" s="188"/>
      <c r="BJ64" s="188"/>
      <c r="BK64" s="188"/>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596655491.2700001</v>
      </c>
      <c r="C68" s="36">
        <f t="shared" ref="C68:BN68" si="8">SUM(C52:C64)-2*C63</f>
        <v>572752385.14999998</v>
      </c>
      <c r="D68" s="36">
        <f t="shared" si="8"/>
        <v>521701223.26999998</v>
      </c>
      <c r="E68" s="36">
        <f t="shared" si="8"/>
        <v>510192738.41999996</v>
      </c>
      <c r="F68" s="36">
        <f t="shared" si="8"/>
        <v>466628191.19</v>
      </c>
      <c r="G68" s="36">
        <f t="shared" si="8"/>
        <v>460689590.17999995</v>
      </c>
      <c r="H68" s="36">
        <f t="shared" si="8"/>
        <v>456027228.91999996</v>
      </c>
      <c r="I68" s="36">
        <f t="shared" si="8"/>
        <v>445835844.24999994</v>
      </c>
      <c r="J68" s="36">
        <f t="shared" si="8"/>
        <v>438494729.19999999</v>
      </c>
      <c r="K68" s="36">
        <f t="shared" si="8"/>
        <v>438388144.12</v>
      </c>
      <c r="L68" s="36">
        <f t="shared" si="8"/>
        <v>430710674</v>
      </c>
      <c r="M68" s="36">
        <f t="shared" si="8"/>
        <v>409619889.18999994</v>
      </c>
      <c r="N68" s="36">
        <f t="shared" si="8"/>
        <v>399236290.46000004</v>
      </c>
      <c r="O68" s="36">
        <f t="shared" si="8"/>
        <v>180021943.97000003</v>
      </c>
      <c r="P68" s="36">
        <f t="shared" si="8"/>
        <v>130281770.53</v>
      </c>
      <c r="Q68" s="36">
        <f t="shared" si="8"/>
        <v>0</v>
      </c>
      <c r="R68" s="36">
        <f t="shared" si="8"/>
        <v>0</v>
      </c>
      <c r="S68" s="36">
        <f t="shared" si="8"/>
        <v>0</v>
      </c>
      <c r="T68" s="36">
        <f t="shared" si="8"/>
        <v>0</v>
      </c>
      <c r="U68" s="36">
        <f t="shared" si="8"/>
        <v>0</v>
      </c>
      <c r="V68" s="36">
        <f t="shared" si="8"/>
        <v>0</v>
      </c>
      <c r="W68" s="36">
        <f t="shared" si="8"/>
        <v>0</v>
      </c>
      <c r="X68" s="36">
        <f t="shared" si="8"/>
        <v>0</v>
      </c>
      <c r="Y68" s="36">
        <f t="shared" si="8"/>
        <v>0</v>
      </c>
      <c r="Z68" s="36">
        <f t="shared" si="8"/>
        <v>0</v>
      </c>
      <c r="AA68" s="36">
        <f t="shared" si="8"/>
        <v>0</v>
      </c>
      <c r="AB68" s="36">
        <f t="shared" si="8"/>
        <v>0</v>
      </c>
      <c r="AC68" s="36">
        <f t="shared" si="8"/>
        <v>0</v>
      </c>
      <c r="AD68" s="36">
        <f t="shared" si="8"/>
        <v>0</v>
      </c>
      <c r="AE68" s="36">
        <f t="shared" si="8"/>
        <v>0</v>
      </c>
      <c r="AF68" s="36">
        <f t="shared" si="8"/>
        <v>0</v>
      </c>
      <c r="AG68" s="36">
        <f t="shared" si="8"/>
        <v>0</v>
      </c>
      <c r="AH68" s="36">
        <f t="shared" si="8"/>
        <v>0</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979404200.46000016</v>
      </c>
      <c r="C69" s="33">
        <f t="shared" ref="C69:BN69" si="10">C50+C68</f>
        <v>878435631.90999997</v>
      </c>
      <c r="D69" s="33">
        <f t="shared" si="10"/>
        <v>878893924.60000002</v>
      </c>
      <c r="E69" s="33">
        <f t="shared" si="10"/>
        <v>702164235.43999994</v>
      </c>
      <c r="F69" s="33">
        <f t="shared" si="10"/>
        <v>781586907.52999997</v>
      </c>
      <c r="G69" s="33">
        <f t="shared" si="10"/>
        <v>640632225.54999995</v>
      </c>
      <c r="H69" s="33">
        <f t="shared" si="10"/>
        <v>502980738.4799999</v>
      </c>
      <c r="I69" s="33">
        <f t="shared" si="10"/>
        <v>619996063.93999994</v>
      </c>
      <c r="J69" s="33">
        <f t="shared" si="10"/>
        <v>384251723.55999994</v>
      </c>
      <c r="K69" s="33">
        <f t="shared" si="10"/>
        <v>386306516.14999998</v>
      </c>
      <c r="L69" s="33">
        <f t="shared" si="10"/>
        <v>364766595.25</v>
      </c>
      <c r="M69" s="33">
        <f t="shared" si="10"/>
        <v>369028479.01999992</v>
      </c>
      <c r="N69" s="33">
        <f t="shared" si="10"/>
        <v>375130690.38000005</v>
      </c>
      <c r="O69" s="33">
        <f t="shared" si="10"/>
        <v>197308563.13000005</v>
      </c>
      <c r="P69" s="33">
        <f t="shared" si="10"/>
        <v>129888213.55</v>
      </c>
      <c r="Q69" s="33">
        <f t="shared" si="10"/>
        <v>0</v>
      </c>
      <c r="R69" s="33">
        <f t="shared" si="10"/>
        <v>0</v>
      </c>
      <c r="S69" s="33">
        <f t="shared" si="10"/>
        <v>0</v>
      </c>
      <c r="T69" s="33">
        <f t="shared" si="10"/>
        <v>0</v>
      </c>
      <c r="U69" s="33">
        <f t="shared" si="10"/>
        <v>0</v>
      </c>
      <c r="V69" s="33">
        <f t="shared" si="10"/>
        <v>0</v>
      </c>
      <c r="W69" s="33">
        <f t="shared" si="10"/>
        <v>0</v>
      </c>
      <c r="X69" s="33">
        <f t="shared" si="10"/>
        <v>0</v>
      </c>
      <c r="Y69" s="33">
        <f t="shared" si="10"/>
        <v>0</v>
      </c>
      <c r="Z69" s="33">
        <f t="shared" si="10"/>
        <v>0</v>
      </c>
      <c r="AA69" s="33">
        <f t="shared" si="10"/>
        <v>0</v>
      </c>
      <c r="AB69" s="33">
        <f t="shared" si="10"/>
        <v>0</v>
      </c>
      <c r="AC69" s="33">
        <f t="shared" si="10"/>
        <v>0</v>
      </c>
      <c r="AD69" s="33">
        <f t="shared" si="10"/>
        <v>0</v>
      </c>
      <c r="AE69" s="33">
        <f t="shared" si="10"/>
        <v>0</v>
      </c>
      <c r="AF69" s="33">
        <f t="shared" si="10"/>
        <v>0</v>
      </c>
      <c r="AG69" s="33">
        <f t="shared" si="10"/>
        <v>0</v>
      </c>
      <c r="AH69" s="33">
        <f t="shared" si="10"/>
        <v>0</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1223748715.4100001</v>
      </c>
      <c r="C70" s="37">
        <f t="shared" ref="C70:BN70" si="12">C17+C19+C69</f>
        <v>1144072355</v>
      </c>
      <c r="D70" s="37">
        <f t="shared" si="12"/>
        <v>1113912784.23</v>
      </c>
      <c r="E70" s="37">
        <f t="shared" si="12"/>
        <v>1094888457.78</v>
      </c>
      <c r="F70" s="37">
        <f t="shared" si="12"/>
        <v>1054331578.12</v>
      </c>
      <c r="G70" s="37">
        <f t="shared" si="12"/>
        <v>1001622329.98</v>
      </c>
      <c r="H70" s="37">
        <f t="shared" si="12"/>
        <v>1045999168.54</v>
      </c>
      <c r="I70" s="37">
        <f t="shared" si="12"/>
        <v>1062069435.15</v>
      </c>
      <c r="J70" s="37">
        <f t="shared" si="12"/>
        <v>557692811.90999997</v>
      </c>
      <c r="K70" s="37">
        <f t="shared" si="12"/>
        <v>512069786.58999997</v>
      </c>
      <c r="L70" s="37">
        <f t="shared" si="12"/>
        <v>568436012.11000001</v>
      </c>
      <c r="M70" s="37">
        <f t="shared" si="12"/>
        <v>490388669.01999992</v>
      </c>
      <c r="N70" s="37">
        <f t="shared" si="12"/>
        <v>496178942.00000006</v>
      </c>
      <c r="O70" s="37">
        <f t="shared" si="12"/>
        <v>329687136.41000009</v>
      </c>
      <c r="P70" s="37">
        <f t="shared" si="12"/>
        <v>237522643.97</v>
      </c>
      <c r="Q70" s="37">
        <f t="shared" si="12"/>
        <v>0</v>
      </c>
      <c r="R70" s="37">
        <f t="shared" si="12"/>
        <v>0</v>
      </c>
      <c r="S70" s="37">
        <f t="shared" si="12"/>
        <v>0</v>
      </c>
      <c r="T70" s="37">
        <f t="shared" si="12"/>
        <v>0</v>
      </c>
      <c r="U70" s="37">
        <f t="shared" si="12"/>
        <v>0</v>
      </c>
      <c r="V70" s="37">
        <f t="shared" si="12"/>
        <v>0</v>
      </c>
      <c r="W70" s="37">
        <f t="shared" si="12"/>
        <v>0</v>
      </c>
      <c r="X70" s="37">
        <f t="shared" si="12"/>
        <v>0</v>
      </c>
      <c r="Y70" s="37">
        <f t="shared" si="12"/>
        <v>0</v>
      </c>
      <c r="Z70" s="37">
        <f t="shared" si="12"/>
        <v>0</v>
      </c>
      <c r="AA70" s="37">
        <f t="shared" si="12"/>
        <v>0</v>
      </c>
      <c r="AB70" s="37">
        <f t="shared" si="12"/>
        <v>0</v>
      </c>
      <c r="AC70" s="37">
        <f t="shared" si="12"/>
        <v>0</v>
      </c>
      <c r="AD70" s="37">
        <f t="shared" si="12"/>
        <v>0</v>
      </c>
      <c r="AE70" s="37">
        <f t="shared" si="12"/>
        <v>0</v>
      </c>
      <c r="AF70" s="37">
        <f t="shared" si="12"/>
        <v>0</v>
      </c>
      <c r="AG70" s="37">
        <f t="shared" si="12"/>
        <v>0</v>
      </c>
      <c r="AH70" s="37">
        <f t="shared" si="12"/>
        <v>0</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33760703.5</v>
      </c>
      <c r="I72" s="28">
        <f t="shared" si="14"/>
        <v>58246810</v>
      </c>
      <c r="J72" s="28">
        <f t="shared" si="14"/>
        <v>84242535.329999998</v>
      </c>
      <c r="K72" s="28">
        <f t="shared" si="14"/>
        <v>84242535.329999998</v>
      </c>
      <c r="L72" s="28">
        <f t="shared" si="14"/>
        <v>51435725.329999998</v>
      </c>
      <c r="M72" s="28">
        <f t="shared" si="14"/>
        <v>42500000</v>
      </c>
      <c r="N72" s="28">
        <f t="shared" si="14"/>
        <v>92895714</v>
      </c>
      <c r="O72" s="28">
        <f t="shared" si="14"/>
        <v>65837129</v>
      </c>
      <c r="P72" s="28">
        <f t="shared" si="14"/>
        <v>19000000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8">
        <v>0</v>
      </c>
      <c r="C73" s="188">
        <v>0</v>
      </c>
      <c r="D73" s="188">
        <v>0</v>
      </c>
      <c r="E73" s="188">
        <v>0</v>
      </c>
      <c r="F73" s="188">
        <v>0</v>
      </c>
      <c r="G73" s="188">
        <v>0</v>
      </c>
      <c r="H73" s="188">
        <v>11600000</v>
      </c>
      <c r="I73" s="188">
        <v>42916810</v>
      </c>
      <c r="J73" s="188">
        <v>72922535.329999998</v>
      </c>
      <c r="K73" s="188">
        <v>72922535.329999998</v>
      </c>
      <c r="L73" s="188">
        <v>43935725.329999998</v>
      </c>
      <c r="M73" s="188">
        <v>30000000</v>
      </c>
      <c r="N73" s="188">
        <v>85395714</v>
      </c>
      <c r="O73" s="188">
        <v>65837129</v>
      </c>
      <c r="P73" s="188">
        <v>19000000</v>
      </c>
      <c r="Q73" s="188">
        <v>0</v>
      </c>
      <c r="R73" s="188"/>
      <c r="S73" s="188"/>
      <c r="T73" s="188"/>
      <c r="U73" s="188"/>
      <c r="V73" s="188"/>
      <c r="W73" s="188"/>
      <c r="X73" s="188"/>
      <c r="Y73" s="188"/>
      <c r="Z73" s="188"/>
      <c r="AA73" s="188"/>
      <c r="AB73" s="188"/>
      <c r="AC73" s="188"/>
      <c r="AD73" s="188"/>
      <c r="AE73" s="188"/>
      <c r="AF73" s="188"/>
      <c r="AG73" s="188"/>
      <c r="AH73" s="188"/>
      <c r="AI73" s="188"/>
      <c r="AJ73" s="188"/>
      <c r="AK73" s="188"/>
      <c r="AL73" s="188"/>
      <c r="AM73" s="188"/>
      <c r="AN73" s="188"/>
      <c r="AO73" s="188"/>
      <c r="AP73" s="188"/>
      <c r="AQ73" s="188"/>
      <c r="AR73" s="188"/>
      <c r="AS73" s="188"/>
      <c r="AT73" s="188"/>
      <c r="AU73" s="188"/>
      <c r="AV73" s="188"/>
      <c r="AW73" s="188"/>
      <c r="AX73" s="188"/>
      <c r="AY73" s="188"/>
      <c r="AZ73" s="188"/>
      <c r="BA73" s="188"/>
      <c r="BB73" s="188"/>
      <c r="BC73" s="188"/>
      <c r="BD73" s="188"/>
      <c r="BE73" s="188"/>
      <c r="BF73" s="188"/>
      <c r="BG73" s="188"/>
      <c r="BH73" s="188"/>
      <c r="BI73" s="188"/>
      <c r="BJ73" s="188"/>
      <c r="BK73" s="188"/>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7" t="s">
        <v>77</v>
      </c>
      <c r="B74" s="188">
        <v>0</v>
      </c>
      <c r="C74" s="188">
        <v>0</v>
      </c>
      <c r="D74" s="188">
        <v>0</v>
      </c>
      <c r="E74" s="188">
        <v>0</v>
      </c>
      <c r="F74" s="188">
        <v>0</v>
      </c>
      <c r="G74" s="188">
        <v>0</v>
      </c>
      <c r="H74" s="188">
        <v>0</v>
      </c>
      <c r="I74" s="188">
        <v>0</v>
      </c>
      <c r="J74" s="188">
        <v>0</v>
      </c>
      <c r="K74" s="188">
        <v>0</v>
      </c>
      <c r="L74" s="188">
        <v>0</v>
      </c>
      <c r="M74" s="188">
        <v>0</v>
      </c>
      <c r="N74" s="188">
        <v>0</v>
      </c>
      <c r="O74" s="188">
        <v>0</v>
      </c>
      <c r="P74" s="188">
        <v>0</v>
      </c>
      <c r="Q74" s="188">
        <v>0</v>
      </c>
      <c r="R74" s="188"/>
      <c r="S74" s="188"/>
      <c r="T74" s="188"/>
      <c r="U74" s="188"/>
      <c r="V74" s="188"/>
      <c r="W74" s="188"/>
      <c r="X74" s="188"/>
      <c r="Y74" s="188"/>
      <c r="Z74" s="188"/>
      <c r="AA74" s="188"/>
      <c r="AB74" s="188"/>
      <c r="AC74" s="188"/>
      <c r="AD74" s="188"/>
      <c r="AE74" s="188"/>
      <c r="AF74" s="188"/>
      <c r="AG74" s="188"/>
      <c r="AH74" s="188"/>
      <c r="AI74" s="188"/>
      <c r="AJ74" s="188"/>
      <c r="AK74" s="188"/>
      <c r="AL74" s="188"/>
      <c r="AM74" s="188"/>
      <c r="AN74" s="188"/>
      <c r="AO74" s="188"/>
      <c r="AP74" s="188"/>
      <c r="AQ74" s="188"/>
      <c r="AR74" s="188"/>
      <c r="AS74" s="188"/>
      <c r="AT74" s="188"/>
      <c r="AU74" s="188"/>
      <c r="AV74" s="188"/>
      <c r="AW74" s="188"/>
      <c r="AX74" s="188"/>
      <c r="AY74" s="188"/>
      <c r="AZ74" s="188"/>
      <c r="BA74" s="188"/>
      <c r="BB74" s="188"/>
      <c r="BC74" s="188"/>
      <c r="BD74" s="188"/>
      <c r="BE74" s="188"/>
      <c r="BF74" s="188"/>
      <c r="BG74" s="188"/>
      <c r="BH74" s="188"/>
      <c r="BI74" s="188"/>
      <c r="BJ74" s="188"/>
      <c r="BK74" s="188"/>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7"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c r="S75" s="188"/>
      <c r="T75" s="188"/>
      <c r="U75" s="188"/>
      <c r="V75" s="188"/>
      <c r="W75" s="188"/>
      <c r="X75" s="188"/>
      <c r="Y75" s="188"/>
      <c r="Z75" s="188"/>
      <c r="AA75" s="188"/>
      <c r="AB75" s="188"/>
      <c r="AC75" s="188"/>
      <c r="AD75" s="188"/>
      <c r="AE75" s="188"/>
      <c r="AF75" s="188"/>
      <c r="AG75" s="188"/>
      <c r="AH75" s="188"/>
      <c r="AI75" s="188"/>
      <c r="AJ75" s="188"/>
      <c r="AK75" s="188"/>
      <c r="AL75" s="188"/>
      <c r="AM75" s="188"/>
      <c r="AN75" s="188"/>
      <c r="AO75" s="188"/>
      <c r="AP75" s="188"/>
      <c r="AQ75" s="188"/>
      <c r="AR75" s="188"/>
      <c r="AS75" s="188"/>
      <c r="AT75" s="188"/>
      <c r="AU75" s="188"/>
      <c r="AV75" s="188"/>
      <c r="AW75" s="188"/>
      <c r="AX75" s="188"/>
      <c r="AY75" s="188"/>
      <c r="AZ75" s="188"/>
      <c r="BA75" s="188"/>
      <c r="BB75" s="188"/>
      <c r="BC75" s="188"/>
      <c r="BD75" s="188"/>
      <c r="BE75" s="188"/>
      <c r="BF75" s="188"/>
      <c r="BG75" s="188"/>
      <c r="BH75" s="188"/>
      <c r="BI75" s="188"/>
      <c r="BJ75" s="188"/>
      <c r="BK75" s="188"/>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7" t="s">
        <v>54</v>
      </c>
      <c r="B76" s="188">
        <v>0</v>
      </c>
      <c r="C76" s="188">
        <v>0</v>
      </c>
      <c r="D76" s="188">
        <v>0</v>
      </c>
      <c r="E76" s="188">
        <v>0</v>
      </c>
      <c r="F76" s="188">
        <v>0</v>
      </c>
      <c r="G76" s="188">
        <v>0</v>
      </c>
      <c r="H76" s="188">
        <v>22160703.5</v>
      </c>
      <c r="I76" s="188">
        <v>15330000</v>
      </c>
      <c r="J76" s="188">
        <v>11320000</v>
      </c>
      <c r="K76" s="188">
        <v>11320000</v>
      </c>
      <c r="L76" s="188">
        <v>7500000</v>
      </c>
      <c r="M76" s="188">
        <v>12500000</v>
      </c>
      <c r="N76" s="188">
        <v>7500000</v>
      </c>
      <c r="O76" s="188">
        <v>0</v>
      </c>
      <c r="P76" s="188">
        <v>0</v>
      </c>
      <c r="Q76" s="188">
        <v>0</v>
      </c>
      <c r="R76" s="188"/>
      <c r="S76" s="188"/>
      <c r="T76" s="188"/>
      <c r="U76" s="188"/>
      <c r="V76" s="188"/>
      <c r="W76" s="188"/>
      <c r="X76" s="188"/>
      <c r="Y76" s="188"/>
      <c r="Z76" s="188"/>
      <c r="AA76" s="188"/>
      <c r="AB76" s="188"/>
      <c r="AC76" s="188"/>
      <c r="AD76" s="188"/>
      <c r="AE76" s="188"/>
      <c r="AF76" s="188"/>
      <c r="AG76" s="188"/>
      <c r="AH76" s="188"/>
      <c r="AI76" s="188"/>
      <c r="AJ76" s="188"/>
      <c r="AK76" s="188"/>
      <c r="AL76" s="188"/>
      <c r="AM76" s="188"/>
      <c r="AN76" s="188"/>
      <c r="AO76" s="188"/>
      <c r="AP76" s="188"/>
      <c r="AQ76" s="188"/>
      <c r="AR76" s="188"/>
      <c r="AS76" s="188"/>
      <c r="AT76" s="188"/>
      <c r="AU76" s="188"/>
      <c r="AV76" s="188"/>
      <c r="AW76" s="188"/>
      <c r="AX76" s="188"/>
      <c r="AY76" s="188"/>
      <c r="AZ76" s="188"/>
      <c r="BA76" s="188"/>
      <c r="BB76" s="188"/>
      <c r="BC76" s="188"/>
      <c r="BD76" s="188"/>
      <c r="BE76" s="188"/>
      <c r="BF76" s="188"/>
      <c r="BG76" s="188"/>
      <c r="BH76" s="188"/>
      <c r="BI76" s="188"/>
      <c r="BJ76" s="188"/>
      <c r="BK76" s="188"/>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7"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c r="S77" s="188"/>
      <c r="T77" s="188"/>
      <c r="U77" s="188"/>
      <c r="V77" s="188"/>
      <c r="W77" s="188"/>
      <c r="X77" s="188"/>
      <c r="Y77" s="188"/>
      <c r="Z77" s="188"/>
      <c r="AA77" s="188"/>
      <c r="AB77" s="188"/>
      <c r="AC77" s="188"/>
      <c r="AD77" s="188"/>
      <c r="AE77" s="188"/>
      <c r="AF77" s="188"/>
      <c r="AG77" s="188"/>
      <c r="AH77" s="188"/>
      <c r="AI77" s="188"/>
      <c r="AJ77" s="188"/>
      <c r="AK77" s="188"/>
      <c r="AL77" s="188"/>
      <c r="AM77" s="188"/>
      <c r="AN77" s="188"/>
      <c r="AO77" s="188"/>
      <c r="AP77" s="188"/>
      <c r="AQ77" s="188"/>
      <c r="AR77" s="188"/>
      <c r="AS77" s="188"/>
      <c r="AT77" s="188"/>
      <c r="AU77" s="188"/>
      <c r="AV77" s="188"/>
      <c r="AW77" s="188"/>
      <c r="AX77" s="188"/>
      <c r="AY77" s="188"/>
      <c r="AZ77" s="188"/>
      <c r="BA77" s="188"/>
      <c r="BB77" s="188"/>
      <c r="BC77" s="188"/>
      <c r="BD77" s="188"/>
      <c r="BE77" s="188"/>
      <c r="BF77" s="188"/>
      <c r="BG77" s="188"/>
      <c r="BH77" s="188"/>
      <c r="BI77" s="188"/>
      <c r="BJ77" s="188"/>
      <c r="BK77" s="188"/>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9890479.9199999999</v>
      </c>
      <c r="I81" s="28">
        <f t="shared" si="16"/>
        <v>18408383.420000002</v>
      </c>
      <c r="J81" s="28">
        <f t="shared" si="16"/>
        <v>28105583.420000002</v>
      </c>
      <c r="K81" s="28">
        <f t="shared" si="16"/>
        <v>27650855.510000002</v>
      </c>
      <c r="L81" s="28">
        <f t="shared" si="16"/>
        <v>38982000</v>
      </c>
      <c r="M81" s="28">
        <f t="shared" si="16"/>
        <v>60540800</v>
      </c>
      <c r="N81" s="28">
        <f t="shared" si="16"/>
        <v>85540000</v>
      </c>
      <c r="O81" s="28">
        <f t="shared" si="16"/>
        <v>5375879.2400000002</v>
      </c>
      <c r="P81" s="28">
        <f t="shared" si="16"/>
        <v>4881671.9800000004</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8">
        <v>0</v>
      </c>
      <c r="C82" s="188">
        <v>0</v>
      </c>
      <c r="D82" s="188">
        <v>0</v>
      </c>
      <c r="E82" s="188">
        <v>0</v>
      </c>
      <c r="F82" s="188">
        <v>0</v>
      </c>
      <c r="G82" s="188">
        <v>0</v>
      </c>
      <c r="H82" s="188">
        <v>9890479.9199999999</v>
      </c>
      <c r="I82" s="188">
        <v>18408383.420000002</v>
      </c>
      <c r="J82" s="188">
        <v>28105583.420000002</v>
      </c>
      <c r="K82" s="188">
        <v>27650855.510000002</v>
      </c>
      <c r="L82" s="188">
        <v>38982000</v>
      </c>
      <c r="M82" s="188">
        <v>60540800</v>
      </c>
      <c r="N82" s="188">
        <v>85540000</v>
      </c>
      <c r="O82" s="188">
        <v>0</v>
      </c>
      <c r="P82" s="188">
        <v>0</v>
      </c>
      <c r="Q82" s="188">
        <v>0</v>
      </c>
      <c r="R82" s="188"/>
      <c r="S82" s="188"/>
      <c r="T82" s="188"/>
      <c r="U82" s="188"/>
      <c r="V82" s="188"/>
      <c r="W82" s="188"/>
      <c r="X82" s="188"/>
      <c r="Y82" s="188"/>
      <c r="Z82" s="188"/>
      <c r="AA82" s="188"/>
      <c r="AB82" s="188"/>
      <c r="AC82" s="188"/>
      <c r="AD82" s="188"/>
      <c r="AE82" s="188"/>
      <c r="AF82" s="188"/>
      <c r="AG82" s="188"/>
      <c r="AH82" s="188"/>
      <c r="AI82" s="188"/>
      <c r="AJ82" s="188"/>
      <c r="AK82" s="188"/>
      <c r="AL82" s="188"/>
      <c r="AM82" s="188"/>
      <c r="AN82" s="188"/>
      <c r="AO82" s="188"/>
      <c r="AP82" s="188"/>
      <c r="AQ82" s="188"/>
      <c r="AR82" s="188"/>
      <c r="AS82" s="188"/>
      <c r="AT82" s="188"/>
      <c r="AU82" s="188"/>
      <c r="AV82" s="188"/>
      <c r="AW82" s="188"/>
      <c r="AX82" s="188"/>
      <c r="AY82" s="188"/>
      <c r="AZ82" s="188"/>
      <c r="BA82" s="188"/>
      <c r="BB82" s="188"/>
      <c r="BC82" s="188"/>
      <c r="BD82" s="188"/>
      <c r="BE82" s="188"/>
      <c r="BF82" s="188"/>
      <c r="BG82" s="188"/>
      <c r="BH82" s="188"/>
      <c r="BI82" s="188"/>
      <c r="BJ82" s="188"/>
      <c r="BK82" s="188"/>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7"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c r="S83" s="188"/>
      <c r="T83" s="188"/>
      <c r="U83" s="188"/>
      <c r="V83" s="188"/>
      <c r="W83" s="188"/>
      <c r="X83" s="188"/>
      <c r="Y83" s="188"/>
      <c r="Z83" s="188"/>
      <c r="AA83" s="188"/>
      <c r="AB83" s="188"/>
      <c r="AC83" s="188"/>
      <c r="AD83" s="188"/>
      <c r="AE83" s="188"/>
      <c r="AF83" s="188"/>
      <c r="AG83" s="188"/>
      <c r="AH83" s="188"/>
      <c r="AI83" s="188"/>
      <c r="AJ83" s="188"/>
      <c r="AK83" s="188"/>
      <c r="AL83" s="188"/>
      <c r="AM83" s="188"/>
      <c r="AN83" s="188"/>
      <c r="AO83" s="188"/>
      <c r="AP83" s="188"/>
      <c r="AQ83" s="188"/>
      <c r="AR83" s="188"/>
      <c r="AS83" s="188"/>
      <c r="AT83" s="188"/>
      <c r="AU83" s="188"/>
      <c r="AV83" s="188"/>
      <c r="AW83" s="188"/>
      <c r="AX83" s="188"/>
      <c r="AY83" s="188"/>
      <c r="AZ83" s="188"/>
      <c r="BA83" s="188"/>
      <c r="BB83" s="188"/>
      <c r="BC83" s="188"/>
      <c r="BD83" s="188"/>
      <c r="BE83" s="188"/>
      <c r="BF83" s="188"/>
      <c r="BG83" s="188"/>
      <c r="BH83" s="188"/>
      <c r="BI83" s="188"/>
      <c r="BJ83" s="188"/>
      <c r="BK83" s="188"/>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7" t="s">
        <v>59</v>
      </c>
      <c r="B84" s="188">
        <v>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c r="S84" s="188"/>
      <c r="T84" s="188"/>
      <c r="U84" s="188"/>
      <c r="V84" s="188"/>
      <c r="W84" s="188"/>
      <c r="X84" s="188"/>
      <c r="Y84" s="188"/>
      <c r="Z84" s="188"/>
      <c r="AA84" s="188"/>
      <c r="AB84" s="188"/>
      <c r="AC84" s="188"/>
      <c r="AD84" s="188"/>
      <c r="AE84" s="188"/>
      <c r="AF84" s="188"/>
      <c r="AG84" s="188"/>
      <c r="AH84" s="188"/>
      <c r="AI84" s="188"/>
      <c r="AJ84" s="188"/>
      <c r="AK84" s="188"/>
      <c r="AL84" s="188"/>
      <c r="AM84" s="188"/>
      <c r="AN84" s="188"/>
      <c r="AO84" s="188"/>
      <c r="AP84" s="188"/>
      <c r="AQ84" s="188"/>
      <c r="AR84" s="188"/>
      <c r="AS84" s="188"/>
      <c r="AT84" s="188"/>
      <c r="AU84" s="188"/>
      <c r="AV84" s="188"/>
      <c r="AW84" s="188"/>
      <c r="AX84" s="188"/>
      <c r="AY84" s="188"/>
      <c r="AZ84" s="188"/>
      <c r="BA84" s="188"/>
      <c r="BB84" s="188"/>
      <c r="BC84" s="188"/>
      <c r="BD84" s="188"/>
      <c r="BE84" s="188"/>
      <c r="BF84" s="188"/>
      <c r="BG84" s="188"/>
      <c r="BH84" s="188"/>
      <c r="BI84" s="188"/>
      <c r="BJ84" s="188"/>
      <c r="BK84" s="188"/>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7" t="s">
        <v>83</v>
      </c>
      <c r="B85" s="188">
        <v>0</v>
      </c>
      <c r="C85" s="188">
        <v>0</v>
      </c>
      <c r="D85" s="188">
        <v>0</v>
      </c>
      <c r="E85" s="188">
        <v>0</v>
      </c>
      <c r="F85" s="188">
        <v>0</v>
      </c>
      <c r="G85" s="188">
        <v>0</v>
      </c>
      <c r="H85" s="188">
        <v>0</v>
      </c>
      <c r="I85" s="188">
        <v>0</v>
      </c>
      <c r="J85" s="188">
        <v>0</v>
      </c>
      <c r="K85" s="188">
        <v>0</v>
      </c>
      <c r="L85" s="188">
        <v>0</v>
      </c>
      <c r="M85" s="188">
        <v>0</v>
      </c>
      <c r="N85" s="188">
        <v>0</v>
      </c>
      <c r="O85" s="188">
        <v>5375879.2400000002</v>
      </c>
      <c r="P85" s="188">
        <v>4881671.9800000004</v>
      </c>
      <c r="Q85" s="188">
        <v>0</v>
      </c>
      <c r="R85" s="188"/>
      <c r="S85" s="188"/>
      <c r="T85" s="188"/>
      <c r="U85" s="188"/>
      <c r="V85" s="188"/>
      <c r="W85" s="188"/>
      <c r="X85" s="188"/>
      <c r="Y85" s="188"/>
      <c r="Z85" s="188"/>
      <c r="AA85" s="188"/>
      <c r="AB85" s="188"/>
      <c r="AC85" s="188"/>
      <c r="AD85" s="188"/>
      <c r="AE85" s="188"/>
      <c r="AF85" s="188"/>
      <c r="AG85" s="188"/>
      <c r="AH85" s="188"/>
      <c r="AI85" s="188"/>
      <c r="AJ85" s="188"/>
      <c r="AK85" s="188"/>
      <c r="AL85" s="188"/>
      <c r="AM85" s="188"/>
      <c r="AN85" s="188"/>
      <c r="AO85" s="188"/>
      <c r="AP85" s="188"/>
      <c r="AQ85" s="188"/>
      <c r="AR85" s="188"/>
      <c r="AS85" s="188"/>
      <c r="AT85" s="188"/>
      <c r="AU85" s="188"/>
      <c r="AV85" s="188"/>
      <c r="AW85" s="188"/>
      <c r="AX85" s="188"/>
      <c r="AY85" s="188"/>
      <c r="AZ85" s="188"/>
      <c r="BA85" s="188"/>
      <c r="BB85" s="188"/>
      <c r="BC85" s="188"/>
      <c r="BD85" s="188"/>
      <c r="BE85" s="188"/>
      <c r="BF85" s="188"/>
      <c r="BG85" s="188"/>
      <c r="BH85" s="188"/>
      <c r="BI85" s="188"/>
      <c r="BJ85" s="188"/>
      <c r="BK85" s="188"/>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0</v>
      </c>
      <c r="C89" s="33">
        <f>SUM(C73:C85)</f>
        <v>0</v>
      </c>
      <c r="D89" s="33">
        <f>SUM(D73:D85)</f>
        <v>0</v>
      </c>
      <c r="E89" s="33">
        <f>E72+E81</f>
        <v>0</v>
      </c>
      <c r="F89" s="33">
        <f t="shared" ref="F89:BQ89" si="18">F72+F81</f>
        <v>0</v>
      </c>
      <c r="G89" s="33">
        <f t="shared" si="18"/>
        <v>0</v>
      </c>
      <c r="H89" s="33">
        <f t="shared" si="18"/>
        <v>43651183.420000002</v>
      </c>
      <c r="I89" s="33">
        <f t="shared" si="18"/>
        <v>76655193.420000002</v>
      </c>
      <c r="J89" s="33">
        <f t="shared" si="18"/>
        <v>112348118.75</v>
      </c>
      <c r="K89" s="33">
        <f t="shared" si="18"/>
        <v>111893390.84</v>
      </c>
      <c r="L89" s="33">
        <f t="shared" si="18"/>
        <v>90417725.329999998</v>
      </c>
      <c r="M89" s="33">
        <f t="shared" si="18"/>
        <v>103040800</v>
      </c>
      <c r="N89" s="33">
        <f t="shared" si="18"/>
        <v>178435714</v>
      </c>
      <c r="O89" s="33">
        <f t="shared" si="18"/>
        <v>71213008.239999995</v>
      </c>
      <c r="P89" s="33">
        <f t="shared" si="18"/>
        <v>23881671.98</v>
      </c>
      <c r="Q89" s="33">
        <f t="shared" si="18"/>
        <v>0</v>
      </c>
      <c r="R89" s="33">
        <f t="shared" si="18"/>
        <v>0</v>
      </c>
      <c r="S89" s="33">
        <f t="shared" si="18"/>
        <v>0</v>
      </c>
      <c r="T89" s="33">
        <f t="shared" si="18"/>
        <v>0</v>
      </c>
      <c r="U89" s="33">
        <f t="shared" si="18"/>
        <v>0</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8">
        <v>220000000</v>
      </c>
      <c r="C91" s="188">
        <v>220000000</v>
      </c>
      <c r="D91" s="188">
        <v>220000000</v>
      </c>
      <c r="E91" s="188">
        <v>220000000</v>
      </c>
      <c r="F91" s="188">
        <v>220000000</v>
      </c>
      <c r="G91" s="188">
        <v>220000000</v>
      </c>
      <c r="H91" s="188">
        <v>220000000</v>
      </c>
      <c r="I91" s="188">
        <v>220000000</v>
      </c>
      <c r="J91" s="188">
        <v>165000000</v>
      </c>
      <c r="K91" s="188">
        <v>165000000</v>
      </c>
      <c r="L91" s="188">
        <v>165000000</v>
      </c>
      <c r="M91" s="188">
        <v>165000000</v>
      </c>
      <c r="N91" s="188">
        <v>165000000</v>
      </c>
      <c r="O91" s="188">
        <v>120000000</v>
      </c>
      <c r="P91" s="188">
        <v>120000000</v>
      </c>
      <c r="Q91" s="188">
        <v>0</v>
      </c>
      <c r="R91" s="188"/>
      <c r="S91" s="188"/>
      <c r="T91" s="188"/>
      <c r="U91" s="188"/>
      <c r="V91" s="188"/>
      <c r="W91" s="188"/>
      <c r="X91" s="188"/>
      <c r="Y91" s="188"/>
      <c r="Z91" s="188"/>
      <c r="AA91" s="188"/>
      <c r="AB91" s="188"/>
      <c r="AC91" s="188"/>
      <c r="AD91" s="188"/>
      <c r="AE91" s="188"/>
      <c r="AF91" s="188"/>
      <c r="AG91" s="188"/>
      <c r="AH91" s="188"/>
      <c r="AI91" s="188"/>
      <c r="AJ91" s="188"/>
      <c r="AK91" s="188"/>
      <c r="AL91" s="188"/>
      <c r="AM91" s="188"/>
      <c r="AN91" s="188"/>
      <c r="AO91" s="188"/>
      <c r="AP91" s="188"/>
      <c r="AQ91" s="188"/>
      <c r="AR91" s="188"/>
      <c r="AS91" s="188"/>
      <c r="AT91" s="188"/>
      <c r="AU91" s="188"/>
      <c r="AV91" s="188"/>
      <c r="AW91" s="188"/>
      <c r="AX91" s="188"/>
      <c r="AY91" s="188"/>
      <c r="AZ91" s="188"/>
      <c r="BA91" s="188"/>
      <c r="BB91" s="188"/>
      <c r="BC91" s="188"/>
      <c r="BD91" s="188"/>
      <c r="BE91" s="188"/>
      <c r="BF91" s="188"/>
      <c r="BG91" s="188"/>
      <c r="BH91" s="188"/>
      <c r="BI91" s="188"/>
      <c r="BJ91" s="188"/>
      <c r="BK91" s="188"/>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7" t="s">
        <v>63</v>
      </c>
      <c r="B92" s="188">
        <v>437605497.49000001</v>
      </c>
      <c r="C92" s="188">
        <v>437605497.49000001</v>
      </c>
      <c r="D92" s="188">
        <v>437868907.13</v>
      </c>
      <c r="E92" s="188">
        <v>444112288.20999998</v>
      </c>
      <c r="F92" s="188">
        <v>444127345.81</v>
      </c>
      <c r="G92" s="188">
        <v>447414712.44</v>
      </c>
      <c r="H92" s="188">
        <v>447414712.44</v>
      </c>
      <c r="I92" s="188">
        <v>452749000</v>
      </c>
      <c r="J92" s="188">
        <v>0</v>
      </c>
      <c r="K92" s="188">
        <v>0</v>
      </c>
      <c r="L92" s="188">
        <v>0</v>
      </c>
      <c r="M92" s="188">
        <v>0</v>
      </c>
      <c r="N92" s="188">
        <v>0</v>
      </c>
      <c r="O92" s="188">
        <v>8283573.2199999997</v>
      </c>
      <c r="P92" s="188">
        <v>32158303.510000002</v>
      </c>
      <c r="Q92" s="188">
        <v>0</v>
      </c>
      <c r="R92" s="188"/>
      <c r="S92" s="188"/>
      <c r="T92" s="188"/>
      <c r="U92" s="188"/>
      <c r="V92" s="188"/>
      <c r="W92" s="188"/>
      <c r="X92" s="188"/>
      <c r="Y92" s="188"/>
      <c r="Z92" s="188"/>
      <c r="AA92" s="188"/>
      <c r="AB92" s="188"/>
      <c r="AC92" s="188"/>
      <c r="AD92" s="188"/>
      <c r="AE92" s="188"/>
      <c r="AF92" s="188"/>
      <c r="AG92" s="188"/>
      <c r="AH92" s="188"/>
      <c r="AI92" s="188"/>
      <c r="AJ92" s="188"/>
      <c r="AK92" s="188"/>
      <c r="AL92" s="188"/>
      <c r="AM92" s="188"/>
      <c r="AN92" s="188"/>
      <c r="AO92" s="188"/>
      <c r="AP92" s="188"/>
      <c r="AQ92" s="188"/>
      <c r="AR92" s="188"/>
      <c r="AS92" s="188"/>
      <c r="AT92" s="188"/>
      <c r="AU92" s="188"/>
      <c r="AV92" s="188"/>
      <c r="AW92" s="188"/>
      <c r="AX92" s="188"/>
      <c r="AY92" s="188"/>
      <c r="AZ92" s="188"/>
      <c r="BA92" s="188"/>
      <c r="BB92" s="188"/>
      <c r="BC92" s="188"/>
      <c r="BD92" s="188"/>
      <c r="BE92" s="188"/>
      <c r="BF92" s="188"/>
      <c r="BG92" s="188"/>
      <c r="BH92" s="188"/>
      <c r="BI92" s="188"/>
      <c r="BJ92" s="188"/>
      <c r="BK92" s="188"/>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7"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7" t="s">
        <v>65</v>
      </c>
      <c r="B94" s="188">
        <v>0</v>
      </c>
      <c r="C94" s="188">
        <v>0</v>
      </c>
      <c r="D94" s="188">
        <v>0</v>
      </c>
      <c r="E94" s="188">
        <v>0</v>
      </c>
      <c r="F94" s="188">
        <v>0</v>
      </c>
      <c r="G94" s="188">
        <v>0</v>
      </c>
      <c r="H94" s="188">
        <v>0</v>
      </c>
      <c r="I94" s="188">
        <v>0</v>
      </c>
      <c r="J94" s="188">
        <v>0</v>
      </c>
      <c r="K94" s="188">
        <v>0</v>
      </c>
      <c r="L94" s="188">
        <v>0</v>
      </c>
      <c r="M94" s="188">
        <v>0</v>
      </c>
      <c r="N94" s="188">
        <v>0</v>
      </c>
      <c r="O94" s="188">
        <v>0</v>
      </c>
      <c r="P94" s="188">
        <v>0</v>
      </c>
      <c r="Q94" s="188">
        <v>0</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7"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7" t="s">
        <v>67</v>
      </c>
      <c r="B96" s="188">
        <v>54901547.390000001</v>
      </c>
      <c r="C96" s="188">
        <v>54901547.390000001</v>
      </c>
      <c r="D96" s="188">
        <v>54901547.390000001</v>
      </c>
      <c r="E96" s="188">
        <v>54901547.390000001</v>
      </c>
      <c r="F96" s="188">
        <v>41649772.039999999</v>
      </c>
      <c r="G96" s="188">
        <v>41649772.039999999</v>
      </c>
      <c r="H96" s="188">
        <v>41649772.039999999</v>
      </c>
      <c r="I96" s="188">
        <v>41649772.039999999</v>
      </c>
      <c r="J96" s="188">
        <v>32313868.780000001</v>
      </c>
      <c r="K96" s="188">
        <v>32313868.780000001</v>
      </c>
      <c r="L96" s="188">
        <v>32313868.780000001</v>
      </c>
      <c r="M96" s="188">
        <v>23879820.050000001</v>
      </c>
      <c r="N96" s="188">
        <v>17792276.98</v>
      </c>
      <c r="O96" s="188">
        <v>11499826.24</v>
      </c>
      <c r="P96" s="188">
        <v>5716209.9100000001</v>
      </c>
      <c r="Q96" s="188">
        <v>0</v>
      </c>
      <c r="R96" s="188">
        <v>5678791405.4799995</v>
      </c>
      <c r="S96" s="188">
        <v>5678791405.4799995</v>
      </c>
      <c r="T96" s="188">
        <v>5678791405.4799995</v>
      </c>
      <c r="U96" s="188">
        <v>5678791405.4799995</v>
      </c>
      <c r="V96" s="188">
        <v>4361745664.4300003</v>
      </c>
      <c r="W96" s="188">
        <v>4359541398.0200005</v>
      </c>
      <c r="X96" s="188">
        <v>4358041112.96</v>
      </c>
      <c r="Y96" s="188">
        <v>4356977349.0200005</v>
      </c>
      <c r="Z96" s="188">
        <v>4082214414.9499998</v>
      </c>
      <c r="AA96" s="188">
        <v>3826734576.6399999</v>
      </c>
      <c r="AB96" s="188">
        <v>3649723469.3200002</v>
      </c>
      <c r="AC96" s="188">
        <v>3368959934.7800002</v>
      </c>
      <c r="AD96" s="188">
        <v>3186313117.5300002</v>
      </c>
      <c r="AE96" s="188">
        <v>3058448487.4699998</v>
      </c>
      <c r="AF96" s="188">
        <v>2952281810.9699998</v>
      </c>
      <c r="AG96" s="188">
        <v>2759520038.0900002</v>
      </c>
      <c r="AH96" s="188">
        <v>2607545619.9699998</v>
      </c>
      <c r="AI96" s="188">
        <v>2506722817.98</v>
      </c>
      <c r="AJ96" s="188">
        <v>2447380345.21</v>
      </c>
      <c r="AK96" s="188">
        <v>2318892624.6700001</v>
      </c>
      <c r="AL96" s="188">
        <v>2212123551.0100002</v>
      </c>
      <c r="AM96" s="188">
        <v>2136403032.1300001</v>
      </c>
      <c r="AN96" s="188">
        <v>2100990527.9000001</v>
      </c>
      <c r="AO96" s="188">
        <v>1985197516.3199999</v>
      </c>
      <c r="AP96" s="188">
        <v>1960895723.9000001</v>
      </c>
      <c r="AQ96" s="188">
        <v>1931960377.45</v>
      </c>
      <c r="AR96" s="188">
        <v>1904071967.1600001</v>
      </c>
      <c r="AS96" s="188">
        <v>1803743654.97</v>
      </c>
      <c r="AT96" s="188">
        <v>1784842154.0899999</v>
      </c>
      <c r="AU96" s="188">
        <v>1769499231.54</v>
      </c>
      <c r="AV96" s="188">
        <v>1728597077.04</v>
      </c>
      <c r="AW96" s="188">
        <v>1656111478.8599999</v>
      </c>
      <c r="AX96" s="188">
        <v>1605045274.6500001</v>
      </c>
      <c r="AY96" s="188">
        <v>1586050475.99</v>
      </c>
      <c r="AZ96" s="188">
        <v>1503840551.3499999</v>
      </c>
      <c r="BA96" s="188">
        <v>1421686339.5</v>
      </c>
      <c r="BB96" s="188">
        <v>1389360858.45</v>
      </c>
      <c r="BC96" s="188">
        <v>1382274938.1900001</v>
      </c>
      <c r="BD96" s="188">
        <v>1254574026.6800001</v>
      </c>
      <c r="BE96" s="188">
        <v>1187372649.6400001</v>
      </c>
      <c r="BF96" s="188">
        <v>1118260147.0599999</v>
      </c>
      <c r="BG96" s="188">
        <v>1098510367.5599999</v>
      </c>
      <c r="BH96" s="188">
        <v>994296939.84000003</v>
      </c>
      <c r="BI96" s="188">
        <v>939688251.88</v>
      </c>
      <c r="BJ96" s="188">
        <v>870801644.83000004</v>
      </c>
      <c r="BK96" s="188">
        <v>854086763.44000006</v>
      </c>
      <c r="BL96" s="188">
        <v>772450547.37</v>
      </c>
      <c r="BM96" s="188">
        <v>719760715.63</v>
      </c>
      <c r="BN96" s="188">
        <v>664546335.02999997</v>
      </c>
      <c r="BO96" s="188">
        <v>643227764.61000001</v>
      </c>
      <c r="BP96" s="188">
        <v>576048176.03999996</v>
      </c>
      <c r="BQ96" s="188">
        <v>532864074.19999999</v>
      </c>
      <c r="BR96" s="188">
        <v>0</v>
      </c>
      <c r="BS96" s="188">
        <v>381752149.10000002</v>
      </c>
      <c r="BT96" s="188">
        <v>352223969.88999999</v>
      </c>
      <c r="BU96" s="188">
        <v>309989497.47000003</v>
      </c>
      <c r="BV96" s="188">
        <v>259244599.52000001</v>
      </c>
      <c r="BW96" s="188">
        <v>194772679.46000001</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x14ac:dyDescent="0.25">
      <c r="A97" s="127"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7" t="s">
        <v>69</v>
      </c>
      <c r="B98" s="188">
        <v>405130426.11000001</v>
      </c>
      <c r="C98" s="188">
        <v>344730687.36000001</v>
      </c>
      <c r="D98" s="188">
        <v>329161186.69</v>
      </c>
      <c r="E98" s="188">
        <v>309730685.50999999</v>
      </c>
      <c r="F98" s="188">
        <v>285431724.88999999</v>
      </c>
      <c r="G98" s="188">
        <v>235465084.58000001</v>
      </c>
      <c r="H98" s="188">
        <v>229618761.40000001</v>
      </c>
      <c r="I98" s="188">
        <v>213958299.72</v>
      </c>
      <c r="J98" s="188">
        <v>192528751.72</v>
      </c>
      <c r="K98" s="188">
        <v>150876634.36000001</v>
      </c>
      <c r="L98" s="188">
        <v>225650846.91999999</v>
      </c>
      <c r="M98" s="188">
        <v>152205707.21000001</v>
      </c>
      <c r="N98" s="188">
        <v>96151137.299999997</v>
      </c>
      <c r="O98" s="188">
        <v>81318205.790000007</v>
      </c>
      <c r="P98" s="188">
        <v>25548975.48</v>
      </c>
      <c r="Q98" s="188">
        <v>0</v>
      </c>
      <c r="R98" s="188">
        <v>27714789860.799999</v>
      </c>
      <c r="S98" s="188">
        <v>27009314620.470001</v>
      </c>
      <c r="T98" s="188">
        <v>28283818587.369999</v>
      </c>
      <c r="U98" s="188">
        <v>25664678173.200001</v>
      </c>
      <c r="V98" s="188">
        <v>26112755918.48</v>
      </c>
      <c r="W98" s="188">
        <v>24802147680.77</v>
      </c>
      <c r="X98" s="188">
        <v>25676253176.32</v>
      </c>
      <c r="Y98" s="188">
        <v>22050450622.419998</v>
      </c>
      <c r="Z98" s="188">
        <v>20151342436.959999</v>
      </c>
      <c r="AA98" s="188">
        <v>17651207124.470001</v>
      </c>
      <c r="AB98" s="188">
        <v>17735448117.040001</v>
      </c>
      <c r="AC98" s="188">
        <v>15001578576.23</v>
      </c>
      <c r="AD98" s="188">
        <v>13844972803.459999</v>
      </c>
      <c r="AE98" s="188">
        <v>12517213274.74</v>
      </c>
      <c r="AF98" s="188">
        <v>12518523823.18</v>
      </c>
      <c r="AG98" s="188">
        <v>10592343301.51</v>
      </c>
      <c r="AH98" s="188">
        <v>9719977749.6299992</v>
      </c>
      <c r="AI98" s="188">
        <v>8696328565.7000008</v>
      </c>
      <c r="AJ98" s="188">
        <v>8630757884.3799992</v>
      </c>
      <c r="AK98" s="188">
        <v>7206958728.1800003</v>
      </c>
      <c r="AL98" s="188">
        <v>6528272319.1300001</v>
      </c>
      <c r="AM98" s="188">
        <v>5909220286.3299999</v>
      </c>
      <c r="AN98" s="188">
        <v>5790565954.8900003</v>
      </c>
      <c r="AO98" s="188">
        <v>4645699661.0799999</v>
      </c>
      <c r="AP98" s="188">
        <v>4448660799.4700003</v>
      </c>
      <c r="AQ98" s="188">
        <v>4184001582.1900001</v>
      </c>
      <c r="AR98" s="188">
        <v>3939446493.21</v>
      </c>
      <c r="AS98" s="188">
        <v>3016465972.27</v>
      </c>
      <c r="AT98" s="188">
        <v>2895687323</v>
      </c>
      <c r="AU98" s="188">
        <v>2731195492.8200002</v>
      </c>
      <c r="AV98" s="188">
        <v>3619192723.04</v>
      </c>
      <c r="AW98" s="188">
        <v>2936492710.1799998</v>
      </c>
      <c r="AX98" s="188">
        <v>2836202850</v>
      </c>
      <c r="AY98" s="188">
        <v>2655440755.9699998</v>
      </c>
      <c r="AZ98" s="188">
        <v>2735881568.3699999</v>
      </c>
      <c r="BA98" s="188">
        <v>2271940792.2399998</v>
      </c>
      <c r="BB98" s="188">
        <v>2281862701.6399999</v>
      </c>
      <c r="BC98" s="188">
        <v>2108410721.51</v>
      </c>
      <c r="BD98" s="188">
        <v>2060554311.6199999</v>
      </c>
      <c r="BE98" s="188">
        <v>1714905685.0599999</v>
      </c>
      <c r="BF98" s="188">
        <v>1634285513.4000001</v>
      </c>
      <c r="BG98" s="188">
        <v>1512716042.76</v>
      </c>
      <c r="BH98" s="188">
        <v>2819154405.8699999</v>
      </c>
      <c r="BI98" s="188">
        <v>2490295331.4000001</v>
      </c>
      <c r="BJ98" s="188">
        <v>2403776470.8899999</v>
      </c>
      <c r="BK98" s="188">
        <v>2262549503.6999998</v>
      </c>
      <c r="BL98" s="188">
        <v>2243103077.8499999</v>
      </c>
      <c r="BM98" s="188">
        <v>2007248389.73</v>
      </c>
      <c r="BN98" s="188">
        <v>1951462497.3</v>
      </c>
      <c r="BO98" s="188">
        <v>1830539949.02</v>
      </c>
      <c r="BP98" s="188">
        <v>1872926600.26</v>
      </c>
      <c r="BQ98" s="188">
        <v>1667814393.3199999</v>
      </c>
      <c r="BR98" s="188">
        <v>0</v>
      </c>
      <c r="BS98" s="188">
        <v>1712342274.8299999</v>
      </c>
      <c r="BT98" s="188">
        <v>1595935829.22</v>
      </c>
      <c r="BU98" s="188">
        <v>1356607152.1700001</v>
      </c>
      <c r="BV98" s="188">
        <v>1069052730.5</v>
      </c>
      <c r="BW98" s="188">
        <v>703711850.11000001</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x14ac:dyDescent="0.25">
      <c r="A99" s="127" t="s">
        <v>70</v>
      </c>
      <c r="B99" s="188">
        <v>960345.13</v>
      </c>
      <c r="C99" s="188">
        <v>960345.13</v>
      </c>
      <c r="D99" s="188">
        <v>8155220</v>
      </c>
      <c r="E99" s="188">
        <v>567103.72</v>
      </c>
      <c r="F99" s="188">
        <v>567103.72</v>
      </c>
      <c r="G99" s="188">
        <v>567103.72</v>
      </c>
      <c r="H99" s="188">
        <v>10550000</v>
      </c>
      <c r="I99" s="188">
        <v>0</v>
      </c>
      <c r="J99" s="188">
        <v>900000</v>
      </c>
      <c r="K99" s="188">
        <v>900000</v>
      </c>
      <c r="L99" s="188">
        <v>0</v>
      </c>
      <c r="M99" s="188">
        <v>0</v>
      </c>
      <c r="N99" s="188">
        <v>0</v>
      </c>
      <c r="O99" s="188">
        <v>4095699.69</v>
      </c>
      <c r="P99" s="188">
        <v>3871699.69</v>
      </c>
      <c r="Q99" s="188">
        <v>0</v>
      </c>
      <c r="R99" s="188">
        <v>0</v>
      </c>
      <c r="S99" s="188">
        <v>356571.6</v>
      </c>
      <c r="T99" s="188">
        <v>0</v>
      </c>
      <c r="U99" s="188">
        <v>0</v>
      </c>
      <c r="V99" s="188">
        <v>0</v>
      </c>
      <c r="W99" s="188">
        <v>0</v>
      </c>
      <c r="X99" s="188">
        <v>322500000</v>
      </c>
      <c r="Y99" s="188">
        <v>322500000</v>
      </c>
      <c r="Z99" s="188">
        <v>0</v>
      </c>
      <c r="AA99" s="188">
        <v>0</v>
      </c>
      <c r="AB99" s="188">
        <v>0</v>
      </c>
      <c r="AC99" s="188">
        <v>175000000</v>
      </c>
      <c r="AD99" s="188">
        <v>60625990.25</v>
      </c>
      <c r="AE99" s="188">
        <v>443625990.25</v>
      </c>
      <c r="AF99" s="188">
        <v>143625990.25</v>
      </c>
      <c r="AG99" s="188">
        <v>349275990.25</v>
      </c>
      <c r="AH99" s="188">
        <v>83000000</v>
      </c>
      <c r="AI99" s="188">
        <v>83000000</v>
      </c>
      <c r="AJ99" s="188">
        <v>14372430.720000001</v>
      </c>
      <c r="AK99" s="188">
        <v>220625990.25</v>
      </c>
      <c r="AL99" s="188">
        <v>0</v>
      </c>
      <c r="AM99" s="188">
        <v>0</v>
      </c>
      <c r="AN99" s="188">
        <v>0</v>
      </c>
      <c r="AO99" s="188">
        <v>0</v>
      </c>
      <c r="AP99" s="188">
        <v>0</v>
      </c>
      <c r="AQ99" s="188">
        <v>0</v>
      </c>
      <c r="AR99" s="188">
        <v>0</v>
      </c>
      <c r="AS99" s="188">
        <v>0</v>
      </c>
      <c r="AT99" s="188">
        <v>100000000</v>
      </c>
      <c r="AU99" s="188">
        <v>100000000</v>
      </c>
      <c r="AV99" s="188">
        <v>0</v>
      </c>
      <c r="AW99" s="188">
        <v>0</v>
      </c>
      <c r="AX99" s="188">
        <v>0</v>
      </c>
      <c r="AY99" s="188">
        <v>41778688</v>
      </c>
      <c r="AZ99" s="188">
        <v>0</v>
      </c>
      <c r="BA99" s="188">
        <v>0</v>
      </c>
      <c r="BB99" s="188">
        <v>0</v>
      </c>
      <c r="BC99" s="188">
        <v>0</v>
      </c>
      <c r="BD99" s="188">
        <v>0</v>
      </c>
      <c r="BE99" s="188">
        <v>0</v>
      </c>
      <c r="BF99" s="188">
        <v>0</v>
      </c>
      <c r="BG99" s="188">
        <v>0</v>
      </c>
      <c r="BH99" s="188">
        <v>0</v>
      </c>
      <c r="BI99" s="188">
        <v>0</v>
      </c>
      <c r="BJ99" s="188">
        <v>15606000</v>
      </c>
      <c r="BK99" s="188">
        <v>15606000</v>
      </c>
      <c r="BL99" s="188">
        <v>15606000</v>
      </c>
      <c r="BM99" s="188">
        <v>15606000</v>
      </c>
      <c r="BN99" s="188">
        <v>15606000</v>
      </c>
      <c r="BO99" s="188">
        <v>15606000</v>
      </c>
      <c r="BP99" s="188">
        <v>21726000</v>
      </c>
      <c r="BQ99" s="188">
        <v>21726000</v>
      </c>
      <c r="BR99" s="188">
        <v>0</v>
      </c>
      <c r="BS99" s="188">
        <v>51120000</v>
      </c>
      <c r="BT99" s="188">
        <v>0</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7" t="s">
        <v>72</v>
      </c>
      <c r="B102" s="188">
        <v>1117637470.99</v>
      </c>
      <c r="C102" s="188">
        <v>1057237732.24</v>
      </c>
      <c r="D102" s="188">
        <v>1041931641.21</v>
      </c>
      <c r="E102" s="188">
        <v>1028744521.11</v>
      </c>
      <c r="F102" s="188">
        <v>991208842.74000001</v>
      </c>
      <c r="G102" s="188">
        <v>944529569.05999994</v>
      </c>
      <c r="H102" s="188">
        <v>938683245.88</v>
      </c>
      <c r="I102" s="188">
        <v>928357071.75999999</v>
      </c>
      <c r="J102" s="188">
        <v>389842620.5</v>
      </c>
      <c r="K102" s="188">
        <v>348190503.13999999</v>
      </c>
      <c r="L102" s="188">
        <v>422964715.69999999</v>
      </c>
      <c r="M102" s="188">
        <v>341085527.25999999</v>
      </c>
      <c r="N102" s="188">
        <v>278943414.27999997</v>
      </c>
      <c r="O102" s="188">
        <v>221101605.25</v>
      </c>
      <c r="P102" s="188">
        <v>183423488.90000001</v>
      </c>
      <c r="Q102" s="188">
        <v>0</v>
      </c>
      <c r="R102" s="188">
        <v>38142751454.599998</v>
      </c>
      <c r="S102" s="188">
        <v>37437276214.269997</v>
      </c>
      <c r="T102" s="188">
        <v>38711780181.169998</v>
      </c>
      <c r="U102" s="188">
        <v>36092639767</v>
      </c>
      <c r="V102" s="188">
        <v>35223671771.230003</v>
      </c>
      <c r="W102" s="188">
        <v>33910859267.110001</v>
      </c>
      <c r="X102" s="188">
        <v>34783464477.599998</v>
      </c>
      <c r="Y102" s="188">
        <v>31156598159.759998</v>
      </c>
      <c r="Z102" s="188">
        <v>28982727040.23</v>
      </c>
      <c r="AA102" s="188">
        <v>26227111889.43</v>
      </c>
      <c r="AB102" s="188">
        <v>26134341774.68</v>
      </c>
      <c r="AC102" s="188">
        <v>23119708699.330002</v>
      </c>
      <c r="AD102" s="188">
        <v>21780456109.310001</v>
      </c>
      <c r="AE102" s="188">
        <v>20324831950.529999</v>
      </c>
      <c r="AF102" s="188">
        <v>20219975822.470001</v>
      </c>
      <c r="AG102" s="188">
        <v>18101033527.919998</v>
      </c>
      <c r="AH102" s="188">
        <v>17076693557.92</v>
      </c>
      <c r="AI102" s="188">
        <v>15952221572</v>
      </c>
      <c r="AJ102" s="188">
        <v>15827308417.91</v>
      </c>
      <c r="AK102" s="188">
        <v>14275021541.17</v>
      </c>
      <c r="AL102" s="188">
        <v>13489566058.459999</v>
      </c>
      <c r="AM102" s="188">
        <v>12794793506.780001</v>
      </c>
      <c r="AN102" s="188">
        <v>12640726671.110001</v>
      </c>
      <c r="AO102" s="188">
        <v>11380067365.719999</v>
      </c>
      <c r="AP102" s="188">
        <v>11158726711.690001</v>
      </c>
      <c r="AQ102" s="188">
        <v>10865132147.959999</v>
      </c>
      <c r="AR102" s="188">
        <v>10592688648.690001</v>
      </c>
      <c r="AS102" s="188">
        <v>9569379815.5599995</v>
      </c>
      <c r="AT102" s="188">
        <v>9444699665.4099998</v>
      </c>
      <c r="AU102" s="188">
        <v>9264864912.6800003</v>
      </c>
      <c r="AV102" s="188">
        <v>9012398068.3999996</v>
      </c>
      <c r="AW102" s="188">
        <v>8257212457.3599997</v>
      </c>
      <c r="AX102" s="188">
        <v>8106355261.6899996</v>
      </c>
      <c r="AY102" s="188">
        <v>7906099500.2799997</v>
      </c>
      <c r="AZ102" s="188">
        <v>7904330388.04</v>
      </c>
      <c r="BA102" s="188">
        <v>7358235400.0600004</v>
      </c>
      <c r="BB102" s="188">
        <v>7335831828.4099998</v>
      </c>
      <c r="BC102" s="188">
        <v>7155293928.0200005</v>
      </c>
      <c r="BD102" s="188">
        <v>6979736606.6199999</v>
      </c>
      <c r="BE102" s="188">
        <v>6566886603.0200005</v>
      </c>
      <c r="BF102" s="188">
        <v>6417153928.7799997</v>
      </c>
      <c r="BG102" s="188">
        <v>6275834678.6400003</v>
      </c>
      <c r="BH102" s="188">
        <v>6393497694.0299997</v>
      </c>
      <c r="BI102" s="188">
        <v>6010029931.6000004</v>
      </c>
      <c r="BJ102" s="188">
        <v>5854624464.04</v>
      </c>
      <c r="BK102" s="188">
        <v>5696682615.46</v>
      </c>
      <c r="BL102" s="188">
        <v>5595599973.54</v>
      </c>
      <c r="BM102" s="188">
        <v>5307055453.6800003</v>
      </c>
      <c r="BN102" s="188">
        <v>5196040467.4899998</v>
      </c>
      <c r="BO102" s="188">
        <v>5053742967.6300001</v>
      </c>
      <c r="BP102" s="188">
        <v>4942046030.3000002</v>
      </c>
      <c r="BQ102" s="188">
        <v>4693749721.5200005</v>
      </c>
      <c r="BR102" s="188">
        <v>4554380000</v>
      </c>
      <c r="BS102" s="188">
        <v>4382685677.9300003</v>
      </c>
      <c r="BT102" s="188">
        <v>4235751053.1100001</v>
      </c>
      <c r="BU102" s="188">
        <v>3188611486.52</v>
      </c>
      <c r="BV102" s="188">
        <v>2850312166.9000001</v>
      </c>
      <c r="BW102" s="188">
        <v>2420499366.4499998</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7" t="s">
        <v>73</v>
      </c>
      <c r="B103" s="188">
        <v>87726826.640000001</v>
      </c>
      <c r="C103" s="188">
        <v>85874277.629999995</v>
      </c>
      <c r="D103" s="188">
        <v>63825923.020000003</v>
      </c>
      <c r="E103" s="188">
        <v>65576832.950000003</v>
      </c>
      <c r="F103" s="188">
        <v>62555631.659999996</v>
      </c>
      <c r="G103" s="188">
        <v>56525657.200000003</v>
      </c>
      <c r="H103" s="188">
        <v>53114739.240000002</v>
      </c>
      <c r="I103" s="188">
        <v>57057169.969999999</v>
      </c>
      <c r="J103" s="188">
        <v>54602072.659999996</v>
      </c>
      <c r="K103" s="188">
        <v>51085892.609999999</v>
      </c>
      <c r="L103" s="188">
        <v>55053571.079999998</v>
      </c>
      <c r="M103" s="188">
        <v>46262341.759999998</v>
      </c>
      <c r="N103" s="188">
        <v>38799813.719999999</v>
      </c>
      <c r="O103" s="188">
        <v>33276823.23</v>
      </c>
      <c r="P103" s="188">
        <v>26345783.399999999</v>
      </c>
      <c r="Q103" s="188">
        <v>0</v>
      </c>
      <c r="R103" s="188">
        <v>895311832.45000005</v>
      </c>
      <c r="S103" s="188">
        <v>749180152.45000005</v>
      </c>
      <c r="T103" s="188">
        <v>1043052956.52</v>
      </c>
      <c r="U103" s="188">
        <v>926644785.09000003</v>
      </c>
      <c r="V103" s="188">
        <v>712583368.99000001</v>
      </c>
      <c r="W103" s="188">
        <v>581194595.75999999</v>
      </c>
      <c r="X103" s="188">
        <v>491668788.32999998</v>
      </c>
      <c r="Y103" s="188">
        <v>364472393.54000002</v>
      </c>
      <c r="Z103" s="188">
        <v>638715732.45000005</v>
      </c>
      <c r="AA103" s="188">
        <v>522089084.44999999</v>
      </c>
      <c r="AB103" s="188">
        <v>443606107.22000003</v>
      </c>
      <c r="AC103" s="188">
        <v>326980041.12</v>
      </c>
      <c r="AD103" s="188">
        <v>448121904.16000003</v>
      </c>
      <c r="AE103" s="188">
        <v>393276879.88</v>
      </c>
      <c r="AF103" s="188">
        <v>345161311.58999997</v>
      </c>
      <c r="AG103" s="188">
        <v>265068013.55000001</v>
      </c>
      <c r="AH103" s="188">
        <v>442350412.87</v>
      </c>
      <c r="AI103" s="188">
        <v>387189250.22000003</v>
      </c>
      <c r="AJ103" s="188">
        <v>360389434.32999998</v>
      </c>
      <c r="AK103" s="188">
        <v>305440603.42000002</v>
      </c>
      <c r="AL103" s="188">
        <v>169280595.13999999</v>
      </c>
      <c r="AM103" s="188">
        <v>91245677.840000004</v>
      </c>
      <c r="AN103" s="188">
        <v>84490434.319999993</v>
      </c>
      <c r="AO103" s="188">
        <v>75869511</v>
      </c>
      <c r="AP103" s="188">
        <v>71596625.420000002</v>
      </c>
      <c r="AQ103" s="188">
        <v>69251602.510000005</v>
      </c>
      <c r="AR103" s="188">
        <v>49256028.789999999</v>
      </c>
      <c r="AS103" s="188">
        <v>56857168.609999999</v>
      </c>
      <c r="AT103" s="188">
        <v>40888487.079999998</v>
      </c>
      <c r="AU103" s="188">
        <v>39150237.640000001</v>
      </c>
      <c r="AV103" s="188">
        <v>39251320.369999997</v>
      </c>
      <c r="AW103" s="188">
        <v>37956057.280000001</v>
      </c>
      <c r="AX103" s="188">
        <v>33329921.27</v>
      </c>
      <c r="AY103" s="188">
        <v>32650863.870000001</v>
      </c>
      <c r="AZ103" s="188">
        <v>30454120.460000001</v>
      </c>
      <c r="BA103" s="188">
        <v>27733578.48</v>
      </c>
      <c r="BB103" s="188">
        <v>24884323.18</v>
      </c>
      <c r="BC103" s="188">
        <v>24132037.629999999</v>
      </c>
      <c r="BD103" s="188">
        <v>23728982.75</v>
      </c>
      <c r="BE103" s="188">
        <v>20075298.75</v>
      </c>
      <c r="BF103" s="188">
        <v>16762352.4</v>
      </c>
      <c r="BG103" s="188">
        <v>16880188.02</v>
      </c>
      <c r="BH103" s="188">
        <v>15789115.83</v>
      </c>
      <c r="BI103" s="188">
        <v>15862755.060000001</v>
      </c>
      <c r="BJ103" s="188">
        <v>15780686.800000001</v>
      </c>
      <c r="BK103" s="188">
        <v>15072018.689999999</v>
      </c>
      <c r="BL103" s="188">
        <v>16011767.529999999</v>
      </c>
      <c r="BM103" s="188">
        <v>15044502.029999999</v>
      </c>
      <c r="BN103" s="188">
        <v>18252665.030000001</v>
      </c>
      <c r="BO103" s="188">
        <v>21619133.460000001</v>
      </c>
      <c r="BP103" s="188">
        <v>12934639.26</v>
      </c>
      <c r="BQ103" s="188">
        <v>8493411.2799999993</v>
      </c>
      <c r="BR103" s="188">
        <v>7400000</v>
      </c>
      <c r="BS103" s="188">
        <v>2970143.71</v>
      </c>
      <c r="BT103" s="188">
        <v>2872138.39</v>
      </c>
      <c r="BU103" s="188">
        <v>2604712.4300000002</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1205364297.6300001</v>
      </c>
      <c r="C107" s="33">
        <f>C102+C103</f>
        <v>1143112009.8699999</v>
      </c>
      <c r="D107" s="33">
        <f>D102+D103</f>
        <v>1105757564.23</v>
      </c>
      <c r="E107" s="33">
        <f>E102+E103</f>
        <v>1094321354.0599999</v>
      </c>
      <c r="F107" s="33">
        <f t="shared" ref="F107:BQ107" si="20">F102+F103</f>
        <v>1053764474.4</v>
      </c>
      <c r="G107" s="33">
        <f t="shared" si="20"/>
        <v>1001055226.26</v>
      </c>
      <c r="H107" s="33">
        <f t="shared" si="20"/>
        <v>991797985.12</v>
      </c>
      <c r="I107" s="33">
        <f t="shared" si="20"/>
        <v>985414241.73000002</v>
      </c>
      <c r="J107" s="33">
        <f t="shared" si="20"/>
        <v>444444693.15999997</v>
      </c>
      <c r="K107" s="33">
        <f t="shared" si="20"/>
        <v>399276395.75</v>
      </c>
      <c r="L107" s="33">
        <f t="shared" si="20"/>
        <v>478018286.77999997</v>
      </c>
      <c r="M107" s="33">
        <f t="shared" si="20"/>
        <v>387347869.01999998</v>
      </c>
      <c r="N107" s="33">
        <f t="shared" si="20"/>
        <v>317743228</v>
      </c>
      <c r="O107" s="33">
        <f t="shared" si="20"/>
        <v>254378428.47999999</v>
      </c>
      <c r="P107" s="33">
        <f t="shared" si="20"/>
        <v>209769272.30000001</v>
      </c>
      <c r="Q107" s="33">
        <f t="shared" si="20"/>
        <v>0</v>
      </c>
      <c r="R107" s="33">
        <f t="shared" si="20"/>
        <v>39038063287.049995</v>
      </c>
      <c r="S107" s="33">
        <f t="shared" si="20"/>
        <v>38186456366.719994</v>
      </c>
      <c r="T107" s="33">
        <f t="shared" si="20"/>
        <v>39754833137.689995</v>
      </c>
      <c r="U107" s="33">
        <f t="shared" si="20"/>
        <v>37019284552.089996</v>
      </c>
      <c r="V107" s="33">
        <f t="shared" si="20"/>
        <v>35936255140.220001</v>
      </c>
      <c r="W107" s="33">
        <f t="shared" si="20"/>
        <v>34492053862.870003</v>
      </c>
      <c r="X107" s="33">
        <f t="shared" si="20"/>
        <v>35275133265.93</v>
      </c>
      <c r="Y107" s="33">
        <f t="shared" si="20"/>
        <v>31521070553.299999</v>
      </c>
      <c r="Z107" s="33">
        <f t="shared" si="20"/>
        <v>29621442772.68</v>
      </c>
      <c r="AA107" s="33">
        <f t="shared" si="20"/>
        <v>26749200973.880001</v>
      </c>
      <c r="AB107" s="33">
        <f t="shared" si="20"/>
        <v>26577947881.900002</v>
      </c>
      <c r="AC107" s="33">
        <f t="shared" si="20"/>
        <v>23446688740.450001</v>
      </c>
      <c r="AD107" s="33">
        <f t="shared" si="20"/>
        <v>22228578013.470001</v>
      </c>
      <c r="AE107" s="33">
        <f t="shared" si="20"/>
        <v>20718108830.41</v>
      </c>
      <c r="AF107" s="33">
        <f t="shared" si="20"/>
        <v>20565137134.060001</v>
      </c>
      <c r="AG107" s="33">
        <f t="shared" si="20"/>
        <v>18366101541.469997</v>
      </c>
      <c r="AH107" s="33">
        <f t="shared" si="20"/>
        <v>17519043970.790001</v>
      </c>
      <c r="AI107" s="33">
        <f t="shared" si="20"/>
        <v>16339410822.219999</v>
      </c>
      <c r="AJ107" s="33">
        <f t="shared" si="20"/>
        <v>16187697852.24</v>
      </c>
      <c r="AK107" s="33">
        <f t="shared" si="20"/>
        <v>14580462144.59</v>
      </c>
      <c r="AL107" s="33">
        <f t="shared" si="20"/>
        <v>13658846653.599998</v>
      </c>
      <c r="AM107" s="33">
        <f t="shared" si="20"/>
        <v>12886039184.620001</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1205364297.6300001</v>
      </c>
      <c r="C108" s="38">
        <f t="shared" ref="C108:BN108" si="22">SUM(C89+C107)</f>
        <v>1143112009.8699999</v>
      </c>
      <c r="D108" s="38">
        <f t="shared" si="22"/>
        <v>1105757564.23</v>
      </c>
      <c r="E108" s="38">
        <f>SUM(E107+E89)</f>
        <v>1094321354.0599999</v>
      </c>
      <c r="F108" s="38">
        <f t="shared" si="22"/>
        <v>1053764474.4</v>
      </c>
      <c r="G108" s="38">
        <f t="shared" si="22"/>
        <v>1001055226.26</v>
      </c>
      <c r="H108" s="38">
        <f t="shared" si="22"/>
        <v>1035449168.54</v>
      </c>
      <c r="I108" s="38">
        <f t="shared" si="22"/>
        <v>1062069435.15</v>
      </c>
      <c r="J108" s="38">
        <f t="shared" si="22"/>
        <v>556792811.90999997</v>
      </c>
      <c r="K108" s="38">
        <f t="shared" si="22"/>
        <v>511169786.59000003</v>
      </c>
      <c r="L108" s="38">
        <f t="shared" si="22"/>
        <v>568436012.11000001</v>
      </c>
      <c r="M108" s="38">
        <f t="shared" si="22"/>
        <v>490388669.01999998</v>
      </c>
      <c r="N108" s="38">
        <f t="shared" si="22"/>
        <v>496178942</v>
      </c>
      <c r="O108" s="38">
        <f t="shared" si="22"/>
        <v>325591436.71999997</v>
      </c>
      <c r="P108" s="38">
        <f t="shared" si="22"/>
        <v>233650944.28</v>
      </c>
      <c r="Q108" s="38">
        <f t="shared" si="22"/>
        <v>0</v>
      </c>
      <c r="R108" s="38">
        <f t="shared" si="22"/>
        <v>39038063287.049995</v>
      </c>
      <c r="S108" s="38">
        <f t="shared" si="22"/>
        <v>38186456366.719994</v>
      </c>
      <c r="T108" s="38">
        <f t="shared" si="22"/>
        <v>39754833137.689995</v>
      </c>
      <c r="U108" s="38">
        <f t="shared" si="22"/>
        <v>37019284552.089996</v>
      </c>
      <c r="V108" s="38">
        <f t="shared" si="22"/>
        <v>35936255140.220001</v>
      </c>
      <c r="W108" s="38">
        <f t="shared" si="22"/>
        <v>34492053862.870003</v>
      </c>
      <c r="X108" s="38">
        <f t="shared" si="22"/>
        <v>35275133265.93</v>
      </c>
      <c r="Y108" s="38">
        <f t="shared" si="22"/>
        <v>31521070553.299999</v>
      </c>
      <c r="Z108" s="38">
        <f t="shared" si="22"/>
        <v>29621442772.68</v>
      </c>
      <c r="AA108" s="38">
        <f t="shared" si="22"/>
        <v>26749200973.880001</v>
      </c>
      <c r="AB108" s="38">
        <f t="shared" si="22"/>
        <v>26577947881.900002</v>
      </c>
      <c r="AC108" s="38">
        <f t="shared" si="22"/>
        <v>23446688740.450001</v>
      </c>
      <c r="AD108" s="38">
        <f t="shared" si="22"/>
        <v>22228578013.470001</v>
      </c>
      <c r="AE108" s="38">
        <f t="shared" si="22"/>
        <v>20718108830.41</v>
      </c>
      <c r="AF108" s="38">
        <f t="shared" si="22"/>
        <v>20565137134.060001</v>
      </c>
      <c r="AG108" s="38">
        <f t="shared" si="22"/>
        <v>18366101541.469997</v>
      </c>
      <c r="AH108" s="38">
        <f t="shared" si="22"/>
        <v>17519043970.790001</v>
      </c>
      <c r="AI108" s="38">
        <f t="shared" si="22"/>
        <v>16339410822.219999</v>
      </c>
      <c r="AJ108" s="38">
        <f t="shared" si="22"/>
        <v>16187697852.24</v>
      </c>
      <c r="AK108" s="38">
        <f t="shared" si="22"/>
        <v>14580462144.59</v>
      </c>
      <c r="AL108" s="38">
        <f t="shared" si="22"/>
        <v>13658846653.599998</v>
      </c>
      <c r="AM108" s="38">
        <f t="shared" si="22"/>
        <v>12886039184.620001</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M55" sqref="M55"/>
    </sheetView>
  </sheetViews>
  <sheetFormatPr defaultRowHeight="14.4" x14ac:dyDescent="0.25"/>
  <cols>
    <col min="1" max="1" width="57.21875" style="17" bestFit="1" customWidth="1"/>
    <col min="2" max="4" width="19" hidden="1" customWidth="1"/>
    <col min="5" max="5" width="19.33203125" bestFit="1" customWidth="1"/>
    <col min="6" max="8" width="19" hidden="1" customWidth="1"/>
    <col min="9" max="9" width="19" bestFit="1" customWidth="1"/>
    <col min="10" max="10" width="19" hidden="1" customWidth="1"/>
    <col min="11" max="11" width="17.77734375" hidden="1" customWidth="1"/>
    <col min="12" max="12" width="19" hidden="1" customWidth="1"/>
    <col min="13" max="13" width="19" bestFit="1" customWidth="1"/>
    <col min="14" max="14" width="17.77734375" hidden="1" customWidth="1"/>
    <col min="15" max="17" width="19" bestFit="1" customWidth="1"/>
    <col min="18" max="18" width="17.77734375" bestFit="1" customWidth="1"/>
    <col min="19" max="19" width="9.5546875" hidden="1" customWidth="1"/>
    <col min="20"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626649436.39999998</v>
      </c>
      <c r="C4" s="188">
        <v>392876131.64999998</v>
      </c>
      <c r="D4" s="188">
        <v>172354512.02000001</v>
      </c>
      <c r="E4" s="188">
        <v>752408925.78999996</v>
      </c>
      <c r="F4" s="188">
        <v>525772942.17000002</v>
      </c>
      <c r="G4" s="188">
        <v>339770745.41000003</v>
      </c>
      <c r="H4" s="188">
        <v>153700781.78999999</v>
      </c>
      <c r="I4" s="188">
        <v>665011421.55999994</v>
      </c>
      <c r="J4" s="188">
        <v>454007921.24000001</v>
      </c>
      <c r="K4" s="188">
        <v>283257330.20999998</v>
      </c>
      <c r="L4" s="188">
        <v>124302689.18000001</v>
      </c>
      <c r="M4" s="188">
        <v>597037871.64999998</v>
      </c>
      <c r="N4" s="188">
        <v>409475329.64999998</v>
      </c>
      <c r="O4" s="188">
        <v>528809680.74000001</v>
      </c>
      <c r="P4" s="188">
        <v>484907942.22000003</v>
      </c>
      <c r="Q4" s="188">
        <v>395593790.81</v>
      </c>
      <c r="R4" s="188">
        <v>316891515.43000001</v>
      </c>
      <c r="S4" s="188">
        <v>0</v>
      </c>
      <c r="T4" s="188"/>
      <c r="U4" s="188"/>
      <c r="V4" s="188"/>
      <c r="W4" s="188"/>
      <c r="X4" s="188"/>
      <c r="Y4" s="188"/>
      <c r="Z4" s="188"/>
      <c r="AA4" s="188"/>
      <c r="AB4" s="188"/>
      <c r="AC4" s="188"/>
      <c r="AD4" s="188"/>
      <c r="AE4" s="188"/>
      <c r="AF4" s="188"/>
      <c r="AG4" s="188"/>
      <c r="AH4" s="188"/>
      <c r="AI4" s="188"/>
      <c r="AJ4" s="188"/>
      <c r="AK4" s="188"/>
      <c r="AL4" s="188"/>
      <c r="AM4" s="188"/>
      <c r="AN4" s="188"/>
      <c r="AO4" s="188"/>
      <c r="AP4" s="188"/>
      <c r="AQ4" s="188"/>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319507261.20999998</v>
      </c>
      <c r="C5" s="188">
        <v>205508609.28999999</v>
      </c>
      <c r="D5" s="188">
        <v>108278238.17</v>
      </c>
      <c r="E5" s="188">
        <v>406091046.83999997</v>
      </c>
      <c r="F5" s="188">
        <v>271365768.27999997</v>
      </c>
      <c r="G5" s="188">
        <v>181470105.86000001</v>
      </c>
      <c r="H5" s="188">
        <v>91249713.920000002</v>
      </c>
      <c r="I5" s="188">
        <v>348439708.45999998</v>
      </c>
      <c r="J5" s="188">
        <v>228589200.88</v>
      </c>
      <c r="K5" s="188">
        <v>149382777.41999999</v>
      </c>
      <c r="L5" s="188">
        <v>74864949.950000003</v>
      </c>
      <c r="M5" s="188">
        <v>318153253.52999997</v>
      </c>
      <c r="N5" s="188">
        <v>215473046.52000001</v>
      </c>
      <c r="O5" s="188">
        <v>287721956.77999997</v>
      </c>
      <c r="P5" s="188">
        <v>255145394.69</v>
      </c>
      <c r="Q5" s="188">
        <v>207821413.31999999</v>
      </c>
      <c r="R5" s="188">
        <v>157440528.15000001</v>
      </c>
      <c r="S5" s="188">
        <v>0</v>
      </c>
      <c r="T5" s="188"/>
      <c r="U5" s="188"/>
      <c r="V5" s="188"/>
      <c r="W5" s="188"/>
      <c r="X5" s="188"/>
      <c r="Y5" s="188"/>
      <c r="Z5" s="188"/>
      <c r="AA5" s="188"/>
      <c r="AB5" s="188"/>
      <c r="AC5" s="188"/>
      <c r="AD5" s="188"/>
      <c r="AE5" s="188"/>
      <c r="AF5" s="188"/>
      <c r="AG5" s="188"/>
      <c r="AH5" s="188"/>
      <c r="AI5" s="188"/>
      <c r="AJ5" s="188"/>
      <c r="AK5" s="188"/>
      <c r="AL5" s="188"/>
      <c r="AM5" s="188"/>
      <c r="AN5" s="188"/>
      <c r="AO5" s="188"/>
      <c r="AP5" s="188"/>
      <c r="AQ5" s="188"/>
      <c r="AR5" s="188"/>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307142175.19</v>
      </c>
      <c r="C6" s="27">
        <f t="shared" ref="C6:BN6" si="0">C4-C5</f>
        <v>187367522.35999998</v>
      </c>
      <c r="D6" s="27">
        <f t="shared" si="0"/>
        <v>64076273.850000009</v>
      </c>
      <c r="E6" s="27">
        <f t="shared" si="0"/>
        <v>346317878.94999999</v>
      </c>
      <c r="F6" s="27">
        <f t="shared" si="0"/>
        <v>254407173.89000005</v>
      </c>
      <c r="G6" s="27">
        <f t="shared" si="0"/>
        <v>158300639.55000001</v>
      </c>
      <c r="H6" s="27">
        <f t="shared" si="0"/>
        <v>62451067.86999999</v>
      </c>
      <c r="I6" s="27">
        <f t="shared" si="0"/>
        <v>316571713.09999996</v>
      </c>
      <c r="J6" s="27">
        <f t="shared" si="0"/>
        <v>225418720.36000001</v>
      </c>
      <c r="K6" s="27">
        <f t="shared" si="0"/>
        <v>133874552.78999999</v>
      </c>
      <c r="L6" s="27">
        <f t="shared" si="0"/>
        <v>49437739.230000004</v>
      </c>
      <c r="M6" s="27">
        <f t="shared" si="0"/>
        <v>278884618.12</v>
      </c>
      <c r="N6" s="27">
        <f t="shared" si="0"/>
        <v>194002283.12999997</v>
      </c>
      <c r="O6" s="27">
        <f t="shared" si="0"/>
        <v>241087723.96000004</v>
      </c>
      <c r="P6" s="27">
        <f t="shared" si="0"/>
        <v>229762547.53000003</v>
      </c>
      <c r="Q6" s="27">
        <f t="shared" si="0"/>
        <v>187772377.49000001</v>
      </c>
      <c r="R6" s="27">
        <f t="shared" si="0"/>
        <v>159450987.28</v>
      </c>
      <c r="S6" s="27">
        <f t="shared" si="0"/>
        <v>0</v>
      </c>
      <c r="T6" s="27">
        <f t="shared" si="0"/>
        <v>0</v>
      </c>
      <c r="U6" s="27">
        <f t="shared" si="0"/>
        <v>0</v>
      </c>
      <c r="V6" s="27">
        <f t="shared" si="0"/>
        <v>0</v>
      </c>
      <c r="W6" s="27">
        <f t="shared" si="0"/>
        <v>0</v>
      </c>
      <c r="X6" s="27">
        <f t="shared" si="0"/>
        <v>0</v>
      </c>
      <c r="Y6" s="27">
        <f t="shared" si="0"/>
        <v>0</v>
      </c>
      <c r="Z6" s="27">
        <f t="shared" si="0"/>
        <v>0</v>
      </c>
      <c r="AA6" s="27">
        <f t="shared" si="0"/>
        <v>0</v>
      </c>
      <c r="AB6" s="27">
        <f t="shared" si="0"/>
        <v>0</v>
      </c>
      <c r="AC6" s="27">
        <f t="shared" si="0"/>
        <v>0</v>
      </c>
      <c r="AD6" s="27">
        <f t="shared" si="0"/>
        <v>0</v>
      </c>
      <c r="AE6" s="27">
        <f t="shared" si="0"/>
        <v>0</v>
      </c>
      <c r="AF6" s="27">
        <f t="shared" si="0"/>
        <v>0</v>
      </c>
      <c r="AG6" s="27">
        <f t="shared" si="0"/>
        <v>0</v>
      </c>
      <c r="AH6" s="27">
        <f t="shared" si="0"/>
        <v>0</v>
      </c>
      <c r="AI6" s="27">
        <f t="shared" si="0"/>
        <v>0</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49.013396861007699</v>
      </c>
      <c r="C7" s="57">
        <f t="shared" ref="C7:D7" si="2">C6/C4*100</f>
        <v>47.691245984604471</v>
      </c>
      <c r="D7" s="57">
        <f t="shared" si="2"/>
        <v>37.177021418832709</v>
      </c>
      <c r="E7" s="57">
        <f>E6/E4</f>
        <v>0.46027880196447662</v>
      </c>
      <c r="F7" s="57">
        <f t="shared" ref="F7:BQ7" si="3">F6/F4</f>
        <v>0.48387270147451156</v>
      </c>
      <c r="G7" s="57">
        <f t="shared" si="3"/>
        <v>0.46590426541572688</v>
      </c>
      <c r="H7" s="57">
        <f t="shared" si="3"/>
        <v>0.40631587648868517</v>
      </c>
      <c r="I7" s="57">
        <f t="shared" si="3"/>
        <v>0.47603951276111672</v>
      </c>
      <c r="J7" s="57">
        <f t="shared" si="3"/>
        <v>0.49650834228691354</v>
      </c>
      <c r="K7" s="57">
        <f t="shared" si="3"/>
        <v>0.47262520158171623</v>
      </c>
      <c r="L7" s="57">
        <f t="shared" si="3"/>
        <v>0.39772059282169103</v>
      </c>
      <c r="M7" s="57">
        <f t="shared" si="3"/>
        <v>0.4671137818263727</v>
      </c>
      <c r="N7" s="57">
        <f t="shared" si="3"/>
        <v>0.47378259221580915</v>
      </c>
      <c r="O7" s="57">
        <f t="shared" si="3"/>
        <v>0.4559064115895709</v>
      </c>
      <c r="P7" s="57">
        <f t="shared" si="3"/>
        <v>0.47382714846472457</v>
      </c>
      <c r="Q7" s="57">
        <f t="shared" si="3"/>
        <v>0.47465956709160112</v>
      </c>
      <c r="R7" s="57">
        <f t="shared" si="3"/>
        <v>0.50317215676675964</v>
      </c>
      <c r="S7" s="57" t="e">
        <f t="shared" si="3"/>
        <v>#DIV/0!</v>
      </c>
      <c r="T7" s="57" t="e">
        <f t="shared" si="3"/>
        <v>#DIV/0!</v>
      </c>
      <c r="U7" s="57" t="e">
        <f t="shared" si="3"/>
        <v>#DIV/0!</v>
      </c>
      <c r="V7" s="57" t="e">
        <f t="shared" si="3"/>
        <v>#DIV/0!</v>
      </c>
      <c r="W7" s="57" t="e">
        <f t="shared" si="3"/>
        <v>#DIV/0!</v>
      </c>
      <c r="X7" s="57" t="e">
        <f t="shared" si="3"/>
        <v>#DIV/0!</v>
      </c>
      <c r="Y7" s="57" t="e">
        <f t="shared" si="3"/>
        <v>#DIV/0!</v>
      </c>
      <c r="Z7" s="57" t="e">
        <f t="shared" si="3"/>
        <v>#DIV/0!</v>
      </c>
      <c r="AA7" s="57" t="e">
        <f t="shared" si="3"/>
        <v>#DIV/0!</v>
      </c>
      <c r="AB7" s="57" t="e">
        <f t="shared" si="3"/>
        <v>#DIV/0!</v>
      </c>
      <c r="AC7" s="57" t="e">
        <f t="shared" si="3"/>
        <v>#DIV/0!</v>
      </c>
      <c r="AD7" s="57" t="e">
        <f t="shared" si="3"/>
        <v>#DIV/0!</v>
      </c>
      <c r="AE7" s="57" t="e">
        <f t="shared" si="3"/>
        <v>#DIV/0!</v>
      </c>
      <c r="AF7" s="57" t="e">
        <f t="shared" si="3"/>
        <v>#DIV/0!</v>
      </c>
      <c r="AG7" s="57" t="e">
        <f t="shared" si="3"/>
        <v>#DIV/0!</v>
      </c>
      <c r="AH7" s="57" t="e">
        <f t="shared" si="3"/>
        <v>#DIV/0!</v>
      </c>
      <c r="AI7" s="57" t="e">
        <f t="shared" si="3"/>
        <v>#DIV/0!</v>
      </c>
      <c r="AJ7" s="57" t="e">
        <f t="shared" si="3"/>
        <v>#DIV/0!</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3338613.63</v>
      </c>
      <c r="C8" s="188">
        <v>2097807.5099999998</v>
      </c>
      <c r="D8" s="188">
        <v>678109.79</v>
      </c>
      <c r="E8" s="188">
        <v>4713914.93</v>
      </c>
      <c r="F8" s="188">
        <v>3122552.32</v>
      </c>
      <c r="G8" s="188">
        <v>2242285.31</v>
      </c>
      <c r="H8" s="188">
        <v>741441.45</v>
      </c>
      <c r="I8" s="188">
        <v>4077013.45</v>
      </c>
      <c r="J8" s="188">
        <v>2478089.7400000002</v>
      </c>
      <c r="K8" s="188">
        <v>1674570.11</v>
      </c>
      <c r="L8" s="188">
        <v>761096.69</v>
      </c>
      <c r="M8" s="188">
        <v>3426043.03</v>
      </c>
      <c r="N8" s="188">
        <v>2528370.9500000002</v>
      </c>
      <c r="O8" s="188">
        <v>3185132.53</v>
      </c>
      <c r="P8" s="188">
        <v>4441789.72</v>
      </c>
      <c r="Q8" s="188">
        <v>13470903.210000001</v>
      </c>
      <c r="R8" s="188">
        <v>15908543.560000001</v>
      </c>
      <c r="S8" s="188">
        <v>0</v>
      </c>
      <c r="T8" s="188"/>
      <c r="U8" s="188"/>
      <c r="V8" s="188"/>
      <c r="W8" s="188"/>
      <c r="X8" s="188"/>
      <c r="Y8" s="188"/>
      <c r="Z8" s="188"/>
      <c r="AA8" s="188"/>
      <c r="AB8" s="188"/>
      <c r="AC8" s="188"/>
      <c r="AD8" s="188"/>
      <c r="AE8" s="188"/>
      <c r="AF8" s="188"/>
      <c r="AG8" s="188"/>
      <c r="AH8" s="188"/>
      <c r="AI8" s="188"/>
      <c r="AJ8" s="188"/>
      <c r="AK8" s="188"/>
      <c r="AL8" s="188"/>
      <c r="AM8" s="188"/>
      <c r="AN8" s="188"/>
      <c r="AO8" s="188"/>
      <c r="AP8" s="188"/>
      <c r="AQ8" s="188"/>
      <c r="AR8" s="188"/>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19614822.73</v>
      </c>
      <c r="C9" s="188">
        <v>12943635.039999999</v>
      </c>
      <c r="D9" s="188">
        <v>5945114.6299999999</v>
      </c>
      <c r="E9" s="188">
        <v>21668533.010000002</v>
      </c>
      <c r="F9" s="188">
        <v>13228844.43</v>
      </c>
      <c r="G9" s="188">
        <v>9180163.4299999997</v>
      </c>
      <c r="H9" s="188">
        <v>5012251.4000000004</v>
      </c>
      <c r="I9" s="188">
        <v>19538807.030000001</v>
      </c>
      <c r="J9" s="188">
        <v>12545397.220000001</v>
      </c>
      <c r="K9" s="188">
        <v>8046351.9000000004</v>
      </c>
      <c r="L9" s="188">
        <v>3789818.57</v>
      </c>
      <c r="M9" s="188">
        <v>17063513.98</v>
      </c>
      <c r="N9" s="188">
        <v>11785946.41</v>
      </c>
      <c r="O9" s="188">
        <v>16875542.949999999</v>
      </c>
      <c r="P9" s="188">
        <v>16358050.699999999</v>
      </c>
      <c r="Q9" s="188">
        <v>9619825.7599999998</v>
      </c>
      <c r="R9" s="188">
        <v>7064283.7000000002</v>
      </c>
      <c r="S9" s="188">
        <v>0</v>
      </c>
      <c r="T9" s="188"/>
      <c r="U9" s="188"/>
      <c r="V9" s="188"/>
      <c r="W9" s="188"/>
      <c r="X9" s="188"/>
      <c r="Y9" s="188"/>
      <c r="Z9" s="188"/>
      <c r="AA9" s="188"/>
      <c r="AB9" s="188"/>
      <c r="AC9" s="188"/>
      <c r="AD9" s="188"/>
      <c r="AE9" s="188"/>
      <c r="AF9" s="188"/>
      <c r="AG9" s="188"/>
      <c r="AH9" s="188"/>
      <c r="AI9" s="188"/>
      <c r="AJ9" s="188"/>
      <c r="AK9" s="188"/>
      <c r="AL9" s="188"/>
      <c r="AM9" s="188"/>
      <c r="AN9" s="188"/>
      <c r="AO9" s="188"/>
      <c r="AP9" s="188"/>
      <c r="AQ9" s="188"/>
      <c r="AR9" s="188"/>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89584612.290000007</v>
      </c>
      <c r="C10" s="188">
        <v>92580103.870000005</v>
      </c>
      <c r="D10" s="188">
        <v>44799856.780000001</v>
      </c>
      <c r="E10" s="188">
        <v>166019822.88</v>
      </c>
      <c r="F10" s="188">
        <v>117685777.28</v>
      </c>
      <c r="G10" s="188">
        <v>79178722.430000007</v>
      </c>
      <c r="H10" s="188">
        <v>37534449.25</v>
      </c>
      <c r="I10" s="188">
        <v>154974042.46000001</v>
      </c>
      <c r="J10" s="188">
        <v>103999553.73999999</v>
      </c>
      <c r="K10" s="188">
        <v>70613526.260000005</v>
      </c>
      <c r="L10" s="188">
        <v>35456383.57</v>
      </c>
      <c r="M10" s="188">
        <v>122441461.36</v>
      </c>
      <c r="N10" s="188">
        <v>86931351.890000001</v>
      </c>
      <c r="O10" s="188">
        <v>107670888.41</v>
      </c>
      <c r="P10" s="188">
        <v>102640374.88</v>
      </c>
      <c r="Q10" s="188">
        <v>71521981.640000001</v>
      </c>
      <c r="R10" s="188">
        <v>52519359.909999996</v>
      </c>
      <c r="S10" s="188">
        <v>0</v>
      </c>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4541033.96</v>
      </c>
      <c r="C11" s="188">
        <v>3226124.16</v>
      </c>
      <c r="D11" s="188">
        <v>1149833.6100000001</v>
      </c>
      <c r="E11" s="188">
        <v>3676127.1</v>
      </c>
      <c r="F11" s="188">
        <v>4740584.82</v>
      </c>
      <c r="G11" s="188">
        <v>2648674.7200000002</v>
      </c>
      <c r="H11" s="188">
        <v>268215.46999999997</v>
      </c>
      <c r="I11" s="188">
        <v>2861101.65</v>
      </c>
      <c r="J11" s="188">
        <v>1555979.19</v>
      </c>
      <c r="K11" s="188">
        <v>1732316.57</v>
      </c>
      <c r="L11" s="188">
        <v>521455.82</v>
      </c>
      <c r="M11" s="188">
        <v>2284690.9700000002</v>
      </c>
      <c r="N11" s="188">
        <v>931665.24</v>
      </c>
      <c r="O11" s="188">
        <v>1660639.19</v>
      </c>
      <c r="P11" s="188">
        <v>1472137.7</v>
      </c>
      <c r="Q11" s="188">
        <v>860356.86</v>
      </c>
      <c r="R11" s="188">
        <v>781100.94</v>
      </c>
      <c r="S11" s="188">
        <v>0</v>
      </c>
      <c r="T11" s="188"/>
      <c r="U11" s="188"/>
      <c r="V11" s="188"/>
      <c r="W11" s="188"/>
      <c r="X11" s="188"/>
      <c r="Y11" s="188"/>
      <c r="Z11" s="188"/>
      <c r="AA11" s="188"/>
      <c r="AB11" s="188"/>
      <c r="AC11" s="188"/>
      <c r="AD11" s="188"/>
      <c r="AE11" s="188"/>
      <c r="AF11" s="188"/>
      <c r="AG11" s="188"/>
      <c r="AH11" s="188"/>
      <c r="AI11" s="188"/>
      <c r="AJ11" s="188"/>
      <c r="AK11" s="188"/>
      <c r="AL11" s="188"/>
      <c r="AM11" s="188"/>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358407.7</v>
      </c>
      <c r="F12" s="29">
        <f t="shared" si="5"/>
        <v>1204</v>
      </c>
      <c r="G12" s="29">
        <f t="shared" si="5"/>
        <v>868</v>
      </c>
      <c r="H12" s="29">
        <f t="shared" si="5"/>
        <v>644</v>
      </c>
      <c r="I12" s="29">
        <f t="shared" si="5"/>
        <v>459844</v>
      </c>
      <c r="J12" s="29">
        <f t="shared" si="5"/>
        <v>0</v>
      </c>
      <c r="K12" s="29">
        <f t="shared" si="5"/>
        <v>0</v>
      </c>
      <c r="L12" s="29">
        <f t="shared" si="5"/>
        <v>0</v>
      </c>
      <c r="M12" s="29">
        <f t="shared" si="5"/>
        <v>5143139.6100000003</v>
      </c>
      <c r="N12" s="29">
        <f t="shared" si="5"/>
        <v>0</v>
      </c>
      <c r="O12" s="29">
        <f t="shared" si="5"/>
        <v>0</v>
      </c>
      <c r="P12" s="29">
        <f t="shared" si="5"/>
        <v>0</v>
      </c>
      <c r="Q12" s="29">
        <f t="shared" si="5"/>
        <v>0</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9658682.9600000009</v>
      </c>
      <c r="C13" s="188">
        <v>6113335.8399999999</v>
      </c>
      <c r="D13" s="188">
        <v>3986830.23</v>
      </c>
      <c r="E13" s="188">
        <v>6642281.1200000001</v>
      </c>
      <c r="F13" s="188">
        <v>2973384.32</v>
      </c>
      <c r="G13" s="188">
        <v>815125.21</v>
      </c>
      <c r="H13" s="188">
        <v>1746001.04</v>
      </c>
      <c r="I13" s="188">
        <v>18745445.350000001</v>
      </c>
      <c r="J13" s="188">
        <v>9657025.8300000001</v>
      </c>
      <c r="K13" s="188">
        <v>7838512.2300000004</v>
      </c>
      <c r="L13" s="188">
        <v>2974519.12</v>
      </c>
      <c r="M13" s="188">
        <v>12691476.43</v>
      </c>
      <c r="N13" s="188">
        <v>8343327.8399999999</v>
      </c>
      <c r="O13" s="188">
        <v>10732730.42</v>
      </c>
      <c r="P13" s="188">
        <v>7956926.2000000002</v>
      </c>
      <c r="Q13" s="188">
        <v>4563168.58</v>
      </c>
      <c r="R13" s="188">
        <v>842082.41</v>
      </c>
      <c r="S13" s="188">
        <v>0</v>
      </c>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374038.64</v>
      </c>
      <c r="C14" s="188">
        <v>207835.13</v>
      </c>
      <c r="D14" s="188">
        <v>26352.16</v>
      </c>
      <c r="E14" s="188">
        <v>671937.06</v>
      </c>
      <c r="F14" s="188">
        <v>222435.24</v>
      </c>
      <c r="G14" s="188">
        <v>151234.70000000001</v>
      </c>
      <c r="H14" s="188">
        <v>45300.33</v>
      </c>
      <c r="I14" s="188">
        <v>624580.15</v>
      </c>
      <c r="J14" s="188">
        <v>355927.35</v>
      </c>
      <c r="K14" s="188">
        <v>152289.14000000001</v>
      </c>
      <c r="L14" s="188">
        <v>26163.48</v>
      </c>
      <c r="M14" s="188">
        <v>2364290.87</v>
      </c>
      <c r="N14" s="188">
        <v>1541431.11</v>
      </c>
      <c r="O14" s="188">
        <v>746773.43</v>
      </c>
      <c r="P14" s="188">
        <v>1074547.77</v>
      </c>
      <c r="Q14" s="188">
        <v>251433.47</v>
      </c>
      <c r="R14" s="188">
        <v>419615.98</v>
      </c>
      <c r="S14" s="188">
        <v>0</v>
      </c>
      <c r="T14" s="188"/>
      <c r="U14" s="188"/>
      <c r="V14" s="188"/>
      <c r="W14" s="188"/>
      <c r="X14" s="188"/>
      <c r="Y14" s="188"/>
      <c r="Z14" s="188"/>
      <c r="AA14" s="188"/>
      <c r="AB14" s="188"/>
      <c r="AC14" s="188"/>
      <c r="AD14" s="188"/>
      <c r="AE14" s="188"/>
      <c r="AF14" s="188"/>
      <c r="AG14" s="188"/>
      <c r="AH14" s="188"/>
      <c r="AI14" s="188"/>
      <c r="AJ14" s="188"/>
      <c r="AK14" s="188"/>
      <c r="AL14" s="188"/>
      <c r="AM14" s="188"/>
      <c r="AN14" s="188"/>
      <c r="AO14" s="188"/>
      <c r="AP14" s="188"/>
      <c r="AQ14" s="188"/>
      <c r="AR14" s="188"/>
      <c r="AS14" s="188"/>
      <c r="AT14" s="188"/>
      <c r="AU14" s="188"/>
      <c r="AV14" s="188"/>
      <c r="AW14" s="188"/>
      <c r="AX14" s="188"/>
      <c r="AY14" s="188"/>
      <c r="AZ14" s="188"/>
      <c r="BA14" s="188"/>
      <c r="BB14" s="188"/>
      <c r="BC14" s="188"/>
      <c r="BD14" s="188"/>
      <c r="BE14" s="188"/>
      <c r="BF14" s="188"/>
      <c r="BG14" s="188"/>
      <c r="BH14" s="188"/>
      <c r="BI14" s="188"/>
      <c r="BJ14" s="188"/>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199347273.90000001</v>
      </c>
      <c r="C15" s="28">
        <f t="shared" ref="C15:BN15" si="7">C6-(C8+C9+C10+C11+C12)+C13-C14</f>
        <v>82424749.489999995</v>
      </c>
      <c r="D15" s="28">
        <f t="shared" si="7"/>
        <v>15463184.110000007</v>
      </c>
      <c r="E15" s="28">
        <f t="shared" si="7"/>
        <v>155851417.39000002</v>
      </c>
      <c r="F15" s="28">
        <f t="shared" si="7"/>
        <v>118379160.12000005</v>
      </c>
      <c r="G15" s="28">
        <f t="shared" si="7"/>
        <v>65713816.170000009</v>
      </c>
      <c r="H15" s="28">
        <f t="shared" si="7"/>
        <v>20594767.00999999</v>
      </c>
      <c r="I15" s="28">
        <f t="shared" si="7"/>
        <v>152781769.70999995</v>
      </c>
      <c r="J15" s="28">
        <f t="shared" si="7"/>
        <v>114140798.95000003</v>
      </c>
      <c r="K15" s="28">
        <f t="shared" si="7"/>
        <v>59494011.039999992</v>
      </c>
      <c r="L15" s="28">
        <f t="shared" si="7"/>
        <v>11857340.220000006</v>
      </c>
      <c r="M15" s="28">
        <f t="shared" si="7"/>
        <v>138852954.72999999</v>
      </c>
      <c r="N15" s="28">
        <f t="shared" si="7"/>
        <v>98626845.369999975</v>
      </c>
      <c r="O15" s="28">
        <f t="shared" si="7"/>
        <v>121681477.87000003</v>
      </c>
      <c r="P15" s="28">
        <f t="shared" si="7"/>
        <v>111732572.96000004</v>
      </c>
      <c r="Q15" s="28">
        <f t="shared" si="7"/>
        <v>96611045.13000001</v>
      </c>
      <c r="R15" s="28">
        <f t="shared" si="7"/>
        <v>83600165.599999994</v>
      </c>
      <c r="S15" s="28">
        <f t="shared" si="7"/>
        <v>0</v>
      </c>
      <c r="T15" s="28">
        <f t="shared" si="7"/>
        <v>0</v>
      </c>
      <c r="U15" s="28">
        <f t="shared" si="7"/>
        <v>5869478</v>
      </c>
      <c r="V15" s="28">
        <f t="shared" si="7"/>
        <v>0</v>
      </c>
      <c r="W15" s="28">
        <f t="shared" si="7"/>
        <v>0</v>
      </c>
      <c r="X15" s="28">
        <f t="shared" si="7"/>
        <v>0</v>
      </c>
      <c r="Y15" s="28">
        <f t="shared" si="7"/>
        <v>12046824.75</v>
      </c>
      <c r="Z15" s="28">
        <f t="shared" si="7"/>
        <v>0</v>
      </c>
      <c r="AA15" s="28">
        <f t="shared" si="7"/>
        <v>0</v>
      </c>
      <c r="AB15" s="28">
        <f t="shared" si="7"/>
        <v>0</v>
      </c>
      <c r="AC15" s="28">
        <f t="shared" si="7"/>
        <v>8254042.6900000004</v>
      </c>
      <c r="AD15" s="28">
        <f t="shared" si="7"/>
        <v>0</v>
      </c>
      <c r="AE15" s="28">
        <f t="shared" si="7"/>
        <v>0</v>
      </c>
      <c r="AF15" s="28">
        <f t="shared" si="7"/>
        <v>0</v>
      </c>
      <c r="AG15" s="28">
        <f t="shared" si="7"/>
        <v>2922096.12</v>
      </c>
      <c r="AH15" s="28">
        <f t="shared" si="7"/>
        <v>0</v>
      </c>
      <c r="AI15" s="28">
        <f t="shared" si="7"/>
        <v>0</v>
      </c>
      <c r="AJ15" s="28">
        <f t="shared" si="7"/>
        <v>0</v>
      </c>
      <c r="AK15" s="28">
        <f t="shared" si="7"/>
        <v>0</v>
      </c>
      <c r="AL15" s="28">
        <f t="shared" si="7"/>
        <v>0</v>
      </c>
      <c r="AM15" s="28">
        <f t="shared" si="7"/>
        <v>0</v>
      </c>
      <c r="AN15" s="28">
        <f t="shared" si="7"/>
        <v>0</v>
      </c>
      <c r="AO15" s="28">
        <f t="shared" si="7"/>
        <v>0</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22768907.489605837</v>
      </c>
      <c r="C16" s="26">
        <f t="shared" ref="C16:BN16" si="9">C15*C41</f>
        <v>13645489.857471572</v>
      </c>
      <c r="D16" s="26">
        <f t="shared" si="9"/>
        <v>4019356.3129938701</v>
      </c>
      <c r="E16" s="26">
        <f t="shared" si="9"/>
        <v>23989172.073443487</v>
      </c>
      <c r="F16" s="26">
        <f t="shared" si="9"/>
        <v>19223607.054940563</v>
      </c>
      <c r="G16" s="26">
        <f t="shared" si="9"/>
        <v>11649080.578092132</v>
      </c>
      <c r="H16" s="26">
        <f t="shared" si="9"/>
        <v>4108534.3636753405</v>
      </c>
      <c r="I16" s="26">
        <f t="shared" si="9"/>
        <v>22530088.237473443</v>
      </c>
      <c r="J16" s="26">
        <f t="shared" si="9"/>
        <v>18036082.292012833</v>
      </c>
      <c r="K16" s="26">
        <f t="shared" si="9"/>
        <v>9597304.1218164992</v>
      </c>
      <c r="L16" s="26">
        <f t="shared" si="9"/>
        <v>2215388.1469724546</v>
      </c>
      <c r="M16" s="26">
        <f t="shared" si="9"/>
        <v>21374953.162227344</v>
      </c>
      <c r="N16" s="26">
        <f t="shared" si="9"/>
        <v>16307457.859068474</v>
      </c>
      <c r="O16" s="26">
        <f t="shared" si="9"/>
        <v>18675298.829105005</v>
      </c>
      <c r="P16" s="26">
        <f t="shared" si="9"/>
        <v>18560838.823803004</v>
      </c>
      <c r="Q16" s="26">
        <f t="shared" si="9"/>
        <v>18040363.5542695</v>
      </c>
      <c r="R16" s="26">
        <f t="shared" si="9"/>
        <v>14505027.34197516</v>
      </c>
      <c r="S16" s="26" t="e">
        <f t="shared" si="9"/>
        <v>#DIV/0!</v>
      </c>
      <c r="T16" s="26">
        <f t="shared" si="9"/>
        <v>0</v>
      </c>
      <c r="U16" s="26">
        <f t="shared" si="9"/>
        <v>20523641.3124847</v>
      </c>
      <c r="V16" s="26">
        <f t="shared" si="9"/>
        <v>0</v>
      </c>
      <c r="W16" s="26">
        <f t="shared" si="9"/>
        <v>0</v>
      </c>
      <c r="X16" s="26">
        <f t="shared" si="9"/>
        <v>0</v>
      </c>
      <c r="Y16" s="26">
        <f t="shared" si="9"/>
        <v>50909564.781897604</v>
      </c>
      <c r="Z16" s="26">
        <f t="shared" si="9"/>
        <v>0</v>
      </c>
      <c r="AA16" s="26">
        <f t="shared" si="9"/>
        <v>0</v>
      </c>
      <c r="AB16" s="26">
        <f t="shared" si="9"/>
        <v>0</v>
      </c>
      <c r="AC16" s="26">
        <f t="shared" si="9"/>
        <v>35825178.646625601</v>
      </c>
      <c r="AD16" s="26">
        <f t="shared" si="9"/>
        <v>0</v>
      </c>
      <c r="AE16" s="26">
        <f t="shared" si="9"/>
        <v>0</v>
      </c>
      <c r="AF16" s="26">
        <f t="shared" si="9"/>
        <v>0</v>
      </c>
      <c r="AG16" s="26">
        <f t="shared" si="9"/>
        <v>22501764.044137053</v>
      </c>
      <c r="AH16" s="26">
        <f t="shared" si="9"/>
        <v>0</v>
      </c>
      <c r="AI16" s="26">
        <f t="shared" si="9"/>
        <v>0</v>
      </c>
      <c r="AJ16" s="26">
        <f t="shared" si="9"/>
        <v>0</v>
      </c>
      <c r="AK16" s="26">
        <f t="shared" si="9"/>
        <v>0</v>
      </c>
      <c r="AL16" s="26">
        <f t="shared" si="9"/>
        <v>0</v>
      </c>
      <c r="AM16" s="26">
        <f t="shared" si="9"/>
        <v>0</v>
      </c>
      <c r="AN16" s="26">
        <f t="shared" si="9"/>
        <v>0</v>
      </c>
      <c r="AO16" s="26">
        <f t="shared" si="9"/>
        <v>0</v>
      </c>
      <c r="AP16" s="26">
        <f t="shared" si="9"/>
        <v>0</v>
      </c>
      <c r="AQ16" s="26">
        <f t="shared" si="9"/>
        <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176578366.41039416</v>
      </c>
      <c r="C17" s="27">
        <f t="shared" ref="C17:BN17" si="11">C15-C16</f>
        <v>68779259.632528424</v>
      </c>
      <c r="D17" s="27">
        <f t="shared" si="11"/>
        <v>11443827.797006138</v>
      </c>
      <c r="E17" s="27">
        <f t="shared" si="11"/>
        <v>131862245.31655653</v>
      </c>
      <c r="F17" s="27">
        <f t="shared" si="11"/>
        <v>99155553.065059483</v>
      </c>
      <c r="G17" s="27">
        <f t="shared" si="11"/>
        <v>54064735.591907874</v>
      </c>
      <c r="H17" s="27">
        <f t="shared" si="11"/>
        <v>16486232.646324649</v>
      </c>
      <c r="I17" s="27">
        <f t="shared" si="11"/>
        <v>130251681.47252651</v>
      </c>
      <c r="J17" s="27">
        <f t="shared" si="11"/>
        <v>96104716.657987207</v>
      </c>
      <c r="K17" s="27">
        <f t="shared" si="11"/>
        <v>49896706.918183491</v>
      </c>
      <c r="L17" s="27">
        <f t="shared" si="11"/>
        <v>9641952.0730275512</v>
      </c>
      <c r="M17" s="27">
        <f t="shared" si="11"/>
        <v>117478001.56777264</v>
      </c>
      <c r="N17" s="27">
        <f t="shared" si="11"/>
        <v>82319387.510931507</v>
      </c>
      <c r="O17" s="27">
        <f t="shared" si="11"/>
        <v>103006179.04089503</v>
      </c>
      <c r="P17" s="27">
        <f t="shared" si="11"/>
        <v>93171734.136197031</v>
      </c>
      <c r="Q17" s="27">
        <f t="shared" si="11"/>
        <v>78570681.575730503</v>
      </c>
      <c r="R17" s="27">
        <f t="shared" si="11"/>
        <v>69095138.258024842</v>
      </c>
      <c r="S17" s="27" t="e">
        <f t="shared" si="11"/>
        <v>#DIV/0!</v>
      </c>
      <c r="T17" s="27">
        <f t="shared" si="11"/>
        <v>0</v>
      </c>
      <c r="U17" s="27">
        <f t="shared" si="11"/>
        <v>-14654163.3124847</v>
      </c>
      <c r="V17" s="27">
        <f t="shared" si="11"/>
        <v>0</v>
      </c>
      <c r="W17" s="27">
        <f t="shared" si="11"/>
        <v>0</v>
      </c>
      <c r="X17" s="27">
        <f t="shared" si="11"/>
        <v>0</v>
      </c>
      <c r="Y17" s="27">
        <f t="shared" si="11"/>
        <v>-38862740.031897604</v>
      </c>
      <c r="Z17" s="27">
        <f t="shared" si="11"/>
        <v>0</v>
      </c>
      <c r="AA17" s="27">
        <f t="shared" si="11"/>
        <v>0</v>
      </c>
      <c r="AB17" s="27">
        <f t="shared" si="11"/>
        <v>0</v>
      </c>
      <c r="AC17" s="27">
        <f t="shared" si="11"/>
        <v>-27571135.956625599</v>
      </c>
      <c r="AD17" s="27">
        <f t="shared" si="11"/>
        <v>0</v>
      </c>
      <c r="AE17" s="27">
        <f t="shared" si="11"/>
        <v>0</v>
      </c>
      <c r="AF17" s="27">
        <f t="shared" si="11"/>
        <v>0</v>
      </c>
      <c r="AG17" s="27">
        <f t="shared" si="11"/>
        <v>-19579667.924137052</v>
      </c>
      <c r="AH17" s="27">
        <f t="shared" si="11"/>
        <v>0</v>
      </c>
      <c r="AI17" s="27">
        <f t="shared" si="11"/>
        <v>0</v>
      </c>
      <c r="AJ17" s="27">
        <f t="shared" si="11"/>
        <v>0</v>
      </c>
      <c r="AK17" s="27">
        <f t="shared" si="11"/>
        <v>0</v>
      </c>
      <c r="AL17" s="27">
        <f t="shared" si="11"/>
        <v>0</v>
      </c>
      <c r="AM17" s="27">
        <f t="shared" si="11"/>
        <v>0</v>
      </c>
      <c r="AN17" s="27">
        <f t="shared" si="11"/>
        <v>0</v>
      </c>
      <c r="AO17" s="27">
        <f t="shared" si="11"/>
        <v>0</v>
      </c>
      <c r="AP17" s="27">
        <f t="shared" si="11"/>
        <v>0</v>
      </c>
      <c r="AQ17" s="27">
        <f t="shared" si="11"/>
        <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28.178173657158045</v>
      </c>
      <c r="C18" s="57">
        <f t="shared" ref="C18:D18" si="13">C17/C4*100</f>
        <v>17.50660172295769</v>
      </c>
      <c r="D18" s="57">
        <f t="shared" si="13"/>
        <v>6.6397030532500345</v>
      </c>
      <c r="E18" s="57">
        <f>E17/E4</f>
        <v>0.17525343041100466</v>
      </c>
      <c r="F18" s="57">
        <f t="shared" ref="F18:BQ18" si="14">F17/F4</f>
        <v>0.18859006447882054</v>
      </c>
      <c r="G18" s="57">
        <f t="shared" si="14"/>
        <v>0.15912122018235611</v>
      </c>
      <c r="H18" s="57">
        <f t="shared" si="14"/>
        <v>0.10726186590807094</v>
      </c>
      <c r="I18" s="57">
        <f t="shared" si="14"/>
        <v>0.19586382616854753</v>
      </c>
      <c r="J18" s="57">
        <f t="shared" si="14"/>
        <v>0.21168070459101931</v>
      </c>
      <c r="K18" s="57">
        <f t="shared" si="14"/>
        <v>0.17615327688498408</v>
      </c>
      <c r="L18" s="57">
        <f t="shared" si="14"/>
        <v>7.7568330473247057E-2</v>
      </c>
      <c r="M18" s="57">
        <f t="shared" si="14"/>
        <v>0.19676808984178054</v>
      </c>
      <c r="N18" s="57">
        <f t="shared" si="14"/>
        <v>0.2010362567661749</v>
      </c>
      <c r="O18" s="57">
        <f t="shared" si="14"/>
        <v>0.19478875442815524</v>
      </c>
      <c r="P18" s="57">
        <f t="shared" si="14"/>
        <v>0.19214313898353419</v>
      </c>
      <c r="Q18" s="57">
        <f t="shared" si="14"/>
        <v>0.1986145470454749</v>
      </c>
      <c r="R18" s="57">
        <f t="shared" si="14"/>
        <v>0.21804035417062992</v>
      </c>
      <c r="S18" s="57" t="e">
        <f t="shared" si="14"/>
        <v>#DIV/0!</v>
      </c>
      <c r="T18" s="57" t="e">
        <f t="shared" si="14"/>
        <v>#DIV/0!</v>
      </c>
      <c r="U18" s="57" t="e">
        <f t="shared" si="14"/>
        <v>#DIV/0!</v>
      </c>
      <c r="V18" s="57" t="e">
        <f t="shared" si="14"/>
        <v>#DIV/0!</v>
      </c>
      <c r="W18" s="57" t="e">
        <f t="shared" si="14"/>
        <v>#DIV/0!</v>
      </c>
      <c r="X18" s="57" t="e">
        <f t="shared" si="14"/>
        <v>#DIV/0!</v>
      </c>
      <c r="Y18" s="57" t="e">
        <f t="shared" si="14"/>
        <v>#DIV/0!</v>
      </c>
      <c r="Z18" s="57" t="e">
        <f t="shared" si="14"/>
        <v>#DIV/0!</v>
      </c>
      <c r="AA18" s="57" t="e">
        <f t="shared" si="14"/>
        <v>#DIV/0!</v>
      </c>
      <c r="AB18" s="57" t="e">
        <f t="shared" si="14"/>
        <v>#DIV/0!</v>
      </c>
      <c r="AC18" s="57" t="e">
        <f t="shared" si="14"/>
        <v>#DIV/0!</v>
      </c>
      <c r="AD18" s="57" t="e">
        <f t="shared" si="14"/>
        <v>#DIV/0!</v>
      </c>
      <c r="AE18" s="57" t="e">
        <f t="shared" si="14"/>
        <v>#DIV/0!</v>
      </c>
      <c r="AF18" s="57" t="e">
        <f t="shared" si="14"/>
        <v>#DIV/0!</v>
      </c>
      <c r="AG18" s="57" t="e">
        <f t="shared" si="14"/>
        <v>#DIV/0!</v>
      </c>
      <c r="AH18" s="57" t="e">
        <f t="shared" si="14"/>
        <v>#DIV/0!</v>
      </c>
      <c r="AI18" s="57" t="e">
        <f t="shared" si="14"/>
        <v>#DIV/0!</v>
      </c>
      <c r="AJ18" s="57" t="e">
        <f t="shared" si="14"/>
        <v>#DIV/0!</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0</v>
      </c>
      <c r="C20" s="188">
        <v>0</v>
      </c>
      <c r="D20" s="188">
        <v>0</v>
      </c>
      <c r="E20" s="188">
        <v>0</v>
      </c>
      <c r="F20" s="188">
        <v>0</v>
      </c>
      <c r="G20" s="188">
        <v>0</v>
      </c>
      <c r="H20" s="188">
        <v>0</v>
      </c>
      <c r="I20" s="188">
        <v>0</v>
      </c>
      <c r="J20" s="188">
        <v>0</v>
      </c>
      <c r="K20" s="188">
        <v>0</v>
      </c>
      <c r="L20" s="188">
        <v>0</v>
      </c>
      <c r="M20" s="188">
        <v>0</v>
      </c>
      <c r="N20" s="188">
        <v>0</v>
      </c>
      <c r="O20" s="188">
        <v>0</v>
      </c>
      <c r="P20" s="188">
        <v>0</v>
      </c>
      <c r="Q20" s="188">
        <v>0</v>
      </c>
      <c r="R20" s="188">
        <v>0</v>
      </c>
      <c r="S20" s="188">
        <v>0</v>
      </c>
      <c r="T20" s="188"/>
      <c r="U20" s="188"/>
      <c r="V20" s="188"/>
      <c r="W20" s="188"/>
      <c r="X20" s="188"/>
      <c r="Y20" s="188"/>
      <c r="Z20" s="188"/>
      <c r="AA20" s="188"/>
      <c r="AB20" s="188"/>
      <c r="AC20" s="188"/>
      <c r="AD20" s="188"/>
      <c r="AE20" s="188"/>
      <c r="AF20" s="188"/>
      <c r="AG20" s="188"/>
      <c r="AH20" s="188"/>
      <c r="AI20" s="188"/>
      <c r="AJ20" s="188"/>
      <c r="AK20" s="188"/>
      <c r="AL20" s="188"/>
      <c r="AM20" s="188"/>
      <c r="AN20" s="188"/>
      <c r="AO20" s="188"/>
      <c r="AP20" s="188"/>
      <c r="AQ20" s="188"/>
      <c r="AR20" s="188"/>
      <c r="AS20" s="188"/>
      <c r="AT20" s="188"/>
      <c r="AU20" s="188"/>
      <c r="AV20" s="188"/>
      <c r="AW20" s="188"/>
      <c r="AX20" s="188"/>
      <c r="AY20" s="188"/>
      <c r="AZ20" s="188"/>
      <c r="BA20" s="188"/>
      <c r="BB20" s="188"/>
      <c r="BC20" s="188"/>
      <c r="BD20" s="188"/>
      <c r="BE20" s="188"/>
      <c r="BF20" s="188"/>
      <c r="BG20" s="188"/>
      <c r="BH20" s="188"/>
      <c r="BI20" s="188"/>
      <c r="BJ20" s="188"/>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2171909.2799999998</v>
      </c>
      <c r="F23" s="29">
        <f t="shared" si="16"/>
        <v>34414</v>
      </c>
      <c r="G23" s="29">
        <f t="shared" si="16"/>
        <v>23309</v>
      </c>
      <c r="H23" s="29">
        <f t="shared" si="16"/>
        <v>16814</v>
      </c>
      <c r="I23" s="29">
        <f t="shared" si="16"/>
        <v>1346323.28</v>
      </c>
      <c r="J23" s="29">
        <f t="shared" si="16"/>
        <v>0</v>
      </c>
      <c r="K23" s="29">
        <f t="shared" si="16"/>
        <v>0</v>
      </c>
      <c r="L23" s="29">
        <f t="shared" si="16"/>
        <v>0</v>
      </c>
      <c r="M23" s="29">
        <f t="shared" si="16"/>
        <v>1106591.44</v>
      </c>
      <c r="N23" s="29">
        <f t="shared" si="16"/>
        <v>0</v>
      </c>
      <c r="O23" s="29">
        <f t="shared" si="16"/>
        <v>0</v>
      </c>
      <c r="P23" s="29">
        <f t="shared" si="16"/>
        <v>0</v>
      </c>
      <c r="Q23" s="29">
        <f t="shared" si="16"/>
        <v>0</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10097461.369999999</v>
      </c>
      <c r="C24" s="26">
        <f t="shared" ref="C24:BN24" si="18">C67</f>
        <v>6298289.5899999999</v>
      </c>
      <c r="D24" s="26">
        <f t="shared" si="18"/>
        <v>4090676.54</v>
      </c>
      <c r="E24" s="26">
        <f>E67</f>
        <v>8230887.71</v>
      </c>
      <c r="F24" s="26">
        <f t="shared" si="18"/>
        <v>5563118.3600000003</v>
      </c>
      <c r="G24" s="26">
        <f t="shared" si="18"/>
        <v>2828229.63</v>
      </c>
      <c r="H24" s="26">
        <f t="shared" si="18"/>
        <v>741331</v>
      </c>
      <c r="I24" s="26">
        <f t="shared" si="18"/>
        <v>336511.65</v>
      </c>
      <c r="J24" s="26">
        <f t="shared" si="18"/>
        <v>95728.77</v>
      </c>
      <c r="K24" s="26">
        <f t="shared" si="18"/>
        <v>59769.87</v>
      </c>
      <c r="L24" s="26">
        <f t="shared" si="18"/>
        <v>0</v>
      </c>
      <c r="M24" s="26">
        <f t="shared" si="18"/>
        <v>0</v>
      </c>
      <c r="N24" s="26">
        <f t="shared" si="18"/>
        <v>107261.55</v>
      </c>
      <c r="O24" s="26">
        <f t="shared" si="18"/>
        <v>0</v>
      </c>
      <c r="P24" s="26">
        <f t="shared" si="18"/>
        <v>0</v>
      </c>
      <c r="Q24" s="26">
        <f t="shared" si="18"/>
        <v>0</v>
      </c>
      <c r="R24" s="26">
        <f t="shared" si="18"/>
        <v>0</v>
      </c>
      <c r="S24" s="26">
        <f t="shared" si="18"/>
        <v>0</v>
      </c>
      <c r="T24" s="26">
        <f t="shared" si="18"/>
        <v>0</v>
      </c>
      <c r="U24" s="26">
        <f t="shared" si="18"/>
        <v>3732421.22</v>
      </c>
      <c r="V24" s="26">
        <f t="shared" si="18"/>
        <v>3732421.22</v>
      </c>
      <c r="W24" s="26">
        <f t="shared" si="18"/>
        <v>3732421.22</v>
      </c>
      <c r="X24" s="26">
        <f t="shared" si="18"/>
        <v>0</v>
      </c>
      <c r="Y24" s="26">
        <f t="shared" si="18"/>
        <v>3403970.22</v>
      </c>
      <c r="Z24" s="26">
        <f t="shared" si="18"/>
        <v>-917593.17</v>
      </c>
      <c r="AA24" s="26">
        <f t="shared" si="18"/>
        <v>-984891.57</v>
      </c>
      <c r="AB24" s="26">
        <f t="shared" si="18"/>
        <v>-9791.5400000000009</v>
      </c>
      <c r="AC24" s="26">
        <f t="shared" si="18"/>
        <v>289920.28000000026</v>
      </c>
      <c r="AD24" s="26">
        <f t="shared" si="18"/>
        <v>285035.20000000019</v>
      </c>
      <c r="AE24" s="26">
        <f t="shared" si="18"/>
        <v>133008.76000000024</v>
      </c>
      <c r="AF24" s="26">
        <f t="shared" si="18"/>
        <v>9936.35</v>
      </c>
      <c r="AG24" s="26">
        <f t="shared" si="18"/>
        <v>832113.56999999983</v>
      </c>
      <c r="AH24" s="26">
        <f t="shared" si="18"/>
        <v>-3505725.42</v>
      </c>
      <c r="AI24" s="26">
        <f t="shared" si="18"/>
        <v>323694.87000000011</v>
      </c>
      <c r="AJ24" s="26">
        <f t="shared" si="18"/>
        <v>126698.54</v>
      </c>
      <c r="AK24" s="26">
        <f t="shared" si="18"/>
        <v>608552.98999999976</v>
      </c>
      <c r="AL24" s="26">
        <f t="shared" si="18"/>
        <v>31136.589999999851</v>
      </c>
      <c r="AM24" s="26">
        <f t="shared" si="18"/>
        <v>-2412569.77</v>
      </c>
      <c r="AN24" s="26">
        <f t="shared" si="18"/>
        <v>0</v>
      </c>
      <c r="AO24" s="26">
        <f t="shared" si="18"/>
        <v>1579121.31</v>
      </c>
      <c r="AP24" s="26">
        <f t="shared" si="18"/>
        <v>-929569.49</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-126.48</v>
      </c>
      <c r="F25" s="29">
        <f t="shared" si="20"/>
        <v>-2684</v>
      </c>
      <c r="G25" s="29">
        <f t="shared" si="20"/>
        <v>377</v>
      </c>
      <c r="H25" s="29">
        <f t="shared" si="20"/>
        <v>-1008</v>
      </c>
      <c r="I25" s="29">
        <f t="shared" si="20"/>
        <v>0</v>
      </c>
      <c r="J25" s="29">
        <f t="shared" si="20"/>
        <v>0</v>
      </c>
      <c r="K25" s="29">
        <f t="shared" si="20"/>
        <v>0</v>
      </c>
      <c r="L25" s="29">
        <f t="shared" si="20"/>
        <v>0</v>
      </c>
      <c r="M25" s="29">
        <f t="shared" si="20"/>
        <v>-451009.67</v>
      </c>
      <c r="N25" s="29">
        <f t="shared" si="20"/>
        <v>0</v>
      </c>
      <c r="O25" s="29">
        <f t="shared" si="20"/>
        <v>0</v>
      </c>
      <c r="P25" s="29">
        <f t="shared" si="20"/>
        <v>0</v>
      </c>
      <c r="Q25" s="29">
        <f t="shared" si="20"/>
        <v>0</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0</v>
      </c>
      <c r="C26" s="188">
        <v>0</v>
      </c>
      <c r="D26" s="188">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c r="U26" s="188"/>
      <c r="V26" s="188"/>
      <c r="W26" s="188"/>
      <c r="X26" s="188"/>
      <c r="Y26" s="188"/>
      <c r="Z26" s="188"/>
      <c r="AA26" s="188"/>
      <c r="AB26" s="188"/>
      <c r="AC26" s="188"/>
      <c r="AD26" s="188"/>
      <c r="AE26" s="188"/>
      <c r="AF26" s="188"/>
      <c r="AG26" s="188"/>
      <c r="AH26" s="188"/>
      <c r="AI26" s="188"/>
      <c r="AJ26" s="188"/>
      <c r="AK26" s="188"/>
      <c r="AL26" s="188"/>
      <c r="AM26" s="188"/>
      <c r="AN26" s="188"/>
      <c r="AO26" s="188"/>
      <c r="AP26" s="188"/>
      <c r="AQ26" s="188"/>
      <c r="AR26" s="188"/>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10119993.369999999</v>
      </c>
      <c r="C27" s="26">
        <f t="shared" ref="C27:BN27" si="22">SUM(C22:C26)</f>
        <v>6327431.5899999999</v>
      </c>
      <c r="D27" s="26">
        <f t="shared" si="22"/>
        <v>4126333.54</v>
      </c>
      <c r="E27" s="26">
        <f t="shared" si="22"/>
        <v>10402670.51</v>
      </c>
      <c r="F27" s="26">
        <f t="shared" si="22"/>
        <v>5594848.3600000003</v>
      </c>
      <c r="G27" s="26">
        <f t="shared" si="22"/>
        <v>2851915.63</v>
      </c>
      <c r="H27" s="26">
        <f t="shared" si="22"/>
        <v>757137</v>
      </c>
      <c r="I27" s="26">
        <f t="shared" si="22"/>
        <v>1682834.9300000002</v>
      </c>
      <c r="J27" s="26">
        <f t="shared" si="22"/>
        <v>95728.77</v>
      </c>
      <c r="K27" s="26">
        <f t="shared" si="22"/>
        <v>59769.87</v>
      </c>
      <c r="L27" s="26">
        <f t="shared" si="22"/>
        <v>0</v>
      </c>
      <c r="M27" s="26">
        <f t="shared" si="22"/>
        <v>655581.77</v>
      </c>
      <c r="N27" s="26">
        <f t="shared" si="22"/>
        <v>107261.55</v>
      </c>
      <c r="O27" s="26">
        <f t="shared" si="22"/>
        <v>0</v>
      </c>
      <c r="P27" s="26">
        <f t="shared" si="22"/>
        <v>0</v>
      </c>
      <c r="Q27" s="26">
        <f t="shared" si="22"/>
        <v>0</v>
      </c>
      <c r="R27" s="26">
        <f t="shared" si="22"/>
        <v>0</v>
      </c>
      <c r="S27" s="26">
        <f t="shared" si="22"/>
        <v>0</v>
      </c>
      <c r="T27" s="26">
        <f t="shared" si="22"/>
        <v>0</v>
      </c>
      <c r="U27" s="26">
        <f t="shared" si="22"/>
        <v>824960842.38</v>
      </c>
      <c r="V27" s="26">
        <f t="shared" si="22"/>
        <v>3732421.22</v>
      </c>
      <c r="W27" s="26">
        <f t="shared" si="22"/>
        <v>3732421.22</v>
      </c>
      <c r="X27" s="26">
        <f t="shared" si="22"/>
        <v>0</v>
      </c>
      <c r="Y27" s="26">
        <f t="shared" si="22"/>
        <v>781055242.67999995</v>
      </c>
      <c r="Z27" s="26">
        <f t="shared" si="22"/>
        <v>-917593.17</v>
      </c>
      <c r="AA27" s="26">
        <f t="shared" si="22"/>
        <v>-984891.57</v>
      </c>
      <c r="AB27" s="26">
        <f t="shared" si="22"/>
        <v>-9791.5400000000009</v>
      </c>
      <c r="AC27" s="26">
        <f t="shared" si="22"/>
        <v>469002107.94999999</v>
      </c>
      <c r="AD27" s="26">
        <f t="shared" si="22"/>
        <v>285035.20000000019</v>
      </c>
      <c r="AE27" s="26">
        <f t="shared" si="22"/>
        <v>133008.76000000024</v>
      </c>
      <c r="AF27" s="26">
        <f t="shared" si="22"/>
        <v>9936.35</v>
      </c>
      <c r="AG27" s="26">
        <f t="shared" si="22"/>
        <v>190380863.81999999</v>
      </c>
      <c r="AH27" s="26">
        <f t="shared" si="22"/>
        <v>-3505725.42</v>
      </c>
      <c r="AI27" s="26">
        <f t="shared" si="22"/>
        <v>323694.87000000011</v>
      </c>
      <c r="AJ27" s="26">
        <f t="shared" si="22"/>
        <v>126698.54</v>
      </c>
      <c r="AK27" s="26">
        <f t="shared" si="22"/>
        <v>608552.98999999976</v>
      </c>
      <c r="AL27" s="26">
        <f t="shared" si="22"/>
        <v>31136.589999999851</v>
      </c>
      <c r="AM27" s="26">
        <f t="shared" si="22"/>
        <v>-2412569.77</v>
      </c>
      <c r="AN27" s="26">
        <f t="shared" si="22"/>
        <v>0</v>
      </c>
      <c r="AO27" s="26">
        <f t="shared" si="22"/>
        <v>1579121.31</v>
      </c>
      <c r="AP27" s="26">
        <f t="shared" si="22"/>
        <v>-929569.49</v>
      </c>
      <c r="AQ27" s="26">
        <f t="shared" si="22"/>
        <v>-929569.49</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1155878.3239370619</v>
      </c>
      <c r="C28" s="26">
        <f t="shared" ref="C28:BN28" si="24">SUM(C22:C25)*C41</f>
        <v>1047511.8713665651</v>
      </c>
      <c r="D28" s="26">
        <f t="shared" si="24"/>
        <v>1072560.776974241</v>
      </c>
      <c r="E28" s="26">
        <f t="shared" si="24"/>
        <v>1601213.8809315586</v>
      </c>
      <c r="F28" s="26">
        <f t="shared" si="24"/>
        <v>908548.14559921552</v>
      </c>
      <c r="G28" s="26">
        <f t="shared" si="24"/>
        <v>505558.7532741272</v>
      </c>
      <c r="H28" s="26">
        <f t="shared" si="24"/>
        <v>151044.35903545856</v>
      </c>
      <c r="I28" s="26">
        <f t="shared" si="24"/>
        <v>248160.62501415607</v>
      </c>
      <c r="J28" s="26">
        <f t="shared" si="24"/>
        <v>15126.68554378617</v>
      </c>
      <c r="K28" s="26">
        <f t="shared" si="24"/>
        <v>9641.8044385301946</v>
      </c>
      <c r="L28" s="26">
        <f t="shared" si="24"/>
        <v>0</v>
      </c>
      <c r="M28" s="26">
        <f t="shared" si="24"/>
        <v>100919.92392245797</v>
      </c>
      <c r="N28" s="26">
        <f t="shared" si="24"/>
        <v>17735.163280964287</v>
      </c>
      <c r="O28" s="26">
        <f t="shared" si="24"/>
        <v>0</v>
      </c>
      <c r="P28" s="26">
        <f t="shared" si="24"/>
        <v>0</v>
      </c>
      <c r="Q28" s="26">
        <f t="shared" si="24"/>
        <v>0</v>
      </c>
      <c r="R28" s="26">
        <f t="shared" si="24"/>
        <v>0</v>
      </c>
      <c r="S28" s="26" t="e">
        <f t="shared" si="24"/>
        <v>#DIV/0!</v>
      </c>
      <c r="T28" s="26">
        <f t="shared" si="24"/>
        <v>0</v>
      </c>
      <c r="U28" s="26">
        <f t="shared" si="24"/>
        <v>2884617750.6504579</v>
      </c>
      <c r="V28" s="26">
        <f t="shared" si="24"/>
        <v>13698263.124861382</v>
      </c>
      <c r="W28" s="26">
        <f t="shared" si="24"/>
        <v>15527171.917019781</v>
      </c>
      <c r="X28" s="26">
        <f t="shared" si="24"/>
        <v>0</v>
      </c>
      <c r="Y28" s="26">
        <f t="shared" si="24"/>
        <v>3300718928.0692587</v>
      </c>
      <c r="Z28" s="26">
        <f t="shared" si="24"/>
        <v>-3853428.6784060374</v>
      </c>
      <c r="AA28" s="26">
        <f t="shared" si="24"/>
        <v>-4224095.0242003426</v>
      </c>
      <c r="AB28" s="26">
        <f t="shared" si="24"/>
        <v>-71017.252496084315</v>
      </c>
      <c r="AC28" s="26">
        <f t="shared" si="24"/>
        <v>2035618779.0631275</v>
      </c>
      <c r="AD28" s="26">
        <f t="shared" si="24"/>
        <v>1957135.5067337472</v>
      </c>
      <c r="AE28" s="26">
        <f t="shared" si="24"/>
        <v>800066.15917448141</v>
      </c>
      <c r="AF28" s="26">
        <f t="shared" si="24"/>
        <v>296517.75056036277</v>
      </c>
      <c r="AG28" s="26">
        <f t="shared" si="24"/>
        <v>1466038453.3129692</v>
      </c>
      <c r="AH28" s="26">
        <f t="shared" si="24"/>
        <v>-39500483.146621741</v>
      </c>
      <c r="AI28" s="26">
        <f t="shared" si="24"/>
        <v>3196164.8913151189</v>
      </c>
      <c r="AJ28" s="26">
        <f t="shared" si="24"/>
        <v>5318090.4260833068</v>
      </c>
      <c r="AK28" s="26">
        <f t="shared" si="24"/>
        <v>6281390.9500576658</v>
      </c>
      <c r="AL28" s="26">
        <f t="shared" si="24"/>
        <v>369093.85581323958</v>
      </c>
      <c r="AM28" s="26">
        <f t="shared" si="24"/>
        <v>-33941901.459973894</v>
      </c>
      <c r="AN28" s="26">
        <f t="shared" si="24"/>
        <v>0</v>
      </c>
      <c r="AO28" s="26">
        <f t="shared" si="24"/>
        <v>5566896.9748163112</v>
      </c>
      <c r="AP28" s="26">
        <f t="shared" si="24"/>
        <v>-5333672.0446992405</v>
      </c>
      <c r="AQ28" s="26">
        <f t="shared" si="24"/>
        <v>-5077628.757440364</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8964115.046062937</v>
      </c>
      <c r="C29" s="28">
        <f t="shared" ref="C29:BN29" si="26">C27-C28</f>
        <v>5279919.7186334347</v>
      </c>
      <c r="D29" s="28">
        <f t="shared" si="26"/>
        <v>3053772.7630257588</v>
      </c>
      <c r="E29" s="28">
        <f t="shared" si="26"/>
        <v>8801456.6290684417</v>
      </c>
      <c r="F29" s="28">
        <f t="shared" si="26"/>
        <v>4686300.214400785</v>
      </c>
      <c r="G29" s="28">
        <f t="shared" si="26"/>
        <v>2346356.8767258725</v>
      </c>
      <c r="H29" s="28">
        <f t="shared" si="26"/>
        <v>606092.64096454147</v>
      </c>
      <c r="I29" s="28">
        <f t="shared" si="26"/>
        <v>1434674.3049858441</v>
      </c>
      <c r="J29" s="28">
        <f t="shared" si="26"/>
        <v>80602.084456213837</v>
      </c>
      <c r="K29" s="28">
        <f t="shared" si="26"/>
        <v>50128.065561469804</v>
      </c>
      <c r="L29" s="28">
        <f t="shared" si="26"/>
        <v>0</v>
      </c>
      <c r="M29" s="28">
        <f t="shared" si="26"/>
        <v>554661.84607754205</v>
      </c>
      <c r="N29" s="28">
        <f t="shared" si="26"/>
        <v>89526.386719035712</v>
      </c>
      <c r="O29" s="28">
        <f t="shared" si="26"/>
        <v>0</v>
      </c>
      <c r="P29" s="28">
        <f t="shared" si="26"/>
        <v>0</v>
      </c>
      <c r="Q29" s="28">
        <f t="shared" si="26"/>
        <v>0</v>
      </c>
      <c r="R29" s="28">
        <f t="shared" si="26"/>
        <v>0</v>
      </c>
      <c r="S29" s="28" t="e">
        <f t="shared" si="26"/>
        <v>#DIV/0!</v>
      </c>
      <c r="T29" s="28">
        <f t="shared" si="26"/>
        <v>0</v>
      </c>
      <c r="U29" s="28">
        <f t="shared" si="26"/>
        <v>-2059656908.2704577</v>
      </c>
      <c r="V29" s="28">
        <f t="shared" si="26"/>
        <v>-9965841.9048613813</v>
      </c>
      <c r="W29" s="28">
        <f t="shared" si="26"/>
        <v>-11794750.69701978</v>
      </c>
      <c r="X29" s="28">
        <f t="shared" si="26"/>
        <v>0</v>
      </c>
      <c r="Y29" s="28">
        <f t="shared" si="26"/>
        <v>-2519663685.3892589</v>
      </c>
      <c r="Z29" s="28">
        <f t="shared" si="26"/>
        <v>2935835.5084060375</v>
      </c>
      <c r="AA29" s="28">
        <f t="shared" si="26"/>
        <v>3239203.4542003428</v>
      </c>
      <c r="AB29" s="28">
        <f t="shared" si="26"/>
        <v>61225.712496084314</v>
      </c>
      <c r="AC29" s="28">
        <f t="shared" si="26"/>
        <v>-1566616671.1131275</v>
      </c>
      <c r="AD29" s="28">
        <f t="shared" si="26"/>
        <v>-1672100.306733747</v>
      </c>
      <c r="AE29" s="28">
        <f t="shared" si="26"/>
        <v>-667057.39917448116</v>
      </c>
      <c r="AF29" s="28">
        <f t="shared" si="26"/>
        <v>-286581.40056036279</v>
      </c>
      <c r="AG29" s="28">
        <f t="shared" si="26"/>
        <v>-1275657589.4929693</v>
      </c>
      <c r="AH29" s="28">
        <f t="shared" si="26"/>
        <v>35994757.72662174</v>
      </c>
      <c r="AI29" s="28">
        <f t="shared" si="26"/>
        <v>-2872470.0213151188</v>
      </c>
      <c r="AJ29" s="28">
        <f t="shared" si="26"/>
        <v>-5191391.8860833067</v>
      </c>
      <c r="AK29" s="28">
        <f t="shared" si="26"/>
        <v>-5672837.9600576665</v>
      </c>
      <c r="AL29" s="28">
        <f t="shared" si="26"/>
        <v>-337957.26581323973</v>
      </c>
      <c r="AM29" s="28">
        <f t="shared" si="26"/>
        <v>31529331.689973895</v>
      </c>
      <c r="AN29" s="28">
        <f t="shared" si="26"/>
        <v>0</v>
      </c>
      <c r="AO29" s="28">
        <f t="shared" si="26"/>
        <v>-3987775.6648163111</v>
      </c>
      <c r="AP29" s="28">
        <f t="shared" si="26"/>
        <v>4404102.5546992403</v>
      </c>
      <c r="AQ29" s="28">
        <f t="shared" si="26"/>
        <v>4148059.2674403638</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209467267.27000001</v>
      </c>
      <c r="C31" s="26">
        <f t="shared" ref="C31:BN31" si="28">C15+C20+C27</f>
        <v>88752181.079999998</v>
      </c>
      <c r="D31" s="26">
        <f t="shared" si="28"/>
        <v>19589517.650000006</v>
      </c>
      <c r="E31" s="26">
        <f t="shared" si="28"/>
        <v>166254087.90000001</v>
      </c>
      <c r="F31" s="26">
        <f t="shared" si="28"/>
        <v>123974008.48000005</v>
      </c>
      <c r="G31" s="26">
        <f t="shared" si="28"/>
        <v>68565731.800000012</v>
      </c>
      <c r="H31" s="26">
        <f t="shared" si="28"/>
        <v>21351904.00999999</v>
      </c>
      <c r="I31" s="26">
        <f t="shared" si="28"/>
        <v>154464604.63999996</v>
      </c>
      <c r="J31" s="26">
        <f t="shared" si="28"/>
        <v>114236527.72000003</v>
      </c>
      <c r="K31" s="26">
        <f t="shared" si="28"/>
        <v>59553780.909999989</v>
      </c>
      <c r="L31" s="26">
        <f t="shared" si="28"/>
        <v>11857340.220000006</v>
      </c>
      <c r="M31" s="26">
        <f t="shared" si="28"/>
        <v>139508536.5</v>
      </c>
      <c r="N31" s="26">
        <f t="shared" si="28"/>
        <v>98734106.919999972</v>
      </c>
      <c r="O31" s="26">
        <f t="shared" si="28"/>
        <v>121681477.87000003</v>
      </c>
      <c r="P31" s="26">
        <f t="shared" si="28"/>
        <v>111732572.96000004</v>
      </c>
      <c r="Q31" s="26">
        <f t="shared" si="28"/>
        <v>96611045.13000001</v>
      </c>
      <c r="R31" s="26">
        <f t="shared" si="28"/>
        <v>83600165.599999994</v>
      </c>
      <c r="S31" s="26">
        <f t="shared" si="28"/>
        <v>0</v>
      </c>
      <c r="T31" s="26">
        <f t="shared" si="28"/>
        <v>0</v>
      </c>
      <c r="U31" s="26">
        <f t="shared" si="28"/>
        <v>830830320.38</v>
      </c>
      <c r="V31" s="26">
        <f t="shared" si="28"/>
        <v>3732421.22</v>
      </c>
      <c r="W31" s="26">
        <f t="shared" si="28"/>
        <v>3732421.22</v>
      </c>
      <c r="X31" s="26">
        <f t="shared" si="28"/>
        <v>0</v>
      </c>
      <c r="Y31" s="26">
        <f t="shared" si="28"/>
        <v>793102067.42999995</v>
      </c>
      <c r="Z31" s="26">
        <f t="shared" si="28"/>
        <v>-917593.17</v>
      </c>
      <c r="AA31" s="26">
        <f t="shared" si="28"/>
        <v>-984891.57</v>
      </c>
      <c r="AB31" s="26">
        <f t="shared" si="28"/>
        <v>-9791.5400000000009</v>
      </c>
      <c r="AC31" s="26">
        <f t="shared" si="28"/>
        <v>477256150.63999999</v>
      </c>
      <c r="AD31" s="26">
        <f t="shared" si="28"/>
        <v>285035.20000000019</v>
      </c>
      <c r="AE31" s="26">
        <f t="shared" si="28"/>
        <v>133008.76000000024</v>
      </c>
      <c r="AF31" s="26">
        <f t="shared" si="28"/>
        <v>9936.35</v>
      </c>
      <c r="AG31" s="26">
        <f t="shared" si="28"/>
        <v>193302959.94</v>
      </c>
      <c r="AH31" s="26">
        <f t="shared" si="28"/>
        <v>-3505725.42</v>
      </c>
      <c r="AI31" s="26">
        <f t="shared" si="28"/>
        <v>323694.87000000011</v>
      </c>
      <c r="AJ31" s="26">
        <f t="shared" si="28"/>
        <v>126698.54</v>
      </c>
      <c r="AK31" s="26">
        <f t="shared" si="28"/>
        <v>608552.98999999976</v>
      </c>
      <c r="AL31" s="26">
        <f t="shared" si="28"/>
        <v>31136.589999999851</v>
      </c>
      <c r="AM31" s="26">
        <f t="shared" si="28"/>
        <v>-2412569.77</v>
      </c>
      <c r="AN31" s="26">
        <f t="shared" si="28"/>
        <v>0</v>
      </c>
      <c r="AO31" s="26">
        <f t="shared" si="28"/>
        <v>1579121.31</v>
      </c>
      <c r="AP31" s="26">
        <f t="shared" si="28"/>
        <v>-929569.49</v>
      </c>
      <c r="AQ31" s="26">
        <f t="shared" si="28"/>
        <v>-929569.49</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33.426546822311963</v>
      </c>
      <c r="C32" s="57">
        <f t="shared" ref="C32:D32" si="30">C31/C4*100</f>
        <v>22.590372366796338</v>
      </c>
      <c r="D32" s="57">
        <f t="shared" si="30"/>
        <v>11.365828152921717</v>
      </c>
      <c r="E32" s="57">
        <f>E31/E4</f>
        <v>0.22096240780960927</v>
      </c>
      <c r="F32" s="57">
        <f t="shared" ref="F32:BQ32" si="31">F31/F4</f>
        <v>0.2357938161829467</v>
      </c>
      <c r="G32" s="57">
        <f t="shared" si="31"/>
        <v>0.20179998639159474</v>
      </c>
      <c r="H32" s="57">
        <f t="shared" si="31"/>
        <v>0.13891864284186209</v>
      </c>
      <c r="I32" s="57">
        <f t="shared" si="31"/>
        <v>0.23227361159850929</v>
      </c>
      <c r="J32" s="57">
        <f t="shared" si="31"/>
        <v>0.25161791760811975</v>
      </c>
      <c r="K32" s="57">
        <f t="shared" si="31"/>
        <v>0.21024621274883967</v>
      </c>
      <c r="L32" s="57">
        <f t="shared" si="31"/>
        <v>9.5390858381427704E-2</v>
      </c>
      <c r="M32" s="57">
        <f t="shared" si="31"/>
        <v>0.23366781761171718</v>
      </c>
      <c r="N32" s="57">
        <f t="shared" si="31"/>
        <v>0.2411234567034678</v>
      </c>
      <c r="O32" s="57">
        <f t="shared" si="31"/>
        <v>0.23010448239094775</v>
      </c>
      <c r="P32" s="57">
        <f t="shared" si="31"/>
        <v>0.23042017511296525</v>
      </c>
      <c r="Q32" s="57">
        <f t="shared" si="31"/>
        <v>0.24421779960748016</v>
      </c>
      <c r="R32" s="57">
        <f t="shared" si="31"/>
        <v>0.26381320271879261</v>
      </c>
      <c r="S32" s="57" t="e">
        <f t="shared" si="31"/>
        <v>#DIV/0!</v>
      </c>
      <c r="T32" s="57" t="e">
        <f t="shared" si="31"/>
        <v>#DIV/0!</v>
      </c>
      <c r="U32" s="57" t="e">
        <f t="shared" si="31"/>
        <v>#DIV/0!</v>
      </c>
      <c r="V32" s="57" t="e">
        <f t="shared" si="31"/>
        <v>#DIV/0!</v>
      </c>
      <c r="W32" s="57" t="e">
        <f t="shared" si="31"/>
        <v>#DIV/0!</v>
      </c>
      <c r="X32" s="57" t="e">
        <f t="shared" si="31"/>
        <v>#DIV/0!</v>
      </c>
      <c r="Y32" s="57" t="e">
        <f t="shared" si="31"/>
        <v>#DIV/0!</v>
      </c>
      <c r="Z32" s="57" t="e">
        <f t="shared" si="31"/>
        <v>#DIV/0!</v>
      </c>
      <c r="AA32" s="57" t="e">
        <f t="shared" si="31"/>
        <v>#DIV/0!</v>
      </c>
      <c r="AB32" s="57" t="e">
        <f t="shared" si="31"/>
        <v>#DIV/0!</v>
      </c>
      <c r="AC32" s="57" t="e">
        <f t="shared" si="31"/>
        <v>#DIV/0!</v>
      </c>
      <c r="AD32" s="57" t="e">
        <f t="shared" si="31"/>
        <v>#DIV/0!</v>
      </c>
      <c r="AE32" s="57" t="e">
        <f t="shared" si="31"/>
        <v>#DIV/0!</v>
      </c>
      <c r="AF32" s="57" t="e">
        <f t="shared" si="31"/>
        <v>#DIV/0!</v>
      </c>
      <c r="AG32" s="57" t="e">
        <f t="shared" si="31"/>
        <v>#DIV/0!</v>
      </c>
      <c r="AH32" s="57" t="e">
        <f t="shared" si="31"/>
        <v>#DIV/0!</v>
      </c>
      <c r="AI32" s="57" t="e">
        <f t="shared" si="31"/>
        <v>#DIV/0!</v>
      </c>
      <c r="AJ32" s="57" t="e">
        <f t="shared" si="31"/>
        <v>#DIV/0!</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185542481.45645711</v>
      </c>
      <c r="C33" s="26">
        <f t="shared" ref="C33:BN33" si="33">C17+C20+C29</f>
        <v>74059179.351161852</v>
      </c>
      <c r="D33" s="26">
        <f t="shared" si="33"/>
        <v>14497600.560031896</v>
      </c>
      <c r="E33" s="26">
        <f t="shared" si="33"/>
        <v>140663701.94562498</v>
      </c>
      <c r="F33" s="26">
        <f t="shared" si="33"/>
        <v>103841853.27946027</v>
      </c>
      <c r="G33" s="26">
        <f t="shared" si="33"/>
        <v>56411092.468633749</v>
      </c>
      <c r="H33" s="26">
        <f t="shared" si="33"/>
        <v>17092325.287289191</v>
      </c>
      <c r="I33" s="26">
        <f t="shared" si="33"/>
        <v>131686355.77751236</v>
      </c>
      <c r="J33" s="26">
        <f t="shared" si="33"/>
        <v>96185318.742443427</v>
      </c>
      <c r="K33" s="26">
        <f t="shared" si="33"/>
        <v>49946834.983744964</v>
      </c>
      <c r="L33" s="26">
        <f t="shared" si="33"/>
        <v>9641952.0730275512</v>
      </c>
      <c r="M33" s="26">
        <f t="shared" si="33"/>
        <v>118032663.41385019</v>
      </c>
      <c r="N33" s="26">
        <f t="shared" si="33"/>
        <v>82408913.89765054</v>
      </c>
      <c r="O33" s="26">
        <f t="shared" si="33"/>
        <v>103006179.04089503</v>
      </c>
      <c r="P33" s="26">
        <f t="shared" si="33"/>
        <v>93171734.136197031</v>
      </c>
      <c r="Q33" s="26">
        <f t="shared" si="33"/>
        <v>78570681.575730503</v>
      </c>
      <c r="R33" s="26">
        <f t="shared" si="33"/>
        <v>69095138.258024842</v>
      </c>
      <c r="S33" s="26" t="e">
        <f t="shared" si="33"/>
        <v>#DIV/0!</v>
      </c>
      <c r="T33" s="26">
        <f t="shared" si="33"/>
        <v>0</v>
      </c>
      <c r="U33" s="26">
        <f t="shared" si="33"/>
        <v>-2074311071.5829425</v>
      </c>
      <c r="V33" s="26">
        <f t="shared" si="33"/>
        <v>-9965841.9048613813</v>
      </c>
      <c r="W33" s="26">
        <f t="shared" si="33"/>
        <v>-11794750.69701978</v>
      </c>
      <c r="X33" s="26">
        <f t="shared" si="33"/>
        <v>0</v>
      </c>
      <c r="Y33" s="26">
        <f t="shared" si="33"/>
        <v>-2558526425.4211564</v>
      </c>
      <c r="Z33" s="26">
        <f t="shared" si="33"/>
        <v>2935835.5084060375</v>
      </c>
      <c r="AA33" s="26">
        <f t="shared" si="33"/>
        <v>3239203.4542003428</v>
      </c>
      <c r="AB33" s="26">
        <f t="shared" si="33"/>
        <v>61225.712496084314</v>
      </c>
      <c r="AC33" s="26">
        <f t="shared" si="33"/>
        <v>-1594187807.0697532</v>
      </c>
      <c r="AD33" s="26">
        <f t="shared" si="33"/>
        <v>-1672100.306733747</v>
      </c>
      <c r="AE33" s="26">
        <f t="shared" si="33"/>
        <v>-667057.39917448116</v>
      </c>
      <c r="AF33" s="26">
        <f t="shared" si="33"/>
        <v>-286581.40056036279</v>
      </c>
      <c r="AG33" s="26">
        <f t="shared" si="33"/>
        <v>-1295237257.4171064</v>
      </c>
      <c r="AH33" s="26">
        <f t="shared" si="33"/>
        <v>35994757.72662174</v>
      </c>
      <c r="AI33" s="26">
        <f t="shared" si="33"/>
        <v>-2872470.0213151188</v>
      </c>
      <c r="AJ33" s="26">
        <f t="shared" si="33"/>
        <v>-5191391.8860833067</v>
      </c>
      <c r="AK33" s="26">
        <f t="shared" si="33"/>
        <v>-5672837.9600576665</v>
      </c>
      <c r="AL33" s="26">
        <f t="shared" si="33"/>
        <v>-337957.26581323973</v>
      </c>
      <c r="AM33" s="26">
        <f t="shared" si="33"/>
        <v>31529331.689973895</v>
      </c>
      <c r="AN33" s="26">
        <f t="shared" si="33"/>
        <v>0</v>
      </c>
      <c r="AO33" s="26">
        <f t="shared" si="33"/>
        <v>-3987775.6648163111</v>
      </c>
      <c r="AP33" s="26">
        <f t="shared" si="33"/>
        <v>4404102.5546992403</v>
      </c>
      <c r="AQ33" s="26">
        <f t="shared" si="33"/>
        <v>4148059.2674403638</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29.608656878775598</v>
      </c>
      <c r="C34" s="57">
        <f t="shared" ref="C34:D34" si="35">C33/C4*100</f>
        <v>18.850516329441632</v>
      </c>
      <c r="D34" s="57">
        <f t="shared" si="35"/>
        <v>8.4115004534082605</v>
      </c>
      <c r="E34" s="57">
        <f>E33/E4</f>
        <v>0.18695113404979027</v>
      </c>
      <c r="F34" s="57">
        <f t="shared" ref="F34:BQ34" si="36">F33/F4</f>
        <v>0.19750322801108453</v>
      </c>
      <c r="G34" s="57">
        <f t="shared" si="36"/>
        <v>0.1660269261868402</v>
      </c>
      <c r="H34" s="57">
        <f t="shared" si="36"/>
        <v>0.11120519419766051</v>
      </c>
      <c r="I34" s="57">
        <f t="shared" si="36"/>
        <v>0.19802119408505692</v>
      </c>
      <c r="J34" s="57">
        <f t="shared" si="36"/>
        <v>0.21185823912441706</v>
      </c>
      <c r="K34" s="57">
        <f t="shared" si="36"/>
        <v>0.17633024694088451</v>
      </c>
      <c r="L34" s="57">
        <f t="shared" si="36"/>
        <v>7.7568330473247057E-2</v>
      </c>
      <c r="M34" s="57">
        <f t="shared" si="36"/>
        <v>0.19769711272695309</v>
      </c>
      <c r="N34" s="57">
        <f t="shared" si="36"/>
        <v>0.20125489359295409</v>
      </c>
      <c r="O34" s="57">
        <f t="shared" si="36"/>
        <v>0.19478875442815524</v>
      </c>
      <c r="P34" s="57">
        <f t="shared" si="36"/>
        <v>0.19214313898353419</v>
      </c>
      <c r="Q34" s="57">
        <f t="shared" si="36"/>
        <v>0.1986145470454749</v>
      </c>
      <c r="R34" s="57">
        <f t="shared" si="36"/>
        <v>0.21804035417062992</v>
      </c>
      <c r="S34" s="57" t="e">
        <f t="shared" si="36"/>
        <v>#DIV/0!</v>
      </c>
      <c r="T34" s="57" t="e">
        <f t="shared" si="36"/>
        <v>#DIV/0!</v>
      </c>
      <c r="U34" s="57" t="e">
        <f t="shared" si="36"/>
        <v>#DIV/0!</v>
      </c>
      <c r="V34" s="57" t="e">
        <f t="shared" si="36"/>
        <v>#DIV/0!</v>
      </c>
      <c r="W34" s="57" t="e">
        <f t="shared" si="36"/>
        <v>#DIV/0!</v>
      </c>
      <c r="X34" s="57" t="e">
        <f t="shared" si="36"/>
        <v>#DIV/0!</v>
      </c>
      <c r="Y34" s="57" t="e">
        <f t="shared" si="36"/>
        <v>#DIV/0!</v>
      </c>
      <c r="Z34" s="57" t="e">
        <f t="shared" si="36"/>
        <v>#DIV/0!</v>
      </c>
      <c r="AA34" s="57" t="e">
        <f t="shared" si="36"/>
        <v>#DIV/0!</v>
      </c>
      <c r="AB34" s="57" t="e">
        <f t="shared" si="36"/>
        <v>#DIV/0!</v>
      </c>
      <c r="AC34" s="57" t="e">
        <f t="shared" si="36"/>
        <v>#DIV/0!</v>
      </c>
      <c r="AD34" s="57" t="e">
        <f t="shared" si="36"/>
        <v>#DIV/0!</v>
      </c>
      <c r="AE34" s="57" t="e">
        <f t="shared" si="36"/>
        <v>#DIV/0!</v>
      </c>
      <c r="AF34" s="57" t="e">
        <f t="shared" si="36"/>
        <v>#DIV/0!</v>
      </c>
      <c r="AG34" s="57" t="e">
        <f t="shared" si="36"/>
        <v>#DIV/0!</v>
      </c>
      <c r="AH34" s="57" t="e">
        <f t="shared" si="36"/>
        <v>#DIV/0!</v>
      </c>
      <c r="AI34" s="57" t="e">
        <f t="shared" si="36"/>
        <v>#DIV/0!</v>
      </c>
      <c r="AJ34" s="57" t="e">
        <f t="shared" si="36"/>
        <v>#DIV/0!</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-1140949.8899999999</v>
      </c>
      <c r="C35" s="26">
        <f t="shared" ref="C35:BN35" si="38">C23+C68</f>
        <v>-851570.47</v>
      </c>
      <c r="D35" s="26">
        <f t="shared" si="38"/>
        <v>-594912.32999999996</v>
      </c>
      <c r="E35" s="26">
        <f t="shared" si="38"/>
        <v>737042.26999999979</v>
      </c>
      <c r="F35" s="26">
        <f t="shared" si="38"/>
        <v>-724508.69</v>
      </c>
      <c r="G35" s="26">
        <f t="shared" si="38"/>
        <v>-258037.90000000002</v>
      </c>
      <c r="H35" s="26">
        <f t="shared" si="38"/>
        <v>200165.79</v>
      </c>
      <c r="I35" s="26">
        <f t="shared" si="38"/>
        <v>5128401.12</v>
      </c>
      <c r="J35" s="26">
        <f t="shared" si="38"/>
        <v>3238675.13</v>
      </c>
      <c r="K35" s="26">
        <f t="shared" si="38"/>
        <v>1975386.39</v>
      </c>
      <c r="L35" s="26">
        <f t="shared" si="38"/>
        <v>993260.07</v>
      </c>
      <c r="M35" s="26">
        <f t="shared" si="38"/>
        <v>6249731.0500000007</v>
      </c>
      <c r="N35" s="26">
        <f t="shared" si="38"/>
        <v>4223801.82</v>
      </c>
      <c r="O35" s="26">
        <f t="shared" si="38"/>
        <v>9559356.6699999999</v>
      </c>
      <c r="P35" s="26">
        <f t="shared" si="38"/>
        <v>10976780</v>
      </c>
      <c r="Q35" s="26">
        <f t="shared" si="38"/>
        <v>-4194.4399999999996</v>
      </c>
      <c r="R35" s="26">
        <f t="shared" si="38"/>
        <v>-591674.91</v>
      </c>
      <c r="S35" s="26">
        <f t="shared" si="38"/>
        <v>0</v>
      </c>
      <c r="T35" s="26">
        <f t="shared" si="38"/>
        <v>-245115593.80000001</v>
      </c>
      <c r="U35" s="26">
        <f t="shared" si="38"/>
        <v>-5640409.4599999189</v>
      </c>
      <c r="V35" s="26">
        <f t="shared" si="38"/>
        <v>-659404182.44000006</v>
      </c>
      <c r="W35" s="26">
        <f t="shared" si="38"/>
        <v>-471944898.50999999</v>
      </c>
      <c r="X35" s="26">
        <f t="shared" si="38"/>
        <v>-238664090.94</v>
      </c>
      <c r="Y35" s="26">
        <f t="shared" si="38"/>
        <v>-12140144.040000081</v>
      </c>
      <c r="Z35" s="26">
        <f t="shared" si="38"/>
        <v>-620329449.92999995</v>
      </c>
      <c r="AA35" s="26">
        <f t="shared" si="38"/>
        <v>-400245467.81999999</v>
      </c>
      <c r="AB35" s="26">
        <f t="shared" si="38"/>
        <v>-142309808.88</v>
      </c>
      <c r="AC35" s="26">
        <f t="shared" si="38"/>
        <v>-7864055</v>
      </c>
      <c r="AD35" s="26">
        <f t="shared" si="38"/>
        <v>-235104521.34</v>
      </c>
      <c r="AE35" s="26">
        <f t="shared" si="38"/>
        <v>-187674784.06999999</v>
      </c>
      <c r="AF35" s="26">
        <f t="shared" si="38"/>
        <v>-23414404.640000001</v>
      </c>
      <c r="AG35" s="26">
        <f t="shared" si="38"/>
        <v>-2551228.5399999917</v>
      </c>
      <c r="AH35" s="26">
        <f t="shared" si="38"/>
        <v>-105230410.26000001</v>
      </c>
      <c r="AI35" s="26">
        <f t="shared" si="38"/>
        <v>-77281557.629999995</v>
      </c>
      <c r="AJ35" s="26">
        <f t="shared" si="38"/>
        <v>-11990167.300000001</v>
      </c>
      <c r="AK35" s="26">
        <f t="shared" si="38"/>
        <v>-109732181.41</v>
      </c>
      <c r="AL35" s="26">
        <f t="shared" si="38"/>
        <v>-66018480.219999999</v>
      </c>
      <c r="AM35" s="26">
        <f t="shared" si="38"/>
        <v>-40647909.57</v>
      </c>
      <c r="AN35" s="26">
        <f t="shared" si="38"/>
        <v>-10967664.689999999</v>
      </c>
      <c r="AO35" s="26">
        <f t="shared" si="38"/>
        <v>-159954267.43000001</v>
      </c>
      <c r="AP35" s="26">
        <f t="shared" si="38"/>
        <v>-87720223.980000004</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-130316.21645710377</v>
      </c>
      <c r="C36" s="26">
        <f t="shared" ref="C36:BN36" si="40">C35*C41</f>
        <v>-140978.24116186224</v>
      </c>
      <c r="D36" s="26">
        <f t="shared" si="40"/>
        <v>-154635.98003188954</v>
      </c>
      <c r="E36" s="26">
        <f t="shared" si="40"/>
        <v>113448.01437504198</v>
      </c>
      <c r="F36" s="26">
        <f t="shared" si="40"/>
        <v>-117653.05946022402</v>
      </c>
      <c r="G36" s="26">
        <f t="shared" si="40"/>
        <v>-45742.348633740585</v>
      </c>
      <c r="H36" s="26">
        <f t="shared" si="40"/>
        <v>39931.892710798973</v>
      </c>
      <c r="I36" s="26">
        <f t="shared" si="40"/>
        <v>756263.85248759843</v>
      </c>
      <c r="J36" s="26">
        <f t="shared" si="40"/>
        <v>511762.7675566164</v>
      </c>
      <c r="K36" s="26">
        <f t="shared" si="40"/>
        <v>318660.37625502842</v>
      </c>
      <c r="L36" s="26">
        <f t="shared" si="40"/>
        <v>185577.58697245418</v>
      </c>
      <c r="M36" s="26">
        <f t="shared" si="40"/>
        <v>962080.41614980134</v>
      </c>
      <c r="N36" s="26">
        <f t="shared" si="40"/>
        <v>698384.60234943579</v>
      </c>
      <c r="O36" s="26">
        <f t="shared" si="40"/>
        <v>1467140.6491050047</v>
      </c>
      <c r="P36" s="26">
        <f t="shared" si="40"/>
        <v>1823445.3838030032</v>
      </c>
      <c r="Q36" s="26">
        <f t="shared" si="40"/>
        <v>-783.23573049799336</v>
      </c>
      <c r="R36" s="26">
        <f t="shared" si="40"/>
        <v>-102658.41802484052</v>
      </c>
      <c r="S36" s="26" t="e">
        <f t="shared" si="40"/>
        <v>#DIV/0!</v>
      </c>
      <c r="T36" s="26">
        <f t="shared" si="40"/>
        <v>-932767728.71000004</v>
      </c>
      <c r="U36" s="26">
        <f t="shared" si="40"/>
        <v>-19722663.687057666</v>
      </c>
      <c r="V36" s="26">
        <f t="shared" si="40"/>
        <v>-2420062330.6651387</v>
      </c>
      <c r="W36" s="26">
        <f t="shared" si="40"/>
        <v>-1963328665.9229801</v>
      </c>
      <c r="X36" s="26">
        <f t="shared" si="40"/>
        <v>-1234975036.8900001</v>
      </c>
      <c r="Y36" s="26">
        <f t="shared" si="40"/>
        <v>-51303929.648843959</v>
      </c>
      <c r="Z36" s="26">
        <f t="shared" si="40"/>
        <v>-2605070929.6584058</v>
      </c>
      <c r="AA36" s="26">
        <f t="shared" si="40"/>
        <v>-1716610173.7242005</v>
      </c>
      <c r="AB36" s="26">
        <f t="shared" si="40"/>
        <v>-1032161603.782496</v>
      </c>
      <c r="AC36" s="26">
        <f t="shared" si="40"/>
        <v>-34132507.650246873</v>
      </c>
      <c r="AD36" s="26">
        <f t="shared" si="40"/>
        <v>-1614296783.3732665</v>
      </c>
      <c r="AE36" s="26">
        <f t="shared" si="40"/>
        <v>-1128889884.1308255</v>
      </c>
      <c r="AF36" s="26">
        <f t="shared" si="40"/>
        <v>-698726050.76943958</v>
      </c>
      <c r="AG36" s="26">
        <f t="shared" si="40"/>
        <v>-19645877.572893832</v>
      </c>
      <c r="AH36" s="26">
        <f t="shared" si="40"/>
        <v>-1185675302.2566216</v>
      </c>
      <c r="AI36" s="26">
        <f t="shared" si="40"/>
        <v>-763078516.63868487</v>
      </c>
      <c r="AJ36" s="26">
        <f t="shared" si="40"/>
        <v>-503279626.78391671</v>
      </c>
      <c r="AK36" s="26">
        <f t="shared" si="40"/>
        <v>-1132638804.7799425</v>
      </c>
      <c r="AL36" s="26">
        <f t="shared" si="40"/>
        <v>-782584586.79418671</v>
      </c>
      <c r="AM36" s="26">
        <f t="shared" si="40"/>
        <v>-571866297.22997391</v>
      </c>
      <c r="AN36" s="26">
        <f t="shared" si="40"/>
        <v>-391157082.13999999</v>
      </c>
      <c r="AO36" s="26">
        <f t="shared" si="40"/>
        <v>-563888867.70518363</v>
      </c>
      <c r="AP36" s="26">
        <f t="shared" si="40"/>
        <v>-503319989.98469925</v>
      </c>
      <c r="AQ36" s="26">
        <f t="shared" si="40"/>
        <v>-408638346.35744035</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-1010633.6735428962</v>
      </c>
      <c r="C37" s="26">
        <f t="shared" ref="C37:BN37" si="42">C35-C36</f>
        <v>-710592.2288381377</v>
      </c>
      <c r="D37" s="26">
        <f t="shared" si="42"/>
        <v>-440276.34996811044</v>
      </c>
      <c r="E37" s="26">
        <f t="shared" si="42"/>
        <v>623594.25562495785</v>
      </c>
      <c r="F37" s="26">
        <f t="shared" si="42"/>
        <v>-606855.63053977594</v>
      </c>
      <c r="G37" s="26">
        <f t="shared" si="42"/>
        <v>-212295.55136625943</v>
      </c>
      <c r="H37" s="26">
        <f t="shared" si="42"/>
        <v>160233.89728920104</v>
      </c>
      <c r="I37" s="26">
        <f t="shared" si="42"/>
        <v>4372137.2675124016</v>
      </c>
      <c r="J37" s="26">
        <f t="shared" si="42"/>
        <v>2726912.3624433833</v>
      </c>
      <c r="K37" s="26">
        <f t="shared" si="42"/>
        <v>1656726.0137449715</v>
      </c>
      <c r="L37" s="26">
        <f t="shared" si="42"/>
        <v>807682.48302754574</v>
      </c>
      <c r="M37" s="26">
        <f t="shared" si="42"/>
        <v>5287650.6338501992</v>
      </c>
      <c r="N37" s="26">
        <f t="shared" si="42"/>
        <v>3525417.2176505644</v>
      </c>
      <c r="O37" s="26">
        <f t="shared" si="42"/>
        <v>8092216.020894995</v>
      </c>
      <c r="P37" s="26">
        <f t="shared" si="42"/>
        <v>9153334.6161969975</v>
      </c>
      <c r="Q37" s="26">
        <f t="shared" si="42"/>
        <v>-3411.2042695020064</v>
      </c>
      <c r="R37" s="26">
        <f t="shared" si="42"/>
        <v>-489016.4919751595</v>
      </c>
      <c r="S37" s="26" t="e">
        <f t="shared" si="42"/>
        <v>#DIV/0!</v>
      </c>
      <c r="T37" s="26">
        <f t="shared" si="42"/>
        <v>687652134.91000009</v>
      </c>
      <c r="U37" s="26">
        <f t="shared" si="42"/>
        <v>14082254.227057748</v>
      </c>
      <c r="V37" s="26">
        <f t="shared" si="42"/>
        <v>1760658148.2251387</v>
      </c>
      <c r="W37" s="26">
        <f t="shared" si="42"/>
        <v>1491383767.4129801</v>
      </c>
      <c r="X37" s="26">
        <f t="shared" si="42"/>
        <v>996310945.95000005</v>
      </c>
      <c r="Y37" s="26">
        <f t="shared" si="42"/>
        <v>39163785.608843878</v>
      </c>
      <c r="Z37" s="26">
        <f t="shared" si="42"/>
        <v>1984741479.728406</v>
      </c>
      <c r="AA37" s="26">
        <f t="shared" si="42"/>
        <v>1316364705.9042006</v>
      </c>
      <c r="AB37" s="26">
        <f t="shared" si="42"/>
        <v>889851794.90249598</v>
      </c>
      <c r="AC37" s="26">
        <f t="shared" si="42"/>
        <v>26268452.650246873</v>
      </c>
      <c r="AD37" s="26">
        <f t="shared" si="42"/>
        <v>1379192262.0332665</v>
      </c>
      <c r="AE37" s="26">
        <f t="shared" si="42"/>
        <v>941215100.06082559</v>
      </c>
      <c r="AF37" s="26">
        <f t="shared" si="42"/>
        <v>675311646.12943959</v>
      </c>
      <c r="AG37" s="26">
        <f t="shared" si="42"/>
        <v>17094649.03289384</v>
      </c>
      <c r="AH37" s="26">
        <f t="shared" si="42"/>
        <v>1080444891.9966216</v>
      </c>
      <c r="AI37" s="26">
        <f t="shared" si="42"/>
        <v>685796959.00868487</v>
      </c>
      <c r="AJ37" s="26">
        <f t="shared" si="42"/>
        <v>491289459.4839167</v>
      </c>
      <c r="AK37" s="26">
        <f t="shared" si="42"/>
        <v>1022906623.3699425</v>
      </c>
      <c r="AL37" s="26">
        <f t="shared" si="42"/>
        <v>716566106.57418668</v>
      </c>
      <c r="AM37" s="26">
        <f t="shared" si="42"/>
        <v>531218387.65997392</v>
      </c>
      <c r="AN37" s="26">
        <f t="shared" si="42"/>
        <v>380189417.44999999</v>
      </c>
      <c r="AO37" s="26">
        <f t="shared" si="42"/>
        <v>403934600.27518362</v>
      </c>
      <c r="AP37" s="26">
        <f t="shared" si="42"/>
        <v>415599766.00469923</v>
      </c>
      <c r="AQ37" s="26">
        <f t="shared" si="42"/>
        <v>333828280.99744034</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210608217.16</v>
      </c>
      <c r="C38" s="28">
        <f t="shared" ref="C38:BN38" si="44">C31-C35</f>
        <v>89603751.549999997</v>
      </c>
      <c r="D38" s="28">
        <f t="shared" si="44"/>
        <v>20184429.980000004</v>
      </c>
      <c r="E38" s="28">
        <f t="shared" si="44"/>
        <v>165517045.63</v>
      </c>
      <c r="F38" s="28">
        <f t="shared" si="44"/>
        <v>124698517.17000005</v>
      </c>
      <c r="G38" s="28">
        <f t="shared" si="44"/>
        <v>68823769.700000018</v>
      </c>
      <c r="H38" s="28">
        <f t="shared" si="44"/>
        <v>21151738.219999991</v>
      </c>
      <c r="I38" s="28">
        <f t="shared" si="44"/>
        <v>149336203.51999995</v>
      </c>
      <c r="J38" s="28">
        <f t="shared" si="44"/>
        <v>110997852.59000003</v>
      </c>
      <c r="K38" s="28">
        <f t="shared" si="44"/>
        <v>57578394.519999988</v>
      </c>
      <c r="L38" s="28">
        <f t="shared" si="44"/>
        <v>10864080.150000006</v>
      </c>
      <c r="M38" s="28">
        <f t="shared" si="44"/>
        <v>133258805.45</v>
      </c>
      <c r="N38" s="28">
        <f t="shared" si="44"/>
        <v>94510305.099999964</v>
      </c>
      <c r="O38" s="28">
        <f t="shared" si="44"/>
        <v>112122121.20000003</v>
      </c>
      <c r="P38" s="28">
        <f t="shared" si="44"/>
        <v>100755792.96000004</v>
      </c>
      <c r="Q38" s="28">
        <f t="shared" si="44"/>
        <v>96615239.570000008</v>
      </c>
      <c r="R38" s="28">
        <f t="shared" si="44"/>
        <v>84191840.50999999</v>
      </c>
      <c r="S38" s="28">
        <f t="shared" si="44"/>
        <v>0</v>
      </c>
      <c r="T38" s="28">
        <f t="shared" si="44"/>
        <v>245115593.80000001</v>
      </c>
      <c r="U38" s="28">
        <f t="shared" si="44"/>
        <v>836470729.83999991</v>
      </c>
      <c r="V38" s="28">
        <f t="shared" si="44"/>
        <v>663136603.66000009</v>
      </c>
      <c r="W38" s="28">
        <f t="shared" si="44"/>
        <v>475677319.73000002</v>
      </c>
      <c r="X38" s="28">
        <f t="shared" si="44"/>
        <v>238664090.94</v>
      </c>
      <c r="Y38" s="28">
        <f t="shared" si="44"/>
        <v>805242211.47000003</v>
      </c>
      <c r="Z38" s="28">
        <f t="shared" si="44"/>
        <v>619411856.75999999</v>
      </c>
      <c r="AA38" s="28">
        <f t="shared" si="44"/>
        <v>399260576.25</v>
      </c>
      <c r="AB38" s="28">
        <f t="shared" si="44"/>
        <v>142300017.34</v>
      </c>
      <c r="AC38" s="28">
        <f t="shared" si="44"/>
        <v>485120205.63999999</v>
      </c>
      <c r="AD38" s="28">
        <f t="shared" si="44"/>
        <v>235389556.53999999</v>
      </c>
      <c r="AE38" s="28">
        <f t="shared" si="44"/>
        <v>187807792.82999998</v>
      </c>
      <c r="AF38" s="28">
        <f t="shared" si="44"/>
        <v>23424340.990000002</v>
      </c>
      <c r="AG38" s="28">
        <f t="shared" si="44"/>
        <v>195854188.47999999</v>
      </c>
      <c r="AH38" s="28">
        <f t="shared" si="44"/>
        <v>101724684.84</v>
      </c>
      <c r="AI38" s="28">
        <f t="shared" si="44"/>
        <v>77605252.5</v>
      </c>
      <c r="AJ38" s="28">
        <f t="shared" si="44"/>
        <v>12116865.84</v>
      </c>
      <c r="AK38" s="28">
        <f t="shared" si="44"/>
        <v>110340734.39999999</v>
      </c>
      <c r="AL38" s="28">
        <f t="shared" si="44"/>
        <v>66049616.810000002</v>
      </c>
      <c r="AM38" s="28">
        <f t="shared" si="44"/>
        <v>38235339.799999997</v>
      </c>
      <c r="AN38" s="28">
        <f t="shared" si="44"/>
        <v>10967664.689999999</v>
      </c>
      <c r="AO38" s="28">
        <f t="shared" si="44"/>
        <v>161533388.74000001</v>
      </c>
      <c r="AP38" s="28">
        <f t="shared" si="44"/>
        <v>86790654.49000001</v>
      </c>
      <c r="AQ38" s="28">
        <f t="shared" si="44"/>
        <v>73880495.870000005</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33.608618300195126</v>
      </c>
      <c r="C39" s="57">
        <f t="shared" ref="C39:D39" si="46">C38/C4*100</f>
        <v>22.807125282384153</v>
      </c>
      <c r="D39" s="57">
        <f t="shared" si="46"/>
        <v>11.710995983474923</v>
      </c>
      <c r="E39" s="57">
        <f>E38/E4</f>
        <v>0.2199828310864515</v>
      </c>
      <c r="F39" s="57">
        <f t="shared" ref="F39:BQ39" si="47">F38/F4</f>
        <v>0.2371718039641546</v>
      </c>
      <c r="G39" s="57">
        <f t="shared" si="47"/>
        <v>0.20255943347020841</v>
      </c>
      <c r="H39" s="57">
        <f t="shared" si="47"/>
        <v>0.13761633463191764</v>
      </c>
      <c r="I39" s="57">
        <f t="shared" si="47"/>
        <v>0.22456186266648392</v>
      </c>
      <c r="J39" s="57">
        <f t="shared" si="47"/>
        <v>0.24448439641061631</v>
      </c>
      <c r="K39" s="57">
        <f t="shared" si="47"/>
        <v>0.20327239008188347</v>
      </c>
      <c r="L39" s="57">
        <f t="shared" si="47"/>
        <v>8.7400202052491147E-2</v>
      </c>
      <c r="M39" s="57">
        <f t="shared" si="47"/>
        <v>0.22319992043673903</v>
      </c>
      <c r="N39" s="57">
        <f t="shared" si="47"/>
        <v>0.2308083009073657</v>
      </c>
      <c r="O39" s="57">
        <f t="shared" si="47"/>
        <v>0.21202736122965787</v>
      </c>
      <c r="P39" s="57">
        <f t="shared" si="47"/>
        <v>0.2077833423365289</v>
      </c>
      <c r="Q39" s="57">
        <f t="shared" si="47"/>
        <v>0.2442284025039296</v>
      </c>
      <c r="R39" s="57">
        <f t="shared" si="47"/>
        <v>0.26568032405587588</v>
      </c>
      <c r="S39" s="57" t="e">
        <f t="shared" si="47"/>
        <v>#DIV/0!</v>
      </c>
      <c r="T39" s="57" t="e">
        <f t="shared" si="47"/>
        <v>#DIV/0!</v>
      </c>
      <c r="U39" s="57" t="e">
        <f t="shared" si="47"/>
        <v>#DIV/0!</v>
      </c>
      <c r="V39" s="57" t="e">
        <f t="shared" si="47"/>
        <v>#DIV/0!</v>
      </c>
      <c r="W39" s="57" t="e">
        <f t="shared" si="47"/>
        <v>#DIV/0!</v>
      </c>
      <c r="X39" s="57" t="e">
        <f t="shared" si="47"/>
        <v>#DIV/0!</v>
      </c>
      <c r="Y39" s="57" t="e">
        <f t="shared" si="47"/>
        <v>#DIV/0!</v>
      </c>
      <c r="Z39" s="57" t="e">
        <f t="shared" si="47"/>
        <v>#DIV/0!</v>
      </c>
      <c r="AA39" s="57" t="e">
        <f t="shared" si="47"/>
        <v>#DIV/0!</v>
      </c>
      <c r="AB39" s="57" t="e">
        <f t="shared" si="47"/>
        <v>#DIV/0!</v>
      </c>
      <c r="AC39" s="57" t="e">
        <f t="shared" si="47"/>
        <v>#DIV/0!</v>
      </c>
      <c r="AD39" s="57" t="e">
        <f t="shared" si="47"/>
        <v>#DIV/0!</v>
      </c>
      <c r="AE39" s="57" t="e">
        <f t="shared" si="47"/>
        <v>#DIV/0!</v>
      </c>
      <c r="AF39" s="57" t="e">
        <f t="shared" si="47"/>
        <v>#DIV/0!</v>
      </c>
      <c r="AG39" s="57" t="e">
        <f t="shared" si="47"/>
        <v>#DIV/0!</v>
      </c>
      <c r="AH39" s="57" t="e">
        <f t="shared" si="47"/>
        <v>#DIV/0!</v>
      </c>
      <c r="AI39" s="57" t="e">
        <f t="shared" si="47"/>
        <v>#DIV/0!</v>
      </c>
      <c r="AJ39" s="57" t="e">
        <f t="shared" si="47"/>
        <v>#DIV/0!</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24055102.030000001</v>
      </c>
      <c r="C40" s="26">
        <f t="shared" ref="C40:BN40" si="49">C60</f>
        <v>14833979.970000001</v>
      </c>
      <c r="D40" s="26">
        <f t="shared" si="49"/>
        <v>5246553.07</v>
      </c>
      <c r="E40" s="26">
        <f t="shared" si="49"/>
        <v>25476937.940000001</v>
      </c>
      <c r="F40" s="26">
        <f t="shared" si="49"/>
        <v>20249808.260000002</v>
      </c>
      <c r="G40" s="26">
        <f t="shared" si="49"/>
        <v>12200381.68</v>
      </c>
      <c r="H40" s="26">
        <f t="shared" si="49"/>
        <v>4219646.83</v>
      </c>
      <c r="I40" s="26">
        <f t="shared" si="49"/>
        <v>22021985.010000002</v>
      </c>
      <c r="J40" s="26">
        <f t="shared" si="49"/>
        <v>17539446.210000001</v>
      </c>
      <c r="K40" s="26">
        <f t="shared" si="49"/>
        <v>9288285.5500000007</v>
      </c>
      <c r="L40" s="26">
        <f t="shared" si="49"/>
        <v>2029810.56</v>
      </c>
      <c r="M40" s="26">
        <f t="shared" si="49"/>
        <v>20513792.670000002</v>
      </c>
      <c r="N40" s="26">
        <f t="shared" si="49"/>
        <v>15626808.42</v>
      </c>
      <c r="O40" s="26">
        <f t="shared" si="49"/>
        <v>17208158.18</v>
      </c>
      <c r="P40" s="26">
        <f t="shared" si="49"/>
        <v>16737393.439999999</v>
      </c>
      <c r="Q40" s="26">
        <f t="shared" si="49"/>
        <v>18041146.789999999</v>
      </c>
      <c r="R40" s="26">
        <f t="shared" si="49"/>
        <v>14607685.76</v>
      </c>
      <c r="S40" s="26">
        <f t="shared" si="49"/>
        <v>0</v>
      </c>
      <c r="T40" s="26">
        <f t="shared" si="49"/>
        <v>932767728.71000004</v>
      </c>
      <c r="U40" s="26">
        <f t="shared" si="49"/>
        <v>2924864055.6500001</v>
      </c>
      <c r="V40" s="26">
        <f t="shared" si="49"/>
        <v>2433760593.79</v>
      </c>
      <c r="W40" s="26">
        <f t="shared" si="49"/>
        <v>1978855837.8399999</v>
      </c>
      <c r="X40" s="26">
        <f t="shared" si="49"/>
        <v>1234975036.8900001</v>
      </c>
      <c r="Y40" s="26">
        <f t="shared" si="49"/>
        <v>3402932422.5</v>
      </c>
      <c r="Z40" s="26">
        <f t="shared" si="49"/>
        <v>2601217500.98</v>
      </c>
      <c r="AA40" s="26">
        <f t="shared" si="49"/>
        <v>1712386078.7</v>
      </c>
      <c r="AB40" s="26">
        <f t="shared" si="49"/>
        <v>1032090586.53</v>
      </c>
      <c r="AC40" s="26">
        <f t="shared" si="49"/>
        <v>2105576465.3599999</v>
      </c>
      <c r="AD40" s="26">
        <f t="shared" si="49"/>
        <v>1616253918.8800001</v>
      </c>
      <c r="AE40" s="26">
        <f t="shared" si="49"/>
        <v>1129689950.29</v>
      </c>
      <c r="AF40" s="26">
        <f t="shared" si="49"/>
        <v>699022568.51999998</v>
      </c>
      <c r="AG40" s="26">
        <f t="shared" si="49"/>
        <v>1508186094.9300001</v>
      </c>
      <c r="AH40" s="26">
        <f t="shared" si="49"/>
        <v>1146174819.1099999</v>
      </c>
      <c r="AI40" s="26">
        <f t="shared" si="49"/>
        <v>766274681.52999997</v>
      </c>
      <c r="AJ40" s="26">
        <f t="shared" si="49"/>
        <v>508597717.20999998</v>
      </c>
      <c r="AK40" s="26">
        <f t="shared" si="49"/>
        <v>1138920195.73</v>
      </c>
      <c r="AL40" s="26">
        <f t="shared" si="49"/>
        <v>782953680.64999998</v>
      </c>
      <c r="AM40" s="26">
        <f t="shared" si="49"/>
        <v>537924395.76999998</v>
      </c>
      <c r="AN40" s="26">
        <f t="shared" si="49"/>
        <v>391157082.13999999</v>
      </c>
      <c r="AO40" s="26">
        <f t="shared" si="49"/>
        <v>569455764.67999995</v>
      </c>
      <c r="AP40" s="26">
        <f t="shared" si="49"/>
        <v>497986317.94</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0.11421730051361308</v>
      </c>
      <c r="C41" s="57">
        <f t="shared" ref="C41:BN41" si="51">C40/C38</f>
        <v>0.16555088055350514</v>
      </c>
      <c r="D41" s="57">
        <f t="shared" si="51"/>
        <v>0.2599307027842061</v>
      </c>
      <c r="E41" s="57">
        <f t="shared" si="51"/>
        <v>0.15392334875860242</v>
      </c>
      <c r="F41" s="57">
        <f t="shared" si="51"/>
        <v>0.16239012876467226</v>
      </c>
      <c r="G41" s="57">
        <f t="shared" si="51"/>
        <v>0.17726988412841904</v>
      </c>
      <c r="H41" s="57">
        <f t="shared" si="51"/>
        <v>0.19949409292566414</v>
      </c>
      <c r="I41" s="57">
        <f t="shared" si="51"/>
        <v>0.14746581532756517</v>
      </c>
      <c r="J41" s="57">
        <f t="shared" si="51"/>
        <v>0.15801608590381105</v>
      </c>
      <c r="K41" s="57">
        <f t="shared" si="51"/>
        <v>0.16131546611244418</v>
      </c>
      <c r="L41" s="57">
        <f t="shared" si="51"/>
        <v>0.18683685429180114</v>
      </c>
      <c r="M41" s="57">
        <f t="shared" si="51"/>
        <v>0.15393949090814096</v>
      </c>
      <c r="N41" s="57">
        <f t="shared" si="51"/>
        <v>0.16534502140761798</v>
      </c>
      <c r="O41" s="57">
        <f t="shared" si="51"/>
        <v>0.15347692316045833</v>
      </c>
      <c r="P41" s="57">
        <f t="shared" si="51"/>
        <v>0.16611842305330007</v>
      </c>
      <c r="Q41" s="57">
        <f t="shared" si="51"/>
        <v>0.18673189519888075</v>
      </c>
      <c r="R41" s="57">
        <f t="shared" si="51"/>
        <v>0.17350476805724366</v>
      </c>
      <c r="S41" s="57" t="e">
        <f t="shared" si="51"/>
        <v>#DIV/0!</v>
      </c>
      <c r="T41" s="57">
        <f t="shared" si="51"/>
        <v>3.8054197786823956</v>
      </c>
      <c r="U41" s="57">
        <f t="shared" si="51"/>
        <v>3.4966723297173448</v>
      </c>
      <c r="V41" s="57">
        <f t="shared" si="51"/>
        <v>3.6700742808608782</v>
      </c>
      <c r="W41" s="57">
        <f t="shared" si="51"/>
        <v>4.1600802808156203</v>
      </c>
      <c r="X41" s="57">
        <f t="shared" si="51"/>
        <v>5.1745322558829017</v>
      </c>
      <c r="Y41" s="57">
        <f t="shared" si="51"/>
        <v>4.2259737182528205</v>
      </c>
      <c r="Z41" s="57">
        <f t="shared" si="51"/>
        <v>4.1994958162188993</v>
      </c>
      <c r="AA41" s="57">
        <f t="shared" si="51"/>
        <v>4.2888934709841644</v>
      </c>
      <c r="AB41" s="57">
        <f t="shared" si="51"/>
        <v>7.2529196118367807</v>
      </c>
      <c r="AC41" s="57">
        <f t="shared" si="51"/>
        <v>4.3403190402720826</v>
      </c>
      <c r="AD41" s="57">
        <f t="shared" si="51"/>
        <v>6.8662940813406408</v>
      </c>
      <c r="AE41" s="57">
        <f t="shared" si="51"/>
        <v>6.0151388463021531</v>
      </c>
      <c r="AF41" s="57">
        <f t="shared" si="51"/>
        <v>29.841717588486997</v>
      </c>
      <c r="AG41" s="57">
        <f t="shared" si="51"/>
        <v>7.7005557380970249</v>
      </c>
      <c r="AH41" s="57">
        <f t="shared" si="51"/>
        <v>11.267420694522546</v>
      </c>
      <c r="AI41" s="57">
        <f t="shared" si="51"/>
        <v>9.8740053906789367</v>
      </c>
      <c r="AJ41" s="57">
        <f t="shared" si="51"/>
        <v>41.974362341375894</v>
      </c>
      <c r="AK41" s="57">
        <f t="shared" si="51"/>
        <v>10.321847157562512</v>
      </c>
      <c r="AL41" s="57">
        <f t="shared" si="51"/>
        <v>11.854023058184643</v>
      </c>
      <c r="AM41" s="57">
        <f t="shared" si="51"/>
        <v>14.068775080429651</v>
      </c>
      <c r="AN41" s="57">
        <f t="shared" si="51"/>
        <v>35.664573379659004</v>
      </c>
      <c r="AO41" s="57">
        <f t="shared" si="51"/>
        <v>3.52531305832122</v>
      </c>
      <c r="AP41" s="57">
        <f t="shared" si="51"/>
        <v>5.7377873328213909</v>
      </c>
      <c r="AQ41" s="57">
        <f t="shared" si="51"/>
        <v>5.4623444638231016</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186553115.13</v>
      </c>
      <c r="C42" s="28">
        <f t="shared" ref="C42:BN42" si="53">C38-C40</f>
        <v>74769771.579999998</v>
      </c>
      <c r="D42" s="28">
        <f t="shared" si="53"/>
        <v>14937876.910000004</v>
      </c>
      <c r="E42" s="28">
        <f t="shared" si="53"/>
        <v>140040107.69</v>
      </c>
      <c r="F42" s="28">
        <f t="shared" si="53"/>
        <v>104448708.91000004</v>
      </c>
      <c r="G42" s="28">
        <f t="shared" si="53"/>
        <v>56623388.020000018</v>
      </c>
      <c r="H42" s="28">
        <f t="shared" si="53"/>
        <v>16932091.389999993</v>
      </c>
      <c r="I42" s="28">
        <f t="shared" si="53"/>
        <v>127314218.50999995</v>
      </c>
      <c r="J42" s="28">
        <f t="shared" si="53"/>
        <v>93458406.380000025</v>
      </c>
      <c r="K42" s="28">
        <f t="shared" si="53"/>
        <v>48290108.969999984</v>
      </c>
      <c r="L42" s="28">
        <f t="shared" si="53"/>
        <v>8834269.5900000054</v>
      </c>
      <c r="M42" s="28">
        <f t="shared" si="53"/>
        <v>112745012.78</v>
      </c>
      <c r="N42" s="28">
        <f t="shared" si="53"/>
        <v>78883496.679999962</v>
      </c>
      <c r="O42" s="28">
        <f t="shared" si="53"/>
        <v>94913963.020000041</v>
      </c>
      <c r="P42" s="28">
        <f t="shared" si="53"/>
        <v>84018399.520000041</v>
      </c>
      <c r="Q42" s="28">
        <f t="shared" si="53"/>
        <v>78574092.780000001</v>
      </c>
      <c r="R42" s="28">
        <f t="shared" si="53"/>
        <v>69584154.749999985</v>
      </c>
      <c r="S42" s="28">
        <f t="shared" si="53"/>
        <v>0</v>
      </c>
      <c r="T42" s="28">
        <f t="shared" si="53"/>
        <v>-687652134.91000009</v>
      </c>
      <c r="U42" s="28">
        <f t="shared" si="53"/>
        <v>-2088393325.8100002</v>
      </c>
      <c r="V42" s="28">
        <f t="shared" si="53"/>
        <v>-1770623990.1299999</v>
      </c>
      <c r="W42" s="28">
        <f t="shared" si="53"/>
        <v>-1503178518.1099999</v>
      </c>
      <c r="X42" s="28">
        <f t="shared" si="53"/>
        <v>-996310945.95000005</v>
      </c>
      <c r="Y42" s="28">
        <f t="shared" si="53"/>
        <v>-2597690211.0299997</v>
      </c>
      <c r="Z42" s="28">
        <f t="shared" si="53"/>
        <v>-1981805644.22</v>
      </c>
      <c r="AA42" s="28">
        <f t="shared" si="53"/>
        <v>-1313125502.45</v>
      </c>
      <c r="AB42" s="28">
        <f t="shared" si="53"/>
        <v>-889790569.18999994</v>
      </c>
      <c r="AC42" s="28">
        <f t="shared" si="53"/>
        <v>-1620456259.7199998</v>
      </c>
      <c r="AD42" s="28">
        <f t="shared" si="53"/>
        <v>-1380864362.3400002</v>
      </c>
      <c r="AE42" s="28">
        <f t="shared" si="53"/>
        <v>-941882157.46000004</v>
      </c>
      <c r="AF42" s="28">
        <f t="shared" si="53"/>
        <v>-675598227.52999997</v>
      </c>
      <c r="AG42" s="28">
        <f t="shared" si="53"/>
        <v>-1312331906.45</v>
      </c>
      <c r="AH42" s="28">
        <f t="shared" si="53"/>
        <v>-1044450134.2699999</v>
      </c>
      <c r="AI42" s="28">
        <f t="shared" si="53"/>
        <v>-688669429.02999997</v>
      </c>
      <c r="AJ42" s="28">
        <f t="shared" si="53"/>
        <v>-496480851.37</v>
      </c>
      <c r="AK42" s="28">
        <f t="shared" si="53"/>
        <v>-1028579461.33</v>
      </c>
      <c r="AL42" s="28">
        <f t="shared" si="53"/>
        <v>-716904063.83999991</v>
      </c>
      <c r="AM42" s="28">
        <f t="shared" si="53"/>
        <v>-499689055.96999997</v>
      </c>
      <c r="AN42" s="28">
        <f t="shared" si="53"/>
        <v>-380189417.44999999</v>
      </c>
      <c r="AO42" s="28">
        <f t="shared" si="53"/>
        <v>-407922375.93999994</v>
      </c>
      <c r="AP42" s="28">
        <f t="shared" si="53"/>
        <v>-411195663.44999999</v>
      </c>
      <c r="AQ42" s="28">
        <f t="shared" si="53"/>
        <v>-329680221.73000002</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29.769932643954423</v>
      </c>
      <c r="C43" s="57">
        <f t="shared" ref="C43:D43" si="55">C42/C4*100</f>
        <v>19.031385608991346</v>
      </c>
      <c r="D43" s="57">
        <f t="shared" si="55"/>
        <v>8.666948567187271</v>
      </c>
      <c r="E43" s="57">
        <f>E42/E4</f>
        <v>0.18612233705622691</v>
      </c>
      <c r="F43" s="57">
        <f t="shared" ref="F43:BQ43" si="56">F42/F4</f>
        <v>0.19865744417906595</v>
      </c>
      <c r="G43" s="57">
        <f t="shared" si="56"/>
        <v>0.16665174616982636</v>
      </c>
      <c r="H43" s="57">
        <f t="shared" si="56"/>
        <v>0.11016268878276858</v>
      </c>
      <c r="I43" s="57">
        <f t="shared" si="56"/>
        <v>0.19144666449689415</v>
      </c>
      <c r="J43" s="57">
        <f t="shared" si="56"/>
        <v>0.20585192902525495</v>
      </c>
      <c r="K43" s="57">
        <f t="shared" si="56"/>
        <v>0.17048140972803383</v>
      </c>
      <c r="L43" s="57">
        <f t="shared" si="56"/>
        <v>7.1070623236535874E-2</v>
      </c>
      <c r="M43" s="57">
        <f t="shared" si="56"/>
        <v>0.18884063831396986</v>
      </c>
      <c r="N43" s="57">
        <f t="shared" si="56"/>
        <v>0.19264529745278139</v>
      </c>
      <c r="O43" s="57">
        <f t="shared" si="56"/>
        <v>0.17948605420229893</v>
      </c>
      <c r="P43" s="57">
        <f t="shared" si="56"/>
        <v>0.17326670117084073</v>
      </c>
      <c r="Q43" s="57">
        <f t="shared" si="56"/>
        <v>0.19862317004297572</v>
      </c>
      <c r="R43" s="57">
        <f t="shared" si="56"/>
        <v>0.21958352105318776</v>
      </c>
      <c r="S43" s="57" t="e">
        <f t="shared" si="56"/>
        <v>#DIV/0!</v>
      </c>
      <c r="T43" s="57" t="e">
        <f t="shared" si="56"/>
        <v>#DIV/0!</v>
      </c>
      <c r="U43" s="57" t="e">
        <f t="shared" si="56"/>
        <v>#DIV/0!</v>
      </c>
      <c r="V43" s="57" t="e">
        <f t="shared" si="56"/>
        <v>#DIV/0!</v>
      </c>
      <c r="W43" s="57" t="e">
        <f t="shared" si="56"/>
        <v>#DIV/0!</v>
      </c>
      <c r="X43" s="57" t="e">
        <f t="shared" si="56"/>
        <v>#DIV/0!</v>
      </c>
      <c r="Y43" s="57" t="e">
        <f t="shared" si="56"/>
        <v>#DIV/0!</v>
      </c>
      <c r="Z43" s="57" t="e">
        <f t="shared" si="56"/>
        <v>#DIV/0!</v>
      </c>
      <c r="AA43" s="57" t="e">
        <f t="shared" si="56"/>
        <v>#DIV/0!</v>
      </c>
      <c r="AB43" s="57" t="e">
        <f t="shared" si="56"/>
        <v>#DIV/0!</v>
      </c>
      <c r="AC43" s="57" t="e">
        <f t="shared" si="56"/>
        <v>#DIV/0!</v>
      </c>
      <c r="AD43" s="57" t="e">
        <f t="shared" si="56"/>
        <v>#DIV/0!</v>
      </c>
      <c r="AE43" s="57" t="e">
        <f t="shared" si="56"/>
        <v>#DIV/0!</v>
      </c>
      <c r="AF43" s="57" t="e">
        <f t="shared" si="56"/>
        <v>#DIV/0!</v>
      </c>
      <c r="AG43" s="57" t="e">
        <f t="shared" si="56"/>
        <v>#DIV/0!</v>
      </c>
      <c r="AH43" s="57" t="e">
        <f t="shared" si="56"/>
        <v>#DIV/0!</v>
      </c>
      <c r="AI43" s="57" t="e">
        <f t="shared" si="56"/>
        <v>#DIV/0!</v>
      </c>
      <c r="AJ43" s="57" t="e">
        <f t="shared" si="56"/>
        <v>#DIV/0!</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96429143.810400009</v>
      </c>
      <c r="C45" s="26">
        <f t="shared" ref="C45:BN45" si="58">C70*C69</f>
        <v>91448960.7896</v>
      </c>
      <c r="D45" s="26">
        <f t="shared" si="58"/>
        <v>88460605.138400003</v>
      </c>
      <c r="E45" s="26">
        <f t="shared" si="58"/>
        <v>87545708.3248</v>
      </c>
      <c r="F45" s="26">
        <f t="shared" si="58"/>
        <v>84301157.952000007</v>
      </c>
      <c r="G45" s="26">
        <f t="shared" si="58"/>
        <v>80084418.100800008</v>
      </c>
      <c r="H45" s="26">
        <f t="shared" si="58"/>
        <v>79343838.809599996</v>
      </c>
      <c r="I45" s="26">
        <f t="shared" si="58"/>
        <v>78833139.338400006</v>
      </c>
      <c r="J45" s="26">
        <f t="shared" si="58"/>
        <v>35555575.452800006</v>
      </c>
      <c r="K45" s="26">
        <f t="shared" si="58"/>
        <v>31942111.66</v>
      </c>
      <c r="L45" s="26">
        <f t="shared" si="58"/>
        <v>38241462.942400001</v>
      </c>
      <c r="M45" s="26">
        <f t="shared" si="58"/>
        <v>30987829.521600001</v>
      </c>
      <c r="N45" s="26">
        <f t="shared" si="58"/>
        <v>25419458.240000002</v>
      </c>
      <c r="O45" s="26">
        <f t="shared" si="58"/>
        <v>20350274.2784</v>
      </c>
      <c r="P45" s="26">
        <f t="shared" si="58"/>
        <v>16781541.784000002</v>
      </c>
      <c r="Q45" s="26">
        <f t="shared" si="58"/>
        <v>0</v>
      </c>
      <c r="R45" s="26">
        <f t="shared" si="58"/>
        <v>0</v>
      </c>
      <c r="S45" s="26">
        <f t="shared" si="58"/>
        <v>0</v>
      </c>
      <c r="T45" s="26">
        <f t="shared" si="58"/>
        <v>3180386651.0152001</v>
      </c>
      <c r="U45" s="26">
        <f t="shared" si="58"/>
        <v>2961542764.1671996</v>
      </c>
      <c r="V45" s="26">
        <f t="shared" si="58"/>
        <v>2874900411.2176003</v>
      </c>
      <c r="W45" s="26">
        <f t="shared" si="58"/>
        <v>2759364309.0296001</v>
      </c>
      <c r="X45" s="26">
        <f t="shared" si="58"/>
        <v>2822010661.2744002</v>
      </c>
      <c r="Y45" s="26">
        <f t="shared" si="58"/>
        <v>2521685644.2639999</v>
      </c>
      <c r="Z45" s="26">
        <f t="shared" si="58"/>
        <v>2369715421.8144002</v>
      </c>
      <c r="AA45" s="26">
        <f t="shared" si="58"/>
        <v>2139936077.9104002</v>
      </c>
      <c r="AB45" s="26">
        <f t="shared" si="58"/>
        <v>2126235830.5520003</v>
      </c>
      <c r="AC45" s="26">
        <f t="shared" si="58"/>
        <v>1875735099.2360001</v>
      </c>
      <c r="AD45" s="26">
        <f t="shared" si="58"/>
        <v>1778286241.0776002</v>
      </c>
      <c r="AE45" s="26">
        <f t="shared" si="58"/>
        <v>1657448706.4328001</v>
      </c>
      <c r="AF45" s="26">
        <f t="shared" si="58"/>
        <v>1645210970.7248001</v>
      </c>
      <c r="AG45" s="26">
        <f t="shared" si="58"/>
        <v>1469288123.3176</v>
      </c>
      <c r="AH45" s="26">
        <f t="shared" si="58"/>
        <v>1401523517.6632001</v>
      </c>
      <c r="AI45" s="26">
        <f t="shared" si="58"/>
        <v>1307152865.7776</v>
      </c>
      <c r="AJ45" s="26">
        <f t="shared" si="58"/>
        <v>1295015828.1791999</v>
      </c>
      <c r="AK45" s="26">
        <f t="shared" si="58"/>
        <v>1166436971.5671999</v>
      </c>
      <c r="AL45" s="26">
        <f t="shared" si="58"/>
        <v>1092707732.2880001</v>
      </c>
      <c r="AM45" s="26">
        <f t="shared" si="58"/>
        <v>1030883134.7696</v>
      </c>
      <c r="AN45" s="26">
        <f t="shared" si="58"/>
        <v>1018017368.4344001</v>
      </c>
      <c r="AO45" s="26">
        <f t="shared" si="58"/>
        <v>916474950.13759995</v>
      </c>
      <c r="AP45" s="26">
        <f t="shared" si="58"/>
        <v>898425866.96880007</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90123971.319599986</v>
      </c>
      <c r="C47" s="28">
        <f t="shared" ref="C47:BN47" si="62">C42-C45</f>
        <v>-16679189.209600002</v>
      </c>
      <c r="D47" s="28">
        <f t="shared" si="62"/>
        <v>-73522728.228399992</v>
      </c>
      <c r="E47" s="28">
        <f t="shared" si="62"/>
        <v>52494399.365199998</v>
      </c>
      <c r="F47" s="28">
        <f t="shared" si="62"/>
        <v>20147550.958000034</v>
      </c>
      <c r="G47" s="28">
        <f t="shared" si="62"/>
        <v>-23461030.080799989</v>
      </c>
      <c r="H47" s="28">
        <f t="shared" si="62"/>
        <v>-62411747.419600002</v>
      </c>
      <c r="I47" s="28">
        <f t="shared" si="62"/>
        <v>48481079.171599939</v>
      </c>
      <c r="J47" s="28">
        <f t="shared" si="62"/>
        <v>57902830.927200019</v>
      </c>
      <c r="K47" s="28">
        <f t="shared" si="62"/>
        <v>16347997.309999984</v>
      </c>
      <c r="L47" s="28">
        <f t="shared" si="62"/>
        <v>-29407193.352399997</v>
      </c>
      <c r="M47" s="28">
        <f t="shared" si="62"/>
        <v>81757183.258399993</v>
      </c>
      <c r="N47" s="28">
        <f t="shared" si="62"/>
        <v>53464038.43999996</v>
      </c>
      <c r="O47" s="28">
        <f t="shared" si="62"/>
        <v>74563688.741600037</v>
      </c>
      <c r="P47" s="28">
        <f t="shared" si="62"/>
        <v>67236857.736000031</v>
      </c>
      <c r="Q47" s="28">
        <f t="shared" si="62"/>
        <v>78574092.780000001</v>
      </c>
      <c r="R47" s="28">
        <f t="shared" si="62"/>
        <v>69584154.749999985</v>
      </c>
      <c r="S47" s="28">
        <f t="shared" si="62"/>
        <v>0</v>
      </c>
      <c r="T47" s="28">
        <f t="shared" si="62"/>
        <v>-3868038785.9252005</v>
      </c>
      <c r="U47" s="28">
        <f t="shared" si="62"/>
        <v>-5049936089.9771996</v>
      </c>
      <c r="V47" s="28">
        <f t="shared" si="62"/>
        <v>-4645524401.3476</v>
      </c>
      <c r="W47" s="28">
        <f t="shared" si="62"/>
        <v>-4262542827.1395998</v>
      </c>
      <c r="X47" s="28">
        <f t="shared" si="62"/>
        <v>-3818321607.2244005</v>
      </c>
      <c r="Y47" s="28">
        <f t="shared" si="62"/>
        <v>-5119375855.2939997</v>
      </c>
      <c r="Z47" s="28">
        <f t="shared" si="62"/>
        <v>-4351521066.0344</v>
      </c>
      <c r="AA47" s="28">
        <f t="shared" si="62"/>
        <v>-3453061580.3604002</v>
      </c>
      <c r="AB47" s="28">
        <f t="shared" si="62"/>
        <v>-3016026399.7420001</v>
      </c>
      <c r="AC47" s="28">
        <f t="shared" si="62"/>
        <v>-3496191358.9559999</v>
      </c>
      <c r="AD47" s="28">
        <f t="shared" si="62"/>
        <v>-3159150603.4176006</v>
      </c>
      <c r="AE47" s="28">
        <f t="shared" si="62"/>
        <v>-2599330863.8928003</v>
      </c>
      <c r="AF47" s="28">
        <f t="shared" si="62"/>
        <v>-2320809198.2547998</v>
      </c>
      <c r="AG47" s="28">
        <f t="shared" si="62"/>
        <v>-2781620029.7676001</v>
      </c>
      <c r="AH47" s="28">
        <f t="shared" si="62"/>
        <v>-2445973651.9331999</v>
      </c>
      <c r="AI47" s="28">
        <f t="shared" si="62"/>
        <v>-1995822294.8076</v>
      </c>
      <c r="AJ47" s="28">
        <f t="shared" si="62"/>
        <v>-1791496679.5492001</v>
      </c>
      <c r="AK47" s="28">
        <f t="shared" si="62"/>
        <v>-2195016432.8972001</v>
      </c>
      <c r="AL47" s="28">
        <f t="shared" si="62"/>
        <v>-1809611796.128</v>
      </c>
      <c r="AM47" s="28">
        <f t="shared" si="62"/>
        <v>-1530572190.7395999</v>
      </c>
      <c r="AN47" s="28">
        <f t="shared" si="62"/>
        <v>-1398206785.8844001</v>
      </c>
      <c r="AO47" s="28">
        <f t="shared" si="62"/>
        <v>-1324397326.0776</v>
      </c>
      <c r="AP47" s="28">
        <f t="shared" si="62"/>
        <v>-1309621530.4188001</v>
      </c>
      <c r="AQ47" s="28">
        <f t="shared" si="62"/>
        <v>-1204430921.7676001</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20141231</v>
      </c>
      <c r="P51" s="188">
        <v>20131231</v>
      </c>
      <c r="Q51" s="188">
        <v>20121231</v>
      </c>
      <c r="R51" s="188">
        <v>20111231</v>
      </c>
      <c r="S51" s="188">
        <v>19700101</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20010930</v>
      </c>
      <c r="BS51" s="188">
        <v>20010630</v>
      </c>
      <c r="BT51" s="188">
        <v>20010331</v>
      </c>
      <c r="BU51" s="188">
        <v>20001231</v>
      </c>
      <c r="BV51" s="188">
        <v>20000630</v>
      </c>
      <c r="BW51" s="188">
        <v>19991231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x14ac:dyDescent="0.25">
      <c r="A52" s="130" t="s">
        <v>570</v>
      </c>
      <c r="B52" s="42">
        <v>-25636</v>
      </c>
      <c r="C52" s="42">
        <v>-27718</v>
      </c>
      <c r="D52" s="42">
        <v>-35317</v>
      </c>
      <c r="E52" s="42">
        <v>-2171909.2799999998</v>
      </c>
      <c r="F52" s="42">
        <v>-34414</v>
      </c>
      <c r="G52" s="42">
        <v>-23309</v>
      </c>
      <c r="H52" s="42">
        <v>-16814</v>
      </c>
      <c r="I52" s="42">
        <v>-1346323.28</v>
      </c>
      <c r="J52" s="42"/>
      <c r="K52" s="42"/>
      <c r="M52" s="43">
        <v>-1106591.44</v>
      </c>
      <c r="U52" s="43">
        <v>-821239268.10000002</v>
      </c>
      <c r="Y52" s="43">
        <v>-777445872.55999994</v>
      </c>
      <c r="AC52" s="43">
        <v>-468723365.81</v>
      </c>
      <c r="AG52" s="43">
        <v>-189919617.83000001</v>
      </c>
    </row>
    <row r="53" spans="1:89" s="43" customFormat="1" x14ac:dyDescent="0.25">
      <c r="A53" s="131" t="s">
        <v>90</v>
      </c>
      <c r="B53" s="42">
        <v>217</v>
      </c>
      <c r="C53" s="42">
        <v>189</v>
      </c>
      <c r="D53" s="42"/>
      <c r="E53" s="42">
        <v>378508.09</v>
      </c>
      <c r="F53" s="42"/>
      <c r="G53" s="42"/>
      <c r="H53" s="42"/>
      <c r="I53" s="42">
        <v>4668557.12</v>
      </c>
      <c r="J53" s="42"/>
      <c r="K53" s="42"/>
      <c r="M53" s="43">
        <v>5798721.3799999999</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126.48</v>
      </c>
      <c r="F54" s="42">
        <v>2684</v>
      </c>
      <c r="G54" s="42">
        <v>-377</v>
      </c>
      <c r="H54" s="42">
        <v>1008</v>
      </c>
      <c r="I54" s="42"/>
      <c r="J54" s="42"/>
      <c r="K54" s="42"/>
      <c r="M54" s="43">
        <v>451009.67</v>
      </c>
      <c r="U54" s="43">
        <v>10846.94</v>
      </c>
      <c r="Y54" s="43">
        <v>-205399.9</v>
      </c>
      <c r="AC54" s="43">
        <v>11178.14</v>
      </c>
      <c r="AG54" s="43">
        <v>370867.58</v>
      </c>
    </row>
    <row r="55" spans="1:89" s="43" customFormat="1" x14ac:dyDescent="0.25">
      <c r="A55" s="131" t="s">
        <v>92</v>
      </c>
      <c r="B55" s="42">
        <v>463</v>
      </c>
      <c r="C55" s="42">
        <v>603</v>
      </c>
      <c r="D55" s="42">
        <v>653</v>
      </c>
      <c r="E55" s="42">
        <v>358407.7</v>
      </c>
      <c r="F55" s="42">
        <v>1204</v>
      </c>
      <c r="G55" s="42">
        <v>868</v>
      </c>
      <c r="H55" s="42">
        <v>644</v>
      </c>
      <c r="I55" s="42">
        <v>459844</v>
      </c>
      <c r="J55" s="42"/>
      <c r="K55" s="42"/>
      <c r="M55" s="43">
        <v>5143139.6100000003</v>
      </c>
      <c r="U55" s="43">
        <v>-5869478</v>
      </c>
      <c r="Y55" s="43">
        <v>-12046824.75</v>
      </c>
      <c r="AC55" s="43">
        <v>-8254042.6900000004</v>
      </c>
      <c r="AG55" s="43">
        <v>-2922096.12</v>
      </c>
    </row>
    <row r="56" spans="1:89" s="26" customFormat="1" x14ac:dyDescent="0.25">
      <c r="A56" s="132" t="s">
        <v>93</v>
      </c>
      <c r="B56" s="44">
        <f>SUM(B52:B55)</f>
        <v>-21852</v>
      </c>
      <c r="C56" s="44">
        <f t="shared" ref="C56:D56" si="64">SUM(C52:C55)</f>
        <v>-28350</v>
      </c>
      <c r="D56" s="44">
        <f t="shared" si="64"/>
        <v>-35004</v>
      </c>
      <c r="E56" s="44">
        <f>SUM(E52:E55)</f>
        <v>-1434867.0099999998</v>
      </c>
      <c r="F56" s="44">
        <f t="shared" ref="F56:BQ56" si="65">SUM(F52:F55)</f>
        <v>-30526</v>
      </c>
      <c r="G56" s="44">
        <f t="shared" si="65"/>
        <v>-22818</v>
      </c>
      <c r="H56" s="44">
        <f t="shared" si="65"/>
        <v>-15162</v>
      </c>
      <c r="I56" s="44">
        <f t="shared" si="65"/>
        <v>3782077.84</v>
      </c>
      <c r="J56" s="44">
        <f t="shared" si="65"/>
        <v>0</v>
      </c>
      <c r="K56" s="44">
        <f t="shared" si="65"/>
        <v>0</v>
      </c>
      <c r="L56" s="44">
        <f t="shared" si="65"/>
        <v>0</v>
      </c>
      <c r="M56" s="44">
        <f t="shared" si="65"/>
        <v>10286279.219999999</v>
      </c>
      <c r="N56" s="44">
        <f t="shared" si="65"/>
        <v>0</v>
      </c>
      <c r="O56" s="44">
        <f t="shared" si="65"/>
        <v>0</v>
      </c>
      <c r="P56" s="44">
        <f t="shared" si="65"/>
        <v>0</v>
      </c>
      <c r="Q56" s="44">
        <f t="shared" si="65"/>
        <v>0</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8">
        <v>147030620.96000001</v>
      </c>
      <c r="C59" s="188">
        <v>83578333.200000003</v>
      </c>
      <c r="D59" s="188">
        <v>19591430.170000002</v>
      </c>
      <c r="E59" s="188">
        <v>155224216.05000001</v>
      </c>
      <c r="F59" s="188">
        <v>114667336.39</v>
      </c>
      <c r="G59" s="188">
        <v>61958088.25</v>
      </c>
      <c r="H59" s="188">
        <v>16933743.390000001</v>
      </c>
      <c r="I59" s="188">
        <v>127774062.51000001</v>
      </c>
      <c r="J59" s="188">
        <v>93458406.379999995</v>
      </c>
      <c r="K59" s="188">
        <v>48290108.969999999</v>
      </c>
      <c r="L59" s="188">
        <v>8834269.5899999999</v>
      </c>
      <c r="M59" s="188">
        <v>118339162.06</v>
      </c>
      <c r="N59" s="188">
        <v>78883496.680000007</v>
      </c>
      <c r="O59" s="188">
        <v>94913963.019999996</v>
      </c>
      <c r="P59" s="188">
        <v>84018399.519999996</v>
      </c>
      <c r="Q59" s="188">
        <v>78574092.780000001</v>
      </c>
      <c r="R59" s="188">
        <v>69584154.75</v>
      </c>
      <c r="S59" s="188">
        <v>0</v>
      </c>
      <c r="T59" s="188">
        <v>2735548585.5999999</v>
      </c>
      <c r="U59" s="188">
        <v>8322215360.9499998</v>
      </c>
      <c r="V59" s="188">
        <v>7410685949.0799999</v>
      </c>
      <c r="W59" s="188">
        <v>6039984671.7299995</v>
      </c>
      <c r="X59" s="188">
        <v>3786290698.79</v>
      </c>
      <c r="Y59" s="188">
        <v>10335733704.780001</v>
      </c>
      <c r="Z59" s="188">
        <v>8113605924.1599998</v>
      </c>
      <c r="AA59" s="188">
        <v>5241364125.3599997</v>
      </c>
      <c r="AB59" s="188">
        <v>3166747159.3200002</v>
      </c>
      <c r="AC59" s="188">
        <v>6394377214.9799995</v>
      </c>
      <c r="AD59" s="188">
        <v>5001266488</v>
      </c>
      <c r="AE59" s="188">
        <v>3490797304.9400001</v>
      </c>
      <c r="AF59" s="188">
        <v>2161488984.3400002</v>
      </c>
      <c r="AG59" s="188">
        <v>4562056835.6000004</v>
      </c>
      <c r="AH59" s="188">
        <v>3532769841.4299998</v>
      </c>
      <c r="AI59" s="188">
        <v>2343182863.0100002</v>
      </c>
      <c r="AJ59" s="188">
        <v>1578085299.8699999</v>
      </c>
      <c r="AK59" s="188">
        <v>3466668431.5100002</v>
      </c>
      <c r="AL59" s="188">
        <v>2382708112.8800001</v>
      </c>
      <c r="AM59" s="188">
        <v>1619900643.9000001</v>
      </c>
      <c r="AN59" s="188">
        <v>1269280228.71</v>
      </c>
      <c r="AO59" s="188">
        <v>1829699892.55</v>
      </c>
      <c r="AP59" s="188">
        <v>1604086352.9400001</v>
      </c>
      <c r="AQ59" s="188">
        <v>1308146766.3</v>
      </c>
      <c r="AR59" s="188">
        <v>1015707693.3099999</v>
      </c>
      <c r="AS59" s="188">
        <v>1472784098.4200001</v>
      </c>
      <c r="AT59" s="188">
        <v>1326845730.0799999</v>
      </c>
      <c r="AU59" s="188">
        <v>1145272727.9100001</v>
      </c>
      <c r="AV59" s="188">
        <v>745206726.03999996</v>
      </c>
      <c r="AW59" s="188">
        <v>1179340016.0999999</v>
      </c>
      <c r="AX59" s="188">
        <v>1023357815.7</v>
      </c>
      <c r="AY59" s="188">
        <v>822921865.61000001</v>
      </c>
      <c r="AZ59" s="188">
        <v>548815529.96000004</v>
      </c>
      <c r="BA59" s="188">
        <v>799007076.76999998</v>
      </c>
      <c r="BB59" s="188">
        <v>773754249.82000005</v>
      </c>
      <c r="BC59" s="188">
        <v>592464063.88</v>
      </c>
      <c r="BD59" s="188">
        <v>416503687.60000002</v>
      </c>
      <c r="BE59" s="188">
        <v>829759695.11000001</v>
      </c>
      <c r="BF59" s="188">
        <v>679164074.51999998</v>
      </c>
      <c r="BG59" s="188">
        <v>537962660</v>
      </c>
      <c r="BH59" s="188">
        <v>383394123.19999999</v>
      </c>
      <c r="BI59" s="188">
        <v>703792730.94000006</v>
      </c>
      <c r="BJ59" s="188">
        <v>548305195.13</v>
      </c>
      <c r="BK59" s="188">
        <v>389654678.44</v>
      </c>
      <c r="BL59" s="188">
        <v>289511785.36000001</v>
      </c>
      <c r="BM59" s="188">
        <v>618984667.90999997</v>
      </c>
      <c r="BN59" s="188">
        <v>511693618.56</v>
      </c>
      <c r="BO59" s="188">
        <v>373562587.13</v>
      </c>
      <c r="BP59" s="188">
        <v>253237536.75999999</v>
      </c>
      <c r="BQ59" s="188">
        <v>816316516.73000002</v>
      </c>
      <c r="BR59" s="188">
        <v>650310000</v>
      </c>
      <c r="BS59" s="188">
        <v>478983205.56999999</v>
      </c>
      <c r="BT59" s="188">
        <v>281830575.43000001</v>
      </c>
      <c r="BU59" s="188">
        <v>768216832.5</v>
      </c>
      <c r="BV59" s="188">
        <v>429812800.44999999</v>
      </c>
      <c r="BW59" s="188">
        <v>649021962.89999998</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x14ac:dyDescent="0.25">
      <c r="A60" s="22" t="s">
        <v>95</v>
      </c>
      <c r="B60" s="188">
        <v>24055102.030000001</v>
      </c>
      <c r="C60" s="188">
        <v>14833979.970000001</v>
      </c>
      <c r="D60" s="188">
        <v>5246553.07</v>
      </c>
      <c r="E60" s="188">
        <v>25476937.940000001</v>
      </c>
      <c r="F60" s="188">
        <v>20249808.260000002</v>
      </c>
      <c r="G60" s="188">
        <v>12200381.68</v>
      </c>
      <c r="H60" s="188">
        <v>4219646.83</v>
      </c>
      <c r="I60" s="188">
        <v>22021985.010000002</v>
      </c>
      <c r="J60" s="188">
        <v>17539446.210000001</v>
      </c>
      <c r="K60" s="188">
        <v>9288285.5500000007</v>
      </c>
      <c r="L60" s="188">
        <v>2029810.56</v>
      </c>
      <c r="M60" s="188">
        <v>20513792.670000002</v>
      </c>
      <c r="N60" s="188">
        <v>15626808.42</v>
      </c>
      <c r="O60" s="188">
        <v>17208158.18</v>
      </c>
      <c r="P60" s="188">
        <v>16737393.439999999</v>
      </c>
      <c r="Q60" s="188">
        <v>18041146.789999999</v>
      </c>
      <c r="R60" s="188">
        <v>14607685.76</v>
      </c>
      <c r="S60" s="188">
        <v>0</v>
      </c>
      <c r="T60" s="188">
        <v>932767728.71000004</v>
      </c>
      <c r="U60" s="188">
        <v>2924864055.6500001</v>
      </c>
      <c r="V60" s="188">
        <v>2433760593.79</v>
      </c>
      <c r="W60" s="188">
        <v>1978855837.8399999</v>
      </c>
      <c r="X60" s="188">
        <v>1234975036.8900001</v>
      </c>
      <c r="Y60" s="188">
        <v>3402932422.5</v>
      </c>
      <c r="Z60" s="188">
        <v>2601217500.98</v>
      </c>
      <c r="AA60" s="188">
        <v>1712386078.7</v>
      </c>
      <c r="AB60" s="188">
        <v>1032090586.53</v>
      </c>
      <c r="AC60" s="188">
        <v>2105576465.3599999</v>
      </c>
      <c r="AD60" s="188">
        <v>1616253918.8800001</v>
      </c>
      <c r="AE60" s="188">
        <v>1129689950.29</v>
      </c>
      <c r="AF60" s="188">
        <v>699022568.51999998</v>
      </c>
      <c r="AG60" s="188">
        <v>1508186094.9300001</v>
      </c>
      <c r="AH60" s="188">
        <v>1146174819.1099999</v>
      </c>
      <c r="AI60" s="188">
        <v>766274681.52999997</v>
      </c>
      <c r="AJ60" s="188">
        <v>508597717.20999998</v>
      </c>
      <c r="AK60" s="188">
        <v>1138920195.73</v>
      </c>
      <c r="AL60" s="188">
        <v>782953680.64999998</v>
      </c>
      <c r="AM60" s="188">
        <v>537924395.76999998</v>
      </c>
      <c r="AN60" s="188">
        <v>391157082.13999999</v>
      </c>
      <c r="AO60" s="188">
        <v>569455764.67999995</v>
      </c>
      <c r="AP60" s="188">
        <v>497986317.94</v>
      </c>
      <c r="AQ60" s="188">
        <v>403560717.60000002</v>
      </c>
      <c r="AR60" s="188">
        <v>335817684.24000001</v>
      </c>
      <c r="AS60" s="188">
        <v>705562448.80999994</v>
      </c>
      <c r="AT60" s="188">
        <v>648250833.24000001</v>
      </c>
      <c r="AU60" s="188">
        <v>561779303.77999997</v>
      </c>
      <c r="AV60" s="188">
        <v>374547042.32999998</v>
      </c>
      <c r="AW60" s="188">
        <v>606385627.26999998</v>
      </c>
      <c r="AX60" s="188">
        <v>526228001.63</v>
      </c>
      <c r="AY60" s="188">
        <v>420222252.99000001</v>
      </c>
      <c r="AZ60" s="188">
        <v>280943626.88999999</v>
      </c>
      <c r="BA60" s="188">
        <v>396902090.45999998</v>
      </c>
      <c r="BB60" s="188">
        <v>383849839.51999998</v>
      </c>
      <c r="BC60" s="188">
        <v>336122195.32999998</v>
      </c>
      <c r="BD60" s="188">
        <v>238518321.50999999</v>
      </c>
      <c r="BE60" s="188">
        <v>441401360.93000001</v>
      </c>
      <c r="BF60" s="188">
        <v>355010263.50999999</v>
      </c>
      <c r="BG60" s="188">
        <v>278320628.12</v>
      </c>
      <c r="BH60" s="188">
        <v>193355065.81999999</v>
      </c>
      <c r="BI60" s="188">
        <v>383447938.93000001</v>
      </c>
      <c r="BJ60" s="188">
        <v>311366323.06999999</v>
      </c>
      <c r="BK60" s="188">
        <v>250049516.34999999</v>
      </c>
      <c r="BL60" s="188">
        <v>207396289.06999999</v>
      </c>
      <c r="BM60" s="188">
        <v>250085682.47999999</v>
      </c>
      <c r="BN60" s="188">
        <v>190785252.78999999</v>
      </c>
      <c r="BO60" s="188">
        <v>126708958.8</v>
      </c>
      <c r="BP60" s="188">
        <v>121401855.98999999</v>
      </c>
      <c r="BQ60" s="188">
        <v>116775657.84999999</v>
      </c>
      <c r="BR60" s="188">
        <v>160590000</v>
      </c>
      <c r="BS60" s="188">
        <v>179226656.44999999</v>
      </c>
      <c r="BT60" s="188">
        <v>138812074.46000001</v>
      </c>
      <c r="BU60" s="188">
        <v>238879360.28</v>
      </c>
      <c r="BV60" s="188">
        <v>295349924.56</v>
      </c>
      <c r="BW60" s="188">
        <v>303429006.82999998</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x14ac:dyDescent="0.25">
      <c r="A61" s="22" t="s">
        <v>94</v>
      </c>
      <c r="B61" s="188">
        <v>171085722.99000001</v>
      </c>
      <c r="C61" s="188">
        <v>98412313.170000002</v>
      </c>
      <c r="D61" s="188">
        <v>24837983.239999998</v>
      </c>
      <c r="E61" s="188">
        <v>180701153.99000001</v>
      </c>
      <c r="F61" s="188">
        <v>134917144.65000001</v>
      </c>
      <c r="G61" s="188">
        <v>74158469.930000007</v>
      </c>
      <c r="H61" s="188">
        <v>21153390.219999999</v>
      </c>
      <c r="I61" s="188">
        <v>149796047.52000001</v>
      </c>
      <c r="J61" s="188">
        <v>110997852.59</v>
      </c>
      <c r="K61" s="188">
        <v>57578394.520000003</v>
      </c>
      <c r="L61" s="188">
        <v>10864080.15</v>
      </c>
      <c r="M61" s="188">
        <v>138852954.72999999</v>
      </c>
      <c r="N61" s="188">
        <v>94510305.099999994</v>
      </c>
      <c r="O61" s="188">
        <v>112122121.2</v>
      </c>
      <c r="P61" s="188">
        <v>100755792.95999999</v>
      </c>
      <c r="Q61" s="188">
        <v>96615239.569999993</v>
      </c>
      <c r="R61" s="188">
        <v>84191840.510000005</v>
      </c>
      <c r="S61" s="188">
        <v>0</v>
      </c>
      <c r="T61" s="188">
        <v>3668316314.3099999</v>
      </c>
      <c r="U61" s="188">
        <v>11247079416.6</v>
      </c>
      <c r="V61" s="188">
        <v>9844446542.8700008</v>
      </c>
      <c r="W61" s="188">
        <v>8018840509.5699997</v>
      </c>
      <c r="X61" s="188">
        <v>5021265735.6800003</v>
      </c>
      <c r="Y61" s="188">
        <v>13738666127.280001</v>
      </c>
      <c r="Z61" s="188">
        <v>10714823425.139999</v>
      </c>
      <c r="AA61" s="188">
        <v>6953750204.0600004</v>
      </c>
      <c r="AB61" s="188">
        <v>4198837745.8499999</v>
      </c>
      <c r="AC61" s="188">
        <v>8499953680.3400002</v>
      </c>
      <c r="AD61" s="188">
        <v>6617520406.8800001</v>
      </c>
      <c r="AE61" s="188">
        <v>4620487255.2299995</v>
      </c>
      <c r="AF61" s="188">
        <v>2860511552.8600001</v>
      </c>
      <c r="AG61" s="188">
        <v>6070242930.5299997</v>
      </c>
      <c r="AH61" s="188">
        <v>4678944660.54</v>
      </c>
      <c r="AI61" s="188">
        <v>3109457544.54</v>
      </c>
      <c r="AJ61" s="188">
        <v>2086683017.0799999</v>
      </c>
      <c r="AK61" s="188">
        <v>4605588627.2399998</v>
      </c>
      <c r="AL61" s="188">
        <v>3165661793.5300002</v>
      </c>
      <c r="AM61" s="188">
        <v>2157825039.6700001</v>
      </c>
      <c r="AN61" s="188">
        <v>1660437310.8499999</v>
      </c>
      <c r="AO61" s="188">
        <v>2399155657.23</v>
      </c>
      <c r="AP61" s="188">
        <v>2102072670.8800001</v>
      </c>
      <c r="AQ61" s="188">
        <v>1711707483.9000001</v>
      </c>
      <c r="AR61" s="188">
        <v>1351525377.55</v>
      </c>
      <c r="AS61" s="188">
        <v>2178346547.23</v>
      </c>
      <c r="AT61" s="188">
        <v>1975096563.3199999</v>
      </c>
      <c r="AU61" s="188">
        <v>1707052031.6900001</v>
      </c>
      <c r="AV61" s="188">
        <v>1119753768.3699999</v>
      </c>
      <c r="AW61" s="188">
        <v>1785725643.3699999</v>
      </c>
      <c r="AX61" s="188">
        <v>1549585817.3299999</v>
      </c>
      <c r="AY61" s="188">
        <v>1243144118.5999999</v>
      </c>
      <c r="AZ61" s="188">
        <v>829759156.85000002</v>
      </c>
      <c r="BA61" s="188">
        <v>1195909167.23</v>
      </c>
      <c r="BB61" s="188">
        <v>1157604089.3399999</v>
      </c>
      <c r="BC61" s="188">
        <v>928586259.21000004</v>
      </c>
      <c r="BD61" s="188">
        <v>655022009.11000001</v>
      </c>
      <c r="BE61" s="188">
        <v>1271161056.04</v>
      </c>
      <c r="BF61" s="188">
        <v>1034174338.03</v>
      </c>
      <c r="BG61" s="188">
        <v>816283288.12</v>
      </c>
      <c r="BH61" s="188">
        <v>576749189.01999998</v>
      </c>
      <c r="BI61" s="188">
        <v>1087240669.8699999</v>
      </c>
      <c r="BJ61" s="188">
        <v>859671518.20000005</v>
      </c>
      <c r="BK61" s="188">
        <v>639704194.78999996</v>
      </c>
      <c r="BL61" s="188">
        <v>496908074.43000001</v>
      </c>
      <c r="BM61" s="188">
        <v>869070350.38999999</v>
      </c>
      <c r="BN61" s="188">
        <v>702478871.35000002</v>
      </c>
      <c r="BO61" s="188">
        <v>500271545.93000001</v>
      </c>
      <c r="BP61" s="188">
        <v>374639392.75</v>
      </c>
      <c r="BQ61" s="188">
        <v>933092174.58000004</v>
      </c>
      <c r="BR61" s="188">
        <v>814730000</v>
      </c>
      <c r="BS61" s="188">
        <v>658209862.01999998</v>
      </c>
      <c r="BT61" s="188">
        <v>420642649.88999999</v>
      </c>
      <c r="BU61" s="188">
        <v>1007096192.78</v>
      </c>
      <c r="BV61" s="188">
        <v>725162725.00999999</v>
      </c>
      <c r="BW61" s="188">
        <v>786944238.74000001</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10097461.369999999</v>
      </c>
      <c r="C65" s="188">
        <v>6298289.5899999999</v>
      </c>
      <c r="D65" s="188">
        <v>4090676.54</v>
      </c>
      <c r="E65" s="188">
        <v>8230887.71</v>
      </c>
      <c r="F65" s="188">
        <v>5563118.3600000003</v>
      </c>
      <c r="G65" s="188">
        <v>2828229.63</v>
      </c>
      <c r="H65" s="188">
        <v>741331</v>
      </c>
      <c r="I65" s="188">
        <v>336511.65</v>
      </c>
      <c r="J65" s="188">
        <v>95728.77</v>
      </c>
      <c r="K65" s="188">
        <v>59769.87</v>
      </c>
      <c r="L65" s="188">
        <v>0</v>
      </c>
      <c r="M65" s="188">
        <v>0</v>
      </c>
      <c r="N65" s="188">
        <v>107261.55</v>
      </c>
      <c r="O65" s="188">
        <v>0</v>
      </c>
      <c r="P65" s="188">
        <v>0</v>
      </c>
      <c r="Q65" s="188">
        <v>0</v>
      </c>
      <c r="R65" s="188">
        <v>0</v>
      </c>
      <c r="S65" s="188">
        <v>0</v>
      </c>
      <c r="T65" s="188">
        <v>0</v>
      </c>
      <c r="U65" s="188">
        <v>4298863.95</v>
      </c>
      <c r="V65" s="188">
        <v>-2465402.86</v>
      </c>
      <c r="W65" s="188">
        <v>-2465402.86</v>
      </c>
      <c r="X65" s="188">
        <v>0</v>
      </c>
      <c r="Y65" s="188">
        <v>3007200.68</v>
      </c>
      <c r="Z65" s="188">
        <v>-917593.17</v>
      </c>
      <c r="AA65" s="188">
        <v>-984891.57</v>
      </c>
      <c r="AB65" s="188">
        <v>-9791.5400000000009</v>
      </c>
      <c r="AC65" s="188">
        <v>2400112.7400000002</v>
      </c>
      <c r="AD65" s="188">
        <v>-3804432.96</v>
      </c>
      <c r="AE65" s="188">
        <v>-3956459.4</v>
      </c>
      <c r="AF65" s="188">
        <v>9936.35</v>
      </c>
      <c r="AG65" s="188">
        <v>3377150.17</v>
      </c>
      <c r="AH65" s="188">
        <v>-3505725.42</v>
      </c>
      <c r="AI65" s="188">
        <v>-3858370.54</v>
      </c>
      <c r="AJ65" s="188">
        <v>126698.54</v>
      </c>
      <c r="AK65" s="188">
        <v>3117340.01</v>
      </c>
      <c r="AL65" s="188">
        <v>-2381433.1800000002</v>
      </c>
      <c r="AM65" s="188">
        <v>-2412569.77</v>
      </c>
      <c r="AN65" s="188">
        <v>0</v>
      </c>
      <c r="AO65" s="188">
        <v>1579121.31</v>
      </c>
      <c r="AP65" s="188">
        <v>-929569.49</v>
      </c>
      <c r="AQ65" s="188">
        <v>-929569.49</v>
      </c>
      <c r="AR65" s="188">
        <v>0</v>
      </c>
      <c r="AS65" s="188">
        <v>3199582.46</v>
      </c>
      <c r="AT65" s="188">
        <v>556604.28</v>
      </c>
      <c r="AU65" s="188">
        <v>47918.79</v>
      </c>
      <c r="AV65" s="188">
        <v>665864.48</v>
      </c>
      <c r="AW65" s="188">
        <v>5051692.58</v>
      </c>
      <c r="AX65" s="188">
        <v>2496157.7200000002</v>
      </c>
      <c r="AY65" s="188">
        <v>1832311.81</v>
      </c>
      <c r="AZ65" s="188">
        <v>100000</v>
      </c>
      <c r="BA65" s="188">
        <v>-3923017.4</v>
      </c>
      <c r="BB65" s="188">
        <v>-497364.9</v>
      </c>
      <c r="BC65" s="188">
        <v>-499893.8</v>
      </c>
      <c r="BD65" s="188">
        <v>0</v>
      </c>
      <c r="BE65" s="188">
        <v>-126753.75</v>
      </c>
      <c r="BF65" s="188">
        <v>344265.81</v>
      </c>
      <c r="BG65" s="188">
        <v>344265.81</v>
      </c>
      <c r="BH65" s="188">
        <v>1026367.48</v>
      </c>
      <c r="BI65" s="188">
        <v>-554425.18000000005</v>
      </c>
      <c r="BJ65" s="188">
        <v>287254.11</v>
      </c>
      <c r="BK65" s="188">
        <v>52424.27</v>
      </c>
      <c r="BL65" s="188">
        <v>265460.88</v>
      </c>
      <c r="BM65" s="188">
        <v>178932.4</v>
      </c>
      <c r="BN65" s="188">
        <v>1871129.6000000001</v>
      </c>
      <c r="BO65" s="188">
        <v>1511721.55</v>
      </c>
      <c r="BP65" s="188">
        <v>-174029.22</v>
      </c>
      <c r="BQ65" s="188">
        <v>12349967.949999999</v>
      </c>
      <c r="BR65" s="188">
        <v>12720000</v>
      </c>
      <c r="BS65" s="188">
        <v>9766309.1799999997</v>
      </c>
      <c r="BT65" s="188">
        <v>5348519.25</v>
      </c>
      <c r="BU65" s="188">
        <v>2373601.7000000002</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x14ac:dyDescent="0.25">
      <c r="A66" s="22" t="s">
        <v>99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566442.73</v>
      </c>
      <c r="V66" s="188">
        <v>-6197824.0800000001</v>
      </c>
      <c r="W66" s="188">
        <v>-6197824.0800000001</v>
      </c>
      <c r="X66" s="188">
        <v>0</v>
      </c>
      <c r="Y66" s="188">
        <v>-396769.54</v>
      </c>
      <c r="Z66" s="188">
        <v>0</v>
      </c>
      <c r="AA66" s="188">
        <v>0</v>
      </c>
      <c r="AB66" s="188">
        <v>0</v>
      </c>
      <c r="AC66" s="188">
        <v>2110192.46</v>
      </c>
      <c r="AD66" s="188">
        <v>-4089468.16</v>
      </c>
      <c r="AE66" s="188">
        <v>-4089468.16</v>
      </c>
      <c r="AF66" s="188">
        <v>0</v>
      </c>
      <c r="AG66" s="188">
        <v>2545036.6</v>
      </c>
      <c r="AH66" s="188">
        <v>0</v>
      </c>
      <c r="AI66" s="188">
        <v>-4182065.41</v>
      </c>
      <c r="AJ66" s="188">
        <v>0</v>
      </c>
      <c r="AK66" s="188">
        <v>2508787.02</v>
      </c>
      <c r="AL66" s="188">
        <v>-2412569.77</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10097461.369999999</v>
      </c>
      <c r="C67" s="4">
        <f t="shared" ref="C67:BN67" si="67">C65-C66</f>
        <v>6298289.5899999999</v>
      </c>
      <c r="D67" s="4">
        <f t="shared" si="67"/>
        <v>4090676.54</v>
      </c>
      <c r="E67" s="4">
        <f t="shared" si="67"/>
        <v>8230887.71</v>
      </c>
      <c r="F67" s="4">
        <f t="shared" si="67"/>
        <v>5563118.3600000003</v>
      </c>
      <c r="G67" s="4">
        <f t="shared" si="67"/>
        <v>2828229.63</v>
      </c>
      <c r="H67" s="4">
        <f t="shared" si="67"/>
        <v>741331</v>
      </c>
      <c r="I67" s="4">
        <f t="shared" si="67"/>
        <v>336511.65</v>
      </c>
      <c r="J67" s="4">
        <f t="shared" si="67"/>
        <v>95728.77</v>
      </c>
      <c r="K67" s="4">
        <f t="shared" si="67"/>
        <v>59769.87</v>
      </c>
      <c r="L67" s="4">
        <f t="shared" si="67"/>
        <v>0</v>
      </c>
      <c r="M67" s="4">
        <f t="shared" si="67"/>
        <v>0</v>
      </c>
      <c r="N67" s="4">
        <f t="shared" si="67"/>
        <v>107261.55</v>
      </c>
      <c r="O67" s="4">
        <f t="shared" si="67"/>
        <v>0</v>
      </c>
      <c r="P67" s="4">
        <f t="shared" si="67"/>
        <v>0</v>
      </c>
      <c r="Q67" s="4">
        <f t="shared" si="67"/>
        <v>0</v>
      </c>
      <c r="R67" s="4">
        <f t="shared" si="67"/>
        <v>0</v>
      </c>
      <c r="S67" s="4">
        <f t="shared" si="67"/>
        <v>0</v>
      </c>
      <c r="T67" s="4">
        <f t="shared" si="67"/>
        <v>0</v>
      </c>
      <c r="U67" s="4">
        <f t="shared" si="67"/>
        <v>3732421.22</v>
      </c>
      <c r="V67" s="4">
        <f t="shared" si="67"/>
        <v>3732421.22</v>
      </c>
      <c r="W67" s="4">
        <f t="shared" si="67"/>
        <v>3732421.22</v>
      </c>
      <c r="X67" s="4">
        <f t="shared" si="67"/>
        <v>0</v>
      </c>
      <c r="Y67" s="4">
        <f t="shared" si="67"/>
        <v>3403970.22</v>
      </c>
      <c r="Z67" s="4">
        <f t="shared" si="67"/>
        <v>-917593.17</v>
      </c>
      <c r="AA67" s="4">
        <f t="shared" si="67"/>
        <v>-984891.57</v>
      </c>
      <c r="AB67" s="4">
        <f t="shared" si="67"/>
        <v>-9791.5400000000009</v>
      </c>
      <c r="AC67" s="4">
        <f t="shared" si="67"/>
        <v>289920.28000000026</v>
      </c>
      <c r="AD67" s="4">
        <f t="shared" si="67"/>
        <v>285035.20000000019</v>
      </c>
      <c r="AE67" s="4">
        <f t="shared" si="67"/>
        <v>133008.76000000024</v>
      </c>
      <c r="AF67" s="4">
        <f t="shared" si="67"/>
        <v>9936.35</v>
      </c>
      <c r="AG67" s="4">
        <f t="shared" si="67"/>
        <v>832113.56999999983</v>
      </c>
      <c r="AH67" s="4">
        <f t="shared" si="67"/>
        <v>-3505725.42</v>
      </c>
      <c r="AI67" s="4">
        <f t="shared" si="67"/>
        <v>323694.87000000011</v>
      </c>
      <c r="AJ67" s="4">
        <f t="shared" si="67"/>
        <v>126698.54</v>
      </c>
      <c r="AK67" s="4">
        <f t="shared" si="67"/>
        <v>608552.98999999976</v>
      </c>
      <c r="AL67" s="4">
        <f t="shared" si="67"/>
        <v>31136.589999999851</v>
      </c>
      <c r="AM67" s="4">
        <f t="shared" si="67"/>
        <v>-2412569.77</v>
      </c>
      <c r="AN67" s="4">
        <f t="shared" si="67"/>
        <v>0</v>
      </c>
      <c r="AO67" s="4">
        <f t="shared" si="67"/>
        <v>1579121.31</v>
      </c>
      <c r="AP67" s="4">
        <f t="shared" si="67"/>
        <v>-929569.49</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-1166585.8899999999</v>
      </c>
      <c r="C68" s="188">
        <v>-879288.47</v>
      </c>
      <c r="D68" s="188">
        <v>-630229.32999999996</v>
      </c>
      <c r="E68" s="188">
        <v>-1434867.01</v>
      </c>
      <c r="F68" s="188">
        <v>-758922.69</v>
      </c>
      <c r="G68" s="188">
        <v>-281346.90000000002</v>
      </c>
      <c r="H68" s="188">
        <v>183351.79</v>
      </c>
      <c r="I68" s="188">
        <v>3782077.84</v>
      </c>
      <c r="J68" s="188">
        <v>3238675.13</v>
      </c>
      <c r="K68" s="188">
        <v>1975386.39</v>
      </c>
      <c r="L68" s="188">
        <v>993260.07</v>
      </c>
      <c r="M68" s="188">
        <v>5143139.6100000003</v>
      </c>
      <c r="N68" s="188">
        <v>4223801.82</v>
      </c>
      <c r="O68" s="188">
        <v>9559356.6699999999</v>
      </c>
      <c r="P68" s="188">
        <v>10976780</v>
      </c>
      <c r="Q68" s="188">
        <v>-4194.4399999999996</v>
      </c>
      <c r="R68" s="188">
        <v>-591674.91</v>
      </c>
      <c r="S68" s="188">
        <v>0</v>
      </c>
      <c r="T68" s="188">
        <v>-245115593.80000001</v>
      </c>
      <c r="U68" s="188">
        <v>-826879677.55999994</v>
      </c>
      <c r="V68" s="188">
        <v>-659404182.44000006</v>
      </c>
      <c r="W68" s="188">
        <v>-471944898.50999999</v>
      </c>
      <c r="X68" s="188">
        <v>-238664090.94</v>
      </c>
      <c r="Y68" s="188">
        <v>-789586016.60000002</v>
      </c>
      <c r="Z68" s="188">
        <v>-620329449.92999995</v>
      </c>
      <c r="AA68" s="188">
        <v>-400245467.81999999</v>
      </c>
      <c r="AB68" s="188">
        <v>-142309808.88</v>
      </c>
      <c r="AC68" s="188">
        <v>-476587420.81</v>
      </c>
      <c r="AD68" s="188">
        <v>-235104521.34</v>
      </c>
      <c r="AE68" s="188">
        <v>-187674784.06999999</v>
      </c>
      <c r="AF68" s="188">
        <v>-23414404.640000001</v>
      </c>
      <c r="AG68" s="188">
        <v>-192470846.37</v>
      </c>
      <c r="AH68" s="188">
        <v>-105230410.26000001</v>
      </c>
      <c r="AI68" s="188">
        <v>-77281557.629999995</v>
      </c>
      <c r="AJ68" s="188">
        <v>-11990167.300000001</v>
      </c>
      <c r="AK68" s="188">
        <v>-109732181.41</v>
      </c>
      <c r="AL68" s="188">
        <v>-66018480.219999999</v>
      </c>
      <c r="AM68" s="188">
        <v>-40647909.57</v>
      </c>
      <c r="AN68" s="188">
        <v>-10967664.689999999</v>
      </c>
      <c r="AO68" s="188">
        <v>-159954267.43000001</v>
      </c>
      <c r="AP68" s="188">
        <v>-87720223.980000004</v>
      </c>
      <c r="AQ68" s="188">
        <v>-74810065.359999999</v>
      </c>
      <c r="AR68" s="188">
        <v>-15614749.33</v>
      </c>
      <c r="AS68" s="188">
        <v>-92227613.010000005</v>
      </c>
      <c r="AT68" s="188">
        <v>-41018279.990000002</v>
      </c>
      <c r="AU68" s="188">
        <v>-36487207.520000003</v>
      </c>
      <c r="AV68" s="188">
        <v>-3376979.14</v>
      </c>
      <c r="AW68" s="188">
        <v>-50497352.530000001</v>
      </c>
      <c r="AX68" s="188">
        <v>-26367719.059999999</v>
      </c>
      <c r="AY68" s="188">
        <v>-24396518</v>
      </c>
      <c r="AZ68" s="188">
        <v>-2917708.8</v>
      </c>
      <c r="BA68" s="188">
        <v>-25225980.809999999</v>
      </c>
      <c r="BB68" s="188">
        <v>-7438048.8600000003</v>
      </c>
      <c r="BC68" s="188">
        <v>-5495968.9100000001</v>
      </c>
      <c r="BD68" s="188">
        <v>-6057952.7199999997</v>
      </c>
      <c r="BE68" s="188">
        <v>-26456599.109999999</v>
      </c>
      <c r="BF68" s="188">
        <v>-12780406.130000001</v>
      </c>
      <c r="BG68" s="188">
        <v>-11107770.039999999</v>
      </c>
      <c r="BH68" s="188">
        <v>-1735818.19</v>
      </c>
      <c r="BI68" s="188">
        <v>-28358707.260000002</v>
      </c>
      <c r="BJ68" s="188">
        <v>-19582453.850000001</v>
      </c>
      <c r="BK68" s="188">
        <v>-12127010.279999999</v>
      </c>
      <c r="BL68" s="188">
        <v>-2445731.69</v>
      </c>
      <c r="BM68" s="188">
        <v>-26693808.859999999</v>
      </c>
      <c r="BN68" s="188">
        <v>-21740886.899999999</v>
      </c>
      <c r="BO68" s="188">
        <v>-11645839.699999999</v>
      </c>
      <c r="BP68" s="188">
        <v>-7526726.1299999999</v>
      </c>
      <c r="BQ68" s="188">
        <v>-25420934.84</v>
      </c>
      <c r="BR68" s="188">
        <v>0</v>
      </c>
      <c r="BS68" s="188">
        <v>-16481097.720000001</v>
      </c>
      <c r="BT68" s="188">
        <v>-5451391.75</v>
      </c>
      <c r="BU68" s="188">
        <v>-14348624.140000001</v>
      </c>
      <c r="BV68" s="188">
        <v>-7438579.8600000003</v>
      </c>
      <c r="BW68" s="188">
        <v>-15086567.960000001</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1205364297.6300001</v>
      </c>
      <c r="C70" s="188">
        <v>1143112009.8699999</v>
      </c>
      <c r="D70" s="188">
        <v>1105757564.23</v>
      </c>
      <c r="E70" s="188">
        <v>1094321354.0599999</v>
      </c>
      <c r="F70" s="188">
        <v>1053764474.4</v>
      </c>
      <c r="G70" s="188">
        <v>1001055226.26</v>
      </c>
      <c r="H70" s="188">
        <v>991797985.12</v>
      </c>
      <c r="I70" s="188">
        <v>985414241.73000002</v>
      </c>
      <c r="J70" s="188">
        <v>444444693.16000003</v>
      </c>
      <c r="K70" s="188">
        <v>399276395.75</v>
      </c>
      <c r="L70" s="188">
        <v>478018286.77999997</v>
      </c>
      <c r="M70" s="188">
        <v>387347869.01999998</v>
      </c>
      <c r="N70" s="188">
        <v>317743228</v>
      </c>
      <c r="O70" s="188">
        <v>254378428.47999999</v>
      </c>
      <c r="P70" s="188">
        <v>209769272.30000001</v>
      </c>
      <c r="Q70" s="188">
        <v>0</v>
      </c>
      <c r="R70" s="188"/>
      <c r="S70" s="188"/>
      <c r="T70" s="188">
        <v>39754833137.690002</v>
      </c>
      <c r="U70" s="188">
        <v>37019284552.089996</v>
      </c>
      <c r="V70" s="188">
        <v>35936255140.220001</v>
      </c>
      <c r="W70" s="188">
        <v>34492053862.870003</v>
      </c>
      <c r="X70" s="188">
        <v>35275133265.93</v>
      </c>
      <c r="Y70" s="188">
        <v>31521070553.299999</v>
      </c>
      <c r="Z70" s="188">
        <v>29621442772.68</v>
      </c>
      <c r="AA70" s="188">
        <v>26749200973.880001</v>
      </c>
      <c r="AB70" s="188">
        <v>26577947881.900002</v>
      </c>
      <c r="AC70" s="188">
        <v>23446688740.450001</v>
      </c>
      <c r="AD70" s="188">
        <v>22228578013.470001</v>
      </c>
      <c r="AE70" s="188">
        <v>20718108830.41</v>
      </c>
      <c r="AF70" s="188">
        <v>20565137134.060001</v>
      </c>
      <c r="AG70" s="188">
        <v>18366101541.470001</v>
      </c>
      <c r="AH70" s="188">
        <v>17519043970.790001</v>
      </c>
      <c r="AI70" s="188">
        <v>16339410822.219999</v>
      </c>
      <c r="AJ70" s="188">
        <v>16187697852.24</v>
      </c>
      <c r="AK70" s="188">
        <v>14580462144.59</v>
      </c>
      <c r="AL70" s="188">
        <v>13658846653.6</v>
      </c>
      <c r="AM70" s="188">
        <v>12886039184.620001</v>
      </c>
      <c r="AN70" s="188">
        <v>12725217105.43</v>
      </c>
      <c r="AO70" s="188">
        <v>11455936876.719999</v>
      </c>
      <c r="AP70" s="188">
        <v>11230323337.110001</v>
      </c>
      <c r="AQ70" s="188">
        <v>10934383750.469999</v>
      </c>
      <c r="AR70" s="188">
        <v>10641944677.48</v>
      </c>
      <c r="AS70" s="188">
        <v>9626236984.1700001</v>
      </c>
      <c r="AT70" s="188">
        <v>9485588152.4899998</v>
      </c>
      <c r="AU70" s="188">
        <v>9304015150.3199997</v>
      </c>
      <c r="AV70" s="188">
        <v>9051649388.7700005</v>
      </c>
      <c r="AW70" s="188">
        <v>8295168514.6400003</v>
      </c>
      <c r="AX70" s="188">
        <v>8139685182.96</v>
      </c>
      <c r="AY70" s="188">
        <v>7938750364.1499996</v>
      </c>
      <c r="AZ70" s="188">
        <v>7934784508.5</v>
      </c>
      <c r="BA70" s="188">
        <v>7385968978.54</v>
      </c>
      <c r="BB70" s="188">
        <v>7360716151.5900002</v>
      </c>
      <c r="BC70" s="188">
        <v>7179425965.6499996</v>
      </c>
      <c r="BD70" s="188">
        <v>7003465589.3699999</v>
      </c>
      <c r="BE70" s="188">
        <v>6586961901.7700005</v>
      </c>
      <c r="BF70" s="188">
        <v>6433916281.1800003</v>
      </c>
      <c r="BG70" s="188">
        <v>6292714866.6599998</v>
      </c>
      <c r="BH70" s="188">
        <v>6409286809.8599997</v>
      </c>
      <c r="BI70" s="188">
        <v>6025892686.6599998</v>
      </c>
      <c r="BJ70" s="188">
        <v>5870405150.8400002</v>
      </c>
      <c r="BK70" s="188">
        <v>5711754634.1499996</v>
      </c>
      <c r="BL70" s="188">
        <v>5611611741.0699997</v>
      </c>
      <c r="BM70" s="188">
        <v>5322099955.71</v>
      </c>
      <c r="BN70" s="188">
        <v>5214293132.5200005</v>
      </c>
      <c r="BO70" s="188">
        <v>5075362101.0900002</v>
      </c>
      <c r="BP70" s="188">
        <v>4954980669.5600004</v>
      </c>
      <c r="BQ70" s="188">
        <v>4702243132.8000002</v>
      </c>
      <c r="BR70" s="188">
        <v>0</v>
      </c>
      <c r="BS70" s="188">
        <v>4385655821.6400003</v>
      </c>
      <c r="BT70" s="188">
        <v>4238623191.5</v>
      </c>
      <c r="BU70" s="188">
        <v>3191216198.9499998</v>
      </c>
      <c r="BV70" s="188">
        <v>2850312166.9000001</v>
      </c>
      <c r="BW70" s="188">
        <v>2420499366.4499998</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O41" sqref="O41"/>
    </sheetView>
  </sheetViews>
  <sheetFormatPr defaultRowHeight="14.4" x14ac:dyDescent="0.25"/>
  <cols>
    <col min="1" max="1" width="77.5546875" style="17" bestFit="1" customWidth="1"/>
    <col min="2" max="2" width="22.5546875" hidden="1" customWidth="1"/>
    <col min="3" max="3" width="20" hidden="1" customWidth="1"/>
    <col min="4" max="4" width="18.6640625" hidden="1" customWidth="1"/>
    <col min="5" max="5" width="22.5546875" bestFit="1" customWidth="1"/>
    <col min="6" max="8" width="18.109375" hidden="1" customWidth="1"/>
    <col min="9" max="9" width="22.5546875" bestFit="1" customWidth="1"/>
    <col min="10" max="12" width="18.109375" hidden="1" customWidth="1"/>
    <col min="13" max="13" width="22.5546875" bestFit="1" customWidth="1"/>
    <col min="14" max="14" width="18.109375" hidden="1" customWidth="1"/>
    <col min="15" max="15" width="18.109375" bestFit="1" customWidth="1"/>
    <col min="16" max="16" width="20.33203125" bestFit="1" customWidth="1"/>
    <col min="17" max="17" width="22.5546875" bestFit="1" customWidth="1"/>
    <col min="18" max="18" width="20.33203125" bestFit="1" customWidth="1"/>
    <col min="19" max="19" width="20.33203125" hidden="1" customWidth="1"/>
    <col min="20" max="20" width="21.5546875" hidden="1" customWidth="1"/>
    <col min="21" max="21" width="22.5546875" bestFit="1" customWidth="1"/>
    <col min="22" max="23" width="21.5546875" hidden="1" customWidth="1"/>
    <col min="24" max="24" width="20.33203125" hidden="1" customWidth="1"/>
    <col min="25" max="25" width="22.5546875" bestFit="1" customWidth="1"/>
    <col min="26" max="27" width="21.5546875" hidden="1" customWidth="1"/>
    <col min="28" max="28" width="20.33203125" hidden="1" customWidth="1"/>
    <col min="29" max="29" width="21.5546875" bestFit="1" customWidth="1"/>
    <col min="30" max="31" width="21.5546875" hidden="1" customWidth="1"/>
    <col min="32"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19.33203125" hidden="1" customWidth="1"/>
    <col min="73" max="73" width="20.33203125" bestFit="1" customWidth="1"/>
    <col min="74" max="74" width="12.21875" hidden="1" customWidth="1"/>
  </cols>
  <sheetData>
    <row r="1" spans="1:74" s="6" customFormat="1" x14ac:dyDescent="0.25">
      <c r="A1" s="103">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1" customFormat="1" x14ac:dyDescent="0.25">
      <c r="A3" s="191" t="s">
        <v>320</v>
      </c>
      <c r="B3" s="188">
        <v>55629.26</v>
      </c>
      <c r="C3" s="188">
        <v>52629.26</v>
      </c>
      <c r="D3" s="188">
        <v>37795.65</v>
      </c>
      <c r="E3" s="188">
        <v>370072.1</v>
      </c>
      <c r="F3" s="188">
        <v>436200</v>
      </c>
      <c r="G3" s="188">
        <v>424700</v>
      </c>
      <c r="H3" s="188">
        <v>281880</v>
      </c>
      <c r="I3" s="188">
        <v>9612025.1600000001</v>
      </c>
      <c r="J3" s="188">
        <v>49163.3</v>
      </c>
      <c r="K3" s="188">
        <v>17833</v>
      </c>
      <c r="L3" s="188">
        <v>7689</v>
      </c>
      <c r="M3" s="188">
        <v>67792.53</v>
      </c>
      <c r="N3" s="188">
        <v>45745.03</v>
      </c>
      <c r="O3" s="188">
        <v>176528</v>
      </c>
      <c r="P3" s="188">
        <v>119436</v>
      </c>
      <c r="Q3" s="188">
        <v>1219188.68</v>
      </c>
      <c r="R3" s="188">
        <v>374680.55</v>
      </c>
      <c r="S3" s="188">
        <v>0</v>
      </c>
      <c r="T3" s="191">
        <v>23558470.84</v>
      </c>
      <c r="U3" s="191">
        <v>3782193.81</v>
      </c>
      <c r="V3" s="191">
        <v>3391378.97</v>
      </c>
      <c r="W3" s="191">
        <v>3252166.77</v>
      </c>
      <c r="X3" s="191">
        <v>261460.28</v>
      </c>
      <c r="Y3" s="191">
        <v>685226.29</v>
      </c>
      <c r="Z3" s="191">
        <v>185350.6</v>
      </c>
      <c r="AA3" s="191">
        <v>185350.6</v>
      </c>
      <c r="AB3" s="191">
        <v>28460.6</v>
      </c>
      <c r="AC3" s="191">
        <v>5239472.51</v>
      </c>
      <c r="AD3" s="191">
        <v>203195</v>
      </c>
      <c r="AE3" s="191">
        <v>200000</v>
      </c>
      <c r="AF3" s="191">
        <v>0</v>
      </c>
      <c r="AG3" s="191">
        <v>1556299.86</v>
      </c>
      <c r="AH3" s="191">
        <v>13391400.119999999</v>
      </c>
      <c r="AI3" s="191">
        <v>13290787.810000001</v>
      </c>
      <c r="AJ3" s="191">
        <v>510426.18</v>
      </c>
      <c r="AK3" s="191">
        <v>310042.07</v>
      </c>
      <c r="AL3" s="191">
        <v>167266.07</v>
      </c>
      <c r="AM3" s="191">
        <v>167266.07</v>
      </c>
      <c r="AN3" s="191">
        <v>1649.81</v>
      </c>
      <c r="AO3" s="191">
        <v>3361413.55</v>
      </c>
      <c r="AP3" s="191">
        <v>2432381.64</v>
      </c>
      <c r="AQ3" s="191">
        <v>710417.99</v>
      </c>
      <c r="AR3" s="191">
        <v>5100</v>
      </c>
      <c r="AS3" s="191">
        <v>1461877.56</v>
      </c>
      <c r="AT3" s="191">
        <v>915725.99</v>
      </c>
      <c r="AU3" s="191">
        <v>888021.74</v>
      </c>
      <c r="AV3" s="191">
        <v>464588.74</v>
      </c>
      <c r="AW3" s="191">
        <v>573336.46</v>
      </c>
      <c r="AX3" s="191">
        <v>488804.96</v>
      </c>
      <c r="AY3" s="191">
        <v>270000</v>
      </c>
      <c r="AZ3" s="191">
        <v>0</v>
      </c>
      <c r="BA3" s="191">
        <v>863329.02</v>
      </c>
      <c r="BB3" s="191">
        <v>813805.81</v>
      </c>
      <c r="BC3" s="191">
        <v>727743.76</v>
      </c>
      <c r="BD3" s="191">
        <v>17650.599999999999</v>
      </c>
      <c r="BE3" s="191">
        <v>8589013.4800000004</v>
      </c>
      <c r="BF3" s="191">
        <v>7499124.0300000003</v>
      </c>
      <c r="BG3" s="191">
        <v>7168613.4299999997</v>
      </c>
      <c r="BH3" s="191">
        <v>21398</v>
      </c>
      <c r="BI3" s="191">
        <v>6970503.7599999998</v>
      </c>
      <c r="BJ3" s="191">
        <v>0</v>
      </c>
      <c r="BK3" s="191">
        <v>211614.42</v>
      </c>
      <c r="BL3" s="191">
        <v>50000</v>
      </c>
      <c r="BM3" s="191">
        <v>27193335.649999999</v>
      </c>
      <c r="BN3" s="191">
        <v>40285.5</v>
      </c>
      <c r="BO3" s="191">
        <v>371490.58</v>
      </c>
      <c r="BP3" s="191">
        <v>0</v>
      </c>
      <c r="BQ3" s="191">
        <v>3580</v>
      </c>
      <c r="BR3" s="191">
        <v>1500</v>
      </c>
      <c r="BS3" s="191">
        <v>52101.23</v>
      </c>
      <c r="BT3" s="191">
        <v>1680</v>
      </c>
      <c r="BU3" s="191">
        <v>25980.76</v>
      </c>
      <c r="BV3" s="191">
        <v>0</v>
      </c>
    </row>
    <row r="4" spans="1:74" s="191" customFormat="1" x14ac:dyDescent="0.25">
      <c r="A4" s="191" t="s">
        <v>304</v>
      </c>
      <c r="B4" s="188">
        <v>74805991.439999998</v>
      </c>
      <c r="C4" s="188">
        <v>44863084.299999997</v>
      </c>
      <c r="D4" s="188">
        <v>20165188.25</v>
      </c>
      <c r="E4" s="188">
        <v>95221366.510000005</v>
      </c>
      <c r="F4" s="188">
        <v>59997371.659999996</v>
      </c>
      <c r="G4" s="188">
        <v>30176346.969999999</v>
      </c>
      <c r="H4" s="188">
        <v>17617551.010000002</v>
      </c>
      <c r="I4" s="188">
        <v>68799140.079999998</v>
      </c>
      <c r="J4" s="188">
        <v>56123747.530000001</v>
      </c>
      <c r="K4" s="188">
        <v>33793913.229999997</v>
      </c>
      <c r="L4" s="188">
        <v>16034616.74</v>
      </c>
      <c r="M4" s="188">
        <v>44719761.340000004</v>
      </c>
      <c r="N4" s="188">
        <v>28732733.170000002</v>
      </c>
      <c r="O4" s="188">
        <v>34035618.399999999</v>
      </c>
      <c r="P4" s="188">
        <v>205534323.25</v>
      </c>
      <c r="Q4" s="188">
        <v>98020191.620000005</v>
      </c>
      <c r="R4" s="188">
        <v>20215098.969999999</v>
      </c>
      <c r="S4" s="188">
        <v>0</v>
      </c>
      <c r="T4" s="191">
        <v>88471907.120000005</v>
      </c>
      <c r="U4" s="191">
        <v>341534397.35000002</v>
      </c>
      <c r="V4" s="191">
        <v>286139179.36000001</v>
      </c>
      <c r="W4" s="191">
        <v>215862695.83000001</v>
      </c>
      <c r="X4" s="191">
        <v>144070201.88999999</v>
      </c>
      <c r="Y4" s="191">
        <v>355506717.47000003</v>
      </c>
      <c r="Z4" s="191">
        <v>228521903.88999999</v>
      </c>
      <c r="AA4" s="191">
        <v>204363119.03999999</v>
      </c>
      <c r="AB4" s="191">
        <v>146432254.69999999</v>
      </c>
      <c r="AC4" s="191">
        <v>536106369.48000002</v>
      </c>
      <c r="AD4" s="191">
        <v>351106948.10000002</v>
      </c>
      <c r="AE4" s="191">
        <v>288668171.64999998</v>
      </c>
      <c r="AF4" s="191">
        <v>103106550.39</v>
      </c>
      <c r="AG4" s="191">
        <v>462908343.55000001</v>
      </c>
      <c r="AH4" s="191">
        <v>328702496.94999999</v>
      </c>
      <c r="AI4" s="191">
        <v>247966835.41</v>
      </c>
      <c r="AJ4" s="191">
        <v>135287234.63999999</v>
      </c>
      <c r="AK4" s="191">
        <v>985162241.49000001</v>
      </c>
      <c r="AL4" s="191">
        <v>193936548.19</v>
      </c>
      <c r="AM4" s="191">
        <v>169537553.47</v>
      </c>
      <c r="AN4" s="191">
        <v>105598391.20999999</v>
      </c>
      <c r="AO4" s="191">
        <v>109368261.26000001</v>
      </c>
      <c r="AP4" s="191">
        <v>82119739.920000002</v>
      </c>
      <c r="AQ4" s="191">
        <v>74523182.519999996</v>
      </c>
      <c r="AR4" s="191">
        <v>4086163.05</v>
      </c>
      <c r="AS4" s="191">
        <v>248805213.50999999</v>
      </c>
      <c r="AT4" s="191">
        <v>180806493.18000001</v>
      </c>
      <c r="AU4" s="191">
        <v>102706016.8</v>
      </c>
      <c r="AV4" s="191">
        <v>39566827.240000002</v>
      </c>
      <c r="AW4" s="191">
        <v>251397575.99000001</v>
      </c>
      <c r="AX4" s="191">
        <v>231787598.30000001</v>
      </c>
      <c r="AY4" s="191">
        <v>193913936.41999999</v>
      </c>
      <c r="AZ4" s="191">
        <v>732516.47</v>
      </c>
      <c r="BA4" s="191">
        <v>117069771.09999999</v>
      </c>
      <c r="BB4" s="191">
        <v>72571280.939999998</v>
      </c>
      <c r="BC4" s="191">
        <v>69853888.430000007</v>
      </c>
      <c r="BD4" s="191">
        <v>48611645.549999997</v>
      </c>
      <c r="BE4" s="191">
        <v>683013865.38</v>
      </c>
      <c r="BF4" s="191">
        <v>111516381.05</v>
      </c>
      <c r="BG4" s="191">
        <v>99482044.859999999</v>
      </c>
      <c r="BH4" s="191">
        <v>66469318.329999998</v>
      </c>
      <c r="BI4" s="191">
        <v>1370837016.3299999</v>
      </c>
      <c r="BJ4" s="191">
        <v>869403485.79999995</v>
      </c>
      <c r="BK4" s="191">
        <v>102523951.22</v>
      </c>
      <c r="BL4" s="191">
        <v>18067034.449999999</v>
      </c>
      <c r="BM4" s="191">
        <v>1276551302.9200001</v>
      </c>
      <c r="BN4" s="191">
        <v>227870170.09</v>
      </c>
      <c r="BO4" s="191">
        <v>1825260201.4100001</v>
      </c>
      <c r="BP4" s="191">
        <v>1033022955.65</v>
      </c>
      <c r="BQ4" s="191">
        <v>508204018.88</v>
      </c>
      <c r="BR4" s="191">
        <v>378968057.27999997</v>
      </c>
      <c r="BS4" s="191">
        <v>94153230.329999998</v>
      </c>
      <c r="BT4" s="191">
        <v>6757461.4400000004</v>
      </c>
      <c r="BU4" s="191">
        <v>585117171</v>
      </c>
      <c r="BV4" s="191">
        <v>0</v>
      </c>
    </row>
    <row r="5" spans="1:74" s="47" customFormat="1" x14ac:dyDescent="0.25">
      <c r="A5" s="47" t="s">
        <v>295</v>
      </c>
      <c r="E5" s="47">
        <f>E4-E3</f>
        <v>94851294.410000011</v>
      </c>
      <c r="F5" s="47">
        <f t="shared" ref="F5:AR5" si="0">F4-F3</f>
        <v>59561171.659999996</v>
      </c>
      <c r="G5" s="47">
        <f t="shared" si="0"/>
        <v>29751646.969999999</v>
      </c>
      <c r="H5" s="47">
        <f t="shared" si="0"/>
        <v>17335671.010000002</v>
      </c>
      <c r="I5" s="47">
        <f t="shared" si="0"/>
        <v>59187114.920000002</v>
      </c>
      <c r="J5" s="47">
        <f t="shared" si="0"/>
        <v>56074584.230000004</v>
      </c>
      <c r="K5" s="47">
        <f t="shared" si="0"/>
        <v>33776080.229999997</v>
      </c>
      <c r="L5" s="47">
        <f t="shared" si="0"/>
        <v>16026927.74</v>
      </c>
      <c r="M5" s="47">
        <f t="shared" si="0"/>
        <v>44651968.810000002</v>
      </c>
      <c r="N5" s="47">
        <f t="shared" si="0"/>
        <v>28686988.140000001</v>
      </c>
      <c r="O5" s="47">
        <f t="shared" si="0"/>
        <v>33859090.399999999</v>
      </c>
      <c r="P5" s="47">
        <f t="shared" si="0"/>
        <v>205414887.25</v>
      </c>
      <c r="Q5" s="47">
        <f t="shared" si="0"/>
        <v>96801002.939999998</v>
      </c>
      <c r="R5" s="47">
        <f t="shared" si="0"/>
        <v>19840418.419999998</v>
      </c>
      <c r="S5" s="47">
        <f t="shared" si="0"/>
        <v>0</v>
      </c>
      <c r="T5" s="47">
        <f t="shared" si="0"/>
        <v>64913436.280000001</v>
      </c>
      <c r="U5" s="47">
        <f t="shared" si="0"/>
        <v>337752203.54000002</v>
      </c>
      <c r="V5" s="47">
        <f t="shared" si="0"/>
        <v>282747800.38999999</v>
      </c>
      <c r="W5" s="47">
        <f t="shared" si="0"/>
        <v>212610529.06</v>
      </c>
      <c r="X5" s="47">
        <f t="shared" si="0"/>
        <v>143808741.60999998</v>
      </c>
      <c r="Y5" s="47">
        <f t="shared" si="0"/>
        <v>354821491.18000001</v>
      </c>
      <c r="Z5" s="47">
        <f t="shared" si="0"/>
        <v>228336553.28999999</v>
      </c>
      <c r="AA5" s="47">
        <f t="shared" si="0"/>
        <v>204177768.44</v>
      </c>
      <c r="AB5" s="47">
        <f t="shared" si="0"/>
        <v>146403794.09999999</v>
      </c>
      <c r="AC5" s="47">
        <f t="shared" si="0"/>
        <v>530866896.97000003</v>
      </c>
      <c r="AD5" s="47">
        <f t="shared" si="0"/>
        <v>350903753.10000002</v>
      </c>
      <c r="AE5" s="47">
        <f t="shared" si="0"/>
        <v>288468171.64999998</v>
      </c>
      <c r="AF5" s="47">
        <f t="shared" si="0"/>
        <v>103106550.39</v>
      </c>
      <c r="AG5" s="47">
        <f t="shared" si="0"/>
        <v>461352043.69</v>
      </c>
      <c r="AH5" s="47">
        <f t="shared" si="0"/>
        <v>315311096.82999998</v>
      </c>
      <c r="AI5" s="47">
        <f t="shared" si="0"/>
        <v>234676047.59999999</v>
      </c>
      <c r="AJ5" s="47">
        <f t="shared" si="0"/>
        <v>134776808.45999998</v>
      </c>
      <c r="AK5" s="47">
        <f t="shared" si="0"/>
        <v>984852199.41999996</v>
      </c>
      <c r="AL5" s="47">
        <f t="shared" si="0"/>
        <v>193769282.12</v>
      </c>
      <c r="AM5" s="47">
        <f t="shared" si="0"/>
        <v>169370287.40000001</v>
      </c>
      <c r="AN5" s="47">
        <f t="shared" si="0"/>
        <v>105596741.39999999</v>
      </c>
      <c r="AO5" s="47">
        <f t="shared" si="0"/>
        <v>106006847.71000001</v>
      </c>
      <c r="AP5" s="47">
        <f t="shared" si="0"/>
        <v>79687358.280000001</v>
      </c>
      <c r="AQ5" s="47">
        <f t="shared" si="0"/>
        <v>73812764.530000001</v>
      </c>
      <c r="AR5" s="47">
        <f t="shared" si="0"/>
        <v>4081063.05</v>
      </c>
    </row>
    <row r="6" spans="1:74" s="104" customFormat="1" x14ac:dyDescent="0.25">
      <c r="A6" s="104" t="s">
        <v>305</v>
      </c>
      <c r="B6" s="188">
        <v>0</v>
      </c>
      <c r="C6" s="188">
        <v>16895591.510000002</v>
      </c>
      <c r="D6" s="188">
        <v>0</v>
      </c>
      <c r="E6" s="188">
        <v>26809345.239999998</v>
      </c>
      <c r="F6" s="188">
        <v>0</v>
      </c>
      <c r="G6" s="188">
        <v>12871866.01</v>
      </c>
      <c r="H6" s="188">
        <v>0</v>
      </c>
      <c r="I6" s="188">
        <v>23950808.620000001</v>
      </c>
      <c r="J6" s="188">
        <v>0</v>
      </c>
      <c r="K6" s="188">
        <v>11482492.609999999</v>
      </c>
      <c r="L6" s="188">
        <v>0</v>
      </c>
      <c r="M6" s="188">
        <v>22725146.620000001</v>
      </c>
      <c r="N6" s="188">
        <v>0</v>
      </c>
      <c r="O6" s="188">
        <v>19959625.489999998</v>
      </c>
      <c r="P6" s="188">
        <v>18635575.57</v>
      </c>
      <c r="Q6" s="188">
        <v>0</v>
      </c>
      <c r="R6" s="188">
        <v>0</v>
      </c>
      <c r="S6" s="188">
        <v>0</v>
      </c>
      <c r="T6" s="191">
        <v>0</v>
      </c>
      <c r="U6" s="191">
        <v>640477322.51999998</v>
      </c>
      <c r="V6" s="191">
        <v>0</v>
      </c>
      <c r="W6" s="191">
        <v>313438532.41000003</v>
      </c>
      <c r="X6" s="191">
        <v>0</v>
      </c>
      <c r="Y6" s="191">
        <v>660996817.02999997</v>
      </c>
      <c r="Z6" s="191">
        <v>0</v>
      </c>
      <c r="AA6" s="191">
        <v>330900138.69999999</v>
      </c>
      <c r="AB6" s="191">
        <v>0</v>
      </c>
      <c r="AC6" s="191">
        <v>700477452.44000006</v>
      </c>
      <c r="AD6" s="191">
        <v>0</v>
      </c>
      <c r="AE6" s="191">
        <v>353569837.38999999</v>
      </c>
      <c r="AF6" s="191">
        <v>0</v>
      </c>
      <c r="AG6" s="191">
        <v>722805104.55999994</v>
      </c>
      <c r="AH6" s="191">
        <v>0</v>
      </c>
      <c r="AI6" s="191">
        <v>360067389.06999999</v>
      </c>
      <c r="AJ6" s="191">
        <v>0</v>
      </c>
      <c r="AK6" s="191">
        <v>646335570.79999995</v>
      </c>
      <c r="AL6" s="191">
        <v>0</v>
      </c>
      <c r="AM6" s="191">
        <v>352652082.83999997</v>
      </c>
      <c r="AN6" s="191">
        <v>0</v>
      </c>
      <c r="AO6" s="191">
        <v>434466978.80000001</v>
      </c>
      <c r="AP6" s="191">
        <v>0</v>
      </c>
      <c r="AQ6" s="191">
        <v>220055249.78</v>
      </c>
      <c r="AR6" s="191">
        <v>0</v>
      </c>
      <c r="AS6" s="191">
        <v>466252820.24000001</v>
      </c>
      <c r="AT6" s="191">
        <v>0</v>
      </c>
      <c r="AU6" s="191">
        <v>0</v>
      </c>
      <c r="AV6" s="191">
        <v>0</v>
      </c>
      <c r="AW6" s="191">
        <v>467047308.91000003</v>
      </c>
      <c r="AX6" s="191">
        <v>322210774.50999999</v>
      </c>
      <c r="AY6" s="191">
        <v>214415246.97</v>
      </c>
      <c r="AZ6" s="191">
        <v>106891762.23999999</v>
      </c>
      <c r="BA6" s="191">
        <v>478234075.06999999</v>
      </c>
      <c r="BB6" s="191">
        <v>357766299.13</v>
      </c>
      <c r="BC6" s="191">
        <v>237335309.81999999</v>
      </c>
      <c r="BD6" s="191">
        <v>118623693.14</v>
      </c>
      <c r="BE6" s="191">
        <v>404552322.94</v>
      </c>
      <c r="BF6" s="191">
        <v>305788725.56</v>
      </c>
      <c r="BG6" s="191">
        <v>208996928.00999999</v>
      </c>
      <c r="BH6" s="191">
        <v>112312929.75</v>
      </c>
      <c r="BI6" s="191">
        <v>275750634.47000003</v>
      </c>
      <c r="BJ6" s="191">
        <v>202256946.52000001</v>
      </c>
      <c r="BK6" s="191">
        <v>113461866.70999999</v>
      </c>
      <c r="BL6" s="191">
        <v>56664861.82</v>
      </c>
      <c r="BM6" s="191">
        <v>233663769.53999999</v>
      </c>
      <c r="BN6" s="191">
        <v>102939387.53</v>
      </c>
      <c r="BO6" s="191">
        <v>165653982.56</v>
      </c>
      <c r="BP6" s="191">
        <v>49234570.869999997</v>
      </c>
      <c r="BQ6" s="191">
        <v>130519869.31</v>
      </c>
      <c r="BR6" s="191">
        <v>62414344.259999998</v>
      </c>
      <c r="BS6" s="191">
        <v>56928281.189999998</v>
      </c>
      <c r="BT6" s="191">
        <v>29633190.559999999</v>
      </c>
      <c r="BU6" s="191">
        <v>42460875.850000001</v>
      </c>
      <c r="BV6" s="191">
        <v>0</v>
      </c>
    </row>
    <row r="7" spans="1:74" s="191" customFormat="1" x14ac:dyDescent="0.25">
      <c r="A7" s="191" t="s">
        <v>306</v>
      </c>
      <c r="B7" s="188">
        <v>0</v>
      </c>
      <c r="C7" s="188">
        <v>1815688.67</v>
      </c>
      <c r="D7" s="188">
        <v>0</v>
      </c>
      <c r="E7" s="188">
        <v>3381039.48</v>
      </c>
      <c r="F7" s="188">
        <v>0</v>
      </c>
      <c r="G7" s="188">
        <v>1613504.83</v>
      </c>
      <c r="H7" s="188">
        <v>0</v>
      </c>
      <c r="I7" s="188">
        <v>3232061.94</v>
      </c>
      <c r="J7" s="188">
        <v>0</v>
      </c>
      <c r="K7" s="188">
        <v>1592210.19</v>
      </c>
      <c r="L7" s="188">
        <v>0</v>
      </c>
      <c r="M7" s="188">
        <v>3041889.61</v>
      </c>
      <c r="N7" s="188">
        <v>0</v>
      </c>
      <c r="O7" s="188">
        <v>2568358.56</v>
      </c>
      <c r="P7" s="188">
        <v>2197792.02</v>
      </c>
      <c r="Q7" s="188">
        <v>0</v>
      </c>
      <c r="R7" s="188">
        <v>0</v>
      </c>
      <c r="S7" s="188">
        <v>0</v>
      </c>
      <c r="T7" s="191">
        <v>0</v>
      </c>
      <c r="U7" s="191">
        <v>8486946.6699999999</v>
      </c>
      <c r="V7" s="191">
        <v>0</v>
      </c>
      <c r="W7" s="191">
        <v>4060746.45</v>
      </c>
      <c r="X7" s="191">
        <v>0</v>
      </c>
      <c r="Y7" s="191">
        <v>9029127.9100000001</v>
      </c>
      <c r="Z7" s="191">
        <v>0</v>
      </c>
      <c r="AA7" s="191">
        <v>4484684.68</v>
      </c>
      <c r="AB7" s="191">
        <v>0</v>
      </c>
      <c r="AC7" s="191">
        <v>8175665.5899999999</v>
      </c>
      <c r="AD7" s="191">
        <v>0</v>
      </c>
      <c r="AE7" s="191">
        <v>3786462.11</v>
      </c>
      <c r="AF7" s="191">
        <v>0</v>
      </c>
      <c r="AG7" s="191">
        <v>9197284.1500000004</v>
      </c>
      <c r="AH7" s="191">
        <v>0</v>
      </c>
      <c r="AI7" s="191">
        <v>4877963.95</v>
      </c>
      <c r="AJ7" s="191">
        <v>0</v>
      </c>
      <c r="AK7" s="191">
        <v>7271245.3099999996</v>
      </c>
      <c r="AL7" s="191">
        <v>0</v>
      </c>
      <c r="AM7" s="191">
        <v>4907043.74</v>
      </c>
      <c r="AN7" s="191">
        <v>0</v>
      </c>
      <c r="AO7" s="191">
        <v>1586144.88</v>
      </c>
      <c r="AP7" s="191">
        <v>0</v>
      </c>
      <c r="AQ7" s="191">
        <v>845090.25</v>
      </c>
      <c r="AR7" s="191">
        <v>0</v>
      </c>
      <c r="AS7" s="191">
        <v>1586144.88</v>
      </c>
      <c r="AT7" s="191">
        <v>0</v>
      </c>
      <c r="AU7" s="191">
        <v>0</v>
      </c>
      <c r="AV7" s="191">
        <v>0</v>
      </c>
      <c r="AW7" s="191">
        <v>3799631.08</v>
      </c>
      <c r="AX7" s="191">
        <v>3384594.86</v>
      </c>
      <c r="AY7" s="191">
        <v>1952934.44</v>
      </c>
      <c r="AZ7" s="191">
        <v>567536.22</v>
      </c>
      <c r="BA7" s="191">
        <v>1586144.88</v>
      </c>
      <c r="BB7" s="191">
        <v>1189608.6599999999</v>
      </c>
      <c r="BC7" s="191">
        <v>793072.44</v>
      </c>
      <c r="BD7" s="191">
        <v>396536.22</v>
      </c>
      <c r="BE7" s="191">
        <v>2026799.88</v>
      </c>
      <c r="BF7" s="191">
        <v>1513263.66</v>
      </c>
      <c r="BG7" s="191">
        <v>968842.44</v>
      </c>
      <c r="BH7" s="191">
        <v>572304.69999999995</v>
      </c>
      <c r="BI7" s="191">
        <v>2294148.85</v>
      </c>
      <c r="BJ7" s="191">
        <v>1897612.63</v>
      </c>
      <c r="BK7" s="191">
        <v>1501076.41</v>
      </c>
      <c r="BL7" s="191">
        <v>397126.17</v>
      </c>
      <c r="BM7" s="191">
        <v>3779059.29</v>
      </c>
      <c r="BN7" s="191">
        <v>943096.31999999995</v>
      </c>
      <c r="BO7" s="191">
        <v>1696119.74</v>
      </c>
      <c r="BP7" s="191">
        <v>808679.94</v>
      </c>
      <c r="BQ7" s="191">
        <v>2290393.21</v>
      </c>
      <c r="BR7" s="191">
        <v>677235.94</v>
      </c>
      <c r="BS7" s="191">
        <v>16746446.949999999</v>
      </c>
      <c r="BT7" s="191">
        <v>1394056.95</v>
      </c>
      <c r="BU7" s="191">
        <v>2442875.52</v>
      </c>
      <c r="BV7" s="191">
        <v>0</v>
      </c>
    </row>
    <row r="8" spans="1:74" s="191" customFormat="1" x14ac:dyDescent="0.25">
      <c r="A8" s="191" t="s">
        <v>307</v>
      </c>
      <c r="B8" s="188">
        <v>0</v>
      </c>
      <c r="C8" s="188">
        <v>2934456.31</v>
      </c>
      <c r="D8" s="188">
        <v>0</v>
      </c>
      <c r="E8" s="188">
        <v>5093971.0599999996</v>
      </c>
      <c r="F8" s="188">
        <v>0</v>
      </c>
      <c r="G8" s="188">
        <v>2722045.52</v>
      </c>
      <c r="H8" s="188">
        <v>0</v>
      </c>
      <c r="I8" s="188">
        <v>4709691.8600000003</v>
      </c>
      <c r="J8" s="188">
        <v>0</v>
      </c>
      <c r="K8" s="188">
        <v>2343474.65</v>
      </c>
      <c r="L8" s="188">
        <v>0</v>
      </c>
      <c r="M8" s="188">
        <v>4194991.1500000004</v>
      </c>
      <c r="N8" s="188">
        <v>0</v>
      </c>
      <c r="O8" s="188">
        <v>3655631.76</v>
      </c>
      <c r="P8" s="188">
        <v>3868753.34</v>
      </c>
      <c r="Q8" s="188">
        <v>0</v>
      </c>
      <c r="R8" s="188">
        <v>0</v>
      </c>
      <c r="S8" s="188">
        <v>0</v>
      </c>
      <c r="T8" s="191">
        <v>0</v>
      </c>
      <c r="U8" s="191">
        <v>32579186.390000001</v>
      </c>
      <c r="V8" s="191">
        <v>0</v>
      </c>
      <c r="W8" s="191">
        <v>16946915.23</v>
      </c>
      <c r="X8" s="191">
        <v>0</v>
      </c>
      <c r="Y8" s="191">
        <v>36112959.259999998</v>
      </c>
      <c r="Z8" s="191">
        <v>0</v>
      </c>
      <c r="AA8" s="191">
        <v>20521731.27</v>
      </c>
      <c r="AB8" s="191">
        <v>0</v>
      </c>
      <c r="AC8" s="191">
        <v>48417441.210000001</v>
      </c>
      <c r="AD8" s="191">
        <v>0</v>
      </c>
      <c r="AE8" s="191">
        <v>33027836.780000001</v>
      </c>
      <c r="AF8" s="191">
        <v>0</v>
      </c>
      <c r="AG8" s="191">
        <v>38118543.149999999</v>
      </c>
      <c r="AH8" s="191">
        <v>0</v>
      </c>
      <c r="AI8" s="191">
        <v>19325171.309999999</v>
      </c>
      <c r="AJ8" s="191">
        <v>0</v>
      </c>
      <c r="AK8" s="191">
        <v>29472070.109999999</v>
      </c>
      <c r="AL8" s="191">
        <v>0</v>
      </c>
      <c r="AM8" s="191">
        <v>17523174.57</v>
      </c>
      <c r="AN8" s="191">
        <v>0</v>
      </c>
      <c r="AO8" s="191">
        <v>0</v>
      </c>
      <c r="AP8" s="191">
        <v>0</v>
      </c>
      <c r="AQ8" s="191">
        <v>-3272209.09</v>
      </c>
      <c r="AR8" s="191">
        <v>0</v>
      </c>
      <c r="AS8" s="191">
        <v>820470.57</v>
      </c>
      <c r="AT8" s="191">
        <v>0</v>
      </c>
      <c r="AU8" s="191">
        <v>0</v>
      </c>
      <c r="AV8" s="191">
        <v>0</v>
      </c>
      <c r="AW8" s="191">
        <v>0</v>
      </c>
      <c r="AX8" s="191">
        <v>0</v>
      </c>
      <c r="AY8" s="191">
        <v>0</v>
      </c>
      <c r="AZ8" s="191">
        <v>0</v>
      </c>
      <c r="BA8" s="191">
        <v>0</v>
      </c>
      <c r="BB8" s="191">
        <v>0</v>
      </c>
      <c r="BC8" s="191">
        <v>0</v>
      </c>
      <c r="BD8" s="191">
        <v>0</v>
      </c>
      <c r="BE8" s="191">
        <v>0</v>
      </c>
      <c r="BF8" s="191">
        <v>0</v>
      </c>
      <c r="BG8" s="191">
        <v>0</v>
      </c>
      <c r="BH8" s="191">
        <v>0</v>
      </c>
      <c r="BI8" s="191">
        <v>0</v>
      </c>
      <c r="BJ8" s="191">
        <v>0</v>
      </c>
      <c r="BK8" s="191">
        <v>0</v>
      </c>
      <c r="BL8" s="191">
        <v>0</v>
      </c>
      <c r="BM8" s="191">
        <v>0</v>
      </c>
      <c r="BN8" s="191">
        <v>0</v>
      </c>
      <c r="BO8" s="191">
        <v>0</v>
      </c>
      <c r="BP8" s="191">
        <v>0</v>
      </c>
      <c r="BQ8" s="191">
        <v>0</v>
      </c>
      <c r="BR8" s="191">
        <v>0</v>
      </c>
      <c r="BS8" s="191">
        <v>0</v>
      </c>
      <c r="BT8" s="191">
        <v>0</v>
      </c>
      <c r="BU8" s="191">
        <v>0</v>
      </c>
      <c r="BV8" s="191">
        <v>0</v>
      </c>
    </row>
    <row r="9" spans="1:74" s="191" customFormat="1" x14ac:dyDescent="0.25">
      <c r="A9" s="191" t="s">
        <v>308</v>
      </c>
      <c r="B9" s="188">
        <v>0</v>
      </c>
      <c r="C9" s="188">
        <v>174958.78</v>
      </c>
      <c r="D9" s="188">
        <v>0</v>
      </c>
      <c r="E9" s="188">
        <v>-305982.92</v>
      </c>
      <c r="F9" s="188">
        <v>0</v>
      </c>
      <c r="G9" s="188">
        <v>-239730.3</v>
      </c>
      <c r="H9" s="188">
        <v>0</v>
      </c>
      <c r="I9" s="188">
        <v>109300.88</v>
      </c>
      <c r="J9" s="188">
        <v>0</v>
      </c>
      <c r="K9" s="188">
        <v>137951.65</v>
      </c>
      <c r="L9" s="188">
        <v>0</v>
      </c>
      <c r="M9" s="188">
        <v>1045475.52</v>
      </c>
      <c r="N9" s="188">
        <v>0</v>
      </c>
      <c r="O9" s="188">
        <v>702006.33</v>
      </c>
      <c r="P9" s="188">
        <v>971546.66</v>
      </c>
      <c r="Q9" s="188">
        <v>0</v>
      </c>
      <c r="R9" s="188">
        <v>0</v>
      </c>
      <c r="S9" s="188">
        <v>0</v>
      </c>
      <c r="T9" s="191">
        <v>0</v>
      </c>
      <c r="U9" s="191">
        <v>1912291.32</v>
      </c>
      <c r="V9" s="191">
        <v>0</v>
      </c>
      <c r="W9" s="191">
        <v>68747.679999999993</v>
      </c>
      <c r="X9" s="191">
        <v>0</v>
      </c>
      <c r="Y9" s="191">
        <v>1095331.6000000001</v>
      </c>
      <c r="Z9" s="191">
        <v>0</v>
      </c>
      <c r="AA9" s="191">
        <v>714503.17</v>
      </c>
      <c r="AB9" s="191">
        <v>0</v>
      </c>
      <c r="AC9" s="191">
        <v>6136174.5300000003</v>
      </c>
      <c r="AD9" s="191">
        <v>0</v>
      </c>
      <c r="AE9" s="191">
        <v>1553017.11</v>
      </c>
      <c r="AF9" s="191">
        <v>0</v>
      </c>
      <c r="AG9" s="191">
        <v>810820.36</v>
      </c>
      <c r="AH9" s="191">
        <v>0</v>
      </c>
      <c r="AI9" s="191">
        <v>-257394.23</v>
      </c>
      <c r="AJ9" s="191">
        <v>0</v>
      </c>
      <c r="AK9" s="191">
        <v>415296.61</v>
      </c>
      <c r="AL9" s="191">
        <v>0</v>
      </c>
      <c r="AM9" s="191">
        <v>249641.93</v>
      </c>
      <c r="AN9" s="191">
        <v>0</v>
      </c>
      <c r="AO9" s="191">
        <v>-633994.59</v>
      </c>
      <c r="AP9" s="191">
        <v>0</v>
      </c>
      <c r="AQ9" s="191">
        <v>-661025</v>
      </c>
      <c r="AR9" s="191">
        <v>0</v>
      </c>
      <c r="AS9" s="191">
        <v>-598305.26</v>
      </c>
      <c r="AT9" s="191">
        <v>0</v>
      </c>
      <c r="AU9" s="191">
        <v>0</v>
      </c>
      <c r="AV9" s="191">
        <v>0</v>
      </c>
      <c r="AW9" s="191">
        <v>269102.78999999998</v>
      </c>
      <c r="AX9" s="191">
        <v>146154.56</v>
      </c>
      <c r="AY9" s="191">
        <v>-125360.21</v>
      </c>
      <c r="AZ9" s="191">
        <v>0</v>
      </c>
      <c r="BA9" s="191">
        <v>-191319.73</v>
      </c>
      <c r="BB9" s="191">
        <v>-54708.43</v>
      </c>
      <c r="BC9" s="191">
        <v>-7534.17</v>
      </c>
      <c r="BD9" s="191">
        <v>-12970.6</v>
      </c>
      <c r="BE9" s="191">
        <v>2450780.61</v>
      </c>
      <c r="BF9" s="191">
        <v>461041.96</v>
      </c>
      <c r="BG9" s="191">
        <v>260575.46</v>
      </c>
      <c r="BH9" s="191">
        <v>-14558</v>
      </c>
      <c r="BI9" s="191">
        <v>3395525.08</v>
      </c>
      <c r="BJ9" s="191">
        <v>-15527.85</v>
      </c>
      <c r="BK9" s="191">
        <v>13728.15</v>
      </c>
      <c r="BL9" s="191">
        <v>-38776.370000000003</v>
      </c>
      <c r="BM9" s="191">
        <v>925739.38</v>
      </c>
      <c r="BN9" s="191">
        <v>510508.23</v>
      </c>
      <c r="BO9" s="191">
        <v>-49398.94</v>
      </c>
      <c r="BP9" s="191">
        <v>1595890.7</v>
      </c>
      <c r="BQ9" s="191">
        <v>-3580</v>
      </c>
      <c r="BR9" s="191">
        <v>-1500</v>
      </c>
      <c r="BS9" s="191">
        <v>169771.53</v>
      </c>
      <c r="BT9" s="191">
        <v>-1680</v>
      </c>
      <c r="BU9" s="191">
        <v>0</v>
      </c>
      <c r="BV9" s="191">
        <v>0</v>
      </c>
    </row>
    <row r="10" spans="1:74" s="191" customFormat="1" x14ac:dyDescent="0.25">
      <c r="A10" s="191" t="s">
        <v>309</v>
      </c>
      <c r="B10" s="188">
        <v>0</v>
      </c>
      <c r="C10" s="188">
        <v>0</v>
      </c>
      <c r="D10" s="188">
        <v>0</v>
      </c>
      <c r="E10" s="188">
        <v>497595.84</v>
      </c>
      <c r="F10" s="188">
        <v>0</v>
      </c>
      <c r="G10" s="188">
        <v>0</v>
      </c>
      <c r="H10" s="188">
        <v>0</v>
      </c>
      <c r="I10" s="188">
        <v>0</v>
      </c>
      <c r="J10" s="188">
        <v>0</v>
      </c>
      <c r="K10" s="188">
        <v>0</v>
      </c>
      <c r="L10" s="188">
        <v>0</v>
      </c>
      <c r="M10" s="188">
        <v>0</v>
      </c>
      <c r="N10" s="188">
        <v>0</v>
      </c>
      <c r="O10" s="188">
        <v>0</v>
      </c>
      <c r="P10" s="188">
        <v>0</v>
      </c>
      <c r="Q10" s="188">
        <v>0</v>
      </c>
      <c r="R10" s="188">
        <v>0</v>
      </c>
      <c r="S10" s="188">
        <v>0</v>
      </c>
      <c r="T10" s="191">
        <v>0</v>
      </c>
      <c r="U10" s="191">
        <v>0</v>
      </c>
      <c r="V10" s="191">
        <v>0</v>
      </c>
      <c r="W10" s="191">
        <v>0</v>
      </c>
      <c r="X10" s="191">
        <v>0</v>
      </c>
      <c r="Y10" s="191">
        <v>0</v>
      </c>
      <c r="Z10" s="191">
        <v>0</v>
      </c>
      <c r="AA10" s="191">
        <v>0</v>
      </c>
      <c r="AB10" s="191">
        <v>0</v>
      </c>
      <c r="AC10" s="191">
        <v>0</v>
      </c>
      <c r="AD10" s="191">
        <v>0</v>
      </c>
      <c r="AE10" s="191">
        <v>0</v>
      </c>
      <c r="AF10" s="191">
        <v>0</v>
      </c>
      <c r="AG10" s="191">
        <v>0</v>
      </c>
      <c r="AH10" s="191">
        <v>0</v>
      </c>
      <c r="AI10" s="191">
        <v>0</v>
      </c>
      <c r="AJ10" s="191">
        <v>0</v>
      </c>
      <c r="AK10" s="191">
        <v>0</v>
      </c>
      <c r="AL10" s="191">
        <v>0</v>
      </c>
      <c r="AM10" s="191">
        <v>0</v>
      </c>
      <c r="AN10" s="191">
        <v>0</v>
      </c>
      <c r="AO10" s="191">
        <v>2625775.1800000002</v>
      </c>
      <c r="AP10" s="191">
        <v>0</v>
      </c>
      <c r="AQ10" s="191">
        <v>0</v>
      </c>
      <c r="AR10" s="191">
        <v>0</v>
      </c>
      <c r="AS10" s="191">
        <v>577470.38</v>
      </c>
      <c r="AT10" s="191">
        <v>0</v>
      </c>
      <c r="AU10" s="191">
        <v>0</v>
      </c>
      <c r="AV10" s="191">
        <v>0</v>
      </c>
      <c r="AW10" s="191">
        <v>0</v>
      </c>
      <c r="AX10" s="191">
        <v>0</v>
      </c>
      <c r="AY10" s="191">
        <v>1108956.43</v>
      </c>
      <c r="AZ10" s="191">
        <v>0</v>
      </c>
      <c r="BA10" s="191">
        <v>0</v>
      </c>
      <c r="BB10" s="191">
        <v>0</v>
      </c>
      <c r="BC10" s="191">
        <v>0</v>
      </c>
      <c r="BD10" s="191">
        <v>0</v>
      </c>
      <c r="BE10" s="191">
        <v>10234174.27</v>
      </c>
      <c r="BF10" s="191">
        <v>6735200.1100000003</v>
      </c>
      <c r="BG10" s="191">
        <v>2122271.27</v>
      </c>
      <c r="BH10" s="191">
        <v>0</v>
      </c>
      <c r="BI10" s="191">
        <v>5443986.7300000004</v>
      </c>
      <c r="BJ10" s="191">
        <v>2732944.24</v>
      </c>
      <c r="BK10" s="191">
        <v>1676945.26</v>
      </c>
      <c r="BL10" s="191">
        <v>15909.78</v>
      </c>
      <c r="BM10" s="191">
        <v>4369433.5199999996</v>
      </c>
      <c r="BN10" s="191">
        <v>256577.04</v>
      </c>
      <c r="BO10" s="191">
        <v>2074884.19</v>
      </c>
      <c r="BP10" s="191">
        <v>0</v>
      </c>
      <c r="BQ10" s="191">
        <v>1025342.66</v>
      </c>
      <c r="BR10" s="191">
        <v>43944</v>
      </c>
      <c r="BS10" s="191">
        <v>0</v>
      </c>
      <c r="BT10" s="191">
        <v>7101</v>
      </c>
      <c r="BU10" s="191">
        <v>0</v>
      </c>
      <c r="BV10" s="191">
        <v>0</v>
      </c>
    </row>
    <row r="11" spans="1:74" s="47" customFormat="1" x14ac:dyDescent="0.25">
      <c r="A11" s="134" t="s">
        <v>296</v>
      </c>
      <c r="E11" s="47">
        <f>E5-E6-E7-E8-E9-E10</f>
        <v>59375325.710000016</v>
      </c>
      <c r="F11" s="47">
        <f t="shared" ref="F11:BQ11" si="1">F5-F6-F7-F8-F9-F10</f>
        <v>59561171.659999996</v>
      </c>
      <c r="G11" s="47">
        <f t="shared" si="1"/>
        <v>12783960.910000002</v>
      </c>
      <c r="H11" s="47">
        <f t="shared" si="1"/>
        <v>17335671.010000002</v>
      </c>
      <c r="I11" s="47">
        <f t="shared" si="1"/>
        <v>27185251.619999997</v>
      </c>
      <c r="J11" s="47">
        <f t="shared" si="1"/>
        <v>56074584.230000004</v>
      </c>
      <c r="K11" s="47">
        <f t="shared" si="1"/>
        <v>18219951.129999999</v>
      </c>
      <c r="L11" s="47">
        <f t="shared" si="1"/>
        <v>16026927.74</v>
      </c>
      <c r="M11" s="47">
        <f t="shared" si="1"/>
        <v>13644465.910000002</v>
      </c>
      <c r="N11" s="47">
        <f t="shared" si="1"/>
        <v>28686988.140000001</v>
      </c>
      <c r="O11" s="47">
        <f t="shared" si="1"/>
        <v>6973468.2599999998</v>
      </c>
      <c r="P11" s="47">
        <f t="shared" si="1"/>
        <v>179741219.66</v>
      </c>
      <c r="Q11" s="47">
        <f t="shared" si="1"/>
        <v>96801002.939999998</v>
      </c>
      <c r="R11" s="47">
        <f t="shared" si="1"/>
        <v>19840418.419999998</v>
      </c>
      <c r="S11" s="47">
        <f t="shared" si="1"/>
        <v>0</v>
      </c>
      <c r="T11" s="47">
        <f t="shared" si="1"/>
        <v>64913436.280000001</v>
      </c>
      <c r="U11" s="47">
        <f t="shared" si="1"/>
        <v>-345703543.35999995</v>
      </c>
      <c r="V11" s="47">
        <f t="shared" si="1"/>
        <v>282747800.38999999</v>
      </c>
      <c r="W11" s="47">
        <f t="shared" si="1"/>
        <v>-121904412.71000004</v>
      </c>
      <c r="X11" s="47">
        <f t="shared" si="1"/>
        <v>143808741.60999998</v>
      </c>
      <c r="Y11" s="47">
        <f t="shared" si="1"/>
        <v>-352412744.62</v>
      </c>
      <c r="Z11" s="47">
        <f t="shared" si="1"/>
        <v>228336553.28999999</v>
      </c>
      <c r="AA11" s="47">
        <f t="shared" si="1"/>
        <v>-152443289.38</v>
      </c>
      <c r="AB11" s="47">
        <f t="shared" si="1"/>
        <v>146403794.09999999</v>
      </c>
      <c r="AC11" s="47">
        <f t="shared" si="1"/>
        <v>-232339836.80000004</v>
      </c>
      <c r="AD11" s="47">
        <f t="shared" si="1"/>
        <v>350903753.10000002</v>
      </c>
      <c r="AE11" s="47">
        <f t="shared" si="1"/>
        <v>-103468981.74000001</v>
      </c>
      <c r="AF11" s="47">
        <f t="shared" si="1"/>
        <v>103106550.39</v>
      </c>
      <c r="AG11" s="47">
        <f t="shared" si="1"/>
        <v>-309579708.52999991</v>
      </c>
      <c r="AH11" s="47">
        <f t="shared" si="1"/>
        <v>315311096.82999998</v>
      </c>
      <c r="AI11" s="47">
        <f t="shared" si="1"/>
        <v>-149337082.5</v>
      </c>
      <c r="AJ11" s="47">
        <f t="shared" si="1"/>
        <v>134776808.45999998</v>
      </c>
      <c r="AK11" s="47">
        <f t="shared" si="1"/>
        <v>301358016.58999997</v>
      </c>
      <c r="AL11" s="47">
        <f t="shared" si="1"/>
        <v>193769282.12</v>
      </c>
      <c r="AM11" s="47">
        <f t="shared" si="1"/>
        <v>-205961655.67999998</v>
      </c>
      <c r="AN11" s="47">
        <f t="shared" si="1"/>
        <v>105596741.39999999</v>
      </c>
      <c r="AO11" s="47">
        <f t="shared" si="1"/>
        <v>-332038056.56000006</v>
      </c>
      <c r="AP11" s="47">
        <f t="shared" si="1"/>
        <v>79687358.280000001</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416358416.99000001</v>
      </c>
      <c r="F12" s="26">
        <f t="shared" si="3"/>
        <v>409281856.69</v>
      </c>
      <c r="G12" s="26">
        <f t="shared" si="3"/>
        <v>409439801.31</v>
      </c>
      <c r="H12" s="26">
        <f t="shared" si="3"/>
        <v>402209558.91000003</v>
      </c>
      <c r="I12" s="26">
        <f t="shared" si="3"/>
        <v>382712115.77999997</v>
      </c>
      <c r="J12" s="26">
        <f t="shared" si="3"/>
        <v>374389056.73000002</v>
      </c>
      <c r="K12" s="26">
        <f t="shared" si="3"/>
        <v>121825467.78999999</v>
      </c>
      <c r="L12" s="26">
        <f t="shared" si="3"/>
        <v>95918076.370000005</v>
      </c>
      <c r="M12" s="26">
        <f t="shared" si="3"/>
        <v>0</v>
      </c>
      <c r="N12" s="26">
        <f t="shared" si="3"/>
        <v>0</v>
      </c>
      <c r="O12" s="26">
        <f t="shared" si="3"/>
        <v>0</v>
      </c>
      <c r="P12" s="26">
        <f t="shared" si="3"/>
        <v>7740932584.29</v>
      </c>
      <c r="Q12" s="26">
        <f t="shared" si="3"/>
        <v>7185660413.8000002</v>
      </c>
      <c r="R12" s="191">
        <f t="shared" ref="R12" si="4">V34</f>
        <v>7206369226.2600002</v>
      </c>
      <c r="S12" s="191">
        <f t="shared" ref="S12" si="5">W34</f>
        <v>7305520980.6000004</v>
      </c>
      <c r="T12" s="191">
        <f t="shared" ref="T12" si="6">X34</f>
        <v>7309510343.54</v>
      </c>
      <c r="U12" s="191">
        <f t="shared" ref="U12" si="7">Y34</f>
        <v>7323681060.21</v>
      </c>
      <c r="V12" s="191">
        <f t="shared" ref="V12" si="8">Z34</f>
        <v>7096907237.8900003</v>
      </c>
      <c r="W12" s="191">
        <f t="shared" ref="W12" si="9">AA34</f>
        <v>7178823552.6900005</v>
      </c>
      <c r="X12" s="191">
        <f t="shared" ref="X12" si="10">AB34</f>
        <v>7177450438.9000006</v>
      </c>
      <c r="Y12" s="191">
        <f t="shared" ref="Y12" si="11">AC34</f>
        <v>7191077877.1500006</v>
      </c>
      <c r="Z12" s="191">
        <f t="shared" ref="Z12" si="12">AD34</f>
        <v>7214379651.8800001</v>
      </c>
      <c r="AA12" s="191">
        <f t="shared" ref="AA12" si="13">AE34</f>
        <v>7202577572.4200001</v>
      </c>
      <c r="AB12" s="191">
        <f t="shared" ref="AB12" si="14">AF34</f>
        <v>7220461628.0700006</v>
      </c>
      <c r="AC12" s="191">
        <f t="shared" ref="AC12" si="15">AG34</f>
        <v>7302164048.0600004</v>
      </c>
      <c r="AD12" s="191">
        <f t="shared" ref="AD12" si="16">AH34</f>
        <v>7390458786.0300007</v>
      </c>
      <c r="AE12" s="191">
        <f t="shared" ref="AE12" si="17">AI34</f>
        <v>7429552899.6000004</v>
      </c>
      <c r="AF12" s="191">
        <f t="shared" ref="AF12" si="18">AJ34</f>
        <v>7515825873.4499998</v>
      </c>
      <c r="AG12" s="191">
        <f t="shared" ref="AG12" si="19">AK34</f>
        <v>7564552230.4400005</v>
      </c>
      <c r="AH12" s="191">
        <f t="shared" ref="AH12" si="20">AL34</f>
        <v>7607103266.1599998</v>
      </c>
      <c r="AI12" s="191">
        <f t="shared" ref="AI12" si="21">AM34</f>
        <v>7706877443.3000002</v>
      </c>
      <c r="AJ12" s="191">
        <f t="shared" ref="AJ12" si="22">AN34</f>
        <v>4750016360.8599997</v>
      </c>
      <c r="AK12" s="191">
        <f t="shared" ref="AK12" si="23">AO34</f>
        <v>4754868668.1300001</v>
      </c>
      <c r="AL12" s="191">
        <f t="shared" ref="AL12" si="24">AP34</f>
        <v>4841679198.5100002</v>
      </c>
      <c r="AM12" s="191">
        <f t="shared" ref="AM12" si="25">AQ34</f>
        <v>4945499008.7600002</v>
      </c>
      <c r="AN12" s="191">
        <f t="shared" ref="AN12" si="26">AR34</f>
        <v>4983590367.6400003</v>
      </c>
      <c r="AO12" s="191">
        <f t="shared" ref="AO12" si="27">AS34</f>
        <v>5087759145.3900003</v>
      </c>
      <c r="AP12" s="191">
        <f t="shared" ref="AP12" si="28">AT34</f>
        <v>5119825755.0799999</v>
      </c>
      <c r="AQ12" s="191">
        <f t="shared" ref="AQ12" si="29">AU34</f>
        <v>5166324238.8199997</v>
      </c>
      <c r="AR12" s="191">
        <f t="shared" ref="AR12" si="30">AV34</f>
        <v>5229742144.5900002</v>
      </c>
      <c r="AS12" s="191">
        <f t="shared" ref="AS12" si="31">AW34</f>
        <v>5303368604.3599997</v>
      </c>
      <c r="AT12" s="191">
        <f t="shared" ref="AT12" si="32">AX34</f>
        <v>5412891640.3100004</v>
      </c>
      <c r="AU12" s="191">
        <f t="shared" ref="AU12" si="33">AY34</f>
        <v>5477269087.8599997</v>
      </c>
      <c r="AV12" s="191">
        <f t="shared" ref="AV12" si="34">AZ34</f>
        <v>5394582476.9899998</v>
      </c>
      <c r="AW12" s="191">
        <f t="shared" ref="AW12" si="35">BA34</f>
        <v>5501322858.9799995</v>
      </c>
      <c r="AX12" s="191">
        <f t="shared" ref="AX12" si="36">BB34</f>
        <v>5577867470.3299999</v>
      </c>
      <c r="AY12" s="191">
        <f t="shared" ref="AY12" si="37">BC34</f>
        <v>5696283898.6499996</v>
      </c>
      <c r="AZ12" s="191">
        <f t="shared" ref="AZ12" si="38">BD34</f>
        <v>5779603253.5100002</v>
      </c>
      <c r="BA12" s="191">
        <f t="shared" ref="BA12" si="39">BE34</f>
        <v>5840992847.29</v>
      </c>
      <c r="BB12" s="191">
        <f t="shared" ref="BB12" si="40">BF34</f>
        <v>5434316703.3800001</v>
      </c>
      <c r="BC12" s="191">
        <f t="shared" ref="BC12" si="41">BG34</f>
        <v>5519652065.3800001</v>
      </c>
      <c r="BD12" s="191">
        <f t="shared" ref="BD12" si="42">BH34</f>
        <v>5587811046.9799995</v>
      </c>
      <c r="BE12" s="191">
        <f t="shared" ref="BE12" si="43">BI34</f>
        <v>5587556850.7200003</v>
      </c>
      <c r="BF12" s="191">
        <f t="shared" ref="BF12" si="44">BJ34</f>
        <v>5175235607.8500004</v>
      </c>
      <c r="BG12" s="191">
        <f t="shared" ref="BG12" si="45">BK34</f>
        <v>4543535291.6599998</v>
      </c>
      <c r="BH12" s="191">
        <f t="shared" ref="BH12" si="46">BL34</f>
        <v>4478639735.0500002</v>
      </c>
      <c r="BI12" s="191">
        <f t="shared" ref="BI12" si="47">BM34</f>
        <v>4520776529.7700005</v>
      </c>
      <c r="BJ12" s="191">
        <f t="shared" ref="BJ12" si="48">BN34</f>
        <v>3620875395.5999999</v>
      </c>
      <c r="BK12" s="191">
        <f t="shared" ref="BK12" si="49">BO34</f>
        <v>3684993020.0500002</v>
      </c>
      <c r="BL12" s="191">
        <f t="shared" ref="BL12" si="50">BP34</f>
        <v>3523637936.8200002</v>
      </c>
      <c r="BM12" s="191">
        <f t="shared" ref="BM12" si="51">BQ34</f>
        <v>4841679198.5100002</v>
      </c>
      <c r="BN12" s="191">
        <f t="shared" ref="BN12" si="52">BR34</f>
        <v>4945499008.7600002</v>
      </c>
    </row>
    <row r="13" spans="1:74" s="218" customFormat="1" x14ac:dyDescent="0.25">
      <c r="A13" s="218" t="s">
        <v>350</v>
      </c>
      <c r="E13" s="218">
        <f>E11/E12</f>
        <v>0.14260628172055442</v>
      </c>
      <c r="F13" s="218">
        <f t="shared" ref="F13:AR13" si="53">F11/F12</f>
        <v>0.14552604931401361</v>
      </c>
      <c r="G13" s="218">
        <f t="shared" si="53"/>
        <v>3.1223053716560534E-2</v>
      </c>
      <c r="H13" s="218">
        <f t="shared" si="53"/>
        <v>4.3101091522986648E-2</v>
      </c>
      <c r="I13" s="218">
        <f t="shared" si="53"/>
        <v>7.1033161739847542E-2</v>
      </c>
      <c r="J13" s="218">
        <f t="shared" si="53"/>
        <v>0.14977623737127441</v>
      </c>
      <c r="K13" s="218">
        <f t="shared" si="53"/>
        <v>0.14955781792200579</v>
      </c>
      <c r="L13" s="218">
        <f t="shared" si="53"/>
        <v>0.16708975353276259</v>
      </c>
      <c r="M13" s="218" t="e">
        <f t="shared" si="53"/>
        <v>#DIV/0!</v>
      </c>
      <c r="N13" s="218" t="e">
        <f t="shared" si="53"/>
        <v>#DIV/0!</v>
      </c>
      <c r="O13" s="218" t="e">
        <f t="shared" si="53"/>
        <v>#DIV/0!</v>
      </c>
      <c r="P13" s="218">
        <f t="shared" si="53"/>
        <v>2.3219582098516094E-2</v>
      </c>
      <c r="Q13" s="218">
        <f t="shared" si="53"/>
        <v>1.3471413532720595E-2</v>
      </c>
      <c r="R13" s="218">
        <f t="shared" si="53"/>
        <v>2.7531781674052362E-3</v>
      </c>
      <c r="S13" s="218">
        <f t="shared" si="53"/>
        <v>0</v>
      </c>
      <c r="T13" s="218">
        <f t="shared" si="53"/>
        <v>8.8806819101595776E-3</v>
      </c>
      <c r="U13" s="218">
        <f t="shared" si="53"/>
        <v>-4.7203522452421924E-2</v>
      </c>
      <c r="V13" s="218">
        <f t="shared" si="53"/>
        <v>3.9840988604222541E-2</v>
      </c>
      <c r="W13" s="218">
        <f t="shared" si="53"/>
        <v>-1.6981112826532814E-2</v>
      </c>
      <c r="X13" s="218">
        <f t="shared" si="53"/>
        <v>2.003618733897378E-2</v>
      </c>
      <c r="Y13" s="218">
        <f t="shared" si="53"/>
        <v>-4.9006943137107253E-2</v>
      </c>
      <c r="Z13" s="218">
        <f t="shared" si="53"/>
        <v>3.1650199228217442E-2</v>
      </c>
      <c r="AA13" s="218">
        <f t="shared" si="53"/>
        <v>-2.1165102055093931E-2</v>
      </c>
      <c r="AB13" s="218">
        <f t="shared" si="53"/>
        <v>2.0276237398845248E-2</v>
      </c>
      <c r="AC13" s="218">
        <f t="shared" si="53"/>
        <v>-3.1817942636022653E-2</v>
      </c>
      <c r="AD13" s="218">
        <f t="shared" si="53"/>
        <v>4.748064541856381E-2</v>
      </c>
      <c r="AE13" s="218">
        <f t="shared" si="53"/>
        <v>-1.3926676764838794E-2</v>
      </c>
      <c r="AF13" s="218">
        <f t="shared" si="53"/>
        <v>1.3718592224738552E-2</v>
      </c>
      <c r="AG13" s="218">
        <f t="shared" si="53"/>
        <v>-4.0925054001774389E-2</v>
      </c>
      <c r="AH13" s="218">
        <f t="shared" si="53"/>
        <v>4.144956178426723E-2</v>
      </c>
      <c r="AI13" s="218">
        <f t="shared" si="53"/>
        <v>-1.9377119150873055E-2</v>
      </c>
      <c r="AJ13" s="218">
        <f t="shared" si="53"/>
        <v>2.8373967207893654E-2</v>
      </c>
      <c r="AK13" s="218">
        <f t="shared" si="53"/>
        <v>6.3378830757173862E-2</v>
      </c>
      <c r="AL13" s="218">
        <f t="shared" si="53"/>
        <v>4.0021090653761492E-2</v>
      </c>
      <c r="AM13" s="218">
        <f t="shared" si="53"/>
        <v>-4.1646283886657046E-2</v>
      </c>
      <c r="AN13" s="218">
        <f t="shared" si="53"/>
        <v>2.1188888654587748E-2</v>
      </c>
      <c r="AO13" s="218">
        <f t="shared" si="53"/>
        <v>-6.5262141361557668E-2</v>
      </c>
      <c r="AP13" s="218">
        <f t="shared" si="53"/>
        <v>1.5564466857281717E-2</v>
      </c>
      <c r="AQ13" s="218">
        <f t="shared" si="53"/>
        <v>-2.7709128345900485E-2</v>
      </c>
      <c r="AR13" s="218">
        <f t="shared" si="53"/>
        <v>7.8035645681340682E-4</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107261.55</v>
      </c>
      <c r="N15" s="188">
        <v>107261.55</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21781052.800000001</v>
      </c>
      <c r="C16" s="188">
        <v>21781052.800000001</v>
      </c>
      <c r="D16" s="188">
        <v>0</v>
      </c>
      <c r="E16" s="188">
        <v>0</v>
      </c>
      <c r="F16" s="188">
        <v>0</v>
      </c>
      <c r="G16" s="188">
        <v>0</v>
      </c>
      <c r="H16" s="188">
        <v>0</v>
      </c>
      <c r="I16" s="188">
        <v>0</v>
      </c>
      <c r="J16" s="188">
        <v>0</v>
      </c>
      <c r="K16" s="188">
        <v>0</v>
      </c>
      <c r="L16" s="188">
        <v>0</v>
      </c>
      <c r="M16" s="188">
        <v>1028781.98</v>
      </c>
      <c r="N16" s="188">
        <v>1028781.98</v>
      </c>
      <c r="O16" s="188">
        <v>600000</v>
      </c>
      <c r="P16" s="188">
        <v>27774600</v>
      </c>
      <c r="Q16" s="188">
        <v>3635607.03</v>
      </c>
      <c r="R16" s="188">
        <v>37253856.159999996</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3269464666.25</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4"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921520.42999999993</v>
      </c>
      <c r="N17" s="47">
        <f t="shared" si="54"/>
        <v>921520.42999999993</v>
      </c>
      <c r="O17" s="47">
        <f t="shared" si="54"/>
        <v>600000</v>
      </c>
      <c r="P17" s="47">
        <f t="shared" si="54"/>
        <v>27774600</v>
      </c>
      <c r="Q17" s="47">
        <f t="shared" si="54"/>
        <v>3635607.03</v>
      </c>
      <c r="R17" s="47">
        <f t="shared" si="54"/>
        <v>37253856.159999996</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3269464666.25</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94851294.410000011</v>
      </c>
      <c r="F19" s="191">
        <f t="shared" ref="F19:AS19" si="55">F5+F17</f>
        <v>59561171.659999996</v>
      </c>
      <c r="G19" s="191">
        <f t="shared" si="55"/>
        <v>29751646.969999999</v>
      </c>
      <c r="H19" s="191">
        <f t="shared" si="55"/>
        <v>17335671.010000002</v>
      </c>
      <c r="I19" s="191">
        <f t="shared" si="55"/>
        <v>59187114.920000002</v>
      </c>
      <c r="J19" s="191">
        <f t="shared" si="55"/>
        <v>56074584.230000004</v>
      </c>
      <c r="K19" s="191">
        <f t="shared" si="55"/>
        <v>33776080.229999997</v>
      </c>
      <c r="L19" s="191">
        <f t="shared" si="55"/>
        <v>16026927.74</v>
      </c>
      <c r="M19" s="191">
        <f t="shared" si="55"/>
        <v>45573489.240000002</v>
      </c>
      <c r="N19" s="191">
        <f t="shared" si="55"/>
        <v>29608508.57</v>
      </c>
      <c r="O19" s="191">
        <f t="shared" si="55"/>
        <v>34459090.399999999</v>
      </c>
      <c r="P19" s="191">
        <f t="shared" si="55"/>
        <v>233189487.25</v>
      </c>
      <c r="Q19" s="191">
        <f t="shared" si="55"/>
        <v>100436609.97</v>
      </c>
      <c r="R19" s="191">
        <f t="shared" si="55"/>
        <v>57094274.579999998</v>
      </c>
      <c r="S19" s="191">
        <f t="shared" si="55"/>
        <v>0</v>
      </c>
      <c r="T19" s="191">
        <f t="shared" si="55"/>
        <v>64913436.280000001</v>
      </c>
      <c r="U19" s="191">
        <f t="shared" si="55"/>
        <v>337752203.54000002</v>
      </c>
      <c r="V19" s="191">
        <f t="shared" si="55"/>
        <v>282747800.38999999</v>
      </c>
      <c r="W19" s="191">
        <f t="shared" si="55"/>
        <v>212610529.06</v>
      </c>
      <c r="X19" s="191">
        <f t="shared" si="55"/>
        <v>143808741.60999998</v>
      </c>
      <c r="Y19" s="191">
        <f t="shared" si="55"/>
        <v>354821491.18000001</v>
      </c>
      <c r="Z19" s="191">
        <f t="shared" si="55"/>
        <v>228336553.28999999</v>
      </c>
      <c r="AA19" s="191">
        <f t="shared" si="55"/>
        <v>204177768.44</v>
      </c>
      <c r="AB19" s="191">
        <f t="shared" si="55"/>
        <v>146403794.09999999</v>
      </c>
      <c r="AC19" s="191">
        <f t="shared" si="55"/>
        <v>530866896.97000003</v>
      </c>
      <c r="AD19" s="191">
        <f t="shared" si="55"/>
        <v>350903753.10000002</v>
      </c>
      <c r="AE19" s="191">
        <f t="shared" si="55"/>
        <v>288468171.64999998</v>
      </c>
      <c r="AF19" s="191">
        <f t="shared" si="55"/>
        <v>103106550.39</v>
      </c>
      <c r="AG19" s="191">
        <f t="shared" si="55"/>
        <v>461352043.69</v>
      </c>
      <c r="AH19" s="191">
        <f t="shared" si="55"/>
        <v>315311096.82999998</v>
      </c>
      <c r="AI19" s="191">
        <f t="shared" si="55"/>
        <v>234676047.59999999</v>
      </c>
      <c r="AJ19" s="191">
        <f t="shared" si="55"/>
        <v>134776808.45999998</v>
      </c>
      <c r="AK19" s="191">
        <f t="shared" si="55"/>
        <v>4254316865.6700001</v>
      </c>
      <c r="AL19" s="191">
        <f t="shared" si="55"/>
        <v>193769282.12</v>
      </c>
      <c r="AM19" s="191">
        <f t="shared" si="55"/>
        <v>169370287.40000001</v>
      </c>
      <c r="AN19" s="191">
        <f t="shared" si="55"/>
        <v>105596741.39999999</v>
      </c>
      <c r="AO19" s="191">
        <f t="shared" si="55"/>
        <v>106006847.71000001</v>
      </c>
      <c r="AP19" s="191">
        <f t="shared" si="55"/>
        <v>79687358.280000001</v>
      </c>
      <c r="AQ19" s="191">
        <f t="shared" si="55"/>
        <v>73812764.530000001</v>
      </c>
      <c r="AR19" s="191">
        <f t="shared" si="55"/>
        <v>4081063.05</v>
      </c>
      <c r="AS19" s="191">
        <f t="shared" si="55"/>
        <v>0</v>
      </c>
    </row>
    <row r="20" spans="1:74" s="191" customFormat="1" x14ac:dyDescent="0.25">
      <c r="A20" s="191" t="s">
        <v>300</v>
      </c>
      <c r="B20" s="188">
        <v>125501648.61</v>
      </c>
      <c r="C20" s="188">
        <v>44626943.229999997</v>
      </c>
      <c r="D20" s="188">
        <v>-7657688.1900000004</v>
      </c>
      <c r="E20" s="188">
        <v>155508915.56</v>
      </c>
      <c r="F20" s="188">
        <v>109780058.19</v>
      </c>
      <c r="G20" s="188">
        <v>67019547.100000001</v>
      </c>
      <c r="H20" s="188">
        <v>19076292.600000001</v>
      </c>
      <c r="I20" s="188">
        <v>203345786.18000001</v>
      </c>
      <c r="J20" s="188">
        <v>137669225.16</v>
      </c>
      <c r="K20" s="188">
        <v>66600627.039999999</v>
      </c>
      <c r="L20" s="188">
        <v>4261735.37</v>
      </c>
      <c r="M20" s="188">
        <v>178388453.16999999</v>
      </c>
      <c r="N20" s="188">
        <v>85764753.120000005</v>
      </c>
      <c r="O20" s="188">
        <v>146597397.75</v>
      </c>
      <c r="P20" s="188">
        <v>112746080.40000001</v>
      </c>
      <c r="Q20" s="188">
        <v>109982674.95999999</v>
      </c>
      <c r="R20" s="188">
        <v>93640742.540000007</v>
      </c>
      <c r="S20" s="188">
        <v>0</v>
      </c>
      <c r="T20" s="191">
        <v>-2201725478.6399999</v>
      </c>
      <c r="U20" s="191">
        <v>1458910756.8800001</v>
      </c>
      <c r="V20" s="191">
        <v>313978957.69999999</v>
      </c>
      <c r="W20" s="191">
        <v>1497787082.24</v>
      </c>
      <c r="X20" s="191">
        <v>1136711876.1900001</v>
      </c>
      <c r="Y20" s="191">
        <v>8749667084.4799995</v>
      </c>
      <c r="Z20" s="191">
        <v>6548229191.1899996</v>
      </c>
      <c r="AA20" s="191">
        <v>3947604599.0900002</v>
      </c>
      <c r="AB20" s="191">
        <v>1681643781.72</v>
      </c>
      <c r="AC20" s="191">
        <v>9533022924.4099998</v>
      </c>
      <c r="AD20" s="191">
        <v>6771939952.1899996</v>
      </c>
      <c r="AE20" s="191">
        <v>5409806169.54</v>
      </c>
      <c r="AF20" s="191">
        <v>2364903317.4000001</v>
      </c>
      <c r="AG20" s="191">
        <v>7703120285.2600002</v>
      </c>
      <c r="AH20" s="191">
        <v>4790789702.7799997</v>
      </c>
      <c r="AI20" s="191">
        <v>3138660150.8800001</v>
      </c>
      <c r="AJ20" s="191">
        <v>2138624515.8499999</v>
      </c>
      <c r="AK20" s="191">
        <v>6054009663</v>
      </c>
      <c r="AL20" s="191">
        <v>4845240857.8000002</v>
      </c>
      <c r="AM20" s="191">
        <v>1883351626.01</v>
      </c>
      <c r="AN20" s="191">
        <v>1227477879.51</v>
      </c>
      <c r="AO20" s="191">
        <v>1972636550.8099999</v>
      </c>
      <c r="AP20" s="191">
        <v>1857136349.6300001</v>
      </c>
      <c r="AQ20" s="191">
        <v>1196792212.5999999</v>
      </c>
      <c r="AR20" s="191">
        <v>1171946368.1099999</v>
      </c>
      <c r="AS20" s="191">
        <v>1665545943.71</v>
      </c>
      <c r="AT20" s="191">
        <v>2089846017.8800001</v>
      </c>
      <c r="AU20" s="191">
        <v>1599888081.8099999</v>
      </c>
      <c r="AV20" s="191">
        <v>1055798280.0700001</v>
      </c>
      <c r="AW20" s="191">
        <v>1336270367.45</v>
      </c>
      <c r="AX20" s="191">
        <v>1192408273.4000001</v>
      </c>
      <c r="AY20" s="191">
        <v>889923241.13999999</v>
      </c>
      <c r="AZ20" s="191">
        <v>788427165.83000004</v>
      </c>
      <c r="BA20" s="191">
        <v>1252717668.0899999</v>
      </c>
      <c r="BB20" s="191">
        <v>807940999.38999999</v>
      </c>
      <c r="BC20" s="191">
        <v>713289532.66999996</v>
      </c>
      <c r="BD20" s="191">
        <v>410809880.20999998</v>
      </c>
      <c r="BE20" s="191">
        <v>821693394.29999995</v>
      </c>
      <c r="BF20" s="191">
        <v>845972023.45000005</v>
      </c>
      <c r="BG20" s="191">
        <v>673455379.76999998</v>
      </c>
      <c r="BH20" s="191">
        <v>959479476.41999996</v>
      </c>
      <c r="BI20" s="191">
        <v>1044659243.4</v>
      </c>
      <c r="BJ20" s="191">
        <v>796479775.66999996</v>
      </c>
      <c r="BK20" s="191">
        <v>324143510.37</v>
      </c>
      <c r="BL20" s="191">
        <v>233531826.72</v>
      </c>
      <c r="BM20" s="191">
        <v>1053290717.92</v>
      </c>
      <c r="BN20" s="191">
        <v>513631576.39999998</v>
      </c>
      <c r="BO20" s="191">
        <v>1073187941.83</v>
      </c>
      <c r="BP20" s="191">
        <v>259841859.31999999</v>
      </c>
      <c r="BQ20" s="191">
        <v>1294995783.27</v>
      </c>
      <c r="BR20" s="191">
        <v>527169463.72000003</v>
      </c>
      <c r="BS20" s="191">
        <v>898446895.69000006</v>
      </c>
      <c r="BT20" s="191">
        <v>436278873.26999998</v>
      </c>
      <c r="BU20" s="191">
        <v>359005459.04000002</v>
      </c>
      <c r="BV20" s="191">
        <v>0</v>
      </c>
    </row>
    <row r="21" spans="1:74" s="219" customFormat="1" x14ac:dyDescent="0.25">
      <c r="A21" s="219" t="s">
        <v>665</v>
      </c>
      <c r="E21" s="219">
        <f>E20/E19</f>
        <v>1.6395023022859767</v>
      </c>
      <c r="F21" s="219">
        <f t="shared" ref="F21:AS21" si="56">F20/F19</f>
        <v>1.8431480632494999</v>
      </c>
      <c r="G21" s="219">
        <f t="shared" si="56"/>
        <v>2.2526331791842984</v>
      </c>
      <c r="H21" s="219">
        <f t="shared" si="56"/>
        <v>1.1004069348683376</v>
      </c>
      <c r="I21" s="219">
        <f t="shared" si="56"/>
        <v>3.435642816090148</v>
      </c>
      <c r="J21" s="219">
        <f t="shared" si="56"/>
        <v>2.4551091559649354</v>
      </c>
      <c r="K21" s="219">
        <f t="shared" si="56"/>
        <v>1.9718281868849057</v>
      </c>
      <c r="L21" s="219">
        <f t="shared" si="56"/>
        <v>0.26591093683935207</v>
      </c>
      <c r="M21" s="219">
        <f t="shared" si="56"/>
        <v>3.9143031649511677</v>
      </c>
      <c r="N21" s="219">
        <f t="shared" si="56"/>
        <v>2.8966252358586804</v>
      </c>
      <c r="O21" s="219">
        <f t="shared" si="56"/>
        <v>4.254244556321777</v>
      </c>
      <c r="P21" s="219">
        <f t="shared" si="56"/>
        <v>0.4834955543219927</v>
      </c>
      <c r="Q21" s="219">
        <f t="shared" si="56"/>
        <v>1.0950456710242547</v>
      </c>
      <c r="R21" s="219">
        <f t="shared" si="56"/>
        <v>1.6401074053194495</v>
      </c>
      <c r="S21" s="219" t="e">
        <f t="shared" si="56"/>
        <v>#DIV/0!</v>
      </c>
      <c r="T21" s="219">
        <f t="shared" si="56"/>
        <v>-33.917869778808139</v>
      </c>
      <c r="U21" s="219">
        <f t="shared" si="56"/>
        <v>4.3194707290998364</v>
      </c>
      <c r="V21" s="219">
        <f t="shared" si="56"/>
        <v>1.1104558807068428</v>
      </c>
      <c r="W21" s="219">
        <f t="shared" si="56"/>
        <v>7.0447455676915949</v>
      </c>
      <c r="X21" s="219">
        <f t="shared" si="56"/>
        <v>7.9043308735201174</v>
      </c>
      <c r="Y21" s="219">
        <f t="shared" si="56"/>
        <v>24.659349284007479</v>
      </c>
      <c r="Z21" s="219">
        <f t="shared" si="56"/>
        <v>28.677971603054672</v>
      </c>
      <c r="AA21" s="219">
        <f t="shared" si="56"/>
        <v>19.334154884987147</v>
      </c>
      <c r="AB21" s="219">
        <f t="shared" si="56"/>
        <v>11.486340173475053</v>
      </c>
      <c r="AC21" s="219">
        <f t="shared" si="56"/>
        <v>17.957463497575596</v>
      </c>
      <c r="AD21" s="219">
        <f t="shared" si="56"/>
        <v>19.298568032870662</v>
      </c>
      <c r="AE21" s="219">
        <f t="shared" si="56"/>
        <v>18.753563481879546</v>
      </c>
      <c r="AF21" s="219">
        <f t="shared" si="56"/>
        <v>22.936499266581659</v>
      </c>
      <c r="AG21" s="219">
        <f t="shared" si="56"/>
        <v>16.696837893355081</v>
      </c>
      <c r="AH21" s="219">
        <f t="shared" si="56"/>
        <v>15.193850615929811</v>
      </c>
      <c r="AI21" s="219">
        <f t="shared" si="56"/>
        <v>13.374437583122139</v>
      </c>
      <c r="AJ21" s="219">
        <f t="shared" si="56"/>
        <v>15.867897009037101</v>
      </c>
      <c r="AK21" s="219">
        <f t="shared" si="56"/>
        <v>1.4230274458051144</v>
      </c>
      <c r="AL21" s="219">
        <f t="shared" si="56"/>
        <v>25.005206216325739</v>
      </c>
      <c r="AM21" s="219">
        <f t="shared" si="56"/>
        <v>11.119728583574453</v>
      </c>
      <c r="AN21" s="219">
        <f t="shared" si="56"/>
        <v>11.624202255070724</v>
      </c>
      <c r="AO21" s="219">
        <f t="shared" si="56"/>
        <v>18.608576647864172</v>
      </c>
      <c r="AP21" s="219">
        <f t="shared" si="56"/>
        <v>23.305281913155174</v>
      </c>
      <c r="AQ21" s="219">
        <f t="shared" si="56"/>
        <v>16.213892274873178</v>
      </c>
      <c r="AR21" s="219">
        <f t="shared" si="56"/>
        <v>287.16693512245541</v>
      </c>
      <c r="AS21" s="219" t="e">
        <f t="shared" si="56"/>
        <v>#DIV/0!</v>
      </c>
    </row>
    <row r="22" spans="1:74" s="191" customFormat="1" x14ac:dyDescent="0.25">
      <c r="A22" s="191" t="s">
        <v>301</v>
      </c>
      <c r="E22" s="191">
        <f>I35</f>
        <v>442073371.21000004</v>
      </c>
      <c r="F22" s="191">
        <f t="shared" ref="F22:Y22" si="57">J35</f>
        <v>173441088.34999999</v>
      </c>
      <c r="G22" s="191">
        <f t="shared" si="57"/>
        <v>125763270.44</v>
      </c>
      <c r="H22" s="191">
        <f t="shared" si="57"/>
        <v>203669416.86000001</v>
      </c>
      <c r="I22" s="191">
        <f t="shared" si="57"/>
        <v>121360190</v>
      </c>
      <c r="J22" s="191">
        <f t="shared" si="57"/>
        <v>121048251.62</v>
      </c>
      <c r="K22" s="191">
        <f t="shared" si="57"/>
        <v>131378573.28</v>
      </c>
      <c r="L22" s="191">
        <f t="shared" si="57"/>
        <v>106634430.42</v>
      </c>
      <c r="M22" s="191">
        <f t="shared" si="57"/>
        <v>0</v>
      </c>
      <c r="N22" s="191">
        <f t="shared" si="57"/>
        <v>0</v>
      </c>
      <c r="O22" s="191">
        <f t="shared" si="57"/>
        <v>0</v>
      </c>
      <c r="P22" s="191">
        <f t="shared" si="57"/>
        <v>0</v>
      </c>
      <c r="Q22" s="191">
        <f t="shared" si="57"/>
        <v>0</v>
      </c>
      <c r="R22" s="191">
        <f t="shared" si="57"/>
        <v>0</v>
      </c>
      <c r="S22" s="191">
        <f t="shared" si="57"/>
        <v>0</v>
      </c>
      <c r="T22" s="191">
        <f t="shared" si="57"/>
        <v>0</v>
      </c>
      <c r="U22" s="191">
        <f t="shared" si="57"/>
        <v>0</v>
      </c>
      <c r="V22" s="191">
        <f t="shared" si="57"/>
        <v>0</v>
      </c>
      <c r="W22" s="191">
        <f t="shared" si="57"/>
        <v>0</v>
      </c>
      <c r="X22" s="191">
        <f t="shared" si="57"/>
        <v>0</v>
      </c>
      <c r="Y22" s="191">
        <f t="shared" si="57"/>
        <v>0</v>
      </c>
      <c r="Z22" s="191">
        <f t="shared" ref="Z22" si="58">AD35</f>
        <v>0</v>
      </c>
      <c r="AA22" s="191">
        <f t="shared" ref="AA22" si="59">AE35</f>
        <v>0</v>
      </c>
      <c r="AB22" s="191">
        <f t="shared" ref="AB22" si="60">AF35</f>
        <v>0</v>
      </c>
      <c r="AC22" s="191">
        <f t="shared" ref="AC22" si="61">AG35</f>
        <v>0</v>
      </c>
      <c r="AD22" s="191">
        <f t="shared" ref="AD22" si="62">AH35</f>
        <v>0</v>
      </c>
      <c r="AE22" s="191">
        <f t="shared" ref="AE22" si="63">AI35</f>
        <v>0</v>
      </c>
      <c r="AF22" s="191">
        <f t="shared" ref="AF22" si="64">AJ35</f>
        <v>0</v>
      </c>
      <c r="AG22" s="191">
        <f t="shared" ref="AG22" si="65">AK35</f>
        <v>0</v>
      </c>
      <c r="AH22" s="191">
        <f t="shared" ref="AH22" si="66">AL35</f>
        <v>0</v>
      </c>
      <c r="AI22" s="191">
        <f t="shared" ref="AI22" si="67">AM35</f>
        <v>0</v>
      </c>
      <c r="AJ22" s="191">
        <f t="shared" ref="AJ22" si="68">AN35</f>
        <v>0</v>
      </c>
      <c r="AK22" s="191">
        <f t="shared" ref="AK22" si="69">AO35</f>
        <v>0</v>
      </c>
      <c r="AL22" s="191">
        <f t="shared" ref="AL22" si="70">AP35</f>
        <v>0</v>
      </c>
      <c r="AM22" s="191">
        <f t="shared" ref="AM22" si="71">AQ35</f>
        <v>0</v>
      </c>
      <c r="AN22" s="191">
        <f t="shared" ref="AN22" si="72">AR35</f>
        <v>0</v>
      </c>
      <c r="AO22" s="191">
        <f t="shared" ref="AO22" si="73">AS35</f>
        <v>0</v>
      </c>
      <c r="AP22" s="191">
        <f t="shared" ref="AP22" si="74">AT35</f>
        <v>0</v>
      </c>
      <c r="AQ22" s="191">
        <f t="shared" ref="AQ22" si="75">AU35</f>
        <v>0</v>
      </c>
      <c r="AR22" s="191">
        <f t="shared" ref="AR22" si="76">AV35</f>
        <v>0</v>
      </c>
      <c r="AS22" s="191">
        <f t="shared" ref="AS22" si="77">AW35</f>
        <v>0</v>
      </c>
    </row>
    <row r="23" spans="1:74" s="191" customFormat="1" x14ac:dyDescent="0.25">
      <c r="A23" s="191" t="s">
        <v>302</v>
      </c>
      <c r="E23" s="191">
        <f>E20+E22-E19</f>
        <v>502730992.35999995</v>
      </c>
      <c r="F23" s="191">
        <f t="shared" ref="F23:AS23" si="78">F20+F22-F19</f>
        <v>223659974.87999997</v>
      </c>
      <c r="G23" s="191">
        <f t="shared" si="78"/>
        <v>163031170.56999999</v>
      </c>
      <c r="H23" s="191">
        <f t="shared" si="78"/>
        <v>205410038.45000002</v>
      </c>
      <c r="I23" s="191">
        <f t="shared" si="78"/>
        <v>265518861.25999999</v>
      </c>
      <c r="J23" s="191">
        <f t="shared" si="78"/>
        <v>202642892.55000001</v>
      </c>
      <c r="K23" s="191">
        <f t="shared" si="78"/>
        <v>164203120.09</v>
      </c>
      <c r="L23" s="191">
        <f t="shared" si="78"/>
        <v>94869238.050000012</v>
      </c>
      <c r="M23" s="191">
        <f t="shared" si="78"/>
        <v>132814963.92999998</v>
      </c>
      <c r="N23" s="191">
        <f t="shared" si="78"/>
        <v>56156244.550000004</v>
      </c>
      <c r="O23" s="191">
        <f t="shared" si="78"/>
        <v>112138307.34999999</v>
      </c>
      <c r="P23" s="191">
        <f t="shared" si="78"/>
        <v>-120443406.84999999</v>
      </c>
      <c r="Q23" s="191">
        <f t="shared" si="78"/>
        <v>9546064.9899999946</v>
      </c>
      <c r="R23" s="191">
        <f t="shared" si="78"/>
        <v>36546467.960000008</v>
      </c>
      <c r="S23" s="191">
        <f t="shared" si="78"/>
        <v>0</v>
      </c>
      <c r="T23" s="191">
        <f t="shared" si="78"/>
        <v>-2266638914.9200001</v>
      </c>
      <c r="U23" s="191">
        <f t="shared" si="78"/>
        <v>1121158553.3400002</v>
      </c>
      <c r="V23" s="191">
        <f t="shared" si="78"/>
        <v>31231157.310000002</v>
      </c>
      <c r="W23" s="191">
        <f t="shared" si="78"/>
        <v>1285176553.1800001</v>
      </c>
      <c r="X23" s="191">
        <f t="shared" si="78"/>
        <v>992903134.58000004</v>
      </c>
      <c r="Y23" s="191">
        <f t="shared" si="78"/>
        <v>8394845593.2999992</v>
      </c>
      <c r="Z23" s="191">
        <f t="shared" si="78"/>
        <v>6319892637.8999996</v>
      </c>
      <c r="AA23" s="191">
        <f t="shared" si="78"/>
        <v>3743426830.6500001</v>
      </c>
      <c r="AB23" s="191">
        <f t="shared" si="78"/>
        <v>1535239987.6200001</v>
      </c>
      <c r="AC23" s="191">
        <f t="shared" si="78"/>
        <v>9002156027.4400005</v>
      </c>
      <c r="AD23" s="191">
        <f t="shared" si="78"/>
        <v>6421036199.0899992</v>
      </c>
      <c r="AE23" s="191">
        <f t="shared" si="78"/>
        <v>5121337997.8900003</v>
      </c>
      <c r="AF23" s="191">
        <f t="shared" si="78"/>
        <v>2261796767.0100002</v>
      </c>
      <c r="AG23" s="191">
        <f t="shared" si="78"/>
        <v>7241768241.5700006</v>
      </c>
      <c r="AH23" s="191">
        <f t="shared" si="78"/>
        <v>4475478605.9499998</v>
      </c>
      <c r="AI23" s="191">
        <f t="shared" si="78"/>
        <v>2903984103.2800002</v>
      </c>
      <c r="AJ23" s="191">
        <f t="shared" si="78"/>
        <v>2003847707.3899999</v>
      </c>
      <c r="AK23" s="191">
        <f t="shared" si="78"/>
        <v>1799692797.3299999</v>
      </c>
      <c r="AL23" s="191">
        <f t="shared" si="78"/>
        <v>4651471575.6800003</v>
      </c>
      <c r="AM23" s="191">
        <f t="shared" si="78"/>
        <v>1713981338.6099999</v>
      </c>
      <c r="AN23" s="191">
        <f t="shared" si="78"/>
        <v>1121881138.1099999</v>
      </c>
      <c r="AO23" s="191">
        <f t="shared" si="78"/>
        <v>1866629703.0999999</v>
      </c>
      <c r="AP23" s="191">
        <f t="shared" si="78"/>
        <v>1777448991.3500001</v>
      </c>
      <c r="AQ23" s="191">
        <f t="shared" si="78"/>
        <v>1122979448.0699999</v>
      </c>
      <c r="AR23" s="191">
        <f t="shared" si="78"/>
        <v>1167865305.0599999</v>
      </c>
      <c r="AS23" s="191">
        <f t="shared" si="78"/>
        <v>1665545943.71</v>
      </c>
    </row>
    <row r="24" spans="1:74" s="219" customFormat="1" x14ac:dyDescent="0.25">
      <c r="A24" s="219" t="s">
        <v>303</v>
      </c>
      <c r="B24" s="188">
        <v>-53497103.719999999</v>
      </c>
      <c r="C24" s="188">
        <v>-52297103.719999999</v>
      </c>
      <c r="D24" s="188">
        <v>-567103.72</v>
      </c>
      <c r="E24" s="188">
        <v>-123222270.77</v>
      </c>
      <c r="F24" s="188">
        <v>-123222270.77</v>
      </c>
      <c r="G24" s="188">
        <v>-123222270.77</v>
      </c>
      <c r="H24" s="188">
        <v>-33689772.359999999</v>
      </c>
      <c r="I24" s="188">
        <v>365598873.93000001</v>
      </c>
      <c r="J24" s="188">
        <v>-110010213.81</v>
      </c>
      <c r="K24" s="188">
        <v>-108847151.98</v>
      </c>
      <c r="L24" s="188">
        <v>16266632.189999999</v>
      </c>
      <c r="M24" s="188">
        <v>-52083823.039999999</v>
      </c>
      <c r="N24" s="188">
        <v>-49783663.729999997</v>
      </c>
      <c r="O24" s="188">
        <v>-111140469.13</v>
      </c>
      <c r="P24" s="188">
        <v>72950844.609999999</v>
      </c>
      <c r="Q24" s="188">
        <v>35371287.210000001</v>
      </c>
      <c r="R24" s="188">
        <v>15274725.51</v>
      </c>
      <c r="S24" s="188">
        <v>0</v>
      </c>
      <c r="T24" s="191">
        <v>0</v>
      </c>
      <c r="U24" s="191">
        <v>-3219033426.9200001</v>
      </c>
      <c r="V24" s="191">
        <v>-3318001362.1599998</v>
      </c>
      <c r="W24" s="191">
        <v>-3391501362.1599998</v>
      </c>
      <c r="X24" s="191">
        <v>-32227986.16</v>
      </c>
      <c r="Y24" s="191">
        <v>-2113851892.23</v>
      </c>
      <c r="Z24" s="191">
        <v>-2116322677.4300001</v>
      </c>
      <c r="AA24" s="191">
        <v>-2116322677.4300001</v>
      </c>
      <c r="AB24" s="191">
        <v>-215868531.93000001</v>
      </c>
      <c r="AC24" s="191">
        <v>-1503137193.9100001</v>
      </c>
      <c r="AD24" s="191">
        <v>-1427440016</v>
      </c>
      <c r="AE24" s="191">
        <v>-1044440016</v>
      </c>
      <c r="AF24" s="191">
        <v>-205650000</v>
      </c>
      <c r="AG24" s="191">
        <v>-647767438.72000003</v>
      </c>
      <c r="AH24" s="191">
        <v>-500767438.72000003</v>
      </c>
      <c r="AI24" s="191">
        <v>-500767438.72000003</v>
      </c>
      <c r="AJ24" s="191">
        <v>0</v>
      </c>
      <c r="AK24" s="191">
        <v>-178798336</v>
      </c>
      <c r="AL24" s="191">
        <v>-193030418.09</v>
      </c>
      <c r="AM24" s="191">
        <v>-193030418.09</v>
      </c>
      <c r="AN24" s="191">
        <v>0</v>
      </c>
      <c r="AO24" s="191">
        <v>-2500000</v>
      </c>
      <c r="AP24" s="191">
        <v>0</v>
      </c>
      <c r="AQ24" s="191">
        <v>0</v>
      </c>
      <c r="AR24" s="191">
        <v>0</v>
      </c>
      <c r="AS24" s="191">
        <v>-147684288</v>
      </c>
      <c r="AT24" s="191">
        <v>-11287580.49</v>
      </c>
      <c r="AU24" s="191">
        <v>-11287580.49</v>
      </c>
      <c r="AV24" s="191">
        <v>0</v>
      </c>
      <c r="AW24" s="191">
        <v>-271140480</v>
      </c>
      <c r="AX24" s="191">
        <v>-265331306.06</v>
      </c>
      <c r="AY24" s="191">
        <v>-220552618.06</v>
      </c>
      <c r="AZ24" s="191">
        <v>0</v>
      </c>
      <c r="BA24" s="191">
        <v>0</v>
      </c>
      <c r="BB24" s="191">
        <v>0</v>
      </c>
      <c r="BC24" s="191">
        <v>0</v>
      </c>
      <c r="BD24" s="191">
        <v>0</v>
      </c>
      <c r="BE24" s="191">
        <v>-268690480</v>
      </c>
      <c r="BF24" s="191">
        <v>-271140480</v>
      </c>
      <c r="BG24" s="191">
        <v>-271140480</v>
      </c>
      <c r="BH24" s="191">
        <v>0</v>
      </c>
      <c r="BI24" s="191">
        <v>-15606000</v>
      </c>
      <c r="BJ24" s="191">
        <v>0</v>
      </c>
      <c r="BK24" s="191">
        <v>0</v>
      </c>
      <c r="BL24" s="191">
        <v>0</v>
      </c>
      <c r="BM24" s="191">
        <v>-5320000</v>
      </c>
      <c r="BN24" s="191">
        <v>-6120000</v>
      </c>
      <c r="BO24" s="191">
        <v>562994338.32000005</v>
      </c>
      <c r="BP24" s="191">
        <v>613134338.32000005</v>
      </c>
      <c r="BQ24" s="191">
        <v>0</v>
      </c>
      <c r="BR24" s="191">
        <v>4623692.53</v>
      </c>
      <c r="BS24" s="191">
        <v>-400000000</v>
      </c>
      <c r="BT24" s="191">
        <v>-237866348.78</v>
      </c>
      <c r="BU24" s="191">
        <v>1108113819.7</v>
      </c>
      <c r="BV24" s="191">
        <v>0</v>
      </c>
    </row>
    <row r="25" spans="1:74" s="240" customFormat="1" ht="138.6" customHeight="1" x14ac:dyDescent="0.25">
      <c r="A25" s="274" t="s">
        <v>741</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629</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1000000</v>
      </c>
      <c r="N26" s="26">
        <f>现金流量表!N15</f>
        <v>1000000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33000000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0</v>
      </c>
      <c r="N27" s="26">
        <f>现金流量表!N22</f>
        <v>0</v>
      </c>
      <c r="O27" s="26">
        <f>现金流量表!O22</f>
        <v>0</v>
      </c>
      <c r="P27" s="26">
        <f>现金流量表!P22</f>
        <v>0</v>
      </c>
      <c r="Q27" s="26">
        <f>现金流量表!Q22</f>
        <v>28858831.859999999</v>
      </c>
      <c r="R27" s="26">
        <f>现金流量表!R22</f>
        <v>1000000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33000000</v>
      </c>
      <c r="F28" s="26">
        <f t="shared" ref="F28:BQ28" si="79">F27-F26</f>
        <v>0</v>
      </c>
      <c r="G28" s="26">
        <f t="shared" si="79"/>
        <v>0</v>
      </c>
      <c r="H28" s="26">
        <f t="shared" si="79"/>
        <v>0</v>
      </c>
      <c r="I28" s="26">
        <f t="shared" si="79"/>
        <v>0</v>
      </c>
      <c r="J28" s="26">
        <f t="shared" si="79"/>
        <v>0</v>
      </c>
      <c r="K28" s="26">
        <f t="shared" si="79"/>
        <v>0</v>
      </c>
      <c r="L28" s="26">
        <f t="shared" si="79"/>
        <v>0</v>
      </c>
      <c r="M28" s="26">
        <f t="shared" si="79"/>
        <v>-1000000</v>
      </c>
      <c r="N28" s="26">
        <f t="shared" si="79"/>
        <v>-1000000</v>
      </c>
      <c r="O28" s="26">
        <f t="shared" si="79"/>
        <v>0</v>
      </c>
      <c r="P28" s="26">
        <f t="shared" si="79"/>
        <v>0</v>
      </c>
      <c r="Q28" s="26">
        <f t="shared" si="79"/>
        <v>28858831.859999999</v>
      </c>
      <c r="R28" s="26">
        <f t="shared" si="79"/>
        <v>1000000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632</v>
      </c>
      <c r="E29" s="180" t="e">
        <f>POWER(E28/U28,1/5)-1</f>
        <v>#DIV/0!</v>
      </c>
    </row>
    <row r="30" spans="1:74" s="30" customFormat="1" ht="15" customHeight="1" thickBot="1" x14ac:dyDescent="0.3">
      <c r="A30" s="135"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42004</v>
      </c>
      <c r="P30" s="1">
        <v>41639</v>
      </c>
      <c r="Q30" s="1">
        <v>41274</v>
      </c>
      <c r="R30" s="1">
        <v>40908</v>
      </c>
      <c r="S30" s="1">
        <v>25569</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0" t="s">
        <v>310</v>
      </c>
      <c r="B31" s="188">
        <v>653970623.74000001</v>
      </c>
      <c r="C31" s="188">
        <v>639768840.00999999</v>
      </c>
      <c r="D31" s="188">
        <v>589045323.54999995</v>
      </c>
      <c r="E31" s="188">
        <v>577918906.80999994</v>
      </c>
      <c r="F31" s="188">
        <v>500623791.82999998</v>
      </c>
      <c r="G31" s="188">
        <v>494948720.62</v>
      </c>
      <c r="H31" s="188">
        <v>490549876.63999999</v>
      </c>
      <c r="I31" s="188">
        <v>480305874.88999999</v>
      </c>
      <c r="J31" s="188">
        <v>473229314.58999997</v>
      </c>
      <c r="K31" s="188">
        <v>473387259.20999998</v>
      </c>
      <c r="L31" s="188">
        <v>466157016.81</v>
      </c>
      <c r="M31" s="188">
        <v>445794850.39999998</v>
      </c>
      <c r="N31" s="188">
        <v>437471791.35000002</v>
      </c>
      <c r="O31" s="188">
        <v>183908202.41</v>
      </c>
      <c r="P31" s="188">
        <v>132002042.64</v>
      </c>
      <c r="Q31" s="188">
        <v>0</v>
      </c>
      <c r="R31" s="188"/>
      <c r="S31" s="188"/>
      <c r="T31" s="188">
        <v>7742554203.8199997</v>
      </c>
      <c r="U31" s="188">
        <v>7187282033.3299999</v>
      </c>
      <c r="V31" s="188">
        <v>7207990845.79</v>
      </c>
      <c r="W31" s="188">
        <v>7307142600.1300001</v>
      </c>
      <c r="X31" s="188">
        <v>7311131963.0699997</v>
      </c>
      <c r="Y31" s="188">
        <v>7325302679.7399998</v>
      </c>
      <c r="Z31" s="188">
        <v>7098528857.4200001</v>
      </c>
      <c r="AA31" s="188">
        <v>7180445172.2200003</v>
      </c>
      <c r="AB31" s="188">
        <v>7179072058.4300003</v>
      </c>
      <c r="AC31" s="188">
        <v>7192699496.6800003</v>
      </c>
      <c r="AD31" s="188">
        <v>7216001271.4099998</v>
      </c>
      <c r="AE31" s="188">
        <v>7204199191.9499998</v>
      </c>
      <c r="AF31" s="188">
        <v>7222083247.6000004</v>
      </c>
      <c r="AG31" s="188">
        <v>7303785667.5900002</v>
      </c>
      <c r="AH31" s="188">
        <v>7392080405.5600004</v>
      </c>
      <c r="AI31" s="188">
        <v>7431174519.1300001</v>
      </c>
      <c r="AJ31" s="188">
        <v>7517447492.9799995</v>
      </c>
      <c r="AK31" s="188">
        <v>7566173849.9700003</v>
      </c>
      <c r="AL31" s="188">
        <v>7607103266.1599998</v>
      </c>
      <c r="AM31" s="188">
        <v>7706877443.3000002</v>
      </c>
      <c r="AN31" s="188">
        <v>4750016360.8599997</v>
      </c>
      <c r="AO31" s="188">
        <v>4754868668.1300001</v>
      </c>
      <c r="AP31" s="188">
        <v>4841679198.5100002</v>
      </c>
      <c r="AQ31" s="188">
        <v>4945499008.7600002</v>
      </c>
      <c r="AR31" s="188">
        <v>4983590367.6400003</v>
      </c>
      <c r="AS31" s="188">
        <v>5087759145.3900003</v>
      </c>
      <c r="AT31" s="188">
        <v>5119825755.0799999</v>
      </c>
      <c r="AU31" s="188">
        <v>5166324238.8199997</v>
      </c>
      <c r="AV31" s="188">
        <v>5229742144.5900002</v>
      </c>
      <c r="AW31" s="188">
        <v>5303368604.3599997</v>
      </c>
      <c r="AX31" s="188">
        <v>5412891640.3100004</v>
      </c>
      <c r="AY31" s="188">
        <v>5477269087.8599997</v>
      </c>
      <c r="AZ31" s="188">
        <v>5394582476.9899998</v>
      </c>
      <c r="BA31" s="188">
        <v>5501322858.9799995</v>
      </c>
      <c r="BB31" s="188">
        <v>5577867470.3299999</v>
      </c>
      <c r="BC31" s="188">
        <v>5696283898.6499996</v>
      </c>
      <c r="BD31" s="188">
        <v>5779603253.5100002</v>
      </c>
      <c r="BE31" s="188">
        <v>5840992847.29</v>
      </c>
      <c r="BF31" s="188">
        <v>5434316703.3800001</v>
      </c>
      <c r="BG31" s="188">
        <v>5519652065.3800001</v>
      </c>
      <c r="BH31" s="188">
        <v>5587811046.9799995</v>
      </c>
      <c r="BI31" s="188">
        <v>5587556850.7200003</v>
      </c>
      <c r="BJ31" s="188">
        <v>5175235607.8500004</v>
      </c>
      <c r="BK31" s="188">
        <v>4543535291.6599998</v>
      </c>
      <c r="BL31" s="188">
        <v>4478639735.0500002</v>
      </c>
      <c r="BM31" s="188">
        <v>4520776529.7700005</v>
      </c>
      <c r="BN31" s="188">
        <v>3620875395.5999999</v>
      </c>
      <c r="BO31" s="188">
        <v>3684993020.0500002</v>
      </c>
      <c r="BP31" s="188">
        <v>3523637936.8200002</v>
      </c>
      <c r="BQ31" s="188">
        <v>3558533656.5999999</v>
      </c>
      <c r="BR31" s="188">
        <v>0</v>
      </c>
      <c r="BS31" s="188">
        <v>3540915525.1199999</v>
      </c>
      <c r="BT31" s="188">
        <v>1786934979.5599999</v>
      </c>
      <c r="BU31" s="188">
        <v>1665815375.1099999</v>
      </c>
      <c r="BV31" s="188">
        <v>1686369507.6900001</v>
      </c>
    </row>
    <row r="32" spans="1:74" s="54" customFormat="1" ht="15" customHeight="1" x14ac:dyDescent="0.25">
      <c r="A32" s="136" t="s">
        <v>311</v>
      </c>
      <c r="B32" s="188">
        <v>80234108.319999993</v>
      </c>
      <c r="C32" s="188">
        <v>80234108.319999993</v>
      </c>
      <c r="D32" s="188">
        <v>62947457.899999999</v>
      </c>
      <c r="E32" s="188">
        <v>62947457.899999999</v>
      </c>
      <c r="F32" s="188">
        <v>62947457.899999999</v>
      </c>
      <c r="G32" s="188">
        <v>62947457.899999999</v>
      </c>
      <c r="H32" s="188">
        <v>62947457.899999999</v>
      </c>
      <c r="I32" s="188">
        <v>62947457.899999999</v>
      </c>
      <c r="J32" s="188">
        <v>62947457.899999999</v>
      </c>
      <c r="K32" s="188">
        <v>62947457.899999999</v>
      </c>
      <c r="L32" s="188">
        <v>62947457.899999999</v>
      </c>
      <c r="M32" s="188">
        <v>62082734.619999997</v>
      </c>
      <c r="N32" s="188">
        <v>62082734.619999997</v>
      </c>
      <c r="O32" s="188">
        <v>62082734.619999997</v>
      </c>
      <c r="P32" s="188">
        <v>36083966.270000003</v>
      </c>
      <c r="Q32" s="188">
        <v>0</v>
      </c>
      <c r="R32" s="188"/>
      <c r="S32" s="188"/>
      <c r="T32" s="188">
        <v>1621619.53</v>
      </c>
      <c r="U32" s="188">
        <v>1621619.53</v>
      </c>
      <c r="V32" s="188">
        <v>1621619.53</v>
      </c>
      <c r="W32" s="188">
        <v>1621619.53</v>
      </c>
      <c r="X32" s="188">
        <v>1621619.53</v>
      </c>
      <c r="Y32" s="188">
        <v>1621619.53</v>
      </c>
      <c r="Z32" s="188">
        <v>1621619.53</v>
      </c>
      <c r="AA32" s="188">
        <v>1621619.53</v>
      </c>
      <c r="AB32" s="188">
        <v>1621619.53</v>
      </c>
      <c r="AC32" s="188">
        <v>1621619.53</v>
      </c>
      <c r="AD32" s="188">
        <v>1621619.53</v>
      </c>
      <c r="AE32" s="188">
        <v>1621619.53</v>
      </c>
      <c r="AF32" s="188">
        <v>1621619.53</v>
      </c>
      <c r="AG32" s="188">
        <v>1621619.53</v>
      </c>
      <c r="AH32" s="188">
        <v>1621619.53</v>
      </c>
      <c r="AI32" s="188">
        <v>1621619.53</v>
      </c>
      <c r="AJ32" s="188">
        <v>1621619.53</v>
      </c>
      <c r="AK32" s="188">
        <v>1621619.53</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s="54" customFormat="1" ht="19.2" customHeight="1" x14ac:dyDescent="0.25">
      <c r="A33" s="136" t="s">
        <v>312</v>
      </c>
      <c r="B33" s="188">
        <v>1000000</v>
      </c>
      <c r="C33" s="188">
        <v>1000000</v>
      </c>
      <c r="D33" s="188">
        <v>1000000</v>
      </c>
      <c r="E33" s="188">
        <v>1000000</v>
      </c>
      <c r="F33" s="188">
        <v>1000000</v>
      </c>
      <c r="G33" s="188">
        <v>1000000</v>
      </c>
      <c r="H33" s="188">
        <v>1000000</v>
      </c>
      <c r="I33" s="188">
        <v>1000000</v>
      </c>
      <c r="J33" s="188">
        <v>1000000</v>
      </c>
      <c r="K33" s="188">
        <v>1000000</v>
      </c>
      <c r="L33" s="188">
        <v>1000000</v>
      </c>
      <c r="M33" s="188">
        <v>1000000</v>
      </c>
      <c r="N33" s="188">
        <v>1000000</v>
      </c>
      <c r="O33" s="188">
        <v>0</v>
      </c>
      <c r="P33" s="188">
        <v>0</v>
      </c>
      <c r="Q33" s="188">
        <v>0</v>
      </c>
      <c r="R33" s="188"/>
      <c r="S33" s="188"/>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s="44" customFormat="1" ht="15" thickBot="1" x14ac:dyDescent="0.3">
      <c r="A34" s="137" t="s">
        <v>315</v>
      </c>
      <c r="B34" s="49"/>
      <c r="C34" s="49"/>
      <c r="D34" s="49"/>
      <c r="E34" s="49">
        <f>E31-E32-E33</f>
        <v>513971448.90999997</v>
      </c>
      <c r="F34" s="49">
        <f t="shared" ref="F34:BP34" si="81">F31-F32-F33</f>
        <v>436676333.93000001</v>
      </c>
      <c r="G34" s="49">
        <f t="shared" si="81"/>
        <v>431001262.72000003</v>
      </c>
      <c r="H34" s="49">
        <f t="shared" si="81"/>
        <v>426602418.74000001</v>
      </c>
      <c r="I34" s="49">
        <f t="shared" si="81"/>
        <v>416358416.99000001</v>
      </c>
      <c r="J34" s="49">
        <f t="shared" si="81"/>
        <v>409281856.69</v>
      </c>
      <c r="K34" s="49">
        <f t="shared" si="81"/>
        <v>409439801.31</v>
      </c>
      <c r="L34" s="49">
        <f t="shared" si="81"/>
        <v>402209558.91000003</v>
      </c>
      <c r="M34" s="49">
        <f t="shared" si="81"/>
        <v>382712115.77999997</v>
      </c>
      <c r="N34" s="49">
        <f t="shared" si="81"/>
        <v>374389056.73000002</v>
      </c>
      <c r="O34" s="49">
        <f t="shared" si="81"/>
        <v>121825467.78999999</v>
      </c>
      <c r="P34" s="49">
        <f t="shared" si="81"/>
        <v>95918076.370000005</v>
      </c>
      <c r="Q34" s="49">
        <f t="shared" si="81"/>
        <v>0</v>
      </c>
      <c r="R34" s="49">
        <f t="shared" si="81"/>
        <v>0</v>
      </c>
      <c r="S34" s="49">
        <f t="shared" si="81"/>
        <v>0</v>
      </c>
      <c r="T34" s="49">
        <f t="shared" si="81"/>
        <v>7740932584.29</v>
      </c>
      <c r="U34" s="49">
        <f t="shared" si="81"/>
        <v>7185660413.8000002</v>
      </c>
      <c r="V34" s="49">
        <f t="shared" si="81"/>
        <v>7206369226.2600002</v>
      </c>
      <c r="W34" s="49">
        <f t="shared" si="81"/>
        <v>7305520980.6000004</v>
      </c>
      <c r="X34" s="49">
        <f t="shared" si="81"/>
        <v>7309510343.54</v>
      </c>
      <c r="Y34" s="49">
        <f t="shared" si="81"/>
        <v>7323681060.21</v>
      </c>
      <c r="Z34" s="49">
        <f t="shared" si="81"/>
        <v>7096907237.8900003</v>
      </c>
      <c r="AA34" s="49">
        <f t="shared" si="81"/>
        <v>7178823552.6900005</v>
      </c>
      <c r="AB34" s="49">
        <f t="shared" si="81"/>
        <v>7177450438.9000006</v>
      </c>
      <c r="AC34" s="49">
        <f t="shared" si="81"/>
        <v>7191077877.1500006</v>
      </c>
      <c r="AD34" s="49">
        <f t="shared" si="81"/>
        <v>7214379651.8800001</v>
      </c>
      <c r="AE34" s="49">
        <f t="shared" si="81"/>
        <v>7202577572.4200001</v>
      </c>
      <c r="AF34" s="49">
        <f t="shared" si="81"/>
        <v>7220461628.0700006</v>
      </c>
      <c r="AG34" s="49">
        <f t="shared" si="81"/>
        <v>7302164048.0600004</v>
      </c>
      <c r="AH34" s="49">
        <f t="shared" si="81"/>
        <v>7390458786.0300007</v>
      </c>
      <c r="AI34" s="49">
        <f t="shared" si="81"/>
        <v>7429552899.6000004</v>
      </c>
      <c r="AJ34" s="49">
        <f t="shared" si="81"/>
        <v>7515825873.4499998</v>
      </c>
      <c r="AK34" s="49">
        <f t="shared" si="81"/>
        <v>7564552230.4400005</v>
      </c>
      <c r="AL34" s="49">
        <f t="shared" si="81"/>
        <v>7607103266.1599998</v>
      </c>
      <c r="AM34" s="49">
        <f t="shared" si="81"/>
        <v>7706877443.3000002</v>
      </c>
      <c r="AN34" s="49">
        <f t="shared" si="81"/>
        <v>4750016360.8599997</v>
      </c>
      <c r="AO34" s="49">
        <f t="shared" si="81"/>
        <v>4754868668.1300001</v>
      </c>
      <c r="AP34" s="49">
        <f t="shared" si="81"/>
        <v>4841679198.5100002</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4841679198.5100002</v>
      </c>
      <c r="BR34" s="49">
        <f>AQ31-AQ32-AQ33</f>
        <v>4945499008.7600002</v>
      </c>
      <c r="BS34" s="49">
        <f>AR31-AR32-AR33</f>
        <v>4983590367.6400003</v>
      </c>
      <c r="BT34" s="49"/>
      <c r="BU34" s="50"/>
    </row>
    <row r="35" spans="1:74" s="105" customFormat="1" ht="15" thickBot="1" x14ac:dyDescent="0.3">
      <c r="A35" s="138" t="s">
        <v>317</v>
      </c>
      <c r="B35" s="33">
        <f>SUM(B22:B31)</f>
        <v>600516893.01999998</v>
      </c>
      <c r="C35" s="33">
        <f>SUM(C22:C31)</f>
        <v>587515017.28999996</v>
      </c>
      <c r="D35" s="33">
        <f>SUM(D22:D31)</f>
        <v>588521409.82999992</v>
      </c>
      <c r="E35" s="33">
        <f>资产资本表!E17</f>
        <v>359724222.34000003</v>
      </c>
      <c r="F35" s="33">
        <f>资产资本表!F17</f>
        <v>272744670.59000003</v>
      </c>
      <c r="G35" s="33">
        <f>资产资本表!G17</f>
        <v>360990104.43000001</v>
      </c>
      <c r="H35" s="33">
        <f>资产资本表!H17</f>
        <v>543018430.06000006</v>
      </c>
      <c r="I35" s="33">
        <f>资产资本表!I17</f>
        <v>442073371.21000004</v>
      </c>
      <c r="J35" s="33">
        <f>资产资本表!J17</f>
        <v>173441088.34999999</v>
      </c>
      <c r="K35" s="33">
        <f>资产资本表!K17</f>
        <v>125763270.44</v>
      </c>
      <c r="L35" s="33">
        <f>资产资本表!L17</f>
        <v>203669416.86000001</v>
      </c>
      <c r="M35" s="33">
        <f>资产资本表!M17</f>
        <v>121360190</v>
      </c>
      <c r="N35" s="33">
        <f>资产资本表!N17</f>
        <v>121048251.62</v>
      </c>
      <c r="O35" s="33">
        <f>资产资本表!O17</f>
        <v>131378573.28</v>
      </c>
      <c r="P35" s="33">
        <f>资产资本表!P17</f>
        <v>106634430.42</v>
      </c>
      <c r="Q35" s="33">
        <f>资产资本表!Q17</f>
        <v>0</v>
      </c>
      <c r="R35" s="33">
        <f>资产资本表!R17</f>
        <v>0</v>
      </c>
      <c r="S35" s="33">
        <f>资产资本表!S17</f>
        <v>0</v>
      </c>
      <c r="T35" s="33">
        <f>资产资本表!T17</f>
        <v>0</v>
      </c>
      <c r="U35" s="33">
        <f>资产资本表!U17</f>
        <v>0</v>
      </c>
      <c r="V35" s="33">
        <f>资产资本表!V17</f>
        <v>0</v>
      </c>
      <c r="W35" s="33">
        <f>资产资本表!W17</f>
        <v>0</v>
      </c>
      <c r="X35" s="33">
        <f>资产资本表!X17</f>
        <v>0</v>
      </c>
      <c r="Y35" s="33">
        <f>资产资本表!Y17</f>
        <v>0</v>
      </c>
      <c r="Z35" s="33">
        <f>资产资本表!Z17</f>
        <v>0</v>
      </c>
      <c r="AA35" s="33">
        <f>资产资本表!AA17</f>
        <v>0</v>
      </c>
      <c r="AB35" s="33">
        <f>资产资本表!AB17</f>
        <v>0</v>
      </c>
      <c r="AC35" s="33">
        <f>资产资本表!AC17</f>
        <v>0</v>
      </c>
      <c r="AD35" s="33">
        <f>资产资本表!AD17</f>
        <v>0</v>
      </c>
      <c r="AE35" s="33">
        <f>资产资本表!AE17</f>
        <v>0</v>
      </c>
      <c r="AF35" s="33">
        <f>资产资本表!AF17</f>
        <v>0</v>
      </c>
      <c r="AG35" s="33">
        <f>资产资本表!AG17</f>
        <v>0</v>
      </c>
      <c r="AH35" s="33">
        <f>资产资本表!AH17</f>
        <v>0</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42004</v>
      </c>
      <c r="P38" s="1">
        <v>41639</v>
      </c>
      <c r="Q38" s="1">
        <v>41274</v>
      </c>
      <c r="R38" s="1">
        <v>40908</v>
      </c>
      <c r="S38" s="1">
        <v>25569</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1" customFormat="1" x14ac:dyDescent="0.25">
      <c r="A40" s="191" t="s">
        <v>742</v>
      </c>
      <c r="B40" s="188">
        <v>0</v>
      </c>
      <c r="C40" s="188">
        <v>0</v>
      </c>
      <c r="D40" s="188">
        <v>0</v>
      </c>
      <c r="E40" s="188">
        <v>0</v>
      </c>
      <c r="F40" s="188">
        <v>0</v>
      </c>
      <c r="G40" s="188">
        <v>0</v>
      </c>
      <c r="H40" s="188">
        <v>0</v>
      </c>
      <c r="I40" s="188">
        <v>519200000</v>
      </c>
      <c r="J40" s="188">
        <v>0</v>
      </c>
      <c r="K40" s="188">
        <v>0</v>
      </c>
      <c r="L40" s="188">
        <v>0</v>
      </c>
      <c r="M40" s="188">
        <v>1250000</v>
      </c>
      <c r="N40" s="188">
        <v>0</v>
      </c>
      <c r="O40" s="188">
        <v>0</v>
      </c>
      <c r="P40" s="188">
        <v>2172280</v>
      </c>
      <c r="Q40" s="188">
        <v>3000000</v>
      </c>
      <c r="R40" s="188">
        <v>17450000</v>
      </c>
      <c r="S40" s="188">
        <v>0</v>
      </c>
      <c r="T40" s="191">
        <v>0</v>
      </c>
      <c r="U40" s="191">
        <v>172467935.24000001</v>
      </c>
      <c r="V40" s="191">
        <v>73500000</v>
      </c>
      <c r="W40" s="191">
        <v>0</v>
      </c>
      <c r="X40" s="191">
        <v>0</v>
      </c>
      <c r="Y40" s="191">
        <v>0</v>
      </c>
      <c r="Z40" s="191">
        <v>0</v>
      </c>
      <c r="AA40" s="191">
        <v>0</v>
      </c>
      <c r="AB40" s="191">
        <v>0</v>
      </c>
      <c r="AC40" s="191">
        <v>0</v>
      </c>
      <c r="AD40" s="191">
        <v>0</v>
      </c>
      <c r="AE40" s="191">
        <v>0</v>
      </c>
      <c r="AF40" s="191">
        <v>0</v>
      </c>
      <c r="AG40" s="191">
        <v>13000000</v>
      </c>
      <c r="AH40" s="191">
        <v>0</v>
      </c>
      <c r="AI40" s="191">
        <v>0</v>
      </c>
      <c r="AJ40" s="191">
        <v>0</v>
      </c>
      <c r="AK40" s="191">
        <v>11000000</v>
      </c>
      <c r="AL40" s="191">
        <v>0</v>
      </c>
      <c r="AM40" s="191">
        <v>0</v>
      </c>
      <c r="AN40" s="191">
        <v>0</v>
      </c>
      <c r="AO40" s="191">
        <v>0</v>
      </c>
      <c r="AP40" s="191">
        <v>0</v>
      </c>
      <c r="AQ40" s="191">
        <v>0</v>
      </c>
      <c r="AR40" s="191">
        <v>0</v>
      </c>
      <c r="AS40" s="191">
        <v>15000000</v>
      </c>
      <c r="AT40" s="191">
        <v>15000000</v>
      </c>
      <c r="AU40" s="191">
        <v>15000000</v>
      </c>
      <c r="AV40" s="191">
        <v>0</v>
      </c>
      <c r="AW40" s="191">
        <v>0</v>
      </c>
      <c r="AX40" s="191">
        <v>1000000</v>
      </c>
      <c r="AY40" s="191">
        <v>1000000</v>
      </c>
      <c r="AZ40" s="191">
        <v>0</v>
      </c>
      <c r="BA40" s="191">
        <v>0</v>
      </c>
      <c r="BB40" s="191">
        <v>0</v>
      </c>
      <c r="BC40" s="191">
        <v>0</v>
      </c>
      <c r="BD40" s="191">
        <v>0</v>
      </c>
      <c r="BE40" s="191">
        <v>2450000</v>
      </c>
      <c r="BF40" s="191">
        <v>0</v>
      </c>
      <c r="BG40" s="191">
        <v>0</v>
      </c>
      <c r="BH40" s="191">
        <v>0</v>
      </c>
      <c r="BI40" s="191">
        <v>0</v>
      </c>
      <c r="BJ40" s="191">
        <v>0</v>
      </c>
      <c r="BK40" s="191">
        <v>0</v>
      </c>
      <c r="BL40" s="191">
        <v>0</v>
      </c>
      <c r="BM40" s="191">
        <v>800000</v>
      </c>
      <c r="BN40" s="191">
        <v>0</v>
      </c>
      <c r="BO40" s="191">
        <v>615571049.24000001</v>
      </c>
      <c r="BP40" s="191">
        <v>614591049.24000001</v>
      </c>
      <c r="BQ40" s="191">
        <v>0</v>
      </c>
      <c r="BR40" s="191">
        <v>0</v>
      </c>
      <c r="BS40" s="191">
        <v>0</v>
      </c>
      <c r="BT40" s="191">
        <v>0</v>
      </c>
      <c r="BU40" s="191">
        <v>1165397962.47</v>
      </c>
      <c r="BV40" s="191">
        <v>0</v>
      </c>
    </row>
    <row r="41" spans="1:74" s="53" customFormat="1" ht="21.75" customHeight="1" x14ac:dyDescent="0.25">
      <c r="A41" s="139" t="s">
        <v>633</v>
      </c>
      <c r="B41" s="53">
        <v>1419647033.29</v>
      </c>
      <c r="C41" s="53">
        <v>682396282.87</v>
      </c>
      <c r="D41" s="53">
        <v>73246783.790000007</v>
      </c>
      <c r="E41" s="53">
        <v>44000000</v>
      </c>
      <c r="I41" s="53">
        <v>35200000</v>
      </c>
      <c r="M41" s="53">
        <v>118130000</v>
      </c>
      <c r="O41" s="53">
        <v>23000000</v>
      </c>
    </row>
    <row r="42" spans="1:74" s="26" customFormat="1" x14ac:dyDescent="0.25">
      <c r="A42" s="17" t="s">
        <v>322</v>
      </c>
      <c r="E42" s="26">
        <f>E40-E41</f>
        <v>-44000000</v>
      </c>
      <c r="F42" s="26">
        <f t="shared" ref="F42:Y42" si="82">F40-F41</f>
        <v>0</v>
      </c>
      <c r="G42" s="26">
        <f t="shared" si="82"/>
        <v>0</v>
      </c>
      <c r="H42" s="26">
        <f t="shared" si="82"/>
        <v>0</v>
      </c>
      <c r="I42" s="26">
        <f>I40-I41</f>
        <v>484000000</v>
      </c>
      <c r="J42" s="26">
        <f t="shared" si="82"/>
        <v>0</v>
      </c>
      <c r="K42" s="26">
        <f t="shared" si="82"/>
        <v>0</v>
      </c>
      <c r="L42" s="26">
        <f t="shared" si="82"/>
        <v>0</v>
      </c>
      <c r="M42" s="26">
        <f t="shared" si="82"/>
        <v>-116880000</v>
      </c>
      <c r="N42" s="26">
        <f t="shared" si="82"/>
        <v>0</v>
      </c>
      <c r="O42" s="26">
        <f t="shared" si="82"/>
        <v>-23000000</v>
      </c>
      <c r="P42" s="26">
        <f t="shared" si="82"/>
        <v>2172280</v>
      </c>
      <c r="Q42" s="26">
        <f t="shared" si="82"/>
        <v>3000000</v>
      </c>
      <c r="R42" s="26">
        <f t="shared" si="82"/>
        <v>17450000</v>
      </c>
      <c r="S42" s="26">
        <f t="shared" si="82"/>
        <v>0</v>
      </c>
      <c r="T42" s="26">
        <f t="shared" si="82"/>
        <v>0</v>
      </c>
      <c r="U42" s="26">
        <f t="shared" si="82"/>
        <v>172467935.24000001</v>
      </c>
      <c r="V42" s="26">
        <f t="shared" si="82"/>
        <v>73500000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13000000</v>
      </c>
      <c r="AH42" s="26">
        <f t="shared" si="83"/>
        <v>0</v>
      </c>
      <c r="AI42" s="26">
        <f t="shared" si="83"/>
        <v>0</v>
      </c>
      <c r="AJ42" s="26">
        <f t="shared" si="83"/>
        <v>0</v>
      </c>
      <c r="AK42" s="26">
        <f t="shared" si="83"/>
        <v>11000000</v>
      </c>
      <c r="AL42" s="191">
        <f t="shared" si="83"/>
        <v>0</v>
      </c>
      <c r="AM42" s="191">
        <f t="shared" si="83"/>
        <v>0</v>
      </c>
      <c r="AN42" s="191">
        <f t="shared" si="83"/>
        <v>0</v>
      </c>
      <c r="AO42" s="191">
        <f t="shared" si="83"/>
        <v>0</v>
      </c>
      <c r="AP42" s="191">
        <f t="shared" si="83"/>
        <v>0</v>
      </c>
      <c r="AQ42" s="191">
        <f t="shared" si="83"/>
        <v>0</v>
      </c>
      <c r="AR42" s="191">
        <f t="shared" si="83"/>
        <v>0</v>
      </c>
      <c r="AS42" s="191">
        <f t="shared" si="83"/>
        <v>15000000</v>
      </c>
      <c r="AT42" s="191">
        <f t="shared" si="83"/>
        <v>15000000</v>
      </c>
      <c r="AU42" s="191">
        <f t="shared" si="83"/>
        <v>15000000</v>
      </c>
      <c r="AV42" s="191">
        <f t="shared" si="83"/>
        <v>0</v>
      </c>
      <c r="AW42" s="191">
        <f t="shared" si="83"/>
        <v>0</v>
      </c>
      <c r="AX42" s="191">
        <f t="shared" si="83"/>
        <v>1000000</v>
      </c>
      <c r="AY42" s="191">
        <f t="shared" si="83"/>
        <v>1000000</v>
      </c>
      <c r="AZ42" s="191">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52421993.420000002</v>
      </c>
      <c r="J44" s="188">
        <v>49821993.420000002</v>
      </c>
      <c r="K44" s="188">
        <v>47680065.509999998</v>
      </c>
      <c r="L44" s="188">
        <v>26660263.5</v>
      </c>
      <c r="M44" s="188">
        <v>44625725.329999998</v>
      </c>
      <c r="N44" s="188">
        <v>11330000</v>
      </c>
      <c r="O44" s="188">
        <v>34603887</v>
      </c>
      <c r="P44" s="188">
        <v>192098585</v>
      </c>
      <c r="Q44" s="188">
        <v>65837129</v>
      </c>
      <c r="R44" s="188">
        <v>19000000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0</v>
      </c>
      <c r="BR44" s="188">
        <v>0</v>
      </c>
      <c r="BS44" s="188">
        <v>0</v>
      </c>
      <c r="BT44" s="188">
        <v>0</v>
      </c>
      <c r="BU44" s="188">
        <v>0</v>
      </c>
      <c r="BV44" s="188">
        <v>0</v>
      </c>
    </row>
    <row r="45" spans="1:74" s="191" customFormat="1" x14ac:dyDescent="0.25">
      <c r="A45" s="191" t="s">
        <v>323</v>
      </c>
      <c r="E45" s="191">
        <f>股权价值增加表!E53</f>
        <v>378508.09</v>
      </c>
      <c r="F45" s="191">
        <f>股权价值增加表!F53</f>
        <v>0</v>
      </c>
      <c r="G45" s="191">
        <f>股权价值增加表!G53</f>
        <v>0</v>
      </c>
      <c r="H45" s="191">
        <f>股权价值增加表!H53</f>
        <v>0</v>
      </c>
      <c r="I45" s="191">
        <f>股权价值增加表!I53</f>
        <v>4668557.12</v>
      </c>
      <c r="J45" s="191">
        <f>股权价值增加表!J53</f>
        <v>0</v>
      </c>
      <c r="K45" s="191">
        <f>股权价值增加表!K53</f>
        <v>0</v>
      </c>
      <c r="L45" s="191">
        <f>股权价值增加表!L53</f>
        <v>0</v>
      </c>
      <c r="M45" s="191">
        <f>股权价值增加表!M53</f>
        <v>5798721.3799999999</v>
      </c>
      <c r="N45" s="191">
        <f>股权价值增加表!N53</f>
        <v>0</v>
      </c>
      <c r="O45" s="191">
        <f>股权价值增加表!O53</f>
        <v>0</v>
      </c>
      <c r="P45" s="191">
        <f>股权价值增加表!P53</f>
        <v>0</v>
      </c>
      <c r="Q45" s="191">
        <f>股权价值增加表!Q53</f>
        <v>0</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0</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c r="S46" s="188"/>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s="191" customFormat="1" x14ac:dyDescent="0.25">
      <c r="A47" s="191" t="s">
        <v>326</v>
      </c>
      <c r="B47" s="188">
        <v>0</v>
      </c>
      <c r="C47" s="188">
        <v>0</v>
      </c>
      <c r="D47" s="188">
        <v>0</v>
      </c>
      <c r="E47" s="188">
        <v>76655193.420000002</v>
      </c>
      <c r="F47" s="188">
        <v>76655193.420000002</v>
      </c>
      <c r="G47" s="188">
        <v>76655193.420000002</v>
      </c>
      <c r="H47" s="188">
        <v>33004010</v>
      </c>
      <c r="I47" s="188">
        <v>66184525.329999998</v>
      </c>
      <c r="J47" s="188">
        <v>27891600</v>
      </c>
      <c r="K47" s="188">
        <v>26204400</v>
      </c>
      <c r="L47" s="188">
        <v>9187200</v>
      </c>
      <c r="M47" s="188">
        <v>57248800</v>
      </c>
      <c r="N47" s="188">
        <v>21561600</v>
      </c>
      <c r="O47" s="188">
        <v>109998801</v>
      </c>
      <c r="P47" s="188">
        <v>79500000</v>
      </c>
      <c r="Q47" s="188">
        <v>19000000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2450000</v>
      </c>
      <c r="AM47" s="188">
        <v>2450000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c r="BF47" s="188">
        <v>0</v>
      </c>
      <c r="BG47" s="188">
        <v>0</v>
      </c>
      <c r="BH47" s="188">
        <v>0</v>
      </c>
      <c r="BI47" s="188">
        <v>0</v>
      </c>
      <c r="BJ47" s="188">
        <v>0</v>
      </c>
      <c r="BK47" s="188">
        <v>0</v>
      </c>
      <c r="BL47" s="188">
        <v>0</v>
      </c>
      <c r="BM47" s="188">
        <v>0</v>
      </c>
      <c r="BN47" s="188">
        <v>0</v>
      </c>
      <c r="BO47" s="188">
        <v>0</v>
      </c>
      <c r="BP47" s="188">
        <v>0</v>
      </c>
      <c r="BQ47" s="188">
        <v>0</v>
      </c>
      <c r="BR47" s="188">
        <v>2814887.33</v>
      </c>
      <c r="BS47" s="188">
        <v>0</v>
      </c>
      <c r="BT47" s="188">
        <v>0</v>
      </c>
      <c r="BU47" s="188">
        <v>70000000</v>
      </c>
      <c r="BV47" s="188">
        <v>0</v>
      </c>
    </row>
    <row r="48" spans="1:74" s="191" customFormat="1" x14ac:dyDescent="0.25">
      <c r="A48" s="191" t="s">
        <v>597</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x14ac:dyDescent="0.25">
      <c r="A49" s="191" t="s">
        <v>598</v>
      </c>
      <c r="E49" s="191">
        <f>E44+E48-E45-E46-E47</f>
        <v>-77033701.510000005</v>
      </c>
      <c r="F49" s="191">
        <f t="shared" ref="F49:BQ49" si="85">F44+F48-F45-F46-F47</f>
        <v>-76655193.420000002</v>
      </c>
      <c r="G49" s="191">
        <f t="shared" si="85"/>
        <v>-76655193.420000002</v>
      </c>
      <c r="H49" s="191">
        <f t="shared" si="85"/>
        <v>-33004010</v>
      </c>
      <c r="I49" s="191">
        <f t="shared" si="85"/>
        <v>-18431089.029999994</v>
      </c>
      <c r="J49" s="191">
        <f t="shared" si="85"/>
        <v>21930393.420000002</v>
      </c>
      <c r="K49" s="191">
        <f t="shared" si="85"/>
        <v>21475665.509999998</v>
      </c>
      <c r="L49" s="191">
        <f t="shared" si="85"/>
        <v>17473063.5</v>
      </c>
      <c r="M49" s="191">
        <f t="shared" si="85"/>
        <v>-18421796.050000004</v>
      </c>
      <c r="N49" s="191">
        <f t="shared" si="85"/>
        <v>-10231600</v>
      </c>
      <c r="O49" s="191">
        <f t="shared" si="85"/>
        <v>-75394914</v>
      </c>
      <c r="P49" s="191">
        <f t="shared" si="85"/>
        <v>112598585</v>
      </c>
      <c r="Q49" s="191">
        <f t="shared" si="85"/>
        <v>46837129</v>
      </c>
      <c r="R49" s="191">
        <f t="shared" si="85"/>
        <v>19000000</v>
      </c>
      <c r="S49" s="191">
        <f t="shared" si="85"/>
        <v>0</v>
      </c>
      <c r="T49" s="191">
        <f t="shared" si="85"/>
        <v>0</v>
      </c>
      <c r="U49" s="191">
        <f t="shared" si="85"/>
        <v>0</v>
      </c>
      <c r="V49" s="191">
        <f t="shared" si="85"/>
        <v>0</v>
      </c>
      <c r="W49" s="191">
        <f t="shared" si="85"/>
        <v>0</v>
      </c>
      <c r="X49" s="191">
        <f t="shared" si="85"/>
        <v>0</v>
      </c>
      <c r="Y49" s="191">
        <f t="shared" si="85"/>
        <v>0</v>
      </c>
      <c r="Z49" s="191">
        <f t="shared" si="85"/>
        <v>0</v>
      </c>
      <c r="AA49" s="191">
        <f t="shared" si="85"/>
        <v>0</v>
      </c>
      <c r="AB49" s="191">
        <f t="shared" si="85"/>
        <v>0</v>
      </c>
      <c r="AC49" s="191">
        <f t="shared" si="85"/>
        <v>0</v>
      </c>
      <c r="AD49" s="191">
        <f t="shared" si="85"/>
        <v>0</v>
      </c>
      <c r="AE49" s="191">
        <f t="shared" si="85"/>
        <v>0</v>
      </c>
      <c r="AF49" s="191">
        <f t="shared" si="85"/>
        <v>0</v>
      </c>
      <c r="AG49" s="191">
        <f t="shared" si="85"/>
        <v>0</v>
      </c>
      <c r="AH49" s="191">
        <f t="shared" si="85"/>
        <v>0</v>
      </c>
      <c r="AI49" s="191">
        <f t="shared" si="85"/>
        <v>0</v>
      </c>
      <c r="AJ49" s="191">
        <f t="shared" si="85"/>
        <v>0</v>
      </c>
      <c r="AK49" s="191">
        <f t="shared" si="85"/>
        <v>0</v>
      </c>
      <c r="AL49" s="191">
        <f t="shared" si="85"/>
        <v>-2450000</v>
      </c>
      <c r="AM49" s="191">
        <f t="shared" si="85"/>
        <v>-2450000</v>
      </c>
      <c r="AN49" s="191">
        <f t="shared" si="85"/>
        <v>0</v>
      </c>
      <c r="AO49" s="191">
        <f t="shared" si="85"/>
        <v>0</v>
      </c>
      <c r="AP49" s="191">
        <f t="shared" si="85"/>
        <v>0</v>
      </c>
      <c r="AQ49" s="191">
        <f t="shared" si="85"/>
        <v>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0</v>
      </c>
      <c r="BB49" s="191">
        <f t="shared" si="85"/>
        <v>0</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0</v>
      </c>
      <c r="BP49" s="191">
        <f t="shared" si="85"/>
        <v>0</v>
      </c>
      <c r="BQ49" s="191">
        <f t="shared" si="85"/>
        <v>0</v>
      </c>
      <c r="BR49" s="191">
        <f t="shared" ref="BR49:BV49" si="86">BR44+BR48-BR45-BR46-BR47</f>
        <v>-2814887.33</v>
      </c>
      <c r="BS49" s="191">
        <f t="shared" si="86"/>
        <v>0</v>
      </c>
      <c r="BT49" s="191">
        <f t="shared" si="86"/>
        <v>0</v>
      </c>
      <c r="BU49" s="191">
        <f t="shared" si="86"/>
        <v>-70000000</v>
      </c>
      <c r="BV49" s="191">
        <f t="shared" si="86"/>
        <v>0</v>
      </c>
    </row>
    <row r="50" spans="1:74" s="26" customFormat="1" x14ac:dyDescent="0.25"/>
    <row r="51" spans="1:74" s="16" customFormat="1" ht="120" customHeight="1" x14ac:dyDescent="0.25">
      <c r="A51" s="276" t="s">
        <v>666</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12" sqref="E12"/>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7.21875" hidden="1" customWidth="1"/>
    <col min="13" max="13" width="17.21875" bestFit="1" customWidth="1"/>
    <col min="14" max="14" width="17.21875" hidden="1" customWidth="1"/>
    <col min="15" max="16" width="17.21875" bestFit="1" customWidth="1"/>
    <col min="17" max="17" width="15" bestFit="1" customWidth="1"/>
    <col min="18" max="18" width="20.44140625" bestFit="1" customWidth="1"/>
    <col min="19"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378508.09</v>
      </c>
      <c r="F3" s="26">
        <f>股权价值增加表!F53</f>
        <v>0</v>
      </c>
      <c r="G3" s="26">
        <f>股权价值增加表!G53</f>
        <v>0</v>
      </c>
      <c r="H3" s="26">
        <f>股权价值增加表!H53</f>
        <v>0</v>
      </c>
      <c r="I3" s="26">
        <f>股权价值增加表!I53</f>
        <v>4668557.12</v>
      </c>
      <c r="J3" s="26">
        <f>股权价值增加表!J53</f>
        <v>0</v>
      </c>
      <c r="K3" s="26">
        <f>股权价值增加表!K53</f>
        <v>0</v>
      </c>
      <c r="L3" s="26">
        <f>股权价值增加表!L53</f>
        <v>0</v>
      </c>
      <c r="M3" s="26">
        <f>股权价值增加表!M53</f>
        <v>5798721.3799999999</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43651183.420000002</v>
      </c>
      <c r="I4" s="26">
        <f>资产资本表!I89</f>
        <v>76655193.420000002</v>
      </c>
      <c r="J4" s="26">
        <f>资产资本表!J89</f>
        <v>112348118.75</v>
      </c>
      <c r="K4" s="26">
        <f>资产资本表!K89</f>
        <v>111893390.84</v>
      </c>
      <c r="L4" s="26">
        <f>资产资本表!L89</f>
        <v>90417725.329999998</v>
      </c>
      <c r="M4" s="26">
        <f>资产资本表!M89</f>
        <v>103040800</v>
      </c>
      <c r="N4" s="26">
        <f>资产资本表!N89</f>
        <v>178435714</v>
      </c>
      <c r="O4" s="26">
        <f>资产资本表!O89</f>
        <v>71213008.239999995</v>
      </c>
      <c r="P4" s="26">
        <f>资产资本表!P89</f>
        <v>23881671.98</v>
      </c>
      <c r="Q4" s="26">
        <f>资产资本表!Q89</f>
        <v>0</v>
      </c>
      <c r="R4" s="26">
        <f>资产资本表!R89</f>
        <v>0</v>
      </c>
      <c r="S4" s="26">
        <f>资产资本表!S89</f>
        <v>0</v>
      </c>
      <c r="T4" s="26">
        <f>资产资本表!T89</f>
        <v>0</v>
      </c>
      <c r="U4" s="26">
        <f>资产资本表!U89</f>
        <v>0</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9.8756019810979697E-3</v>
      </c>
      <c r="F5" s="63">
        <f t="shared" ref="F5:BQ5" si="0">IF(F4+J4=0,0,F3/((F4+J4)/2))</f>
        <v>0</v>
      </c>
      <c r="G5" s="63">
        <f t="shared" si="0"/>
        <v>0</v>
      </c>
      <c r="H5" s="63">
        <f t="shared" si="0"/>
        <v>0</v>
      </c>
      <c r="I5" s="63">
        <f t="shared" si="0"/>
        <v>5.196061449281477E-2</v>
      </c>
      <c r="J5" s="63">
        <f t="shared" si="0"/>
        <v>0</v>
      </c>
      <c r="K5" s="63">
        <f t="shared" si="0"/>
        <v>0</v>
      </c>
      <c r="L5" s="63">
        <f t="shared" si="0"/>
        <v>0</v>
      </c>
      <c r="M5" s="63">
        <f t="shared" si="0"/>
        <v>0.1125519479662425</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0.15392334875860242</v>
      </c>
      <c r="F6" s="63">
        <f>股权价值增加表!F41</f>
        <v>0.16239012876467226</v>
      </c>
      <c r="G6" s="63">
        <f>股权价值增加表!G41</f>
        <v>0.17726988412841904</v>
      </c>
      <c r="H6" s="63">
        <f>股权价值增加表!H41</f>
        <v>0.19949409292566414</v>
      </c>
      <c r="I6" s="63">
        <f>股权价值增加表!I41</f>
        <v>0.14746581532756517</v>
      </c>
      <c r="J6" s="63">
        <f>股权价值增加表!J41</f>
        <v>0.15801608590381105</v>
      </c>
      <c r="K6" s="63">
        <f>股权价值增加表!K41</f>
        <v>0.16131546611244418</v>
      </c>
      <c r="L6" s="63">
        <f>股权价值增加表!L41</f>
        <v>0.18683685429180114</v>
      </c>
      <c r="M6" s="63">
        <f>股权价值增加表!M41</f>
        <v>0.15393949090814096</v>
      </c>
      <c r="N6" s="63">
        <f>股权价值增加表!N41</f>
        <v>0.16534502140761798</v>
      </c>
      <c r="O6" s="63">
        <f>股权价值增加表!O41</f>
        <v>0.15347692316045833</v>
      </c>
      <c r="P6" s="63">
        <f>股权价值增加表!P41</f>
        <v>0.16611842305330007</v>
      </c>
      <c r="Q6" s="63">
        <f>股权价值增加表!Q41</f>
        <v>0.18673189519888075</v>
      </c>
      <c r="R6" s="63">
        <f>股权价值增加表!R41</f>
        <v>0.17350476805724366</v>
      </c>
      <c r="S6" s="63" t="e">
        <f>股权价值增加表!S41</f>
        <v>#DIV/0!</v>
      </c>
      <c r="T6" s="63">
        <f>股权价值增加表!T41</f>
        <v>3.8054197786823956</v>
      </c>
      <c r="U6" s="63">
        <f>股权价值增加表!U41</f>
        <v>3.4966723297173448</v>
      </c>
      <c r="V6" s="63">
        <f>股权价值增加表!V41</f>
        <v>3.6700742808608782</v>
      </c>
      <c r="W6" s="63">
        <f>股权价值增加表!W41</f>
        <v>4.1600802808156203</v>
      </c>
      <c r="X6" s="63">
        <f>股权价值增加表!X41</f>
        <v>5.1745322558829017</v>
      </c>
      <c r="Y6" s="63">
        <f>股权价值增加表!Y41</f>
        <v>4.2259737182528205</v>
      </c>
      <c r="Z6" s="63">
        <f>股权价值增加表!Z41</f>
        <v>4.1994958162188993</v>
      </c>
      <c r="AA6" s="63">
        <f>股权价值增加表!AA41</f>
        <v>4.2888934709841644</v>
      </c>
      <c r="AB6" s="63">
        <f>股权价值增加表!AB41</f>
        <v>7.2529196118367807</v>
      </c>
      <c r="AC6" s="63">
        <f>股权价值增加表!AC41</f>
        <v>4.3403190402720826</v>
      </c>
      <c r="AD6" s="63">
        <f>股权价值增加表!AD41</f>
        <v>6.8662940813406408</v>
      </c>
      <c r="AE6" s="63">
        <f>股权价值增加表!AE41</f>
        <v>6.0151388463021531</v>
      </c>
      <c r="AF6" s="63">
        <f>股权价值增加表!AF41</f>
        <v>29.841717588486997</v>
      </c>
      <c r="AG6" s="63">
        <f>股权价值增加表!AG41</f>
        <v>7.7005557380970249</v>
      </c>
      <c r="AH6" s="63">
        <f>股权价值增加表!AH41</f>
        <v>11.267420694522546</v>
      </c>
      <c r="AI6" s="63">
        <f>股权价值增加表!AI41</f>
        <v>9.8740053906789367</v>
      </c>
      <c r="AJ6" s="63">
        <f>股权价值增加表!AJ41</f>
        <v>41.974362341375894</v>
      </c>
      <c r="AK6" s="63">
        <f>股权价值增加表!AK41</f>
        <v>10.321847157562512</v>
      </c>
      <c r="AL6" s="63">
        <f>股权价值增加表!AL41</f>
        <v>11.854023058184643</v>
      </c>
      <c r="AM6" s="63">
        <f>股权价值增加表!AM41</f>
        <v>14.068775080429651</v>
      </c>
      <c r="AN6" s="63">
        <f>股权价值增加表!AN41</f>
        <v>35.664573379659004</v>
      </c>
      <c r="AO6" s="63">
        <f>股权价值增加表!AO41</f>
        <v>3.52531305832122</v>
      </c>
      <c r="AP6" s="63">
        <f>股权价值增加表!AP41</f>
        <v>5.7377873328213909</v>
      </c>
      <c r="AQ6" s="63">
        <f>股权价值增加表!AQ41</f>
        <v>5.4623444638231016</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8.3555162531602813E-3</v>
      </c>
      <c r="F7" s="63">
        <f t="shared" ref="F7:BQ7" si="2">F5*(1-F6)</f>
        <v>0</v>
      </c>
      <c r="G7" s="63">
        <f t="shared" si="2"/>
        <v>0</v>
      </c>
      <c r="H7" s="63">
        <f t="shared" si="2"/>
        <v>0</v>
      </c>
      <c r="I7" s="63">
        <f t="shared" si="2"/>
        <v>4.429820011171054E-2</v>
      </c>
      <c r="J7" s="63">
        <f t="shared" si="2"/>
        <v>0</v>
      </c>
      <c r="K7" s="63">
        <f t="shared" si="2"/>
        <v>0</v>
      </c>
      <c r="L7" s="63">
        <f t="shared" si="2"/>
        <v>0</v>
      </c>
      <c r="M7" s="63">
        <f t="shared" si="2"/>
        <v>9.5225758395599561E-2</v>
      </c>
      <c r="N7" s="63">
        <f t="shared" si="2"/>
        <v>0</v>
      </c>
      <c r="O7" s="63">
        <f t="shared" si="2"/>
        <v>0</v>
      </c>
      <c r="P7" s="63">
        <f t="shared" si="2"/>
        <v>0</v>
      </c>
      <c r="Q7" s="63">
        <f t="shared" si="2"/>
        <v>0</v>
      </c>
      <c r="R7" s="63">
        <f t="shared" si="2"/>
        <v>0</v>
      </c>
      <c r="S7" s="63" t="e">
        <f t="shared" si="2"/>
        <v>#DIV/0!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1094321354.0599999</v>
      </c>
      <c r="F8" s="26">
        <f>资产资本表!F107</f>
        <v>1053764474.4</v>
      </c>
      <c r="G8" s="26">
        <f>资产资本表!G107</f>
        <v>1001055226.26</v>
      </c>
      <c r="H8" s="26">
        <f>资产资本表!H107</f>
        <v>991797985.12</v>
      </c>
      <c r="I8" s="26">
        <f>资产资本表!I107</f>
        <v>985414241.73000002</v>
      </c>
      <c r="J8" s="26">
        <f>资产资本表!J107</f>
        <v>444444693.15999997</v>
      </c>
      <c r="K8" s="26">
        <f>资产资本表!K107</f>
        <v>399276395.75</v>
      </c>
      <c r="L8" s="26">
        <f>资产资本表!L107</f>
        <v>478018286.77999997</v>
      </c>
      <c r="M8" s="26">
        <f>资产资本表!M107</f>
        <v>387347869.01999998</v>
      </c>
      <c r="N8" s="26">
        <f>资产资本表!N107</f>
        <v>317743228</v>
      </c>
      <c r="O8" s="26">
        <f>资产资本表!O107</f>
        <v>254378428.47999999</v>
      </c>
      <c r="P8" s="26">
        <f>资产资本表!P107</f>
        <v>209769272.30000001</v>
      </c>
      <c r="Q8" s="26">
        <f>资产资本表!Q107</f>
        <v>0</v>
      </c>
      <c r="R8" s="26">
        <f>资产资本表!R107</f>
        <v>39038063287.049995</v>
      </c>
      <c r="S8" s="26">
        <f>资产资本表!S107</f>
        <v>38186456366.719994</v>
      </c>
      <c r="T8" s="26">
        <f>资产资本表!T107</f>
        <v>39754833137.689995</v>
      </c>
      <c r="U8" s="26">
        <f>资产资本表!U107</f>
        <v>37019284552.089996</v>
      </c>
      <c r="V8" s="26">
        <f>资产资本表!V107</f>
        <v>35936255140.220001</v>
      </c>
      <c r="W8" s="26">
        <f>资产资本表!W107</f>
        <v>34492053862.870003</v>
      </c>
      <c r="X8" s="26">
        <f>资产资本表!X107</f>
        <v>35275133265.93</v>
      </c>
      <c r="Y8" s="26">
        <f>资产资本表!Y107</f>
        <v>31521070553.299999</v>
      </c>
      <c r="Z8" s="26">
        <f>资产资本表!Z107</f>
        <v>29621442772.68</v>
      </c>
      <c r="AA8" s="26">
        <f>资产资本表!AA107</f>
        <v>26749200973.880001</v>
      </c>
      <c r="AB8" s="26">
        <f>资产资本表!AB107</f>
        <v>26577947881.900002</v>
      </c>
      <c r="AC8" s="26">
        <f>资产资本表!AC107</f>
        <v>23446688740.450001</v>
      </c>
      <c r="AD8" s="26">
        <f>资产资本表!AD107</f>
        <v>22228578013.470001</v>
      </c>
      <c r="AE8" s="26">
        <f>资产资本表!AE107</f>
        <v>20718108830.41</v>
      </c>
      <c r="AF8" s="26">
        <f>资产资本表!AF107</f>
        <v>20565137134.060001</v>
      </c>
      <c r="AG8" s="26">
        <f>资产资本表!AG107</f>
        <v>18366101541.469997</v>
      </c>
      <c r="AH8" s="26">
        <f>资产资本表!AH107</f>
        <v>17519043970.790001</v>
      </c>
      <c r="AI8" s="26">
        <f>资产资本表!AI107</f>
        <v>16339410822.219999</v>
      </c>
      <c r="AJ8" s="26">
        <f>资产资本表!AJ107</f>
        <v>16187697852.24</v>
      </c>
      <c r="AK8" s="26">
        <f>资产资本表!AK107</f>
        <v>14580462144.59</v>
      </c>
      <c r="AL8" s="26">
        <f>资产资本表!AL107</f>
        <v>13658846653.599998</v>
      </c>
      <c r="AM8" s="26">
        <f>资产资本表!AM107</f>
        <v>12886039184.620001</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1094888457.78</v>
      </c>
      <c r="F10" s="26">
        <f>资产资本表!F70</f>
        <v>1054331578.12</v>
      </c>
      <c r="G10" s="26">
        <f>资产资本表!G70</f>
        <v>1001622329.98</v>
      </c>
      <c r="H10" s="26">
        <f>资产资本表!H70</f>
        <v>1045999168.54</v>
      </c>
      <c r="I10" s="26">
        <f>资产资本表!I70</f>
        <v>1062069435.15</v>
      </c>
      <c r="J10" s="26">
        <f>资产资本表!J70</f>
        <v>557692811.90999997</v>
      </c>
      <c r="K10" s="26">
        <f>资产资本表!K70</f>
        <v>512069786.58999997</v>
      </c>
      <c r="L10" s="26">
        <f>资产资本表!L70</f>
        <v>568436012.11000001</v>
      </c>
      <c r="M10" s="26">
        <f>资产资本表!M70</f>
        <v>490388669.01999992</v>
      </c>
      <c r="N10" s="26">
        <f>资产资本表!N70</f>
        <v>496178942.00000006</v>
      </c>
      <c r="O10" s="26">
        <f>资产资本表!O70</f>
        <v>329687136.41000009</v>
      </c>
      <c r="P10" s="26">
        <f>资产资本表!P70</f>
        <v>237522643.97</v>
      </c>
      <c r="Q10" s="26">
        <f>资产资本表!Q70</f>
        <v>0</v>
      </c>
      <c r="R10" s="26">
        <f>资产资本表!R70</f>
        <v>0</v>
      </c>
      <c r="S10" s="26">
        <f>资产资本表!S70</f>
        <v>0</v>
      </c>
      <c r="T10" s="26">
        <f>资产资本表!T70</f>
        <v>0</v>
      </c>
      <c r="U10" s="26">
        <f>资产资本表!U70</f>
        <v>0</v>
      </c>
      <c r="V10" s="26">
        <f>资产资本表!V70</f>
        <v>0</v>
      </c>
      <c r="W10" s="26">
        <f>资产资本表!W70</f>
        <v>0</v>
      </c>
      <c r="X10" s="26">
        <f>资产资本表!X70</f>
        <v>0</v>
      </c>
      <c r="Y10" s="26">
        <f>资产资本表!Y70</f>
        <v>0</v>
      </c>
      <c r="Z10" s="26">
        <f>资产资本表!Z70</f>
        <v>0</v>
      </c>
      <c r="AA10" s="26">
        <f>资产资本表!AA70</f>
        <v>0</v>
      </c>
      <c r="AB10" s="26">
        <f>资产资本表!AB70</f>
        <v>0</v>
      </c>
      <c r="AC10" s="26">
        <f>资产资本表!AC70</f>
        <v>0</v>
      </c>
      <c r="AD10" s="26">
        <f>资产资本表!AD70</f>
        <v>0</v>
      </c>
      <c r="AE10" s="26">
        <f>资产资本表!AE70</f>
        <v>0</v>
      </c>
      <c r="AF10" s="26">
        <f>资产资本表!AF70</f>
        <v>0</v>
      </c>
      <c r="AG10" s="26">
        <f>资产资本表!AG70</f>
        <v>0</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v>
      </c>
      <c r="F11" s="63">
        <f t="shared" ref="F11:BQ11" si="3">F4/F10</f>
        <v>0</v>
      </c>
      <c r="G11" s="63">
        <f t="shared" si="3"/>
        <v>0</v>
      </c>
      <c r="H11" s="63">
        <f t="shared" si="3"/>
        <v>4.1731566078516191E-2</v>
      </c>
      <c r="I11" s="63">
        <f t="shared" si="3"/>
        <v>7.2175312538933681E-2</v>
      </c>
      <c r="J11" s="63">
        <f t="shared" si="3"/>
        <v>0.20145161700260653</v>
      </c>
      <c r="K11" s="63">
        <f t="shared" si="3"/>
        <v>0.21851199537689173</v>
      </c>
      <c r="L11" s="63">
        <f t="shared" si="3"/>
        <v>0.15906403430418647</v>
      </c>
      <c r="M11" s="63">
        <f t="shared" si="3"/>
        <v>0.210120678778974</v>
      </c>
      <c r="N11" s="63">
        <f t="shared" si="3"/>
        <v>0.35961968333593647</v>
      </c>
      <c r="O11" s="63">
        <f t="shared" si="3"/>
        <v>0.21600177979476654</v>
      </c>
      <c r="P11" s="63">
        <f t="shared" si="3"/>
        <v>0.1005448220886946</v>
      </c>
      <c r="Q11" s="63" t="e">
        <f t="shared" si="3"/>
        <v>#DIV/0!</v>
      </c>
      <c r="R11" s="63" t="e">
        <f t="shared" si="3"/>
        <v>#DIV/0!</v>
      </c>
      <c r="S11" s="63" t="e">
        <f t="shared" si="3"/>
        <v>#DIV/0!</v>
      </c>
      <c r="T11" s="63" t="e">
        <f t="shared" si="3"/>
        <v>#DIV/0!</v>
      </c>
      <c r="U11" s="63" t="e">
        <f t="shared" si="3"/>
        <v>#DIV/0!</v>
      </c>
      <c r="V11" s="63" t="e">
        <f t="shared" si="3"/>
        <v>#DIV/0!</v>
      </c>
      <c r="W11" s="63" t="e">
        <f t="shared" si="3"/>
        <v>#DIV/0!</v>
      </c>
      <c r="X11" s="63" t="e">
        <f t="shared" si="3"/>
        <v>#DIV/0!</v>
      </c>
      <c r="Y11" s="63" t="e">
        <f t="shared" si="3"/>
        <v>#DIV/0!</v>
      </c>
      <c r="Z11" s="63" t="e">
        <f t="shared" si="3"/>
        <v>#DIV/0!</v>
      </c>
      <c r="AA11" s="63" t="e">
        <f t="shared" si="3"/>
        <v>#DIV/0!</v>
      </c>
      <c r="AB11" s="63" t="e">
        <f t="shared" si="3"/>
        <v>#DIV/0!</v>
      </c>
      <c r="AC11" s="63" t="e">
        <f t="shared" si="3"/>
        <v>#DIV/0!</v>
      </c>
      <c r="AD11" s="63" t="e">
        <f t="shared" si="3"/>
        <v>#DIV/0!</v>
      </c>
      <c r="AE11" s="63" t="e">
        <f t="shared" si="3"/>
        <v>#DIV/0!</v>
      </c>
      <c r="AF11" s="63" t="e">
        <f t="shared" si="3"/>
        <v>#DIV/0!</v>
      </c>
      <c r="AG11" s="63" t="e">
        <f t="shared" si="3"/>
        <v>#DIV/0!</v>
      </c>
      <c r="AH11" s="63" t="e">
        <f t="shared" si="3"/>
        <v>#DIV/0!</v>
      </c>
      <c r="AI11" s="63" t="e">
        <f t="shared" si="3"/>
        <v>#DIV/0!</v>
      </c>
      <c r="AJ11" s="63" t="e">
        <f t="shared" si="3"/>
        <v>#DIV/0!</v>
      </c>
      <c r="AK11" s="63" t="e">
        <f t="shared" si="3"/>
        <v>#DIV/0!</v>
      </c>
      <c r="AL11" s="63" t="e">
        <f t="shared" si="3"/>
        <v>#DIV/0!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0.99948204429778176</v>
      </c>
      <c r="F12" s="63">
        <f t="shared" ref="F12:BQ12" si="4">F8/F10</f>
        <v>0.99946212014154856</v>
      </c>
      <c r="G12" s="63">
        <f t="shared" si="4"/>
        <v>0.99943381481919302</v>
      </c>
      <c r="H12" s="63">
        <f t="shared" si="4"/>
        <v>0.94818238383912512</v>
      </c>
      <c r="I12" s="63">
        <f t="shared" si="4"/>
        <v>0.92782468746106639</v>
      </c>
      <c r="J12" s="63">
        <f t="shared" si="4"/>
        <v>0.7969345913529976</v>
      </c>
      <c r="K12" s="63">
        <f t="shared" si="4"/>
        <v>0.77973043168369838</v>
      </c>
      <c r="L12" s="63">
        <f t="shared" si="4"/>
        <v>0.84093596569581341</v>
      </c>
      <c r="M12" s="63">
        <f t="shared" si="4"/>
        <v>0.78987932122102611</v>
      </c>
      <c r="N12" s="63">
        <f t="shared" si="4"/>
        <v>0.64038031666406348</v>
      </c>
      <c r="O12" s="63">
        <f t="shared" si="4"/>
        <v>0.77157523114172732</v>
      </c>
      <c r="P12" s="63">
        <f t="shared" si="4"/>
        <v>0.88315483860349187</v>
      </c>
      <c r="Q12" s="63" t="e">
        <f t="shared" si="4"/>
        <v>#DIV/0!</v>
      </c>
      <c r="R12" s="63" t="e">
        <f t="shared" si="4"/>
        <v>#DIV/0!</v>
      </c>
      <c r="S12" s="63" t="e">
        <f t="shared" si="4"/>
        <v>#DIV/0!</v>
      </c>
      <c r="T12" s="63" t="e">
        <f t="shared" si="4"/>
        <v>#DIV/0!</v>
      </c>
      <c r="U12" s="63" t="e">
        <f t="shared" si="4"/>
        <v>#DIV/0!</v>
      </c>
      <c r="V12" s="63" t="e">
        <f t="shared" si="4"/>
        <v>#DIV/0!</v>
      </c>
      <c r="W12" s="63" t="e">
        <f t="shared" si="4"/>
        <v>#DIV/0!</v>
      </c>
      <c r="X12" s="63" t="e">
        <f t="shared" si="4"/>
        <v>#DIV/0!</v>
      </c>
      <c r="Y12" s="63" t="e">
        <f t="shared" si="4"/>
        <v>#DIV/0!</v>
      </c>
      <c r="Z12" s="63" t="e">
        <f t="shared" si="4"/>
        <v>#DIV/0!</v>
      </c>
      <c r="AA12" s="63" t="e">
        <f t="shared" si="4"/>
        <v>#DIV/0!</v>
      </c>
      <c r="AB12" s="63" t="e">
        <f t="shared" si="4"/>
        <v>#DIV/0!</v>
      </c>
      <c r="AC12" s="63" t="e">
        <f t="shared" si="4"/>
        <v>#DIV/0!</v>
      </c>
      <c r="AD12" s="63" t="e">
        <f t="shared" si="4"/>
        <v>#DIV/0!</v>
      </c>
      <c r="AE12" s="63" t="e">
        <f t="shared" si="4"/>
        <v>#DIV/0!</v>
      </c>
      <c r="AF12" s="63" t="e">
        <f t="shared" si="4"/>
        <v>#DIV/0!</v>
      </c>
      <c r="AG12" s="63" t="e">
        <f t="shared" si="4"/>
        <v>#DIV/0!</v>
      </c>
      <c r="AH12" s="63" t="e">
        <f t="shared" si="4"/>
        <v>#DIV/0!</v>
      </c>
      <c r="AI12" s="63" t="e">
        <f t="shared" si="4"/>
        <v>#DIV/0!</v>
      </c>
      <c r="AJ12" s="63" t="e">
        <f t="shared" si="4"/>
        <v>#DIV/0!</v>
      </c>
      <c r="AK12" s="63" t="e">
        <f t="shared" si="4"/>
        <v>#DIV/0!</v>
      </c>
      <c r="AL12" s="63" t="e">
        <f t="shared" si="4"/>
        <v>#DIV/0!</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7.9958563543822539E-2</v>
      </c>
      <c r="F13" s="63">
        <f t="shared" ref="F13:J13" si="5">F5*F11*(1-F6)+F9*F12</f>
        <v>7.9956969611323883E-2</v>
      </c>
      <c r="G13" s="63">
        <f t="shared" si="5"/>
        <v>7.9954705185535449E-2</v>
      </c>
      <c r="H13" s="63">
        <f t="shared" si="5"/>
        <v>7.5854590707130007E-2</v>
      </c>
      <c r="I13" s="63">
        <f t="shared" si="5"/>
        <v>7.7423211434860251E-2</v>
      </c>
      <c r="J13" s="63">
        <f t="shared" si="5"/>
        <v>6.3754767308239813E-2</v>
      </c>
      <c r="K13" s="63">
        <f t="shared" ref="K13" si="6">K5*K11*(1-K6)+K9*K12</f>
        <v>6.2378434534695874E-2</v>
      </c>
      <c r="L13" s="63">
        <f t="shared" ref="L13" si="7">L5*L11*(1-L6)+L9*L12</f>
        <v>6.7274877255665069E-2</v>
      </c>
      <c r="M13" s="63">
        <f t="shared" ref="M13" si="8">M5*M11*(1-M6)+M9*M12</f>
        <v>8.319924668900805E-2</v>
      </c>
      <c r="N13" s="63">
        <f t="shared" ref="N13:O13" si="9">N5*N11*(1-N6)+N9*N12</f>
        <v>5.1230425333125079E-2</v>
      </c>
      <c r="O13" s="63">
        <f t="shared" si="9"/>
        <v>6.1726018491338186E-2</v>
      </c>
      <c r="P13" s="63">
        <f t="shared" ref="P13" si="10">P5*P11*(1-P6)+P9*P12</f>
        <v>7.0652387088279353E-2</v>
      </c>
      <c r="Q13" s="63" t="e">
        <f t="shared" ref="Q13" si="11">Q5*Q11*(1-Q6)+Q9*Q12</f>
        <v>#DIV/0!</v>
      </c>
      <c r="R13" s="63" t="e">
        <f t="shared" ref="R13" si="12">R5*R11*(1-R6)+R9*R12</f>
        <v>#DIV/0!</v>
      </c>
      <c r="S13" s="63" t="e">
        <f t="shared" ref="S13:T13" si="13">S5*S11*(1-S6)+S9*S12</f>
        <v>#DIV/0!</v>
      </c>
      <c r="T13" s="63" t="e">
        <f t="shared" si="13"/>
        <v>#DIV/0!</v>
      </c>
      <c r="U13" s="63" t="e">
        <f t="shared" ref="U13" si="14">U5*U11*(1-U6)+U9*U12</f>
        <v>#DIV/0!</v>
      </c>
      <c r="V13" s="63" t="e">
        <f t="shared" ref="V13" si="15">V5*V11*(1-V6)+V9*V12</f>
        <v>#DIV/0!</v>
      </c>
      <c r="W13" s="63" t="e">
        <f t="shared" ref="W13" si="16">W5*W11*(1-W6)+W9*W12</f>
        <v>#DIV/0!</v>
      </c>
      <c r="X13" s="63" t="e">
        <f t="shared" ref="X13:Y13" si="17">X5*X11*(1-X6)+X9*X12</f>
        <v>#DIV/0!</v>
      </c>
      <c r="Y13" s="63" t="e">
        <f t="shared" si="17"/>
        <v>#DIV/0!</v>
      </c>
      <c r="Z13" s="63" t="e">
        <f t="shared" ref="Z13" si="18">Z5*Z11*(1-Z6)+Z9*Z12</f>
        <v>#DIV/0!</v>
      </c>
      <c r="AA13" s="63" t="e">
        <f t="shared" ref="AA13" si="19">AA5*AA11*(1-AA6)+AA9*AA12</f>
        <v>#DIV/0!</v>
      </c>
      <c r="AB13" s="63" t="e">
        <f t="shared" ref="AB13" si="20">AB5*AB11*(1-AB6)+AB9*AB12</f>
        <v>#DIV/0!</v>
      </c>
      <c r="AC13" s="63" t="e">
        <f t="shared" ref="AC13:AD13" si="21">AC5*AC11*(1-AC6)+AC9*AC12</f>
        <v>#DIV/0!</v>
      </c>
      <c r="AD13" s="63" t="e">
        <f t="shared" si="21"/>
        <v>#DIV/0!</v>
      </c>
      <c r="AE13" s="63" t="e">
        <f t="shared" ref="AE13" si="22">AE5*AE11*(1-AE6)+AE9*AE12</f>
        <v>#DIV/0!</v>
      </c>
      <c r="AF13" s="63" t="e">
        <f t="shared" ref="AF13" si="23">AF5*AF11*(1-AF6)+AF9*AF12</f>
        <v>#DIV/0!</v>
      </c>
      <c r="AG13" s="63" t="e">
        <f t="shared" ref="AG13" si="24">AG5*AG11*(1-AG6)+AG9*AG12</f>
        <v>#DIV/0!</v>
      </c>
      <c r="AH13" s="63" t="e">
        <f t="shared" ref="AH13:AI13" si="25">AH5*AH11*(1-AH6)+AH9*AH12</f>
        <v>#DIV/0!</v>
      </c>
      <c r="AI13" s="63" t="e">
        <f t="shared" si="25"/>
        <v>#DIV/0!</v>
      </c>
      <c r="AJ13" s="63" t="e">
        <f t="shared" ref="AJ13" si="26">AJ5*AJ11*(1-AJ6)+AJ9*AJ12</f>
        <v>#DIV/0!</v>
      </c>
      <c r="AK13" s="63" t="e">
        <f t="shared" ref="AK13" si="27">AK5*AK11*(1-AK6)+AK9*AK12</f>
        <v>#DIV/0!</v>
      </c>
      <c r="AL13" s="63" t="e">
        <f t="shared" ref="AL13" si="28">AL5*AL11*(1-AL6)+AL9*AL12</f>
        <v>#DIV/0!</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8" t="s">
        <v>667</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20" sqref="E20"/>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1" width="19" hidden="1" customWidth="1"/>
    <col min="12" max="16" width="19" bestFit="1" customWidth="1"/>
    <col min="17" max="17" width="9.5546875" hidden="1" customWidth="1"/>
    <col min="18" max="21" width="10.44140625" bestFit="1" customWidth="1"/>
    <col min="22" max="90" width="8.5546875" bestFit="1" customWidth="1"/>
  </cols>
  <sheetData>
    <row r="1" spans="1:90" s="26" customFormat="1" x14ac:dyDescent="0.25">
      <c r="A1" s="17">
        <v>603060</v>
      </c>
      <c r="B1" s="1">
        <v>43373</v>
      </c>
      <c r="C1" s="1">
        <v>43281</v>
      </c>
      <c r="D1" s="1">
        <v>43190</v>
      </c>
      <c r="E1" s="1">
        <v>43100</v>
      </c>
      <c r="F1" s="1">
        <v>43008</v>
      </c>
      <c r="G1" s="1">
        <v>42916</v>
      </c>
      <c r="H1" s="1">
        <v>42825</v>
      </c>
      <c r="I1" s="1">
        <v>42735</v>
      </c>
      <c r="J1" s="1">
        <v>42643</v>
      </c>
      <c r="K1" s="1">
        <v>42551</v>
      </c>
      <c r="L1" s="1">
        <v>42369</v>
      </c>
      <c r="M1" s="1">
        <v>42004</v>
      </c>
      <c r="N1" s="1">
        <v>41639</v>
      </c>
      <c r="O1" s="1">
        <v>41274</v>
      </c>
      <c r="P1" s="1">
        <v>40908</v>
      </c>
      <c r="Q1" s="1">
        <v>25569</v>
      </c>
      <c r="R1" s="188"/>
      <c r="S1" s="188"/>
      <c r="T1" s="188"/>
      <c r="U1" s="188"/>
      <c r="V1" s="188"/>
      <c r="W1" s="188"/>
      <c r="X1" s="188"/>
      <c r="Y1" s="188"/>
      <c r="Z1" s="188"/>
      <c r="AA1" s="188"/>
      <c r="AB1" s="188"/>
      <c r="AC1" s="188"/>
      <c r="AD1" s="188"/>
      <c r="AE1" s="188"/>
      <c r="AF1" s="188"/>
      <c r="AG1" s="188"/>
      <c r="AH1" s="188"/>
      <c r="AI1" s="188"/>
      <c r="AJ1" s="188"/>
      <c r="AK1" s="188"/>
      <c r="AL1" s="188"/>
      <c r="AM1" s="188"/>
      <c r="AN1" s="188"/>
      <c r="AO1" s="188"/>
      <c r="AP1" s="188"/>
      <c r="AQ1" s="188"/>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551</v>
      </c>
      <c r="E2" s="26">
        <f>资产资本表!E17</f>
        <v>359724222.34000003</v>
      </c>
      <c r="F2" s="26">
        <f>资产资本表!F17</f>
        <v>272744670.59000003</v>
      </c>
      <c r="G2" s="26">
        <f>资产资本表!G17</f>
        <v>360990104.43000001</v>
      </c>
      <c r="H2" s="26">
        <f>资产资本表!H17</f>
        <v>543018430.06000006</v>
      </c>
      <c r="I2" s="26">
        <f>资产资本表!I17</f>
        <v>442073371.21000004</v>
      </c>
      <c r="J2" s="26">
        <f>资产资本表!J17</f>
        <v>173441088.34999999</v>
      </c>
      <c r="K2" s="26">
        <f>资产资本表!K17</f>
        <v>125763270.44</v>
      </c>
      <c r="L2" s="26">
        <f>资产资本表!L17</f>
        <v>203669416.86000001</v>
      </c>
      <c r="M2" s="26">
        <f>资产资本表!M17</f>
        <v>121360190</v>
      </c>
      <c r="N2" s="26">
        <f>资产资本表!N17</f>
        <v>121048251.62</v>
      </c>
      <c r="O2" s="26">
        <f>资产资本表!O17</f>
        <v>131378573.28</v>
      </c>
      <c r="P2" s="26">
        <f>资产资本表!P17</f>
        <v>106634430.42</v>
      </c>
      <c r="Q2" s="26">
        <f>资产资本表!Q17</f>
        <v>0</v>
      </c>
      <c r="R2" s="26">
        <f>资产资本表!R17</f>
        <v>0</v>
      </c>
      <c r="S2" s="26">
        <f>资产资本表!S17</f>
        <v>0</v>
      </c>
      <c r="T2" s="26">
        <f>资产资本表!T17</f>
        <v>0</v>
      </c>
      <c r="U2" s="26">
        <f>资产资本表!U17</f>
        <v>0</v>
      </c>
      <c r="V2" s="26">
        <f>资产资本表!V17</f>
        <v>0</v>
      </c>
      <c r="W2" s="26">
        <f>资产资本表!W17</f>
        <v>0</v>
      </c>
      <c r="X2" s="26">
        <f>资产资本表!X17</f>
        <v>0</v>
      </c>
      <c r="Y2" s="26">
        <f>资产资本表!Y17</f>
        <v>0</v>
      </c>
      <c r="Z2" s="26">
        <f>资产资本表!Z17</f>
        <v>0</v>
      </c>
      <c r="AA2" s="26">
        <f>资产资本表!AA17</f>
        <v>0</v>
      </c>
      <c r="AB2" s="26">
        <f>资产资本表!AB17</f>
        <v>0</v>
      </c>
      <c r="AC2" s="26">
        <f>资产资本表!AC17</f>
        <v>0</v>
      </c>
      <c r="AD2" s="26">
        <f>资产资本表!AD17</f>
        <v>0</v>
      </c>
      <c r="AE2" s="26">
        <f>资产资本表!AE17</f>
        <v>0</v>
      </c>
      <c r="AF2" s="26">
        <f>资产资本表!AF17</f>
        <v>0</v>
      </c>
      <c r="AG2" s="26">
        <f>资产资本表!AG17</f>
        <v>0</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33000000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1000000</v>
      </c>
      <c r="P3" s="26">
        <f>资产资本表!P19</f>
        <v>1000000</v>
      </c>
      <c r="Q3" s="26">
        <f>资产资本表!Q19</f>
        <v>0</v>
      </c>
      <c r="R3" s="26">
        <f>资产资本表!R19</f>
        <v>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191971497.01999995</v>
      </c>
      <c r="F4" s="26">
        <f>资产资本表!F50</f>
        <v>314958716.34000003</v>
      </c>
      <c r="G4" s="26">
        <f>资产资本表!G50</f>
        <v>179942635.36999997</v>
      </c>
      <c r="H4" s="26">
        <f>资产资本表!H50</f>
        <v>46953509.559999973</v>
      </c>
      <c r="I4" s="26">
        <f>资产资本表!I50</f>
        <v>174160219.69000003</v>
      </c>
      <c r="J4" s="26">
        <f>资产资本表!J50</f>
        <v>-54243005.640000015</v>
      </c>
      <c r="K4" s="26">
        <f>资产资本表!K50</f>
        <v>-52081627.970000014</v>
      </c>
      <c r="L4" s="26">
        <f>资产资本表!L50</f>
        <v>-65944078.750000015</v>
      </c>
      <c r="M4" s="26">
        <f>资产资本表!M50</f>
        <v>-40591410.170000017</v>
      </c>
      <c r="N4" s="26">
        <f>资产资本表!N50</f>
        <v>-24105600.079999983</v>
      </c>
      <c r="O4" s="26">
        <f>资产资本表!O50</f>
        <v>17286619.160000011</v>
      </c>
      <c r="P4" s="26">
        <f>资产资本表!P50</f>
        <v>-393556.98000000417</v>
      </c>
      <c r="Q4" s="26">
        <f>资产资本表!Q50</f>
        <v>0</v>
      </c>
      <c r="R4" s="26">
        <f>资产资本表!R50</f>
        <v>0</v>
      </c>
      <c r="S4" s="26">
        <f>资产资本表!S50</f>
        <v>0</v>
      </c>
      <c r="T4" s="26">
        <f>资产资本表!T50</f>
        <v>0</v>
      </c>
      <c r="U4" s="26">
        <f>资产资本表!U50</f>
        <v>0</v>
      </c>
      <c r="V4" s="26">
        <f>资产资本表!V50</f>
        <v>0</v>
      </c>
      <c r="W4" s="26">
        <f>资产资本表!W50</f>
        <v>0</v>
      </c>
      <c r="X4" s="26">
        <f>资产资本表!X50</f>
        <v>0</v>
      </c>
      <c r="Y4" s="26">
        <f>资产资本表!Y50</f>
        <v>0</v>
      </c>
      <c r="Z4" s="26">
        <f>资产资本表!Z50</f>
        <v>0</v>
      </c>
      <c r="AA4" s="26">
        <f>资产资本表!AA50</f>
        <v>0</v>
      </c>
      <c r="AB4" s="26">
        <f>资产资本表!AB50</f>
        <v>0</v>
      </c>
      <c r="AC4" s="26">
        <f>资产资本表!AC50</f>
        <v>0</v>
      </c>
      <c r="AD4" s="26">
        <f>资产资本表!AD50</f>
        <v>0</v>
      </c>
      <c r="AE4" s="26">
        <f>资产资本表!AE50</f>
        <v>0</v>
      </c>
      <c r="AF4" s="26">
        <f>资产资本表!AF50</f>
        <v>0</v>
      </c>
      <c r="AG4" s="26">
        <f>资产资本表!AG50</f>
        <v>0</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432441366.89999998</v>
      </c>
      <c r="F5" s="26">
        <f>资产资本表!F33</f>
        <v>561248011.47000003</v>
      </c>
      <c r="G5" s="26">
        <f>资产资本表!G33</f>
        <v>423431060.61000001</v>
      </c>
      <c r="H5" s="26">
        <f>资产资本表!H33</f>
        <v>267909018.56999999</v>
      </c>
      <c r="I5" s="26">
        <f>资产资本表!I33</f>
        <v>391710871.29000002</v>
      </c>
      <c r="J5" s="26">
        <f>资产资本表!J33</f>
        <v>148594951.60999998</v>
      </c>
      <c r="K5" s="26">
        <f>资产资本表!K33</f>
        <v>130686785.02999999</v>
      </c>
      <c r="L5" s="26">
        <f>资产资本表!L33</f>
        <v>91749480.739999995</v>
      </c>
      <c r="M5" s="26">
        <f>资产资本表!M33</f>
        <v>71822316</v>
      </c>
      <c r="N5" s="26">
        <f>资产资本表!N33</f>
        <v>67755197.140000001</v>
      </c>
      <c r="O5" s="26">
        <f>资产资本表!O33</f>
        <v>126178862.11</v>
      </c>
      <c r="P5" s="26">
        <f>资产资本表!P33</f>
        <v>50035570.579999998</v>
      </c>
      <c r="Q5" s="26">
        <f>资产资本表!Q33</f>
        <v>0</v>
      </c>
      <c r="R5" s="26">
        <f>资产资本表!R33</f>
        <v>0</v>
      </c>
      <c r="S5" s="26">
        <f>资产资本表!S33</f>
        <v>0</v>
      </c>
      <c r="T5" s="26">
        <f>资产资本表!T33</f>
        <v>0</v>
      </c>
      <c r="U5" s="26">
        <f>资产资本表!U33</f>
        <v>0</v>
      </c>
      <c r="V5" s="26">
        <f>资产资本表!V33</f>
        <v>0</v>
      </c>
      <c r="W5" s="26">
        <f>资产资本表!W33</f>
        <v>0</v>
      </c>
      <c r="X5" s="26">
        <f>资产资本表!X33</f>
        <v>0</v>
      </c>
      <c r="Y5" s="26">
        <f>资产资本表!Y33</f>
        <v>0</v>
      </c>
      <c r="Z5" s="26">
        <f>资产资本表!Z33</f>
        <v>0</v>
      </c>
      <c r="AA5" s="26">
        <f>资产资本表!AA33</f>
        <v>0</v>
      </c>
      <c r="AB5" s="26">
        <f>资产资本表!AB33</f>
        <v>0</v>
      </c>
      <c r="AC5" s="26">
        <f>资产资本表!AC33</f>
        <v>0</v>
      </c>
      <c r="AD5" s="26">
        <f>资产资本表!AD33</f>
        <v>0</v>
      </c>
      <c r="AE5" s="26">
        <f>资产资本表!AE33</f>
        <v>0</v>
      </c>
      <c r="AF5" s="26">
        <f>资产资本表!AF33</f>
        <v>0</v>
      </c>
      <c r="AG5" s="26">
        <f>资产资本表!AG33</f>
        <v>0</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240469869.88000003</v>
      </c>
      <c r="F6" s="26">
        <f>资产资本表!F49</f>
        <v>246289295.13000003</v>
      </c>
      <c r="G6" s="26">
        <f>资产资本表!G49</f>
        <v>243488425.24000004</v>
      </c>
      <c r="H6" s="26">
        <f>资产资本表!H49</f>
        <v>220955509.01000002</v>
      </c>
      <c r="I6" s="26">
        <f>资产资本表!I49</f>
        <v>217550651.59999999</v>
      </c>
      <c r="J6" s="26">
        <f>资产资本表!J49</f>
        <v>202837957.25</v>
      </c>
      <c r="K6" s="26">
        <f>资产资本表!K49</f>
        <v>182768413</v>
      </c>
      <c r="L6" s="26">
        <f>资产资本表!L49</f>
        <v>157693559.49000001</v>
      </c>
      <c r="M6" s="26">
        <f>资产资本表!M49</f>
        <v>112413726.17000002</v>
      </c>
      <c r="N6" s="26">
        <f>资产资本表!N49</f>
        <v>91860797.219999984</v>
      </c>
      <c r="O6" s="26">
        <f>资产资本表!O49</f>
        <v>108892242.94999999</v>
      </c>
      <c r="P6" s="26">
        <f>资产资本表!P49</f>
        <v>50429127.560000002</v>
      </c>
      <c r="Q6" s="26">
        <f>资产资本表!Q49</f>
        <v>0</v>
      </c>
      <c r="R6" s="26">
        <f>资产资本表!R49</f>
        <v>0</v>
      </c>
      <c r="S6" s="26">
        <f>资产资本表!S49</f>
        <v>0</v>
      </c>
      <c r="T6" s="26">
        <f>资产资本表!T49</f>
        <v>0</v>
      </c>
      <c r="U6" s="26">
        <f>资产资本表!U49</f>
        <v>0</v>
      </c>
      <c r="V6" s="26">
        <f>资产资本表!V49</f>
        <v>0</v>
      </c>
      <c r="W6" s="26">
        <f>资产资本表!W49</f>
        <v>0</v>
      </c>
      <c r="X6" s="26">
        <f>资产资本表!X49</f>
        <v>0</v>
      </c>
      <c r="Y6" s="26">
        <f>资产资本表!Y49</f>
        <v>0</v>
      </c>
      <c r="Z6" s="26">
        <f>资产资本表!Z49</f>
        <v>0</v>
      </c>
      <c r="AA6" s="26">
        <f>资产资本表!AA49</f>
        <v>0</v>
      </c>
      <c r="AB6" s="26">
        <f>资产资本表!AB49</f>
        <v>0</v>
      </c>
      <c r="AC6" s="26">
        <f>资产资本表!AC49</f>
        <v>0</v>
      </c>
      <c r="AD6" s="26">
        <f>资产资本表!AD49</f>
        <v>0</v>
      </c>
      <c r="AE6" s="26">
        <f>资产资本表!AE49</f>
        <v>0</v>
      </c>
      <c r="AF6" s="26">
        <f>资产资本表!AF49</f>
        <v>0</v>
      </c>
      <c r="AG6" s="26">
        <f>资产资本表!AG49</f>
        <v>0</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510192738.41999996</v>
      </c>
      <c r="F7" s="26">
        <f>资产资本表!F68</f>
        <v>466628191.19</v>
      </c>
      <c r="G7" s="26">
        <f>资产资本表!G68</f>
        <v>460689590.17999995</v>
      </c>
      <c r="H7" s="26">
        <f>资产资本表!H68</f>
        <v>456027228.91999996</v>
      </c>
      <c r="I7" s="26">
        <f>资产资本表!I68</f>
        <v>445835844.24999994</v>
      </c>
      <c r="J7" s="26">
        <f>资产资本表!J68</f>
        <v>438494729.19999999</v>
      </c>
      <c r="K7" s="26">
        <f>资产资本表!K68</f>
        <v>438388144.12</v>
      </c>
      <c r="L7" s="26">
        <f>资产资本表!L68</f>
        <v>430710674</v>
      </c>
      <c r="M7" s="26">
        <f>资产资本表!M68</f>
        <v>409619889.18999994</v>
      </c>
      <c r="N7" s="26">
        <f>资产资本表!N68</f>
        <v>399236290.46000004</v>
      </c>
      <c r="O7" s="26">
        <f>资产资本表!O68</f>
        <v>180021943.97000003</v>
      </c>
      <c r="P7" s="26">
        <f>资产资本表!P68</f>
        <v>130281770.53</v>
      </c>
      <c r="Q7" s="26">
        <f>资产资本表!Q68</f>
        <v>0</v>
      </c>
      <c r="R7" s="26">
        <f>资产资本表!R68</f>
        <v>0</v>
      </c>
      <c r="S7" s="26">
        <f>资产资本表!S68</f>
        <v>0</v>
      </c>
      <c r="T7" s="26">
        <f>资产资本表!T68</f>
        <v>0</v>
      </c>
      <c r="U7" s="26">
        <f>资产资本表!U68</f>
        <v>0</v>
      </c>
      <c r="V7" s="26">
        <f>资产资本表!V68</f>
        <v>0</v>
      </c>
      <c r="W7" s="26">
        <f>资产资本表!W68</f>
        <v>0</v>
      </c>
      <c r="X7" s="26">
        <f>资产资本表!X68</f>
        <v>0</v>
      </c>
      <c r="Y7" s="26">
        <f>资产资本表!Y68</f>
        <v>0</v>
      </c>
      <c r="Z7" s="26">
        <f>资产资本表!Z68</f>
        <v>0</v>
      </c>
      <c r="AA7" s="26">
        <f>资产资本表!AA68</f>
        <v>0</v>
      </c>
      <c r="AB7" s="26">
        <f>资产资本表!AB68</f>
        <v>0</v>
      </c>
      <c r="AC7" s="26">
        <f>资产资本表!AC68</f>
        <v>0</v>
      </c>
      <c r="AD7" s="26">
        <f>资产资本表!AD68</f>
        <v>0</v>
      </c>
      <c r="AE7" s="26">
        <f>资产资本表!AE68</f>
        <v>0</v>
      </c>
      <c r="AF7" s="26">
        <f>资产资本表!AF68</f>
        <v>0</v>
      </c>
      <c r="AG7" s="26">
        <f>资产资本表!AG68</f>
        <v>0</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702164235.43999994</v>
      </c>
      <c r="F8" s="26">
        <f>资产资本表!F69</f>
        <v>781586907.52999997</v>
      </c>
      <c r="G8" s="26">
        <f>资产资本表!G69</f>
        <v>640632225.54999995</v>
      </c>
      <c r="H8" s="26">
        <f>资产资本表!H69</f>
        <v>502980738.4799999</v>
      </c>
      <c r="I8" s="26">
        <f>资产资本表!I69</f>
        <v>619996063.93999994</v>
      </c>
      <c r="J8" s="26">
        <f>资产资本表!J69</f>
        <v>384251723.55999994</v>
      </c>
      <c r="K8" s="26">
        <f>资产资本表!K69</f>
        <v>386306516.14999998</v>
      </c>
      <c r="L8" s="26">
        <f>资产资本表!L69</f>
        <v>364766595.25</v>
      </c>
      <c r="M8" s="26">
        <f>资产资本表!M69</f>
        <v>369028479.01999992</v>
      </c>
      <c r="N8" s="26">
        <f>资产资本表!N69</f>
        <v>375130690.38000005</v>
      </c>
      <c r="O8" s="26">
        <f>资产资本表!O69</f>
        <v>197308563.13000005</v>
      </c>
      <c r="P8" s="26">
        <f>资产资本表!P69</f>
        <v>129888213.55</v>
      </c>
      <c r="Q8" s="26">
        <f>资产资本表!Q69</f>
        <v>0</v>
      </c>
      <c r="R8" s="26">
        <f>资产资本表!R69</f>
        <v>0</v>
      </c>
      <c r="S8" s="26">
        <f>资产资本表!S69</f>
        <v>0</v>
      </c>
      <c r="T8" s="26">
        <f>资产资本表!T69</f>
        <v>0</v>
      </c>
      <c r="U8" s="26">
        <f>资产资本表!U69</f>
        <v>0</v>
      </c>
      <c r="V8" s="26">
        <f>资产资本表!V69</f>
        <v>0</v>
      </c>
      <c r="W8" s="26">
        <f>资产资本表!W69</f>
        <v>0</v>
      </c>
      <c r="X8" s="26">
        <f>资产资本表!X69</f>
        <v>0</v>
      </c>
      <c r="Y8" s="26">
        <f>资产资本表!Y69</f>
        <v>0</v>
      </c>
      <c r="Z8" s="26">
        <f>资产资本表!Z69</f>
        <v>0</v>
      </c>
      <c r="AA8" s="26">
        <f>资产资本表!AA69</f>
        <v>0</v>
      </c>
      <c r="AB8" s="26">
        <f>资产资本表!AB69</f>
        <v>0</v>
      </c>
      <c r="AC8" s="26">
        <f>资产资本表!AC69</f>
        <v>0</v>
      </c>
      <c r="AD8" s="26">
        <f>资产资本表!AD69</f>
        <v>0</v>
      </c>
      <c r="AE8" s="26">
        <f>资产资本表!AE69</f>
        <v>0</v>
      </c>
      <c r="AF8" s="26">
        <f>资产资本表!AF69</f>
        <v>0</v>
      </c>
      <c r="AG8" s="26">
        <f>资产资本表!AG69</f>
        <v>0</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1094888457.78</v>
      </c>
      <c r="F9" s="48">
        <f>资产资本表!F70</f>
        <v>1054331578.12</v>
      </c>
      <c r="G9" s="48">
        <f>资产资本表!G70</f>
        <v>1001622329.98</v>
      </c>
      <c r="H9" s="48">
        <f>资产资本表!H70</f>
        <v>1045999168.54</v>
      </c>
      <c r="I9" s="48">
        <f>资产资本表!I70</f>
        <v>1062069435.15</v>
      </c>
      <c r="J9" s="48">
        <f>资产资本表!J70</f>
        <v>557692811.90999997</v>
      </c>
      <c r="K9" s="48">
        <f>资产资本表!K70</f>
        <v>512069786.58999997</v>
      </c>
      <c r="L9" s="48">
        <f>资产资本表!L70</f>
        <v>568436012.11000001</v>
      </c>
      <c r="M9" s="48">
        <f>资产资本表!M70</f>
        <v>490388669.01999992</v>
      </c>
      <c r="N9" s="48">
        <f>资产资本表!N70</f>
        <v>496178942.00000006</v>
      </c>
      <c r="O9" s="48">
        <f>资产资本表!O70</f>
        <v>329687136.41000009</v>
      </c>
      <c r="P9" s="48">
        <f>资产资本表!P70</f>
        <v>237522643.97</v>
      </c>
      <c r="Q9" s="48">
        <f>资产资本表!Q70</f>
        <v>0</v>
      </c>
      <c r="R9" s="48">
        <f>资产资本表!R70</f>
        <v>0</v>
      </c>
      <c r="S9" s="48">
        <f>资产资本表!S70</f>
        <v>0</v>
      </c>
      <c r="T9" s="48">
        <f>资产资本表!T70</f>
        <v>0</v>
      </c>
      <c r="U9" s="48">
        <f>资产资本表!U70</f>
        <v>0</v>
      </c>
      <c r="V9" s="48">
        <f>资产资本表!V70</f>
        <v>0</v>
      </c>
      <c r="W9" s="48">
        <f>资产资本表!W70</f>
        <v>0</v>
      </c>
      <c r="X9" s="48">
        <f>资产资本表!X70</f>
        <v>0</v>
      </c>
      <c r="Y9" s="48">
        <f>资产资本表!Y70</f>
        <v>0</v>
      </c>
      <c r="Z9" s="48">
        <f>资产资本表!Z70</f>
        <v>0</v>
      </c>
      <c r="AA9" s="48">
        <f>资产资本表!AA70</f>
        <v>0</v>
      </c>
      <c r="AB9" s="48">
        <f>资产资本表!AB70</f>
        <v>0</v>
      </c>
      <c r="AC9" s="48">
        <f>资产资本表!AC70</f>
        <v>0</v>
      </c>
      <c r="AD9" s="48">
        <f>资产资本表!AD70</f>
        <v>0</v>
      </c>
      <c r="AE9" s="48">
        <f>资产资本表!AE70</f>
        <v>0</v>
      </c>
      <c r="AF9" s="48">
        <f>资产资本表!AF70</f>
        <v>0</v>
      </c>
      <c r="AG9" s="48">
        <f>资产资本表!AG70</f>
        <v>0</v>
      </c>
      <c r="AH9" s="48">
        <f>资产资本表!AH70</f>
        <v>0</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0</v>
      </c>
      <c r="F10" s="26">
        <f>资产资本表!F72</f>
        <v>0</v>
      </c>
      <c r="G10" s="26">
        <f>资产资本表!G72</f>
        <v>0</v>
      </c>
      <c r="H10" s="26">
        <f>资产资本表!H72</f>
        <v>33760703.5</v>
      </c>
      <c r="I10" s="26">
        <f>资产资本表!I72</f>
        <v>58246810</v>
      </c>
      <c r="J10" s="26">
        <f>资产资本表!J72</f>
        <v>84242535.329999998</v>
      </c>
      <c r="K10" s="26">
        <f>资产资本表!K72</f>
        <v>84242535.329999998</v>
      </c>
      <c r="L10" s="26">
        <f>资产资本表!L72</f>
        <v>51435725.329999998</v>
      </c>
      <c r="M10" s="26">
        <f>资产资本表!M72</f>
        <v>42500000</v>
      </c>
      <c r="N10" s="26">
        <f>资产资本表!N72</f>
        <v>92895714</v>
      </c>
      <c r="O10" s="26">
        <f>资产资本表!O72</f>
        <v>65837129</v>
      </c>
      <c r="P10" s="26">
        <f>资产资本表!P72</f>
        <v>19000000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9890479.9199999999</v>
      </c>
      <c r="I11" s="26">
        <f>资产资本表!I81</f>
        <v>18408383.420000002</v>
      </c>
      <c r="J11" s="26">
        <f>资产资本表!J81</f>
        <v>28105583.420000002</v>
      </c>
      <c r="K11" s="26">
        <f>资产资本表!K81</f>
        <v>27650855.510000002</v>
      </c>
      <c r="L11" s="26">
        <f>资产资本表!L81</f>
        <v>38982000</v>
      </c>
      <c r="M11" s="26">
        <f>资产资本表!M81</f>
        <v>60540800</v>
      </c>
      <c r="N11" s="26">
        <f>资产资本表!N81</f>
        <v>85540000</v>
      </c>
      <c r="O11" s="26">
        <f>资产资本表!O81</f>
        <v>5375879.2400000002</v>
      </c>
      <c r="P11" s="26">
        <f>资产资本表!P81</f>
        <v>4881671.9800000004</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0</v>
      </c>
      <c r="F12" s="26">
        <f>资产资本表!F89</f>
        <v>0</v>
      </c>
      <c r="G12" s="26">
        <f>资产资本表!G89</f>
        <v>0</v>
      </c>
      <c r="H12" s="26">
        <f>资产资本表!H89</f>
        <v>43651183.420000002</v>
      </c>
      <c r="I12" s="26">
        <f>资产资本表!I89</f>
        <v>76655193.420000002</v>
      </c>
      <c r="J12" s="26">
        <f>资产资本表!J89</f>
        <v>112348118.75</v>
      </c>
      <c r="K12" s="26">
        <f>资产资本表!K89</f>
        <v>111893390.84</v>
      </c>
      <c r="L12" s="26">
        <f>资产资本表!L89</f>
        <v>90417725.329999998</v>
      </c>
      <c r="M12" s="26">
        <f>资产资本表!M89</f>
        <v>103040800</v>
      </c>
      <c r="N12" s="26">
        <f>资产资本表!N89</f>
        <v>178435714</v>
      </c>
      <c r="O12" s="26">
        <f>资产资本表!O89</f>
        <v>71213008.239999995</v>
      </c>
      <c r="P12" s="26">
        <f>资产资本表!P89</f>
        <v>23881671.98</v>
      </c>
      <c r="Q12" s="26">
        <f>资产资本表!Q89</f>
        <v>0</v>
      </c>
      <c r="R12" s="26">
        <f>资产资本表!R89</f>
        <v>0</v>
      </c>
      <c r="S12" s="26">
        <f>资产资本表!S89</f>
        <v>0</v>
      </c>
      <c r="T12" s="26">
        <f>资产资本表!T89</f>
        <v>0</v>
      </c>
      <c r="U12" s="26">
        <f>资产资本表!U89</f>
        <v>0</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1094888457.78</v>
      </c>
      <c r="F13" s="26">
        <f t="shared" ref="F13:BQ13" si="0">F9-F12</f>
        <v>1054331578.12</v>
      </c>
      <c r="G13" s="26">
        <f t="shared" si="0"/>
        <v>1001622329.98</v>
      </c>
      <c r="H13" s="26">
        <f t="shared" si="0"/>
        <v>1002347985.12</v>
      </c>
      <c r="I13" s="26">
        <f t="shared" si="0"/>
        <v>985414241.73000002</v>
      </c>
      <c r="J13" s="26">
        <f t="shared" si="0"/>
        <v>445344693.15999997</v>
      </c>
      <c r="K13" s="26">
        <f t="shared" si="0"/>
        <v>400176395.75</v>
      </c>
      <c r="L13" s="26">
        <f t="shared" si="0"/>
        <v>478018286.78000003</v>
      </c>
      <c r="M13" s="26">
        <f t="shared" si="0"/>
        <v>387347869.01999992</v>
      </c>
      <c r="N13" s="26">
        <f t="shared" si="0"/>
        <v>317743228.00000006</v>
      </c>
      <c r="O13" s="26">
        <f t="shared" si="0"/>
        <v>258474128.17000008</v>
      </c>
      <c r="P13" s="26">
        <f t="shared" si="0"/>
        <v>213640971.99000001</v>
      </c>
      <c r="Q13" s="26">
        <f t="shared" si="0"/>
        <v>0</v>
      </c>
      <c r="R13" s="26">
        <f t="shared" si="0"/>
        <v>0</v>
      </c>
      <c r="S13" s="26">
        <f t="shared" si="0"/>
        <v>0</v>
      </c>
      <c r="T13" s="26">
        <f t="shared" si="0"/>
        <v>0</v>
      </c>
      <c r="U13" s="26">
        <f t="shared" si="0"/>
        <v>0</v>
      </c>
      <c r="V13" s="26">
        <f t="shared" si="0"/>
        <v>0</v>
      </c>
      <c r="W13" s="26">
        <f t="shared" si="0"/>
        <v>0</v>
      </c>
      <c r="X13" s="26">
        <f t="shared" si="0"/>
        <v>0</v>
      </c>
      <c r="Y13" s="26">
        <f t="shared" si="0"/>
        <v>0</v>
      </c>
      <c r="Z13" s="26">
        <f t="shared" si="0"/>
        <v>0</v>
      </c>
      <c r="AA13" s="26">
        <f t="shared" si="0"/>
        <v>0</v>
      </c>
      <c r="AB13" s="26">
        <f t="shared" si="0"/>
        <v>0</v>
      </c>
      <c r="AC13" s="26">
        <f t="shared" si="0"/>
        <v>0</v>
      </c>
      <c r="AD13" s="26">
        <f t="shared" si="0"/>
        <v>0</v>
      </c>
      <c r="AE13" s="26">
        <f t="shared" si="0"/>
        <v>0</v>
      </c>
      <c r="AF13" s="26">
        <f t="shared" si="0"/>
        <v>0</v>
      </c>
      <c r="AG13" s="26">
        <f t="shared" si="0"/>
        <v>0</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1094888457.78</v>
      </c>
      <c r="F14" s="48">
        <f t="shared" ref="F14:BQ14" si="2">F9</f>
        <v>1054331578.12</v>
      </c>
      <c r="G14" s="48">
        <f t="shared" si="2"/>
        <v>1001622329.98</v>
      </c>
      <c r="H14" s="48">
        <f t="shared" si="2"/>
        <v>1045999168.54</v>
      </c>
      <c r="I14" s="48">
        <f t="shared" si="2"/>
        <v>1062069435.15</v>
      </c>
      <c r="J14" s="48">
        <f t="shared" si="2"/>
        <v>557692811.90999997</v>
      </c>
      <c r="K14" s="48">
        <f t="shared" si="2"/>
        <v>512069786.58999997</v>
      </c>
      <c r="L14" s="48">
        <f t="shared" si="2"/>
        <v>568436012.11000001</v>
      </c>
      <c r="M14" s="48">
        <f t="shared" si="2"/>
        <v>490388669.01999992</v>
      </c>
      <c r="N14" s="48">
        <f t="shared" si="2"/>
        <v>496178942.00000006</v>
      </c>
      <c r="O14" s="48">
        <f t="shared" si="2"/>
        <v>329687136.41000009</v>
      </c>
      <c r="P14" s="48">
        <f t="shared" si="2"/>
        <v>237522643.97</v>
      </c>
      <c r="Q14" s="48">
        <f t="shared" si="2"/>
        <v>0</v>
      </c>
      <c r="R14" s="48">
        <f t="shared" si="2"/>
        <v>0</v>
      </c>
      <c r="S14" s="48">
        <f t="shared" si="2"/>
        <v>0</v>
      </c>
      <c r="T14" s="48">
        <f t="shared" si="2"/>
        <v>0</v>
      </c>
      <c r="U14" s="48">
        <f t="shared" si="2"/>
        <v>0</v>
      </c>
      <c r="V14" s="48">
        <f t="shared" si="2"/>
        <v>0</v>
      </c>
      <c r="W14" s="48">
        <f t="shared" si="2"/>
        <v>0</v>
      </c>
      <c r="X14" s="48">
        <f t="shared" si="2"/>
        <v>0</v>
      </c>
      <c r="Y14" s="48">
        <f t="shared" si="2"/>
        <v>0</v>
      </c>
      <c r="Z14" s="48">
        <f t="shared" si="2"/>
        <v>0</v>
      </c>
      <c r="AA14" s="48">
        <f t="shared" si="2"/>
        <v>0</v>
      </c>
      <c r="AB14" s="48">
        <f t="shared" si="2"/>
        <v>0</v>
      </c>
      <c r="AC14" s="48">
        <f t="shared" si="2"/>
        <v>0</v>
      </c>
      <c r="AD14" s="48">
        <f t="shared" si="2"/>
        <v>0</v>
      </c>
      <c r="AE14" s="48">
        <f t="shared" si="2"/>
        <v>0</v>
      </c>
      <c r="AF14" s="48">
        <f t="shared" si="2"/>
        <v>0</v>
      </c>
      <c r="AG14" s="48">
        <f t="shared" si="2"/>
        <v>0</v>
      </c>
      <c r="AH14" s="48">
        <f t="shared" si="2"/>
        <v>0</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359724222.34000003</v>
      </c>
      <c r="F15" s="58">
        <f t="shared" ref="F15:BQ15" si="4">F11+F13-F3-F4-F7</f>
        <v>272744670.58999997</v>
      </c>
      <c r="G15" s="58">
        <f t="shared" si="4"/>
        <v>360990104.43000007</v>
      </c>
      <c r="H15" s="58">
        <f t="shared" si="4"/>
        <v>509257726.56000006</v>
      </c>
      <c r="I15" s="58">
        <f t="shared" si="4"/>
        <v>383826561.20999998</v>
      </c>
      <c r="J15" s="58">
        <f t="shared" si="4"/>
        <v>89198553.020000041</v>
      </c>
      <c r="K15" s="58">
        <f t="shared" si="4"/>
        <v>41520735.110000014</v>
      </c>
      <c r="L15" s="58">
        <f t="shared" si="4"/>
        <v>152233691.53000009</v>
      </c>
      <c r="M15" s="58">
        <f t="shared" si="4"/>
        <v>78860190</v>
      </c>
      <c r="N15" s="58">
        <f t="shared" si="4"/>
        <v>28152537.620000005</v>
      </c>
      <c r="O15" s="58">
        <f t="shared" si="4"/>
        <v>65541444.280000031</v>
      </c>
      <c r="P15" s="58">
        <f t="shared" si="4"/>
        <v>87634430.419999987</v>
      </c>
      <c r="Q15" s="58">
        <f t="shared" si="4"/>
        <v>0</v>
      </c>
      <c r="R15" s="58">
        <f t="shared" si="4"/>
        <v>0</v>
      </c>
      <c r="S15" s="58">
        <f t="shared" si="4"/>
        <v>0</v>
      </c>
      <c r="T15" s="58">
        <f t="shared" si="4"/>
        <v>0</v>
      </c>
      <c r="U15" s="58">
        <f t="shared" si="4"/>
        <v>0</v>
      </c>
      <c r="V15" s="58">
        <f t="shared" si="4"/>
        <v>0</v>
      </c>
      <c r="W15" s="58">
        <f t="shared" si="4"/>
        <v>0</v>
      </c>
      <c r="X15" s="58">
        <f t="shared" si="4"/>
        <v>0</v>
      </c>
      <c r="Y15" s="58">
        <f t="shared" si="4"/>
        <v>0</v>
      </c>
      <c r="Z15" s="58">
        <f t="shared" si="4"/>
        <v>0</v>
      </c>
      <c r="AA15" s="58">
        <f t="shared" si="4"/>
        <v>0</v>
      </c>
      <c r="AB15" s="58">
        <f t="shared" si="4"/>
        <v>0</v>
      </c>
      <c r="AC15" s="58">
        <f t="shared" si="4"/>
        <v>0</v>
      </c>
      <c r="AD15" s="58">
        <f t="shared" si="4"/>
        <v>0</v>
      </c>
      <c r="AE15" s="58">
        <f t="shared" si="4"/>
        <v>0</v>
      </c>
      <c r="AF15" s="58">
        <f t="shared" si="4"/>
        <v>0</v>
      </c>
      <c r="AG15" s="58">
        <f t="shared" si="4"/>
        <v>0</v>
      </c>
      <c r="AH15" s="58">
        <f t="shared" si="4"/>
        <v>0</v>
      </c>
      <c r="AI15" s="58">
        <f t="shared" si="4"/>
        <v>0</v>
      </c>
      <c r="AJ15" s="58">
        <f t="shared" si="4"/>
        <v>0</v>
      </c>
      <c r="AK15" s="58">
        <f t="shared" si="4"/>
        <v>0</v>
      </c>
      <c r="AL15" s="58">
        <f t="shared" si="4"/>
        <v>0</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-359724222.34000003</v>
      </c>
      <c r="F16" s="58">
        <f t="shared" ref="F16:BQ16" si="6">F10-F2</f>
        <v>-272744670.59000003</v>
      </c>
      <c r="G16" s="58">
        <f t="shared" si="6"/>
        <v>-360990104.43000001</v>
      </c>
      <c r="H16" s="58">
        <f t="shared" si="6"/>
        <v>-509257726.56000006</v>
      </c>
      <c r="I16" s="58">
        <f t="shared" si="6"/>
        <v>-383826561.21000004</v>
      </c>
      <c r="J16" s="58">
        <f t="shared" si="6"/>
        <v>-89198553.019999996</v>
      </c>
      <c r="K16" s="58">
        <f t="shared" si="6"/>
        <v>-41520735.109999999</v>
      </c>
      <c r="L16" s="58">
        <f t="shared" si="6"/>
        <v>-152233691.53000003</v>
      </c>
      <c r="M16" s="58">
        <f t="shared" si="6"/>
        <v>-78860190</v>
      </c>
      <c r="N16" s="58">
        <f t="shared" si="6"/>
        <v>-28152537.620000005</v>
      </c>
      <c r="O16" s="58">
        <f t="shared" si="6"/>
        <v>-65541444.280000001</v>
      </c>
      <c r="P16" s="58">
        <f t="shared" si="6"/>
        <v>-87634430.420000002</v>
      </c>
      <c r="Q16" s="58">
        <f t="shared" si="6"/>
        <v>0</v>
      </c>
      <c r="R16" s="58">
        <f t="shared" si="6"/>
        <v>0</v>
      </c>
      <c r="S16" s="58">
        <f t="shared" si="6"/>
        <v>0</v>
      </c>
      <c r="T16" s="58">
        <f t="shared" si="6"/>
        <v>0</v>
      </c>
      <c r="U16" s="58">
        <f t="shared" si="6"/>
        <v>0</v>
      </c>
      <c r="V16" s="58">
        <f t="shared" si="6"/>
        <v>0</v>
      </c>
      <c r="W16" s="58">
        <f t="shared" si="6"/>
        <v>0</v>
      </c>
      <c r="X16" s="58">
        <f t="shared" si="6"/>
        <v>0</v>
      </c>
      <c r="Y16" s="58">
        <f t="shared" si="6"/>
        <v>0</v>
      </c>
      <c r="Z16" s="58">
        <f t="shared" si="6"/>
        <v>0</v>
      </c>
      <c r="AA16" s="58">
        <f t="shared" si="6"/>
        <v>0</v>
      </c>
      <c r="AB16" s="58">
        <f t="shared" si="6"/>
        <v>0</v>
      </c>
      <c r="AC16" s="58">
        <f t="shared" si="6"/>
        <v>0</v>
      </c>
      <c r="AD16" s="58">
        <f t="shared" si="6"/>
        <v>0</v>
      </c>
      <c r="AE16" s="58">
        <f t="shared" si="6"/>
        <v>0</v>
      </c>
      <c r="AF16" s="58">
        <f t="shared" si="6"/>
        <v>0</v>
      </c>
      <c r="AG16" s="58">
        <f t="shared" si="6"/>
        <v>0</v>
      </c>
      <c r="AH16" s="58">
        <f t="shared" si="6"/>
        <v>0</v>
      </c>
      <c r="AI16" s="58">
        <f t="shared" si="6"/>
        <v>0</v>
      </c>
      <c r="AJ16" s="58">
        <f t="shared" si="6"/>
        <v>0</v>
      </c>
      <c r="AK16" s="58">
        <f t="shared" si="6"/>
        <v>0</v>
      </c>
      <c r="AL16" s="58">
        <f t="shared" si="6"/>
        <v>0</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2.8738418355018784</v>
      </c>
      <c r="F17" s="59">
        <f t="shared" ref="F17:BQ17" si="8">(F11+F13-F7-F3)/F4</f>
        <v>1.865969590425846</v>
      </c>
      <c r="G17" s="59">
        <f t="shared" si="8"/>
        <v>3.0061399216907563</v>
      </c>
      <c r="H17" s="59">
        <f t="shared" si="8"/>
        <v>11.845999187967843</v>
      </c>
      <c r="I17" s="59">
        <f t="shared" si="8"/>
        <v>3.2038704469551074</v>
      </c>
      <c r="J17" s="59">
        <f t="shared" si="8"/>
        <v>-0.64442497180176506</v>
      </c>
      <c r="K17" s="59">
        <f t="shared" si="8"/>
        <v>0.20277578239457655</v>
      </c>
      <c r="L17" s="59">
        <f t="shared" si="8"/>
        <v>-1.3085270795446515</v>
      </c>
      <c r="M17" s="59">
        <f t="shared" si="8"/>
        <v>-0.94278025005111488</v>
      </c>
      <c r="N17" s="59">
        <f t="shared" si="8"/>
        <v>-0.16788370862244986</v>
      </c>
      <c r="O17" s="59">
        <f t="shared" si="8"/>
        <v>4.7914553258429047</v>
      </c>
      <c r="P17" s="59">
        <f t="shared" si="8"/>
        <v>-221.67278913462309</v>
      </c>
      <c r="Q17" s="59" t="e">
        <f t="shared" si="8"/>
        <v>#DIV/0!</v>
      </c>
      <c r="R17" s="59" t="e">
        <f t="shared" si="8"/>
        <v>#DIV/0!</v>
      </c>
      <c r="S17" s="59" t="e">
        <f t="shared" si="8"/>
        <v>#DIV/0!</v>
      </c>
      <c r="T17" s="59" t="e">
        <f t="shared" si="8"/>
        <v>#DIV/0!</v>
      </c>
      <c r="U17" s="59" t="e">
        <f t="shared" si="8"/>
        <v>#DIV/0!</v>
      </c>
      <c r="V17" s="59" t="e">
        <f t="shared" si="8"/>
        <v>#DIV/0!</v>
      </c>
      <c r="W17" s="59" t="e">
        <f t="shared" si="8"/>
        <v>#DIV/0!</v>
      </c>
      <c r="X17" s="59" t="e">
        <f t="shared" si="8"/>
        <v>#DIV/0!</v>
      </c>
      <c r="Y17" s="59" t="e">
        <f t="shared" si="8"/>
        <v>#DIV/0!</v>
      </c>
      <c r="Z17" s="59" t="e">
        <f t="shared" si="8"/>
        <v>#DIV/0!</v>
      </c>
      <c r="AA17" s="59" t="e">
        <f t="shared" si="8"/>
        <v>#DIV/0!</v>
      </c>
      <c r="AB17" s="59" t="e">
        <f t="shared" si="8"/>
        <v>#DIV/0!</v>
      </c>
      <c r="AC17" s="59" t="e">
        <f t="shared" si="8"/>
        <v>#DIV/0!</v>
      </c>
      <c r="AD17" s="59" t="e">
        <f t="shared" si="8"/>
        <v>#DIV/0!</v>
      </c>
      <c r="AE17" s="59" t="e">
        <f t="shared" si="8"/>
        <v>#DIV/0!</v>
      </c>
      <c r="AF17" s="59" t="e">
        <f t="shared" si="8"/>
        <v>#DIV/0!</v>
      </c>
      <c r="AG17" s="59" t="e">
        <f t="shared" si="8"/>
        <v>#DIV/0!</v>
      </c>
      <c r="AH17" s="59" t="e">
        <f t="shared" si="8"/>
        <v>#DIV/0!</v>
      </c>
      <c r="AI17" s="59" t="e">
        <f t="shared" si="8"/>
        <v>#DIV/0!</v>
      </c>
      <c r="AJ17" s="59" t="e">
        <f t="shared" si="8"/>
        <v>#DIV/0!</v>
      </c>
      <c r="AK17" s="59" t="e">
        <f t="shared" si="8"/>
        <v>#DIV/0!</v>
      </c>
      <c r="AL17" s="59" t="e">
        <f t="shared" si="8"/>
        <v>#DIV/0!</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743</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2" t="s">
        <v>573</v>
      </c>
      <c r="B19" s="113"/>
      <c r="C19" s="113"/>
      <c r="D19" s="113"/>
      <c r="E19" s="113" t="s">
        <v>566</v>
      </c>
      <c r="F19" s="113"/>
      <c r="G19" s="113"/>
      <c r="H19" s="113"/>
      <c r="I19" s="113" t="s">
        <v>601</v>
      </c>
      <c r="M19" s="113" t="s">
        <v>568</v>
      </c>
      <c r="N19" s="63"/>
      <c r="O19" s="63"/>
      <c r="P19" s="63"/>
      <c r="Q19" s="63"/>
      <c r="R19" s="63"/>
      <c r="S19" s="63"/>
      <c r="T19" s="63"/>
      <c r="U19" s="63"/>
    </row>
    <row r="20" spans="1:90" s="63" customFormat="1" ht="14.25" customHeight="1" x14ac:dyDescent="0.25">
      <c r="A20" s="112" t="s">
        <v>574</v>
      </c>
      <c r="B20" s="114"/>
      <c r="C20" s="114"/>
      <c r="D20" s="114"/>
      <c r="E20" s="114">
        <f>POWER(E9/O9,1/5)-1</f>
        <v>0.27131618219580655</v>
      </c>
      <c r="F20" s="114"/>
      <c r="G20" s="114"/>
      <c r="H20" s="114"/>
      <c r="I20" s="114" t="e">
        <f>POWER(E9/Y9,1/6)-1</f>
        <v>#DIV/0!</v>
      </c>
      <c r="M20" s="114" t="e">
        <f>POWER(E9/AC9,1/7)-1</f>
        <v>#DIV/0!</v>
      </c>
    </row>
    <row r="21" spans="1:90" s="63" customFormat="1" ht="14.25" customHeight="1" x14ac:dyDescent="0.25">
      <c r="A21" s="112" t="s">
        <v>572</v>
      </c>
      <c r="B21" s="114"/>
      <c r="C21" s="114"/>
      <c r="D21" s="114"/>
      <c r="E21" s="114">
        <f>POWER(E4/O4,1/5)-1</f>
        <v>0.61847254814068631</v>
      </c>
      <c r="F21" s="114"/>
      <c r="G21" s="114"/>
      <c r="H21" s="114"/>
      <c r="I21" s="114" t="e">
        <f>POWER(E4/Y4,1/6)-1</f>
        <v>#DIV/0!</v>
      </c>
      <c r="M21" s="114" t="e">
        <f>POWER(E4/AC4,1/7)-1</f>
        <v>#DIV/0!</v>
      </c>
    </row>
    <row r="22" spans="1:90" s="63" customFormat="1" ht="14.25" customHeight="1" x14ac:dyDescent="0.25">
      <c r="A22" s="112" t="s">
        <v>575</v>
      </c>
      <c r="B22" s="114"/>
      <c r="C22" s="114"/>
      <c r="D22" s="114"/>
      <c r="E22" s="114">
        <f>POWER(E5/O5,1/5)-1</f>
        <v>0.27934632216911215</v>
      </c>
      <c r="F22" s="114"/>
      <c r="G22" s="114"/>
      <c r="H22" s="114"/>
      <c r="I22" s="114" t="e">
        <f>POWER(E5/Y5,1/6)-1</f>
        <v>#DIV/0!</v>
      </c>
      <c r="M22" s="114" t="e">
        <f>POWER(E5/AC5,1/7)-1</f>
        <v>#DIV/0!</v>
      </c>
    </row>
    <row r="23" spans="1:90" s="63" customFormat="1" ht="14.25" customHeight="1" x14ac:dyDescent="0.25">
      <c r="A23" s="112" t="s">
        <v>576</v>
      </c>
      <c r="B23" s="114"/>
      <c r="C23" s="114"/>
      <c r="D23" s="114"/>
      <c r="E23" s="114">
        <f>POWER(E6/O6,1/5)-1</f>
        <v>0.17169005831234019</v>
      </c>
      <c r="F23" s="114"/>
      <c r="G23" s="114"/>
      <c r="H23" s="114"/>
      <c r="I23" s="114" t="e">
        <f>POWER(E6/Y6,1/6)-1</f>
        <v>#DIV/0!</v>
      </c>
      <c r="M23" s="114" t="e">
        <f>POWER(E6/AC6,1/7)-1</f>
        <v>#DIV/0!</v>
      </c>
    </row>
    <row r="24" spans="1:90" s="63" customFormat="1" ht="14.25" customHeight="1" x14ac:dyDescent="0.25">
      <c r="A24" s="112" t="s">
        <v>577</v>
      </c>
      <c r="B24" s="114"/>
      <c r="C24" s="114"/>
      <c r="D24" s="114"/>
      <c r="E24" s="114">
        <f>POWER(E7/O7,1/5)-1</f>
        <v>0.23163427172985473</v>
      </c>
      <c r="F24" s="114"/>
      <c r="G24" s="114"/>
      <c r="H24" s="114"/>
      <c r="I24" s="114" t="e">
        <f>POWER(E7/Y7,1/6)-1</f>
        <v>#DIV/0!</v>
      </c>
      <c r="M24" s="114" t="e">
        <f>POWER(E7/AC7,1/7)-1</f>
        <v>#DIV/0!</v>
      </c>
    </row>
    <row r="25" spans="1:90" s="106" customFormat="1" x14ac:dyDescent="0.25">
      <c r="A25" s="141" t="s">
        <v>553</v>
      </c>
      <c r="B25" s="107"/>
      <c r="C25" s="107"/>
      <c r="D25" s="107"/>
      <c r="E25" s="107">
        <f>(E2-I2)/I2</f>
        <v>-0.18627936951868862</v>
      </c>
      <c r="F25" s="107">
        <f t="shared" ref="F25:BQ25" si="10">(F2-J2)/J2</f>
        <v>0.57254934908853761</v>
      </c>
      <c r="G25" s="107">
        <f t="shared" si="10"/>
        <v>1.8703937418852641</v>
      </c>
      <c r="H25" s="107">
        <f t="shared" si="10"/>
        <v>1.6661756017756195</v>
      </c>
      <c r="I25" s="107">
        <f t="shared" si="10"/>
        <v>2.6426555628332489</v>
      </c>
      <c r="J25" s="106">
        <f t="shared" si="10"/>
        <v>0.43282605100711313</v>
      </c>
      <c r="K25" s="106">
        <f t="shared" si="10"/>
        <v>-4.2741390013669993E-2</v>
      </c>
      <c r="L25" s="106">
        <f t="shared" si="10"/>
        <v>0.90997800670767637</v>
      </c>
      <c r="M25" s="107" t="e">
        <f t="shared" si="10"/>
        <v>#DIV/0!</v>
      </c>
      <c r="N25" s="107" t="e">
        <f t="shared" si="10"/>
        <v>#DIV/0!</v>
      </c>
      <c r="O25" s="107" t="e">
        <f t="shared" si="10"/>
        <v>#DIV/0!</v>
      </c>
      <c r="P25" s="107" t="e">
        <f t="shared" si="10"/>
        <v>#DIV/0!</v>
      </c>
      <c r="Q25" s="107" t="e">
        <f t="shared" si="10"/>
        <v>#DIV/0!</v>
      </c>
      <c r="R25" s="107" t="e">
        <f t="shared" si="10"/>
        <v>#DIV/0!</v>
      </c>
      <c r="S25" s="107" t="e">
        <f t="shared" si="10"/>
        <v>#DIV/0!</v>
      </c>
      <c r="T25" s="107" t="e">
        <f t="shared" si="10"/>
        <v>#DIV/0!</v>
      </c>
      <c r="U25" s="107" t="e">
        <f t="shared" si="10"/>
        <v>#DIV/0!</v>
      </c>
      <c r="V25" s="106" t="e">
        <f t="shared" si="10"/>
        <v>#DIV/0!</v>
      </c>
      <c r="W25" s="106" t="e">
        <f t="shared" si="10"/>
        <v>#DIV/0!</v>
      </c>
      <c r="X25" s="106" t="e">
        <f t="shared" si="10"/>
        <v>#DIV/0!</v>
      </c>
      <c r="Y25" s="106" t="e">
        <f t="shared" si="10"/>
        <v>#DIV/0!</v>
      </c>
      <c r="Z25" s="106" t="e">
        <f t="shared" si="10"/>
        <v>#DIV/0!</v>
      </c>
      <c r="AA25" s="106" t="e">
        <f t="shared" si="10"/>
        <v>#DIV/0!</v>
      </c>
      <c r="AB25" s="106" t="e">
        <f t="shared" si="10"/>
        <v>#DIV/0!</v>
      </c>
      <c r="AC25" s="106" t="e">
        <f t="shared" si="10"/>
        <v>#DIV/0!</v>
      </c>
      <c r="AD25" s="106" t="e">
        <f t="shared" si="10"/>
        <v>#DIV/0!</v>
      </c>
      <c r="AE25" s="106" t="e">
        <f t="shared" si="10"/>
        <v>#DIV/0!</v>
      </c>
      <c r="AF25" s="106" t="e">
        <f t="shared" si="10"/>
        <v>#DIV/0!</v>
      </c>
      <c r="AG25" s="106" t="e">
        <f t="shared" si="10"/>
        <v>#DIV/0!</v>
      </c>
      <c r="AH25" s="106" t="e">
        <f t="shared" si="10"/>
        <v>#DIV/0!</v>
      </c>
      <c r="AI25" s="106" t="e">
        <f t="shared" si="10"/>
        <v>#DIV/0!</v>
      </c>
      <c r="AJ25" s="106" t="e">
        <f t="shared" si="10"/>
        <v>#DIV/0!</v>
      </c>
      <c r="AK25" s="106" t="e">
        <f t="shared" si="10"/>
        <v>#DIV/0!</v>
      </c>
      <c r="AL25" s="106" t="e">
        <f t="shared" si="10"/>
        <v>#DIV/0!</v>
      </c>
      <c r="AM25" s="106" t="e">
        <f t="shared" si="10"/>
        <v>#DIV/0!</v>
      </c>
      <c r="AN25" s="106" t="e">
        <f t="shared" si="10"/>
        <v>#DIV/0!</v>
      </c>
      <c r="AO25" s="106" t="e">
        <f t="shared" si="10"/>
        <v>#DIV/0!</v>
      </c>
      <c r="AP25" s="106" t="e">
        <f t="shared" si="10"/>
        <v>#DIV/0!</v>
      </c>
      <c r="AQ25" s="106" t="e">
        <f t="shared" si="10"/>
        <v>#DIV/0!</v>
      </c>
      <c r="AR25" s="106" t="e">
        <f t="shared" si="10"/>
        <v>#DIV/0!</v>
      </c>
      <c r="AS25" s="106" t="e">
        <f t="shared" si="10"/>
        <v>#DIV/0!</v>
      </c>
      <c r="AT25" s="106" t="e">
        <f t="shared" si="10"/>
        <v>#DIV/0!</v>
      </c>
      <c r="AU25" s="106" t="e">
        <f t="shared" si="10"/>
        <v>#DIV/0!</v>
      </c>
      <c r="AV25" s="106" t="e">
        <f t="shared" si="10"/>
        <v>#DIV/0!</v>
      </c>
      <c r="AW25" s="106" t="e">
        <f t="shared" si="10"/>
        <v>#DIV/0!</v>
      </c>
      <c r="AX25" s="106" t="e">
        <f t="shared" si="10"/>
        <v>#DIV/0!</v>
      </c>
      <c r="AY25" s="106" t="e">
        <f t="shared" si="10"/>
        <v>#DIV/0!</v>
      </c>
      <c r="AZ25" s="106" t="e">
        <f t="shared" si="10"/>
        <v>#DIV/0!</v>
      </c>
      <c r="BA25" s="106" t="e">
        <f t="shared" si="10"/>
        <v>#DIV/0!</v>
      </c>
      <c r="BB25" s="106" t="e">
        <f t="shared" si="10"/>
        <v>#DIV/0!</v>
      </c>
      <c r="BC25" s="106" t="e">
        <f t="shared" si="10"/>
        <v>#DIV/0!</v>
      </c>
      <c r="BD25" s="106" t="e">
        <f t="shared" si="10"/>
        <v>#DIV/0!</v>
      </c>
      <c r="BE25" s="106" t="e">
        <f t="shared" si="10"/>
        <v>#DIV/0!</v>
      </c>
      <c r="BF25" s="106" t="e">
        <f t="shared" si="10"/>
        <v>#DIV/0!</v>
      </c>
      <c r="BG25" s="106" t="e">
        <f t="shared" si="10"/>
        <v>#DIV/0!</v>
      </c>
      <c r="BH25" s="106" t="e">
        <f t="shared" si="10"/>
        <v>#DIV/0!</v>
      </c>
      <c r="BI25" s="106" t="e">
        <f t="shared" si="10"/>
        <v>#DIV/0!</v>
      </c>
      <c r="BJ25" s="106" t="e">
        <f t="shared" si="10"/>
        <v>#DIV/0!</v>
      </c>
      <c r="BK25" s="106" t="e">
        <f t="shared" si="10"/>
        <v>#DIV/0!</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1" t="s">
        <v>561</v>
      </c>
      <c r="E26" s="107">
        <f>E2/E9</f>
        <v>0.32854873917419702</v>
      </c>
      <c r="F26" s="107">
        <f t="shared" ref="F26:BQ26" si="12">F2/F9</f>
        <v>0.25868965347347045</v>
      </c>
      <c r="G26" s="107">
        <f t="shared" si="12"/>
        <v>0.36040540793175818</v>
      </c>
      <c r="H26" s="107">
        <f t="shared" si="12"/>
        <v>0.51913849111174948</v>
      </c>
      <c r="I26" s="107">
        <f t="shared" si="12"/>
        <v>0.4162377303961905</v>
      </c>
      <c r="J26" s="107">
        <f t="shared" si="12"/>
        <v>0.3109975324157303</v>
      </c>
      <c r="K26" s="107">
        <f t="shared" si="12"/>
        <v>0.24559791210781812</v>
      </c>
      <c r="L26" s="107">
        <f t="shared" si="12"/>
        <v>0.35829787789832579</v>
      </c>
      <c r="M26" s="107">
        <f t="shared" si="12"/>
        <v>0.24747755742914701</v>
      </c>
      <c r="N26" s="107">
        <f t="shared" si="12"/>
        <v>0.24396088058892268</v>
      </c>
      <c r="O26" s="107">
        <f t="shared" si="12"/>
        <v>0.39849469017989569</v>
      </c>
      <c r="P26" s="107">
        <f t="shared" si="12"/>
        <v>0.44894427174475343</v>
      </c>
      <c r="Q26" s="107" t="e">
        <f t="shared" si="12"/>
        <v>#DIV/0!</v>
      </c>
      <c r="R26" s="107" t="e">
        <f t="shared" si="12"/>
        <v>#DIV/0!</v>
      </c>
      <c r="S26" s="107" t="e">
        <f t="shared" si="12"/>
        <v>#DIV/0!</v>
      </c>
      <c r="T26" s="107" t="e">
        <f t="shared" si="12"/>
        <v>#DIV/0!</v>
      </c>
      <c r="U26" s="107" t="e">
        <f t="shared" si="12"/>
        <v>#DIV/0!</v>
      </c>
      <c r="V26" s="107" t="e">
        <f t="shared" si="12"/>
        <v>#DIV/0!</v>
      </c>
      <c r="W26" s="107" t="e">
        <f t="shared" si="12"/>
        <v>#DIV/0!</v>
      </c>
      <c r="X26" s="107" t="e">
        <f t="shared" si="12"/>
        <v>#DIV/0!</v>
      </c>
      <c r="Y26" s="107" t="e">
        <f t="shared" si="12"/>
        <v>#DIV/0!</v>
      </c>
      <c r="Z26" s="107" t="e">
        <f t="shared" si="12"/>
        <v>#DIV/0!</v>
      </c>
      <c r="AA26" s="107" t="e">
        <f t="shared" si="12"/>
        <v>#DIV/0!</v>
      </c>
      <c r="AB26" s="107" t="e">
        <f t="shared" si="12"/>
        <v>#DIV/0!</v>
      </c>
      <c r="AC26" s="107" t="e">
        <f t="shared" si="12"/>
        <v>#DIV/0!</v>
      </c>
      <c r="AD26" s="107" t="e">
        <f t="shared" si="12"/>
        <v>#DIV/0!</v>
      </c>
      <c r="AE26" s="107" t="e">
        <f t="shared" si="12"/>
        <v>#DIV/0!</v>
      </c>
      <c r="AF26" s="107" t="e">
        <f t="shared" si="12"/>
        <v>#DIV/0!</v>
      </c>
      <c r="AG26" s="107" t="e">
        <f t="shared" si="12"/>
        <v>#DIV/0!</v>
      </c>
      <c r="AH26" s="107" t="e">
        <f t="shared" si="12"/>
        <v>#DIV/0!</v>
      </c>
      <c r="AI26" s="107" t="e">
        <f t="shared" si="12"/>
        <v>#DIV/0!</v>
      </c>
      <c r="AJ26" s="107" t="e">
        <f t="shared" si="12"/>
        <v>#DIV/0!</v>
      </c>
      <c r="AK26" s="107" t="e">
        <f t="shared" si="12"/>
        <v>#DIV/0!</v>
      </c>
      <c r="AL26" s="107" t="e">
        <f t="shared" si="12"/>
        <v>#DIV/0!</v>
      </c>
      <c r="AM26" s="107" t="e">
        <f t="shared" si="12"/>
        <v>#DIV/0!</v>
      </c>
      <c r="AN26" s="107" t="e">
        <f t="shared" si="12"/>
        <v>#DIV/0!</v>
      </c>
      <c r="AO26" s="107" t="e">
        <f t="shared" si="12"/>
        <v>#DIV/0!</v>
      </c>
      <c r="AP26" s="107" t="e">
        <f t="shared" si="12"/>
        <v>#DIV/0!</v>
      </c>
      <c r="AQ26" s="107" t="e">
        <f t="shared" si="12"/>
        <v>#DIV/0!</v>
      </c>
      <c r="AR26" s="107" t="e">
        <f t="shared" si="12"/>
        <v>#DIV/0!</v>
      </c>
      <c r="AS26" s="107" t="e">
        <f t="shared" si="12"/>
        <v>#DIV/0!</v>
      </c>
      <c r="AT26" s="107" t="e">
        <f t="shared" si="12"/>
        <v>#DIV/0!</v>
      </c>
      <c r="AU26" s="107" t="e">
        <f t="shared" si="12"/>
        <v>#DIV/0!</v>
      </c>
      <c r="AV26" s="107" t="e">
        <f t="shared" si="12"/>
        <v>#DIV/0!</v>
      </c>
      <c r="AW26" s="107" t="e">
        <f t="shared" si="12"/>
        <v>#DIV/0!</v>
      </c>
      <c r="AX26" s="107" t="e">
        <f t="shared" si="12"/>
        <v>#DIV/0!</v>
      </c>
      <c r="AY26" s="107" t="e">
        <f t="shared" si="12"/>
        <v>#DIV/0!</v>
      </c>
      <c r="AZ26" s="107" t="e">
        <f t="shared" si="12"/>
        <v>#DIV/0!</v>
      </c>
      <c r="BA26" s="107" t="e">
        <f t="shared" si="12"/>
        <v>#DIV/0!</v>
      </c>
      <c r="BB26" s="107" t="e">
        <f t="shared" si="12"/>
        <v>#DIV/0!</v>
      </c>
      <c r="BC26" s="107" t="e">
        <f t="shared" si="12"/>
        <v>#DIV/0!</v>
      </c>
      <c r="BD26" s="107" t="e">
        <f t="shared" si="12"/>
        <v>#DIV/0!</v>
      </c>
      <c r="BE26" s="107" t="e">
        <f t="shared" si="12"/>
        <v>#DIV/0!</v>
      </c>
      <c r="BF26" s="107" t="e">
        <f t="shared" si="12"/>
        <v>#DIV/0!</v>
      </c>
      <c r="BG26" s="107" t="e">
        <f t="shared" si="12"/>
        <v>#DIV/0!</v>
      </c>
      <c r="BH26" s="107" t="e">
        <f t="shared" si="12"/>
        <v>#DIV/0!</v>
      </c>
      <c r="BI26" s="107" t="e">
        <f t="shared" si="12"/>
        <v>#DIV/0!</v>
      </c>
      <c r="BJ26" s="107" t="e">
        <f t="shared" si="12"/>
        <v>#DIV/0!</v>
      </c>
      <c r="BK26" s="107" t="e">
        <f t="shared" si="12"/>
        <v>#DIV/0!</v>
      </c>
      <c r="BL26" s="107" t="e">
        <f t="shared" si="12"/>
        <v>#DIV/0!</v>
      </c>
      <c r="BM26" s="107" t="e">
        <f t="shared" si="12"/>
        <v>#DIV/0!</v>
      </c>
      <c r="BN26" s="107" t="e">
        <f t="shared" si="12"/>
        <v>#DIV/0!</v>
      </c>
      <c r="BO26" s="107" t="e">
        <f t="shared" si="12"/>
        <v>#DIV/0!</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2" t="s">
        <v>554</v>
      </c>
      <c r="E27" s="108" t="e">
        <f>(E3-I3)/I3</f>
        <v>#DIV/0!</v>
      </c>
      <c r="F27" s="108" t="e">
        <f t="shared" ref="F27:BQ27" si="14">(F3-J3)/J3</f>
        <v>#DIV/0!</v>
      </c>
      <c r="G27" s="108" t="e">
        <f t="shared" si="14"/>
        <v>#DIV/0!</v>
      </c>
      <c r="H27" s="108" t="e">
        <f t="shared" si="14"/>
        <v>#DIV/0!</v>
      </c>
      <c r="I27" s="108" t="e">
        <f t="shared" si="14"/>
        <v>#DIV/0!</v>
      </c>
      <c r="J27" s="108" t="e">
        <f t="shared" si="14"/>
        <v>#DIV/0!</v>
      </c>
      <c r="K27" s="108">
        <f t="shared" si="14"/>
        <v>-1</v>
      </c>
      <c r="L27" s="108">
        <f t="shared" si="14"/>
        <v>-1</v>
      </c>
      <c r="M27" s="108" t="e">
        <f t="shared" si="14"/>
        <v>#DIV/0!</v>
      </c>
      <c r="N27" s="108" t="e">
        <f t="shared" si="14"/>
        <v>#DIV/0!</v>
      </c>
      <c r="O27" s="108" t="e">
        <f t="shared" si="14"/>
        <v>#DIV/0!</v>
      </c>
      <c r="P27" s="108" t="e">
        <f t="shared" si="14"/>
        <v>#DIV/0!</v>
      </c>
      <c r="Q27" s="108" t="e">
        <f t="shared" si="14"/>
        <v>#DIV/0!</v>
      </c>
      <c r="R27" s="108" t="e">
        <f t="shared" si="14"/>
        <v>#DIV/0!</v>
      </c>
      <c r="S27" s="108" t="e">
        <f t="shared" si="14"/>
        <v>#DIV/0!</v>
      </c>
      <c r="T27" s="108" t="e">
        <f t="shared" si="14"/>
        <v>#DIV/0!</v>
      </c>
      <c r="U27" s="108" t="e">
        <f t="shared" si="14"/>
        <v>#DIV/0!</v>
      </c>
      <c r="V27" s="108" t="e">
        <f t="shared" si="14"/>
        <v>#DIV/0!</v>
      </c>
      <c r="W27" s="108" t="e">
        <f t="shared" si="14"/>
        <v>#DIV/0!</v>
      </c>
      <c r="X27" s="108" t="e">
        <f t="shared" si="14"/>
        <v>#DIV/0!</v>
      </c>
      <c r="Y27" s="108" t="e">
        <f t="shared" si="14"/>
        <v>#DIV/0!</v>
      </c>
      <c r="Z27" s="108" t="e">
        <f t="shared" si="14"/>
        <v>#DIV/0!</v>
      </c>
      <c r="AA27" s="108" t="e">
        <f t="shared" si="14"/>
        <v>#DIV/0!</v>
      </c>
      <c r="AB27" s="108" t="e">
        <f t="shared" si="14"/>
        <v>#DIV/0!</v>
      </c>
      <c r="AC27" s="108" t="e">
        <f t="shared" si="14"/>
        <v>#DIV/0!</v>
      </c>
      <c r="AD27" s="108" t="e">
        <f t="shared" si="14"/>
        <v>#DIV/0!</v>
      </c>
      <c r="AE27" s="108" t="e">
        <f t="shared" si="14"/>
        <v>#DIV/0!</v>
      </c>
      <c r="AF27" s="108" t="e">
        <f t="shared" si="14"/>
        <v>#DIV/0!</v>
      </c>
      <c r="AG27" s="108" t="e">
        <f t="shared" si="14"/>
        <v>#DIV/0!</v>
      </c>
      <c r="AH27" s="108" t="e">
        <f t="shared" si="14"/>
        <v>#DIV/0!</v>
      </c>
      <c r="AI27" s="108" t="e">
        <f t="shared" si="14"/>
        <v>#DIV/0!</v>
      </c>
      <c r="AJ27" s="108" t="e">
        <f t="shared" si="14"/>
        <v>#DIV/0!</v>
      </c>
      <c r="AK27" s="108" t="e">
        <f t="shared" si="14"/>
        <v>#DIV/0!</v>
      </c>
      <c r="AL27" s="108" t="e">
        <f t="shared" si="14"/>
        <v>#DIV/0!</v>
      </c>
      <c r="AM27" s="108" t="e">
        <f t="shared" si="14"/>
        <v>#DIV/0!</v>
      </c>
      <c r="AN27" s="108" t="e">
        <f t="shared" si="14"/>
        <v>#DIV/0!</v>
      </c>
      <c r="AO27" s="108" t="e">
        <f t="shared" si="14"/>
        <v>#DIV/0!</v>
      </c>
      <c r="AP27" s="108" t="e">
        <f t="shared" si="14"/>
        <v>#DIV/0!</v>
      </c>
      <c r="AQ27" s="108" t="e">
        <f t="shared" si="14"/>
        <v>#DIV/0!</v>
      </c>
      <c r="AR27" s="108" t="e">
        <f t="shared" si="14"/>
        <v>#DIV/0!</v>
      </c>
      <c r="AS27" s="108" t="e">
        <f t="shared" si="14"/>
        <v>#DIV/0!</v>
      </c>
      <c r="AT27" s="108" t="e">
        <f t="shared" si="14"/>
        <v>#DIV/0!</v>
      </c>
      <c r="AU27" s="108" t="e">
        <f t="shared" si="14"/>
        <v>#DIV/0!</v>
      </c>
      <c r="AV27" s="108" t="e">
        <f t="shared" si="14"/>
        <v>#DIV/0!</v>
      </c>
      <c r="AW27" s="108" t="e">
        <f t="shared" si="14"/>
        <v>#DIV/0!</v>
      </c>
      <c r="AX27" s="108" t="e">
        <f t="shared" si="14"/>
        <v>#DIV/0!</v>
      </c>
      <c r="AY27" s="108" t="e">
        <f t="shared" si="14"/>
        <v>#DIV/0!</v>
      </c>
      <c r="AZ27" s="108" t="e">
        <f t="shared" si="14"/>
        <v>#DIV/0!</v>
      </c>
      <c r="BA27" s="108" t="e">
        <f t="shared" si="14"/>
        <v>#DIV/0!</v>
      </c>
      <c r="BB27" s="108" t="e">
        <f t="shared" si="14"/>
        <v>#DIV/0!</v>
      </c>
      <c r="BC27" s="108" t="e">
        <f t="shared" si="14"/>
        <v>#DIV/0!</v>
      </c>
      <c r="BD27" s="108" t="e">
        <f t="shared" si="14"/>
        <v>#DIV/0!</v>
      </c>
      <c r="BE27" s="108" t="e">
        <f t="shared" si="14"/>
        <v>#DIV/0!</v>
      </c>
      <c r="BF27" s="108" t="e">
        <f t="shared" si="14"/>
        <v>#DIV/0!</v>
      </c>
      <c r="BG27" s="108" t="e">
        <f t="shared" si="14"/>
        <v>#DIV/0!</v>
      </c>
      <c r="BH27" s="108" t="e">
        <f t="shared" si="14"/>
        <v>#DIV/0!</v>
      </c>
      <c r="BI27" s="108" t="e">
        <f t="shared" si="14"/>
        <v>#DIV/0!</v>
      </c>
      <c r="BJ27" s="108" t="e">
        <f t="shared" si="14"/>
        <v>#DIV/0!</v>
      </c>
      <c r="BK27" s="108" t="e">
        <f t="shared" si="14"/>
        <v>#DIV/0!</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2" t="s">
        <v>562</v>
      </c>
      <c r="E28" s="108">
        <f>E3/E9</f>
        <v>3.0140056519465851E-2</v>
      </c>
      <c r="F28" s="108">
        <f t="shared" ref="F28:BQ28" si="16">F3/F9</f>
        <v>0</v>
      </c>
      <c r="G28" s="108">
        <f t="shared" si="16"/>
        <v>0</v>
      </c>
      <c r="H28" s="108">
        <f t="shared" si="16"/>
        <v>0</v>
      </c>
      <c r="I28" s="108">
        <f t="shared" si="16"/>
        <v>0</v>
      </c>
      <c r="J28" s="108">
        <f t="shared" si="16"/>
        <v>0</v>
      </c>
      <c r="K28" s="108">
        <f t="shared" si="16"/>
        <v>0</v>
      </c>
      <c r="L28" s="108">
        <f t="shared" si="16"/>
        <v>0</v>
      </c>
      <c r="M28" s="108">
        <f t="shared" si="16"/>
        <v>0</v>
      </c>
      <c r="N28" s="108">
        <f t="shared" si="16"/>
        <v>0</v>
      </c>
      <c r="O28" s="108">
        <f t="shared" si="16"/>
        <v>3.0331787005374589E-3</v>
      </c>
      <c r="P28" s="108">
        <f t="shared" si="16"/>
        <v>4.2101249097172555E-3</v>
      </c>
      <c r="Q28" s="108" t="e">
        <f t="shared" si="16"/>
        <v>#DIV/0!</v>
      </c>
      <c r="R28" s="108" t="e">
        <f t="shared" si="16"/>
        <v>#DIV/0!</v>
      </c>
      <c r="S28" s="108" t="e">
        <f t="shared" si="16"/>
        <v>#DIV/0!</v>
      </c>
      <c r="T28" s="108" t="e">
        <f t="shared" si="16"/>
        <v>#DIV/0!</v>
      </c>
      <c r="U28" s="108" t="e">
        <f t="shared" si="16"/>
        <v>#DIV/0!</v>
      </c>
      <c r="V28" s="108" t="e">
        <f t="shared" si="16"/>
        <v>#DIV/0!</v>
      </c>
      <c r="W28" s="108" t="e">
        <f t="shared" si="16"/>
        <v>#DIV/0!</v>
      </c>
      <c r="X28" s="108" t="e">
        <f t="shared" si="16"/>
        <v>#DIV/0!</v>
      </c>
      <c r="Y28" s="108" t="e">
        <f t="shared" si="16"/>
        <v>#DIV/0!</v>
      </c>
      <c r="Z28" s="108" t="e">
        <f t="shared" si="16"/>
        <v>#DIV/0!</v>
      </c>
      <c r="AA28" s="108" t="e">
        <f t="shared" si="16"/>
        <v>#DIV/0!</v>
      </c>
      <c r="AB28" s="108" t="e">
        <f t="shared" si="16"/>
        <v>#DIV/0!</v>
      </c>
      <c r="AC28" s="108" t="e">
        <f t="shared" si="16"/>
        <v>#DIV/0!</v>
      </c>
      <c r="AD28" s="108" t="e">
        <f t="shared" si="16"/>
        <v>#DIV/0!</v>
      </c>
      <c r="AE28" s="108" t="e">
        <f t="shared" si="16"/>
        <v>#DIV/0!</v>
      </c>
      <c r="AF28" s="108" t="e">
        <f t="shared" si="16"/>
        <v>#DIV/0!</v>
      </c>
      <c r="AG28" s="108" t="e">
        <f t="shared" si="16"/>
        <v>#DIV/0!</v>
      </c>
      <c r="AH28" s="108" t="e">
        <f t="shared" si="16"/>
        <v>#DIV/0!</v>
      </c>
      <c r="AI28" s="108" t="e">
        <f t="shared" si="16"/>
        <v>#DIV/0!</v>
      </c>
      <c r="AJ28" s="108" t="e">
        <f t="shared" si="16"/>
        <v>#DIV/0!</v>
      </c>
      <c r="AK28" s="108" t="e">
        <f t="shared" si="16"/>
        <v>#DIV/0!</v>
      </c>
      <c r="AL28" s="108" t="e">
        <f t="shared" si="16"/>
        <v>#DIV/0!</v>
      </c>
      <c r="AM28" s="108" t="e">
        <f t="shared" si="16"/>
        <v>#DIV/0!</v>
      </c>
      <c r="AN28" s="108" t="e">
        <f t="shared" si="16"/>
        <v>#DIV/0!</v>
      </c>
      <c r="AO28" s="108" t="e">
        <f t="shared" si="16"/>
        <v>#DIV/0!</v>
      </c>
      <c r="AP28" s="108" t="e">
        <f t="shared" si="16"/>
        <v>#DIV/0!</v>
      </c>
      <c r="AQ28" s="108" t="e">
        <f t="shared" si="16"/>
        <v>#DIV/0!</v>
      </c>
      <c r="AR28" s="108" t="e">
        <f t="shared" si="16"/>
        <v>#DIV/0!</v>
      </c>
      <c r="AS28" s="108" t="e">
        <f t="shared" si="16"/>
        <v>#DIV/0!</v>
      </c>
      <c r="AT28" s="108" t="e">
        <f t="shared" si="16"/>
        <v>#DIV/0!</v>
      </c>
      <c r="AU28" s="108" t="e">
        <f t="shared" si="16"/>
        <v>#DIV/0!</v>
      </c>
      <c r="AV28" s="108" t="e">
        <f t="shared" si="16"/>
        <v>#DIV/0!</v>
      </c>
      <c r="AW28" s="108" t="e">
        <f t="shared" si="16"/>
        <v>#DIV/0!</v>
      </c>
      <c r="AX28" s="108" t="e">
        <f t="shared" si="16"/>
        <v>#DIV/0!</v>
      </c>
      <c r="AY28" s="108" t="e">
        <f t="shared" si="16"/>
        <v>#DIV/0!</v>
      </c>
      <c r="AZ28" s="108" t="e">
        <f t="shared" si="16"/>
        <v>#DIV/0!</v>
      </c>
      <c r="BA28" s="108" t="e">
        <f t="shared" si="16"/>
        <v>#DIV/0!</v>
      </c>
      <c r="BB28" s="108" t="e">
        <f t="shared" si="16"/>
        <v>#DIV/0!</v>
      </c>
      <c r="BC28" s="108" t="e">
        <f t="shared" si="16"/>
        <v>#DIV/0!</v>
      </c>
      <c r="BD28" s="108" t="e">
        <f t="shared" si="16"/>
        <v>#DIV/0!</v>
      </c>
      <c r="BE28" s="108" t="e">
        <f t="shared" si="16"/>
        <v>#DIV/0!</v>
      </c>
      <c r="BF28" s="108" t="e">
        <f t="shared" si="16"/>
        <v>#DIV/0!</v>
      </c>
      <c r="BG28" s="108" t="e">
        <f t="shared" si="16"/>
        <v>#DIV/0!</v>
      </c>
      <c r="BH28" s="108" t="e">
        <f t="shared" si="16"/>
        <v>#DIV/0!</v>
      </c>
      <c r="BI28" s="108" t="e">
        <f t="shared" si="16"/>
        <v>#DIV/0!</v>
      </c>
      <c r="BJ28" s="108" t="e">
        <f t="shared" si="16"/>
        <v>#DIV/0!</v>
      </c>
      <c r="BK28" s="108" t="e">
        <f t="shared" si="16"/>
        <v>#DIV/0!</v>
      </c>
      <c r="BL28" s="108" t="e">
        <f t="shared" si="16"/>
        <v>#DIV/0!</v>
      </c>
      <c r="BM28" s="108" t="e">
        <f t="shared" si="16"/>
        <v>#DIV/0!</v>
      </c>
      <c r="BN28" s="108" t="e">
        <f t="shared" si="16"/>
        <v>#DIV/0!</v>
      </c>
      <c r="BO28" s="108" t="e">
        <f t="shared" si="16"/>
        <v>#DIV/0!</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1" t="s">
        <v>571</v>
      </c>
      <c r="E29" s="107">
        <f>(E4-I4)/I4</f>
        <v>0.10226949277914017</v>
      </c>
      <c r="F29" s="107">
        <f t="shared" ref="F29:BQ29" si="18">(F4-J4)/J4</f>
        <v>-6.8064392380893866</v>
      </c>
      <c r="G29" s="107">
        <f t="shared" si="18"/>
        <v>-4.4550117264700377</v>
      </c>
      <c r="H29" s="107">
        <f t="shared" si="18"/>
        <v>-1.7120201002125601</v>
      </c>
      <c r="I29" s="107">
        <f t="shared" si="18"/>
        <v>-5.2905683483427488</v>
      </c>
      <c r="J29" s="107">
        <f t="shared" si="18"/>
        <v>1.2502242408395607</v>
      </c>
      <c r="K29" s="107">
        <f t="shared" si="18"/>
        <v>-4.012829026193458</v>
      </c>
      <c r="L29" s="107">
        <f t="shared" si="18"/>
        <v>166.55916449506071</v>
      </c>
      <c r="M29" s="107" t="e">
        <f t="shared" si="18"/>
        <v>#DIV/0!</v>
      </c>
      <c r="N29" s="107" t="e">
        <f t="shared" si="18"/>
        <v>#DIV/0!</v>
      </c>
      <c r="O29" s="107" t="e">
        <f t="shared" si="18"/>
        <v>#DIV/0!</v>
      </c>
      <c r="P29" s="107" t="e">
        <f t="shared" si="18"/>
        <v>#DIV/0!</v>
      </c>
      <c r="Q29" s="107" t="e">
        <f t="shared" si="18"/>
        <v>#DIV/0!</v>
      </c>
      <c r="R29" s="107" t="e">
        <f t="shared" si="18"/>
        <v>#DIV/0!</v>
      </c>
      <c r="S29" s="107" t="e">
        <f t="shared" si="18"/>
        <v>#DIV/0!</v>
      </c>
      <c r="T29" s="107" t="e">
        <f t="shared" si="18"/>
        <v>#DIV/0!</v>
      </c>
      <c r="U29" s="107" t="e">
        <f t="shared" si="18"/>
        <v>#DIV/0!</v>
      </c>
      <c r="V29" s="107" t="e">
        <f t="shared" si="18"/>
        <v>#DIV/0!</v>
      </c>
      <c r="W29" s="107" t="e">
        <f t="shared" si="18"/>
        <v>#DIV/0!</v>
      </c>
      <c r="X29" s="107" t="e">
        <f t="shared" si="18"/>
        <v>#DIV/0!</v>
      </c>
      <c r="Y29" s="107" t="e">
        <f t="shared" si="18"/>
        <v>#DIV/0!</v>
      </c>
      <c r="Z29" s="107" t="e">
        <f t="shared" si="18"/>
        <v>#DIV/0!</v>
      </c>
      <c r="AA29" s="107" t="e">
        <f t="shared" si="18"/>
        <v>#DIV/0!</v>
      </c>
      <c r="AB29" s="107" t="e">
        <f t="shared" si="18"/>
        <v>#DIV/0!</v>
      </c>
      <c r="AC29" s="107" t="e">
        <f t="shared" si="18"/>
        <v>#DIV/0!</v>
      </c>
      <c r="AD29" s="107" t="e">
        <f t="shared" si="18"/>
        <v>#DIV/0!</v>
      </c>
      <c r="AE29" s="107" t="e">
        <f t="shared" si="18"/>
        <v>#DIV/0!</v>
      </c>
      <c r="AF29" s="107" t="e">
        <f t="shared" si="18"/>
        <v>#DIV/0!</v>
      </c>
      <c r="AG29" s="107" t="e">
        <f t="shared" si="18"/>
        <v>#DIV/0!</v>
      </c>
      <c r="AH29" s="107" t="e">
        <f t="shared" si="18"/>
        <v>#DIV/0!</v>
      </c>
      <c r="AI29" s="107" t="e">
        <f t="shared" si="18"/>
        <v>#DIV/0!</v>
      </c>
      <c r="AJ29" s="107" t="e">
        <f t="shared" si="18"/>
        <v>#DIV/0!</v>
      </c>
      <c r="AK29" s="107" t="e">
        <f t="shared" si="18"/>
        <v>#DIV/0!</v>
      </c>
      <c r="AL29" s="107" t="e">
        <f t="shared" si="18"/>
        <v>#DIV/0!</v>
      </c>
      <c r="AM29" s="107" t="e">
        <f t="shared" si="18"/>
        <v>#DIV/0!</v>
      </c>
      <c r="AN29" s="107" t="e">
        <f t="shared" si="18"/>
        <v>#DIV/0!</v>
      </c>
      <c r="AO29" s="107" t="e">
        <f t="shared" si="18"/>
        <v>#DIV/0!</v>
      </c>
      <c r="AP29" s="107" t="e">
        <f t="shared" si="18"/>
        <v>#DIV/0!</v>
      </c>
      <c r="AQ29" s="107" t="e">
        <f t="shared" si="18"/>
        <v>#DIV/0!</v>
      </c>
      <c r="AR29" s="107" t="e">
        <f t="shared" si="18"/>
        <v>#DIV/0!</v>
      </c>
      <c r="AS29" s="107" t="e">
        <f t="shared" si="18"/>
        <v>#DIV/0!</v>
      </c>
      <c r="AT29" s="107" t="e">
        <f t="shared" si="18"/>
        <v>#DIV/0!</v>
      </c>
      <c r="AU29" s="107" t="e">
        <f t="shared" si="18"/>
        <v>#DIV/0!</v>
      </c>
      <c r="AV29" s="107" t="e">
        <f t="shared" si="18"/>
        <v>#DIV/0!</v>
      </c>
      <c r="AW29" s="107" t="e">
        <f t="shared" si="18"/>
        <v>#DIV/0!</v>
      </c>
      <c r="AX29" s="107" t="e">
        <f t="shared" si="18"/>
        <v>#DIV/0!</v>
      </c>
      <c r="AY29" s="107" t="e">
        <f t="shared" si="18"/>
        <v>#DIV/0!</v>
      </c>
      <c r="AZ29" s="107" t="e">
        <f t="shared" si="18"/>
        <v>#DIV/0!</v>
      </c>
      <c r="BA29" s="107" t="e">
        <f t="shared" si="18"/>
        <v>#DIV/0!</v>
      </c>
      <c r="BB29" s="107" t="e">
        <f t="shared" si="18"/>
        <v>#DIV/0!</v>
      </c>
      <c r="BC29" s="107" t="e">
        <f t="shared" si="18"/>
        <v>#DIV/0!</v>
      </c>
      <c r="BD29" s="107" t="e">
        <f t="shared" si="18"/>
        <v>#DIV/0!</v>
      </c>
      <c r="BE29" s="107" t="e">
        <f t="shared" si="18"/>
        <v>#DIV/0!</v>
      </c>
      <c r="BF29" s="107" t="e">
        <f t="shared" si="18"/>
        <v>#DIV/0!</v>
      </c>
      <c r="BG29" s="107" t="e">
        <f t="shared" si="18"/>
        <v>#DIV/0!</v>
      </c>
      <c r="BH29" s="107" t="e">
        <f t="shared" si="18"/>
        <v>#DIV/0!</v>
      </c>
      <c r="BI29" s="107" t="e">
        <f t="shared" si="18"/>
        <v>#DIV/0!</v>
      </c>
      <c r="BJ29" s="107" t="e">
        <f t="shared" si="18"/>
        <v>#DIV/0!</v>
      </c>
      <c r="BK29" s="107" t="e">
        <f t="shared" si="18"/>
        <v>#DIV/0!</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1" t="s">
        <v>555</v>
      </c>
      <c r="E30" s="107">
        <f>(E5-I5)/I5</f>
        <v>0.10398101915288804</v>
      </c>
      <c r="F30" s="107">
        <f t="shared" ref="F30:BQ30" si="20">(F5-J5)/J5</f>
        <v>2.7770328358330967</v>
      </c>
      <c r="G30" s="107">
        <f t="shared" si="20"/>
        <v>2.2400449709800325</v>
      </c>
      <c r="H30" s="107">
        <f t="shared" si="20"/>
        <v>1.9200058290160955</v>
      </c>
      <c r="I30" s="107">
        <f t="shared" si="20"/>
        <v>4.453888054654211</v>
      </c>
      <c r="J30" s="107">
        <f t="shared" si="20"/>
        <v>1.1931151835181566</v>
      </c>
      <c r="K30" s="107">
        <f t="shared" si="20"/>
        <v>3.5726450885807462E-2</v>
      </c>
      <c r="L30" s="107">
        <f t="shared" si="20"/>
        <v>0.83368510994203993</v>
      </c>
      <c r="M30" s="107" t="e">
        <f t="shared" si="20"/>
        <v>#DIV/0!</v>
      </c>
      <c r="N30" s="107" t="e">
        <f t="shared" si="20"/>
        <v>#DIV/0!</v>
      </c>
      <c r="O30" s="107" t="e">
        <f t="shared" si="20"/>
        <v>#DIV/0!</v>
      </c>
      <c r="P30" s="107" t="e">
        <f t="shared" si="20"/>
        <v>#DIV/0!</v>
      </c>
      <c r="Q30" s="107" t="e">
        <f t="shared" si="20"/>
        <v>#DIV/0!</v>
      </c>
      <c r="R30" s="107" t="e">
        <f t="shared" si="20"/>
        <v>#DIV/0!</v>
      </c>
      <c r="S30" s="107" t="e">
        <f t="shared" si="20"/>
        <v>#DIV/0!</v>
      </c>
      <c r="T30" s="107" t="e">
        <f t="shared" si="20"/>
        <v>#DIV/0!</v>
      </c>
      <c r="U30" s="107" t="e">
        <f t="shared" si="20"/>
        <v>#DIV/0!</v>
      </c>
      <c r="V30" s="107" t="e">
        <f t="shared" si="20"/>
        <v>#DIV/0!</v>
      </c>
      <c r="W30" s="107" t="e">
        <f t="shared" si="20"/>
        <v>#DIV/0!</v>
      </c>
      <c r="X30" s="107" t="e">
        <f t="shared" si="20"/>
        <v>#DIV/0!</v>
      </c>
      <c r="Y30" s="107" t="e">
        <f t="shared" si="20"/>
        <v>#DIV/0!</v>
      </c>
      <c r="Z30" s="107" t="e">
        <f t="shared" si="20"/>
        <v>#DIV/0!</v>
      </c>
      <c r="AA30" s="107" t="e">
        <f t="shared" si="20"/>
        <v>#DIV/0!</v>
      </c>
      <c r="AB30" s="107" t="e">
        <f t="shared" si="20"/>
        <v>#DIV/0!</v>
      </c>
      <c r="AC30" s="107" t="e">
        <f t="shared" si="20"/>
        <v>#DIV/0!</v>
      </c>
      <c r="AD30" s="107" t="e">
        <f t="shared" si="20"/>
        <v>#DIV/0!</v>
      </c>
      <c r="AE30" s="107" t="e">
        <f t="shared" si="20"/>
        <v>#DIV/0!</v>
      </c>
      <c r="AF30" s="107" t="e">
        <f t="shared" si="20"/>
        <v>#DIV/0!</v>
      </c>
      <c r="AG30" s="107" t="e">
        <f t="shared" si="20"/>
        <v>#DIV/0!</v>
      </c>
      <c r="AH30" s="107" t="e">
        <f t="shared" si="20"/>
        <v>#DIV/0!</v>
      </c>
      <c r="AI30" s="107" t="e">
        <f t="shared" si="20"/>
        <v>#DIV/0!</v>
      </c>
      <c r="AJ30" s="107" t="e">
        <f t="shared" si="20"/>
        <v>#DIV/0!</v>
      </c>
      <c r="AK30" s="107" t="e">
        <f t="shared" si="20"/>
        <v>#DIV/0!</v>
      </c>
      <c r="AL30" s="107" t="e">
        <f t="shared" si="20"/>
        <v>#DIV/0!</v>
      </c>
      <c r="AM30" s="107" t="e">
        <f t="shared" si="20"/>
        <v>#DIV/0!</v>
      </c>
      <c r="AN30" s="107" t="e">
        <f t="shared" si="20"/>
        <v>#DIV/0!</v>
      </c>
      <c r="AO30" s="107" t="e">
        <f t="shared" si="20"/>
        <v>#DIV/0!</v>
      </c>
      <c r="AP30" s="107" t="e">
        <f t="shared" si="20"/>
        <v>#DIV/0!</v>
      </c>
      <c r="AQ30" s="107" t="e">
        <f t="shared" si="20"/>
        <v>#DIV/0!</v>
      </c>
      <c r="AR30" s="107" t="e">
        <f t="shared" si="20"/>
        <v>#DIV/0!</v>
      </c>
      <c r="AS30" s="107" t="e">
        <f t="shared" si="20"/>
        <v>#DIV/0!</v>
      </c>
      <c r="AT30" s="107" t="e">
        <f t="shared" si="20"/>
        <v>#DIV/0!</v>
      </c>
      <c r="AU30" s="107" t="e">
        <f t="shared" si="20"/>
        <v>#DIV/0!</v>
      </c>
      <c r="AV30" s="107" t="e">
        <f t="shared" si="20"/>
        <v>#DIV/0!</v>
      </c>
      <c r="AW30" s="107" t="e">
        <f t="shared" si="20"/>
        <v>#DIV/0!</v>
      </c>
      <c r="AX30" s="107" t="e">
        <f t="shared" si="20"/>
        <v>#DIV/0!</v>
      </c>
      <c r="AY30" s="107" t="e">
        <f t="shared" si="20"/>
        <v>#DIV/0!</v>
      </c>
      <c r="AZ30" s="107" t="e">
        <f t="shared" si="20"/>
        <v>#DIV/0!</v>
      </c>
      <c r="BA30" s="107" t="e">
        <f t="shared" si="20"/>
        <v>#DIV/0!</v>
      </c>
      <c r="BB30" s="107" t="e">
        <f t="shared" si="20"/>
        <v>#DIV/0!</v>
      </c>
      <c r="BC30" s="107" t="e">
        <f t="shared" si="20"/>
        <v>#DIV/0!</v>
      </c>
      <c r="BD30" s="107" t="e">
        <f t="shared" si="20"/>
        <v>#DIV/0!</v>
      </c>
      <c r="BE30" s="107" t="e">
        <f t="shared" si="20"/>
        <v>#DIV/0!</v>
      </c>
      <c r="BF30" s="107" t="e">
        <f t="shared" si="20"/>
        <v>#DIV/0!</v>
      </c>
      <c r="BG30" s="107" t="e">
        <f t="shared" si="20"/>
        <v>#DIV/0!</v>
      </c>
      <c r="BH30" s="107" t="e">
        <f t="shared" si="20"/>
        <v>#DIV/0!</v>
      </c>
      <c r="BI30" s="107" t="e">
        <f t="shared" si="20"/>
        <v>#DIV/0!</v>
      </c>
      <c r="BJ30" s="107" t="e">
        <f t="shared" si="20"/>
        <v>#DIV/0!</v>
      </c>
      <c r="BK30" s="107" t="e">
        <f t="shared" si="20"/>
        <v>#DIV/0!</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1" t="s">
        <v>556</v>
      </c>
      <c r="E31" s="107">
        <f>(E6-I6)/I6</f>
        <v>0.10535118194975809</v>
      </c>
      <c r="F31" s="107">
        <f t="shared" ref="F31:BQ31" si="22">(F6-J6)/J6</f>
        <v>0.21421699601542415</v>
      </c>
      <c r="G31" s="107">
        <f t="shared" si="22"/>
        <v>0.33222377566959582</v>
      </c>
      <c r="H31" s="107">
        <f t="shared" si="22"/>
        <v>0.40117015383885546</v>
      </c>
      <c r="I31" s="107">
        <f t="shared" si="22"/>
        <v>0.93526768493559631</v>
      </c>
      <c r="J31" s="107">
        <f t="shared" si="22"/>
        <v>1.2081014250749176</v>
      </c>
      <c r="K31" s="107">
        <f t="shared" si="22"/>
        <v>0.6784337253841094</v>
      </c>
      <c r="L31" s="107">
        <f t="shared" si="22"/>
        <v>2.1270332666845766</v>
      </c>
      <c r="M31" s="107" t="e">
        <f t="shared" si="22"/>
        <v>#DIV/0!</v>
      </c>
      <c r="N31" s="107" t="e">
        <f t="shared" si="22"/>
        <v>#DIV/0!</v>
      </c>
      <c r="O31" s="107" t="e">
        <f t="shared" si="22"/>
        <v>#DIV/0!</v>
      </c>
      <c r="P31" s="107" t="e">
        <f t="shared" si="22"/>
        <v>#DIV/0!</v>
      </c>
      <c r="Q31" s="107" t="e">
        <f t="shared" si="22"/>
        <v>#DIV/0!</v>
      </c>
      <c r="R31" s="107" t="e">
        <f t="shared" si="22"/>
        <v>#DIV/0!</v>
      </c>
      <c r="S31" s="107" t="e">
        <f t="shared" si="22"/>
        <v>#DIV/0!</v>
      </c>
      <c r="T31" s="107" t="e">
        <f t="shared" si="22"/>
        <v>#DIV/0!</v>
      </c>
      <c r="U31" s="107" t="e">
        <f t="shared" si="22"/>
        <v>#DIV/0!</v>
      </c>
      <c r="V31" s="107" t="e">
        <f t="shared" si="22"/>
        <v>#DIV/0!</v>
      </c>
      <c r="W31" s="107" t="e">
        <f t="shared" si="22"/>
        <v>#DIV/0!</v>
      </c>
      <c r="X31" s="107" t="e">
        <f t="shared" si="22"/>
        <v>#DIV/0!</v>
      </c>
      <c r="Y31" s="107" t="e">
        <f t="shared" si="22"/>
        <v>#DIV/0!</v>
      </c>
      <c r="Z31" s="107" t="e">
        <f t="shared" si="22"/>
        <v>#DIV/0!</v>
      </c>
      <c r="AA31" s="107" t="e">
        <f t="shared" si="22"/>
        <v>#DIV/0!</v>
      </c>
      <c r="AB31" s="107" t="e">
        <f t="shared" si="22"/>
        <v>#DIV/0!</v>
      </c>
      <c r="AC31" s="107" t="e">
        <f t="shared" si="22"/>
        <v>#DIV/0!</v>
      </c>
      <c r="AD31" s="107" t="e">
        <f t="shared" si="22"/>
        <v>#DIV/0!</v>
      </c>
      <c r="AE31" s="107" t="e">
        <f t="shared" si="22"/>
        <v>#DIV/0!</v>
      </c>
      <c r="AF31" s="107" t="e">
        <f t="shared" si="22"/>
        <v>#DIV/0!</v>
      </c>
      <c r="AG31" s="107" t="e">
        <f t="shared" si="22"/>
        <v>#DIV/0!</v>
      </c>
      <c r="AH31" s="107" t="e">
        <f t="shared" si="22"/>
        <v>#DIV/0!</v>
      </c>
      <c r="AI31" s="107" t="e">
        <f t="shared" si="22"/>
        <v>#DIV/0!</v>
      </c>
      <c r="AJ31" s="107" t="e">
        <f t="shared" si="22"/>
        <v>#DIV/0!</v>
      </c>
      <c r="AK31" s="107" t="e">
        <f t="shared" si="22"/>
        <v>#DIV/0!</v>
      </c>
      <c r="AL31" s="107" t="e">
        <f t="shared" si="22"/>
        <v>#DIV/0!</v>
      </c>
      <c r="AM31" s="107" t="e">
        <f t="shared" si="22"/>
        <v>#DIV/0!</v>
      </c>
      <c r="AN31" s="107" t="e">
        <f t="shared" si="22"/>
        <v>#DIV/0!</v>
      </c>
      <c r="AO31" s="107" t="e">
        <f t="shared" si="22"/>
        <v>#DIV/0!</v>
      </c>
      <c r="AP31" s="107" t="e">
        <f t="shared" si="22"/>
        <v>#DIV/0!</v>
      </c>
      <c r="AQ31" s="107" t="e">
        <f t="shared" si="22"/>
        <v>#DIV/0!</v>
      </c>
      <c r="AR31" s="107" t="e">
        <f t="shared" si="22"/>
        <v>#DIV/0!</v>
      </c>
      <c r="AS31" s="107" t="e">
        <f t="shared" si="22"/>
        <v>#DIV/0!</v>
      </c>
      <c r="AT31" s="107" t="e">
        <f t="shared" si="22"/>
        <v>#DIV/0!</v>
      </c>
      <c r="AU31" s="107" t="e">
        <f t="shared" si="22"/>
        <v>#DIV/0!</v>
      </c>
      <c r="AV31" s="107" t="e">
        <f t="shared" si="22"/>
        <v>#DIV/0!</v>
      </c>
      <c r="AW31" s="107" t="e">
        <f t="shared" si="22"/>
        <v>#DIV/0!</v>
      </c>
      <c r="AX31" s="107" t="e">
        <f t="shared" si="22"/>
        <v>#DIV/0!</v>
      </c>
      <c r="AY31" s="107" t="e">
        <f t="shared" si="22"/>
        <v>#DIV/0!</v>
      </c>
      <c r="AZ31" s="107" t="e">
        <f t="shared" si="22"/>
        <v>#DIV/0!</v>
      </c>
      <c r="BA31" s="107" t="e">
        <f t="shared" si="22"/>
        <v>#DIV/0!</v>
      </c>
      <c r="BB31" s="107" t="e">
        <f t="shared" si="22"/>
        <v>#DIV/0!</v>
      </c>
      <c r="BC31" s="107" t="e">
        <f t="shared" si="22"/>
        <v>#DIV/0!</v>
      </c>
      <c r="BD31" s="107" t="e">
        <f t="shared" si="22"/>
        <v>#DIV/0!</v>
      </c>
      <c r="BE31" s="107" t="e">
        <f t="shared" si="22"/>
        <v>#DIV/0!</v>
      </c>
      <c r="BF31" s="107" t="e">
        <f t="shared" si="22"/>
        <v>#DIV/0!</v>
      </c>
      <c r="BG31" s="107" t="e">
        <f t="shared" si="22"/>
        <v>#DIV/0!</v>
      </c>
      <c r="BH31" s="107" t="e">
        <f t="shared" si="22"/>
        <v>#DIV/0!</v>
      </c>
      <c r="BI31" s="107" t="e">
        <f t="shared" si="22"/>
        <v>#DIV/0!</v>
      </c>
      <c r="BJ31" s="107" t="e">
        <f t="shared" si="22"/>
        <v>#DIV/0!</v>
      </c>
      <c r="BK31" s="107" t="e">
        <f t="shared" si="22"/>
        <v>#DIV/0!</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2" t="s">
        <v>558</v>
      </c>
      <c r="E32" s="108">
        <f>(E7-I7)/I7</f>
        <v>0.14435109917701514</v>
      </c>
      <c r="F32" s="108">
        <f t="shared" ref="F32:BQ32" si="24">(F7-J7)/J7</f>
        <v>6.4159179384726817E-2</v>
      </c>
      <c r="G32" s="108">
        <f t="shared" si="24"/>
        <v>5.0871462559204994E-2</v>
      </c>
      <c r="H32" s="108">
        <f t="shared" si="24"/>
        <v>5.8778564006519041E-2</v>
      </c>
      <c r="I32" s="108">
        <f t="shared" si="24"/>
        <v>8.8413565883275341E-2</v>
      </c>
      <c r="J32" s="108">
        <f t="shared" si="24"/>
        <v>9.8333843085172387E-2</v>
      </c>
      <c r="K32" s="108">
        <f t="shared" si="24"/>
        <v>1.4351928128998304</v>
      </c>
      <c r="L32" s="108">
        <f t="shared" si="24"/>
        <v>2.3059934037419318</v>
      </c>
      <c r="M32" s="108" t="e">
        <f t="shared" si="24"/>
        <v>#DIV/0!</v>
      </c>
      <c r="N32" s="108" t="e">
        <f t="shared" si="24"/>
        <v>#DIV/0!</v>
      </c>
      <c r="O32" s="108" t="e">
        <f t="shared" si="24"/>
        <v>#DIV/0!</v>
      </c>
      <c r="P32" s="108" t="e">
        <f t="shared" si="24"/>
        <v>#DIV/0!</v>
      </c>
      <c r="Q32" s="108" t="e">
        <f t="shared" si="24"/>
        <v>#DIV/0!</v>
      </c>
      <c r="R32" s="108" t="e">
        <f t="shared" si="24"/>
        <v>#DIV/0!</v>
      </c>
      <c r="S32" s="108" t="e">
        <f t="shared" si="24"/>
        <v>#DIV/0!</v>
      </c>
      <c r="T32" s="108" t="e">
        <f t="shared" si="24"/>
        <v>#DIV/0!</v>
      </c>
      <c r="U32" s="108" t="e">
        <f t="shared" si="24"/>
        <v>#DIV/0!</v>
      </c>
      <c r="V32" s="108" t="e">
        <f t="shared" si="24"/>
        <v>#DIV/0!</v>
      </c>
      <c r="W32" s="108" t="e">
        <f t="shared" si="24"/>
        <v>#DIV/0!</v>
      </c>
      <c r="X32" s="108" t="e">
        <f t="shared" si="24"/>
        <v>#DIV/0!</v>
      </c>
      <c r="Y32" s="108" t="e">
        <f t="shared" si="24"/>
        <v>#DIV/0!</v>
      </c>
      <c r="Z32" s="108" t="e">
        <f t="shared" si="24"/>
        <v>#DIV/0!</v>
      </c>
      <c r="AA32" s="108" t="e">
        <f t="shared" si="24"/>
        <v>#DIV/0!</v>
      </c>
      <c r="AB32" s="108" t="e">
        <f t="shared" si="24"/>
        <v>#DIV/0!</v>
      </c>
      <c r="AC32" s="108" t="e">
        <f t="shared" si="24"/>
        <v>#DIV/0!</v>
      </c>
      <c r="AD32" s="108" t="e">
        <f t="shared" si="24"/>
        <v>#DIV/0!</v>
      </c>
      <c r="AE32" s="108" t="e">
        <f t="shared" si="24"/>
        <v>#DIV/0!</v>
      </c>
      <c r="AF32" s="108" t="e">
        <f t="shared" si="24"/>
        <v>#DIV/0!</v>
      </c>
      <c r="AG32" s="108" t="e">
        <f t="shared" si="24"/>
        <v>#DIV/0!</v>
      </c>
      <c r="AH32" s="108" t="e">
        <f t="shared" si="24"/>
        <v>#DIV/0!</v>
      </c>
      <c r="AI32" s="108" t="e">
        <f t="shared" si="24"/>
        <v>#DIV/0!</v>
      </c>
      <c r="AJ32" s="108" t="e">
        <f t="shared" si="24"/>
        <v>#DIV/0!</v>
      </c>
      <c r="AK32" s="108" t="e">
        <f t="shared" si="24"/>
        <v>#DIV/0!</v>
      </c>
      <c r="AL32" s="108" t="e">
        <f t="shared" si="24"/>
        <v>#DIV/0!</v>
      </c>
      <c r="AM32" s="108" t="e">
        <f t="shared" si="24"/>
        <v>#DIV/0!</v>
      </c>
      <c r="AN32" s="108" t="e">
        <f t="shared" si="24"/>
        <v>#DIV/0!</v>
      </c>
      <c r="AO32" s="108" t="e">
        <f t="shared" si="24"/>
        <v>#DIV/0!</v>
      </c>
      <c r="AP32" s="108" t="e">
        <f t="shared" si="24"/>
        <v>#DIV/0!</v>
      </c>
      <c r="AQ32" s="108" t="e">
        <f t="shared" si="24"/>
        <v>#DIV/0!</v>
      </c>
      <c r="AR32" s="108" t="e">
        <f t="shared" si="24"/>
        <v>#DIV/0!</v>
      </c>
      <c r="AS32" s="108" t="e">
        <f t="shared" si="24"/>
        <v>#DIV/0!</v>
      </c>
      <c r="AT32" s="108" t="e">
        <f t="shared" si="24"/>
        <v>#DIV/0!</v>
      </c>
      <c r="AU32" s="108" t="e">
        <f t="shared" si="24"/>
        <v>#DIV/0!</v>
      </c>
      <c r="AV32" s="108" t="e">
        <f t="shared" si="24"/>
        <v>#DIV/0!</v>
      </c>
      <c r="AW32" s="108" t="e">
        <f t="shared" si="24"/>
        <v>#DIV/0!</v>
      </c>
      <c r="AX32" s="108" t="e">
        <f t="shared" si="24"/>
        <v>#DIV/0!</v>
      </c>
      <c r="AY32" s="108" t="e">
        <f t="shared" si="24"/>
        <v>#DIV/0!</v>
      </c>
      <c r="AZ32" s="108" t="e">
        <f t="shared" si="24"/>
        <v>#DIV/0!</v>
      </c>
      <c r="BA32" s="108" t="e">
        <f t="shared" si="24"/>
        <v>#DIV/0!</v>
      </c>
      <c r="BB32" s="108" t="e">
        <f t="shared" si="24"/>
        <v>#DIV/0!</v>
      </c>
      <c r="BC32" s="108" t="e">
        <f t="shared" si="24"/>
        <v>#DIV/0!</v>
      </c>
      <c r="BD32" s="108" t="e">
        <f t="shared" si="24"/>
        <v>#DIV/0!</v>
      </c>
      <c r="BE32" s="108" t="e">
        <f t="shared" si="24"/>
        <v>#DIV/0!</v>
      </c>
      <c r="BF32" s="108" t="e">
        <f t="shared" si="24"/>
        <v>#DIV/0!</v>
      </c>
      <c r="BG32" s="108" t="e">
        <f t="shared" si="24"/>
        <v>#DIV/0!</v>
      </c>
      <c r="BH32" s="108" t="e">
        <f t="shared" si="24"/>
        <v>#DIV/0!</v>
      </c>
      <c r="BI32" s="108" t="e">
        <f t="shared" si="24"/>
        <v>#DIV/0!</v>
      </c>
      <c r="BJ32" s="108" t="e">
        <f t="shared" si="24"/>
        <v>#DIV/0!</v>
      </c>
      <c r="BK32" s="108" t="e">
        <f t="shared" si="24"/>
        <v>#DIV/0!</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2" t="s">
        <v>565</v>
      </c>
      <c r="E33" s="108">
        <f>E7/E9</f>
        <v>0.46597690823635923</v>
      </c>
      <c r="F33" s="108">
        <f t="shared" ref="F33:BQ33" si="26">F7/F9</f>
        <v>0.44258201202894271</v>
      </c>
      <c r="G33" s="108">
        <f t="shared" si="26"/>
        <v>0.45994341019653467</v>
      </c>
      <c r="H33" s="108">
        <f t="shared" si="26"/>
        <v>0.43597284073994086</v>
      </c>
      <c r="I33" s="108">
        <f t="shared" si="26"/>
        <v>0.41978031708165381</v>
      </c>
      <c r="J33" s="108">
        <f t="shared" si="26"/>
        <v>0.78626570010510366</v>
      </c>
      <c r="K33" s="108">
        <f t="shared" si="26"/>
        <v>0.85611015451494543</v>
      </c>
      <c r="L33" s="108">
        <f t="shared" si="26"/>
        <v>0.75771180013952333</v>
      </c>
      <c r="M33" s="108">
        <f t="shared" si="26"/>
        <v>0.83529639868839234</v>
      </c>
      <c r="N33" s="108">
        <f t="shared" si="26"/>
        <v>0.80462159246572784</v>
      </c>
      <c r="O33" s="108">
        <f t="shared" si="26"/>
        <v>0.54603872607915194</v>
      </c>
      <c r="P33" s="108">
        <f t="shared" si="26"/>
        <v>0.54850252739042038</v>
      </c>
      <c r="Q33" s="108" t="e">
        <f t="shared" si="26"/>
        <v>#DIV/0!</v>
      </c>
      <c r="R33" s="108" t="e">
        <f t="shared" si="26"/>
        <v>#DIV/0!</v>
      </c>
      <c r="S33" s="108" t="e">
        <f t="shared" si="26"/>
        <v>#DIV/0!</v>
      </c>
      <c r="T33" s="108" t="e">
        <f t="shared" si="26"/>
        <v>#DIV/0!</v>
      </c>
      <c r="U33" s="108" t="e">
        <f t="shared" si="26"/>
        <v>#DIV/0!</v>
      </c>
      <c r="V33" s="108" t="e">
        <f t="shared" si="26"/>
        <v>#DIV/0!</v>
      </c>
      <c r="W33" s="108" t="e">
        <f t="shared" si="26"/>
        <v>#DIV/0!</v>
      </c>
      <c r="X33" s="108" t="e">
        <f t="shared" si="26"/>
        <v>#DIV/0!</v>
      </c>
      <c r="Y33" s="108" t="e">
        <f t="shared" si="26"/>
        <v>#DIV/0!</v>
      </c>
      <c r="Z33" s="108" t="e">
        <f t="shared" si="26"/>
        <v>#DIV/0!</v>
      </c>
      <c r="AA33" s="108" t="e">
        <f t="shared" si="26"/>
        <v>#DIV/0!</v>
      </c>
      <c r="AB33" s="108" t="e">
        <f t="shared" si="26"/>
        <v>#DIV/0!</v>
      </c>
      <c r="AC33" s="108" t="e">
        <f t="shared" si="26"/>
        <v>#DIV/0!</v>
      </c>
      <c r="AD33" s="108" t="e">
        <f t="shared" si="26"/>
        <v>#DIV/0!</v>
      </c>
      <c r="AE33" s="108" t="e">
        <f t="shared" si="26"/>
        <v>#DIV/0!</v>
      </c>
      <c r="AF33" s="108" t="e">
        <f t="shared" si="26"/>
        <v>#DIV/0!</v>
      </c>
      <c r="AG33" s="108" t="e">
        <f t="shared" si="26"/>
        <v>#DIV/0!</v>
      </c>
      <c r="AH33" s="108" t="e">
        <f t="shared" si="26"/>
        <v>#DIV/0!</v>
      </c>
      <c r="AI33" s="108" t="e">
        <f t="shared" si="26"/>
        <v>#DIV/0!</v>
      </c>
      <c r="AJ33" s="108" t="e">
        <f t="shared" si="26"/>
        <v>#DIV/0!</v>
      </c>
      <c r="AK33" s="108" t="e">
        <f t="shared" si="26"/>
        <v>#DIV/0!</v>
      </c>
      <c r="AL33" s="108" t="e">
        <f t="shared" si="26"/>
        <v>#DIV/0!</v>
      </c>
      <c r="AM33" s="108" t="e">
        <f t="shared" si="26"/>
        <v>#DIV/0!</v>
      </c>
      <c r="AN33" s="108" t="e">
        <f t="shared" si="26"/>
        <v>#DIV/0!</v>
      </c>
      <c r="AO33" s="108" t="e">
        <f t="shared" si="26"/>
        <v>#DIV/0!</v>
      </c>
      <c r="AP33" s="108" t="e">
        <f t="shared" si="26"/>
        <v>#DIV/0!</v>
      </c>
      <c r="AQ33" s="108" t="e">
        <f t="shared" si="26"/>
        <v>#DIV/0!</v>
      </c>
      <c r="AR33" s="108" t="e">
        <f t="shared" si="26"/>
        <v>#DIV/0!</v>
      </c>
      <c r="AS33" s="108" t="e">
        <f t="shared" si="26"/>
        <v>#DIV/0!</v>
      </c>
      <c r="AT33" s="108" t="e">
        <f t="shared" si="26"/>
        <v>#DIV/0!</v>
      </c>
      <c r="AU33" s="108" t="e">
        <f t="shared" si="26"/>
        <v>#DIV/0!</v>
      </c>
      <c r="AV33" s="108" t="e">
        <f t="shared" si="26"/>
        <v>#DIV/0!</v>
      </c>
      <c r="AW33" s="108" t="e">
        <f t="shared" si="26"/>
        <v>#DIV/0!</v>
      </c>
      <c r="AX33" s="108" t="e">
        <f t="shared" si="26"/>
        <v>#DIV/0!</v>
      </c>
      <c r="AY33" s="108" t="e">
        <f t="shared" si="26"/>
        <v>#DIV/0!</v>
      </c>
      <c r="AZ33" s="108" t="e">
        <f t="shared" si="26"/>
        <v>#DIV/0!</v>
      </c>
      <c r="BA33" s="108" t="e">
        <f t="shared" si="26"/>
        <v>#DIV/0!</v>
      </c>
      <c r="BB33" s="108" t="e">
        <f t="shared" si="26"/>
        <v>#DIV/0!</v>
      </c>
      <c r="BC33" s="108" t="e">
        <f t="shared" si="26"/>
        <v>#DIV/0!</v>
      </c>
      <c r="BD33" s="108" t="e">
        <f t="shared" si="26"/>
        <v>#DIV/0!</v>
      </c>
      <c r="BE33" s="108" t="e">
        <f t="shared" si="26"/>
        <v>#DIV/0!</v>
      </c>
      <c r="BF33" s="108" t="e">
        <f t="shared" si="26"/>
        <v>#DIV/0!</v>
      </c>
      <c r="BG33" s="108" t="e">
        <f t="shared" si="26"/>
        <v>#DIV/0!</v>
      </c>
      <c r="BH33" s="108" t="e">
        <f t="shared" si="26"/>
        <v>#DIV/0!</v>
      </c>
      <c r="BI33" s="108" t="e">
        <f t="shared" si="26"/>
        <v>#DIV/0!</v>
      </c>
      <c r="BJ33" s="108" t="e">
        <f t="shared" si="26"/>
        <v>#DIV/0!</v>
      </c>
      <c r="BK33" s="108" t="e">
        <f t="shared" si="26"/>
        <v>#DIV/0!</v>
      </c>
      <c r="BL33" s="108" t="e">
        <f t="shared" si="26"/>
        <v>#DIV/0!</v>
      </c>
      <c r="BM33" s="108" t="e">
        <f t="shared" si="26"/>
        <v>#DIV/0!</v>
      </c>
      <c r="BN33" s="108" t="e">
        <f t="shared" si="26"/>
        <v>#DIV/0!</v>
      </c>
      <c r="BO33" s="108" t="e">
        <f t="shared" si="26"/>
        <v>#DIV/0!</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1" t="s">
        <v>559</v>
      </c>
      <c r="E34" s="107">
        <f>(E10-I10)/I10</f>
        <v>-1</v>
      </c>
      <c r="F34" s="107">
        <f t="shared" ref="F34:BQ34" si="28">(F10-J10)/J10</f>
        <v>-1</v>
      </c>
      <c r="G34" s="107">
        <f t="shared" si="28"/>
        <v>-1</v>
      </c>
      <c r="H34" s="107">
        <f t="shared" si="28"/>
        <v>-0.34363317940207999</v>
      </c>
      <c r="I34" s="107">
        <f t="shared" si="28"/>
        <v>0.37051317647058823</v>
      </c>
      <c r="J34" s="107">
        <f t="shared" si="28"/>
        <v>-9.314938544958061E-2</v>
      </c>
      <c r="K34" s="107">
        <f t="shared" si="28"/>
        <v>0.27955967414678728</v>
      </c>
      <c r="L34" s="107">
        <f t="shared" si="28"/>
        <v>1.7071434384210524</v>
      </c>
      <c r="M34" s="107" t="e">
        <f t="shared" si="28"/>
        <v>#DIV/0!</v>
      </c>
      <c r="N34" s="107" t="e">
        <f t="shared" si="28"/>
        <v>#DIV/0!</v>
      </c>
      <c r="O34" s="107" t="e">
        <f t="shared" si="28"/>
        <v>#DIV/0!</v>
      </c>
      <c r="P34" s="107" t="e">
        <f t="shared" si="28"/>
        <v>#DIV/0!</v>
      </c>
      <c r="Q34" s="107" t="e">
        <f t="shared" si="28"/>
        <v>#DIV/0!</v>
      </c>
      <c r="R34" s="107" t="e">
        <f t="shared" si="28"/>
        <v>#DIV/0!</v>
      </c>
      <c r="S34" s="107" t="e">
        <f t="shared" si="28"/>
        <v>#DIV/0!</v>
      </c>
      <c r="T34" s="107" t="e">
        <f t="shared" si="28"/>
        <v>#DIV/0!</v>
      </c>
      <c r="U34" s="107" t="e">
        <f t="shared" si="28"/>
        <v>#DIV/0!</v>
      </c>
      <c r="V34" s="107" t="e">
        <f t="shared" si="28"/>
        <v>#DIV/0!</v>
      </c>
      <c r="W34" s="107" t="e">
        <f t="shared" si="28"/>
        <v>#DIV/0!</v>
      </c>
      <c r="X34" s="107" t="e">
        <f t="shared" si="28"/>
        <v>#DIV/0!</v>
      </c>
      <c r="Y34" s="107" t="e">
        <f t="shared" si="28"/>
        <v>#DIV/0!</v>
      </c>
      <c r="Z34" s="107" t="e">
        <f t="shared" si="28"/>
        <v>#DIV/0!</v>
      </c>
      <c r="AA34" s="107" t="e">
        <f t="shared" si="28"/>
        <v>#DIV/0!</v>
      </c>
      <c r="AB34" s="107" t="e">
        <f t="shared" si="28"/>
        <v>#DIV/0!</v>
      </c>
      <c r="AC34" s="107" t="e">
        <f t="shared" si="28"/>
        <v>#DIV/0!</v>
      </c>
      <c r="AD34" s="107" t="e">
        <f t="shared" si="28"/>
        <v>#DIV/0!</v>
      </c>
      <c r="AE34" s="107" t="e">
        <f t="shared" si="28"/>
        <v>#DIV/0!</v>
      </c>
      <c r="AF34" s="107" t="e">
        <f t="shared" si="28"/>
        <v>#DIV/0!</v>
      </c>
      <c r="AG34" s="107" t="e">
        <f t="shared" si="28"/>
        <v>#DIV/0!</v>
      </c>
      <c r="AH34" s="107" t="e">
        <f t="shared" si="28"/>
        <v>#DIV/0!</v>
      </c>
      <c r="AI34" s="107" t="e">
        <f t="shared" si="28"/>
        <v>#DIV/0!</v>
      </c>
      <c r="AJ34" s="107" t="e">
        <f t="shared" si="28"/>
        <v>#DIV/0!</v>
      </c>
      <c r="AK34" s="107" t="e">
        <f t="shared" si="28"/>
        <v>#DIV/0!</v>
      </c>
      <c r="AL34" s="107" t="e">
        <f t="shared" si="28"/>
        <v>#DIV/0!</v>
      </c>
      <c r="AM34" s="107" t="e">
        <f t="shared" si="28"/>
        <v>#DIV/0!</v>
      </c>
      <c r="AN34" s="107" t="e">
        <f t="shared" si="28"/>
        <v>#DIV/0!</v>
      </c>
      <c r="AO34" s="107" t="e">
        <f t="shared" si="28"/>
        <v>#DIV/0!</v>
      </c>
      <c r="AP34" s="107" t="e">
        <f t="shared" si="28"/>
        <v>#DIV/0!</v>
      </c>
      <c r="AQ34" s="107" t="e">
        <f t="shared" si="28"/>
        <v>#DIV/0!</v>
      </c>
      <c r="AR34" s="107" t="e">
        <f t="shared" si="28"/>
        <v>#DIV/0!</v>
      </c>
      <c r="AS34" s="107" t="e">
        <f t="shared" si="28"/>
        <v>#DIV/0!</v>
      </c>
      <c r="AT34" s="107" t="e">
        <f t="shared" si="28"/>
        <v>#DIV/0!</v>
      </c>
      <c r="AU34" s="107" t="e">
        <f t="shared" si="28"/>
        <v>#DIV/0!</v>
      </c>
      <c r="AV34" s="107" t="e">
        <f t="shared" si="28"/>
        <v>#DIV/0!</v>
      </c>
      <c r="AW34" s="107" t="e">
        <f t="shared" si="28"/>
        <v>#DIV/0!</v>
      </c>
      <c r="AX34" s="107" t="e">
        <f t="shared" si="28"/>
        <v>#DIV/0!</v>
      </c>
      <c r="AY34" s="107" t="e">
        <f t="shared" si="28"/>
        <v>#DIV/0!</v>
      </c>
      <c r="AZ34" s="107" t="e">
        <f t="shared" si="28"/>
        <v>#DIV/0!</v>
      </c>
      <c r="BA34" s="107" t="e">
        <f t="shared" si="28"/>
        <v>#DIV/0!</v>
      </c>
      <c r="BB34" s="107" t="e">
        <f t="shared" si="28"/>
        <v>#DIV/0!</v>
      </c>
      <c r="BC34" s="107" t="e">
        <f t="shared" si="28"/>
        <v>#DIV/0!</v>
      </c>
      <c r="BD34" s="107" t="e">
        <f t="shared" si="28"/>
        <v>#DIV/0!</v>
      </c>
      <c r="BE34" s="107" t="e">
        <f t="shared" si="28"/>
        <v>#DIV/0!</v>
      </c>
      <c r="BF34" s="107" t="e">
        <f t="shared" si="28"/>
        <v>#DIV/0!</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1" t="s">
        <v>563</v>
      </c>
      <c r="E35" s="107" t="e">
        <f>E10/E12</f>
        <v>#DIV/0!</v>
      </c>
      <c r="F35" s="107" t="e">
        <f t="shared" ref="F35:BQ35" si="30">F10/F12</f>
        <v>#DIV/0!</v>
      </c>
      <c r="G35" s="107" t="e">
        <f t="shared" si="30"/>
        <v>#DIV/0!</v>
      </c>
      <c r="H35" s="107">
        <f t="shared" si="30"/>
        <v>0.77342011956843293</v>
      </c>
      <c r="I35" s="107">
        <f t="shared" si="30"/>
        <v>0.75985471305069985</v>
      </c>
      <c r="J35" s="107">
        <f t="shared" si="30"/>
        <v>0.74983485497837943</v>
      </c>
      <c r="K35" s="107">
        <f t="shared" si="30"/>
        <v>0.75288213805640347</v>
      </c>
      <c r="L35" s="107">
        <f t="shared" si="30"/>
        <v>0.56886772081772297</v>
      </c>
      <c r="M35" s="107">
        <f t="shared" si="30"/>
        <v>0.41245797781073129</v>
      </c>
      <c r="N35" s="107">
        <f t="shared" si="30"/>
        <v>0.52061166409769288</v>
      </c>
      <c r="O35" s="107">
        <f t="shared" si="30"/>
        <v>0.92450987013661379</v>
      </c>
      <c r="P35" s="107">
        <f t="shared" si="30"/>
        <v>0.79558918721904326</v>
      </c>
      <c r="Q35" s="107" t="e">
        <f t="shared" si="30"/>
        <v>#DIV/0!</v>
      </c>
      <c r="R35" s="107" t="e">
        <f t="shared" si="30"/>
        <v>#DIV/0!</v>
      </c>
      <c r="S35" s="107" t="e">
        <f t="shared" si="30"/>
        <v>#DIV/0!</v>
      </c>
      <c r="T35" s="107" t="e">
        <f t="shared" si="30"/>
        <v>#DIV/0!</v>
      </c>
      <c r="U35" s="107" t="e">
        <f t="shared" si="30"/>
        <v>#DIV/0!</v>
      </c>
      <c r="V35" s="107" t="e">
        <f t="shared" si="30"/>
        <v>#DIV/0!</v>
      </c>
      <c r="W35" s="107" t="e">
        <f t="shared" si="30"/>
        <v>#DIV/0!</v>
      </c>
      <c r="X35" s="107" t="e">
        <f t="shared" si="30"/>
        <v>#DIV/0!</v>
      </c>
      <c r="Y35" s="107" t="e">
        <f t="shared" si="30"/>
        <v>#DIV/0!</v>
      </c>
      <c r="Z35" s="107" t="e">
        <f t="shared" si="30"/>
        <v>#DIV/0!</v>
      </c>
      <c r="AA35" s="107" t="e">
        <f t="shared" si="30"/>
        <v>#DIV/0!</v>
      </c>
      <c r="AB35" s="107" t="e">
        <f t="shared" si="30"/>
        <v>#DIV/0!</v>
      </c>
      <c r="AC35" s="107" t="e">
        <f t="shared" si="30"/>
        <v>#DIV/0!</v>
      </c>
      <c r="AD35" s="107" t="e">
        <f t="shared" si="30"/>
        <v>#DIV/0!</v>
      </c>
      <c r="AE35" s="107" t="e">
        <f t="shared" si="30"/>
        <v>#DIV/0!</v>
      </c>
      <c r="AF35" s="107" t="e">
        <f t="shared" si="30"/>
        <v>#DIV/0!</v>
      </c>
      <c r="AG35" s="107" t="e">
        <f t="shared" si="30"/>
        <v>#DIV/0!</v>
      </c>
      <c r="AH35" s="107" t="e">
        <f t="shared" si="30"/>
        <v>#DIV/0!</v>
      </c>
      <c r="AI35" s="107" t="e">
        <f t="shared" si="30"/>
        <v>#DIV/0!</v>
      </c>
      <c r="AJ35" s="107" t="e">
        <f t="shared" si="30"/>
        <v>#DIV/0!</v>
      </c>
      <c r="AK35" s="107" t="e">
        <f t="shared" si="30"/>
        <v>#DIV/0!</v>
      </c>
      <c r="AL35" s="107" t="e">
        <f t="shared" si="30"/>
        <v>#DIV/0!</v>
      </c>
      <c r="AM35" s="107" t="e">
        <f t="shared" si="30"/>
        <v>#DIV/0!</v>
      </c>
      <c r="AN35" s="107" t="e">
        <f t="shared" si="30"/>
        <v>#DIV/0!</v>
      </c>
      <c r="AO35" s="107" t="e">
        <f t="shared" si="30"/>
        <v>#DIV/0!</v>
      </c>
      <c r="AP35" s="107" t="e">
        <f t="shared" si="30"/>
        <v>#DIV/0!</v>
      </c>
      <c r="AQ35" s="107" t="e">
        <f t="shared" si="30"/>
        <v>#DIV/0!</v>
      </c>
      <c r="AR35" s="107" t="e">
        <f t="shared" si="30"/>
        <v>#DIV/0!</v>
      </c>
      <c r="AS35" s="107" t="e">
        <f t="shared" si="30"/>
        <v>#DIV/0!</v>
      </c>
      <c r="AT35" s="107" t="e">
        <f t="shared" si="30"/>
        <v>#DIV/0!</v>
      </c>
      <c r="AU35" s="107" t="e">
        <f t="shared" si="30"/>
        <v>#DIV/0!</v>
      </c>
      <c r="AV35" s="107" t="e">
        <f t="shared" si="30"/>
        <v>#DIV/0!</v>
      </c>
      <c r="AW35" s="107" t="e">
        <f t="shared" si="30"/>
        <v>#DIV/0!</v>
      </c>
      <c r="AX35" s="107" t="e">
        <f t="shared" si="30"/>
        <v>#DIV/0!</v>
      </c>
      <c r="AY35" s="107" t="e">
        <f t="shared" si="30"/>
        <v>#DIV/0!</v>
      </c>
      <c r="AZ35" s="107" t="e">
        <f t="shared" si="30"/>
        <v>#DIV/0!</v>
      </c>
      <c r="BA35" s="107" t="e">
        <f t="shared" si="30"/>
        <v>#DIV/0!</v>
      </c>
      <c r="BB35" s="107" t="e">
        <f t="shared" si="30"/>
        <v>#DIV/0!</v>
      </c>
      <c r="BC35" s="107" t="e">
        <f t="shared" si="30"/>
        <v>#DIV/0!</v>
      </c>
      <c r="BD35" s="107" t="e">
        <f t="shared" si="30"/>
        <v>#DIV/0!</v>
      </c>
      <c r="BE35" s="107" t="e">
        <f t="shared" si="30"/>
        <v>#DIV/0!</v>
      </c>
      <c r="BF35" s="107" t="e">
        <f t="shared" si="30"/>
        <v>#DIV/0!</v>
      </c>
      <c r="BG35" s="107" t="e">
        <f t="shared" si="30"/>
        <v>#DIV/0!</v>
      </c>
      <c r="BH35" s="107" t="e">
        <f t="shared" si="30"/>
        <v>#DIV/0!</v>
      </c>
      <c r="BI35" s="107" t="e">
        <f t="shared" si="30"/>
        <v>#DIV/0!</v>
      </c>
      <c r="BJ35" s="107" t="e">
        <f t="shared" si="30"/>
        <v>#DIV/0!</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1" t="s">
        <v>560</v>
      </c>
      <c r="E36" s="107">
        <f>(E11-I11)/I11</f>
        <v>-1</v>
      </c>
      <c r="F36" s="107">
        <f t="shared" ref="F36:BQ36" si="32">(F11-J11)/J11</f>
        <v>-1</v>
      </c>
      <c r="G36" s="107">
        <f t="shared" si="32"/>
        <v>-1</v>
      </c>
      <c r="H36" s="107">
        <f t="shared" si="32"/>
        <v>-0.74628084962290286</v>
      </c>
      <c r="I36" s="107">
        <f t="shared" si="32"/>
        <v>-0.69593425557640465</v>
      </c>
      <c r="J36" s="107">
        <f t="shared" si="32"/>
        <v>-0.67143344143090955</v>
      </c>
      <c r="K36" s="107">
        <f t="shared" si="32"/>
        <v>4.1435038391971029</v>
      </c>
      <c r="L36" s="107">
        <f t="shared" si="32"/>
        <v>6.9853788127730763</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t="e">
        <f t="shared" si="32"/>
        <v>#DIV/0!</v>
      </c>
      <c r="W36" s="107" t="e">
        <f t="shared" si="32"/>
        <v>#DIV/0!</v>
      </c>
      <c r="X36" s="107" t="e">
        <f t="shared" si="32"/>
        <v>#DIV/0!</v>
      </c>
      <c r="Y36" s="107" t="e">
        <f t="shared" si="32"/>
        <v>#DIV/0!</v>
      </c>
      <c r="Z36" s="107" t="e">
        <f t="shared" si="32"/>
        <v>#DIV/0!</v>
      </c>
      <c r="AA36" s="107" t="e">
        <f t="shared" si="32"/>
        <v>#DIV/0!</v>
      </c>
      <c r="AB36" s="107" t="e">
        <f t="shared" si="32"/>
        <v>#DIV/0!</v>
      </c>
      <c r="AC36" s="107" t="e">
        <f t="shared" si="32"/>
        <v>#DIV/0!</v>
      </c>
      <c r="AD36" s="107" t="e">
        <f t="shared" si="32"/>
        <v>#DIV/0!</v>
      </c>
      <c r="AE36" s="107" t="e">
        <f t="shared" si="32"/>
        <v>#DIV/0!</v>
      </c>
      <c r="AF36" s="107" t="e">
        <f t="shared" si="32"/>
        <v>#DIV/0!</v>
      </c>
      <c r="AG36" s="107" t="e">
        <f t="shared" si="32"/>
        <v>#DIV/0!</v>
      </c>
      <c r="AH36" s="107" t="e">
        <f t="shared" si="32"/>
        <v>#DIV/0!</v>
      </c>
      <c r="AI36" s="107" t="e">
        <f t="shared" si="32"/>
        <v>#DIV/0!</v>
      </c>
      <c r="AJ36" s="107" t="e">
        <f t="shared" si="32"/>
        <v>#DIV/0!</v>
      </c>
      <c r="AK36" s="107" t="e">
        <f t="shared" si="32"/>
        <v>#DIV/0!</v>
      </c>
      <c r="AL36" s="107" t="e">
        <f t="shared" si="32"/>
        <v>#DIV/0!</v>
      </c>
      <c r="AM36" s="107" t="e">
        <f t="shared" si="32"/>
        <v>#DIV/0!</v>
      </c>
      <c r="AN36" s="107" t="e">
        <f t="shared" si="32"/>
        <v>#DIV/0!</v>
      </c>
      <c r="AO36" s="107" t="e">
        <f t="shared" si="32"/>
        <v>#DIV/0!</v>
      </c>
      <c r="AP36" s="107" t="e">
        <f t="shared" si="32"/>
        <v>#DIV/0!</v>
      </c>
      <c r="AQ36" s="107" t="e">
        <f t="shared" si="32"/>
        <v>#DIV/0!</v>
      </c>
      <c r="AR36" s="107" t="e">
        <f t="shared" si="32"/>
        <v>#DIV/0!</v>
      </c>
      <c r="AS36" s="107" t="e">
        <f t="shared" si="32"/>
        <v>#DIV/0!</v>
      </c>
      <c r="AT36" s="107" t="e">
        <f t="shared" si="32"/>
        <v>#DIV/0!</v>
      </c>
      <c r="AU36" s="107" t="e">
        <f t="shared" si="32"/>
        <v>#DIV/0!</v>
      </c>
      <c r="AV36" s="107" t="e">
        <f t="shared" si="32"/>
        <v>#DIV/0!</v>
      </c>
      <c r="AW36" s="107" t="e">
        <f t="shared" si="32"/>
        <v>#DIV/0!</v>
      </c>
      <c r="AX36" s="107" t="e">
        <f t="shared" si="32"/>
        <v>#DIV/0!</v>
      </c>
      <c r="AY36" s="107" t="e">
        <f t="shared" si="32"/>
        <v>#DIV/0!</v>
      </c>
      <c r="AZ36" s="107" t="e">
        <f t="shared" si="32"/>
        <v>#DIV/0!</v>
      </c>
      <c r="BA36" s="107" t="e">
        <f t="shared" si="32"/>
        <v>#DIV/0!</v>
      </c>
      <c r="BB36" s="107" t="e">
        <f t="shared" si="32"/>
        <v>#DIV/0!</v>
      </c>
      <c r="BC36" s="107" t="e">
        <f t="shared" si="32"/>
        <v>#DIV/0!</v>
      </c>
      <c r="BD36" s="107" t="e">
        <f t="shared" si="32"/>
        <v>#DIV/0!</v>
      </c>
      <c r="BE36" s="107" t="e">
        <f t="shared" si="32"/>
        <v>#DIV/0!</v>
      </c>
      <c r="BF36" s="107" t="e">
        <f t="shared" si="32"/>
        <v>#DIV/0!</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1" t="s">
        <v>564</v>
      </c>
      <c r="B37" s="107"/>
      <c r="C37" s="107"/>
      <c r="D37" s="107"/>
      <c r="E37" s="107" t="e">
        <f>E11/E12</f>
        <v>#DIV/0!</v>
      </c>
      <c r="F37" s="107" t="e">
        <f t="shared" ref="F37:BQ37" si="34">F11/F12</f>
        <v>#DIV/0!</v>
      </c>
      <c r="G37" s="107" t="e">
        <f t="shared" si="34"/>
        <v>#DIV/0!</v>
      </c>
      <c r="H37" s="107">
        <f t="shared" si="34"/>
        <v>0.22657988043156699</v>
      </c>
      <c r="I37" s="107">
        <f t="shared" si="34"/>
        <v>0.2401452869493001</v>
      </c>
      <c r="J37" s="107">
        <f t="shared" si="34"/>
        <v>0.25016514502162057</v>
      </c>
      <c r="K37" s="107">
        <f t="shared" si="34"/>
        <v>0.24711786194359647</v>
      </c>
      <c r="L37" s="107">
        <f t="shared" si="34"/>
        <v>0.43113227918227703</v>
      </c>
      <c r="M37" s="107">
        <f t="shared" si="34"/>
        <v>0.58754202218926876</v>
      </c>
      <c r="N37" s="107">
        <f t="shared" si="34"/>
        <v>0.47938833590230712</v>
      </c>
      <c r="O37" s="109">
        <f t="shared" si="34"/>
        <v>7.5490129863386324E-2</v>
      </c>
      <c r="P37" s="109">
        <f t="shared" si="34"/>
        <v>0.20441081278095674</v>
      </c>
      <c r="Q37" s="109" t="e">
        <f t="shared" si="34"/>
        <v>#DIV/0!</v>
      </c>
      <c r="R37" s="109" t="e">
        <f t="shared" si="34"/>
        <v>#DIV/0!</v>
      </c>
      <c r="S37" s="109" t="e">
        <f t="shared" si="34"/>
        <v>#DIV/0!</v>
      </c>
      <c r="T37" s="109" t="e">
        <f t="shared" si="34"/>
        <v>#DIV/0!</v>
      </c>
      <c r="U37" s="109" t="e">
        <f t="shared" si="34"/>
        <v>#DIV/0!</v>
      </c>
      <c r="V37" s="109" t="e">
        <f t="shared" si="34"/>
        <v>#DIV/0!</v>
      </c>
      <c r="W37" s="109" t="e">
        <f t="shared" si="34"/>
        <v>#DIV/0!</v>
      </c>
      <c r="X37" s="109" t="e">
        <f t="shared" si="34"/>
        <v>#DIV/0!</v>
      </c>
      <c r="Y37" s="109" t="e">
        <f t="shared" si="34"/>
        <v>#DIV/0!</v>
      </c>
      <c r="Z37" s="109" t="e">
        <f t="shared" si="34"/>
        <v>#DIV/0!</v>
      </c>
      <c r="AA37" s="109" t="e">
        <f t="shared" si="34"/>
        <v>#DIV/0!</v>
      </c>
      <c r="AB37" s="109" t="e">
        <f t="shared" si="34"/>
        <v>#DIV/0!</v>
      </c>
      <c r="AC37" s="109" t="e">
        <f t="shared" si="34"/>
        <v>#DIV/0!</v>
      </c>
      <c r="AD37" s="109" t="e">
        <f t="shared" si="34"/>
        <v>#DIV/0!</v>
      </c>
      <c r="AE37" s="109" t="e">
        <f t="shared" si="34"/>
        <v>#DIV/0!</v>
      </c>
      <c r="AF37" s="109" t="e">
        <f t="shared" si="34"/>
        <v>#DIV/0!</v>
      </c>
      <c r="AG37" s="109" t="e">
        <f t="shared" si="34"/>
        <v>#DIV/0!</v>
      </c>
      <c r="AH37" s="109" t="e">
        <f t="shared" si="34"/>
        <v>#DIV/0!</v>
      </c>
      <c r="AI37" s="109" t="e">
        <f t="shared" si="34"/>
        <v>#DIV/0!</v>
      </c>
      <c r="AJ37" s="109" t="e">
        <f t="shared" si="34"/>
        <v>#DIV/0!</v>
      </c>
      <c r="AK37" s="109" t="e">
        <f t="shared" si="34"/>
        <v>#DIV/0!</v>
      </c>
      <c r="AL37" s="109" t="e">
        <f t="shared" si="34"/>
        <v>#DIV/0!</v>
      </c>
      <c r="AM37" s="109" t="e">
        <f t="shared" si="34"/>
        <v>#DIV/0!</v>
      </c>
      <c r="AN37" s="109" t="e">
        <f t="shared" si="34"/>
        <v>#DIV/0!</v>
      </c>
      <c r="AO37" s="109" t="e">
        <f t="shared" si="34"/>
        <v>#DIV/0!</v>
      </c>
      <c r="AP37" s="109" t="e">
        <f t="shared" si="34"/>
        <v>#DIV/0!</v>
      </c>
      <c r="AQ37" s="109" t="e">
        <f t="shared" si="34"/>
        <v>#DIV/0!</v>
      </c>
      <c r="AR37" s="109" t="e">
        <f t="shared" si="34"/>
        <v>#DIV/0!</v>
      </c>
      <c r="AS37" s="109" t="e">
        <f t="shared" si="34"/>
        <v>#DIV/0!</v>
      </c>
      <c r="AT37" s="109" t="e">
        <f t="shared" si="34"/>
        <v>#DIV/0!</v>
      </c>
      <c r="AU37" s="109" t="e">
        <f t="shared" si="34"/>
        <v>#DIV/0!</v>
      </c>
      <c r="AV37" s="109" t="e">
        <f t="shared" si="34"/>
        <v>#DIV/0!</v>
      </c>
      <c r="AW37" s="109" t="e">
        <f t="shared" si="34"/>
        <v>#DIV/0!</v>
      </c>
      <c r="AX37" s="109" t="e">
        <f t="shared" si="34"/>
        <v>#DIV/0!</v>
      </c>
      <c r="AY37" s="109" t="e">
        <f t="shared" si="34"/>
        <v>#DIV/0!</v>
      </c>
      <c r="AZ37" s="109" t="e">
        <f t="shared" si="34"/>
        <v>#DIV/0!</v>
      </c>
      <c r="BA37" s="109" t="e">
        <f t="shared" si="34"/>
        <v>#DIV/0!</v>
      </c>
      <c r="BB37" s="109" t="e">
        <f t="shared" si="34"/>
        <v>#DIV/0!</v>
      </c>
      <c r="BC37" s="109" t="e">
        <f t="shared" si="34"/>
        <v>#DIV/0!</v>
      </c>
      <c r="BD37" s="109" t="e">
        <f t="shared" si="34"/>
        <v>#DIV/0!</v>
      </c>
      <c r="BE37" s="109" t="e">
        <f t="shared" si="34"/>
        <v>#DIV/0!</v>
      </c>
      <c r="BF37" s="109" t="e">
        <f t="shared" si="34"/>
        <v>#DIV/0!</v>
      </c>
      <c r="BG37" s="109" t="e">
        <f t="shared" si="34"/>
        <v>#DIV/0!</v>
      </c>
      <c r="BH37" s="109" t="e">
        <f t="shared" si="34"/>
        <v>#DIV/0!</v>
      </c>
      <c r="BI37" s="109" t="e">
        <f t="shared" si="34"/>
        <v>#DIV/0!</v>
      </c>
      <c r="BJ37" s="109" t="e">
        <f t="shared" si="34"/>
        <v>#DIV/0!</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7" customFormat="1" x14ac:dyDescent="0.25">
      <c r="A38" s="184" t="s">
        <v>634</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42369</v>
      </c>
      <c r="M38" s="186">
        <f t="shared" si="36"/>
        <v>42004</v>
      </c>
      <c r="N38" s="186">
        <f t="shared" si="36"/>
        <v>41639</v>
      </c>
      <c r="O38" s="186">
        <f t="shared" si="36"/>
        <v>41274</v>
      </c>
      <c r="P38" s="186">
        <f t="shared" si="36"/>
        <v>40908</v>
      </c>
      <c r="Q38" s="186">
        <f t="shared" si="36"/>
        <v>25569</v>
      </c>
      <c r="R38" s="186">
        <f t="shared" si="36"/>
        <v>0</v>
      </c>
      <c r="S38" s="186">
        <f t="shared" si="36"/>
        <v>0</v>
      </c>
      <c r="T38" s="186">
        <f t="shared" si="36"/>
        <v>0</v>
      </c>
      <c r="U38" s="186">
        <f t="shared" si="36"/>
        <v>0</v>
      </c>
    </row>
    <row r="39" spans="1:89" s="223" customFormat="1" x14ac:dyDescent="0.25">
      <c r="A39" s="220" t="s">
        <v>551</v>
      </c>
      <c r="B39" s="221"/>
      <c r="C39" s="221"/>
      <c r="D39" s="221"/>
      <c r="E39" s="222">
        <f>E2/E9</f>
        <v>0.32854873917419702</v>
      </c>
      <c r="F39" s="222">
        <f t="shared" ref="F39:U39" si="37">F2/F9</f>
        <v>0.25868965347347045</v>
      </c>
      <c r="G39" s="222">
        <f t="shared" si="37"/>
        <v>0.36040540793175818</v>
      </c>
      <c r="H39" s="222">
        <f t="shared" si="37"/>
        <v>0.51913849111174948</v>
      </c>
      <c r="I39" s="222">
        <f t="shared" si="37"/>
        <v>0.4162377303961905</v>
      </c>
      <c r="J39" s="222">
        <f t="shared" si="37"/>
        <v>0.3109975324157303</v>
      </c>
      <c r="K39" s="222">
        <f t="shared" si="37"/>
        <v>0.24559791210781812</v>
      </c>
      <c r="L39" s="222">
        <f t="shared" si="37"/>
        <v>0.35829787789832579</v>
      </c>
      <c r="M39" s="222">
        <f t="shared" si="37"/>
        <v>0.24747755742914701</v>
      </c>
      <c r="N39" s="222">
        <f t="shared" si="37"/>
        <v>0.24396088058892268</v>
      </c>
      <c r="O39" s="222">
        <f t="shared" si="37"/>
        <v>0.39849469017989569</v>
      </c>
      <c r="P39" s="222">
        <f t="shared" si="37"/>
        <v>0.44894427174475343</v>
      </c>
      <c r="Q39" s="222" t="e">
        <f t="shared" si="37"/>
        <v>#DIV/0!</v>
      </c>
      <c r="R39" s="222" t="e">
        <f t="shared" si="37"/>
        <v>#DIV/0!</v>
      </c>
      <c r="S39" s="222" t="e">
        <f t="shared" si="37"/>
        <v>#DIV/0!</v>
      </c>
      <c r="T39" s="222" t="e">
        <f t="shared" si="37"/>
        <v>#DIV/0!</v>
      </c>
      <c r="U39" s="222" t="e">
        <f t="shared" si="37"/>
        <v>#DIV/0!</v>
      </c>
    </row>
    <row r="40" spans="1:89" s="223" customFormat="1" x14ac:dyDescent="0.25">
      <c r="A40" s="220" t="s">
        <v>552</v>
      </c>
      <c r="B40" s="221"/>
      <c r="C40" s="221"/>
      <c r="D40" s="221"/>
      <c r="E40" s="222">
        <f>E3/E9</f>
        <v>3.0140056519465851E-2</v>
      </c>
      <c r="F40" s="222">
        <f t="shared" ref="F40:U40" si="38">F3/F9</f>
        <v>0</v>
      </c>
      <c r="G40" s="222">
        <f t="shared" si="38"/>
        <v>0</v>
      </c>
      <c r="H40" s="222">
        <f t="shared" si="38"/>
        <v>0</v>
      </c>
      <c r="I40" s="222">
        <f t="shared" si="38"/>
        <v>0</v>
      </c>
      <c r="J40" s="222">
        <f t="shared" si="38"/>
        <v>0</v>
      </c>
      <c r="K40" s="222">
        <f t="shared" si="38"/>
        <v>0</v>
      </c>
      <c r="L40" s="222">
        <f t="shared" si="38"/>
        <v>0</v>
      </c>
      <c r="M40" s="222">
        <f t="shared" si="38"/>
        <v>0</v>
      </c>
      <c r="N40" s="222">
        <f t="shared" si="38"/>
        <v>0</v>
      </c>
      <c r="O40" s="222">
        <f t="shared" si="38"/>
        <v>3.0331787005374589E-3</v>
      </c>
      <c r="P40" s="222">
        <f t="shared" si="38"/>
        <v>4.2101249097172555E-3</v>
      </c>
      <c r="Q40" s="222" t="e">
        <f t="shared" si="38"/>
        <v>#DIV/0!</v>
      </c>
      <c r="R40" s="222" t="e">
        <f t="shared" si="38"/>
        <v>#DIV/0!</v>
      </c>
      <c r="S40" s="222" t="e">
        <f t="shared" si="38"/>
        <v>#DIV/0!</v>
      </c>
      <c r="T40" s="222" t="e">
        <f t="shared" si="38"/>
        <v>#DIV/0!</v>
      </c>
      <c r="U40" s="222" t="e">
        <f t="shared" si="38"/>
        <v>#DIV/0!</v>
      </c>
    </row>
    <row r="41" spans="1:89" x14ac:dyDescent="0.25">
      <c r="A41" s="182" t="s">
        <v>557</v>
      </c>
      <c r="B41" s="64"/>
      <c r="C41" s="64"/>
      <c r="D41" s="64"/>
      <c r="E41" s="89">
        <f>E4/E9</f>
        <v>0.17533429606997786</v>
      </c>
      <c r="F41" s="89">
        <f t="shared" ref="F41:U41" si="39">F4/F9</f>
        <v>0.2987283344975869</v>
      </c>
      <c r="G41" s="89">
        <f t="shared" si="39"/>
        <v>0.17965118187170706</v>
      </c>
      <c r="H41" s="89">
        <f t="shared" si="39"/>
        <v>4.4888668148309746E-2</v>
      </c>
      <c r="I41" s="89">
        <f t="shared" si="39"/>
        <v>0.16398195252215572</v>
      </c>
      <c r="J41" s="89">
        <f t="shared" si="39"/>
        <v>-9.7263232520833909E-2</v>
      </c>
      <c r="K41" s="89">
        <f t="shared" si="39"/>
        <v>-0.10170806662276352</v>
      </c>
      <c r="L41" s="89">
        <f t="shared" si="39"/>
        <v>-0.11600967803784913</v>
      </c>
      <c r="M41" s="89">
        <f t="shared" si="39"/>
        <v>-8.2773956117539377E-2</v>
      </c>
      <c r="N41" s="212">
        <f t="shared" si="39"/>
        <v>-4.8582473054650473E-2</v>
      </c>
      <c r="O41" s="212">
        <f t="shared" si="39"/>
        <v>5.2433405040414771E-2</v>
      </c>
      <c r="P41" s="212">
        <f t="shared" si="39"/>
        <v>-1.6569240448911131E-3</v>
      </c>
      <c r="Q41" s="212" t="e">
        <f t="shared" si="39"/>
        <v>#DIV/0!</v>
      </c>
      <c r="R41" s="212" t="e">
        <f t="shared" si="39"/>
        <v>#DIV/0!</v>
      </c>
      <c r="S41" s="212" t="e">
        <f t="shared" si="39"/>
        <v>#DIV/0!</v>
      </c>
      <c r="T41" s="212" t="e">
        <f t="shared" si="39"/>
        <v>#DIV/0!</v>
      </c>
      <c r="U41" s="212" t="e">
        <f t="shared" si="39"/>
        <v>#DIV/0!</v>
      </c>
    </row>
    <row r="42" spans="1:89" x14ac:dyDescent="0.25">
      <c r="A42" s="182" t="s">
        <v>334</v>
      </c>
      <c r="B42" s="64"/>
      <c r="C42" s="64"/>
      <c r="D42" s="64"/>
      <c r="E42" s="89">
        <f>E5/E9</f>
        <v>0.39496385574912329</v>
      </c>
      <c r="F42" s="89">
        <f t="shared" ref="F42:U42" si="40">F5/F9</f>
        <v>0.53232590497836807</v>
      </c>
      <c r="G42" s="89">
        <f t="shared" si="40"/>
        <v>0.4227452283521424</v>
      </c>
      <c r="H42" s="89">
        <f t="shared" si="40"/>
        <v>0.25612737239929739</v>
      </c>
      <c r="I42" s="89">
        <f t="shared" si="40"/>
        <v>0.36881851442667424</v>
      </c>
      <c r="J42" s="89">
        <f t="shared" si="40"/>
        <v>0.26644587923069757</v>
      </c>
      <c r="K42" s="89">
        <f t="shared" si="40"/>
        <v>0.25521284100801139</v>
      </c>
      <c r="L42" s="89">
        <f t="shared" si="40"/>
        <v>0.16140687568233314</v>
      </c>
      <c r="M42" s="89">
        <f t="shared" si="40"/>
        <v>0.14645998273885649</v>
      </c>
      <c r="N42" s="212">
        <f t="shared" si="40"/>
        <v>0.13655395544779084</v>
      </c>
      <c r="O42" s="212">
        <f t="shared" si="40"/>
        <v>0.38272303701010502</v>
      </c>
      <c r="P42" s="212">
        <f t="shared" si="40"/>
        <v>0.21065600207077384</v>
      </c>
      <c r="Q42" s="212" t="e">
        <f t="shared" si="40"/>
        <v>#DIV/0!</v>
      </c>
      <c r="R42" s="212" t="e">
        <f t="shared" si="40"/>
        <v>#DIV/0!</v>
      </c>
      <c r="S42" s="212" t="e">
        <f t="shared" si="40"/>
        <v>#DIV/0!</v>
      </c>
      <c r="T42" s="212" t="e">
        <f t="shared" si="40"/>
        <v>#DIV/0!</v>
      </c>
      <c r="U42" s="212" t="e">
        <f t="shared" si="40"/>
        <v>#DIV/0!</v>
      </c>
    </row>
    <row r="43" spans="1:89" x14ac:dyDescent="0.25">
      <c r="A43" s="182" t="s">
        <v>335</v>
      </c>
      <c r="B43" s="64"/>
      <c r="C43" s="64"/>
      <c r="D43" s="64"/>
      <c r="E43" s="89">
        <f>E6/E9</f>
        <v>0.21962955967914544</v>
      </c>
      <c r="F43" s="89">
        <f t="shared" ref="F43:U43" si="41">F6/F9</f>
        <v>0.23359757048078125</v>
      </c>
      <c r="G43" s="89">
        <f t="shared" si="41"/>
        <v>0.24309404648043531</v>
      </c>
      <c r="H43" s="89">
        <f t="shared" si="41"/>
        <v>0.21123870425098765</v>
      </c>
      <c r="I43" s="89">
        <f t="shared" si="41"/>
        <v>0.20483656190451852</v>
      </c>
      <c r="J43" s="89">
        <f t="shared" si="41"/>
        <v>0.36370911175153148</v>
      </c>
      <c r="K43" s="89">
        <f t="shared" si="41"/>
        <v>0.35692090763077489</v>
      </c>
      <c r="L43" s="89">
        <f t="shared" si="41"/>
        <v>0.27741655372018231</v>
      </c>
      <c r="M43" s="89">
        <f t="shared" si="41"/>
        <v>0.22923393885639587</v>
      </c>
      <c r="N43" s="212">
        <f t="shared" si="41"/>
        <v>0.1851364285024413</v>
      </c>
      <c r="O43" s="212">
        <f t="shared" si="41"/>
        <v>0.33028963196969024</v>
      </c>
      <c r="P43" s="212">
        <f t="shared" si="41"/>
        <v>0.21231292611566496</v>
      </c>
      <c r="Q43" s="212" t="e">
        <f t="shared" si="41"/>
        <v>#DIV/0!</v>
      </c>
      <c r="R43" s="212" t="e">
        <f t="shared" si="41"/>
        <v>#DIV/0!</v>
      </c>
      <c r="S43" s="212" t="e">
        <f t="shared" si="41"/>
        <v>#DIV/0!</v>
      </c>
      <c r="T43" s="212" t="e">
        <f t="shared" si="41"/>
        <v>#DIV/0!</v>
      </c>
      <c r="U43" s="212" t="e">
        <f t="shared" si="41"/>
        <v>#DIV/0!</v>
      </c>
    </row>
    <row r="44" spans="1:89" x14ac:dyDescent="0.25">
      <c r="A44" s="182" t="s">
        <v>336</v>
      </c>
      <c r="B44" s="64"/>
      <c r="C44" s="64"/>
      <c r="D44" s="64"/>
      <c r="E44" s="89">
        <f>E7/E9</f>
        <v>0.46597690823635923</v>
      </c>
      <c r="F44" s="89">
        <f t="shared" ref="F44:U44" si="42">F7/F9</f>
        <v>0.44258201202894271</v>
      </c>
      <c r="G44" s="89">
        <f t="shared" si="42"/>
        <v>0.45994341019653467</v>
      </c>
      <c r="H44" s="89">
        <f t="shared" si="42"/>
        <v>0.43597284073994086</v>
      </c>
      <c r="I44" s="89">
        <f t="shared" si="42"/>
        <v>0.41978031708165381</v>
      </c>
      <c r="J44" s="89">
        <f t="shared" si="42"/>
        <v>0.78626570010510366</v>
      </c>
      <c r="K44" s="89">
        <f t="shared" si="42"/>
        <v>0.85611015451494543</v>
      </c>
      <c r="L44" s="89">
        <f t="shared" si="42"/>
        <v>0.75771180013952333</v>
      </c>
      <c r="M44" s="89">
        <f t="shared" si="42"/>
        <v>0.83529639868839234</v>
      </c>
      <c r="N44" s="212">
        <f t="shared" si="42"/>
        <v>0.80462159246572784</v>
      </c>
      <c r="O44" s="212">
        <f t="shared" si="42"/>
        <v>0.54603872607915194</v>
      </c>
      <c r="P44" s="212">
        <f t="shared" si="42"/>
        <v>0.54850252739042038</v>
      </c>
      <c r="Q44" s="212" t="e">
        <f t="shared" si="42"/>
        <v>#DIV/0!</v>
      </c>
      <c r="R44" s="212" t="e">
        <f t="shared" si="42"/>
        <v>#DIV/0!</v>
      </c>
      <c r="S44" s="212" t="e">
        <f t="shared" si="42"/>
        <v>#DIV/0!</v>
      </c>
      <c r="T44" s="212" t="e">
        <f t="shared" si="42"/>
        <v>#DIV/0!</v>
      </c>
      <c r="U44" s="212" t="e">
        <f t="shared" si="42"/>
        <v>#DIV/0!</v>
      </c>
    </row>
    <row r="45" spans="1:89" s="223" customFormat="1" x14ac:dyDescent="0.25">
      <c r="A45" s="220" t="s">
        <v>337</v>
      </c>
      <c r="B45" s="221"/>
      <c r="C45" s="221"/>
      <c r="D45" s="221"/>
      <c r="E45" s="222">
        <f>E8/E9</f>
        <v>0.64131120430633715</v>
      </c>
      <c r="F45" s="222">
        <f t="shared" ref="F45:U45" si="43">F8/F9</f>
        <v>0.74131034652652961</v>
      </c>
      <c r="G45" s="222">
        <f t="shared" si="43"/>
        <v>0.63959459206824176</v>
      </c>
      <c r="H45" s="222">
        <f t="shared" si="43"/>
        <v>0.48086150888825058</v>
      </c>
      <c r="I45" s="222">
        <f t="shared" si="43"/>
        <v>0.5837622696038095</v>
      </c>
      <c r="J45" s="222">
        <f t="shared" si="43"/>
        <v>0.68900246758426964</v>
      </c>
      <c r="K45" s="222">
        <f t="shared" si="43"/>
        <v>0.75440208789218188</v>
      </c>
      <c r="L45" s="222">
        <f t="shared" si="43"/>
        <v>0.64170212210167421</v>
      </c>
      <c r="M45" s="222">
        <f t="shared" si="43"/>
        <v>0.75252244257085299</v>
      </c>
      <c r="N45" s="222">
        <f t="shared" si="43"/>
        <v>0.75603911941107738</v>
      </c>
      <c r="O45" s="222">
        <f t="shared" si="43"/>
        <v>0.59847213111956676</v>
      </c>
      <c r="P45" s="222">
        <f t="shared" si="43"/>
        <v>0.54684560334552934</v>
      </c>
      <c r="Q45" s="222" t="e">
        <f t="shared" si="43"/>
        <v>#DIV/0!</v>
      </c>
      <c r="R45" s="222" t="e">
        <f t="shared" si="43"/>
        <v>#DIV/0!</v>
      </c>
      <c r="S45" s="222" t="e">
        <f t="shared" si="43"/>
        <v>#DIV/0!</v>
      </c>
      <c r="T45" s="222" t="e">
        <f t="shared" si="43"/>
        <v>#DIV/0!</v>
      </c>
      <c r="U45" s="222" t="e">
        <f t="shared" si="43"/>
        <v>#DIV/0!</v>
      </c>
    </row>
    <row r="46" spans="1:89" x14ac:dyDescent="0.25">
      <c r="A46" s="183" t="s">
        <v>338</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2">
        <f t="shared" si="44"/>
        <v>1</v>
      </c>
      <c r="O46" s="212">
        <f t="shared" si="44"/>
        <v>1</v>
      </c>
      <c r="P46" s="212">
        <f t="shared" si="44"/>
        <v>1</v>
      </c>
      <c r="Q46" s="212" t="e">
        <f t="shared" si="44"/>
        <v>#DIV/0!</v>
      </c>
      <c r="R46" s="212" t="e">
        <f t="shared" si="44"/>
        <v>#DIV/0!</v>
      </c>
      <c r="S46" s="212" t="e">
        <f t="shared" si="44"/>
        <v>#DIV/0!</v>
      </c>
      <c r="T46" s="212" t="e">
        <f t="shared" si="44"/>
        <v>#DIV/0!</v>
      </c>
      <c r="U46" s="212" t="e">
        <f t="shared" si="44"/>
        <v>#DIV/0!</v>
      </c>
    </row>
    <row r="47" spans="1:89" x14ac:dyDescent="0.25">
      <c r="A47" s="182" t="s">
        <v>339</v>
      </c>
      <c r="B47" s="64"/>
      <c r="C47" s="64"/>
      <c r="D47" s="64"/>
      <c r="E47" s="89">
        <f>E10/E14</f>
        <v>0</v>
      </c>
      <c r="F47" s="89">
        <f t="shared" ref="F47:U47" si="45">F10/F14</f>
        <v>0</v>
      </c>
      <c r="G47" s="89">
        <f t="shared" si="45"/>
        <v>0</v>
      </c>
      <c r="H47" s="89">
        <f t="shared" si="45"/>
        <v>3.2276032826223953E-2</v>
      </c>
      <c r="I47" s="89">
        <f t="shared" si="45"/>
        <v>5.4842751398616031E-2</v>
      </c>
      <c r="J47" s="89">
        <f t="shared" si="45"/>
        <v>0.15105544402030952</v>
      </c>
      <c r="K47" s="89">
        <f t="shared" si="45"/>
        <v>0.16451377827032521</v>
      </c>
      <c r="L47" s="89">
        <f t="shared" si="45"/>
        <v>9.0486394658694666E-2</v>
      </c>
      <c r="M47" s="89">
        <f t="shared" si="45"/>
        <v>8.6665950265393851E-2</v>
      </c>
      <c r="N47" s="212">
        <f t="shared" si="45"/>
        <v>0.18722220178380725</v>
      </c>
      <c r="O47" s="212">
        <f t="shared" si="45"/>
        <v>0.19969577738733704</v>
      </c>
      <c r="P47" s="212">
        <f t="shared" si="45"/>
        <v>7.9992373284627855E-2</v>
      </c>
      <c r="Q47" s="212" t="e">
        <f t="shared" si="45"/>
        <v>#DIV/0!</v>
      </c>
      <c r="R47" s="212" t="e">
        <f t="shared" si="45"/>
        <v>#DIV/0!</v>
      </c>
      <c r="S47" s="212" t="e">
        <f t="shared" si="45"/>
        <v>#DIV/0!</v>
      </c>
      <c r="T47" s="212" t="e">
        <f t="shared" si="45"/>
        <v>#DIV/0!</v>
      </c>
      <c r="U47" s="212" t="e">
        <f t="shared" si="45"/>
        <v>#DIV/0!</v>
      </c>
    </row>
    <row r="48" spans="1:89" x14ac:dyDescent="0.25">
      <c r="A48" s="182" t="s">
        <v>340</v>
      </c>
      <c r="B48" s="64"/>
      <c r="C48" s="64"/>
      <c r="D48" s="64"/>
      <c r="E48" s="89">
        <f>E11/E14</f>
        <v>0</v>
      </c>
      <c r="F48" s="89">
        <f t="shared" ref="F48:U48" si="46">F11/F14</f>
        <v>0</v>
      </c>
      <c r="G48" s="89">
        <f t="shared" si="46"/>
        <v>0</v>
      </c>
      <c r="H48" s="89">
        <f t="shared" si="46"/>
        <v>9.4555332522922361E-3</v>
      </c>
      <c r="I48" s="89">
        <f t="shared" si="46"/>
        <v>1.7332561140317646E-2</v>
      </c>
      <c r="J48" s="89">
        <f t="shared" si="46"/>
        <v>5.0396172982297031E-2</v>
      </c>
      <c r="K48" s="89">
        <f t="shared" si="46"/>
        <v>5.3998217106566514E-2</v>
      </c>
      <c r="L48" s="89">
        <f t="shared" si="46"/>
        <v>6.8577639645491809E-2</v>
      </c>
      <c r="M48" s="89">
        <f t="shared" si="46"/>
        <v>0.12345472851358015</v>
      </c>
      <c r="N48" s="212">
        <f t="shared" si="46"/>
        <v>0.17239748155212922</v>
      </c>
      <c r="O48" s="212">
        <f t="shared" si="46"/>
        <v>1.6306002407429503E-2</v>
      </c>
      <c r="P48" s="212">
        <f t="shared" si="46"/>
        <v>2.0552448804066755E-2</v>
      </c>
      <c r="Q48" s="212" t="e">
        <f t="shared" si="46"/>
        <v>#DIV/0!</v>
      </c>
      <c r="R48" s="212" t="e">
        <f t="shared" si="46"/>
        <v>#DIV/0!</v>
      </c>
      <c r="S48" s="212" t="e">
        <f t="shared" si="46"/>
        <v>#DIV/0!</v>
      </c>
      <c r="T48" s="212" t="e">
        <f t="shared" si="46"/>
        <v>#DIV/0!</v>
      </c>
      <c r="U48" s="212" t="e">
        <f t="shared" si="46"/>
        <v>#DIV/0!</v>
      </c>
    </row>
    <row r="49" spans="1:21" x14ac:dyDescent="0.25">
      <c r="A49" s="182" t="s">
        <v>341</v>
      </c>
      <c r="B49" s="64"/>
      <c r="C49" s="64"/>
      <c r="D49" s="64"/>
      <c r="E49" s="89">
        <f>E12/E14</f>
        <v>0</v>
      </c>
      <c r="F49" s="89">
        <f t="shared" ref="F49:U49" si="47">F12/F14</f>
        <v>0</v>
      </c>
      <c r="G49" s="89">
        <f t="shared" si="47"/>
        <v>0</v>
      </c>
      <c r="H49" s="89">
        <f t="shared" si="47"/>
        <v>4.1731566078516191E-2</v>
      </c>
      <c r="I49" s="89">
        <f t="shared" si="47"/>
        <v>7.2175312538933681E-2</v>
      </c>
      <c r="J49" s="89">
        <f t="shared" si="47"/>
        <v>0.20145161700260653</v>
      </c>
      <c r="K49" s="89">
        <f t="shared" si="47"/>
        <v>0.21851199537689173</v>
      </c>
      <c r="L49" s="89">
        <f t="shared" si="47"/>
        <v>0.15906403430418647</v>
      </c>
      <c r="M49" s="89">
        <f t="shared" si="47"/>
        <v>0.210120678778974</v>
      </c>
      <c r="N49" s="212">
        <f t="shared" si="47"/>
        <v>0.35961968333593647</v>
      </c>
      <c r="O49" s="212">
        <f t="shared" si="47"/>
        <v>0.21600177979476654</v>
      </c>
      <c r="P49" s="212">
        <f t="shared" si="47"/>
        <v>0.1005448220886946</v>
      </c>
      <c r="Q49" s="212" t="e">
        <f t="shared" si="47"/>
        <v>#DIV/0!</v>
      </c>
      <c r="R49" s="212" t="e">
        <f t="shared" si="47"/>
        <v>#DIV/0!</v>
      </c>
      <c r="S49" s="212" t="e">
        <f t="shared" si="47"/>
        <v>#DIV/0!</v>
      </c>
      <c r="T49" s="212" t="e">
        <f t="shared" si="47"/>
        <v>#DIV/0!</v>
      </c>
      <c r="U49" s="212" t="e">
        <f t="shared" si="47"/>
        <v>#DIV/0!</v>
      </c>
    </row>
    <row r="50" spans="1:21" x14ac:dyDescent="0.25">
      <c r="A50" s="182" t="s">
        <v>345</v>
      </c>
      <c r="B50" s="64"/>
      <c r="C50" s="64"/>
      <c r="D50" s="64"/>
      <c r="E50" s="89">
        <f>E13/E14</f>
        <v>1</v>
      </c>
      <c r="F50" s="89">
        <f t="shared" ref="F50:U50" si="48">F13/F14</f>
        <v>1</v>
      </c>
      <c r="G50" s="89">
        <f t="shared" si="48"/>
        <v>1</v>
      </c>
      <c r="H50" s="89">
        <f t="shared" si="48"/>
        <v>0.95826843392148386</v>
      </c>
      <c r="I50" s="89">
        <f t="shared" si="48"/>
        <v>0.92782468746106639</v>
      </c>
      <c r="J50" s="89">
        <f t="shared" si="48"/>
        <v>0.7985483829973935</v>
      </c>
      <c r="K50" s="89">
        <f t="shared" si="48"/>
        <v>0.7814880046231083</v>
      </c>
      <c r="L50" s="89">
        <f t="shared" si="48"/>
        <v>0.84093596569581353</v>
      </c>
      <c r="M50" s="89">
        <f t="shared" si="48"/>
        <v>0.789879321221026</v>
      </c>
      <c r="N50" s="212">
        <f t="shared" si="48"/>
        <v>0.64038031666406359</v>
      </c>
      <c r="O50" s="212">
        <f t="shared" si="48"/>
        <v>0.78399822020523346</v>
      </c>
      <c r="P50" s="212">
        <f t="shared" si="48"/>
        <v>0.89945517791130547</v>
      </c>
      <c r="Q50" s="212" t="e">
        <f t="shared" si="48"/>
        <v>#DIV/0!</v>
      </c>
      <c r="R50" s="212" t="e">
        <f t="shared" si="48"/>
        <v>#DIV/0!</v>
      </c>
      <c r="S50" s="212" t="e">
        <f t="shared" si="48"/>
        <v>#DIV/0!</v>
      </c>
      <c r="T50" s="212" t="e">
        <f t="shared" si="48"/>
        <v>#DIV/0!</v>
      </c>
      <c r="U50" s="212" t="e">
        <f t="shared" si="48"/>
        <v>#DIV/0!</v>
      </c>
    </row>
    <row r="51" spans="1:21" x14ac:dyDescent="0.25">
      <c r="A51" s="183" t="s">
        <v>342</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2">
        <f t="shared" si="49"/>
        <v>1</v>
      </c>
      <c r="O51" s="212">
        <f t="shared" si="49"/>
        <v>1</v>
      </c>
      <c r="P51" s="212">
        <f t="shared" si="49"/>
        <v>1</v>
      </c>
      <c r="Q51" s="212" t="e">
        <f t="shared" si="49"/>
        <v>#DIV/0!</v>
      </c>
      <c r="R51" s="212" t="e">
        <f t="shared" si="49"/>
        <v>#DIV/0!</v>
      </c>
      <c r="S51" s="212" t="e">
        <f t="shared" si="49"/>
        <v>#DIV/0!</v>
      </c>
      <c r="T51" s="212" t="e">
        <f t="shared" si="49"/>
        <v>#DIV/0!</v>
      </c>
      <c r="U51" s="212" t="e">
        <f t="shared" si="49"/>
        <v>#DIV/0!</v>
      </c>
    </row>
    <row r="54" spans="1:21" s="9" customFormat="1" x14ac:dyDescent="0.25">
      <c r="A54" s="227" t="s">
        <v>640</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42369</v>
      </c>
      <c r="M54" s="229">
        <f t="shared" si="50"/>
        <v>42004</v>
      </c>
      <c r="N54" s="229">
        <f t="shared" si="50"/>
        <v>41639</v>
      </c>
      <c r="O54" s="229">
        <f t="shared" si="50"/>
        <v>41274</v>
      </c>
      <c r="P54" s="229">
        <f t="shared" si="50"/>
        <v>40908</v>
      </c>
      <c r="Q54" s="229">
        <f t="shared" si="50"/>
        <v>25569</v>
      </c>
      <c r="R54" s="229">
        <f t="shared" si="50"/>
        <v>0</v>
      </c>
      <c r="S54" s="229">
        <f t="shared" si="50"/>
        <v>0</v>
      </c>
      <c r="T54" s="229">
        <f t="shared" si="50"/>
        <v>0</v>
      </c>
      <c r="U54" s="229">
        <f t="shared" si="50"/>
        <v>0</v>
      </c>
    </row>
    <row r="55" spans="1:21" x14ac:dyDescent="0.25">
      <c r="A55" s="182" t="s">
        <v>644</v>
      </c>
      <c r="B55" s="64"/>
      <c r="C55" s="64"/>
      <c r="D55" s="64"/>
      <c r="E55" s="212">
        <f>E2/E9</f>
        <v>0.32854873917419702</v>
      </c>
      <c r="F55" s="212">
        <f t="shared" ref="F55:U55" si="51">F2/F9</f>
        <v>0.25868965347347045</v>
      </c>
      <c r="G55" s="212">
        <f t="shared" si="51"/>
        <v>0.36040540793175818</v>
      </c>
      <c r="H55" s="212">
        <f t="shared" si="51"/>
        <v>0.51913849111174948</v>
      </c>
      <c r="I55" s="212">
        <f t="shared" si="51"/>
        <v>0.4162377303961905</v>
      </c>
      <c r="J55" s="212">
        <f t="shared" si="51"/>
        <v>0.3109975324157303</v>
      </c>
      <c r="K55" s="212">
        <f t="shared" si="51"/>
        <v>0.24559791210781812</v>
      </c>
      <c r="L55" s="212">
        <f t="shared" si="51"/>
        <v>0.35829787789832579</v>
      </c>
      <c r="M55" s="212">
        <f t="shared" si="51"/>
        <v>0.24747755742914701</v>
      </c>
      <c r="N55" s="212">
        <f t="shared" si="51"/>
        <v>0.24396088058892268</v>
      </c>
      <c r="O55" s="212">
        <f t="shared" si="51"/>
        <v>0.39849469017989569</v>
      </c>
      <c r="P55" s="212">
        <f t="shared" si="51"/>
        <v>0.44894427174475343</v>
      </c>
      <c r="Q55" s="212" t="e">
        <f t="shared" si="51"/>
        <v>#DIV/0!</v>
      </c>
      <c r="R55" s="212" t="e">
        <f t="shared" si="51"/>
        <v>#DIV/0!</v>
      </c>
      <c r="S55" s="212" t="e">
        <f t="shared" si="51"/>
        <v>#DIV/0!</v>
      </c>
      <c r="T55" s="212" t="e">
        <f t="shared" si="51"/>
        <v>#DIV/0!</v>
      </c>
      <c r="U55" s="212" t="e">
        <f t="shared" si="51"/>
        <v>#DIV/0!</v>
      </c>
    </row>
    <row r="56" spans="1:21" x14ac:dyDescent="0.25">
      <c r="A56" s="182" t="s">
        <v>645</v>
      </c>
      <c r="B56" s="64"/>
      <c r="C56" s="64"/>
      <c r="D56" s="64"/>
      <c r="E56" s="212">
        <f>E4/E9</f>
        <v>0.17533429606997786</v>
      </c>
      <c r="F56" s="212">
        <f t="shared" ref="F56:U56" si="52">F4/F9</f>
        <v>0.2987283344975869</v>
      </c>
      <c r="G56" s="212">
        <f t="shared" si="52"/>
        <v>0.17965118187170706</v>
      </c>
      <c r="H56" s="212">
        <f t="shared" si="52"/>
        <v>4.4888668148309746E-2</v>
      </c>
      <c r="I56" s="212">
        <f t="shared" si="52"/>
        <v>0.16398195252215572</v>
      </c>
      <c r="J56" s="212">
        <f t="shared" si="52"/>
        <v>-9.7263232520833909E-2</v>
      </c>
      <c r="K56" s="212">
        <f t="shared" si="52"/>
        <v>-0.10170806662276352</v>
      </c>
      <c r="L56" s="212">
        <f t="shared" si="52"/>
        <v>-0.11600967803784913</v>
      </c>
      <c r="M56" s="212">
        <f t="shared" si="52"/>
        <v>-8.2773956117539377E-2</v>
      </c>
      <c r="N56" s="212">
        <f t="shared" si="52"/>
        <v>-4.8582473054650473E-2</v>
      </c>
      <c r="O56" s="212">
        <f t="shared" si="52"/>
        <v>5.2433405040414771E-2</v>
      </c>
      <c r="P56" s="212">
        <f t="shared" si="52"/>
        <v>-1.6569240448911131E-3</v>
      </c>
      <c r="Q56" s="212" t="e">
        <f t="shared" si="52"/>
        <v>#DIV/0!</v>
      </c>
      <c r="R56" s="212" t="e">
        <f t="shared" si="52"/>
        <v>#DIV/0!</v>
      </c>
      <c r="S56" s="212" t="e">
        <f t="shared" si="52"/>
        <v>#DIV/0!</v>
      </c>
      <c r="T56" s="212" t="e">
        <f t="shared" si="52"/>
        <v>#DIV/0!</v>
      </c>
      <c r="U56" s="212" t="e">
        <f t="shared" si="52"/>
        <v>#DIV/0!</v>
      </c>
    </row>
    <row r="57" spans="1:21" x14ac:dyDescent="0.25">
      <c r="A57" s="182" t="s">
        <v>646</v>
      </c>
      <c r="B57" s="64"/>
      <c r="C57" s="64"/>
      <c r="D57" s="64"/>
      <c r="E57" s="212">
        <f>E5/E9</f>
        <v>0.39496385574912329</v>
      </c>
      <c r="F57" s="212">
        <f t="shared" ref="F57:U57" si="53">F5/F9</f>
        <v>0.53232590497836807</v>
      </c>
      <c r="G57" s="212">
        <f t="shared" si="53"/>
        <v>0.4227452283521424</v>
      </c>
      <c r="H57" s="212">
        <f t="shared" si="53"/>
        <v>0.25612737239929739</v>
      </c>
      <c r="I57" s="212">
        <f t="shared" si="53"/>
        <v>0.36881851442667424</v>
      </c>
      <c r="J57" s="212">
        <f t="shared" si="53"/>
        <v>0.26644587923069757</v>
      </c>
      <c r="K57" s="212">
        <f t="shared" si="53"/>
        <v>0.25521284100801139</v>
      </c>
      <c r="L57" s="212">
        <f t="shared" si="53"/>
        <v>0.16140687568233314</v>
      </c>
      <c r="M57" s="212">
        <f t="shared" si="53"/>
        <v>0.14645998273885649</v>
      </c>
      <c r="N57" s="212">
        <f t="shared" si="53"/>
        <v>0.13655395544779084</v>
      </c>
      <c r="O57" s="212">
        <f t="shared" si="53"/>
        <v>0.38272303701010502</v>
      </c>
      <c r="P57" s="212">
        <f t="shared" si="53"/>
        <v>0.21065600207077384</v>
      </c>
      <c r="Q57" s="212" t="e">
        <f t="shared" si="53"/>
        <v>#DIV/0!</v>
      </c>
      <c r="R57" s="212" t="e">
        <f t="shared" si="53"/>
        <v>#DIV/0!</v>
      </c>
      <c r="S57" s="212" t="e">
        <f t="shared" si="53"/>
        <v>#DIV/0!</v>
      </c>
      <c r="T57" s="212" t="e">
        <f t="shared" si="53"/>
        <v>#DIV/0!</v>
      </c>
      <c r="U57" s="212" t="e">
        <f t="shared" si="53"/>
        <v>#DIV/0!</v>
      </c>
    </row>
    <row r="58" spans="1:21" x14ac:dyDescent="0.25">
      <c r="A58" s="182" t="s">
        <v>647</v>
      </c>
      <c r="B58" s="64"/>
      <c r="C58" s="64"/>
      <c r="D58" s="64"/>
      <c r="E58" s="212">
        <f>E6/E9</f>
        <v>0.21962955967914544</v>
      </c>
      <c r="F58" s="212">
        <f t="shared" ref="F58:U58" si="54">F6/F9</f>
        <v>0.23359757048078125</v>
      </c>
      <c r="G58" s="212">
        <f t="shared" si="54"/>
        <v>0.24309404648043531</v>
      </c>
      <c r="H58" s="212">
        <f t="shared" si="54"/>
        <v>0.21123870425098765</v>
      </c>
      <c r="I58" s="212">
        <f t="shared" si="54"/>
        <v>0.20483656190451852</v>
      </c>
      <c r="J58" s="212">
        <f t="shared" si="54"/>
        <v>0.36370911175153148</v>
      </c>
      <c r="K58" s="212">
        <f t="shared" si="54"/>
        <v>0.35692090763077489</v>
      </c>
      <c r="L58" s="212">
        <f t="shared" si="54"/>
        <v>0.27741655372018231</v>
      </c>
      <c r="M58" s="212">
        <f t="shared" si="54"/>
        <v>0.22923393885639587</v>
      </c>
      <c r="N58" s="212">
        <f t="shared" si="54"/>
        <v>0.1851364285024413</v>
      </c>
      <c r="O58" s="212">
        <f t="shared" si="54"/>
        <v>0.33028963196969024</v>
      </c>
      <c r="P58" s="212">
        <f t="shared" si="54"/>
        <v>0.21231292611566496</v>
      </c>
      <c r="Q58" s="212" t="e">
        <f t="shared" si="54"/>
        <v>#DIV/0!</v>
      </c>
      <c r="R58" s="212" t="e">
        <f t="shared" si="54"/>
        <v>#DIV/0!</v>
      </c>
      <c r="S58" s="212" t="e">
        <f t="shared" si="54"/>
        <v>#DIV/0!</v>
      </c>
      <c r="T58" s="212" t="e">
        <f t="shared" si="54"/>
        <v>#DIV/0!</v>
      </c>
      <c r="U58" s="212" t="e">
        <f t="shared" si="54"/>
        <v>#DIV/0!</v>
      </c>
    </row>
    <row r="59" spans="1:21" s="223" customFormat="1" x14ac:dyDescent="0.25">
      <c r="A59" s="225" t="s">
        <v>641</v>
      </c>
      <c r="B59" s="221"/>
      <c r="C59" s="221"/>
      <c r="D59" s="221"/>
      <c r="E59" s="222">
        <f>E55+E56</f>
        <v>0.50388303524417488</v>
      </c>
      <c r="F59" s="222">
        <f t="shared" ref="F59:U59" si="55">F55+F56</f>
        <v>0.55741798797105735</v>
      </c>
      <c r="G59" s="222">
        <f t="shared" si="55"/>
        <v>0.54005658980346527</v>
      </c>
      <c r="H59" s="222">
        <f t="shared" si="55"/>
        <v>0.5640271592600592</v>
      </c>
      <c r="I59" s="222">
        <f t="shared" si="55"/>
        <v>0.58021968291834625</v>
      </c>
      <c r="J59" s="222">
        <f t="shared" si="55"/>
        <v>0.2137342998948964</v>
      </c>
      <c r="K59" s="222">
        <f t="shared" si="55"/>
        <v>0.1438898454850546</v>
      </c>
      <c r="L59" s="222">
        <f t="shared" si="55"/>
        <v>0.24228819986047667</v>
      </c>
      <c r="M59" s="222">
        <f t="shared" si="55"/>
        <v>0.16470360131160763</v>
      </c>
      <c r="N59" s="222">
        <f t="shared" si="55"/>
        <v>0.19537840753427221</v>
      </c>
      <c r="O59" s="222">
        <f t="shared" si="55"/>
        <v>0.45092809522031047</v>
      </c>
      <c r="P59" s="222">
        <f t="shared" si="55"/>
        <v>0.44728734769986234</v>
      </c>
      <c r="Q59" s="222" t="e">
        <f t="shared" si="55"/>
        <v>#DIV/0!</v>
      </c>
      <c r="R59" s="222" t="e">
        <f t="shared" si="55"/>
        <v>#DIV/0!</v>
      </c>
      <c r="S59" s="222" t="e">
        <f t="shared" si="55"/>
        <v>#DIV/0!</v>
      </c>
      <c r="T59" s="222" t="e">
        <f t="shared" si="55"/>
        <v>#DIV/0!</v>
      </c>
      <c r="U59" s="222" t="e">
        <f t="shared" si="55"/>
        <v>#DIV/0!</v>
      </c>
    </row>
    <row r="60" spans="1:21" x14ac:dyDescent="0.25">
      <c r="A60" s="182" t="s">
        <v>648</v>
      </c>
      <c r="B60" s="64"/>
      <c r="C60" s="64"/>
      <c r="D60" s="64"/>
      <c r="E60" s="212">
        <f>E3/E9</f>
        <v>3.0140056519465851E-2</v>
      </c>
      <c r="F60" s="212">
        <f t="shared" ref="F60:U60" si="56">F3/F9</f>
        <v>0</v>
      </c>
      <c r="G60" s="212">
        <f t="shared" si="56"/>
        <v>0</v>
      </c>
      <c r="H60" s="212">
        <f t="shared" si="56"/>
        <v>0</v>
      </c>
      <c r="I60" s="212">
        <f t="shared" si="56"/>
        <v>0</v>
      </c>
      <c r="J60" s="212">
        <f t="shared" si="56"/>
        <v>0</v>
      </c>
      <c r="K60" s="212">
        <f t="shared" si="56"/>
        <v>0</v>
      </c>
      <c r="L60" s="212">
        <f t="shared" si="56"/>
        <v>0</v>
      </c>
      <c r="M60" s="212">
        <f t="shared" si="56"/>
        <v>0</v>
      </c>
      <c r="N60" s="212">
        <f t="shared" si="56"/>
        <v>0</v>
      </c>
      <c r="O60" s="212">
        <f t="shared" si="56"/>
        <v>3.0331787005374589E-3</v>
      </c>
      <c r="P60" s="212">
        <f t="shared" si="56"/>
        <v>4.2101249097172555E-3</v>
      </c>
      <c r="Q60" s="212" t="e">
        <f t="shared" si="56"/>
        <v>#DIV/0!</v>
      </c>
      <c r="R60" s="212" t="e">
        <f t="shared" si="56"/>
        <v>#DIV/0!</v>
      </c>
      <c r="S60" s="212" t="e">
        <f t="shared" si="56"/>
        <v>#DIV/0!</v>
      </c>
      <c r="T60" s="212" t="e">
        <f t="shared" si="56"/>
        <v>#DIV/0!</v>
      </c>
      <c r="U60" s="212" t="e">
        <f t="shared" si="56"/>
        <v>#DIV/0!</v>
      </c>
    </row>
    <row r="61" spans="1:21" x14ac:dyDescent="0.25">
      <c r="A61" s="182" t="s">
        <v>649</v>
      </c>
      <c r="B61" s="64"/>
      <c r="C61" s="64"/>
      <c r="D61" s="64"/>
      <c r="E61" s="212">
        <f>E7/E9</f>
        <v>0.46597690823635923</v>
      </c>
      <c r="F61" s="212">
        <f t="shared" ref="F61:U61" si="57">F7/F9</f>
        <v>0.44258201202894271</v>
      </c>
      <c r="G61" s="212">
        <f t="shared" si="57"/>
        <v>0.45994341019653467</v>
      </c>
      <c r="H61" s="212">
        <f t="shared" si="57"/>
        <v>0.43597284073994086</v>
      </c>
      <c r="I61" s="212">
        <f t="shared" si="57"/>
        <v>0.41978031708165381</v>
      </c>
      <c r="J61" s="212">
        <f t="shared" si="57"/>
        <v>0.78626570010510366</v>
      </c>
      <c r="K61" s="212">
        <f t="shared" si="57"/>
        <v>0.85611015451494543</v>
      </c>
      <c r="L61" s="212">
        <f t="shared" si="57"/>
        <v>0.75771180013952333</v>
      </c>
      <c r="M61" s="212">
        <f t="shared" si="57"/>
        <v>0.83529639868839234</v>
      </c>
      <c r="N61" s="212">
        <f t="shared" si="57"/>
        <v>0.80462159246572784</v>
      </c>
      <c r="O61" s="212">
        <f t="shared" si="57"/>
        <v>0.54603872607915194</v>
      </c>
      <c r="P61" s="212">
        <f t="shared" si="57"/>
        <v>0.54850252739042038</v>
      </c>
      <c r="Q61" s="212" t="e">
        <f t="shared" si="57"/>
        <v>#DIV/0!</v>
      </c>
      <c r="R61" s="212" t="e">
        <f t="shared" si="57"/>
        <v>#DIV/0!</v>
      </c>
      <c r="S61" s="212" t="e">
        <f t="shared" si="57"/>
        <v>#DIV/0!</v>
      </c>
      <c r="T61" s="212" t="e">
        <f t="shared" si="57"/>
        <v>#DIV/0!</v>
      </c>
      <c r="U61" s="212" t="e">
        <f t="shared" si="57"/>
        <v>#DIV/0!</v>
      </c>
    </row>
    <row r="62" spans="1:21" s="223" customFormat="1" x14ac:dyDescent="0.25">
      <c r="A62" s="225" t="s">
        <v>642</v>
      </c>
      <c r="B62" s="221"/>
      <c r="C62" s="221"/>
      <c r="D62" s="221"/>
      <c r="E62" s="222">
        <f>E60+E61</f>
        <v>0.49611696475582506</v>
      </c>
      <c r="F62" s="222">
        <f t="shared" ref="F62:M62" si="58">F60+F61</f>
        <v>0.44258201202894271</v>
      </c>
      <c r="G62" s="222">
        <f t="shared" si="58"/>
        <v>0.45994341019653467</v>
      </c>
      <c r="H62" s="222">
        <f t="shared" si="58"/>
        <v>0.43597284073994086</v>
      </c>
      <c r="I62" s="222">
        <f t="shared" si="58"/>
        <v>0.41978031708165381</v>
      </c>
      <c r="J62" s="222">
        <f t="shared" si="58"/>
        <v>0.78626570010510366</v>
      </c>
      <c r="K62" s="222">
        <f t="shared" si="58"/>
        <v>0.85611015451494543</v>
      </c>
      <c r="L62" s="222">
        <f t="shared" si="58"/>
        <v>0.75771180013952333</v>
      </c>
      <c r="M62" s="222">
        <f t="shared" si="58"/>
        <v>0.83529639868839234</v>
      </c>
      <c r="N62" s="222">
        <f t="shared" ref="N62" si="59">N60+N61</f>
        <v>0.80462159246572784</v>
      </c>
      <c r="O62" s="222">
        <f t="shared" ref="O62" si="60">O60+O61</f>
        <v>0.54907190477968937</v>
      </c>
      <c r="P62" s="222">
        <f t="shared" ref="P62" si="61">P60+P61</f>
        <v>0.55271265230013766</v>
      </c>
      <c r="Q62" s="222" t="e">
        <f t="shared" ref="Q62" si="62">Q60+Q61</f>
        <v>#DIV/0!</v>
      </c>
      <c r="R62" s="222" t="e">
        <f t="shared" ref="R62" si="63">R60+R61</f>
        <v>#DIV/0!</v>
      </c>
      <c r="S62" s="222" t="e">
        <f t="shared" ref="S62" si="64">S60+S61</f>
        <v>#DIV/0!</v>
      </c>
      <c r="T62" s="222" t="e">
        <f t="shared" ref="T62" si="65">T60+T61</f>
        <v>#DIV/0!</v>
      </c>
      <c r="U62" s="222" t="e">
        <f t="shared" ref="U62" si="66">U60+U61</f>
        <v>#DIV/0!</v>
      </c>
    </row>
    <row r="63" spans="1:21" x14ac:dyDescent="0.25">
      <c r="A63" s="224" t="s">
        <v>643</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0" t="s">
        <v>699</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0" t="s">
        <v>650</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42369</v>
      </c>
      <c r="M66" s="231">
        <f t="shared" si="67"/>
        <v>42004</v>
      </c>
      <c r="N66" s="231">
        <f t="shared" si="67"/>
        <v>41639</v>
      </c>
      <c r="O66" s="231">
        <f t="shared" si="67"/>
        <v>41274</v>
      </c>
      <c r="P66" s="231">
        <f t="shared" si="67"/>
        <v>40908</v>
      </c>
      <c r="Q66" s="231">
        <f t="shared" si="67"/>
        <v>25569</v>
      </c>
      <c r="R66" s="231">
        <f t="shared" si="67"/>
        <v>0</v>
      </c>
      <c r="S66" s="231">
        <f t="shared" si="67"/>
        <v>0</v>
      </c>
      <c r="T66" s="231">
        <f t="shared" si="67"/>
        <v>0</v>
      </c>
      <c r="U66" s="231">
        <f t="shared" si="67"/>
        <v>0</v>
      </c>
    </row>
    <row r="67" spans="1:21" x14ac:dyDescent="0.25">
      <c r="A67" s="17" t="s">
        <v>651</v>
      </c>
      <c r="E67" s="191">
        <f>E10</f>
        <v>0</v>
      </c>
      <c r="F67" s="191">
        <f t="shared" ref="F67:U67" si="68">F10</f>
        <v>0</v>
      </c>
      <c r="G67" s="191">
        <f t="shared" si="68"/>
        <v>0</v>
      </c>
      <c r="H67" s="191">
        <f t="shared" si="68"/>
        <v>33760703.5</v>
      </c>
      <c r="I67" s="191">
        <f t="shared" si="68"/>
        <v>58246810</v>
      </c>
      <c r="J67" s="191">
        <f t="shared" si="68"/>
        <v>84242535.329999998</v>
      </c>
      <c r="K67" s="191">
        <f t="shared" si="68"/>
        <v>84242535.329999998</v>
      </c>
      <c r="L67" s="191">
        <f t="shared" si="68"/>
        <v>51435725.329999998</v>
      </c>
      <c r="M67" s="191">
        <f t="shared" si="68"/>
        <v>42500000</v>
      </c>
      <c r="N67" s="191">
        <f t="shared" si="68"/>
        <v>92895714</v>
      </c>
      <c r="O67" s="191">
        <f t="shared" si="68"/>
        <v>65837129</v>
      </c>
      <c r="P67" s="191">
        <f t="shared" si="68"/>
        <v>19000000</v>
      </c>
      <c r="Q67" s="191">
        <f t="shared" si="68"/>
        <v>0</v>
      </c>
      <c r="R67" s="191">
        <f t="shared" si="68"/>
        <v>0</v>
      </c>
      <c r="S67" s="191">
        <f t="shared" si="68"/>
        <v>0</v>
      </c>
      <c r="T67" s="191">
        <f t="shared" si="68"/>
        <v>0</v>
      </c>
      <c r="U67" s="191">
        <f t="shared" si="68"/>
        <v>0</v>
      </c>
    </row>
    <row r="68" spans="1:21" x14ac:dyDescent="0.25">
      <c r="A68" s="17" t="s">
        <v>652</v>
      </c>
      <c r="E68" s="191">
        <f>E11</f>
        <v>0</v>
      </c>
      <c r="F68" s="191">
        <f t="shared" ref="F68:U68" si="69">F11</f>
        <v>0</v>
      </c>
      <c r="G68" s="191">
        <f t="shared" si="69"/>
        <v>0</v>
      </c>
      <c r="H68" s="191">
        <f t="shared" si="69"/>
        <v>9890479.9199999999</v>
      </c>
      <c r="I68" s="191">
        <f t="shared" si="69"/>
        <v>18408383.420000002</v>
      </c>
      <c r="J68" s="191">
        <f t="shared" si="69"/>
        <v>28105583.420000002</v>
      </c>
      <c r="K68" s="191">
        <f t="shared" si="69"/>
        <v>27650855.510000002</v>
      </c>
      <c r="L68" s="191">
        <f t="shared" si="69"/>
        <v>38982000</v>
      </c>
      <c r="M68" s="191">
        <f t="shared" si="69"/>
        <v>60540800</v>
      </c>
      <c r="N68" s="191">
        <f t="shared" si="69"/>
        <v>85540000</v>
      </c>
      <c r="O68" s="191">
        <f t="shared" si="69"/>
        <v>5375879.2400000002</v>
      </c>
      <c r="P68" s="191">
        <f t="shared" si="69"/>
        <v>4881671.9800000004</v>
      </c>
      <c r="Q68" s="191">
        <f t="shared" si="69"/>
        <v>0</v>
      </c>
      <c r="R68" s="191">
        <f t="shared" si="69"/>
        <v>0</v>
      </c>
      <c r="S68" s="191">
        <f t="shared" si="69"/>
        <v>0</v>
      </c>
      <c r="T68" s="191">
        <f t="shared" si="69"/>
        <v>0</v>
      </c>
      <c r="U68" s="191">
        <f t="shared" si="69"/>
        <v>0</v>
      </c>
    </row>
    <row r="69" spans="1:21" x14ac:dyDescent="0.25">
      <c r="A69" s="17" t="s">
        <v>653</v>
      </c>
      <c r="E69" s="191">
        <f>E12</f>
        <v>0</v>
      </c>
      <c r="F69" s="191">
        <f t="shared" ref="F69:U69" si="70">F12</f>
        <v>0</v>
      </c>
      <c r="G69" s="191">
        <f t="shared" si="70"/>
        <v>0</v>
      </c>
      <c r="H69" s="191">
        <f t="shared" si="70"/>
        <v>43651183.420000002</v>
      </c>
      <c r="I69" s="191">
        <f t="shared" si="70"/>
        <v>76655193.420000002</v>
      </c>
      <c r="J69" s="191">
        <f t="shared" si="70"/>
        <v>112348118.75</v>
      </c>
      <c r="K69" s="191">
        <f t="shared" si="70"/>
        <v>111893390.84</v>
      </c>
      <c r="L69" s="191">
        <f t="shared" si="70"/>
        <v>90417725.329999998</v>
      </c>
      <c r="M69" s="191">
        <f t="shared" si="70"/>
        <v>103040800</v>
      </c>
      <c r="N69" s="191">
        <f t="shared" si="70"/>
        <v>178435714</v>
      </c>
      <c r="O69" s="191">
        <f t="shared" si="70"/>
        <v>71213008.239999995</v>
      </c>
      <c r="P69" s="191">
        <f t="shared" si="70"/>
        <v>23881671.98</v>
      </c>
      <c r="Q69" s="191">
        <f t="shared" si="70"/>
        <v>0</v>
      </c>
      <c r="R69" s="191">
        <f t="shared" si="70"/>
        <v>0</v>
      </c>
      <c r="S69" s="191">
        <f t="shared" si="70"/>
        <v>0</v>
      </c>
      <c r="T69" s="191">
        <f t="shared" si="70"/>
        <v>0</v>
      </c>
      <c r="U69" s="191">
        <f t="shared" si="70"/>
        <v>0</v>
      </c>
    </row>
    <row r="70" spans="1:21" s="232" customFormat="1" x14ac:dyDescent="0.25">
      <c r="A70" s="232" t="s">
        <v>656</v>
      </c>
      <c r="E70" s="232">
        <f>E69/E74</f>
        <v>0</v>
      </c>
      <c r="F70" s="232">
        <f t="shared" ref="F70:U70" si="71">F69/F74</f>
        <v>0</v>
      </c>
      <c r="G70" s="232">
        <f t="shared" si="71"/>
        <v>0</v>
      </c>
      <c r="H70" s="232">
        <f t="shared" si="71"/>
        <v>4.1731566078516191E-2</v>
      </c>
      <c r="I70" s="232">
        <f t="shared" si="71"/>
        <v>7.2175312538933681E-2</v>
      </c>
      <c r="J70" s="232">
        <f t="shared" si="71"/>
        <v>0.20145161700260653</v>
      </c>
      <c r="K70" s="232">
        <f t="shared" si="71"/>
        <v>0.21851199537689173</v>
      </c>
      <c r="L70" s="232">
        <f t="shared" si="71"/>
        <v>0.15906403430418647</v>
      </c>
      <c r="M70" s="232">
        <f t="shared" si="71"/>
        <v>0.210120678778974</v>
      </c>
      <c r="N70" s="232">
        <f t="shared" si="71"/>
        <v>0.35961968333593647</v>
      </c>
      <c r="O70" s="232">
        <f t="shared" si="71"/>
        <v>0.21600177979476654</v>
      </c>
      <c r="P70" s="232">
        <f t="shared" si="71"/>
        <v>0.1005448220886946</v>
      </c>
      <c r="Q70" s="232" t="e">
        <f t="shared" si="71"/>
        <v>#DIV/0!</v>
      </c>
      <c r="R70" s="232" t="e">
        <f t="shared" si="71"/>
        <v>#DIV/0!</v>
      </c>
      <c r="S70" s="232" t="e">
        <f t="shared" si="71"/>
        <v>#DIV/0!</v>
      </c>
      <c r="T70" s="232" t="e">
        <f t="shared" si="71"/>
        <v>#DIV/0!</v>
      </c>
      <c r="U70" s="232" t="e">
        <f t="shared" si="71"/>
        <v>#DIV/0!</v>
      </c>
    </row>
    <row r="71" spans="1:21" x14ac:dyDescent="0.25">
      <c r="A71" s="17" t="s">
        <v>654</v>
      </c>
      <c r="E71" s="191">
        <f>E13</f>
        <v>1094888457.78</v>
      </c>
      <c r="F71" s="191">
        <f t="shared" ref="F71:U71" si="72">F13</f>
        <v>1054331578.12</v>
      </c>
      <c r="G71" s="191">
        <f t="shared" si="72"/>
        <v>1001622329.98</v>
      </c>
      <c r="H71" s="191">
        <f t="shared" si="72"/>
        <v>1002347985.12</v>
      </c>
      <c r="I71" s="191">
        <f t="shared" si="72"/>
        <v>985414241.73000002</v>
      </c>
      <c r="J71" s="191">
        <f t="shared" si="72"/>
        <v>445344693.15999997</v>
      </c>
      <c r="K71" s="191">
        <f t="shared" si="72"/>
        <v>400176395.75</v>
      </c>
      <c r="L71" s="191">
        <f t="shared" si="72"/>
        <v>478018286.78000003</v>
      </c>
      <c r="M71" s="191">
        <f t="shared" si="72"/>
        <v>387347869.01999992</v>
      </c>
      <c r="N71" s="191">
        <f t="shared" si="72"/>
        <v>317743228.00000006</v>
      </c>
      <c r="O71" s="191">
        <f t="shared" si="72"/>
        <v>258474128.17000008</v>
      </c>
      <c r="P71" s="191">
        <f t="shared" si="72"/>
        <v>213640971.99000001</v>
      </c>
      <c r="Q71" s="191">
        <f t="shared" si="72"/>
        <v>0</v>
      </c>
      <c r="R71" s="191">
        <f t="shared" si="72"/>
        <v>0</v>
      </c>
      <c r="S71" s="191">
        <f t="shared" si="72"/>
        <v>0</v>
      </c>
      <c r="T71" s="191">
        <f t="shared" si="72"/>
        <v>0</v>
      </c>
      <c r="U71" s="191">
        <f t="shared" si="72"/>
        <v>0</v>
      </c>
    </row>
    <row r="72" spans="1:21" s="232" customFormat="1" x14ac:dyDescent="0.25">
      <c r="A72" s="232" t="s">
        <v>657</v>
      </c>
      <c r="E72" s="232">
        <f>E71/E74</f>
        <v>1</v>
      </c>
      <c r="F72" s="232">
        <f t="shared" ref="F72:U72" si="73">F71/F74</f>
        <v>1</v>
      </c>
      <c r="G72" s="232">
        <f t="shared" si="73"/>
        <v>1</v>
      </c>
      <c r="H72" s="232">
        <f t="shared" si="73"/>
        <v>0.95826843392148386</v>
      </c>
      <c r="I72" s="232">
        <f t="shared" si="73"/>
        <v>0.92782468746106639</v>
      </c>
      <c r="J72" s="232">
        <f t="shared" si="73"/>
        <v>0.7985483829973935</v>
      </c>
      <c r="K72" s="232">
        <f t="shared" si="73"/>
        <v>0.7814880046231083</v>
      </c>
      <c r="L72" s="232">
        <f t="shared" si="73"/>
        <v>0.84093596569581353</v>
      </c>
      <c r="M72" s="232">
        <f t="shared" si="73"/>
        <v>0.789879321221026</v>
      </c>
      <c r="N72" s="232">
        <f t="shared" si="73"/>
        <v>0.64038031666406359</v>
      </c>
      <c r="O72" s="232">
        <f t="shared" si="73"/>
        <v>0.78399822020523346</v>
      </c>
      <c r="P72" s="232">
        <f t="shared" si="73"/>
        <v>0.89945517791130547</v>
      </c>
      <c r="Q72" s="232" t="e">
        <f t="shared" si="73"/>
        <v>#DIV/0!</v>
      </c>
      <c r="R72" s="232" t="e">
        <f t="shared" si="73"/>
        <v>#DIV/0!</v>
      </c>
      <c r="S72" s="232" t="e">
        <f t="shared" si="73"/>
        <v>#DIV/0!</v>
      </c>
      <c r="T72" s="232" t="e">
        <f t="shared" si="73"/>
        <v>#DIV/0!</v>
      </c>
      <c r="U72" s="232" t="e">
        <f t="shared" si="73"/>
        <v>#DIV/0!</v>
      </c>
    </row>
    <row r="73" spans="1:21" s="234" customFormat="1" x14ac:dyDescent="0.25">
      <c r="A73" s="233" t="s">
        <v>658</v>
      </c>
      <c r="E73" s="235">
        <f>E74/E71</f>
        <v>1</v>
      </c>
      <c r="F73" s="235">
        <f t="shared" ref="F73:U73" si="74">F74/F71</f>
        <v>1</v>
      </c>
      <c r="G73" s="235">
        <f t="shared" si="74"/>
        <v>1</v>
      </c>
      <c r="H73" s="235">
        <f t="shared" si="74"/>
        <v>1.0435489311776029</v>
      </c>
      <c r="I73" s="235">
        <f t="shared" si="74"/>
        <v>1.0777898168849513</v>
      </c>
      <c r="J73" s="235">
        <f t="shared" si="74"/>
        <v>1.2522722746572315</v>
      </c>
      <c r="K73" s="235">
        <f t="shared" si="74"/>
        <v>1.2796101719850126</v>
      </c>
      <c r="L73" s="235">
        <f t="shared" si="74"/>
        <v>1.1891511848617065</v>
      </c>
      <c r="M73" s="235">
        <f t="shared" si="74"/>
        <v>1.266016178843828</v>
      </c>
      <c r="N73" s="235">
        <f t="shared" si="74"/>
        <v>1.5615720439524206</v>
      </c>
      <c r="O73" s="235">
        <f t="shared" si="74"/>
        <v>1.2755130996830861</v>
      </c>
      <c r="P73" s="235">
        <f t="shared" si="74"/>
        <v>1.1117841383960649</v>
      </c>
      <c r="Q73" s="235" t="e">
        <f t="shared" si="74"/>
        <v>#DIV/0!</v>
      </c>
      <c r="R73" s="235" t="e">
        <f t="shared" si="74"/>
        <v>#DIV/0!</v>
      </c>
      <c r="S73" s="235" t="e">
        <f t="shared" si="74"/>
        <v>#DIV/0!</v>
      </c>
      <c r="T73" s="235" t="e">
        <f t="shared" si="74"/>
        <v>#DIV/0!</v>
      </c>
      <c r="U73" s="235" t="e">
        <f t="shared" si="74"/>
        <v>#DIV/0!</v>
      </c>
    </row>
    <row r="74" spans="1:21" x14ac:dyDescent="0.25">
      <c r="A74" s="17" t="s">
        <v>655</v>
      </c>
      <c r="E74" s="191">
        <f>E14</f>
        <v>1094888457.78</v>
      </c>
      <c r="F74" s="191">
        <f t="shared" ref="F74:U74" si="75">F14</f>
        <v>1054331578.12</v>
      </c>
      <c r="G74" s="191">
        <f t="shared" si="75"/>
        <v>1001622329.98</v>
      </c>
      <c r="H74" s="191">
        <f t="shared" si="75"/>
        <v>1045999168.54</v>
      </c>
      <c r="I74" s="191">
        <f t="shared" si="75"/>
        <v>1062069435.15</v>
      </c>
      <c r="J74" s="191">
        <f t="shared" si="75"/>
        <v>557692811.90999997</v>
      </c>
      <c r="K74" s="191">
        <f t="shared" si="75"/>
        <v>512069786.58999997</v>
      </c>
      <c r="L74" s="191">
        <f t="shared" si="75"/>
        <v>568436012.11000001</v>
      </c>
      <c r="M74" s="191">
        <f t="shared" si="75"/>
        <v>490388669.01999992</v>
      </c>
      <c r="N74" s="191">
        <f t="shared" si="75"/>
        <v>496178942.00000006</v>
      </c>
      <c r="O74" s="191">
        <f t="shared" si="75"/>
        <v>329687136.41000009</v>
      </c>
      <c r="P74" s="191">
        <f t="shared" si="75"/>
        <v>237522643.97</v>
      </c>
      <c r="Q74" s="191">
        <f t="shared" si="75"/>
        <v>0</v>
      </c>
      <c r="R74" s="191">
        <f t="shared" si="75"/>
        <v>0</v>
      </c>
      <c r="S74" s="191">
        <f t="shared" si="75"/>
        <v>0</v>
      </c>
      <c r="T74" s="191">
        <f t="shared" si="75"/>
        <v>0</v>
      </c>
      <c r="U74" s="191">
        <f t="shared" si="75"/>
        <v>0</v>
      </c>
    </row>
    <row r="75" spans="1:21" ht="83.4" customHeight="1" x14ac:dyDescent="0.25">
      <c r="A75" s="278" t="s">
        <v>700</v>
      </c>
      <c r="B75" s="277"/>
      <c r="C75" s="277"/>
      <c r="D75" s="277"/>
      <c r="E75" s="277"/>
      <c r="F75" s="277"/>
      <c r="G75" s="277"/>
      <c r="H75" s="277"/>
      <c r="I75" s="277"/>
      <c r="J75" s="277"/>
      <c r="K75" s="277"/>
      <c r="L75" s="277"/>
      <c r="M75" s="277"/>
      <c r="N75" s="277"/>
      <c r="O75" s="277"/>
      <c r="P75" s="277"/>
      <c r="Q75" s="277"/>
      <c r="R75" s="277"/>
      <c r="S75" s="277"/>
      <c r="T75" s="277"/>
      <c r="U75" s="277"/>
    </row>
    <row r="77" spans="1:21" s="236" customFormat="1" x14ac:dyDescent="0.25">
      <c r="A77" s="237" t="s">
        <v>659</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42369</v>
      </c>
      <c r="M77" s="239">
        <f t="shared" si="76"/>
        <v>42004</v>
      </c>
      <c r="N77" s="239">
        <f t="shared" si="76"/>
        <v>41639</v>
      </c>
      <c r="O77" s="239">
        <f t="shared" si="76"/>
        <v>41274</v>
      </c>
      <c r="P77" s="239">
        <f t="shared" si="76"/>
        <v>40908</v>
      </c>
      <c r="Q77" s="239">
        <f t="shared" si="76"/>
        <v>25569</v>
      </c>
      <c r="R77" s="239">
        <f t="shared" si="76"/>
        <v>0</v>
      </c>
      <c r="S77" s="239">
        <f t="shared" si="76"/>
        <v>0</v>
      </c>
      <c r="T77" s="239">
        <f t="shared" si="76"/>
        <v>0</v>
      </c>
      <c r="U77" s="239">
        <f t="shared" si="76"/>
        <v>0</v>
      </c>
    </row>
    <row r="78" spans="1:21" x14ac:dyDescent="0.25">
      <c r="A78" s="182" t="s">
        <v>651</v>
      </c>
      <c r="B78" s="64"/>
      <c r="C78" s="64"/>
      <c r="D78" s="64"/>
      <c r="E78" s="88">
        <f>E10</f>
        <v>0</v>
      </c>
      <c r="F78" s="88">
        <f t="shared" ref="F78:U78" si="77">F10</f>
        <v>0</v>
      </c>
      <c r="G78" s="88">
        <f t="shared" si="77"/>
        <v>0</v>
      </c>
      <c r="H78" s="88">
        <f t="shared" si="77"/>
        <v>33760703.5</v>
      </c>
      <c r="I78" s="88">
        <f t="shared" si="77"/>
        <v>58246810</v>
      </c>
      <c r="J78" s="88">
        <f t="shared" si="77"/>
        <v>84242535.329999998</v>
      </c>
      <c r="K78" s="88">
        <f t="shared" si="77"/>
        <v>84242535.329999998</v>
      </c>
      <c r="L78" s="88">
        <f t="shared" si="77"/>
        <v>51435725.329999998</v>
      </c>
      <c r="M78" s="88">
        <f t="shared" si="77"/>
        <v>42500000</v>
      </c>
      <c r="N78" s="88">
        <f t="shared" si="77"/>
        <v>92895714</v>
      </c>
      <c r="O78" s="88">
        <f t="shared" si="77"/>
        <v>65837129</v>
      </c>
      <c r="P78" s="88">
        <f t="shared" si="77"/>
        <v>19000000</v>
      </c>
      <c r="Q78" s="88">
        <f t="shared" si="77"/>
        <v>0</v>
      </c>
      <c r="R78" s="88">
        <f t="shared" si="77"/>
        <v>0</v>
      </c>
      <c r="S78" s="88">
        <f t="shared" si="77"/>
        <v>0</v>
      </c>
      <c r="T78" s="88">
        <f t="shared" si="77"/>
        <v>0</v>
      </c>
      <c r="U78" s="88">
        <f t="shared" si="77"/>
        <v>0</v>
      </c>
    </row>
    <row r="79" spans="1:21" x14ac:dyDescent="0.25">
      <c r="A79" s="182" t="s">
        <v>660</v>
      </c>
      <c r="B79" s="64"/>
      <c r="C79" s="64"/>
      <c r="D79" s="64"/>
      <c r="E79" s="88">
        <f>E78</f>
        <v>0</v>
      </c>
      <c r="F79" s="88">
        <f t="shared" ref="F79:U79" si="78">F78</f>
        <v>0</v>
      </c>
      <c r="G79" s="88">
        <f t="shared" si="78"/>
        <v>0</v>
      </c>
      <c r="H79" s="88">
        <f t="shared" si="78"/>
        <v>33760703.5</v>
      </c>
      <c r="I79" s="88">
        <f t="shared" si="78"/>
        <v>58246810</v>
      </c>
      <c r="J79" s="88">
        <f t="shared" si="78"/>
        <v>84242535.329999998</v>
      </c>
      <c r="K79" s="88">
        <f t="shared" si="78"/>
        <v>84242535.329999998</v>
      </c>
      <c r="L79" s="88">
        <f t="shared" si="78"/>
        <v>51435725.329999998</v>
      </c>
      <c r="M79" s="88">
        <f t="shared" si="78"/>
        <v>42500000</v>
      </c>
      <c r="N79" s="88">
        <f t="shared" si="78"/>
        <v>92895714</v>
      </c>
      <c r="O79" s="88">
        <f t="shared" si="78"/>
        <v>65837129</v>
      </c>
      <c r="P79" s="88">
        <f t="shared" si="78"/>
        <v>19000000</v>
      </c>
      <c r="Q79" s="88">
        <f t="shared" si="78"/>
        <v>0</v>
      </c>
      <c r="R79" s="88">
        <f t="shared" si="78"/>
        <v>0</v>
      </c>
      <c r="S79" s="88">
        <f t="shared" si="78"/>
        <v>0</v>
      </c>
      <c r="T79" s="88">
        <f t="shared" si="78"/>
        <v>0</v>
      </c>
      <c r="U79" s="88">
        <f t="shared" si="78"/>
        <v>0</v>
      </c>
    </row>
    <row r="80" spans="1:21" s="218" customFormat="1" x14ac:dyDescent="0.25">
      <c r="A80" s="222" t="s">
        <v>661</v>
      </c>
      <c r="B80" s="222"/>
      <c r="C80" s="222"/>
      <c r="D80" s="222"/>
      <c r="E80" s="222">
        <f>E79/E85</f>
        <v>0</v>
      </c>
      <c r="F80" s="222">
        <f t="shared" ref="F80:U80" si="79">F79/F85</f>
        <v>0</v>
      </c>
      <c r="G80" s="222">
        <f t="shared" si="79"/>
        <v>0</v>
      </c>
      <c r="H80" s="222">
        <f t="shared" si="79"/>
        <v>3.2276032826223953E-2</v>
      </c>
      <c r="I80" s="222">
        <f t="shared" si="79"/>
        <v>5.4842751398616031E-2</v>
      </c>
      <c r="J80" s="222">
        <f t="shared" si="79"/>
        <v>0.15105544402030952</v>
      </c>
      <c r="K80" s="222">
        <f t="shared" si="79"/>
        <v>0.16451377827032521</v>
      </c>
      <c r="L80" s="222">
        <f t="shared" si="79"/>
        <v>9.0486394658694666E-2</v>
      </c>
      <c r="M80" s="222">
        <f t="shared" si="79"/>
        <v>8.6665950265393851E-2</v>
      </c>
      <c r="N80" s="222">
        <f t="shared" si="79"/>
        <v>0.18722220178380725</v>
      </c>
      <c r="O80" s="222">
        <f t="shared" si="79"/>
        <v>0.19969577738733704</v>
      </c>
      <c r="P80" s="222">
        <f t="shared" si="79"/>
        <v>7.9992373284627855E-2</v>
      </c>
      <c r="Q80" s="222" t="e">
        <f t="shared" si="79"/>
        <v>#DIV/0!</v>
      </c>
      <c r="R80" s="222" t="e">
        <f t="shared" si="79"/>
        <v>#DIV/0!</v>
      </c>
      <c r="S80" s="222" t="e">
        <f t="shared" si="79"/>
        <v>#DIV/0!</v>
      </c>
      <c r="T80" s="222" t="e">
        <f t="shared" si="79"/>
        <v>#DIV/0!</v>
      </c>
      <c r="U80" s="222" t="e">
        <f t="shared" si="79"/>
        <v>#DIV/0!</v>
      </c>
    </row>
    <row r="81" spans="1:21" x14ac:dyDescent="0.25">
      <c r="A81" s="182" t="s">
        <v>652</v>
      </c>
      <c r="B81" s="64"/>
      <c r="C81" s="64"/>
      <c r="D81" s="64"/>
      <c r="E81" s="88">
        <f>E11</f>
        <v>0</v>
      </c>
      <c r="F81" s="88">
        <f t="shared" ref="F81:U81" si="80">F11</f>
        <v>0</v>
      </c>
      <c r="G81" s="88">
        <f t="shared" si="80"/>
        <v>0</v>
      </c>
      <c r="H81" s="88">
        <f t="shared" si="80"/>
        <v>9890479.9199999999</v>
      </c>
      <c r="I81" s="88">
        <f t="shared" si="80"/>
        <v>18408383.420000002</v>
      </c>
      <c r="J81" s="88">
        <f t="shared" si="80"/>
        <v>28105583.420000002</v>
      </c>
      <c r="K81" s="88">
        <f t="shared" si="80"/>
        <v>27650855.510000002</v>
      </c>
      <c r="L81" s="88">
        <f t="shared" si="80"/>
        <v>38982000</v>
      </c>
      <c r="M81" s="88">
        <f t="shared" si="80"/>
        <v>60540800</v>
      </c>
      <c r="N81" s="88">
        <f t="shared" si="80"/>
        <v>85540000</v>
      </c>
      <c r="O81" s="88">
        <f t="shared" si="80"/>
        <v>5375879.2400000002</v>
      </c>
      <c r="P81" s="88">
        <f t="shared" si="80"/>
        <v>4881671.9800000004</v>
      </c>
      <c r="Q81" s="88">
        <f t="shared" si="80"/>
        <v>0</v>
      </c>
      <c r="R81" s="88">
        <f t="shared" si="80"/>
        <v>0</v>
      </c>
      <c r="S81" s="88">
        <f t="shared" si="80"/>
        <v>0</v>
      </c>
      <c r="T81" s="88">
        <f t="shared" si="80"/>
        <v>0</v>
      </c>
      <c r="U81" s="88">
        <f t="shared" si="80"/>
        <v>0</v>
      </c>
    </row>
    <row r="82" spans="1:21" x14ac:dyDescent="0.25">
      <c r="A82" s="182" t="s">
        <v>654</v>
      </c>
      <c r="B82" s="64"/>
      <c r="C82" s="64"/>
      <c r="D82" s="64"/>
      <c r="E82" s="88">
        <f>E13</f>
        <v>1094888457.78</v>
      </c>
      <c r="F82" s="88">
        <f t="shared" ref="F82:U82" si="81">F13</f>
        <v>1054331578.12</v>
      </c>
      <c r="G82" s="88">
        <f t="shared" si="81"/>
        <v>1001622329.98</v>
      </c>
      <c r="H82" s="88">
        <f t="shared" si="81"/>
        <v>1002347985.12</v>
      </c>
      <c r="I82" s="88">
        <f t="shared" si="81"/>
        <v>985414241.73000002</v>
      </c>
      <c r="J82" s="88">
        <f t="shared" si="81"/>
        <v>445344693.15999997</v>
      </c>
      <c r="K82" s="88">
        <f t="shared" si="81"/>
        <v>400176395.75</v>
      </c>
      <c r="L82" s="88">
        <f t="shared" si="81"/>
        <v>478018286.78000003</v>
      </c>
      <c r="M82" s="88">
        <f t="shared" si="81"/>
        <v>387347869.01999992</v>
      </c>
      <c r="N82" s="88">
        <f t="shared" si="81"/>
        <v>317743228.00000006</v>
      </c>
      <c r="O82" s="88">
        <f t="shared" si="81"/>
        <v>258474128.17000008</v>
      </c>
      <c r="P82" s="88">
        <f t="shared" si="81"/>
        <v>213640971.99000001</v>
      </c>
      <c r="Q82" s="88">
        <f t="shared" si="81"/>
        <v>0</v>
      </c>
      <c r="R82" s="88">
        <f t="shared" si="81"/>
        <v>0</v>
      </c>
      <c r="S82" s="88">
        <f t="shared" si="81"/>
        <v>0</v>
      </c>
      <c r="T82" s="88">
        <f t="shared" si="81"/>
        <v>0</v>
      </c>
      <c r="U82" s="88">
        <f t="shared" si="81"/>
        <v>0</v>
      </c>
    </row>
    <row r="83" spans="1:21" x14ac:dyDescent="0.25">
      <c r="A83" s="182" t="s">
        <v>662</v>
      </c>
      <c r="B83" s="64"/>
      <c r="C83" s="64"/>
      <c r="D83" s="64"/>
      <c r="E83" s="88">
        <f>E81+E82</f>
        <v>1094888457.78</v>
      </c>
      <c r="F83" s="88">
        <f t="shared" ref="F83:U83" si="82">F81+F82</f>
        <v>1054331578.12</v>
      </c>
      <c r="G83" s="88">
        <f t="shared" si="82"/>
        <v>1001622329.98</v>
      </c>
      <c r="H83" s="88">
        <f t="shared" si="82"/>
        <v>1012238465.04</v>
      </c>
      <c r="I83" s="88">
        <f t="shared" si="82"/>
        <v>1003822625.15</v>
      </c>
      <c r="J83" s="88">
        <f t="shared" si="82"/>
        <v>473450276.57999998</v>
      </c>
      <c r="K83" s="88">
        <f t="shared" si="82"/>
        <v>427827251.25999999</v>
      </c>
      <c r="L83" s="88">
        <f t="shared" si="82"/>
        <v>517000286.78000003</v>
      </c>
      <c r="M83" s="88">
        <f t="shared" si="82"/>
        <v>447888669.01999992</v>
      </c>
      <c r="N83" s="88">
        <f t="shared" si="82"/>
        <v>403283228.00000006</v>
      </c>
      <c r="O83" s="88">
        <f t="shared" si="82"/>
        <v>263850007.41000009</v>
      </c>
      <c r="P83" s="88">
        <f t="shared" si="82"/>
        <v>218522643.97</v>
      </c>
      <c r="Q83" s="88">
        <f t="shared" si="82"/>
        <v>0</v>
      </c>
      <c r="R83" s="88">
        <f t="shared" si="82"/>
        <v>0</v>
      </c>
      <c r="S83" s="88">
        <f t="shared" si="82"/>
        <v>0</v>
      </c>
      <c r="T83" s="88">
        <f t="shared" si="82"/>
        <v>0</v>
      </c>
      <c r="U83" s="88">
        <f t="shared" si="82"/>
        <v>0</v>
      </c>
    </row>
    <row r="84" spans="1:21" s="218" customFormat="1" x14ac:dyDescent="0.25">
      <c r="A84" s="222" t="s">
        <v>663</v>
      </c>
      <c r="B84" s="222"/>
      <c r="C84" s="222"/>
      <c r="D84" s="222"/>
      <c r="E84" s="222">
        <f>E83/E85</f>
        <v>1</v>
      </c>
      <c r="F84" s="222">
        <f t="shared" ref="F84:U84" si="83">F83/F85</f>
        <v>1</v>
      </c>
      <c r="G84" s="222">
        <f t="shared" si="83"/>
        <v>1</v>
      </c>
      <c r="H84" s="222">
        <f t="shared" si="83"/>
        <v>0.96772396717377607</v>
      </c>
      <c r="I84" s="222">
        <f t="shared" si="83"/>
        <v>0.94515724860138395</v>
      </c>
      <c r="J84" s="222">
        <f t="shared" si="83"/>
        <v>0.84894455597969054</v>
      </c>
      <c r="K84" s="222">
        <f t="shared" si="83"/>
        <v>0.83548622172967479</v>
      </c>
      <c r="L84" s="222">
        <f t="shared" si="83"/>
        <v>0.90951360534130532</v>
      </c>
      <c r="M84" s="222">
        <f t="shared" si="83"/>
        <v>0.91333404973460619</v>
      </c>
      <c r="N84" s="222">
        <f t="shared" si="83"/>
        <v>0.81277779821619278</v>
      </c>
      <c r="O84" s="222">
        <f t="shared" si="83"/>
        <v>0.80030422261266299</v>
      </c>
      <c r="P84" s="222">
        <f t="shared" si="83"/>
        <v>0.92000762671537217</v>
      </c>
      <c r="Q84" s="222" t="e">
        <f t="shared" si="83"/>
        <v>#DIV/0!</v>
      </c>
      <c r="R84" s="222" t="e">
        <f t="shared" si="83"/>
        <v>#DIV/0!</v>
      </c>
      <c r="S84" s="222" t="e">
        <f t="shared" si="83"/>
        <v>#DIV/0!</v>
      </c>
      <c r="T84" s="222" t="e">
        <f t="shared" si="83"/>
        <v>#DIV/0!</v>
      </c>
      <c r="U84" s="222" t="e">
        <f t="shared" si="83"/>
        <v>#DIV/0!</v>
      </c>
    </row>
    <row r="85" spans="1:21" x14ac:dyDescent="0.25">
      <c r="A85" s="182" t="s">
        <v>655</v>
      </c>
      <c r="B85" s="64"/>
      <c r="C85" s="64"/>
      <c r="D85" s="64"/>
      <c r="E85" s="88">
        <f>E14</f>
        <v>1094888457.78</v>
      </c>
      <c r="F85" s="88">
        <f t="shared" ref="F85:U85" si="84">F14</f>
        <v>1054331578.12</v>
      </c>
      <c r="G85" s="88">
        <f t="shared" si="84"/>
        <v>1001622329.98</v>
      </c>
      <c r="H85" s="88">
        <f t="shared" si="84"/>
        <v>1045999168.54</v>
      </c>
      <c r="I85" s="88">
        <f t="shared" si="84"/>
        <v>1062069435.15</v>
      </c>
      <c r="J85" s="88">
        <f t="shared" si="84"/>
        <v>557692811.90999997</v>
      </c>
      <c r="K85" s="88">
        <f t="shared" si="84"/>
        <v>512069786.58999997</v>
      </c>
      <c r="L85" s="88">
        <f t="shared" si="84"/>
        <v>568436012.11000001</v>
      </c>
      <c r="M85" s="88">
        <f t="shared" si="84"/>
        <v>490388669.01999992</v>
      </c>
      <c r="N85" s="88">
        <f t="shared" si="84"/>
        <v>496178942.00000006</v>
      </c>
      <c r="O85" s="88">
        <f t="shared" si="84"/>
        <v>329687136.41000009</v>
      </c>
      <c r="P85" s="88">
        <f t="shared" si="84"/>
        <v>237522643.97</v>
      </c>
      <c r="Q85" s="88">
        <f t="shared" si="84"/>
        <v>0</v>
      </c>
      <c r="R85" s="88">
        <f t="shared" si="84"/>
        <v>0</v>
      </c>
      <c r="S85" s="88">
        <f t="shared" si="84"/>
        <v>0</v>
      </c>
      <c r="T85" s="88">
        <f t="shared" si="84"/>
        <v>0</v>
      </c>
      <c r="U85" s="88">
        <f t="shared" si="84"/>
        <v>0</v>
      </c>
    </row>
    <row r="87" spans="1:21" s="56" customFormat="1" ht="85.8" customHeight="1" x14ac:dyDescent="0.25">
      <c r="A87" s="276" t="s">
        <v>701</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88"/>
  <sheetViews>
    <sheetView topLeftCell="A31" zoomScaleNormal="100" workbookViewId="0">
      <selection activeCell="A74" sqref="A74:XFD76"/>
    </sheetView>
  </sheetViews>
  <sheetFormatPr defaultRowHeight="14.4" x14ac:dyDescent="0.25"/>
  <cols>
    <col min="1" max="1" width="47.88671875" style="17" bestFit="1" customWidth="1"/>
    <col min="2" max="4" width="10.5546875" hidden="1" customWidth="1"/>
    <col min="5" max="5" width="19.33203125" bestFit="1" customWidth="1"/>
    <col min="6" max="8" width="17.21875" hidden="1" customWidth="1"/>
    <col min="9" max="9" width="21.5546875" bestFit="1" customWidth="1"/>
    <col min="10" max="12" width="17.21875" hidden="1" customWidth="1"/>
    <col min="13" max="13" width="21.5546875" bestFit="1" customWidth="1"/>
    <col min="14" max="14" width="17.21875" hidden="1" customWidth="1"/>
    <col min="15" max="18" width="17.21875" bestFit="1" customWidth="1"/>
    <col min="19" max="19" width="9.5546875" hidden="1" customWidth="1"/>
    <col min="20"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752408925.78999996</v>
      </c>
      <c r="F2" s="26">
        <f>股权价值增加表!F4</f>
        <v>525772942.17000002</v>
      </c>
      <c r="G2" s="26">
        <f>股权价值增加表!G4</f>
        <v>339770745.41000003</v>
      </c>
      <c r="H2" s="26">
        <f>股权价值增加表!H4</f>
        <v>153700781.78999999</v>
      </c>
      <c r="I2" s="26">
        <f>股权价值增加表!I4</f>
        <v>665011421.55999994</v>
      </c>
      <c r="J2" s="26">
        <f>股权价值增加表!J4</f>
        <v>454007921.24000001</v>
      </c>
      <c r="K2" s="26">
        <f>股权价值增加表!K4</f>
        <v>283257330.20999998</v>
      </c>
      <c r="L2" s="26">
        <f>股权价值增加表!L4</f>
        <v>124302689.18000001</v>
      </c>
      <c r="M2" s="26">
        <f>股权价值增加表!M4</f>
        <v>597037871.64999998</v>
      </c>
      <c r="N2" s="26">
        <f>股权价值增加表!N4</f>
        <v>409475329.64999998</v>
      </c>
      <c r="O2" s="26">
        <f>股权价值增加表!O4</f>
        <v>528809680.74000001</v>
      </c>
      <c r="P2" s="26">
        <f>股权价值增加表!P4</f>
        <v>484907942.22000003</v>
      </c>
      <c r="Q2" s="26">
        <f>股权价值增加表!Q4</f>
        <v>395593790.81</v>
      </c>
      <c r="R2" s="26">
        <f>股权价值增加表!R4</f>
        <v>316891515.43000001</v>
      </c>
      <c r="S2" s="26">
        <f>股权价值增加表!S4</f>
        <v>0</v>
      </c>
      <c r="T2" s="26">
        <f>股权价值增加表!T4</f>
        <v>0</v>
      </c>
      <c r="U2" s="26">
        <f>股权价值增加表!U4</f>
        <v>0</v>
      </c>
      <c r="V2" s="26">
        <f>股权价值增加表!V4</f>
        <v>0</v>
      </c>
      <c r="W2" s="26">
        <f>股权价值增加表!W4</f>
        <v>0</v>
      </c>
      <c r="X2" s="26">
        <f>股权价值增加表!X4</f>
        <v>0</v>
      </c>
      <c r="Y2" s="26">
        <f>股权价值增加表!Y4</f>
        <v>0</v>
      </c>
      <c r="Z2" s="26">
        <f>股权价值增加表!Z4</f>
        <v>0</v>
      </c>
      <c r="AA2" s="26">
        <f>股权价值增加表!AA4</f>
        <v>0</v>
      </c>
      <c r="AB2" s="26">
        <f>股权价值增加表!AB4</f>
        <v>0</v>
      </c>
      <c r="AC2" s="26">
        <f>股权价值增加表!AC4</f>
        <v>0</v>
      </c>
      <c r="AD2" s="26">
        <f>股权价值增加表!AD4</f>
        <v>0</v>
      </c>
      <c r="AE2" s="26">
        <f>股权价值增加表!AE4</f>
        <v>0</v>
      </c>
      <c r="AF2" s="26">
        <f>股权价值增加表!AF4</f>
        <v>0</v>
      </c>
      <c r="AG2" s="26">
        <f>股权价值增加表!AG4</f>
        <v>0</v>
      </c>
      <c r="AH2" s="26">
        <f>股权价值增加表!AH4</f>
        <v>0</v>
      </c>
      <c r="AI2" s="26">
        <f>股权价值增加表!AI4</f>
        <v>0</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0.13142256117192819</v>
      </c>
      <c r="F3" s="66">
        <f t="shared" ref="F3:BQ3" si="0">(F2-J2)/J2</f>
        <v>0.15806997537398298</v>
      </c>
      <c r="G3" s="66">
        <f t="shared" si="0"/>
        <v>0.19951263099917801</v>
      </c>
      <c r="H3" s="66">
        <f t="shared" si="0"/>
        <v>0.23650407568760839</v>
      </c>
      <c r="I3" s="66">
        <f t="shared" si="0"/>
        <v>0.11385132022219176</v>
      </c>
      <c r="J3" s="66">
        <f t="shared" si="0"/>
        <v>0.1087552493774518</v>
      </c>
      <c r="K3" s="66">
        <f t="shared" si="0"/>
        <v>-0.46434919683463743</v>
      </c>
      <c r="L3" s="66">
        <f t="shared" si="0"/>
        <v>-0.74365713910372588</v>
      </c>
      <c r="M3" s="66">
        <f>(M2-O2)/O2</f>
        <v>0.12902220476471524</v>
      </c>
      <c r="N3" s="66">
        <f t="shared" ref="N3:R3" si="1">(N2-P2)/P2</f>
        <v>-0.1555606868896709</v>
      </c>
      <c r="O3" s="66">
        <f t="shared" si="1"/>
        <v>0.33674919330061565</v>
      </c>
      <c r="P3" s="66">
        <f t="shared" si="1"/>
        <v>0.53020172080660877</v>
      </c>
      <c r="Q3" s="66">
        <f>(Q2-R2)/R2</f>
        <v>0.24835715551805299</v>
      </c>
      <c r="R3" s="66" t="e">
        <f t="shared" si="1"/>
        <v>#DIV/0!</v>
      </c>
      <c r="S3" s="66" t="e">
        <f t="shared" si="0"/>
        <v>#DIV/0!</v>
      </c>
      <c r="T3" s="66" t="e">
        <f t="shared" si="0"/>
        <v>#DIV/0!</v>
      </c>
      <c r="U3" s="66" t="e">
        <f t="shared" si="0"/>
        <v>#DIV/0!</v>
      </c>
      <c r="V3" s="66" t="e">
        <f t="shared" si="0"/>
        <v>#DIV/0!</v>
      </c>
      <c r="W3" s="66" t="e">
        <f t="shared" si="0"/>
        <v>#DIV/0!</v>
      </c>
      <c r="X3" s="66" t="e">
        <f t="shared" si="0"/>
        <v>#DIV/0!</v>
      </c>
      <c r="Y3" s="66" t="e">
        <f t="shared" si="0"/>
        <v>#DIV/0!</v>
      </c>
      <c r="Z3" s="66" t="e">
        <f t="shared" si="0"/>
        <v>#DIV/0!</v>
      </c>
      <c r="AA3" s="66" t="e">
        <f t="shared" si="0"/>
        <v>#DIV/0!</v>
      </c>
      <c r="AB3" s="66" t="e">
        <f t="shared" si="0"/>
        <v>#DIV/0!</v>
      </c>
      <c r="AC3" s="66" t="e">
        <f t="shared" si="0"/>
        <v>#DIV/0!</v>
      </c>
      <c r="AD3" s="66" t="e">
        <f t="shared" si="0"/>
        <v>#DIV/0!</v>
      </c>
      <c r="AE3" s="66" t="e">
        <f t="shared" si="0"/>
        <v>#DIV/0!</v>
      </c>
      <c r="AF3" s="66" t="e">
        <f t="shared" si="0"/>
        <v>#DIV/0!</v>
      </c>
      <c r="AG3" s="66" t="e">
        <f t="shared" si="0"/>
        <v>#DIV/0!</v>
      </c>
      <c r="AH3" s="66" t="e">
        <f t="shared" si="0"/>
        <v>#DIV/0!</v>
      </c>
      <c r="AI3" s="66" t="e">
        <f t="shared" si="0"/>
        <v>#DIV/0!</v>
      </c>
      <c r="AJ3" s="66" t="e">
        <f t="shared" si="0"/>
        <v>#DIV/0!</v>
      </c>
      <c r="AK3" s="66" t="e">
        <f t="shared" si="0"/>
        <v>#DIV/0!</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2">(BR2-BV2)/BV2</f>
        <v>#DIV/0!</v>
      </c>
      <c r="BS3" s="66" t="e">
        <f t="shared" si="2"/>
        <v>#DIV/0!</v>
      </c>
      <c r="BT3" s="66" t="e">
        <f t="shared" si="2"/>
        <v>#DIV/0!</v>
      </c>
      <c r="BU3" s="66" t="e">
        <f t="shared" si="2"/>
        <v>#DIV/0!</v>
      </c>
      <c r="BV3" s="66" t="e">
        <f t="shared" si="2"/>
        <v>#DIV/0!</v>
      </c>
      <c r="BW3" s="66" t="e">
        <f t="shared" si="2"/>
        <v>#DIV/0!</v>
      </c>
      <c r="BX3" s="66" t="e">
        <f t="shared" si="2"/>
        <v>#DIV/0!</v>
      </c>
      <c r="BY3" s="66" t="e">
        <f t="shared" si="2"/>
        <v>#DIV/0!</v>
      </c>
      <c r="BZ3" s="66" t="e">
        <f t="shared" si="2"/>
        <v>#DIV/0!</v>
      </c>
      <c r="CA3" s="66" t="e">
        <f t="shared" si="2"/>
        <v>#DIV/0!</v>
      </c>
      <c r="CB3" s="66" t="e">
        <f t="shared" si="2"/>
        <v>#DIV/0!</v>
      </c>
      <c r="CC3" s="66" t="e">
        <f t="shared" si="2"/>
        <v>#DIV/0!</v>
      </c>
      <c r="CD3" s="66" t="e">
        <f t="shared" si="2"/>
        <v>#DIV/0!</v>
      </c>
      <c r="CE3" s="66" t="e">
        <f t="shared" si="2"/>
        <v>#DIV/0!</v>
      </c>
      <c r="CF3" s="66" t="e">
        <f t="shared" si="2"/>
        <v>#DIV/0!</v>
      </c>
      <c r="CG3" s="66" t="e">
        <f t="shared" si="2"/>
        <v>#DIV/0!</v>
      </c>
      <c r="CH3" s="66" t="e">
        <f t="shared" si="2"/>
        <v>#DIV/0!</v>
      </c>
      <c r="CI3" s="66" t="e">
        <f t="shared" si="2"/>
        <v>#DIV/0!</v>
      </c>
      <c r="CJ3" s="66" t="e">
        <f t="shared" si="2"/>
        <v>#DIV/0!</v>
      </c>
    </row>
    <row r="4" spans="1:89" s="26" customFormat="1" x14ac:dyDescent="0.25">
      <c r="A4" s="17" t="s">
        <v>352</v>
      </c>
      <c r="E4" s="26">
        <f>股权价值增加表!E5</f>
        <v>406091046.83999997</v>
      </c>
      <c r="F4" s="26">
        <f>股权价值增加表!F5</f>
        <v>271365768.27999997</v>
      </c>
      <c r="G4" s="26">
        <f>股权价值增加表!G5</f>
        <v>181470105.86000001</v>
      </c>
      <c r="H4" s="26">
        <f>股权价值增加表!H5</f>
        <v>91249713.920000002</v>
      </c>
      <c r="I4" s="26">
        <f>股权价值增加表!I5</f>
        <v>348439708.45999998</v>
      </c>
      <c r="J4" s="26">
        <f>股权价值增加表!J5</f>
        <v>228589200.88</v>
      </c>
      <c r="K4" s="26">
        <f>股权价值增加表!K5</f>
        <v>149382777.41999999</v>
      </c>
      <c r="L4" s="26">
        <f>股权价值增加表!L5</f>
        <v>74864949.950000003</v>
      </c>
      <c r="M4" s="26">
        <f>股权价值增加表!M5</f>
        <v>318153253.52999997</v>
      </c>
      <c r="N4" s="26">
        <f>股权价值增加表!N5</f>
        <v>215473046.52000001</v>
      </c>
      <c r="O4" s="26">
        <f>股权价值增加表!O5</f>
        <v>287721956.77999997</v>
      </c>
      <c r="P4" s="26">
        <f>股权价值增加表!P5</f>
        <v>255145394.69</v>
      </c>
      <c r="Q4" s="26">
        <f>股权价值增加表!Q5</f>
        <v>207821413.31999999</v>
      </c>
      <c r="R4" s="26">
        <f>股权价值增加表!R5</f>
        <v>157440528.15000001</v>
      </c>
      <c r="S4" s="26">
        <f>股权价值增加表!S5</f>
        <v>0</v>
      </c>
      <c r="T4" s="26">
        <f>股权价值增加表!T5</f>
        <v>0</v>
      </c>
      <c r="U4" s="26">
        <f>股权价值增加表!U5</f>
        <v>0</v>
      </c>
      <c r="V4" s="26">
        <f>股权价值增加表!V5</f>
        <v>0</v>
      </c>
      <c r="W4" s="26">
        <f>股权价值增加表!W5</f>
        <v>0</v>
      </c>
      <c r="X4" s="26">
        <f>股权价值增加表!X5</f>
        <v>0</v>
      </c>
      <c r="Y4" s="26">
        <f>股权价值增加表!Y5</f>
        <v>0</v>
      </c>
      <c r="Z4" s="26">
        <f>股权价值增加表!Z5</f>
        <v>0</v>
      </c>
      <c r="AA4" s="26">
        <f>股权价值增加表!AA5</f>
        <v>0</v>
      </c>
      <c r="AB4" s="26">
        <f>股权价值增加表!AB5</f>
        <v>0</v>
      </c>
      <c r="AC4" s="26">
        <f>股权价值增加表!AC5</f>
        <v>0</v>
      </c>
      <c r="AD4" s="26">
        <f>股权价值增加表!AD5</f>
        <v>0</v>
      </c>
      <c r="AE4" s="26">
        <f>股权价值增加表!AE5</f>
        <v>0</v>
      </c>
      <c r="AF4" s="26">
        <f>股权价值增加表!AF5</f>
        <v>0</v>
      </c>
      <c r="AG4" s="26">
        <f>股权价值增加表!AG5</f>
        <v>0</v>
      </c>
      <c r="AH4" s="26">
        <f>股权价值增加表!AH5</f>
        <v>0</v>
      </c>
      <c r="AI4" s="26">
        <f>股权价值增加表!AI5</f>
        <v>0</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3">E4/E2</f>
        <v>0.53972119803552332</v>
      </c>
      <c r="F5" s="66">
        <f t="shared" si="3"/>
        <v>0.51612729852548844</v>
      </c>
      <c r="G5" s="66">
        <f t="shared" si="3"/>
        <v>0.53409573458427317</v>
      </c>
      <c r="H5" s="66">
        <f t="shared" si="3"/>
        <v>0.59368412351131483</v>
      </c>
      <c r="I5" s="66">
        <f t="shared" si="3"/>
        <v>0.52396048723888333</v>
      </c>
      <c r="J5" s="66">
        <f t="shared" si="3"/>
        <v>0.50349165771308646</v>
      </c>
      <c r="K5" s="66">
        <f t="shared" si="3"/>
        <v>0.52737479841828383</v>
      </c>
      <c r="L5" s="66">
        <f t="shared" si="3"/>
        <v>0.60227940717830897</v>
      </c>
      <c r="M5" s="66">
        <f t="shared" si="3"/>
        <v>0.53288621817362725</v>
      </c>
      <c r="N5" s="66">
        <f t="shared" si="3"/>
        <v>0.52621740778419079</v>
      </c>
      <c r="O5" s="66">
        <f t="shared" si="3"/>
        <v>0.5440935884104291</v>
      </c>
      <c r="P5" s="66">
        <f t="shared" si="3"/>
        <v>0.52617285153527549</v>
      </c>
      <c r="Q5" s="66">
        <f t="shared" si="3"/>
        <v>0.52534043290839894</v>
      </c>
      <c r="R5" s="66">
        <f t="shared" si="3"/>
        <v>0.49682784323324036</v>
      </c>
      <c r="S5" s="66" t="e">
        <f t="shared" si="3"/>
        <v>#DIV/0!</v>
      </c>
      <c r="T5" s="66" t="e">
        <f t="shared" si="3"/>
        <v>#DIV/0!</v>
      </c>
      <c r="U5" s="66" t="e">
        <f t="shared" si="3"/>
        <v>#DIV/0!</v>
      </c>
      <c r="V5" s="66" t="e">
        <f t="shared" si="3"/>
        <v>#DIV/0!</v>
      </c>
      <c r="W5" s="66" t="e">
        <f t="shared" si="3"/>
        <v>#DIV/0!</v>
      </c>
      <c r="X5" s="66" t="e">
        <f t="shared" si="3"/>
        <v>#DIV/0!</v>
      </c>
      <c r="Y5" s="66" t="e">
        <f t="shared" si="3"/>
        <v>#DIV/0!</v>
      </c>
      <c r="Z5" s="66" t="e">
        <f t="shared" si="3"/>
        <v>#DIV/0!</v>
      </c>
      <c r="AA5" s="66" t="e">
        <f t="shared" si="3"/>
        <v>#DIV/0!</v>
      </c>
      <c r="AB5" s="66" t="e">
        <f t="shared" si="3"/>
        <v>#DIV/0!</v>
      </c>
      <c r="AC5" s="66" t="e">
        <f t="shared" si="3"/>
        <v>#DIV/0!</v>
      </c>
      <c r="AD5" s="66" t="e">
        <f t="shared" si="3"/>
        <v>#DIV/0!</v>
      </c>
      <c r="AE5" s="66" t="e">
        <f t="shared" si="3"/>
        <v>#DIV/0!</v>
      </c>
      <c r="AF5" s="66" t="e">
        <f t="shared" si="3"/>
        <v>#DIV/0!</v>
      </c>
      <c r="AG5" s="66" t="e">
        <f t="shared" si="3"/>
        <v>#DIV/0!</v>
      </c>
      <c r="AH5" s="66" t="e">
        <f t="shared" si="3"/>
        <v>#DIV/0!</v>
      </c>
      <c r="AI5" s="66" t="e">
        <f t="shared" si="3"/>
        <v>#DIV/0!</v>
      </c>
      <c r="AJ5" s="66" t="e">
        <f t="shared" si="3"/>
        <v>#DIV/0!</v>
      </c>
      <c r="AK5" s="66" t="e">
        <f t="shared" ref="AK5:BP5" si="4">AK4/AK2</f>
        <v>#DIV/0!</v>
      </c>
      <c r="AL5" s="66" t="e">
        <f t="shared" si="4"/>
        <v>#DIV/0!</v>
      </c>
      <c r="AM5" s="66" t="e">
        <f t="shared" si="4"/>
        <v>#DIV/0!</v>
      </c>
      <c r="AN5" s="66" t="e">
        <f t="shared" si="4"/>
        <v>#DIV/0!</v>
      </c>
      <c r="AO5" s="66" t="e">
        <f t="shared" si="4"/>
        <v>#DIV/0!</v>
      </c>
      <c r="AP5" s="66" t="e">
        <f t="shared" si="4"/>
        <v>#DIV/0!</v>
      </c>
      <c r="AQ5" s="66" t="e">
        <f t="shared" si="4"/>
        <v>#DIV/0!</v>
      </c>
      <c r="AR5" s="66" t="e">
        <f t="shared" si="4"/>
        <v>#DIV/0!</v>
      </c>
      <c r="AS5" s="66" t="e">
        <f t="shared" si="4"/>
        <v>#DIV/0!</v>
      </c>
      <c r="AT5" s="66" t="e">
        <f t="shared" si="4"/>
        <v>#DIV/0!</v>
      </c>
      <c r="AU5" s="66" t="e">
        <f t="shared" si="4"/>
        <v>#DIV/0!</v>
      </c>
      <c r="AV5" s="66" t="e">
        <f t="shared" si="4"/>
        <v>#DIV/0!</v>
      </c>
      <c r="AW5" s="66" t="e">
        <f t="shared" si="4"/>
        <v>#DIV/0!</v>
      </c>
      <c r="AX5" s="66" t="e">
        <f t="shared" si="4"/>
        <v>#DIV/0!</v>
      </c>
      <c r="AY5" s="66" t="e">
        <f t="shared" si="4"/>
        <v>#DIV/0!</v>
      </c>
      <c r="AZ5" s="66" t="e">
        <f t="shared" si="4"/>
        <v>#DIV/0!</v>
      </c>
      <c r="BA5" s="66" t="e">
        <f t="shared" si="4"/>
        <v>#DIV/0!</v>
      </c>
      <c r="BB5" s="66" t="e">
        <f t="shared" si="4"/>
        <v>#DIV/0!</v>
      </c>
      <c r="BC5" s="66" t="e">
        <f t="shared" si="4"/>
        <v>#DIV/0!</v>
      </c>
      <c r="BD5" s="66" t="e">
        <f t="shared" si="4"/>
        <v>#DIV/0!</v>
      </c>
      <c r="BE5" s="66" t="e">
        <f t="shared" si="4"/>
        <v>#DIV/0!</v>
      </c>
      <c r="BF5" s="66" t="e">
        <f t="shared" si="4"/>
        <v>#DIV/0!</v>
      </c>
      <c r="BG5" s="66" t="e">
        <f t="shared" si="4"/>
        <v>#DIV/0!</v>
      </c>
      <c r="BH5" s="66" t="e">
        <f t="shared" si="4"/>
        <v>#DIV/0!</v>
      </c>
      <c r="BI5" s="66" t="e">
        <f t="shared" si="4"/>
        <v>#DIV/0!</v>
      </c>
      <c r="BJ5" s="66" t="e">
        <f t="shared" si="4"/>
        <v>#DIV/0!</v>
      </c>
      <c r="BK5" s="66" t="e">
        <f t="shared" si="4"/>
        <v>#DIV/0!</v>
      </c>
      <c r="BL5" s="66" t="e">
        <f t="shared" si="4"/>
        <v>#DIV/0!</v>
      </c>
      <c r="BM5" s="66" t="e">
        <f t="shared" si="4"/>
        <v>#DIV/0!</v>
      </c>
      <c r="BN5" s="66" t="e">
        <f t="shared" si="4"/>
        <v>#DIV/0!</v>
      </c>
      <c r="BO5" s="66" t="e">
        <f t="shared" si="4"/>
        <v>#DIV/0!</v>
      </c>
      <c r="BP5" s="66" t="e">
        <f t="shared" si="4"/>
        <v>#DIV/0!</v>
      </c>
      <c r="BQ5" s="66" t="e">
        <f t="shared" ref="BQ5:CK5" si="5">BQ4/BQ2</f>
        <v>#DIV/0!</v>
      </c>
      <c r="BR5" s="66" t="e">
        <f t="shared" si="5"/>
        <v>#DIV/0!</v>
      </c>
      <c r="BS5" s="66" t="e">
        <f t="shared" si="5"/>
        <v>#DIV/0!</v>
      </c>
      <c r="BT5" s="66" t="e">
        <f t="shared" si="5"/>
        <v>#DIV/0!</v>
      </c>
      <c r="BU5" s="66" t="e">
        <f t="shared" si="5"/>
        <v>#DIV/0!</v>
      </c>
      <c r="BV5" s="66" t="e">
        <f t="shared" si="5"/>
        <v>#DIV/0!</v>
      </c>
      <c r="BW5" s="66" t="e">
        <f t="shared" si="5"/>
        <v>#DIV/0!</v>
      </c>
      <c r="BX5" s="66" t="e">
        <f t="shared" si="5"/>
        <v>#DIV/0!</v>
      </c>
      <c r="BY5" s="66" t="e">
        <f t="shared" si="5"/>
        <v>#DIV/0!</v>
      </c>
      <c r="BZ5" s="66" t="e">
        <f t="shared" si="5"/>
        <v>#DIV/0!</v>
      </c>
      <c r="CA5" s="66" t="e">
        <f t="shared" si="5"/>
        <v>#DIV/0!</v>
      </c>
      <c r="CB5" s="66" t="e">
        <f t="shared" si="5"/>
        <v>#DIV/0!</v>
      </c>
      <c r="CC5" s="66" t="e">
        <f t="shared" si="5"/>
        <v>#DIV/0!</v>
      </c>
      <c r="CD5" s="66" t="e">
        <f t="shared" si="5"/>
        <v>#DIV/0!</v>
      </c>
      <c r="CE5" s="66" t="e">
        <f t="shared" si="5"/>
        <v>#DIV/0!</v>
      </c>
      <c r="CF5" s="66" t="e">
        <f t="shared" si="5"/>
        <v>#DIV/0!</v>
      </c>
      <c r="CG5" s="66" t="e">
        <f t="shared" si="5"/>
        <v>#DIV/0!</v>
      </c>
      <c r="CH5" s="66" t="e">
        <f t="shared" si="5"/>
        <v>#DIV/0!</v>
      </c>
      <c r="CI5" s="66" t="e">
        <f t="shared" si="5"/>
        <v>#DIV/0!</v>
      </c>
      <c r="CJ5" s="66" t="e">
        <f t="shared" si="5"/>
        <v>#DIV/0!</v>
      </c>
      <c r="CK5" s="66" t="e">
        <f t="shared" si="5"/>
        <v>#DIV/0!</v>
      </c>
    </row>
    <row r="6" spans="1:89" s="66" customFormat="1" x14ac:dyDescent="0.25">
      <c r="A6" s="46" t="s">
        <v>354</v>
      </c>
      <c r="E6" s="66">
        <f>(E4-I4)/I4</f>
        <v>0.16545570720054206</v>
      </c>
      <c r="F6" s="66">
        <f t="shared" ref="F6:BQ6" si="6">(F4-J4)/J4</f>
        <v>0.18713293206906975</v>
      </c>
      <c r="G6" s="66">
        <f t="shared" si="6"/>
        <v>0.21479938312958455</v>
      </c>
      <c r="H6" s="66">
        <f t="shared" si="6"/>
        <v>0.21885760934780399</v>
      </c>
      <c r="I6" s="66">
        <f t="shared" si="6"/>
        <v>9.5194547262878057E-2</v>
      </c>
      <c r="J6" s="66">
        <f t="shared" si="6"/>
        <v>6.08714387800822E-2</v>
      </c>
      <c r="K6" s="66">
        <f t="shared" si="6"/>
        <v>-0.4808085587495774</v>
      </c>
      <c r="L6" s="66">
        <f t="shared" si="6"/>
        <v>-0.70657926222434697</v>
      </c>
      <c r="M6" s="66">
        <f>(M4-O4)/O4</f>
        <v>0.10576633459110177</v>
      </c>
      <c r="N6" s="66">
        <f t="shared" ref="N6:S6" si="7">(N4-P4)/P4</f>
        <v>-0.15548917987801283</v>
      </c>
      <c r="O6" s="66">
        <f t="shared" si="7"/>
        <v>0.38446732790220434</v>
      </c>
      <c r="P6" s="66">
        <f>(P4-Q4)/Q4</f>
        <v>0.22771465468349653</v>
      </c>
      <c r="Q6" s="66">
        <f t="shared" ref="Q6:R6" si="8">(Q4-R4)/R4</f>
        <v>0.3199994674941643</v>
      </c>
      <c r="R6" s="66" t="e">
        <f t="shared" si="8"/>
        <v>#DIV/0!</v>
      </c>
      <c r="S6" s="66" t="e">
        <f t="shared" si="7"/>
        <v>#DIV/0!</v>
      </c>
      <c r="T6" s="66" t="e">
        <f t="shared" si="6"/>
        <v>#DIV/0!</v>
      </c>
      <c r="U6" s="66" t="e">
        <f t="shared" si="6"/>
        <v>#DIV/0!</v>
      </c>
      <c r="V6" s="66" t="e">
        <f t="shared" si="6"/>
        <v>#DIV/0!</v>
      </c>
      <c r="W6" s="66" t="e">
        <f t="shared" si="6"/>
        <v>#DIV/0!</v>
      </c>
      <c r="X6" s="66" t="e">
        <f t="shared" si="6"/>
        <v>#DIV/0!</v>
      </c>
      <c r="Y6" s="66" t="e">
        <f t="shared" si="6"/>
        <v>#DIV/0!</v>
      </c>
      <c r="Z6" s="66" t="e">
        <f t="shared" si="6"/>
        <v>#DIV/0!</v>
      </c>
      <c r="AA6" s="66" t="e">
        <f t="shared" si="6"/>
        <v>#DIV/0!</v>
      </c>
      <c r="AB6" s="66" t="e">
        <f t="shared" si="6"/>
        <v>#DIV/0!</v>
      </c>
      <c r="AC6" s="66" t="e">
        <f t="shared" si="6"/>
        <v>#DIV/0!</v>
      </c>
      <c r="AD6" s="66" t="e">
        <f t="shared" si="6"/>
        <v>#DIV/0!</v>
      </c>
      <c r="AE6" s="66" t="e">
        <f t="shared" si="6"/>
        <v>#DIV/0!</v>
      </c>
      <c r="AF6" s="66" t="e">
        <f t="shared" si="6"/>
        <v>#DIV/0!</v>
      </c>
      <c r="AG6" s="66" t="e">
        <f t="shared" si="6"/>
        <v>#DIV/0!</v>
      </c>
      <c r="AH6" s="66" t="e">
        <f t="shared" si="6"/>
        <v>#DIV/0!</v>
      </c>
      <c r="AI6" s="66" t="e">
        <f t="shared" si="6"/>
        <v>#DIV/0!</v>
      </c>
      <c r="AJ6" s="66" t="e">
        <f t="shared" si="6"/>
        <v>#DIV/0!</v>
      </c>
      <c r="AK6" s="66" t="e">
        <f t="shared" si="6"/>
        <v>#DIV/0!</v>
      </c>
      <c r="AL6" s="66" t="e">
        <f t="shared" si="6"/>
        <v>#DIV/0!</v>
      </c>
      <c r="AM6" s="66" t="e">
        <f t="shared" si="6"/>
        <v>#DIV/0!</v>
      </c>
      <c r="AN6" s="66" t="e">
        <f t="shared" si="6"/>
        <v>#DIV/0!</v>
      </c>
      <c r="AO6" s="66" t="e">
        <f t="shared" si="6"/>
        <v>#DIV/0!</v>
      </c>
      <c r="AP6" s="66" t="e">
        <f t="shared" si="6"/>
        <v>#DIV/0!</v>
      </c>
      <c r="AQ6" s="66" t="e">
        <f t="shared" si="6"/>
        <v>#DIV/0!</v>
      </c>
      <c r="AR6" s="66" t="e">
        <f t="shared" si="6"/>
        <v>#DIV/0!</v>
      </c>
      <c r="AS6" s="66" t="e">
        <f t="shared" si="6"/>
        <v>#DIV/0!</v>
      </c>
      <c r="AT6" s="66" t="e">
        <f t="shared" si="6"/>
        <v>#DIV/0!</v>
      </c>
      <c r="AU6" s="66" t="e">
        <f t="shared" si="6"/>
        <v>#DIV/0!</v>
      </c>
      <c r="AV6" s="66" t="e">
        <f t="shared" si="6"/>
        <v>#DIV/0!</v>
      </c>
      <c r="AW6" s="66" t="e">
        <f t="shared" si="6"/>
        <v>#DIV/0!</v>
      </c>
      <c r="AX6" s="66" t="e">
        <f t="shared" si="6"/>
        <v>#DIV/0!</v>
      </c>
      <c r="AY6" s="66" t="e">
        <f t="shared" si="6"/>
        <v>#DIV/0!</v>
      </c>
      <c r="AZ6" s="66" t="e">
        <f t="shared" si="6"/>
        <v>#DIV/0!</v>
      </c>
      <c r="BA6" s="66" t="e">
        <f t="shared" si="6"/>
        <v>#DIV/0!</v>
      </c>
      <c r="BB6" s="66" t="e">
        <f t="shared" si="6"/>
        <v>#DIV/0!</v>
      </c>
      <c r="BC6" s="66" t="e">
        <f t="shared" si="6"/>
        <v>#DIV/0!</v>
      </c>
      <c r="BD6" s="66" t="e">
        <f t="shared" si="6"/>
        <v>#DIV/0!</v>
      </c>
      <c r="BE6" s="66" t="e">
        <f t="shared" si="6"/>
        <v>#DIV/0!</v>
      </c>
      <c r="BF6" s="66" t="e">
        <f t="shared" si="6"/>
        <v>#DIV/0!</v>
      </c>
      <c r="BG6" s="66" t="e">
        <f t="shared" si="6"/>
        <v>#DIV/0!</v>
      </c>
      <c r="BH6" s="66" t="e">
        <f t="shared" si="6"/>
        <v>#DIV/0!</v>
      </c>
      <c r="BI6" s="66" t="e">
        <f t="shared" si="6"/>
        <v>#DIV/0!</v>
      </c>
      <c r="BJ6" s="66" t="e">
        <f t="shared" si="6"/>
        <v>#DIV/0!</v>
      </c>
      <c r="BK6" s="66" t="e">
        <f t="shared" si="6"/>
        <v>#DIV/0!</v>
      </c>
      <c r="BL6" s="66" t="e">
        <f t="shared" si="6"/>
        <v>#DIV/0!</v>
      </c>
      <c r="BM6" s="66" t="e">
        <f t="shared" si="6"/>
        <v>#DIV/0!</v>
      </c>
      <c r="BN6" s="66" t="e">
        <f t="shared" si="6"/>
        <v>#DIV/0!</v>
      </c>
      <c r="BO6" s="66" t="e">
        <f t="shared" si="6"/>
        <v>#DIV/0!</v>
      </c>
      <c r="BP6" s="66" t="e">
        <f t="shared" si="6"/>
        <v>#DIV/0!</v>
      </c>
      <c r="BQ6" s="66" t="e">
        <f t="shared" si="6"/>
        <v>#DIV/0!</v>
      </c>
      <c r="BR6" s="66" t="e">
        <f t="shared" ref="BR6:CJ6" si="9">(BR4-BV4)/BV4</f>
        <v>#DIV/0!</v>
      </c>
      <c r="BS6" s="66" t="e">
        <f t="shared" si="9"/>
        <v>#DIV/0!</v>
      </c>
      <c r="BT6" s="66" t="e">
        <f t="shared" si="9"/>
        <v>#DIV/0!</v>
      </c>
      <c r="BU6" s="66" t="e">
        <f t="shared" si="9"/>
        <v>#DIV/0!</v>
      </c>
      <c r="BV6" s="66" t="e">
        <f t="shared" si="9"/>
        <v>#DIV/0!</v>
      </c>
      <c r="BW6" s="66" t="e">
        <f t="shared" si="9"/>
        <v>#DIV/0!</v>
      </c>
      <c r="BX6" s="66" t="e">
        <f t="shared" si="9"/>
        <v>#DIV/0!</v>
      </c>
      <c r="BY6" s="66" t="e">
        <f t="shared" si="9"/>
        <v>#DIV/0!</v>
      </c>
      <c r="BZ6" s="66" t="e">
        <f t="shared" si="9"/>
        <v>#DIV/0!</v>
      </c>
      <c r="CA6" s="66" t="e">
        <f t="shared" si="9"/>
        <v>#DIV/0!</v>
      </c>
      <c r="CB6" s="66" t="e">
        <f t="shared" si="9"/>
        <v>#DIV/0!</v>
      </c>
      <c r="CC6" s="66" t="e">
        <f t="shared" si="9"/>
        <v>#DIV/0!</v>
      </c>
      <c r="CD6" s="66" t="e">
        <f t="shared" si="9"/>
        <v>#DIV/0!</v>
      </c>
      <c r="CE6" s="66" t="e">
        <f t="shared" si="9"/>
        <v>#DIV/0!</v>
      </c>
      <c r="CF6" s="66" t="e">
        <f t="shared" si="9"/>
        <v>#DIV/0!</v>
      </c>
      <c r="CG6" s="66" t="e">
        <f t="shared" si="9"/>
        <v>#DIV/0!</v>
      </c>
      <c r="CH6" s="66" t="e">
        <f t="shared" si="9"/>
        <v>#DIV/0!</v>
      </c>
      <c r="CI6" s="66" t="e">
        <f t="shared" si="9"/>
        <v>#DIV/0!</v>
      </c>
      <c r="CJ6" s="66" t="e">
        <f t="shared" si="9"/>
        <v>#DIV/0!</v>
      </c>
    </row>
    <row r="7" spans="1:89" s="27" customFormat="1" x14ac:dyDescent="0.25">
      <c r="A7" s="127" t="s">
        <v>355</v>
      </c>
      <c r="E7" s="27">
        <f>股权价值增加表!E6</f>
        <v>346317878.94999999</v>
      </c>
      <c r="F7" s="27">
        <f>股权价值增加表!F6</f>
        <v>254407173.89000005</v>
      </c>
      <c r="G7" s="27">
        <f>股权价值增加表!G6</f>
        <v>158300639.55000001</v>
      </c>
      <c r="H7" s="27">
        <f>股权价值增加表!H6</f>
        <v>62451067.86999999</v>
      </c>
      <c r="I7" s="27">
        <f>股权价值增加表!I6</f>
        <v>316571713.09999996</v>
      </c>
      <c r="J7" s="27">
        <f>股权价值增加表!J6</f>
        <v>225418720.36000001</v>
      </c>
      <c r="K7" s="27">
        <f>股权价值增加表!K6</f>
        <v>133874552.78999999</v>
      </c>
      <c r="L7" s="27">
        <f>股权价值增加表!L6</f>
        <v>49437739.230000004</v>
      </c>
      <c r="M7" s="27">
        <f>股权价值增加表!M6</f>
        <v>278884618.12</v>
      </c>
      <c r="N7" s="27">
        <f>股权价值增加表!N6</f>
        <v>194002283.12999997</v>
      </c>
      <c r="O7" s="27">
        <f>股权价值增加表!O6</f>
        <v>241087723.96000004</v>
      </c>
      <c r="P7" s="27">
        <f>股权价值增加表!P6</f>
        <v>229762547.53000003</v>
      </c>
      <c r="Q7" s="27">
        <f>股权价值增加表!Q6</f>
        <v>187772377.49000001</v>
      </c>
      <c r="R7" s="27">
        <f>股权价值增加表!R6</f>
        <v>159450987.28</v>
      </c>
      <c r="S7" s="27">
        <f>股权价值增加表!S6</f>
        <v>0</v>
      </c>
      <c r="T7" s="27">
        <f>股权价值增加表!T6</f>
        <v>0</v>
      </c>
      <c r="U7" s="27">
        <f>股权价值增加表!U6</f>
        <v>0</v>
      </c>
      <c r="V7" s="27">
        <f>股权价值增加表!V6</f>
        <v>0</v>
      </c>
      <c r="W7" s="27">
        <f>股权价值增加表!W6</f>
        <v>0</v>
      </c>
      <c r="X7" s="27">
        <f>股权价值增加表!X6</f>
        <v>0</v>
      </c>
      <c r="Y7" s="27">
        <f>股权价值增加表!Y6</f>
        <v>0</v>
      </c>
      <c r="Z7" s="27">
        <f>股权价值增加表!Z6</f>
        <v>0</v>
      </c>
      <c r="AA7" s="27">
        <f>股权价值增加表!AA6</f>
        <v>0</v>
      </c>
      <c r="AB7" s="27">
        <f>股权价值增加表!AB6</f>
        <v>0</v>
      </c>
      <c r="AC7" s="27">
        <f>股权价值增加表!AC6</f>
        <v>0</v>
      </c>
      <c r="AD7" s="27">
        <f>股权价值增加表!AD6</f>
        <v>0</v>
      </c>
      <c r="AE7" s="27">
        <f>股权价值增加表!AE6</f>
        <v>0</v>
      </c>
      <c r="AF7" s="27">
        <f>股权价值增加表!AF6</f>
        <v>0</v>
      </c>
      <c r="AG7" s="27">
        <f>股权价值增加表!AG6</f>
        <v>0</v>
      </c>
      <c r="AH7" s="27">
        <f>股权价值增加表!AH6</f>
        <v>0</v>
      </c>
      <c r="AI7" s="27">
        <f>股权价值增加表!AI6</f>
        <v>0</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0.46027880196447662</v>
      </c>
      <c r="F8" s="66">
        <f t="shared" ref="F8:BQ8" si="10">F7/F2</f>
        <v>0.48387270147451156</v>
      </c>
      <c r="G8" s="66">
        <f t="shared" si="10"/>
        <v>0.46590426541572688</v>
      </c>
      <c r="H8" s="66">
        <f t="shared" si="10"/>
        <v>0.40631587648868517</v>
      </c>
      <c r="I8" s="66">
        <f t="shared" si="10"/>
        <v>0.47603951276111672</v>
      </c>
      <c r="J8" s="66">
        <f t="shared" si="10"/>
        <v>0.49650834228691354</v>
      </c>
      <c r="K8" s="66">
        <f t="shared" si="10"/>
        <v>0.47262520158171623</v>
      </c>
      <c r="L8" s="66">
        <f t="shared" si="10"/>
        <v>0.39772059282169103</v>
      </c>
      <c r="M8" s="66">
        <f t="shared" si="10"/>
        <v>0.4671137818263727</v>
      </c>
      <c r="N8" s="66">
        <f t="shared" si="10"/>
        <v>0.47378259221580915</v>
      </c>
      <c r="O8" s="66">
        <f t="shared" si="10"/>
        <v>0.4559064115895709</v>
      </c>
      <c r="P8" s="66">
        <f t="shared" si="10"/>
        <v>0.47382714846472457</v>
      </c>
      <c r="Q8" s="66">
        <f t="shared" si="10"/>
        <v>0.47465956709160112</v>
      </c>
      <c r="R8" s="66">
        <f t="shared" si="10"/>
        <v>0.50317215676675964</v>
      </c>
      <c r="S8" s="66" t="e">
        <f t="shared" si="10"/>
        <v>#DIV/0!</v>
      </c>
      <c r="T8" s="66" t="e">
        <f t="shared" si="10"/>
        <v>#DIV/0!</v>
      </c>
      <c r="U8" s="66" t="e">
        <f t="shared" si="10"/>
        <v>#DIV/0!</v>
      </c>
      <c r="V8" s="66" t="e">
        <f t="shared" si="10"/>
        <v>#DIV/0!</v>
      </c>
      <c r="W8" s="66" t="e">
        <f t="shared" si="10"/>
        <v>#DIV/0!</v>
      </c>
      <c r="X8" s="66" t="e">
        <f t="shared" si="10"/>
        <v>#DIV/0!</v>
      </c>
      <c r="Y8" s="66" t="e">
        <f t="shared" si="10"/>
        <v>#DIV/0!</v>
      </c>
      <c r="Z8" s="66" t="e">
        <f t="shared" si="10"/>
        <v>#DIV/0!</v>
      </c>
      <c r="AA8" s="66" t="e">
        <f t="shared" si="10"/>
        <v>#DIV/0!</v>
      </c>
      <c r="AB8" s="66" t="e">
        <f t="shared" si="10"/>
        <v>#DIV/0!</v>
      </c>
      <c r="AC8" s="66" t="e">
        <f t="shared" si="10"/>
        <v>#DIV/0!</v>
      </c>
      <c r="AD8" s="66" t="e">
        <f t="shared" si="10"/>
        <v>#DIV/0!</v>
      </c>
      <c r="AE8" s="66" t="e">
        <f t="shared" si="10"/>
        <v>#DIV/0!</v>
      </c>
      <c r="AF8" s="66" t="e">
        <f t="shared" si="10"/>
        <v>#DIV/0!</v>
      </c>
      <c r="AG8" s="66" t="e">
        <f t="shared" si="10"/>
        <v>#DIV/0!</v>
      </c>
      <c r="AH8" s="66" t="e">
        <f t="shared" si="10"/>
        <v>#DIV/0!</v>
      </c>
      <c r="AI8" s="66" t="e">
        <f t="shared" si="10"/>
        <v>#DIV/0!</v>
      </c>
      <c r="AJ8" s="66" t="e">
        <f t="shared" si="10"/>
        <v>#DIV/0!</v>
      </c>
      <c r="AK8" s="66" t="e">
        <f t="shared" si="10"/>
        <v>#DIV/0!</v>
      </c>
      <c r="AL8" s="66" t="e">
        <f t="shared" si="10"/>
        <v>#DIV/0!</v>
      </c>
      <c r="AM8" s="66" t="e">
        <f t="shared" si="10"/>
        <v>#DIV/0!</v>
      </c>
      <c r="AN8" s="66" t="e">
        <f t="shared" si="10"/>
        <v>#DIV/0!</v>
      </c>
      <c r="AO8" s="66" t="e">
        <f t="shared" si="10"/>
        <v>#DIV/0!</v>
      </c>
      <c r="AP8" s="66" t="e">
        <f t="shared" si="10"/>
        <v>#DIV/0!</v>
      </c>
      <c r="AQ8" s="66" t="e">
        <f t="shared" si="10"/>
        <v>#DIV/0!</v>
      </c>
      <c r="AR8" s="66" t="e">
        <f t="shared" si="10"/>
        <v>#DIV/0!</v>
      </c>
      <c r="AS8" s="66" t="e">
        <f t="shared" si="10"/>
        <v>#DIV/0!</v>
      </c>
      <c r="AT8" s="66" t="e">
        <f t="shared" si="10"/>
        <v>#DIV/0!</v>
      </c>
      <c r="AU8" s="66" t="e">
        <f t="shared" si="10"/>
        <v>#DIV/0!</v>
      </c>
      <c r="AV8" s="66" t="e">
        <f t="shared" si="10"/>
        <v>#DIV/0!</v>
      </c>
      <c r="AW8" s="66" t="e">
        <f t="shared" si="10"/>
        <v>#DIV/0!</v>
      </c>
      <c r="AX8" s="66" t="e">
        <f t="shared" si="10"/>
        <v>#DIV/0!</v>
      </c>
      <c r="AY8" s="66" t="e">
        <f t="shared" si="10"/>
        <v>#DIV/0!</v>
      </c>
      <c r="AZ8" s="66" t="e">
        <f t="shared" si="10"/>
        <v>#DIV/0!</v>
      </c>
      <c r="BA8" s="66" t="e">
        <f t="shared" si="10"/>
        <v>#DIV/0!</v>
      </c>
      <c r="BB8" s="66" t="e">
        <f t="shared" si="10"/>
        <v>#DIV/0!</v>
      </c>
      <c r="BC8" s="66" t="e">
        <f t="shared" si="10"/>
        <v>#DIV/0!</v>
      </c>
      <c r="BD8" s="66" t="e">
        <f t="shared" si="10"/>
        <v>#DIV/0!</v>
      </c>
      <c r="BE8" s="66" t="e">
        <f t="shared" si="10"/>
        <v>#DIV/0!</v>
      </c>
      <c r="BF8" s="66" t="e">
        <f t="shared" si="10"/>
        <v>#DIV/0!</v>
      </c>
      <c r="BG8" s="66" t="e">
        <f t="shared" si="10"/>
        <v>#DIV/0!</v>
      </c>
      <c r="BH8" s="66" t="e">
        <f t="shared" si="10"/>
        <v>#DIV/0!</v>
      </c>
      <c r="BI8" s="66" t="e">
        <f t="shared" si="10"/>
        <v>#DIV/0!</v>
      </c>
      <c r="BJ8" s="66" t="e">
        <f t="shared" si="10"/>
        <v>#DIV/0!</v>
      </c>
      <c r="BK8" s="66" t="e">
        <f t="shared" si="10"/>
        <v>#DIV/0!</v>
      </c>
      <c r="BL8" s="66" t="e">
        <f t="shared" si="10"/>
        <v>#DIV/0!</v>
      </c>
      <c r="BM8" s="66" t="e">
        <f t="shared" si="10"/>
        <v>#DIV/0!</v>
      </c>
      <c r="BN8" s="66" t="e">
        <f t="shared" si="10"/>
        <v>#DIV/0!</v>
      </c>
      <c r="BO8" s="66" t="e">
        <f t="shared" si="10"/>
        <v>#DIV/0!</v>
      </c>
      <c r="BP8" s="66" t="e">
        <f t="shared" si="10"/>
        <v>#DIV/0!</v>
      </c>
      <c r="BQ8" s="66" t="e">
        <f t="shared" si="10"/>
        <v>#DIV/0!</v>
      </c>
      <c r="BR8" s="66" t="e">
        <f t="shared" ref="BR8:CJ8" si="11">BR7/BR2</f>
        <v>#DIV/0!</v>
      </c>
      <c r="BS8" s="66" t="e">
        <f t="shared" si="11"/>
        <v>#DIV/0!</v>
      </c>
      <c r="BT8" s="66" t="e">
        <f t="shared" si="11"/>
        <v>#DIV/0!</v>
      </c>
      <c r="BU8" s="66" t="e">
        <f t="shared" si="11"/>
        <v>#DIV/0!</v>
      </c>
      <c r="BV8" s="66" t="e">
        <f t="shared" si="11"/>
        <v>#DIV/0!</v>
      </c>
      <c r="BW8" s="66" t="e">
        <f t="shared" si="11"/>
        <v>#DIV/0!</v>
      </c>
      <c r="BX8" s="66" t="e">
        <f t="shared" si="11"/>
        <v>#DIV/0!</v>
      </c>
      <c r="BY8" s="66" t="e">
        <f t="shared" si="11"/>
        <v>#DIV/0!</v>
      </c>
      <c r="BZ8" s="66" t="e">
        <f t="shared" si="11"/>
        <v>#DIV/0!</v>
      </c>
      <c r="CA8" s="66" t="e">
        <f t="shared" si="11"/>
        <v>#DIV/0!</v>
      </c>
      <c r="CB8" s="66" t="e">
        <f t="shared" si="11"/>
        <v>#DIV/0!</v>
      </c>
      <c r="CC8" s="66" t="e">
        <f t="shared" si="11"/>
        <v>#DIV/0!</v>
      </c>
      <c r="CD8" s="66" t="e">
        <f t="shared" si="11"/>
        <v>#DIV/0!</v>
      </c>
      <c r="CE8" s="66" t="e">
        <f t="shared" si="11"/>
        <v>#DIV/0!</v>
      </c>
      <c r="CF8" s="66" t="e">
        <f t="shared" si="11"/>
        <v>#DIV/0!</v>
      </c>
      <c r="CG8" s="66" t="e">
        <f t="shared" si="11"/>
        <v>#DIV/0!</v>
      </c>
      <c r="CH8" s="66" t="e">
        <f t="shared" si="11"/>
        <v>#DIV/0!</v>
      </c>
      <c r="CI8" s="66" t="e">
        <f t="shared" si="11"/>
        <v>#DIV/0!</v>
      </c>
      <c r="CJ8" s="66" t="e">
        <f t="shared" si="11"/>
        <v>#DIV/0!</v>
      </c>
    </row>
    <row r="9" spans="1:89" s="66" customFormat="1" x14ac:dyDescent="0.25">
      <c r="A9" s="46" t="s">
        <v>357</v>
      </c>
      <c r="E9" s="66">
        <f>(E7-I7)/I7</f>
        <v>9.3963435831690006E-2</v>
      </c>
      <c r="F9" s="66">
        <f t="shared" ref="F9:L9" si="12">(F7-J7)/J7</f>
        <v>0.12859825254843368</v>
      </c>
      <c r="G9" s="66">
        <f t="shared" si="12"/>
        <v>0.18245503907165672</v>
      </c>
      <c r="H9" s="66">
        <f t="shared" si="12"/>
        <v>0.26322661275949255</v>
      </c>
      <c r="I9" s="66">
        <f t="shared" si="12"/>
        <v>0.135135079281367</v>
      </c>
      <c r="J9" s="66">
        <f t="shared" si="12"/>
        <v>0.16193849228541321</v>
      </c>
      <c r="K9" s="66">
        <f t="shared" si="12"/>
        <v>-0.44470605723495182</v>
      </c>
      <c r="L9" s="66">
        <f t="shared" si="12"/>
        <v>-0.78483116695272126</v>
      </c>
      <c r="M9" s="66">
        <f>(M7-O7)/O7</f>
        <v>0.15677651909920981</v>
      </c>
      <c r="N9" s="66">
        <f t="shared" ref="N9:R9" si="13">(N7-P7)/P7</f>
        <v>-0.15564009358544764</v>
      </c>
      <c r="O9" s="66">
        <f t="shared" si="13"/>
        <v>0.28393604630606217</v>
      </c>
      <c r="P9" s="66">
        <f t="shared" si="13"/>
        <v>0.44096033175718841</v>
      </c>
      <c r="Q9" s="66" t="e">
        <f t="shared" si="13"/>
        <v>#DIV/0!</v>
      </c>
      <c r="R9" s="66" t="e">
        <f t="shared" si="13"/>
        <v>#DIV/0!</v>
      </c>
      <c r="S9" s="66" t="e">
        <f t="shared" ref="S9:BQ9" si="14">(S7-W7)/W7</f>
        <v>#DIV/0!</v>
      </c>
      <c r="T9" s="66" t="e">
        <f t="shared" si="14"/>
        <v>#DIV/0!</v>
      </c>
      <c r="U9" s="66" t="e">
        <f t="shared" si="14"/>
        <v>#DIV/0!</v>
      </c>
      <c r="V9" s="66" t="e">
        <f t="shared" si="14"/>
        <v>#DIV/0!</v>
      </c>
      <c r="W9" s="66" t="e">
        <f t="shared" si="14"/>
        <v>#DIV/0!</v>
      </c>
      <c r="X9" s="66" t="e">
        <f t="shared" si="14"/>
        <v>#DIV/0!</v>
      </c>
      <c r="Y9" s="66" t="e">
        <f t="shared" si="14"/>
        <v>#DIV/0!</v>
      </c>
      <c r="Z9" s="66" t="e">
        <f t="shared" si="14"/>
        <v>#DIV/0!</v>
      </c>
      <c r="AA9" s="66" t="e">
        <f t="shared" si="14"/>
        <v>#DIV/0!</v>
      </c>
      <c r="AB9" s="66" t="e">
        <f t="shared" si="14"/>
        <v>#DIV/0!</v>
      </c>
      <c r="AC9" s="66" t="e">
        <f t="shared" si="14"/>
        <v>#DIV/0!</v>
      </c>
      <c r="AD9" s="66" t="e">
        <f t="shared" si="14"/>
        <v>#DIV/0!</v>
      </c>
      <c r="AE9" s="66" t="e">
        <f t="shared" si="14"/>
        <v>#DIV/0!</v>
      </c>
      <c r="AF9" s="66" t="e">
        <f t="shared" si="14"/>
        <v>#DIV/0!</v>
      </c>
      <c r="AG9" s="66" t="e">
        <f t="shared" si="14"/>
        <v>#DIV/0!</v>
      </c>
      <c r="AH9" s="66" t="e">
        <f t="shared" si="14"/>
        <v>#DIV/0!</v>
      </c>
      <c r="AI9" s="66" t="e">
        <f t="shared" si="14"/>
        <v>#DIV/0!</v>
      </c>
      <c r="AJ9" s="66" t="e">
        <f t="shared" si="14"/>
        <v>#DIV/0!</v>
      </c>
      <c r="AK9" s="66" t="e">
        <f t="shared" si="14"/>
        <v>#DIV/0!</v>
      </c>
      <c r="AL9" s="66" t="e">
        <f t="shared" si="14"/>
        <v>#DIV/0!</v>
      </c>
      <c r="AM9" s="66" t="e">
        <f t="shared" si="14"/>
        <v>#DIV/0!</v>
      </c>
      <c r="AN9" s="66" t="e">
        <f t="shared" si="14"/>
        <v>#DIV/0!</v>
      </c>
      <c r="AO9" s="66" t="e">
        <f t="shared" si="14"/>
        <v>#DIV/0!</v>
      </c>
      <c r="AP9" s="66" t="e">
        <f t="shared" si="14"/>
        <v>#DIV/0!</v>
      </c>
      <c r="AQ9" s="66" t="e">
        <f t="shared" si="14"/>
        <v>#DIV/0!</v>
      </c>
      <c r="AR9" s="66" t="e">
        <f t="shared" si="14"/>
        <v>#DIV/0!</v>
      </c>
      <c r="AS9" s="66" t="e">
        <f t="shared" si="14"/>
        <v>#DIV/0!</v>
      </c>
      <c r="AT9" s="66" t="e">
        <f t="shared" si="14"/>
        <v>#DIV/0!</v>
      </c>
      <c r="AU9" s="66" t="e">
        <f t="shared" si="14"/>
        <v>#DIV/0!</v>
      </c>
      <c r="AV9" s="66" t="e">
        <f t="shared" si="14"/>
        <v>#DIV/0!</v>
      </c>
      <c r="AW9" s="66" t="e">
        <f t="shared" si="14"/>
        <v>#DIV/0!</v>
      </c>
      <c r="AX9" s="66" t="e">
        <f t="shared" si="14"/>
        <v>#DIV/0!</v>
      </c>
      <c r="AY9" s="66" t="e">
        <f t="shared" si="14"/>
        <v>#DIV/0!</v>
      </c>
      <c r="AZ9" s="66" t="e">
        <f t="shared" si="14"/>
        <v>#DIV/0!</v>
      </c>
      <c r="BA9" s="66" t="e">
        <f t="shared" si="14"/>
        <v>#DIV/0!</v>
      </c>
      <c r="BB9" s="66" t="e">
        <f t="shared" si="14"/>
        <v>#DIV/0!</v>
      </c>
      <c r="BC9" s="66" t="e">
        <f t="shared" si="14"/>
        <v>#DIV/0!</v>
      </c>
      <c r="BD9" s="66" t="e">
        <f t="shared" si="14"/>
        <v>#DIV/0!</v>
      </c>
      <c r="BE9" s="66" t="e">
        <f t="shared" si="14"/>
        <v>#DIV/0!</v>
      </c>
      <c r="BF9" s="66" t="e">
        <f t="shared" si="14"/>
        <v>#DIV/0!</v>
      </c>
      <c r="BG9" s="66" t="e">
        <f t="shared" si="14"/>
        <v>#DIV/0!</v>
      </c>
      <c r="BH9" s="66" t="e">
        <f t="shared" si="14"/>
        <v>#DIV/0!</v>
      </c>
      <c r="BI9" s="66" t="e">
        <f t="shared" si="14"/>
        <v>#DIV/0!</v>
      </c>
      <c r="BJ9" s="66" t="e">
        <f t="shared" si="14"/>
        <v>#DIV/0!</v>
      </c>
      <c r="BK9" s="66" t="e">
        <f t="shared" si="14"/>
        <v>#DIV/0!</v>
      </c>
      <c r="BL9" s="66" t="e">
        <f t="shared" si="14"/>
        <v>#DIV/0!</v>
      </c>
      <c r="BM9" s="66" t="e">
        <f t="shared" si="14"/>
        <v>#DIV/0!</v>
      </c>
      <c r="BN9" s="66" t="e">
        <f t="shared" si="14"/>
        <v>#DIV/0!</v>
      </c>
      <c r="BO9" s="66" t="e">
        <f t="shared" si="14"/>
        <v>#DIV/0!</v>
      </c>
      <c r="BP9" s="66" t="e">
        <f t="shared" si="14"/>
        <v>#DIV/0!</v>
      </c>
      <c r="BQ9" s="66" t="e">
        <f t="shared" si="14"/>
        <v>#DIV/0!</v>
      </c>
      <c r="BR9" s="66" t="e">
        <f t="shared" ref="BR9:CK9" si="15">(BR7-BV7)/BV7</f>
        <v>#DIV/0!</v>
      </c>
      <c r="BS9" s="66" t="e">
        <f t="shared" si="15"/>
        <v>#DIV/0!</v>
      </c>
      <c r="BT9" s="66" t="e">
        <f t="shared" si="15"/>
        <v>#DIV/0!</v>
      </c>
      <c r="BU9" s="66" t="e">
        <f t="shared" si="15"/>
        <v>#DIV/0!</v>
      </c>
      <c r="BV9" s="66" t="e">
        <f t="shared" si="15"/>
        <v>#DIV/0!</v>
      </c>
      <c r="BW9" s="66" t="e">
        <f t="shared" si="15"/>
        <v>#DIV/0!</v>
      </c>
      <c r="BX9" s="66" t="e">
        <f t="shared" si="15"/>
        <v>#DIV/0!</v>
      </c>
      <c r="BY9" s="66" t="e">
        <f t="shared" si="15"/>
        <v>#DIV/0!</v>
      </c>
      <c r="BZ9" s="66" t="e">
        <f t="shared" si="15"/>
        <v>#DIV/0!</v>
      </c>
      <c r="CA9" s="66" t="e">
        <f t="shared" si="15"/>
        <v>#DIV/0!</v>
      </c>
      <c r="CB9" s="66" t="e">
        <f t="shared" si="15"/>
        <v>#DIV/0!</v>
      </c>
      <c r="CC9" s="66" t="e">
        <f t="shared" si="15"/>
        <v>#DIV/0!</v>
      </c>
      <c r="CD9" s="66" t="e">
        <f t="shared" si="15"/>
        <v>#DIV/0!</v>
      </c>
      <c r="CE9" s="66" t="e">
        <f t="shared" si="15"/>
        <v>#DIV/0!</v>
      </c>
      <c r="CF9" s="66" t="e">
        <f t="shared" si="15"/>
        <v>#DIV/0!</v>
      </c>
      <c r="CG9" s="66" t="e">
        <f t="shared" si="15"/>
        <v>#DIV/0!</v>
      </c>
      <c r="CH9" s="66" t="e">
        <f t="shared" si="15"/>
        <v>#DIV/0!</v>
      </c>
      <c r="CI9" s="66" t="e">
        <f t="shared" si="15"/>
        <v>#DIV/0!</v>
      </c>
      <c r="CJ9" s="66" t="e">
        <f t="shared" si="15"/>
        <v>#DIV/0!</v>
      </c>
      <c r="CK9" s="66" t="e">
        <f t="shared" si="15"/>
        <v>#DIV/0!</v>
      </c>
    </row>
    <row r="10" spans="1:89" s="27" customFormat="1" x14ac:dyDescent="0.25">
      <c r="A10" s="127" t="s">
        <v>358</v>
      </c>
      <c r="E10" s="27">
        <f>股权价值增加表!E8</f>
        <v>4713914.93</v>
      </c>
      <c r="F10" s="27">
        <f>股权价值增加表!F8</f>
        <v>3122552.32</v>
      </c>
      <c r="G10" s="27">
        <f>股权价值增加表!G8</f>
        <v>2242285.31</v>
      </c>
      <c r="H10" s="27">
        <f>股权价值增加表!H8</f>
        <v>741441.45</v>
      </c>
      <c r="I10" s="27">
        <f>股权价值增加表!I8</f>
        <v>4077013.45</v>
      </c>
      <c r="J10" s="27">
        <f>股权价值增加表!J8</f>
        <v>2478089.7400000002</v>
      </c>
      <c r="K10" s="27">
        <f>股权价值增加表!K8</f>
        <v>1674570.11</v>
      </c>
      <c r="L10" s="27">
        <f>股权价值增加表!L8</f>
        <v>761096.69</v>
      </c>
      <c r="M10" s="27">
        <f>股权价值增加表!M8</f>
        <v>3426043.03</v>
      </c>
      <c r="N10" s="27">
        <f>股权价值增加表!N8</f>
        <v>2528370.9500000002</v>
      </c>
      <c r="O10" s="27">
        <f>股权价值增加表!O8</f>
        <v>3185132.53</v>
      </c>
      <c r="P10" s="27">
        <f>股权价值增加表!P8</f>
        <v>4441789.72</v>
      </c>
      <c r="Q10" s="27">
        <f>股权价值增加表!Q8</f>
        <v>13470903.210000001</v>
      </c>
      <c r="R10" s="27">
        <f>股权价值增加表!R8</f>
        <v>15908543.560000001</v>
      </c>
      <c r="S10" s="27">
        <f>股权价值增加表!S8</f>
        <v>0</v>
      </c>
      <c r="T10" s="27">
        <f>股权价值增加表!T8</f>
        <v>0</v>
      </c>
      <c r="U10" s="27">
        <f>股权价值增加表!U8</f>
        <v>0</v>
      </c>
      <c r="V10" s="27">
        <f>股权价值增加表!V8</f>
        <v>0</v>
      </c>
      <c r="W10" s="27">
        <f>股权价值增加表!W8</f>
        <v>0</v>
      </c>
      <c r="X10" s="27">
        <f>股权价值增加表!X8</f>
        <v>0</v>
      </c>
      <c r="Y10" s="27">
        <f>股权价值增加表!Y8</f>
        <v>0</v>
      </c>
      <c r="Z10" s="27">
        <f>股权价值增加表!Z8</f>
        <v>0</v>
      </c>
      <c r="AA10" s="27">
        <f>股权价值增加表!AA8</f>
        <v>0</v>
      </c>
      <c r="AB10" s="27">
        <f>股权价值增加表!AB8</f>
        <v>0</v>
      </c>
      <c r="AC10" s="27">
        <f>股权价值增加表!AC8</f>
        <v>0</v>
      </c>
      <c r="AD10" s="27">
        <f>股权价值增加表!AD8</f>
        <v>0</v>
      </c>
      <c r="AE10" s="27">
        <f>股权价值增加表!AE8</f>
        <v>0</v>
      </c>
      <c r="AF10" s="27">
        <f>股权价值增加表!AF8</f>
        <v>0</v>
      </c>
      <c r="AG10" s="27">
        <f>股权价值增加表!AG8</f>
        <v>0</v>
      </c>
      <c r="AH10" s="27">
        <f>股权价值增加表!AH8</f>
        <v>0</v>
      </c>
      <c r="AI10" s="27">
        <f>股权价值增加表!AI8</f>
        <v>0</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6.2650970349010324E-3</v>
      </c>
      <c r="F11" s="57">
        <f t="shared" ref="F11:BQ11" si="16">F10/F2</f>
        <v>5.9389749253973096E-3</v>
      </c>
      <c r="G11" s="57">
        <f t="shared" si="16"/>
        <v>6.5994066301801324E-3</v>
      </c>
      <c r="H11" s="57">
        <f t="shared" si="16"/>
        <v>4.8239276428211327E-3</v>
      </c>
      <c r="I11" s="57">
        <f t="shared" si="16"/>
        <v>6.1307419960337567E-3</v>
      </c>
      <c r="J11" s="57">
        <f t="shared" si="16"/>
        <v>5.4582522111767734E-3</v>
      </c>
      <c r="K11" s="57">
        <f t="shared" si="16"/>
        <v>5.9118332745652698E-3</v>
      </c>
      <c r="L11" s="57">
        <f t="shared" si="16"/>
        <v>6.1229302038499946E-3</v>
      </c>
      <c r="M11" s="57">
        <f t="shared" si="16"/>
        <v>5.7384015197086873E-3</v>
      </c>
      <c r="N11" s="57">
        <f t="shared" si="16"/>
        <v>6.1746600269206239E-3</v>
      </c>
      <c r="O11" s="57">
        <f t="shared" si="16"/>
        <v>6.0232114615277532E-3</v>
      </c>
      <c r="P11" s="57">
        <f t="shared" si="16"/>
        <v>9.1600679907708846E-3</v>
      </c>
      <c r="Q11" s="57">
        <f t="shared" si="16"/>
        <v>3.4052362607657684E-2</v>
      </c>
      <c r="R11" s="57">
        <f t="shared" si="16"/>
        <v>5.0201860212045125E-2</v>
      </c>
      <c r="S11" s="57" t="e">
        <f t="shared" si="16"/>
        <v>#DIV/0!</v>
      </c>
      <c r="T11" s="57" t="e">
        <f t="shared" si="16"/>
        <v>#DIV/0!</v>
      </c>
      <c r="U11" s="57" t="e">
        <f t="shared" si="16"/>
        <v>#DIV/0!</v>
      </c>
      <c r="V11" s="57" t="e">
        <f t="shared" si="16"/>
        <v>#DIV/0!</v>
      </c>
      <c r="W11" s="57" t="e">
        <f t="shared" si="16"/>
        <v>#DIV/0!</v>
      </c>
      <c r="X11" s="57" t="e">
        <f t="shared" si="16"/>
        <v>#DIV/0!</v>
      </c>
      <c r="Y11" s="57" t="e">
        <f t="shared" si="16"/>
        <v>#DIV/0!</v>
      </c>
      <c r="Z11" s="57" t="e">
        <f t="shared" si="16"/>
        <v>#DIV/0!</v>
      </c>
      <c r="AA11" s="57" t="e">
        <f t="shared" si="16"/>
        <v>#DIV/0!</v>
      </c>
      <c r="AB11" s="57" t="e">
        <f t="shared" si="16"/>
        <v>#DIV/0!</v>
      </c>
      <c r="AC11" s="57" t="e">
        <f t="shared" si="16"/>
        <v>#DIV/0!</v>
      </c>
      <c r="AD11" s="57" t="e">
        <f t="shared" si="16"/>
        <v>#DIV/0!</v>
      </c>
      <c r="AE11" s="57" t="e">
        <f t="shared" si="16"/>
        <v>#DIV/0!</v>
      </c>
      <c r="AF11" s="57" t="e">
        <f t="shared" si="16"/>
        <v>#DIV/0!</v>
      </c>
      <c r="AG11" s="57" t="e">
        <f t="shared" si="16"/>
        <v>#DIV/0!</v>
      </c>
      <c r="AH11" s="57" t="e">
        <f t="shared" si="16"/>
        <v>#DIV/0!</v>
      </c>
      <c r="AI11" s="57" t="e">
        <f t="shared" si="16"/>
        <v>#DIV/0!</v>
      </c>
      <c r="AJ11" s="57" t="e">
        <f t="shared" si="16"/>
        <v>#DIV/0!</v>
      </c>
      <c r="AK11" s="57" t="e">
        <f t="shared" si="16"/>
        <v>#DIV/0!</v>
      </c>
      <c r="AL11" s="57" t="e">
        <f t="shared" si="16"/>
        <v>#DIV/0!</v>
      </c>
      <c r="AM11" s="57" t="e">
        <f t="shared" si="16"/>
        <v>#DIV/0!</v>
      </c>
      <c r="AN11" s="57" t="e">
        <f t="shared" si="16"/>
        <v>#DIV/0!</v>
      </c>
      <c r="AO11" s="57" t="e">
        <f t="shared" si="16"/>
        <v>#DIV/0!</v>
      </c>
      <c r="AP11" s="57" t="e">
        <f t="shared" si="16"/>
        <v>#DIV/0!</v>
      </c>
      <c r="AQ11" s="57" t="e">
        <f t="shared" si="16"/>
        <v>#DIV/0!</v>
      </c>
      <c r="AR11" s="57" t="e">
        <f t="shared" si="16"/>
        <v>#DIV/0!</v>
      </c>
      <c r="AS11" s="57" t="e">
        <f t="shared" si="16"/>
        <v>#DIV/0!</v>
      </c>
      <c r="AT11" s="57" t="e">
        <f t="shared" si="16"/>
        <v>#DIV/0!</v>
      </c>
      <c r="AU11" s="57" t="e">
        <f t="shared" si="16"/>
        <v>#DIV/0!</v>
      </c>
      <c r="AV11" s="57" t="e">
        <f t="shared" si="16"/>
        <v>#DIV/0!</v>
      </c>
      <c r="AW11" s="57" t="e">
        <f t="shared" si="16"/>
        <v>#DIV/0!</v>
      </c>
      <c r="AX11" s="57" t="e">
        <f t="shared" si="16"/>
        <v>#DIV/0!</v>
      </c>
      <c r="AY11" s="57" t="e">
        <f t="shared" si="16"/>
        <v>#DIV/0!</v>
      </c>
      <c r="AZ11" s="57" t="e">
        <f t="shared" si="16"/>
        <v>#DIV/0!</v>
      </c>
      <c r="BA11" s="57" t="e">
        <f t="shared" si="16"/>
        <v>#DIV/0!</v>
      </c>
      <c r="BB11" s="57" t="e">
        <f t="shared" si="16"/>
        <v>#DIV/0!</v>
      </c>
      <c r="BC11" s="57" t="e">
        <f t="shared" si="16"/>
        <v>#DIV/0!</v>
      </c>
      <c r="BD11" s="57" t="e">
        <f t="shared" si="16"/>
        <v>#DIV/0!</v>
      </c>
      <c r="BE11" s="57" t="e">
        <f t="shared" si="16"/>
        <v>#DIV/0!</v>
      </c>
      <c r="BF11" s="57" t="e">
        <f t="shared" si="16"/>
        <v>#DIV/0!</v>
      </c>
      <c r="BG11" s="57" t="e">
        <f t="shared" si="16"/>
        <v>#DIV/0!</v>
      </c>
      <c r="BH11" s="57" t="e">
        <f t="shared" si="16"/>
        <v>#DIV/0!</v>
      </c>
      <c r="BI11" s="57" t="e">
        <f t="shared" si="16"/>
        <v>#DIV/0!</v>
      </c>
      <c r="BJ11" s="57" t="e">
        <f t="shared" si="16"/>
        <v>#DIV/0!</v>
      </c>
      <c r="BK11" s="57" t="e">
        <f t="shared" si="16"/>
        <v>#DIV/0!</v>
      </c>
      <c r="BL11" s="57" t="e">
        <f t="shared" si="16"/>
        <v>#DIV/0!</v>
      </c>
      <c r="BM11" s="57" t="e">
        <f t="shared" si="16"/>
        <v>#DIV/0!</v>
      </c>
      <c r="BN11" s="57" t="e">
        <f t="shared" si="16"/>
        <v>#DIV/0!</v>
      </c>
      <c r="BO11" s="57" t="e">
        <f t="shared" si="16"/>
        <v>#DIV/0!</v>
      </c>
      <c r="BP11" s="57" t="e">
        <f t="shared" si="16"/>
        <v>#DIV/0!</v>
      </c>
      <c r="BQ11" s="57" t="e">
        <f t="shared" si="16"/>
        <v>#DIV/0!</v>
      </c>
      <c r="BR11" s="57" t="e">
        <f t="shared" ref="BR11:CJ11" si="17">BR10/BR2</f>
        <v>#DIV/0!</v>
      </c>
      <c r="BS11" s="57" t="e">
        <f t="shared" si="17"/>
        <v>#DIV/0!</v>
      </c>
      <c r="BT11" s="57" t="e">
        <f t="shared" si="17"/>
        <v>#DIV/0!</v>
      </c>
      <c r="BU11" s="57" t="e">
        <f t="shared" si="17"/>
        <v>#DIV/0!</v>
      </c>
      <c r="BV11" s="57" t="e">
        <f t="shared" si="17"/>
        <v>#DIV/0!</v>
      </c>
      <c r="BW11" s="57" t="e">
        <f t="shared" si="17"/>
        <v>#DIV/0!</v>
      </c>
      <c r="BX11" s="57" t="e">
        <f t="shared" si="17"/>
        <v>#DIV/0!</v>
      </c>
      <c r="BY11" s="57" t="e">
        <f t="shared" si="17"/>
        <v>#DIV/0!</v>
      </c>
      <c r="BZ11" s="57" t="e">
        <f t="shared" si="17"/>
        <v>#DIV/0!</v>
      </c>
      <c r="CA11" s="57" t="e">
        <f t="shared" si="17"/>
        <v>#DIV/0!</v>
      </c>
      <c r="CB11" s="57" t="e">
        <f t="shared" si="17"/>
        <v>#DIV/0!</v>
      </c>
      <c r="CC11" s="57" t="e">
        <f t="shared" si="17"/>
        <v>#DIV/0!</v>
      </c>
      <c r="CD11" s="57" t="e">
        <f t="shared" si="17"/>
        <v>#DIV/0!</v>
      </c>
      <c r="CE11" s="57" t="e">
        <f t="shared" si="17"/>
        <v>#DIV/0!</v>
      </c>
      <c r="CF11" s="57" t="e">
        <f t="shared" si="17"/>
        <v>#DIV/0!</v>
      </c>
      <c r="CG11" s="57" t="e">
        <f t="shared" si="17"/>
        <v>#DIV/0!</v>
      </c>
      <c r="CH11" s="57" t="e">
        <f t="shared" si="17"/>
        <v>#DIV/0!</v>
      </c>
      <c r="CI11" s="57" t="e">
        <f t="shared" si="17"/>
        <v>#DIV/0!</v>
      </c>
      <c r="CJ11" s="57" t="e">
        <f t="shared" si="17"/>
        <v>#DIV/0!</v>
      </c>
    </row>
    <row r="12" spans="1:89" s="27" customFormat="1" x14ac:dyDescent="0.25">
      <c r="A12" s="127" t="s">
        <v>360</v>
      </c>
      <c r="E12" s="27">
        <f>股权价值增加表!E9</f>
        <v>21668533.010000002</v>
      </c>
      <c r="F12" s="27">
        <f>股权价值增加表!F9</f>
        <v>13228844.43</v>
      </c>
      <c r="G12" s="27">
        <f>股权价值增加表!G9</f>
        <v>9180163.4299999997</v>
      </c>
      <c r="H12" s="27">
        <f>股权价值增加表!H9</f>
        <v>5012251.4000000004</v>
      </c>
      <c r="I12" s="27">
        <f>股权价值增加表!I9</f>
        <v>19538807.030000001</v>
      </c>
      <c r="J12" s="27">
        <f>股权价值增加表!J9</f>
        <v>12545397.220000001</v>
      </c>
      <c r="K12" s="27">
        <f>股权价值增加表!K9</f>
        <v>8046351.9000000004</v>
      </c>
      <c r="L12" s="27">
        <f>股权价值增加表!L9</f>
        <v>3789818.57</v>
      </c>
      <c r="M12" s="27">
        <f>股权价值增加表!M9</f>
        <v>17063513.98</v>
      </c>
      <c r="N12" s="27">
        <f>股权价值增加表!N9</f>
        <v>11785946.41</v>
      </c>
      <c r="O12" s="27">
        <f>股权价值增加表!O9</f>
        <v>16875542.949999999</v>
      </c>
      <c r="P12" s="27">
        <f>股权价值增加表!P9</f>
        <v>16358050.699999999</v>
      </c>
      <c r="Q12" s="27">
        <f>股权价值增加表!Q9</f>
        <v>9619825.7599999998</v>
      </c>
      <c r="R12" s="27">
        <f>股权价值增加表!R9</f>
        <v>7064283.7000000002</v>
      </c>
      <c r="S12" s="27">
        <f>股权价值增加表!S9</f>
        <v>0</v>
      </c>
      <c r="T12" s="27">
        <f>股权价值增加表!T9</f>
        <v>0</v>
      </c>
      <c r="U12" s="27">
        <f>股权价值增加表!U9</f>
        <v>0</v>
      </c>
      <c r="V12" s="27">
        <f>股权价值增加表!V9</f>
        <v>0</v>
      </c>
      <c r="W12" s="27">
        <f>股权价值增加表!W9</f>
        <v>0</v>
      </c>
      <c r="X12" s="27">
        <f>股权价值增加表!X9</f>
        <v>0</v>
      </c>
      <c r="Y12" s="27">
        <f>股权价值增加表!Y9</f>
        <v>0</v>
      </c>
      <c r="Z12" s="27">
        <f>股权价值增加表!Z9</f>
        <v>0</v>
      </c>
      <c r="AA12" s="27">
        <f>股权价值增加表!AA9</f>
        <v>0</v>
      </c>
      <c r="AB12" s="27">
        <f>股权价值增加表!AB9</f>
        <v>0</v>
      </c>
      <c r="AC12" s="27">
        <f>股权价值增加表!AC9</f>
        <v>0</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2.8798878199443059E-2</v>
      </c>
      <c r="F13" s="57">
        <f t="shared" ref="F13:BQ13" si="18">F12/F2</f>
        <v>2.5160755468703201E-2</v>
      </c>
      <c r="G13" s="57">
        <f t="shared" si="18"/>
        <v>2.7018698796220177E-2</v>
      </c>
      <c r="H13" s="57">
        <f t="shared" si="18"/>
        <v>3.2610448311500423E-2</v>
      </c>
      <c r="I13" s="57">
        <f t="shared" si="18"/>
        <v>2.9381160077168889E-2</v>
      </c>
      <c r="J13" s="57">
        <f t="shared" si="18"/>
        <v>2.7632551400723664E-2</v>
      </c>
      <c r="K13" s="57">
        <f t="shared" si="18"/>
        <v>2.8406509000260059E-2</v>
      </c>
      <c r="L13" s="57">
        <f t="shared" si="18"/>
        <v>3.0488628966924815E-2</v>
      </c>
      <c r="M13" s="57">
        <f t="shared" si="18"/>
        <v>2.8580287432759546E-2</v>
      </c>
      <c r="N13" s="57">
        <f t="shared" si="18"/>
        <v>2.8783043950594205E-2</v>
      </c>
      <c r="O13" s="57">
        <f t="shared" si="18"/>
        <v>3.1912318485518044E-2</v>
      </c>
      <c r="P13" s="57">
        <f t="shared" si="18"/>
        <v>3.3734342698347561E-2</v>
      </c>
      <c r="Q13" s="57">
        <f t="shared" si="18"/>
        <v>2.4317433649054195E-2</v>
      </c>
      <c r="R13" s="57">
        <f t="shared" si="18"/>
        <v>2.2292435600285015E-2</v>
      </c>
      <c r="S13" s="57" t="e">
        <f t="shared" si="18"/>
        <v>#DIV/0!</v>
      </c>
      <c r="T13" s="57" t="e">
        <f t="shared" si="18"/>
        <v>#DIV/0!</v>
      </c>
      <c r="U13" s="57" t="e">
        <f t="shared" si="18"/>
        <v>#DIV/0!</v>
      </c>
      <c r="V13" s="57" t="e">
        <f t="shared" si="18"/>
        <v>#DIV/0!</v>
      </c>
      <c r="W13" s="57" t="e">
        <f t="shared" si="18"/>
        <v>#DIV/0!</v>
      </c>
      <c r="X13" s="57" t="e">
        <f t="shared" si="18"/>
        <v>#DIV/0!</v>
      </c>
      <c r="Y13" s="57" t="e">
        <f t="shared" si="18"/>
        <v>#DIV/0!</v>
      </c>
      <c r="Z13" s="57" t="e">
        <f t="shared" si="18"/>
        <v>#DIV/0!</v>
      </c>
      <c r="AA13" s="57" t="e">
        <f t="shared" si="18"/>
        <v>#DIV/0!</v>
      </c>
      <c r="AB13" s="57" t="e">
        <f t="shared" si="18"/>
        <v>#DIV/0!</v>
      </c>
      <c r="AC13" s="57" t="e">
        <f t="shared" si="18"/>
        <v>#DIV/0!</v>
      </c>
      <c r="AD13" s="57" t="e">
        <f t="shared" si="18"/>
        <v>#DIV/0!</v>
      </c>
      <c r="AE13" s="57" t="e">
        <f t="shared" si="18"/>
        <v>#DIV/0!</v>
      </c>
      <c r="AF13" s="57" t="e">
        <f t="shared" si="18"/>
        <v>#DIV/0!</v>
      </c>
      <c r="AG13" s="57" t="e">
        <f t="shared" si="18"/>
        <v>#DIV/0!</v>
      </c>
      <c r="AH13" s="57" t="e">
        <f t="shared" si="18"/>
        <v>#DIV/0!</v>
      </c>
      <c r="AI13" s="57" t="e">
        <f t="shared" si="18"/>
        <v>#DIV/0!</v>
      </c>
      <c r="AJ13" s="57" t="e">
        <f t="shared" si="18"/>
        <v>#DIV/0!</v>
      </c>
      <c r="AK13" s="57" t="e">
        <f t="shared" si="18"/>
        <v>#DIV/0!</v>
      </c>
      <c r="AL13" s="57" t="e">
        <f t="shared" si="18"/>
        <v>#DIV/0!</v>
      </c>
      <c r="AM13" s="57" t="e">
        <f t="shared" si="18"/>
        <v>#DIV/0!</v>
      </c>
      <c r="AN13" s="57" t="e">
        <f t="shared" si="18"/>
        <v>#DIV/0!</v>
      </c>
      <c r="AO13" s="57" t="e">
        <f t="shared" si="18"/>
        <v>#DIV/0!</v>
      </c>
      <c r="AP13" s="57" t="e">
        <f t="shared" si="18"/>
        <v>#DIV/0!</v>
      </c>
      <c r="AQ13" s="57" t="e">
        <f t="shared" si="18"/>
        <v>#DIV/0!</v>
      </c>
      <c r="AR13" s="57" t="e">
        <f t="shared" si="18"/>
        <v>#DIV/0!</v>
      </c>
      <c r="AS13" s="57" t="e">
        <f t="shared" si="18"/>
        <v>#DIV/0!</v>
      </c>
      <c r="AT13" s="57" t="e">
        <f t="shared" si="18"/>
        <v>#DIV/0!</v>
      </c>
      <c r="AU13" s="57" t="e">
        <f t="shared" si="18"/>
        <v>#DIV/0!</v>
      </c>
      <c r="AV13" s="57" t="e">
        <f t="shared" si="18"/>
        <v>#DIV/0!</v>
      </c>
      <c r="AW13" s="57" t="e">
        <f t="shared" si="18"/>
        <v>#DIV/0!</v>
      </c>
      <c r="AX13" s="57" t="e">
        <f t="shared" si="18"/>
        <v>#DIV/0!</v>
      </c>
      <c r="AY13" s="57" t="e">
        <f t="shared" si="18"/>
        <v>#DIV/0!</v>
      </c>
      <c r="AZ13" s="57" t="e">
        <f t="shared" si="18"/>
        <v>#DIV/0!</v>
      </c>
      <c r="BA13" s="57" t="e">
        <f t="shared" si="18"/>
        <v>#DIV/0!</v>
      </c>
      <c r="BB13" s="57" t="e">
        <f t="shared" si="18"/>
        <v>#DIV/0!</v>
      </c>
      <c r="BC13" s="57" t="e">
        <f t="shared" si="18"/>
        <v>#DIV/0!</v>
      </c>
      <c r="BD13" s="57" t="e">
        <f t="shared" si="18"/>
        <v>#DIV/0!</v>
      </c>
      <c r="BE13" s="57" t="e">
        <f t="shared" si="18"/>
        <v>#DIV/0!</v>
      </c>
      <c r="BF13" s="57" t="e">
        <f t="shared" si="18"/>
        <v>#DIV/0!</v>
      </c>
      <c r="BG13" s="57" t="e">
        <f t="shared" si="18"/>
        <v>#DIV/0!</v>
      </c>
      <c r="BH13" s="57" t="e">
        <f t="shared" si="18"/>
        <v>#DIV/0!</v>
      </c>
      <c r="BI13" s="57" t="e">
        <f t="shared" si="18"/>
        <v>#DIV/0!</v>
      </c>
      <c r="BJ13" s="57" t="e">
        <f t="shared" si="18"/>
        <v>#DIV/0!</v>
      </c>
      <c r="BK13" s="57" t="e">
        <f t="shared" si="18"/>
        <v>#DIV/0!</v>
      </c>
      <c r="BL13" s="57" t="e">
        <f t="shared" si="18"/>
        <v>#DIV/0!</v>
      </c>
      <c r="BM13" s="57" t="e">
        <f t="shared" si="18"/>
        <v>#DIV/0!</v>
      </c>
      <c r="BN13" s="57" t="e">
        <f t="shared" si="18"/>
        <v>#DIV/0!</v>
      </c>
      <c r="BO13" s="57" t="e">
        <f t="shared" si="18"/>
        <v>#DIV/0!</v>
      </c>
      <c r="BP13" s="57" t="e">
        <f t="shared" si="18"/>
        <v>#DIV/0!</v>
      </c>
      <c r="BQ13" s="57" t="e">
        <f t="shared" si="18"/>
        <v>#DIV/0!</v>
      </c>
      <c r="BR13" s="57" t="e">
        <f t="shared" ref="BR13:CJ13" si="19">BR12/BR2</f>
        <v>#DIV/0!</v>
      </c>
      <c r="BS13" s="57" t="e">
        <f t="shared" si="19"/>
        <v>#DIV/0!</v>
      </c>
      <c r="BT13" s="57" t="e">
        <f t="shared" si="19"/>
        <v>#DIV/0!</v>
      </c>
      <c r="BU13" s="57" t="e">
        <f t="shared" si="19"/>
        <v>#DIV/0!</v>
      </c>
      <c r="BV13" s="57" t="e">
        <f t="shared" si="19"/>
        <v>#DIV/0!</v>
      </c>
      <c r="BW13" s="57" t="e">
        <f t="shared" si="19"/>
        <v>#DIV/0!</v>
      </c>
      <c r="BX13" s="57" t="e">
        <f t="shared" si="19"/>
        <v>#DIV/0!</v>
      </c>
      <c r="BY13" s="57" t="e">
        <f t="shared" si="19"/>
        <v>#DIV/0!</v>
      </c>
      <c r="BZ13" s="57" t="e">
        <f t="shared" si="19"/>
        <v>#DIV/0!</v>
      </c>
      <c r="CA13" s="57" t="e">
        <f t="shared" si="19"/>
        <v>#DIV/0!</v>
      </c>
      <c r="CB13" s="57" t="e">
        <f t="shared" si="19"/>
        <v>#DIV/0!</v>
      </c>
      <c r="CC13" s="57" t="e">
        <f t="shared" si="19"/>
        <v>#DIV/0!</v>
      </c>
      <c r="CD13" s="57" t="e">
        <f t="shared" si="19"/>
        <v>#DIV/0!</v>
      </c>
      <c r="CE13" s="57" t="e">
        <f t="shared" si="19"/>
        <v>#DIV/0!</v>
      </c>
      <c r="CF13" s="57" t="e">
        <f t="shared" si="19"/>
        <v>#DIV/0!</v>
      </c>
      <c r="CG13" s="57" t="e">
        <f t="shared" si="19"/>
        <v>#DIV/0!</v>
      </c>
      <c r="CH13" s="57" t="e">
        <f t="shared" si="19"/>
        <v>#DIV/0!</v>
      </c>
      <c r="CI13" s="57" t="e">
        <f t="shared" si="19"/>
        <v>#DIV/0!</v>
      </c>
      <c r="CJ13" s="57" t="e">
        <f t="shared" si="19"/>
        <v>#DIV/0!</v>
      </c>
    </row>
    <row r="14" spans="1:89" s="26" customFormat="1" x14ac:dyDescent="0.25">
      <c r="A14" s="127" t="s">
        <v>362</v>
      </c>
      <c r="E14" s="26">
        <f>股权价值增加表!E10</f>
        <v>166019822.88</v>
      </c>
      <c r="F14" s="26">
        <f>股权价值增加表!F10</f>
        <v>117685777.28</v>
      </c>
      <c r="G14" s="26">
        <f>股权价值增加表!G10</f>
        <v>79178722.430000007</v>
      </c>
      <c r="H14" s="26">
        <f>股权价值增加表!H10</f>
        <v>37534449.25</v>
      </c>
      <c r="I14" s="26">
        <f>股权价值增加表!I10</f>
        <v>154974042.46000001</v>
      </c>
      <c r="J14" s="26">
        <f>股权价值增加表!J10</f>
        <v>103999553.73999999</v>
      </c>
      <c r="K14" s="26">
        <f>股权价值增加表!K10</f>
        <v>70613526.260000005</v>
      </c>
      <c r="L14" s="26">
        <f>股权价值增加表!L10</f>
        <v>35456383.57</v>
      </c>
      <c r="M14" s="26">
        <f>股权价值增加表!M10</f>
        <v>122441461.36</v>
      </c>
      <c r="N14" s="26">
        <f>股权价值增加表!N10</f>
        <v>86931351.890000001</v>
      </c>
      <c r="O14" s="26">
        <f>股权价值增加表!O10</f>
        <v>107670888.41</v>
      </c>
      <c r="P14" s="26">
        <f>股权价值增加表!P10</f>
        <v>102640374.88</v>
      </c>
      <c r="Q14" s="26">
        <f>股权价值增加表!Q10</f>
        <v>71521981.640000001</v>
      </c>
      <c r="R14" s="26">
        <f>股权价值增加表!R10</f>
        <v>52519359.909999996</v>
      </c>
      <c r="S14" s="26">
        <f>股权价值增加表!S10</f>
        <v>0</v>
      </c>
      <c r="T14" s="26">
        <f>股权价值增加表!T10</f>
        <v>0</v>
      </c>
      <c r="U14" s="26">
        <f>股权价值增加表!U10</f>
        <v>0</v>
      </c>
      <c r="V14" s="26">
        <f>股权价值增加表!V10</f>
        <v>0</v>
      </c>
      <c r="W14" s="26">
        <f>股权价值增加表!W10</f>
        <v>0</v>
      </c>
      <c r="X14" s="26">
        <f>股权价值增加表!X10</f>
        <v>0</v>
      </c>
      <c r="Y14" s="26">
        <f>股权价值增加表!Y10</f>
        <v>0</v>
      </c>
      <c r="Z14" s="26">
        <f>股权价值增加表!Z10</f>
        <v>0</v>
      </c>
      <c r="AA14" s="26">
        <f>股权价值增加表!AA10</f>
        <v>0</v>
      </c>
      <c r="AB14" s="26">
        <f>股权价值增加表!AB10</f>
        <v>0</v>
      </c>
      <c r="AC14" s="26">
        <f>股权价值增加表!AC10</f>
        <v>0</v>
      </c>
      <c r="AD14" s="26">
        <f>股权价值增加表!AD10</f>
        <v>0</v>
      </c>
      <c r="AE14" s="26">
        <f>股权价值增加表!AE10</f>
        <v>0</v>
      </c>
      <c r="AF14" s="26">
        <f>股权价值增加表!AF10</f>
        <v>0</v>
      </c>
      <c r="AG14" s="26">
        <f>股权价值增加表!AG10</f>
        <v>0</v>
      </c>
      <c r="AH14" s="26">
        <f>股权价值增加表!AH10</f>
        <v>0</v>
      </c>
      <c r="AI14" s="26">
        <f>股权价值增加表!AI10</f>
        <v>0</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0.22065105448567834</v>
      </c>
      <c r="F15" s="57">
        <f t="shared" ref="F15:BQ15" si="20">F14/F2</f>
        <v>0.22383384126668932</v>
      </c>
      <c r="G15" s="57">
        <f t="shared" si="20"/>
        <v>0.2330357262937848</v>
      </c>
      <c r="H15" s="57">
        <f t="shared" si="20"/>
        <v>0.24420467360590906</v>
      </c>
      <c r="I15" s="57">
        <f t="shared" si="20"/>
        <v>0.23303967035101161</v>
      </c>
      <c r="J15" s="57">
        <f t="shared" si="20"/>
        <v>0.22906991018119971</v>
      </c>
      <c r="K15" s="57">
        <f t="shared" si="20"/>
        <v>0.24929108174411191</v>
      </c>
      <c r="L15" s="57">
        <f t="shared" si="20"/>
        <v>0.2852422888346075</v>
      </c>
      <c r="M15" s="57">
        <f t="shared" si="20"/>
        <v>0.20508156546521147</v>
      </c>
      <c r="N15" s="57">
        <f t="shared" si="20"/>
        <v>0.21229936358877782</v>
      </c>
      <c r="O15" s="57">
        <f t="shared" si="20"/>
        <v>0.20360990415177094</v>
      </c>
      <c r="P15" s="57">
        <f t="shared" si="20"/>
        <v>0.21166981594504927</v>
      </c>
      <c r="Q15" s="57">
        <f t="shared" si="20"/>
        <v>0.18079652234569915</v>
      </c>
      <c r="R15" s="57">
        <f t="shared" si="20"/>
        <v>0.16573293178498275</v>
      </c>
      <c r="S15" s="57" t="e">
        <f t="shared" si="20"/>
        <v>#DIV/0!</v>
      </c>
      <c r="T15" s="57" t="e">
        <f t="shared" si="20"/>
        <v>#DIV/0!</v>
      </c>
      <c r="U15" s="57" t="e">
        <f t="shared" si="20"/>
        <v>#DIV/0!</v>
      </c>
      <c r="V15" s="57" t="e">
        <f t="shared" si="20"/>
        <v>#DIV/0!</v>
      </c>
      <c r="W15" s="57" t="e">
        <f t="shared" si="20"/>
        <v>#DIV/0!</v>
      </c>
      <c r="X15" s="57" t="e">
        <f t="shared" si="20"/>
        <v>#DIV/0!</v>
      </c>
      <c r="Y15" s="57" t="e">
        <f t="shared" si="20"/>
        <v>#DIV/0!</v>
      </c>
      <c r="Z15" s="57" t="e">
        <f t="shared" si="20"/>
        <v>#DIV/0!</v>
      </c>
      <c r="AA15" s="57" t="e">
        <f t="shared" si="20"/>
        <v>#DIV/0!</v>
      </c>
      <c r="AB15" s="57" t="e">
        <f t="shared" si="20"/>
        <v>#DIV/0!</v>
      </c>
      <c r="AC15" s="57" t="e">
        <f t="shared" si="20"/>
        <v>#DIV/0!</v>
      </c>
      <c r="AD15" s="57" t="e">
        <f t="shared" si="20"/>
        <v>#DIV/0!</v>
      </c>
      <c r="AE15" s="57" t="e">
        <f t="shared" si="20"/>
        <v>#DIV/0!</v>
      </c>
      <c r="AF15" s="57" t="e">
        <f t="shared" si="20"/>
        <v>#DIV/0!</v>
      </c>
      <c r="AG15" s="57" t="e">
        <f t="shared" si="20"/>
        <v>#DIV/0!</v>
      </c>
      <c r="AH15" s="57" t="e">
        <f t="shared" si="20"/>
        <v>#DIV/0!</v>
      </c>
      <c r="AI15" s="57" t="e">
        <f t="shared" si="20"/>
        <v>#DIV/0!</v>
      </c>
      <c r="AJ15" s="57" t="e">
        <f t="shared" si="20"/>
        <v>#DIV/0!</v>
      </c>
      <c r="AK15" s="57" t="e">
        <f t="shared" si="20"/>
        <v>#DIV/0!</v>
      </c>
      <c r="AL15" s="57" t="e">
        <f t="shared" si="20"/>
        <v>#DIV/0!</v>
      </c>
      <c r="AM15" s="57" t="e">
        <f t="shared" si="20"/>
        <v>#DIV/0!</v>
      </c>
      <c r="AN15" s="57" t="e">
        <f t="shared" si="20"/>
        <v>#DIV/0!</v>
      </c>
      <c r="AO15" s="57" t="e">
        <f t="shared" si="20"/>
        <v>#DIV/0!</v>
      </c>
      <c r="AP15" s="57" t="e">
        <f t="shared" si="20"/>
        <v>#DIV/0!</v>
      </c>
      <c r="AQ15" s="57" t="e">
        <f t="shared" si="20"/>
        <v>#DIV/0!</v>
      </c>
      <c r="AR15" s="57" t="e">
        <f t="shared" si="20"/>
        <v>#DIV/0!</v>
      </c>
      <c r="AS15" s="57" t="e">
        <f t="shared" si="20"/>
        <v>#DIV/0!</v>
      </c>
      <c r="AT15" s="57" t="e">
        <f t="shared" si="20"/>
        <v>#DIV/0!</v>
      </c>
      <c r="AU15" s="57" t="e">
        <f t="shared" si="20"/>
        <v>#DIV/0!</v>
      </c>
      <c r="AV15" s="57" t="e">
        <f t="shared" si="20"/>
        <v>#DIV/0!</v>
      </c>
      <c r="AW15" s="57" t="e">
        <f t="shared" si="20"/>
        <v>#DIV/0!</v>
      </c>
      <c r="AX15" s="57" t="e">
        <f t="shared" si="20"/>
        <v>#DIV/0!</v>
      </c>
      <c r="AY15" s="57" t="e">
        <f t="shared" si="20"/>
        <v>#DIV/0!</v>
      </c>
      <c r="AZ15" s="57" t="e">
        <f t="shared" si="20"/>
        <v>#DIV/0!</v>
      </c>
      <c r="BA15" s="57" t="e">
        <f t="shared" si="20"/>
        <v>#DIV/0!</v>
      </c>
      <c r="BB15" s="57" t="e">
        <f t="shared" si="20"/>
        <v>#DIV/0!</v>
      </c>
      <c r="BC15" s="57" t="e">
        <f t="shared" si="20"/>
        <v>#DIV/0!</v>
      </c>
      <c r="BD15" s="57" t="e">
        <f t="shared" si="20"/>
        <v>#DIV/0!</v>
      </c>
      <c r="BE15" s="57" t="e">
        <f t="shared" si="20"/>
        <v>#DIV/0!</v>
      </c>
      <c r="BF15" s="57" t="e">
        <f t="shared" si="20"/>
        <v>#DIV/0!</v>
      </c>
      <c r="BG15" s="57" t="e">
        <f t="shared" si="20"/>
        <v>#DIV/0!</v>
      </c>
      <c r="BH15" s="57" t="e">
        <f t="shared" si="20"/>
        <v>#DIV/0!</v>
      </c>
      <c r="BI15" s="57" t="e">
        <f t="shared" si="20"/>
        <v>#DIV/0!</v>
      </c>
      <c r="BJ15" s="57" t="e">
        <f t="shared" si="20"/>
        <v>#DIV/0!</v>
      </c>
      <c r="BK15" s="57" t="e">
        <f t="shared" si="20"/>
        <v>#DIV/0!</v>
      </c>
      <c r="BL15" s="57" t="e">
        <f t="shared" si="20"/>
        <v>#DIV/0!</v>
      </c>
      <c r="BM15" s="57" t="e">
        <f t="shared" si="20"/>
        <v>#DIV/0!</v>
      </c>
      <c r="BN15" s="57" t="e">
        <f t="shared" si="20"/>
        <v>#DIV/0!</v>
      </c>
      <c r="BO15" s="57" t="e">
        <f t="shared" si="20"/>
        <v>#DIV/0!</v>
      </c>
      <c r="BP15" s="57" t="e">
        <f t="shared" si="20"/>
        <v>#DIV/0!</v>
      </c>
      <c r="BQ15" s="57" t="e">
        <f t="shared" si="20"/>
        <v>#DIV/0!</v>
      </c>
      <c r="BR15" s="57" t="e">
        <f t="shared" ref="BR15:CK15" si="21">BR14/BR2</f>
        <v>#DIV/0!</v>
      </c>
      <c r="BS15" s="57" t="e">
        <f t="shared" si="21"/>
        <v>#DIV/0!</v>
      </c>
      <c r="BT15" s="57" t="e">
        <f t="shared" si="21"/>
        <v>#DIV/0!</v>
      </c>
      <c r="BU15" s="57" t="e">
        <f t="shared" si="21"/>
        <v>#DIV/0!</v>
      </c>
      <c r="BV15" s="57" t="e">
        <f t="shared" si="21"/>
        <v>#DIV/0!</v>
      </c>
      <c r="BW15" s="57" t="e">
        <f t="shared" si="21"/>
        <v>#DIV/0!</v>
      </c>
      <c r="BX15" s="57" t="e">
        <f t="shared" si="21"/>
        <v>#DIV/0!</v>
      </c>
      <c r="BY15" s="57" t="e">
        <f t="shared" si="21"/>
        <v>#DIV/0!</v>
      </c>
      <c r="BZ15" s="57" t="e">
        <f t="shared" si="21"/>
        <v>#DIV/0!</v>
      </c>
      <c r="CA15" s="57" t="e">
        <f t="shared" si="21"/>
        <v>#DIV/0!</v>
      </c>
      <c r="CB15" s="57" t="e">
        <f t="shared" si="21"/>
        <v>#DIV/0!</v>
      </c>
      <c r="CC15" s="57" t="e">
        <f t="shared" si="21"/>
        <v>#DIV/0!</v>
      </c>
      <c r="CD15" s="57" t="e">
        <f t="shared" si="21"/>
        <v>#DIV/0!</v>
      </c>
      <c r="CE15" s="57" t="e">
        <f t="shared" si="21"/>
        <v>#DIV/0!</v>
      </c>
      <c r="CF15" s="57" t="e">
        <f t="shared" si="21"/>
        <v>#DIV/0!</v>
      </c>
      <c r="CG15" s="57" t="e">
        <f t="shared" si="21"/>
        <v>#DIV/0!</v>
      </c>
      <c r="CH15" s="57" t="e">
        <f t="shared" si="21"/>
        <v>#DIV/0!</v>
      </c>
      <c r="CI15" s="57" t="e">
        <f t="shared" si="21"/>
        <v>#DIV/0!</v>
      </c>
      <c r="CJ15" s="57" t="e">
        <f t="shared" si="21"/>
        <v>#DIV/0!</v>
      </c>
      <c r="CK15" s="57" t="e">
        <f t="shared" si="21"/>
        <v>#DIV/0!</v>
      </c>
    </row>
    <row r="16" spans="1:89" s="26" customFormat="1" x14ac:dyDescent="0.25">
      <c r="A16" s="127" t="s">
        <v>364</v>
      </c>
      <c r="E16" s="26">
        <f>股权价值增加表!E11</f>
        <v>3676127.1</v>
      </c>
      <c r="F16" s="26">
        <f>股权价值增加表!F11</f>
        <v>4740584.82</v>
      </c>
      <c r="G16" s="26">
        <f>股权价值增加表!G11</f>
        <v>2648674.7200000002</v>
      </c>
      <c r="H16" s="26">
        <f>股权价值增加表!H11</f>
        <v>268215.46999999997</v>
      </c>
      <c r="I16" s="26">
        <f>股权价值增加表!I11</f>
        <v>2861101.65</v>
      </c>
      <c r="J16" s="26">
        <f>股权价值增加表!J11</f>
        <v>1555979.19</v>
      </c>
      <c r="K16" s="26">
        <f>股权价值增加表!K11</f>
        <v>1732316.57</v>
      </c>
      <c r="L16" s="26">
        <f>股权价值增加表!L11</f>
        <v>521455.82</v>
      </c>
      <c r="M16" s="26">
        <f>股权价值增加表!M11</f>
        <v>2284690.9700000002</v>
      </c>
      <c r="N16" s="26">
        <f>股权价值增加表!N11</f>
        <v>931665.24</v>
      </c>
      <c r="O16" s="26">
        <f>股权价值增加表!O11</f>
        <v>1660639.19</v>
      </c>
      <c r="P16" s="26">
        <f>股权价值增加表!P11</f>
        <v>1472137.7</v>
      </c>
      <c r="Q16" s="26">
        <f>股权价值增加表!Q11</f>
        <v>860356.86</v>
      </c>
      <c r="R16" s="26">
        <f>股权价值增加表!R11</f>
        <v>781100.94</v>
      </c>
      <c r="S16" s="26">
        <f>股权价值增加表!S11</f>
        <v>0</v>
      </c>
      <c r="T16" s="26">
        <f>股权价值增加表!T11</f>
        <v>0</v>
      </c>
      <c r="U16" s="26">
        <f>股权价值增加表!U11</f>
        <v>0</v>
      </c>
      <c r="V16" s="26">
        <f>股权价值增加表!V11</f>
        <v>0</v>
      </c>
      <c r="W16" s="26">
        <f>股权价值增加表!W11</f>
        <v>0</v>
      </c>
      <c r="X16" s="26">
        <f>股权价值增加表!X11</f>
        <v>0</v>
      </c>
      <c r="Y16" s="26">
        <f>股权价值增加表!Y11</f>
        <v>0</v>
      </c>
      <c r="Z16" s="26">
        <f>股权价值增加表!Z11</f>
        <v>0</v>
      </c>
      <c r="AA16" s="26">
        <f>股权价值增加表!AA11</f>
        <v>0</v>
      </c>
      <c r="AB16" s="26">
        <f>股权价值增加表!AB11</f>
        <v>0</v>
      </c>
      <c r="AC16" s="26">
        <f>股权价值增加表!AC11</f>
        <v>0</v>
      </c>
      <c r="AD16" s="26">
        <f>股权价值增加表!AD11</f>
        <v>0</v>
      </c>
      <c r="AE16" s="26">
        <f>股权价值增加表!AE11</f>
        <v>0</v>
      </c>
      <c r="AF16" s="26">
        <f>股权价值增加表!AF11</f>
        <v>0</v>
      </c>
      <c r="AG16" s="26">
        <f>股权价值增加表!AG11</f>
        <v>0</v>
      </c>
      <c r="AH16" s="26">
        <f>股权价值增加表!AH11</f>
        <v>0</v>
      </c>
      <c r="AI16" s="26">
        <f>股权价值增加表!AI11</f>
        <v>0</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4.8858100615170276E-3</v>
      </c>
      <c r="F17" s="57">
        <f t="shared" ref="F17:BQ17" si="22">F16/F2</f>
        <v>9.0164107731264924E-3</v>
      </c>
      <c r="G17" s="57">
        <f t="shared" si="22"/>
        <v>7.7954760843340258E-3</v>
      </c>
      <c r="H17" s="57">
        <f t="shared" si="22"/>
        <v>1.745049484305554E-3</v>
      </c>
      <c r="I17" s="57">
        <f t="shared" si="22"/>
        <v>4.3023346024469149E-3</v>
      </c>
      <c r="J17" s="57">
        <f t="shared" si="22"/>
        <v>3.4272071415632202E-3</v>
      </c>
      <c r="K17" s="57">
        <f t="shared" si="22"/>
        <v>6.1156989960884801E-3</v>
      </c>
      <c r="L17" s="57">
        <f t="shared" si="22"/>
        <v>4.1950485821339815E-3</v>
      </c>
      <c r="M17" s="57">
        <f t="shared" si="22"/>
        <v>3.8267102950871918E-3</v>
      </c>
      <c r="N17" s="57">
        <f t="shared" si="22"/>
        <v>2.2752658647258264E-3</v>
      </c>
      <c r="O17" s="57">
        <f t="shared" si="22"/>
        <v>3.1403343215580934E-3</v>
      </c>
      <c r="P17" s="57">
        <f t="shared" si="22"/>
        <v>3.0359117098810052E-3</v>
      </c>
      <c r="Q17" s="57">
        <f t="shared" si="22"/>
        <v>2.1748492519014823E-3</v>
      </c>
      <c r="R17" s="57">
        <f t="shared" si="22"/>
        <v>2.4648843593685354E-3</v>
      </c>
      <c r="S17" s="57" t="e">
        <f t="shared" si="22"/>
        <v>#DIV/0!</v>
      </c>
      <c r="T17" s="57" t="e">
        <f t="shared" si="22"/>
        <v>#DIV/0!</v>
      </c>
      <c r="U17" s="57" t="e">
        <f t="shared" si="22"/>
        <v>#DIV/0!</v>
      </c>
      <c r="V17" s="57" t="e">
        <f t="shared" si="22"/>
        <v>#DIV/0!</v>
      </c>
      <c r="W17" s="57" t="e">
        <f t="shared" si="22"/>
        <v>#DIV/0!</v>
      </c>
      <c r="X17" s="57" t="e">
        <f t="shared" si="22"/>
        <v>#DIV/0!</v>
      </c>
      <c r="Y17" s="57" t="e">
        <f t="shared" si="22"/>
        <v>#DIV/0!</v>
      </c>
      <c r="Z17" s="57" t="e">
        <f t="shared" si="22"/>
        <v>#DIV/0!</v>
      </c>
      <c r="AA17" s="57" t="e">
        <f t="shared" si="22"/>
        <v>#DIV/0!</v>
      </c>
      <c r="AB17" s="57" t="e">
        <f t="shared" si="22"/>
        <v>#DIV/0!</v>
      </c>
      <c r="AC17" s="57" t="e">
        <f t="shared" si="22"/>
        <v>#DIV/0!</v>
      </c>
      <c r="AD17" s="57" t="e">
        <f t="shared" si="22"/>
        <v>#DIV/0!</v>
      </c>
      <c r="AE17" s="57" t="e">
        <f t="shared" si="22"/>
        <v>#DIV/0!</v>
      </c>
      <c r="AF17" s="57" t="e">
        <f t="shared" si="22"/>
        <v>#DIV/0!</v>
      </c>
      <c r="AG17" s="57" t="e">
        <f t="shared" si="22"/>
        <v>#DIV/0!</v>
      </c>
      <c r="AH17" s="57" t="e">
        <f t="shared" si="22"/>
        <v>#DIV/0!</v>
      </c>
      <c r="AI17" s="57" t="e">
        <f t="shared" si="22"/>
        <v>#DIV/0!</v>
      </c>
      <c r="AJ17" s="57" t="e">
        <f t="shared" si="22"/>
        <v>#DIV/0!</v>
      </c>
      <c r="AK17" s="57" t="e">
        <f t="shared" si="22"/>
        <v>#DIV/0!</v>
      </c>
      <c r="AL17" s="57" t="e">
        <f t="shared" si="22"/>
        <v>#DIV/0!</v>
      </c>
      <c r="AM17" s="57" t="e">
        <f t="shared" si="22"/>
        <v>#DIV/0!</v>
      </c>
      <c r="AN17" s="57" t="e">
        <f t="shared" si="22"/>
        <v>#DIV/0!</v>
      </c>
      <c r="AO17" s="57" t="e">
        <f t="shared" si="22"/>
        <v>#DIV/0!</v>
      </c>
      <c r="AP17" s="57" t="e">
        <f t="shared" si="22"/>
        <v>#DIV/0!</v>
      </c>
      <c r="AQ17" s="57" t="e">
        <f t="shared" si="22"/>
        <v>#DIV/0!</v>
      </c>
      <c r="AR17" s="57" t="e">
        <f t="shared" si="22"/>
        <v>#DIV/0!</v>
      </c>
      <c r="AS17" s="57" t="e">
        <f t="shared" si="22"/>
        <v>#DIV/0!</v>
      </c>
      <c r="AT17" s="57" t="e">
        <f t="shared" si="22"/>
        <v>#DIV/0!</v>
      </c>
      <c r="AU17" s="57" t="e">
        <f t="shared" si="22"/>
        <v>#DIV/0!</v>
      </c>
      <c r="AV17" s="57" t="e">
        <f t="shared" si="22"/>
        <v>#DIV/0!</v>
      </c>
      <c r="AW17" s="57" t="e">
        <f t="shared" si="22"/>
        <v>#DIV/0!</v>
      </c>
      <c r="AX17" s="57" t="e">
        <f t="shared" si="22"/>
        <v>#DIV/0!</v>
      </c>
      <c r="AY17" s="57" t="e">
        <f t="shared" si="22"/>
        <v>#DIV/0!</v>
      </c>
      <c r="AZ17" s="57" t="e">
        <f t="shared" si="22"/>
        <v>#DIV/0!</v>
      </c>
      <c r="BA17" s="57" t="e">
        <f t="shared" si="22"/>
        <v>#DIV/0!</v>
      </c>
      <c r="BB17" s="57" t="e">
        <f t="shared" si="22"/>
        <v>#DIV/0!</v>
      </c>
      <c r="BC17" s="57" t="e">
        <f t="shared" si="22"/>
        <v>#DIV/0!</v>
      </c>
      <c r="BD17" s="57" t="e">
        <f t="shared" si="22"/>
        <v>#DIV/0!</v>
      </c>
      <c r="BE17" s="57" t="e">
        <f t="shared" si="22"/>
        <v>#DIV/0!</v>
      </c>
      <c r="BF17" s="57" t="e">
        <f t="shared" si="22"/>
        <v>#DIV/0!</v>
      </c>
      <c r="BG17" s="57" t="e">
        <f t="shared" si="22"/>
        <v>#DIV/0!</v>
      </c>
      <c r="BH17" s="57" t="e">
        <f t="shared" si="22"/>
        <v>#DIV/0!</v>
      </c>
      <c r="BI17" s="57" t="e">
        <f t="shared" si="22"/>
        <v>#DIV/0!</v>
      </c>
      <c r="BJ17" s="57" t="e">
        <f t="shared" si="22"/>
        <v>#DIV/0!</v>
      </c>
      <c r="BK17" s="57" t="e">
        <f t="shared" si="22"/>
        <v>#DIV/0!</v>
      </c>
      <c r="BL17" s="57" t="e">
        <f t="shared" si="22"/>
        <v>#DIV/0!</v>
      </c>
      <c r="BM17" s="57" t="e">
        <f t="shared" si="22"/>
        <v>#DIV/0!</v>
      </c>
      <c r="BN17" s="57" t="e">
        <f t="shared" si="22"/>
        <v>#DIV/0!</v>
      </c>
      <c r="BO17" s="57" t="e">
        <f t="shared" si="22"/>
        <v>#DIV/0!</v>
      </c>
      <c r="BP17" s="57" t="e">
        <f t="shared" si="22"/>
        <v>#DIV/0!</v>
      </c>
      <c r="BQ17" s="57" t="e">
        <f t="shared" si="22"/>
        <v>#DIV/0!</v>
      </c>
      <c r="BR17" s="57" t="e">
        <f t="shared" ref="BR17:CK17" si="23">BR16/BR2</f>
        <v>#DIV/0!</v>
      </c>
      <c r="BS17" s="57" t="e">
        <f t="shared" si="23"/>
        <v>#DIV/0!</v>
      </c>
      <c r="BT17" s="57" t="e">
        <f t="shared" si="23"/>
        <v>#DIV/0!</v>
      </c>
      <c r="BU17" s="57" t="e">
        <f t="shared" si="23"/>
        <v>#DIV/0!</v>
      </c>
      <c r="BV17" s="57" t="e">
        <f t="shared" si="23"/>
        <v>#DIV/0!</v>
      </c>
      <c r="BW17" s="57" t="e">
        <f t="shared" si="23"/>
        <v>#DIV/0!</v>
      </c>
      <c r="BX17" s="57" t="e">
        <f t="shared" si="23"/>
        <v>#DIV/0!</v>
      </c>
      <c r="BY17" s="57" t="e">
        <f t="shared" si="23"/>
        <v>#DIV/0!</v>
      </c>
      <c r="BZ17" s="57" t="e">
        <f t="shared" si="23"/>
        <v>#DIV/0!</v>
      </c>
      <c r="CA17" s="57" t="e">
        <f t="shared" si="23"/>
        <v>#DIV/0!</v>
      </c>
      <c r="CB17" s="57" t="e">
        <f t="shared" si="23"/>
        <v>#DIV/0!</v>
      </c>
      <c r="CC17" s="57" t="e">
        <f t="shared" si="23"/>
        <v>#DIV/0!</v>
      </c>
      <c r="CD17" s="57" t="e">
        <f t="shared" si="23"/>
        <v>#DIV/0!</v>
      </c>
      <c r="CE17" s="57" t="e">
        <f t="shared" si="23"/>
        <v>#DIV/0!</v>
      </c>
      <c r="CF17" s="57" t="e">
        <f t="shared" si="23"/>
        <v>#DIV/0!</v>
      </c>
      <c r="CG17" s="57" t="e">
        <f t="shared" si="23"/>
        <v>#DIV/0!</v>
      </c>
      <c r="CH17" s="57" t="e">
        <f t="shared" si="23"/>
        <v>#DIV/0!</v>
      </c>
      <c r="CI17" s="57" t="e">
        <f t="shared" si="23"/>
        <v>#DIV/0!</v>
      </c>
      <c r="CJ17" s="57" t="e">
        <f t="shared" si="23"/>
        <v>#DIV/0!</v>
      </c>
      <c r="CK17" s="57" t="e">
        <f t="shared" si="23"/>
        <v>#DIV/0!</v>
      </c>
    </row>
    <row r="18" spans="1:89" s="26" customFormat="1" x14ac:dyDescent="0.25">
      <c r="A18" s="127" t="s">
        <v>365</v>
      </c>
      <c r="E18" s="26">
        <f>股权价值增加表!E12</f>
        <v>358407.7</v>
      </c>
      <c r="F18" s="26">
        <f>股权价值增加表!F12</f>
        <v>1204</v>
      </c>
      <c r="G18" s="26">
        <f>股权价值增加表!G12</f>
        <v>868</v>
      </c>
      <c r="H18" s="26">
        <f>股权价值增加表!H12</f>
        <v>644</v>
      </c>
      <c r="I18" s="26">
        <f>股权价值增加表!I12</f>
        <v>459844</v>
      </c>
      <c r="J18" s="26">
        <f>股权价值增加表!J12</f>
        <v>0</v>
      </c>
      <c r="K18" s="26">
        <f>股权价值增加表!K12</f>
        <v>0</v>
      </c>
      <c r="L18" s="26">
        <f>股权价值增加表!L12</f>
        <v>0</v>
      </c>
      <c r="M18" s="26">
        <f>股权价值增加表!M12</f>
        <v>5143139.6100000003</v>
      </c>
      <c r="N18" s="26">
        <f>股权价值增加表!N12</f>
        <v>0</v>
      </c>
      <c r="O18" s="26">
        <f>股权价值增加表!O12</f>
        <v>0</v>
      </c>
      <c r="P18" s="26">
        <f>股权价值增加表!P12</f>
        <v>0</v>
      </c>
      <c r="Q18" s="26">
        <f>股权价值增加表!Q12</f>
        <v>0</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4.7634695404986845E-4</v>
      </c>
      <c r="F19" s="57">
        <f t="shared" ref="F19:BQ19" si="24">F18/F2</f>
        <v>2.2899618893105886E-6</v>
      </c>
      <c r="G19" s="57">
        <f t="shared" si="24"/>
        <v>2.5546637305474541E-6</v>
      </c>
      <c r="H19" s="57">
        <f t="shared" si="24"/>
        <v>4.1899591693677361E-6</v>
      </c>
      <c r="I19" s="57">
        <f t="shared" si="24"/>
        <v>6.9148286043160996E-4</v>
      </c>
      <c r="J19" s="57">
        <f t="shared" si="24"/>
        <v>0</v>
      </c>
      <c r="K19" s="57">
        <f t="shared" si="24"/>
        <v>0</v>
      </c>
      <c r="L19" s="57">
        <f t="shared" si="24"/>
        <v>0</v>
      </c>
      <c r="M19" s="57">
        <f t="shared" si="24"/>
        <v>8.6144277511009393E-3</v>
      </c>
      <c r="N19" s="57">
        <f t="shared" si="24"/>
        <v>0</v>
      </c>
      <c r="O19" s="57">
        <f t="shared" si="24"/>
        <v>0</v>
      </c>
      <c r="P19" s="57">
        <f t="shared" si="24"/>
        <v>0</v>
      </c>
      <c r="Q19" s="57">
        <f t="shared" si="24"/>
        <v>0</v>
      </c>
      <c r="R19" s="57">
        <f t="shared" si="24"/>
        <v>0</v>
      </c>
      <c r="S19" s="57" t="e">
        <f t="shared" si="24"/>
        <v>#DIV/0!</v>
      </c>
      <c r="T19" s="57" t="e">
        <f t="shared" si="24"/>
        <v>#DIV/0!</v>
      </c>
      <c r="U19" s="57" t="e">
        <f t="shared" si="24"/>
        <v>#DIV/0!</v>
      </c>
      <c r="V19" s="57" t="e">
        <f t="shared" si="24"/>
        <v>#DIV/0!</v>
      </c>
      <c r="W19" s="57" t="e">
        <f t="shared" si="24"/>
        <v>#DIV/0!</v>
      </c>
      <c r="X19" s="57" t="e">
        <f t="shared" si="24"/>
        <v>#DIV/0!</v>
      </c>
      <c r="Y19" s="57" t="e">
        <f t="shared" si="24"/>
        <v>#DIV/0!</v>
      </c>
      <c r="Z19" s="57" t="e">
        <f t="shared" si="24"/>
        <v>#DIV/0!</v>
      </c>
      <c r="AA19" s="57" t="e">
        <f t="shared" si="24"/>
        <v>#DIV/0!</v>
      </c>
      <c r="AB19" s="57" t="e">
        <f t="shared" si="24"/>
        <v>#DIV/0!</v>
      </c>
      <c r="AC19" s="57" t="e">
        <f t="shared" si="24"/>
        <v>#DIV/0!</v>
      </c>
      <c r="AD19" s="57" t="e">
        <f t="shared" si="24"/>
        <v>#DIV/0!</v>
      </c>
      <c r="AE19" s="57" t="e">
        <f t="shared" si="24"/>
        <v>#DIV/0!</v>
      </c>
      <c r="AF19" s="57" t="e">
        <f t="shared" si="24"/>
        <v>#DIV/0!</v>
      </c>
      <c r="AG19" s="57" t="e">
        <f t="shared" si="24"/>
        <v>#DIV/0!</v>
      </c>
      <c r="AH19" s="57" t="e">
        <f t="shared" si="24"/>
        <v>#DIV/0!</v>
      </c>
      <c r="AI19" s="57" t="e">
        <f t="shared" si="24"/>
        <v>#DIV/0!</v>
      </c>
      <c r="AJ19" s="57" t="e">
        <f t="shared" si="24"/>
        <v>#DIV/0!</v>
      </c>
      <c r="AK19" s="57" t="e">
        <f t="shared" si="24"/>
        <v>#DIV/0!</v>
      </c>
      <c r="AL19" s="57" t="e">
        <f t="shared" si="24"/>
        <v>#DIV/0!</v>
      </c>
      <c r="AM19" s="57" t="e">
        <f t="shared" si="24"/>
        <v>#DIV/0!</v>
      </c>
      <c r="AN19" s="57" t="e">
        <f t="shared" si="24"/>
        <v>#DIV/0!</v>
      </c>
      <c r="AO19" s="57" t="e">
        <f t="shared" si="24"/>
        <v>#DIV/0!</v>
      </c>
      <c r="AP19" s="57" t="e">
        <f t="shared" si="24"/>
        <v>#DIV/0!</v>
      </c>
      <c r="AQ19" s="57" t="e">
        <f t="shared" si="24"/>
        <v>#DIV/0!</v>
      </c>
      <c r="AR19" s="57" t="e">
        <f t="shared" si="24"/>
        <v>#DIV/0!</v>
      </c>
      <c r="AS19" s="57" t="e">
        <f t="shared" si="24"/>
        <v>#DIV/0!</v>
      </c>
      <c r="AT19" s="57" t="e">
        <f t="shared" si="24"/>
        <v>#DIV/0!</v>
      </c>
      <c r="AU19" s="57" t="e">
        <f t="shared" si="24"/>
        <v>#DIV/0!</v>
      </c>
      <c r="AV19" s="57" t="e">
        <f t="shared" si="24"/>
        <v>#DIV/0!</v>
      </c>
      <c r="AW19" s="57" t="e">
        <f t="shared" si="24"/>
        <v>#DIV/0!</v>
      </c>
      <c r="AX19" s="57" t="e">
        <f t="shared" si="24"/>
        <v>#DIV/0!</v>
      </c>
      <c r="AY19" s="57" t="e">
        <f t="shared" si="24"/>
        <v>#DIV/0!</v>
      </c>
      <c r="AZ19" s="57" t="e">
        <f t="shared" si="24"/>
        <v>#DIV/0!</v>
      </c>
      <c r="BA19" s="57" t="e">
        <f t="shared" si="24"/>
        <v>#DIV/0!</v>
      </c>
      <c r="BB19" s="57" t="e">
        <f t="shared" si="24"/>
        <v>#DIV/0!</v>
      </c>
      <c r="BC19" s="57" t="e">
        <f t="shared" si="24"/>
        <v>#DIV/0!</v>
      </c>
      <c r="BD19" s="57" t="e">
        <f t="shared" si="24"/>
        <v>#DIV/0!</v>
      </c>
      <c r="BE19" s="57" t="e">
        <f t="shared" si="24"/>
        <v>#DIV/0!</v>
      </c>
      <c r="BF19" s="57" t="e">
        <f t="shared" si="24"/>
        <v>#DIV/0!</v>
      </c>
      <c r="BG19" s="57" t="e">
        <f t="shared" si="24"/>
        <v>#DIV/0!</v>
      </c>
      <c r="BH19" s="57" t="e">
        <f t="shared" si="24"/>
        <v>#DIV/0!</v>
      </c>
      <c r="BI19" s="57" t="e">
        <f t="shared" si="24"/>
        <v>#DIV/0!</v>
      </c>
      <c r="BJ19" s="57" t="e">
        <f t="shared" si="24"/>
        <v>#DIV/0!</v>
      </c>
      <c r="BK19" s="57" t="e">
        <f t="shared" si="24"/>
        <v>#DIV/0!</v>
      </c>
      <c r="BL19" s="57" t="e">
        <f t="shared" si="24"/>
        <v>#DIV/0!</v>
      </c>
      <c r="BM19" s="57" t="e">
        <f t="shared" si="24"/>
        <v>#DIV/0!</v>
      </c>
      <c r="BN19" s="57" t="e">
        <f t="shared" si="24"/>
        <v>#DIV/0!</v>
      </c>
      <c r="BO19" s="57" t="e">
        <f t="shared" si="24"/>
        <v>#DIV/0!</v>
      </c>
      <c r="BP19" s="57" t="e">
        <f t="shared" si="24"/>
        <v>#DIV/0!</v>
      </c>
      <c r="BQ19" s="57" t="e">
        <f t="shared" si="24"/>
        <v>#DIV/0!</v>
      </c>
      <c r="BR19" s="57" t="e">
        <f t="shared" ref="BR19:CK19" si="25">BR18/BR2</f>
        <v>#DIV/0!</v>
      </c>
      <c r="BS19" s="57" t="e">
        <f t="shared" si="25"/>
        <v>#DIV/0!</v>
      </c>
      <c r="BT19" s="57" t="e">
        <f t="shared" si="25"/>
        <v>#DIV/0!</v>
      </c>
      <c r="BU19" s="57" t="e">
        <f t="shared" si="25"/>
        <v>#DIV/0!</v>
      </c>
      <c r="BV19" s="57" t="e">
        <f t="shared" si="25"/>
        <v>#DIV/0!</v>
      </c>
      <c r="BW19" s="57" t="e">
        <f t="shared" si="25"/>
        <v>#DIV/0!</v>
      </c>
      <c r="BX19" s="57" t="e">
        <f t="shared" si="25"/>
        <v>#DIV/0!</v>
      </c>
      <c r="BY19" s="57" t="e">
        <f t="shared" si="25"/>
        <v>#DIV/0!</v>
      </c>
      <c r="BZ19" s="57" t="e">
        <f t="shared" si="25"/>
        <v>#DIV/0!</v>
      </c>
      <c r="CA19" s="57" t="e">
        <f t="shared" si="25"/>
        <v>#DIV/0!</v>
      </c>
      <c r="CB19" s="57" t="e">
        <f t="shared" si="25"/>
        <v>#DIV/0!</v>
      </c>
      <c r="CC19" s="57" t="e">
        <f t="shared" si="25"/>
        <v>#DIV/0!</v>
      </c>
      <c r="CD19" s="57" t="e">
        <f t="shared" si="25"/>
        <v>#DIV/0!</v>
      </c>
      <c r="CE19" s="57" t="e">
        <f t="shared" si="25"/>
        <v>#DIV/0!</v>
      </c>
      <c r="CF19" s="57" t="e">
        <f t="shared" si="25"/>
        <v>#DIV/0!</v>
      </c>
      <c r="CG19" s="57" t="e">
        <f t="shared" si="25"/>
        <v>#DIV/0!</v>
      </c>
      <c r="CH19" s="57" t="e">
        <f t="shared" si="25"/>
        <v>#DIV/0!</v>
      </c>
      <c r="CI19" s="57" t="e">
        <f t="shared" si="25"/>
        <v>#DIV/0!</v>
      </c>
      <c r="CJ19" s="57" t="e">
        <f t="shared" si="25"/>
        <v>#DIV/0!</v>
      </c>
      <c r="CK19" s="57" t="e">
        <f t="shared" si="25"/>
        <v>#DIV/0!</v>
      </c>
    </row>
    <row r="20" spans="1:89" s="26" customFormat="1" x14ac:dyDescent="0.25">
      <c r="A20" s="127" t="s">
        <v>367</v>
      </c>
      <c r="E20" s="26">
        <f>股权价值增加表!E13-股权价值增加表!E14</f>
        <v>5970344.0600000005</v>
      </c>
      <c r="F20" s="26">
        <f>股权价值增加表!F13-股权价值增加表!F14</f>
        <v>2750949.08</v>
      </c>
      <c r="G20" s="26">
        <f>股权价值增加表!G13-股权价值增加表!G14</f>
        <v>663890.51</v>
      </c>
      <c r="H20" s="26">
        <f>股权价值增加表!H13-股权价值增加表!H14</f>
        <v>1700700.71</v>
      </c>
      <c r="I20" s="26">
        <f>股权价值增加表!I13-股权价值增加表!I14</f>
        <v>18120865.200000003</v>
      </c>
      <c r="J20" s="26">
        <f>股权价值增加表!J13-股权价值增加表!J14</f>
        <v>9301098.4800000004</v>
      </c>
      <c r="K20" s="26">
        <f>股权价值增加表!K13-股权价值增加表!K14</f>
        <v>7686223.0900000008</v>
      </c>
      <c r="L20" s="26">
        <f>股权价值增加表!L13-股权价值增加表!L14</f>
        <v>2948355.64</v>
      </c>
      <c r="M20" s="26">
        <f>股权价值增加表!M13-股权价值增加表!M14</f>
        <v>10327185.559999999</v>
      </c>
      <c r="N20" s="26">
        <f>股权价值增加表!N13-股权价值增加表!N14</f>
        <v>6801896.7299999995</v>
      </c>
      <c r="O20" s="26">
        <f>股权价值增加表!O13-股权价值增加表!O14</f>
        <v>9985956.9900000002</v>
      </c>
      <c r="P20" s="26">
        <f>股权价值增加表!P13-股权价值增加表!P14</f>
        <v>6882378.4299999997</v>
      </c>
      <c r="Q20" s="26">
        <f>股权价值增加表!Q13-股权价值增加表!Q14</f>
        <v>4311735.1100000003</v>
      </c>
      <c r="R20" s="26">
        <f>股权价值增加表!R13-股权价值增加表!R14</f>
        <v>422466.43000000005</v>
      </c>
      <c r="S20" s="26">
        <f>股权价值增加表!S13-股权价值增加表!S14</f>
        <v>0</v>
      </c>
      <c r="T20" s="26">
        <f>股权价值增加表!T13-股权价值增加表!T14</f>
        <v>0</v>
      </c>
      <c r="U20" s="26">
        <f>股权价值增加表!U13-股权价值增加表!U14</f>
        <v>0</v>
      </c>
      <c r="V20" s="26">
        <f>股权价值增加表!V13-股权价值增加表!V14</f>
        <v>0</v>
      </c>
      <c r="W20" s="26">
        <f>股权价值增加表!W13-股权价值增加表!W14</f>
        <v>0</v>
      </c>
      <c r="X20" s="26">
        <f>股权价值增加表!X13-股权价值增加表!X14</f>
        <v>0</v>
      </c>
      <c r="Y20" s="26">
        <f>股权价值增加表!Y13-股权价值增加表!Y14</f>
        <v>0</v>
      </c>
      <c r="Z20" s="26">
        <f>股权价值增加表!Z13-股权价值增加表!Z14</f>
        <v>0</v>
      </c>
      <c r="AA20" s="26">
        <f>股权价值增加表!AA13-股权价值增加表!AA14</f>
        <v>0</v>
      </c>
      <c r="AB20" s="26">
        <f>股权价值增加表!AB13-股权价值增加表!AB14</f>
        <v>0</v>
      </c>
      <c r="AC20" s="26">
        <f>股权价值增加表!AC13-股权价值增加表!AC14</f>
        <v>0</v>
      </c>
      <c r="AD20" s="26">
        <f>股权价值增加表!AD13-股权价值增加表!AD14</f>
        <v>0</v>
      </c>
      <c r="AE20" s="26">
        <f>股权价值增加表!AE13-股权价值增加表!AE14</f>
        <v>0</v>
      </c>
      <c r="AF20" s="26">
        <f>股权价值增加表!AF13-股权价值增加表!AF14</f>
        <v>0</v>
      </c>
      <c r="AG20" s="26">
        <f>股权价值增加表!AG13-股权价值增加表!AG14</f>
        <v>0</v>
      </c>
      <c r="AH20" s="26">
        <f>股权价值增加表!AH13-股权价值增加表!AH14</f>
        <v>0</v>
      </c>
      <c r="AI20" s="26">
        <f>股权价值增加表!AI13-股权价值增加表!AI14</f>
        <v>0</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7.9349724004554745E-3</v>
      </c>
      <c r="F21" s="57">
        <f t="shared" ref="F21:BQ21" si="26">F20/F2</f>
        <v>5.2321997945465326E-3</v>
      </c>
      <c r="G21" s="57">
        <f t="shared" si="26"/>
        <v>1.9539366439535162E-3</v>
      </c>
      <c r="H21" s="57">
        <f t="shared" si="26"/>
        <v>1.1065010146296147E-2</v>
      </c>
      <c r="I21" s="57">
        <f t="shared" si="26"/>
        <v>2.724895334502923E-2</v>
      </c>
      <c r="J21" s="57">
        <f t="shared" si="26"/>
        <v>2.0486643613169923E-2</v>
      </c>
      <c r="K21" s="57">
        <f t="shared" si="26"/>
        <v>2.7135125097386272E-2</v>
      </c>
      <c r="L21" s="57">
        <f t="shared" si="26"/>
        <v>2.371916214725291E-2</v>
      </c>
      <c r="M21" s="57">
        <f t="shared" si="26"/>
        <v>1.7297370988308223E-2</v>
      </c>
      <c r="N21" s="57">
        <f t="shared" si="26"/>
        <v>1.661124917052741E-2</v>
      </c>
      <c r="O21" s="57">
        <f t="shared" si="26"/>
        <v>1.8883839221751689E-2</v>
      </c>
      <c r="P21" s="57">
        <f t="shared" si="26"/>
        <v>1.4193164992289408E-2</v>
      </c>
      <c r="Q21" s="57">
        <f t="shared" si="26"/>
        <v>1.089940037019157E-2</v>
      </c>
      <c r="R21" s="57">
        <f t="shared" si="26"/>
        <v>1.3331579087144134E-3</v>
      </c>
      <c r="S21" s="57" t="e">
        <f t="shared" si="26"/>
        <v>#DIV/0!</v>
      </c>
      <c r="T21" s="57" t="e">
        <f t="shared" si="26"/>
        <v>#DIV/0!</v>
      </c>
      <c r="U21" s="57" t="e">
        <f t="shared" si="26"/>
        <v>#DIV/0!</v>
      </c>
      <c r="V21" s="57" t="e">
        <f t="shared" si="26"/>
        <v>#DIV/0!</v>
      </c>
      <c r="W21" s="57" t="e">
        <f t="shared" si="26"/>
        <v>#DIV/0!</v>
      </c>
      <c r="X21" s="57" t="e">
        <f t="shared" si="26"/>
        <v>#DIV/0!</v>
      </c>
      <c r="Y21" s="57" t="e">
        <f t="shared" si="26"/>
        <v>#DIV/0!</v>
      </c>
      <c r="Z21" s="57" t="e">
        <f t="shared" si="26"/>
        <v>#DIV/0!</v>
      </c>
      <c r="AA21" s="57" t="e">
        <f t="shared" si="26"/>
        <v>#DIV/0!</v>
      </c>
      <c r="AB21" s="57" t="e">
        <f t="shared" si="26"/>
        <v>#DIV/0!</v>
      </c>
      <c r="AC21" s="57" t="e">
        <f t="shared" si="26"/>
        <v>#DIV/0!</v>
      </c>
      <c r="AD21" s="57" t="e">
        <f t="shared" si="26"/>
        <v>#DIV/0!</v>
      </c>
      <c r="AE21" s="57" t="e">
        <f t="shared" si="26"/>
        <v>#DIV/0!</v>
      </c>
      <c r="AF21" s="57" t="e">
        <f t="shared" si="26"/>
        <v>#DIV/0!</v>
      </c>
      <c r="AG21" s="57" t="e">
        <f t="shared" si="26"/>
        <v>#DIV/0!</v>
      </c>
      <c r="AH21" s="57" t="e">
        <f t="shared" si="26"/>
        <v>#DIV/0!</v>
      </c>
      <c r="AI21" s="57" t="e">
        <f t="shared" si="26"/>
        <v>#DIV/0!</v>
      </c>
      <c r="AJ21" s="57" t="e">
        <f t="shared" si="26"/>
        <v>#DIV/0!</v>
      </c>
      <c r="AK21" s="57" t="e">
        <f t="shared" si="26"/>
        <v>#DIV/0!</v>
      </c>
      <c r="AL21" s="57" t="e">
        <f t="shared" si="26"/>
        <v>#DIV/0!</v>
      </c>
      <c r="AM21" s="57" t="e">
        <f t="shared" si="26"/>
        <v>#DIV/0!</v>
      </c>
      <c r="AN21" s="57" t="e">
        <f t="shared" si="26"/>
        <v>#DIV/0!</v>
      </c>
      <c r="AO21" s="57" t="e">
        <f t="shared" si="26"/>
        <v>#DIV/0!</v>
      </c>
      <c r="AP21" s="57" t="e">
        <f t="shared" si="26"/>
        <v>#DIV/0!</v>
      </c>
      <c r="AQ21" s="57" t="e">
        <f t="shared" si="26"/>
        <v>#DIV/0!</v>
      </c>
      <c r="AR21" s="57" t="e">
        <f t="shared" si="26"/>
        <v>#DIV/0!</v>
      </c>
      <c r="AS21" s="57" t="e">
        <f t="shared" si="26"/>
        <v>#DIV/0!</v>
      </c>
      <c r="AT21" s="57" t="e">
        <f t="shared" si="26"/>
        <v>#DIV/0!</v>
      </c>
      <c r="AU21" s="57" t="e">
        <f t="shared" si="26"/>
        <v>#DIV/0!</v>
      </c>
      <c r="AV21" s="57" t="e">
        <f t="shared" si="26"/>
        <v>#DIV/0!</v>
      </c>
      <c r="AW21" s="57" t="e">
        <f t="shared" si="26"/>
        <v>#DIV/0!</v>
      </c>
      <c r="AX21" s="57" t="e">
        <f t="shared" si="26"/>
        <v>#DIV/0!</v>
      </c>
      <c r="AY21" s="57" t="e">
        <f t="shared" si="26"/>
        <v>#DIV/0!</v>
      </c>
      <c r="AZ21" s="57" t="e">
        <f t="shared" si="26"/>
        <v>#DIV/0!</v>
      </c>
      <c r="BA21" s="57" t="e">
        <f t="shared" si="26"/>
        <v>#DIV/0!</v>
      </c>
      <c r="BB21" s="57" t="e">
        <f t="shared" si="26"/>
        <v>#DIV/0!</v>
      </c>
      <c r="BC21" s="57" t="e">
        <f t="shared" si="26"/>
        <v>#DIV/0!</v>
      </c>
      <c r="BD21" s="57" t="e">
        <f t="shared" si="26"/>
        <v>#DIV/0!</v>
      </c>
      <c r="BE21" s="57" t="e">
        <f t="shared" si="26"/>
        <v>#DIV/0!</v>
      </c>
      <c r="BF21" s="57" t="e">
        <f t="shared" si="26"/>
        <v>#DIV/0!</v>
      </c>
      <c r="BG21" s="57" t="e">
        <f t="shared" si="26"/>
        <v>#DIV/0!</v>
      </c>
      <c r="BH21" s="57" t="e">
        <f t="shared" si="26"/>
        <v>#DIV/0!</v>
      </c>
      <c r="BI21" s="57" t="e">
        <f t="shared" si="26"/>
        <v>#DIV/0!</v>
      </c>
      <c r="BJ21" s="57" t="e">
        <f t="shared" si="26"/>
        <v>#DIV/0!</v>
      </c>
      <c r="BK21" s="57" t="e">
        <f t="shared" si="26"/>
        <v>#DIV/0!</v>
      </c>
      <c r="BL21" s="57" t="e">
        <f t="shared" si="26"/>
        <v>#DIV/0!</v>
      </c>
      <c r="BM21" s="57" t="e">
        <f t="shared" si="26"/>
        <v>#DIV/0!</v>
      </c>
      <c r="BN21" s="57" t="e">
        <f t="shared" si="26"/>
        <v>#DIV/0!</v>
      </c>
      <c r="BO21" s="57" t="e">
        <f t="shared" si="26"/>
        <v>#DIV/0!</v>
      </c>
      <c r="BP21" s="57" t="e">
        <f t="shared" si="26"/>
        <v>#DIV/0!</v>
      </c>
      <c r="BQ21" s="57" t="e">
        <f t="shared" si="26"/>
        <v>#DIV/0!</v>
      </c>
      <c r="BR21" s="57" t="e">
        <f t="shared" ref="BR21:CK21" si="27">BR20/BR2</f>
        <v>#DIV/0!</v>
      </c>
      <c r="BS21" s="57" t="e">
        <f t="shared" si="27"/>
        <v>#DIV/0!</v>
      </c>
      <c r="BT21" s="57" t="e">
        <f t="shared" si="27"/>
        <v>#DIV/0!</v>
      </c>
      <c r="BU21" s="57" t="e">
        <f t="shared" si="27"/>
        <v>#DIV/0!</v>
      </c>
      <c r="BV21" s="57" t="e">
        <f t="shared" si="27"/>
        <v>#DIV/0!</v>
      </c>
      <c r="BW21" s="57" t="e">
        <f t="shared" si="27"/>
        <v>#DIV/0!</v>
      </c>
      <c r="BX21" s="57" t="e">
        <f t="shared" si="27"/>
        <v>#DIV/0!</v>
      </c>
      <c r="BY21" s="57" t="e">
        <f t="shared" si="27"/>
        <v>#DIV/0!</v>
      </c>
      <c r="BZ21" s="57" t="e">
        <f t="shared" si="27"/>
        <v>#DIV/0!</v>
      </c>
      <c r="CA21" s="57" t="e">
        <f t="shared" si="27"/>
        <v>#DIV/0!</v>
      </c>
      <c r="CB21" s="57" t="e">
        <f t="shared" si="27"/>
        <v>#DIV/0!</v>
      </c>
      <c r="CC21" s="57" t="e">
        <f t="shared" si="27"/>
        <v>#DIV/0!</v>
      </c>
      <c r="CD21" s="57" t="e">
        <f t="shared" si="27"/>
        <v>#DIV/0!</v>
      </c>
      <c r="CE21" s="57" t="e">
        <f t="shared" si="27"/>
        <v>#DIV/0!</v>
      </c>
      <c r="CF21" s="57" t="e">
        <f t="shared" si="27"/>
        <v>#DIV/0!</v>
      </c>
      <c r="CG21" s="57" t="e">
        <f t="shared" si="27"/>
        <v>#DIV/0!</v>
      </c>
      <c r="CH21" s="57" t="e">
        <f t="shared" si="27"/>
        <v>#DIV/0!</v>
      </c>
      <c r="CI21" s="57" t="e">
        <f t="shared" si="27"/>
        <v>#DIV/0!</v>
      </c>
      <c r="CJ21" s="57" t="e">
        <f t="shared" si="27"/>
        <v>#DIV/0!</v>
      </c>
      <c r="CK21" s="57" t="e">
        <f t="shared" si="27"/>
        <v>#DIV/0!</v>
      </c>
    </row>
    <row r="22" spans="1:89" s="66" customFormat="1" x14ac:dyDescent="0.25">
      <c r="A22" s="46" t="s">
        <v>369</v>
      </c>
      <c r="E22" s="66">
        <f>E11+E13+E15+E17+E19+E21</f>
        <v>0.26901215913604476</v>
      </c>
      <c r="F22" s="66">
        <f t="shared" ref="F22:BQ22" si="28">F11+F13+F15+F17+F19+F21</f>
        <v>0.26918447219035219</v>
      </c>
      <c r="G22" s="66">
        <f t="shared" si="28"/>
        <v>0.27640579911220314</v>
      </c>
      <c r="H22" s="66">
        <f t="shared" si="28"/>
        <v>0.29445329915000162</v>
      </c>
      <c r="I22" s="66">
        <f t="shared" si="28"/>
        <v>0.30079434323212201</v>
      </c>
      <c r="J22" s="66">
        <f t="shared" si="28"/>
        <v>0.28607456454783325</v>
      </c>
      <c r="K22" s="66">
        <f t="shared" si="28"/>
        <v>0.31686024811241198</v>
      </c>
      <c r="L22" s="66">
        <f t="shared" si="28"/>
        <v>0.34976805873476918</v>
      </c>
      <c r="M22" s="66">
        <f t="shared" si="28"/>
        <v>0.26913876345217608</v>
      </c>
      <c r="N22" s="66">
        <f t="shared" si="28"/>
        <v>0.26614358260154586</v>
      </c>
      <c r="O22" s="66">
        <f t="shared" si="28"/>
        <v>0.2635696076421265</v>
      </c>
      <c r="P22" s="66">
        <f t="shared" si="28"/>
        <v>0.27179330333633811</v>
      </c>
      <c r="Q22" s="66">
        <f t="shared" si="28"/>
        <v>0.25224056822450408</v>
      </c>
      <c r="R22" s="66">
        <f t="shared" si="28"/>
        <v>0.24202526986539583</v>
      </c>
      <c r="S22" s="66" t="e">
        <f t="shared" si="28"/>
        <v>#DIV/0!</v>
      </c>
      <c r="T22" s="66" t="e">
        <f t="shared" si="28"/>
        <v>#DIV/0!</v>
      </c>
      <c r="U22" s="66" t="e">
        <f t="shared" si="28"/>
        <v>#DIV/0!</v>
      </c>
      <c r="V22" s="66" t="e">
        <f t="shared" si="28"/>
        <v>#DIV/0!</v>
      </c>
      <c r="W22" s="66" t="e">
        <f t="shared" si="28"/>
        <v>#DIV/0!</v>
      </c>
      <c r="X22" s="66" t="e">
        <f t="shared" si="28"/>
        <v>#DIV/0!</v>
      </c>
      <c r="Y22" s="66" t="e">
        <f t="shared" si="28"/>
        <v>#DIV/0!</v>
      </c>
      <c r="Z22" s="66" t="e">
        <f t="shared" si="28"/>
        <v>#DIV/0!</v>
      </c>
      <c r="AA22" s="66" t="e">
        <f t="shared" si="28"/>
        <v>#DIV/0!</v>
      </c>
      <c r="AB22" s="66" t="e">
        <f t="shared" si="28"/>
        <v>#DIV/0!</v>
      </c>
      <c r="AC22" s="66" t="e">
        <f t="shared" si="28"/>
        <v>#DIV/0!</v>
      </c>
      <c r="AD22" s="66" t="e">
        <f t="shared" si="28"/>
        <v>#DIV/0!</v>
      </c>
      <c r="AE22" s="66" t="e">
        <f t="shared" si="28"/>
        <v>#DIV/0!</v>
      </c>
      <c r="AF22" s="66" t="e">
        <f t="shared" si="28"/>
        <v>#DIV/0!</v>
      </c>
      <c r="AG22" s="66" t="e">
        <f t="shared" si="28"/>
        <v>#DIV/0!</v>
      </c>
      <c r="AH22" s="66" t="e">
        <f t="shared" si="28"/>
        <v>#DIV/0!</v>
      </c>
      <c r="AI22" s="66" t="e">
        <f t="shared" si="28"/>
        <v>#DIV/0!</v>
      </c>
      <c r="AJ22" s="66" t="e">
        <f t="shared" si="28"/>
        <v>#DIV/0!</v>
      </c>
      <c r="AK22" s="66" t="e">
        <f t="shared" si="28"/>
        <v>#DIV/0!</v>
      </c>
      <c r="AL22" s="66" t="e">
        <f t="shared" si="28"/>
        <v>#DIV/0!</v>
      </c>
      <c r="AM22" s="66" t="e">
        <f t="shared" si="28"/>
        <v>#DIV/0!</v>
      </c>
      <c r="AN22" s="66" t="e">
        <f t="shared" si="28"/>
        <v>#DIV/0!</v>
      </c>
      <c r="AO22" s="66" t="e">
        <f t="shared" si="28"/>
        <v>#DIV/0!</v>
      </c>
      <c r="AP22" s="66" t="e">
        <f t="shared" si="28"/>
        <v>#DIV/0!</v>
      </c>
      <c r="AQ22" s="66" t="e">
        <f t="shared" si="28"/>
        <v>#DIV/0!</v>
      </c>
      <c r="AR22" s="66" t="e">
        <f t="shared" si="28"/>
        <v>#DIV/0!</v>
      </c>
      <c r="AS22" s="66" t="e">
        <f t="shared" si="28"/>
        <v>#DIV/0!</v>
      </c>
      <c r="AT22" s="66" t="e">
        <f t="shared" si="28"/>
        <v>#DIV/0!</v>
      </c>
      <c r="AU22" s="66" t="e">
        <f t="shared" si="28"/>
        <v>#DIV/0!</v>
      </c>
      <c r="AV22" s="66" t="e">
        <f t="shared" si="28"/>
        <v>#DIV/0!</v>
      </c>
      <c r="AW22" s="66" t="e">
        <f t="shared" si="28"/>
        <v>#DIV/0!</v>
      </c>
      <c r="AX22" s="66" t="e">
        <f t="shared" si="28"/>
        <v>#DIV/0!</v>
      </c>
      <c r="AY22" s="66" t="e">
        <f t="shared" si="28"/>
        <v>#DIV/0!</v>
      </c>
      <c r="AZ22" s="66" t="e">
        <f t="shared" si="28"/>
        <v>#DIV/0!</v>
      </c>
      <c r="BA22" s="66" t="e">
        <f t="shared" si="28"/>
        <v>#DIV/0!</v>
      </c>
      <c r="BB22" s="66" t="e">
        <f t="shared" si="28"/>
        <v>#DIV/0!</v>
      </c>
      <c r="BC22" s="66" t="e">
        <f t="shared" si="28"/>
        <v>#DIV/0!</v>
      </c>
      <c r="BD22" s="66" t="e">
        <f t="shared" si="28"/>
        <v>#DIV/0!</v>
      </c>
      <c r="BE22" s="66" t="e">
        <f t="shared" si="28"/>
        <v>#DIV/0!</v>
      </c>
      <c r="BF22" s="66" t="e">
        <f t="shared" si="28"/>
        <v>#DIV/0!</v>
      </c>
      <c r="BG22" s="66" t="e">
        <f t="shared" si="28"/>
        <v>#DIV/0!</v>
      </c>
      <c r="BH22" s="66" t="e">
        <f t="shared" si="28"/>
        <v>#DIV/0!</v>
      </c>
      <c r="BI22" s="66" t="e">
        <f t="shared" si="28"/>
        <v>#DIV/0!</v>
      </c>
      <c r="BJ22" s="66" t="e">
        <f t="shared" si="28"/>
        <v>#DIV/0!</v>
      </c>
      <c r="BK22" s="66" t="e">
        <f t="shared" si="28"/>
        <v>#DIV/0!</v>
      </c>
      <c r="BL22" s="66" t="e">
        <f t="shared" si="28"/>
        <v>#DIV/0!</v>
      </c>
      <c r="BM22" s="66" t="e">
        <f t="shared" si="28"/>
        <v>#DIV/0!</v>
      </c>
      <c r="BN22" s="66" t="e">
        <f t="shared" si="28"/>
        <v>#DIV/0!</v>
      </c>
      <c r="BO22" s="66" t="e">
        <f t="shared" si="28"/>
        <v>#DIV/0!</v>
      </c>
      <c r="BP22" s="66" t="e">
        <f t="shared" si="28"/>
        <v>#DIV/0!</v>
      </c>
      <c r="BQ22" s="66" t="e">
        <f t="shared" si="28"/>
        <v>#DIV/0!</v>
      </c>
      <c r="BR22" s="66" t="e">
        <f t="shared" ref="BR22:CJ22" si="29">BR11+BR13+BR15+BR17+BR19+BR21</f>
        <v>#DIV/0!</v>
      </c>
      <c r="BS22" s="66" t="e">
        <f t="shared" si="29"/>
        <v>#DIV/0!</v>
      </c>
      <c r="BT22" s="66" t="e">
        <f t="shared" si="29"/>
        <v>#DIV/0!</v>
      </c>
      <c r="BU22" s="66" t="e">
        <f t="shared" si="29"/>
        <v>#DIV/0!</v>
      </c>
      <c r="BV22" s="66" t="e">
        <f t="shared" si="29"/>
        <v>#DIV/0!</v>
      </c>
      <c r="BW22" s="66" t="e">
        <f t="shared" si="29"/>
        <v>#DIV/0!</v>
      </c>
      <c r="BX22" s="66" t="e">
        <f t="shared" si="29"/>
        <v>#DIV/0!</v>
      </c>
      <c r="BY22" s="66" t="e">
        <f t="shared" si="29"/>
        <v>#DIV/0!</v>
      </c>
      <c r="BZ22" s="66" t="e">
        <f t="shared" si="29"/>
        <v>#DIV/0!</v>
      </c>
      <c r="CA22" s="66" t="e">
        <f t="shared" si="29"/>
        <v>#DIV/0!</v>
      </c>
      <c r="CB22" s="66" t="e">
        <f t="shared" si="29"/>
        <v>#DIV/0!</v>
      </c>
      <c r="CC22" s="66" t="e">
        <f t="shared" si="29"/>
        <v>#DIV/0!</v>
      </c>
      <c r="CD22" s="66" t="e">
        <f t="shared" si="29"/>
        <v>#DIV/0!</v>
      </c>
      <c r="CE22" s="66" t="e">
        <f t="shared" si="29"/>
        <v>#DIV/0!</v>
      </c>
      <c r="CF22" s="66" t="e">
        <f t="shared" si="29"/>
        <v>#DIV/0!</v>
      </c>
      <c r="CG22" s="66" t="e">
        <f t="shared" si="29"/>
        <v>#DIV/0!</v>
      </c>
      <c r="CH22" s="66" t="e">
        <f t="shared" si="29"/>
        <v>#DIV/0!</v>
      </c>
      <c r="CI22" s="66" t="e">
        <f t="shared" si="29"/>
        <v>#DIV/0!</v>
      </c>
      <c r="CJ22" s="66" t="e">
        <f t="shared" si="29"/>
        <v>#DIV/0!</v>
      </c>
    </row>
    <row r="23" spans="1:89" s="27" customFormat="1" x14ac:dyDescent="0.25">
      <c r="A23" s="127" t="s">
        <v>370</v>
      </c>
      <c r="E23" s="27">
        <f>股权价值增加表!E17</f>
        <v>131862245.31655653</v>
      </c>
      <c r="F23" s="27">
        <f>股权价值增加表!F17</f>
        <v>99155553.065059483</v>
      </c>
      <c r="G23" s="27">
        <f>股权价值增加表!G17</f>
        <v>54064735.591907874</v>
      </c>
      <c r="H23" s="27">
        <f>股权价值增加表!H17</f>
        <v>16486232.646324649</v>
      </c>
      <c r="I23" s="27">
        <f>股权价值增加表!I17</f>
        <v>130251681.47252651</v>
      </c>
      <c r="J23" s="27">
        <f>股权价值增加表!J17</f>
        <v>96104716.657987207</v>
      </c>
      <c r="K23" s="27">
        <f>股权价值增加表!K17</f>
        <v>49896706.918183491</v>
      </c>
      <c r="L23" s="27">
        <f>股权价值增加表!L17</f>
        <v>9641952.0730275512</v>
      </c>
      <c r="M23" s="27">
        <f>股权价值增加表!M17</f>
        <v>117478001.56777264</v>
      </c>
      <c r="N23" s="27">
        <f>股权价值增加表!N17</f>
        <v>82319387.510931507</v>
      </c>
      <c r="O23" s="27">
        <f>股权价值增加表!O17</f>
        <v>103006179.04089503</v>
      </c>
      <c r="P23" s="27">
        <f>股权价值增加表!P17</f>
        <v>93171734.136197031</v>
      </c>
      <c r="Q23" s="27">
        <f>股权价值增加表!Q17</f>
        <v>78570681.575730503</v>
      </c>
      <c r="R23" s="27">
        <f>股权价值增加表!R17</f>
        <v>69095138.258024842</v>
      </c>
      <c r="S23" s="27" t="e">
        <f>股权价值增加表!S17</f>
        <v>#DIV/0!</v>
      </c>
      <c r="T23" s="27">
        <f>股权价值增加表!T17</f>
        <v>0</v>
      </c>
      <c r="U23" s="27">
        <f>股权价值增加表!U17</f>
        <v>-14654163.3124847</v>
      </c>
      <c r="V23" s="27">
        <f>股权价值增加表!V17</f>
        <v>0</v>
      </c>
      <c r="W23" s="27">
        <f>股权价值增加表!W17</f>
        <v>0</v>
      </c>
      <c r="X23" s="27">
        <f>股权价值增加表!X17</f>
        <v>0</v>
      </c>
      <c r="Y23" s="27">
        <f>股权价值增加表!Y17</f>
        <v>-38862740.031897604</v>
      </c>
      <c r="Z23" s="27">
        <f>股权价值增加表!Z17</f>
        <v>0</v>
      </c>
      <c r="AA23" s="27">
        <f>股权价值增加表!AA17</f>
        <v>0</v>
      </c>
      <c r="AB23" s="27">
        <f>股权价值增加表!AB17</f>
        <v>0</v>
      </c>
      <c r="AC23" s="27">
        <f>股权价值增加表!AC17</f>
        <v>-27571135.956625599</v>
      </c>
      <c r="AD23" s="27">
        <f>股权价值增加表!AD17</f>
        <v>0</v>
      </c>
      <c r="AE23" s="27">
        <f>股权价值增加表!AE17</f>
        <v>0</v>
      </c>
      <c r="AF23" s="27">
        <f>股权价值增加表!AF17</f>
        <v>0</v>
      </c>
      <c r="AG23" s="27">
        <f>股权价值增加表!AG17</f>
        <v>-19579667.924137052</v>
      </c>
      <c r="AH23" s="27">
        <f>股权价值增加表!AH17</f>
        <v>0</v>
      </c>
      <c r="AI23" s="27">
        <f>股权价值增加表!AI17</f>
        <v>0</v>
      </c>
      <c r="AJ23" s="27">
        <f>股权价值增加表!AJ17</f>
        <v>0</v>
      </c>
      <c r="AK23" s="27">
        <f>股权价值增加表!AK17</f>
        <v>0</v>
      </c>
      <c r="AL23" s="27">
        <f>股权价值增加表!AL17</f>
        <v>0</v>
      </c>
      <c r="AM23" s="27">
        <f>股权价值增加表!AM17</f>
        <v>0</v>
      </c>
      <c r="AN23" s="27">
        <f>股权价值增加表!AN17</f>
        <v>0</v>
      </c>
      <c r="AO23" s="27">
        <f>股权价值增加表!AO17</f>
        <v>0</v>
      </c>
      <c r="AP23" s="27">
        <f>股权价值增加表!AP17</f>
        <v>0</v>
      </c>
      <c r="AQ23" s="27">
        <f>股权价值增加表!AQ17</f>
        <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0.17525343041100466</v>
      </c>
      <c r="F24" s="57">
        <f t="shared" ref="F24:BQ24" si="30">F23/F2</f>
        <v>0.18859006447882054</v>
      </c>
      <c r="G24" s="57">
        <f t="shared" si="30"/>
        <v>0.15912122018235611</v>
      </c>
      <c r="H24" s="57">
        <f t="shared" si="30"/>
        <v>0.10726186590807094</v>
      </c>
      <c r="I24" s="57">
        <f t="shared" si="30"/>
        <v>0.19586382616854753</v>
      </c>
      <c r="J24" s="57">
        <f t="shared" si="30"/>
        <v>0.21168070459101931</v>
      </c>
      <c r="K24" s="57">
        <f t="shared" si="30"/>
        <v>0.17615327688498408</v>
      </c>
      <c r="L24" s="57">
        <f t="shared" si="30"/>
        <v>7.7568330473247057E-2</v>
      </c>
      <c r="M24" s="57">
        <f t="shared" si="30"/>
        <v>0.19676808984178054</v>
      </c>
      <c r="N24" s="57">
        <f t="shared" si="30"/>
        <v>0.2010362567661749</v>
      </c>
      <c r="O24" s="57">
        <f t="shared" si="30"/>
        <v>0.19478875442815524</v>
      </c>
      <c r="P24" s="57">
        <f t="shared" si="30"/>
        <v>0.19214313898353419</v>
      </c>
      <c r="Q24" s="57">
        <f t="shared" si="30"/>
        <v>0.1986145470454749</v>
      </c>
      <c r="R24" s="57">
        <f t="shared" si="30"/>
        <v>0.21804035417062992</v>
      </c>
      <c r="S24" s="57" t="e">
        <f t="shared" si="30"/>
        <v>#DIV/0!</v>
      </c>
      <c r="T24" s="57" t="e">
        <f t="shared" si="30"/>
        <v>#DIV/0!</v>
      </c>
      <c r="U24" s="57" t="e">
        <f t="shared" si="30"/>
        <v>#DIV/0!</v>
      </c>
      <c r="V24" s="57" t="e">
        <f t="shared" si="30"/>
        <v>#DIV/0!</v>
      </c>
      <c r="W24" s="57" t="e">
        <f t="shared" si="30"/>
        <v>#DIV/0!</v>
      </c>
      <c r="X24" s="57" t="e">
        <f t="shared" si="30"/>
        <v>#DIV/0!</v>
      </c>
      <c r="Y24" s="57" t="e">
        <f t="shared" si="30"/>
        <v>#DIV/0!</v>
      </c>
      <c r="Z24" s="57" t="e">
        <f t="shared" si="30"/>
        <v>#DIV/0!</v>
      </c>
      <c r="AA24" s="57" t="e">
        <f t="shared" si="30"/>
        <v>#DIV/0!</v>
      </c>
      <c r="AB24" s="57" t="e">
        <f t="shared" si="30"/>
        <v>#DIV/0!</v>
      </c>
      <c r="AC24" s="57" t="e">
        <f t="shared" si="30"/>
        <v>#DIV/0!</v>
      </c>
      <c r="AD24" s="57" t="e">
        <f t="shared" si="30"/>
        <v>#DIV/0!</v>
      </c>
      <c r="AE24" s="57" t="e">
        <f t="shared" si="30"/>
        <v>#DIV/0!</v>
      </c>
      <c r="AF24" s="57" t="e">
        <f t="shared" si="30"/>
        <v>#DIV/0!</v>
      </c>
      <c r="AG24" s="57" t="e">
        <f t="shared" si="30"/>
        <v>#DIV/0!</v>
      </c>
      <c r="AH24" s="57" t="e">
        <f t="shared" si="30"/>
        <v>#DIV/0!</v>
      </c>
      <c r="AI24" s="57" t="e">
        <f t="shared" si="30"/>
        <v>#DIV/0!</v>
      </c>
      <c r="AJ24" s="57" t="e">
        <f t="shared" si="30"/>
        <v>#DIV/0!</v>
      </c>
      <c r="AK24" s="57" t="e">
        <f t="shared" si="30"/>
        <v>#DIV/0!</v>
      </c>
      <c r="AL24" s="57" t="e">
        <f t="shared" si="30"/>
        <v>#DIV/0!</v>
      </c>
      <c r="AM24" s="57" t="e">
        <f t="shared" si="30"/>
        <v>#DIV/0!</v>
      </c>
      <c r="AN24" s="57" t="e">
        <f t="shared" si="30"/>
        <v>#DIV/0!</v>
      </c>
      <c r="AO24" s="57" t="e">
        <f t="shared" si="30"/>
        <v>#DIV/0!</v>
      </c>
      <c r="AP24" s="57" t="e">
        <f t="shared" si="30"/>
        <v>#DIV/0!</v>
      </c>
      <c r="AQ24" s="57" t="e">
        <f t="shared" si="30"/>
        <v>#DIV/0!</v>
      </c>
      <c r="AR24" s="57" t="e">
        <f t="shared" si="30"/>
        <v>#DIV/0!</v>
      </c>
      <c r="AS24" s="57" t="e">
        <f t="shared" si="30"/>
        <v>#DIV/0!</v>
      </c>
      <c r="AT24" s="57" t="e">
        <f t="shared" si="30"/>
        <v>#DIV/0!</v>
      </c>
      <c r="AU24" s="57" t="e">
        <f t="shared" si="30"/>
        <v>#DIV/0!</v>
      </c>
      <c r="AV24" s="57" t="e">
        <f t="shared" si="30"/>
        <v>#DIV/0!</v>
      </c>
      <c r="AW24" s="57" t="e">
        <f t="shared" si="30"/>
        <v>#DIV/0!</v>
      </c>
      <c r="AX24" s="57" t="e">
        <f t="shared" si="30"/>
        <v>#DIV/0!</v>
      </c>
      <c r="AY24" s="57" t="e">
        <f t="shared" si="30"/>
        <v>#DIV/0!</v>
      </c>
      <c r="AZ24" s="57" t="e">
        <f t="shared" si="30"/>
        <v>#DIV/0!</v>
      </c>
      <c r="BA24" s="57" t="e">
        <f t="shared" si="30"/>
        <v>#DIV/0!</v>
      </c>
      <c r="BB24" s="57" t="e">
        <f t="shared" si="30"/>
        <v>#DIV/0!</v>
      </c>
      <c r="BC24" s="57" t="e">
        <f t="shared" si="30"/>
        <v>#DIV/0!</v>
      </c>
      <c r="BD24" s="57" t="e">
        <f t="shared" si="30"/>
        <v>#DIV/0!</v>
      </c>
      <c r="BE24" s="57" t="e">
        <f t="shared" si="30"/>
        <v>#DIV/0!</v>
      </c>
      <c r="BF24" s="57" t="e">
        <f t="shared" si="30"/>
        <v>#DIV/0!</v>
      </c>
      <c r="BG24" s="57" t="e">
        <f t="shared" si="30"/>
        <v>#DIV/0!</v>
      </c>
      <c r="BH24" s="57" t="e">
        <f t="shared" si="30"/>
        <v>#DIV/0!</v>
      </c>
      <c r="BI24" s="57" t="e">
        <f t="shared" si="30"/>
        <v>#DIV/0!</v>
      </c>
      <c r="BJ24" s="57" t="e">
        <f t="shared" si="30"/>
        <v>#DIV/0!</v>
      </c>
      <c r="BK24" s="57" t="e">
        <f t="shared" si="30"/>
        <v>#DIV/0!</v>
      </c>
      <c r="BL24" s="57" t="e">
        <f t="shared" si="30"/>
        <v>#DIV/0!</v>
      </c>
      <c r="BM24" s="57" t="e">
        <f t="shared" si="30"/>
        <v>#DIV/0!</v>
      </c>
      <c r="BN24" s="57" t="e">
        <f t="shared" si="30"/>
        <v>#DIV/0!</v>
      </c>
      <c r="BO24" s="57" t="e">
        <f t="shared" si="30"/>
        <v>#DIV/0!</v>
      </c>
      <c r="BP24" s="57" t="e">
        <f t="shared" si="30"/>
        <v>#DIV/0!</v>
      </c>
      <c r="BQ24" s="57" t="e">
        <f t="shared" si="30"/>
        <v>#DIV/0!</v>
      </c>
      <c r="BR24" s="57" t="e">
        <f t="shared" ref="BR24:CJ24" si="31">BR23/BR2</f>
        <v>#DIV/0!</v>
      </c>
      <c r="BS24" s="57" t="e">
        <f t="shared" si="31"/>
        <v>#DIV/0!</v>
      </c>
      <c r="BT24" s="57" t="e">
        <f t="shared" si="31"/>
        <v>#DIV/0!</v>
      </c>
      <c r="BU24" s="57" t="e">
        <f t="shared" si="31"/>
        <v>#DIV/0!</v>
      </c>
      <c r="BV24" s="57" t="e">
        <f t="shared" si="31"/>
        <v>#DIV/0!</v>
      </c>
      <c r="BW24" s="57" t="e">
        <f t="shared" si="31"/>
        <v>#DIV/0!</v>
      </c>
      <c r="BX24" s="57" t="e">
        <f t="shared" si="31"/>
        <v>#DIV/0!</v>
      </c>
      <c r="BY24" s="57" t="e">
        <f t="shared" si="31"/>
        <v>#DIV/0!</v>
      </c>
      <c r="BZ24" s="57" t="e">
        <f t="shared" si="31"/>
        <v>#DIV/0!</v>
      </c>
      <c r="CA24" s="57" t="e">
        <f t="shared" si="31"/>
        <v>#DIV/0!</v>
      </c>
      <c r="CB24" s="57" t="e">
        <f t="shared" si="31"/>
        <v>#DIV/0!</v>
      </c>
      <c r="CC24" s="57" t="e">
        <f t="shared" si="31"/>
        <v>#DIV/0!</v>
      </c>
      <c r="CD24" s="57" t="e">
        <f t="shared" si="31"/>
        <v>#DIV/0!</v>
      </c>
      <c r="CE24" s="57" t="e">
        <f t="shared" si="31"/>
        <v>#DIV/0!</v>
      </c>
      <c r="CF24" s="57" t="e">
        <f t="shared" si="31"/>
        <v>#DIV/0!</v>
      </c>
      <c r="CG24" s="57" t="e">
        <f t="shared" si="31"/>
        <v>#DIV/0!</v>
      </c>
      <c r="CH24" s="57" t="e">
        <f t="shared" si="31"/>
        <v>#DIV/0!</v>
      </c>
      <c r="CI24" s="57" t="e">
        <f t="shared" si="31"/>
        <v>#DIV/0!</v>
      </c>
      <c r="CJ24" s="57" t="e">
        <f t="shared" si="31"/>
        <v>#DIV/0!</v>
      </c>
    </row>
    <row r="25" spans="1:89" s="16" customFormat="1" ht="369.6" customHeight="1" thickBot="1" x14ac:dyDescent="0.3">
      <c r="A25" s="282" t="s">
        <v>669</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49" t="s">
        <v>599</v>
      </c>
      <c r="B26" s="150"/>
      <c r="C26" s="150"/>
      <c r="D26" s="150"/>
      <c r="E26" s="151" t="e">
        <f>POWER(E2/Y2,1/6)-1</f>
        <v>#DIV/0!</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42004</v>
      </c>
      <c r="P27" s="1">
        <v>41639</v>
      </c>
      <c r="Q27" s="1">
        <v>41274</v>
      </c>
      <c r="R27" s="1">
        <v>40908</v>
      </c>
      <c r="S27" s="1">
        <v>25569</v>
      </c>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155851417.39000002</v>
      </c>
      <c r="F28" s="26">
        <f>股权价值增加表!F15</f>
        <v>118379160.12000005</v>
      </c>
      <c r="G28" s="26">
        <f>股权价值增加表!G15</f>
        <v>65713816.170000009</v>
      </c>
      <c r="H28" s="26">
        <f>股权价值增加表!H15</f>
        <v>20594767.00999999</v>
      </c>
      <c r="I28" s="26">
        <f>股权价值增加表!I15</f>
        <v>152781769.70999995</v>
      </c>
      <c r="J28" s="26">
        <f>股权价值增加表!J15</f>
        <v>114140798.95000003</v>
      </c>
      <c r="K28" s="26">
        <f>股权价值增加表!K15</f>
        <v>59494011.039999992</v>
      </c>
      <c r="L28" s="26">
        <f>股权价值增加表!L15</f>
        <v>11857340.220000006</v>
      </c>
      <c r="M28" s="26">
        <f>股权价值增加表!M15</f>
        <v>138852954.72999999</v>
      </c>
      <c r="N28" s="26">
        <f>股权价值增加表!N15</f>
        <v>98626845.369999975</v>
      </c>
      <c r="O28" s="26">
        <f>股权价值增加表!O15</f>
        <v>121681477.87000003</v>
      </c>
      <c r="P28" s="26">
        <f>股权价值增加表!P15</f>
        <v>111732572.96000004</v>
      </c>
      <c r="Q28" s="26">
        <f>股权价值增加表!Q15</f>
        <v>96611045.13000001</v>
      </c>
      <c r="R28" s="26">
        <f>股权价值增加表!R15</f>
        <v>83600165.599999994</v>
      </c>
      <c r="S28" s="26">
        <f>股权价值增加表!S15</f>
        <v>0</v>
      </c>
      <c r="T28" s="26">
        <f>股权价值增加表!T15</f>
        <v>0</v>
      </c>
      <c r="U28" s="26">
        <f>股权价值增加表!U15</f>
        <v>5869478</v>
      </c>
      <c r="V28" s="26">
        <f>股权价值增加表!V15</f>
        <v>0</v>
      </c>
      <c r="W28" s="26">
        <f>股权价值增加表!W15</f>
        <v>0</v>
      </c>
      <c r="X28" s="26">
        <f>股权价值增加表!X15</f>
        <v>0</v>
      </c>
      <c r="Y28" s="26">
        <f>股权价值增加表!Y15</f>
        <v>12046824.75</v>
      </c>
      <c r="Z28" s="26">
        <f>股权价值增加表!Z15</f>
        <v>0</v>
      </c>
      <c r="AA28" s="26">
        <f>股权价值增加表!AA15</f>
        <v>0</v>
      </c>
      <c r="AB28" s="26">
        <f>股权价值增加表!AB15</f>
        <v>0</v>
      </c>
      <c r="AC28" s="26">
        <f>股权价值增加表!AC15</f>
        <v>8254042.6900000004</v>
      </c>
      <c r="AD28" s="26">
        <f>股权价值增加表!AD15</f>
        <v>0</v>
      </c>
      <c r="AE28" s="26">
        <f>股权价值增加表!AE15</f>
        <v>0</v>
      </c>
      <c r="AF28" s="26">
        <f>股权价值增加表!AF15</f>
        <v>0</v>
      </c>
      <c r="AG28" s="26">
        <f>股权价值增加表!AG15</f>
        <v>2922096.12</v>
      </c>
      <c r="AH28" s="26">
        <f>股权价值增加表!AH15</f>
        <v>0</v>
      </c>
      <c r="AI28" s="26">
        <f>股权价值增加表!AI15</f>
        <v>0</v>
      </c>
      <c r="AJ28" s="26">
        <f>股权价值增加表!AJ15</f>
        <v>0</v>
      </c>
      <c r="AK28" s="26">
        <f>股权价值增加表!AK15</f>
        <v>0</v>
      </c>
      <c r="AL28" s="26">
        <f>股权价值增加表!AL15</f>
        <v>0</v>
      </c>
      <c r="AM28" s="26">
        <f>股权价值增加表!AM15</f>
        <v>0</v>
      </c>
      <c r="AN28" s="26">
        <f>股权价值增加表!AN15</f>
        <v>0</v>
      </c>
      <c r="AO28" s="26">
        <f>股权价值增加表!AO15</f>
        <v>0</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32">E28/E34</f>
        <v>0.9374290843527584</v>
      </c>
      <c r="F29" s="59">
        <f t="shared" si="32"/>
        <v>0.95487079567244471</v>
      </c>
      <c r="G29" s="59">
        <f t="shared" si="32"/>
        <v>0.95840610819528949</v>
      </c>
      <c r="H29" s="59">
        <f t="shared" si="32"/>
        <v>0.96454007100980776</v>
      </c>
      <c r="I29" s="59">
        <f t="shared" si="32"/>
        <v>0.98910536861229748</v>
      </c>
      <c r="J29" s="59">
        <f t="shared" si="32"/>
        <v>0.99916201260743298</v>
      </c>
      <c r="K29" s="59">
        <f t="shared" si="32"/>
        <v>0.99899637153029253</v>
      </c>
      <c r="L29" s="59">
        <f t="shared" si="32"/>
        <v>1</v>
      </c>
      <c r="M29" s="59">
        <f t="shared" si="32"/>
        <v>0.99530077666609307</v>
      </c>
      <c r="N29" s="59">
        <f t="shared" si="32"/>
        <v>0.99891363224577601</v>
      </c>
      <c r="O29" s="59">
        <f t="shared" si="32"/>
        <v>1</v>
      </c>
      <c r="P29" s="59">
        <f t="shared" si="32"/>
        <v>1</v>
      </c>
      <c r="Q29" s="59">
        <f t="shared" si="32"/>
        <v>1</v>
      </c>
      <c r="R29" s="59">
        <f t="shared" si="32"/>
        <v>1</v>
      </c>
      <c r="S29" s="59" t="e">
        <f t="shared" si="32"/>
        <v>#DIV/0!</v>
      </c>
      <c r="T29" s="59" t="e">
        <f t="shared" si="32"/>
        <v>#DIV/0!</v>
      </c>
      <c r="U29" s="59">
        <f t="shared" si="32"/>
        <v>7.0645929211098782E-3</v>
      </c>
      <c r="V29" s="59">
        <f t="shared" si="32"/>
        <v>0</v>
      </c>
      <c r="W29" s="59">
        <f t="shared" si="32"/>
        <v>0</v>
      </c>
      <c r="X29" s="59" t="e">
        <f t="shared" si="32"/>
        <v>#DIV/0!</v>
      </c>
      <c r="Y29" s="59">
        <f t="shared" si="32"/>
        <v>1.518950113071451E-2</v>
      </c>
      <c r="Z29" s="59">
        <f t="shared" si="32"/>
        <v>0</v>
      </c>
      <c r="AA29" s="59">
        <f t="shared" si="32"/>
        <v>0</v>
      </c>
      <c r="AB29" s="59">
        <f t="shared" si="32"/>
        <v>0</v>
      </c>
      <c r="AC29" s="59">
        <f t="shared" si="32"/>
        <v>1.7294785366163093E-2</v>
      </c>
      <c r="AD29" s="59">
        <f t="shared" si="32"/>
        <v>0</v>
      </c>
      <c r="AE29" s="59">
        <f t="shared" si="32"/>
        <v>0</v>
      </c>
      <c r="AF29" s="59">
        <f t="shared" si="32"/>
        <v>0</v>
      </c>
      <c r="AG29" s="59">
        <f t="shared" si="32"/>
        <v>1.5116665160776638E-2</v>
      </c>
      <c r="AH29" s="59">
        <f t="shared" si="32"/>
        <v>0</v>
      </c>
      <c r="AI29" s="59">
        <f t="shared" si="32"/>
        <v>0</v>
      </c>
      <c r="AJ29" s="59">
        <f t="shared" si="32"/>
        <v>0</v>
      </c>
      <c r="AK29" s="59">
        <f t="shared" ref="AK29:BP29" si="33">AK28/AK34</f>
        <v>0</v>
      </c>
      <c r="AL29" s="59">
        <f t="shared" si="33"/>
        <v>0</v>
      </c>
      <c r="AM29" s="59">
        <f t="shared" si="33"/>
        <v>0</v>
      </c>
      <c r="AN29" s="59" t="e">
        <f t="shared" si="33"/>
        <v>#DIV/0!</v>
      </c>
      <c r="AO29" s="59">
        <f t="shared" si="33"/>
        <v>0</v>
      </c>
      <c r="AP29" s="59">
        <f t="shared" si="33"/>
        <v>0</v>
      </c>
      <c r="AQ29" s="59">
        <f t="shared" si="33"/>
        <v>0</v>
      </c>
      <c r="AR29" s="59" t="e">
        <f t="shared" si="33"/>
        <v>#DIV/0!</v>
      </c>
      <c r="AS29" s="59">
        <f t="shared" si="33"/>
        <v>0</v>
      </c>
      <c r="AT29" s="59">
        <f t="shared" si="33"/>
        <v>0</v>
      </c>
      <c r="AU29" s="59">
        <f t="shared" si="33"/>
        <v>0</v>
      </c>
      <c r="AV29" s="59">
        <f t="shared" si="33"/>
        <v>0</v>
      </c>
      <c r="AW29" s="59">
        <f t="shared" si="33"/>
        <v>0</v>
      </c>
      <c r="AX29" s="59">
        <f t="shared" si="33"/>
        <v>0</v>
      </c>
      <c r="AY29" s="59">
        <f t="shared" si="33"/>
        <v>0</v>
      </c>
      <c r="AZ29" s="59">
        <f t="shared" si="33"/>
        <v>0</v>
      </c>
      <c r="BA29" s="59">
        <f t="shared" si="33"/>
        <v>0</v>
      </c>
      <c r="BB29" s="59">
        <f t="shared" si="33"/>
        <v>0</v>
      </c>
      <c r="BC29" s="59">
        <f t="shared" si="33"/>
        <v>0</v>
      </c>
      <c r="BD29" s="59" t="e">
        <f t="shared" si="33"/>
        <v>#DIV/0!</v>
      </c>
      <c r="BE29" s="59">
        <f t="shared" si="33"/>
        <v>0</v>
      </c>
      <c r="BF29" s="59">
        <f t="shared" si="33"/>
        <v>0</v>
      </c>
      <c r="BG29" s="59">
        <f t="shared" si="33"/>
        <v>0</v>
      </c>
      <c r="BH29" s="59">
        <f t="shared" si="33"/>
        <v>0</v>
      </c>
      <c r="BI29" s="59">
        <f t="shared" si="33"/>
        <v>0</v>
      </c>
      <c r="BJ29" s="59">
        <f t="shared" si="33"/>
        <v>0</v>
      </c>
      <c r="BK29" s="59">
        <f t="shared" si="33"/>
        <v>0</v>
      </c>
      <c r="BL29" s="59">
        <f t="shared" si="33"/>
        <v>0</v>
      </c>
      <c r="BM29" s="59">
        <f t="shared" si="33"/>
        <v>0</v>
      </c>
      <c r="BN29" s="59">
        <f t="shared" si="33"/>
        <v>0</v>
      </c>
      <c r="BO29" s="59">
        <f t="shared" si="33"/>
        <v>0</v>
      </c>
      <c r="BP29" s="59">
        <f t="shared" si="33"/>
        <v>0</v>
      </c>
      <c r="BQ29" s="59">
        <f t="shared" ref="BQ29:CK29" si="34">BQ28/BQ34</f>
        <v>0</v>
      </c>
      <c r="BR29" s="59">
        <f t="shared" si="34"/>
        <v>0</v>
      </c>
      <c r="BS29" s="59">
        <f t="shared" si="34"/>
        <v>0</v>
      </c>
      <c r="BT29" s="59">
        <f t="shared" si="34"/>
        <v>0</v>
      </c>
      <c r="BU29" s="59">
        <f t="shared" si="34"/>
        <v>0</v>
      </c>
      <c r="BV29" s="59" t="e">
        <f t="shared" si="34"/>
        <v>#DIV/0!</v>
      </c>
      <c r="BW29" s="59" t="e">
        <f t="shared" si="34"/>
        <v>#DIV/0!</v>
      </c>
      <c r="BX29" s="59" t="e">
        <f t="shared" si="34"/>
        <v>#DIV/0!</v>
      </c>
      <c r="BY29" s="59" t="e">
        <f t="shared" si="34"/>
        <v>#DIV/0!</v>
      </c>
      <c r="BZ29" s="59" t="e">
        <f t="shared" si="34"/>
        <v>#DIV/0!</v>
      </c>
      <c r="CA29" s="59" t="e">
        <f t="shared" si="34"/>
        <v>#DIV/0!</v>
      </c>
      <c r="CB29" s="59" t="e">
        <f t="shared" si="34"/>
        <v>#DIV/0!</v>
      </c>
      <c r="CC29" s="59" t="e">
        <f t="shared" si="34"/>
        <v>#DIV/0!</v>
      </c>
      <c r="CD29" s="59" t="e">
        <f t="shared" si="34"/>
        <v>#DIV/0!</v>
      </c>
      <c r="CE29" s="59">
        <f t="shared" si="34"/>
        <v>0</v>
      </c>
      <c r="CF29" s="59">
        <f t="shared" si="34"/>
        <v>0</v>
      </c>
      <c r="CG29" s="59" t="e">
        <f t="shared" si="34"/>
        <v>#DIV/0!</v>
      </c>
      <c r="CH29" s="59" t="e">
        <f t="shared" si="34"/>
        <v>#DIV/0!</v>
      </c>
      <c r="CI29" s="59" t="e">
        <f t="shared" si="34"/>
        <v>#DIV/0!</v>
      </c>
      <c r="CJ29" s="59" t="e">
        <f t="shared" si="34"/>
        <v>#DIV/0!</v>
      </c>
      <c r="CK29" s="59" t="e">
        <f t="shared" si="34"/>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0</v>
      </c>
      <c r="F31" s="59">
        <f t="shared" ref="F31:BQ31" si="35">F30/F34</f>
        <v>0</v>
      </c>
      <c r="G31" s="59">
        <f t="shared" si="35"/>
        <v>0</v>
      </c>
      <c r="H31" s="59">
        <f t="shared" si="35"/>
        <v>0</v>
      </c>
      <c r="I31" s="59">
        <f t="shared" si="35"/>
        <v>0</v>
      </c>
      <c r="J31" s="59">
        <f t="shared" si="35"/>
        <v>0</v>
      </c>
      <c r="K31" s="59">
        <f t="shared" si="35"/>
        <v>0</v>
      </c>
      <c r="L31" s="59">
        <f t="shared" si="35"/>
        <v>0</v>
      </c>
      <c r="M31" s="59">
        <f t="shared" si="35"/>
        <v>0</v>
      </c>
      <c r="N31" s="59">
        <f t="shared" si="35"/>
        <v>0</v>
      </c>
      <c r="O31" s="59">
        <f t="shared" si="35"/>
        <v>0</v>
      </c>
      <c r="P31" s="59">
        <f t="shared" si="35"/>
        <v>0</v>
      </c>
      <c r="Q31" s="59">
        <f t="shared" si="35"/>
        <v>0</v>
      </c>
      <c r="R31" s="59">
        <f t="shared" si="35"/>
        <v>0</v>
      </c>
      <c r="S31" s="59" t="e">
        <f t="shared" si="35"/>
        <v>#DIV/0!</v>
      </c>
      <c r="T31" s="59" t="e">
        <f t="shared" si="35"/>
        <v>#DIV/0!</v>
      </c>
      <c r="U31" s="59">
        <f t="shared" si="35"/>
        <v>0</v>
      </c>
      <c r="V31" s="59">
        <f t="shared" si="35"/>
        <v>0</v>
      </c>
      <c r="W31" s="59">
        <f t="shared" si="35"/>
        <v>0</v>
      </c>
      <c r="X31" s="59" t="e">
        <f t="shared" si="35"/>
        <v>#DIV/0!</v>
      </c>
      <c r="Y31" s="59">
        <f t="shared" si="35"/>
        <v>0</v>
      </c>
      <c r="Z31" s="59">
        <f t="shared" si="35"/>
        <v>0</v>
      </c>
      <c r="AA31" s="59">
        <f t="shared" si="35"/>
        <v>0</v>
      </c>
      <c r="AB31" s="59">
        <f t="shared" si="35"/>
        <v>0</v>
      </c>
      <c r="AC31" s="59">
        <f t="shared" si="35"/>
        <v>0</v>
      </c>
      <c r="AD31" s="59">
        <f t="shared" si="35"/>
        <v>0</v>
      </c>
      <c r="AE31" s="59">
        <f t="shared" si="35"/>
        <v>0</v>
      </c>
      <c r="AF31" s="59">
        <f t="shared" si="35"/>
        <v>0</v>
      </c>
      <c r="AG31" s="59">
        <f t="shared" si="35"/>
        <v>0</v>
      </c>
      <c r="AH31" s="59">
        <f t="shared" si="35"/>
        <v>0</v>
      </c>
      <c r="AI31" s="59">
        <f t="shared" si="35"/>
        <v>0</v>
      </c>
      <c r="AJ31" s="59">
        <f t="shared" si="35"/>
        <v>0</v>
      </c>
      <c r="AK31" s="59">
        <f t="shared" si="35"/>
        <v>0</v>
      </c>
      <c r="AL31" s="59">
        <f t="shared" si="35"/>
        <v>0</v>
      </c>
      <c r="AM31" s="59">
        <f t="shared" si="35"/>
        <v>0</v>
      </c>
      <c r="AN31" s="59" t="e">
        <f t="shared" si="35"/>
        <v>#DIV/0!</v>
      </c>
      <c r="AO31" s="59">
        <f t="shared" si="35"/>
        <v>0</v>
      </c>
      <c r="AP31" s="59">
        <f t="shared" si="35"/>
        <v>0</v>
      </c>
      <c r="AQ31" s="59">
        <f t="shared" si="35"/>
        <v>0</v>
      </c>
      <c r="AR31" s="59" t="e">
        <f t="shared" si="35"/>
        <v>#DIV/0!</v>
      </c>
      <c r="AS31" s="59">
        <f t="shared" si="35"/>
        <v>0</v>
      </c>
      <c r="AT31" s="59">
        <f t="shared" si="35"/>
        <v>0</v>
      </c>
      <c r="AU31" s="59">
        <f t="shared" si="35"/>
        <v>0</v>
      </c>
      <c r="AV31" s="59">
        <f t="shared" si="35"/>
        <v>0</v>
      </c>
      <c r="AW31" s="59">
        <f t="shared" si="35"/>
        <v>0</v>
      </c>
      <c r="AX31" s="59">
        <f t="shared" si="35"/>
        <v>0</v>
      </c>
      <c r="AY31" s="59">
        <f t="shared" si="35"/>
        <v>0</v>
      </c>
      <c r="AZ31" s="59">
        <f t="shared" si="35"/>
        <v>0</v>
      </c>
      <c r="BA31" s="59">
        <f t="shared" si="35"/>
        <v>0</v>
      </c>
      <c r="BB31" s="59">
        <f t="shared" si="35"/>
        <v>0</v>
      </c>
      <c r="BC31" s="59">
        <f t="shared" si="35"/>
        <v>0</v>
      </c>
      <c r="BD31" s="59" t="e">
        <f t="shared" si="35"/>
        <v>#DIV/0!</v>
      </c>
      <c r="BE31" s="59">
        <f t="shared" si="35"/>
        <v>0</v>
      </c>
      <c r="BF31" s="59">
        <f t="shared" si="35"/>
        <v>0</v>
      </c>
      <c r="BG31" s="59">
        <f t="shared" si="35"/>
        <v>0</v>
      </c>
      <c r="BH31" s="59">
        <f t="shared" si="35"/>
        <v>0</v>
      </c>
      <c r="BI31" s="59">
        <f t="shared" si="35"/>
        <v>0</v>
      </c>
      <c r="BJ31" s="59">
        <f t="shared" si="35"/>
        <v>0</v>
      </c>
      <c r="BK31" s="59">
        <f t="shared" si="35"/>
        <v>0</v>
      </c>
      <c r="BL31" s="59">
        <f t="shared" si="35"/>
        <v>0</v>
      </c>
      <c r="BM31" s="59">
        <f t="shared" si="35"/>
        <v>0</v>
      </c>
      <c r="BN31" s="59">
        <f t="shared" si="35"/>
        <v>0</v>
      </c>
      <c r="BO31" s="59">
        <f t="shared" si="35"/>
        <v>0</v>
      </c>
      <c r="BP31" s="59">
        <f t="shared" si="35"/>
        <v>0</v>
      </c>
      <c r="BQ31" s="59">
        <f t="shared" si="35"/>
        <v>0</v>
      </c>
      <c r="BR31" s="59">
        <f t="shared" ref="BR31:CK31" si="36">BR30/BR34</f>
        <v>0</v>
      </c>
      <c r="BS31" s="59">
        <f t="shared" si="36"/>
        <v>0</v>
      </c>
      <c r="BT31" s="59">
        <f t="shared" si="36"/>
        <v>0</v>
      </c>
      <c r="BU31" s="59">
        <f t="shared" si="36"/>
        <v>0</v>
      </c>
      <c r="BV31" s="59" t="e">
        <f t="shared" si="36"/>
        <v>#DIV/0!</v>
      </c>
      <c r="BW31" s="59" t="e">
        <f t="shared" si="36"/>
        <v>#DIV/0!</v>
      </c>
      <c r="BX31" s="59" t="e">
        <f t="shared" si="36"/>
        <v>#DIV/0!</v>
      </c>
      <c r="BY31" s="59" t="e">
        <f t="shared" si="36"/>
        <v>#DIV/0!</v>
      </c>
      <c r="BZ31" s="59" t="e">
        <f t="shared" si="36"/>
        <v>#DIV/0!</v>
      </c>
      <c r="CA31" s="59" t="e">
        <f t="shared" si="36"/>
        <v>#DIV/0!</v>
      </c>
      <c r="CB31" s="59" t="e">
        <f t="shared" si="36"/>
        <v>#DIV/0!</v>
      </c>
      <c r="CC31" s="59" t="e">
        <f t="shared" si="36"/>
        <v>#DIV/0!</v>
      </c>
      <c r="CD31" s="59" t="e">
        <f t="shared" si="36"/>
        <v>#DIV/0!</v>
      </c>
      <c r="CE31" s="59">
        <f t="shared" si="36"/>
        <v>0</v>
      </c>
      <c r="CF31" s="59">
        <f t="shared" si="36"/>
        <v>0</v>
      </c>
      <c r="CG31" s="59" t="e">
        <f t="shared" si="36"/>
        <v>#DIV/0!</v>
      </c>
      <c r="CH31" s="59" t="e">
        <f t="shared" si="36"/>
        <v>#DIV/0!</v>
      </c>
      <c r="CI31" s="59" t="e">
        <f t="shared" si="36"/>
        <v>#DIV/0!</v>
      </c>
      <c r="CJ31" s="59" t="e">
        <f t="shared" si="36"/>
        <v>#DIV/0!</v>
      </c>
      <c r="CK31" s="59" t="e">
        <f t="shared" si="36"/>
        <v>#DIV/0!</v>
      </c>
    </row>
    <row r="32" spans="1:89" s="26" customFormat="1" x14ac:dyDescent="0.25">
      <c r="A32" s="17" t="s">
        <v>375</v>
      </c>
      <c r="E32" s="26">
        <f>股权价值增加表!E27</f>
        <v>10402670.51</v>
      </c>
      <c r="F32" s="26">
        <f>股权价值增加表!F27</f>
        <v>5594848.3600000003</v>
      </c>
      <c r="G32" s="26">
        <f>股权价值增加表!G27</f>
        <v>2851915.63</v>
      </c>
      <c r="H32" s="26">
        <f>股权价值增加表!H27</f>
        <v>757137</v>
      </c>
      <c r="I32" s="26">
        <f>股权价值增加表!I27</f>
        <v>1682834.9300000002</v>
      </c>
      <c r="J32" s="26">
        <f>股权价值增加表!J27</f>
        <v>95728.77</v>
      </c>
      <c r="K32" s="26">
        <f>股权价值增加表!K27</f>
        <v>59769.87</v>
      </c>
      <c r="L32" s="26">
        <f>股权价值增加表!L27</f>
        <v>0</v>
      </c>
      <c r="M32" s="26">
        <f>股权价值增加表!M27</f>
        <v>655581.77</v>
      </c>
      <c r="N32" s="26">
        <f>股权价值增加表!N27</f>
        <v>107261.55</v>
      </c>
      <c r="O32" s="26">
        <f>股权价值增加表!O27</f>
        <v>0</v>
      </c>
      <c r="P32" s="26">
        <f>股权价值增加表!P27</f>
        <v>0</v>
      </c>
      <c r="Q32" s="26">
        <f>股权价值增加表!Q27</f>
        <v>0</v>
      </c>
      <c r="R32" s="26">
        <f>股权价值增加表!R27</f>
        <v>0</v>
      </c>
      <c r="S32" s="26">
        <f>股权价值增加表!S27</f>
        <v>0</v>
      </c>
      <c r="T32" s="26">
        <f>股权价值增加表!T27</f>
        <v>0</v>
      </c>
      <c r="U32" s="26">
        <f>股权价值增加表!U27</f>
        <v>824960842.38</v>
      </c>
      <c r="V32" s="26">
        <f>股权价值增加表!V27</f>
        <v>3732421.22</v>
      </c>
      <c r="W32" s="26">
        <f>股权价值增加表!W27</f>
        <v>3732421.22</v>
      </c>
      <c r="X32" s="26">
        <f>股权价值增加表!X27</f>
        <v>0</v>
      </c>
      <c r="Y32" s="26">
        <f>股权价值增加表!Y27</f>
        <v>781055242.67999995</v>
      </c>
      <c r="Z32" s="26">
        <f>股权价值增加表!Z27</f>
        <v>-917593.17</v>
      </c>
      <c r="AA32" s="26">
        <f>股权价值增加表!AA27</f>
        <v>-984891.57</v>
      </c>
      <c r="AB32" s="26">
        <f>股权价值增加表!AB27</f>
        <v>-9791.5400000000009</v>
      </c>
      <c r="AC32" s="26">
        <f>股权价值增加表!AC27</f>
        <v>469002107.94999999</v>
      </c>
      <c r="AD32" s="26">
        <f>股权价值增加表!AD27</f>
        <v>285035.20000000019</v>
      </c>
      <c r="AE32" s="26">
        <f>股权价值增加表!AE27</f>
        <v>133008.76000000024</v>
      </c>
      <c r="AF32" s="26">
        <f>股权价值增加表!AF27</f>
        <v>9936.35</v>
      </c>
      <c r="AG32" s="26">
        <f>股权价值增加表!AG27</f>
        <v>190380863.81999999</v>
      </c>
      <c r="AH32" s="26">
        <f>股权价值增加表!AH27</f>
        <v>-3505725.42</v>
      </c>
      <c r="AI32" s="26">
        <f>股权价值增加表!AI27</f>
        <v>323694.87000000011</v>
      </c>
      <c r="AJ32" s="26">
        <f>股权价值增加表!AJ27</f>
        <v>126698.54</v>
      </c>
      <c r="AK32" s="26">
        <f>股权价值增加表!AK27</f>
        <v>608552.98999999976</v>
      </c>
      <c r="AL32" s="26">
        <f>股权价值增加表!AL27</f>
        <v>31136.589999999851</v>
      </c>
      <c r="AM32" s="26">
        <f>股权价值增加表!AM27</f>
        <v>-2412569.77</v>
      </c>
      <c r="AN32" s="26">
        <f>股权价值增加表!AN27</f>
        <v>0</v>
      </c>
      <c r="AO32" s="26">
        <f>股权价值增加表!AO27</f>
        <v>1579121.31</v>
      </c>
      <c r="AP32" s="26">
        <f>股权价值增加表!AP27</f>
        <v>-929569.49</v>
      </c>
      <c r="AQ32" s="26">
        <f>股权价值增加表!AQ27</f>
        <v>-929569.49</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6.2570915647241654E-2</v>
      </c>
      <c r="F33" s="59">
        <f t="shared" ref="F33:BQ33" si="37">F32/F34</f>
        <v>4.5129204327555336E-2</v>
      </c>
      <c r="G33" s="59">
        <f t="shared" si="37"/>
        <v>4.1593891804710521E-2</v>
      </c>
      <c r="H33" s="59">
        <f t="shared" si="37"/>
        <v>3.5459928990192215E-2</v>
      </c>
      <c r="I33" s="59">
        <f t="shared" si="37"/>
        <v>1.0894631387702497E-2</v>
      </c>
      <c r="J33" s="59">
        <f t="shared" si="37"/>
        <v>8.3798739256708192E-4</v>
      </c>
      <c r="K33" s="59">
        <f t="shared" si="37"/>
        <v>1.0036284697075165E-3</v>
      </c>
      <c r="L33" s="59">
        <f t="shared" si="37"/>
        <v>0</v>
      </c>
      <c r="M33" s="59">
        <f t="shared" si="37"/>
        <v>4.6992233339068828E-3</v>
      </c>
      <c r="N33" s="59">
        <f t="shared" si="37"/>
        <v>1.0863677542240742E-3</v>
      </c>
      <c r="O33" s="59">
        <f t="shared" si="37"/>
        <v>0</v>
      </c>
      <c r="P33" s="59">
        <f t="shared" si="37"/>
        <v>0</v>
      </c>
      <c r="Q33" s="59">
        <f t="shared" si="37"/>
        <v>0</v>
      </c>
      <c r="R33" s="59">
        <f t="shared" si="37"/>
        <v>0</v>
      </c>
      <c r="S33" s="59" t="e">
        <f t="shared" si="37"/>
        <v>#DIV/0!</v>
      </c>
      <c r="T33" s="59" t="e">
        <f t="shared" si="37"/>
        <v>#DIV/0!</v>
      </c>
      <c r="U33" s="59">
        <f t="shared" si="37"/>
        <v>0.99293540707889016</v>
      </c>
      <c r="V33" s="59">
        <f t="shared" si="37"/>
        <v>1</v>
      </c>
      <c r="W33" s="59">
        <f t="shared" si="37"/>
        <v>1</v>
      </c>
      <c r="X33" s="59" t="e">
        <f t="shared" si="37"/>
        <v>#DIV/0!</v>
      </c>
      <c r="Y33" s="59">
        <f t="shared" si="37"/>
        <v>0.98481049886928551</v>
      </c>
      <c r="Z33" s="59">
        <f t="shared" si="37"/>
        <v>1</v>
      </c>
      <c r="AA33" s="59">
        <f t="shared" si="37"/>
        <v>1</v>
      </c>
      <c r="AB33" s="59">
        <f t="shared" si="37"/>
        <v>1</v>
      </c>
      <c r="AC33" s="59">
        <f t="shared" si="37"/>
        <v>0.98270521463383687</v>
      </c>
      <c r="AD33" s="59">
        <f t="shared" si="37"/>
        <v>1</v>
      </c>
      <c r="AE33" s="59">
        <f t="shared" si="37"/>
        <v>1</v>
      </c>
      <c r="AF33" s="59">
        <f t="shared" si="37"/>
        <v>1</v>
      </c>
      <c r="AG33" s="59">
        <f t="shared" si="37"/>
        <v>0.9848833348392233</v>
      </c>
      <c r="AH33" s="59">
        <f t="shared" si="37"/>
        <v>1</v>
      </c>
      <c r="AI33" s="59">
        <f t="shared" si="37"/>
        <v>1</v>
      </c>
      <c r="AJ33" s="59">
        <f t="shared" si="37"/>
        <v>1</v>
      </c>
      <c r="AK33" s="59">
        <f t="shared" si="37"/>
        <v>1</v>
      </c>
      <c r="AL33" s="59">
        <f t="shared" si="37"/>
        <v>1</v>
      </c>
      <c r="AM33" s="59">
        <f t="shared" si="37"/>
        <v>1</v>
      </c>
      <c r="AN33" s="59" t="e">
        <f t="shared" si="37"/>
        <v>#DIV/0!</v>
      </c>
      <c r="AO33" s="59">
        <f t="shared" si="37"/>
        <v>1</v>
      </c>
      <c r="AP33" s="59">
        <f t="shared" si="37"/>
        <v>1</v>
      </c>
      <c r="AQ33" s="59">
        <f t="shared" si="37"/>
        <v>1</v>
      </c>
      <c r="AR33" s="59" t="e">
        <f t="shared" si="37"/>
        <v>#DIV/0!</v>
      </c>
      <c r="AS33" s="59">
        <f t="shared" si="37"/>
        <v>1</v>
      </c>
      <c r="AT33" s="59">
        <f t="shared" si="37"/>
        <v>1</v>
      </c>
      <c r="AU33" s="59">
        <f t="shared" si="37"/>
        <v>1</v>
      </c>
      <c r="AV33" s="59">
        <f t="shared" si="37"/>
        <v>1</v>
      </c>
      <c r="AW33" s="59">
        <f t="shared" si="37"/>
        <v>1</v>
      </c>
      <c r="AX33" s="59">
        <f t="shared" si="37"/>
        <v>1</v>
      </c>
      <c r="AY33" s="59">
        <f t="shared" si="37"/>
        <v>1</v>
      </c>
      <c r="AZ33" s="59">
        <f t="shared" si="37"/>
        <v>1</v>
      </c>
      <c r="BA33" s="59">
        <f t="shared" si="37"/>
        <v>1</v>
      </c>
      <c r="BB33" s="59">
        <f t="shared" si="37"/>
        <v>1</v>
      </c>
      <c r="BC33" s="59">
        <f t="shared" si="37"/>
        <v>1</v>
      </c>
      <c r="BD33" s="59" t="e">
        <f t="shared" si="37"/>
        <v>#DIV/0!</v>
      </c>
      <c r="BE33" s="59">
        <f t="shared" si="37"/>
        <v>1</v>
      </c>
      <c r="BF33" s="59">
        <f t="shared" si="37"/>
        <v>1</v>
      </c>
      <c r="BG33" s="59">
        <f t="shared" si="37"/>
        <v>1</v>
      </c>
      <c r="BH33" s="59">
        <f t="shared" si="37"/>
        <v>1</v>
      </c>
      <c r="BI33" s="59">
        <f t="shared" si="37"/>
        <v>1</v>
      </c>
      <c r="BJ33" s="59">
        <f t="shared" si="37"/>
        <v>1</v>
      </c>
      <c r="BK33" s="59">
        <f t="shared" si="37"/>
        <v>1</v>
      </c>
      <c r="BL33" s="59">
        <f t="shared" si="37"/>
        <v>1</v>
      </c>
      <c r="BM33" s="59">
        <f t="shared" si="37"/>
        <v>1</v>
      </c>
      <c r="BN33" s="59">
        <f t="shared" si="37"/>
        <v>1</v>
      </c>
      <c r="BO33" s="59">
        <f t="shared" si="37"/>
        <v>1</v>
      </c>
      <c r="BP33" s="59">
        <f t="shared" si="37"/>
        <v>1</v>
      </c>
      <c r="BQ33" s="59">
        <f t="shared" si="37"/>
        <v>1</v>
      </c>
      <c r="BR33" s="59">
        <f t="shared" ref="BR33:CJ33" si="38">BR32/BR34</f>
        <v>1</v>
      </c>
      <c r="BS33" s="59">
        <f t="shared" si="38"/>
        <v>1</v>
      </c>
      <c r="BT33" s="59">
        <f t="shared" si="38"/>
        <v>1</v>
      </c>
      <c r="BU33" s="59">
        <f t="shared" si="38"/>
        <v>1</v>
      </c>
      <c r="BV33" s="59" t="e">
        <f t="shared" si="38"/>
        <v>#DIV/0!</v>
      </c>
      <c r="BW33" s="59" t="e">
        <f t="shared" si="38"/>
        <v>#DIV/0!</v>
      </c>
      <c r="BX33" s="59" t="e">
        <f t="shared" si="38"/>
        <v>#DIV/0!</v>
      </c>
      <c r="BY33" s="59" t="e">
        <f t="shared" si="38"/>
        <v>#DIV/0!</v>
      </c>
      <c r="BZ33" s="59" t="e">
        <f t="shared" si="38"/>
        <v>#DIV/0!</v>
      </c>
      <c r="CA33" s="59" t="e">
        <f t="shared" si="38"/>
        <v>#DIV/0!</v>
      </c>
      <c r="CB33" s="59" t="e">
        <f t="shared" si="38"/>
        <v>#DIV/0!</v>
      </c>
      <c r="CC33" s="59" t="e">
        <f t="shared" si="38"/>
        <v>#DIV/0!</v>
      </c>
      <c r="CD33" s="59" t="e">
        <f t="shared" si="38"/>
        <v>#DIV/0!</v>
      </c>
      <c r="CE33" s="59">
        <f t="shared" si="38"/>
        <v>1</v>
      </c>
      <c r="CF33" s="59">
        <f t="shared" si="38"/>
        <v>1</v>
      </c>
      <c r="CG33" s="59" t="e">
        <f t="shared" si="38"/>
        <v>#DIV/0!</v>
      </c>
      <c r="CH33" s="59" t="e">
        <f t="shared" si="38"/>
        <v>#DIV/0!</v>
      </c>
      <c r="CI33" s="59" t="e">
        <f t="shared" si="38"/>
        <v>#DIV/0!</v>
      </c>
      <c r="CJ33" s="59" t="e">
        <f t="shared" si="38"/>
        <v>#DIV/0!</v>
      </c>
    </row>
    <row r="34" spans="1:89" s="58" customFormat="1" x14ac:dyDescent="0.25">
      <c r="A34" s="144" t="s">
        <v>376</v>
      </c>
      <c r="E34" s="58">
        <f>股权价值增加表!E31</f>
        <v>166254087.90000001</v>
      </c>
      <c r="F34" s="58">
        <f>股权价值增加表!F31</f>
        <v>123974008.48000005</v>
      </c>
      <c r="G34" s="58">
        <f>股权价值增加表!G31</f>
        <v>68565731.800000012</v>
      </c>
      <c r="H34" s="58">
        <f>股权价值增加表!H31</f>
        <v>21351904.00999999</v>
      </c>
      <c r="I34" s="58">
        <f>股权价值增加表!I31</f>
        <v>154464604.63999996</v>
      </c>
      <c r="J34" s="58">
        <f>股权价值增加表!J31</f>
        <v>114236527.72000003</v>
      </c>
      <c r="K34" s="58">
        <f>股权价值增加表!K31</f>
        <v>59553780.909999989</v>
      </c>
      <c r="L34" s="58">
        <f>股权价值增加表!L31</f>
        <v>11857340.220000006</v>
      </c>
      <c r="M34" s="58">
        <f>股权价值增加表!M31</f>
        <v>139508536.5</v>
      </c>
      <c r="N34" s="58">
        <f>股权价值增加表!N31</f>
        <v>98734106.919999972</v>
      </c>
      <c r="O34" s="58">
        <f>股权价值增加表!O31</f>
        <v>121681477.87000003</v>
      </c>
      <c r="P34" s="58">
        <f>股权价值增加表!P31</f>
        <v>111732572.96000004</v>
      </c>
      <c r="Q34" s="58">
        <f>股权价值增加表!Q31</f>
        <v>96611045.13000001</v>
      </c>
      <c r="R34" s="58">
        <f>股权价值增加表!R31</f>
        <v>83600165.599999994</v>
      </c>
      <c r="S34" s="58">
        <f>股权价值增加表!S31</f>
        <v>0</v>
      </c>
      <c r="T34" s="58">
        <f>股权价值增加表!T31</f>
        <v>0</v>
      </c>
      <c r="U34" s="58">
        <f>股权价值增加表!U31</f>
        <v>830830320.38</v>
      </c>
      <c r="V34" s="58">
        <f>股权价值增加表!V31</f>
        <v>3732421.22</v>
      </c>
      <c r="W34" s="58">
        <f>股权价值增加表!W31</f>
        <v>3732421.22</v>
      </c>
      <c r="X34" s="58">
        <f>股权价值增加表!X31</f>
        <v>0</v>
      </c>
      <c r="Y34" s="58">
        <f>股权价值增加表!Y31</f>
        <v>793102067.42999995</v>
      </c>
      <c r="Z34" s="58">
        <f>股权价值增加表!Z31</f>
        <v>-917593.17</v>
      </c>
      <c r="AA34" s="58">
        <f>股权价值增加表!AA31</f>
        <v>-984891.57</v>
      </c>
      <c r="AB34" s="58">
        <f>股权价值增加表!AB31</f>
        <v>-9791.5400000000009</v>
      </c>
      <c r="AC34" s="58">
        <f>股权价值增加表!AC31</f>
        <v>477256150.63999999</v>
      </c>
      <c r="AD34" s="58">
        <f>股权价值增加表!AD31</f>
        <v>285035.20000000019</v>
      </c>
      <c r="AE34" s="58">
        <f>股权价值增加表!AE31</f>
        <v>133008.76000000024</v>
      </c>
      <c r="AF34" s="58">
        <f>股权价值增加表!AF31</f>
        <v>9936.35</v>
      </c>
      <c r="AG34" s="58">
        <f>股权价值增加表!AG31</f>
        <v>193302959.94</v>
      </c>
      <c r="AH34" s="58">
        <f>股权价值增加表!AH31</f>
        <v>-3505725.42</v>
      </c>
      <c r="AI34" s="58">
        <f>股权价值增加表!AI31</f>
        <v>323694.87000000011</v>
      </c>
      <c r="AJ34" s="58">
        <f>股权价值增加表!AJ31</f>
        <v>126698.54</v>
      </c>
      <c r="AK34" s="58">
        <f>股权价值增加表!AK31</f>
        <v>608552.98999999976</v>
      </c>
      <c r="AL34" s="58">
        <f>股权价值增加表!AL31</f>
        <v>31136.589999999851</v>
      </c>
      <c r="AM34" s="58">
        <f>股权价值增加表!AM31</f>
        <v>-2412569.77</v>
      </c>
      <c r="AN34" s="58">
        <f>股权价值增加表!AN31</f>
        <v>0</v>
      </c>
      <c r="AO34" s="58">
        <f>股权价值增加表!AO31</f>
        <v>1579121.31</v>
      </c>
      <c r="AP34" s="58">
        <f>股权价值增加表!AP31</f>
        <v>-929569.49</v>
      </c>
      <c r="AQ34" s="58">
        <f>股权价值增加表!AQ31</f>
        <v>-929569.49</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676</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42004</v>
      </c>
      <c r="P38" s="1">
        <v>41639</v>
      </c>
      <c r="Q38" s="1">
        <v>41274</v>
      </c>
      <c r="R38" s="1">
        <v>40908</v>
      </c>
      <c r="S38" s="1">
        <v>25569</v>
      </c>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166254087.90000001</v>
      </c>
      <c r="F39" s="26">
        <f>股权价值增加表!F31</f>
        <v>123974008.48000005</v>
      </c>
      <c r="G39" s="26">
        <f>股权价值增加表!G31</f>
        <v>68565731.800000012</v>
      </c>
      <c r="H39" s="26">
        <f>股权价值增加表!H31</f>
        <v>21351904.00999999</v>
      </c>
      <c r="I39" s="26">
        <f>股权价值增加表!I31</f>
        <v>154464604.63999996</v>
      </c>
      <c r="J39" s="26">
        <f>股权价值增加表!J31</f>
        <v>114236527.72000003</v>
      </c>
      <c r="K39" s="26">
        <f>股权价值增加表!K31</f>
        <v>59553780.909999989</v>
      </c>
      <c r="L39" s="26">
        <f>股权价值增加表!L31</f>
        <v>11857340.220000006</v>
      </c>
      <c r="M39" s="26">
        <f>股权价值增加表!M31</f>
        <v>139508536.5</v>
      </c>
      <c r="N39" s="26">
        <f>股权价值增加表!N31</f>
        <v>98734106.919999972</v>
      </c>
      <c r="O39" s="26">
        <f>股权价值增加表!O31</f>
        <v>121681477.87000003</v>
      </c>
      <c r="P39" s="26">
        <f>股权价值增加表!P31</f>
        <v>111732572.96000004</v>
      </c>
      <c r="Q39" s="26">
        <f>股权价值增加表!Q31</f>
        <v>96611045.13000001</v>
      </c>
      <c r="R39" s="26">
        <f>股权价值增加表!R31</f>
        <v>83600165.599999994</v>
      </c>
      <c r="S39" s="26">
        <f>股权价值增加表!S31</f>
        <v>0</v>
      </c>
      <c r="T39" s="26">
        <f>股权价值增加表!T31</f>
        <v>0</v>
      </c>
      <c r="U39" s="26">
        <f>股权价值增加表!U31</f>
        <v>830830320.38</v>
      </c>
      <c r="V39" s="26">
        <f>股权价值增加表!V31</f>
        <v>3732421.22</v>
      </c>
      <c r="W39" s="26">
        <f>股权价值增加表!W31</f>
        <v>3732421.22</v>
      </c>
      <c r="X39" s="26">
        <f>股权价值增加表!X31</f>
        <v>0</v>
      </c>
      <c r="Y39" s="26">
        <f>股权价值增加表!Y31</f>
        <v>793102067.42999995</v>
      </c>
      <c r="Z39" s="26">
        <f>股权价值增加表!Z31</f>
        <v>-917593.17</v>
      </c>
      <c r="AA39" s="26">
        <f>股权价值增加表!AA31</f>
        <v>-984891.57</v>
      </c>
      <c r="AB39" s="26">
        <f>股权价值增加表!AB31</f>
        <v>-9791.5400000000009</v>
      </c>
      <c r="AC39" s="26">
        <f>股权价值增加表!AC31</f>
        <v>477256150.63999999</v>
      </c>
      <c r="AD39" s="26">
        <f>股权价值增加表!AD31</f>
        <v>285035.20000000019</v>
      </c>
      <c r="AE39" s="26">
        <f>股权价值增加表!AE31</f>
        <v>133008.76000000024</v>
      </c>
      <c r="AF39" s="26">
        <f>股权价值增加表!AF31</f>
        <v>9936.35</v>
      </c>
      <c r="AG39" s="26">
        <f>股权价值增加表!AG31</f>
        <v>193302959.94</v>
      </c>
      <c r="AH39" s="26">
        <f>股权价值增加表!AH31</f>
        <v>-3505725.42</v>
      </c>
      <c r="AI39" s="26">
        <f>股权价值增加表!AI31</f>
        <v>323694.87000000011</v>
      </c>
      <c r="AJ39" s="26">
        <f>股权价值增加表!AJ31</f>
        <v>126698.54</v>
      </c>
      <c r="AK39" s="26">
        <f>股权价值增加表!AK31</f>
        <v>608552.98999999976</v>
      </c>
      <c r="AL39" s="26">
        <f>股权价值增加表!AL31</f>
        <v>31136.589999999851</v>
      </c>
      <c r="AM39" s="26">
        <f>股权价值增加表!AM31</f>
        <v>-2412569.77</v>
      </c>
      <c r="AN39" s="26">
        <f>股权价值增加表!AN31</f>
        <v>0</v>
      </c>
      <c r="AO39" s="26">
        <f>股权价值增加表!AO31</f>
        <v>1579121.31</v>
      </c>
      <c r="AP39" s="26">
        <f>股权价值增加表!AP31</f>
        <v>-929569.49</v>
      </c>
      <c r="AQ39" s="26">
        <f>股权价值增加表!AQ31</f>
        <v>-929569.49</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165517045.63</v>
      </c>
      <c r="F40" s="26">
        <f>股权价值增加表!F38</f>
        <v>124698517.17000005</v>
      </c>
      <c r="G40" s="26">
        <f>股权价值增加表!G38</f>
        <v>68823769.700000018</v>
      </c>
      <c r="H40" s="26">
        <f>股权价值增加表!H38</f>
        <v>21151738.219999991</v>
      </c>
      <c r="I40" s="26">
        <f>股权价值增加表!I38</f>
        <v>149336203.51999995</v>
      </c>
      <c r="J40" s="26">
        <f>股权价值增加表!J38</f>
        <v>110997852.59000003</v>
      </c>
      <c r="K40" s="26">
        <f>股权价值增加表!K38</f>
        <v>57578394.519999988</v>
      </c>
      <c r="L40" s="26">
        <f>股权价值增加表!L38</f>
        <v>10864080.150000006</v>
      </c>
      <c r="M40" s="26">
        <f>股权价值增加表!M38</f>
        <v>133258805.45</v>
      </c>
      <c r="N40" s="26">
        <f>股权价值增加表!N38</f>
        <v>94510305.099999964</v>
      </c>
      <c r="O40" s="26">
        <f>股权价值增加表!O38</f>
        <v>112122121.20000003</v>
      </c>
      <c r="P40" s="26">
        <f>股权价值增加表!P38</f>
        <v>100755792.96000004</v>
      </c>
      <c r="Q40" s="26">
        <f>股权价值增加表!Q38</f>
        <v>96615239.570000008</v>
      </c>
      <c r="R40" s="26">
        <f>股权价值增加表!R38</f>
        <v>84191840.50999999</v>
      </c>
      <c r="S40" s="26">
        <f>股权价值增加表!S38</f>
        <v>0</v>
      </c>
      <c r="T40" s="26">
        <f>股权价值增加表!T38</f>
        <v>245115593.80000001</v>
      </c>
      <c r="U40" s="26">
        <f>股权价值增加表!U38</f>
        <v>836470729.83999991</v>
      </c>
      <c r="V40" s="26">
        <f>股权价值增加表!V38</f>
        <v>663136603.66000009</v>
      </c>
      <c r="W40" s="26">
        <f>股权价值增加表!W38</f>
        <v>475677319.73000002</v>
      </c>
      <c r="X40" s="26">
        <f>股权价值增加表!X38</f>
        <v>238664090.94</v>
      </c>
      <c r="Y40" s="26">
        <f>股权价值增加表!Y38</f>
        <v>805242211.47000003</v>
      </c>
      <c r="Z40" s="26">
        <f>股权价值增加表!Z38</f>
        <v>619411856.75999999</v>
      </c>
      <c r="AA40" s="26">
        <f>股权价值增加表!AA38</f>
        <v>399260576.25</v>
      </c>
      <c r="AB40" s="26">
        <f>股权价值增加表!AB38</f>
        <v>142300017.34</v>
      </c>
      <c r="AC40" s="26">
        <f>股权价值增加表!AC38</f>
        <v>485120205.63999999</v>
      </c>
      <c r="AD40" s="26">
        <f>股权价值增加表!AD38</f>
        <v>235389556.53999999</v>
      </c>
      <c r="AE40" s="26">
        <f>股权价值增加表!AE38</f>
        <v>187807792.82999998</v>
      </c>
      <c r="AF40" s="26">
        <f>股权价值增加表!AF38</f>
        <v>23424340.990000002</v>
      </c>
      <c r="AG40" s="26">
        <f>股权价值增加表!AG38</f>
        <v>195854188.47999999</v>
      </c>
      <c r="AH40" s="26">
        <f>股权价值增加表!AH38</f>
        <v>101724684.84</v>
      </c>
      <c r="AI40" s="26">
        <f>股权价值增加表!AI38</f>
        <v>77605252.5</v>
      </c>
      <c r="AJ40" s="26">
        <f>股权价值增加表!AJ38</f>
        <v>12116865.84</v>
      </c>
      <c r="AK40" s="26">
        <f>股权价值增加表!AK38</f>
        <v>110340734.39999999</v>
      </c>
      <c r="AL40" s="26">
        <f>股权价值增加表!AL38</f>
        <v>66049616.810000002</v>
      </c>
      <c r="AM40" s="26">
        <f>股权价值增加表!AM38</f>
        <v>38235339.799999997</v>
      </c>
      <c r="AN40" s="26">
        <f>股权价值增加表!AN38</f>
        <v>10967664.689999999</v>
      </c>
      <c r="AO40" s="26">
        <f>股权价值增加表!AO38</f>
        <v>161533388.74000001</v>
      </c>
      <c r="AP40" s="26">
        <f>股权价值增加表!AP38</f>
        <v>86790654.49000001</v>
      </c>
      <c r="AQ40" s="26">
        <f>股权价值增加表!AQ38</f>
        <v>73880495.870000005</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4.4332279543305431E-3</v>
      </c>
      <c r="F41" s="59">
        <f t="shared" ref="F41:BQ41" si="39">1-F40/F39</f>
        <v>-5.8440369790646596E-3</v>
      </c>
      <c r="G41" s="59">
        <f t="shared" si="39"/>
        <v>-3.763365360887283E-3</v>
      </c>
      <c r="H41" s="59">
        <f t="shared" si="39"/>
        <v>9.3746108031514952E-3</v>
      </c>
      <c r="I41" s="59">
        <f t="shared" si="39"/>
        <v>3.320114101189986E-2</v>
      </c>
      <c r="J41" s="59">
        <f t="shared" si="39"/>
        <v>2.8350608992056991E-2</v>
      </c>
      <c r="K41" s="59">
        <f t="shared" si="39"/>
        <v>3.3169789723095588E-2</v>
      </c>
      <c r="L41" s="59">
        <f t="shared" si="39"/>
        <v>8.3767527250727669E-2</v>
      </c>
      <c r="M41" s="59">
        <f t="shared" si="39"/>
        <v>4.4798198065822303E-2</v>
      </c>
      <c r="N41" s="59">
        <f t="shared" si="39"/>
        <v>4.2779561711358549E-2</v>
      </c>
      <c r="O41" s="59">
        <f t="shared" si="39"/>
        <v>7.8560491188419568E-2</v>
      </c>
      <c r="P41" s="59">
        <f t="shared" si="39"/>
        <v>9.8241539680014922E-2</v>
      </c>
      <c r="Q41" s="59">
        <f t="shared" si="39"/>
        <v>-4.3415739829244515E-5</v>
      </c>
      <c r="R41" s="59">
        <f t="shared" si="39"/>
        <v>-7.0774370571342615E-3</v>
      </c>
      <c r="S41" s="59" t="e">
        <f t="shared" si="39"/>
        <v>#DIV/0!</v>
      </c>
      <c r="T41" s="59" t="e">
        <f t="shared" si="39"/>
        <v>#DIV/0!</v>
      </c>
      <c r="U41" s="59">
        <f t="shared" si="39"/>
        <v>-6.7888825451387635E-3</v>
      </c>
      <c r="V41" s="59">
        <f t="shared" si="39"/>
        <v>-176.66928344170117</v>
      </c>
      <c r="W41" s="59">
        <f t="shared" si="39"/>
        <v>-126.44470457436741</v>
      </c>
      <c r="X41" s="59" t="e">
        <f t="shared" si="39"/>
        <v>#DIV/0!</v>
      </c>
      <c r="Y41" s="59">
        <f t="shared" si="39"/>
        <v>-1.5307164788183503E-2</v>
      </c>
      <c r="Z41" s="59">
        <f t="shared" si="39"/>
        <v>676.0397420242349</v>
      </c>
      <c r="AA41" s="59">
        <f t="shared" si="39"/>
        <v>406.38531185722303</v>
      </c>
      <c r="AB41" s="59">
        <f t="shared" si="39"/>
        <v>14533.955729129431</v>
      </c>
      <c r="AC41" s="59">
        <f t="shared" si="39"/>
        <v>-1.6477639920311704E-2</v>
      </c>
      <c r="AD41" s="59">
        <f t="shared" si="39"/>
        <v>-824.8262717727489</v>
      </c>
      <c r="AE41" s="59">
        <f t="shared" si="39"/>
        <v>-1410.9956672778517</v>
      </c>
      <c r="AF41" s="59">
        <f t="shared" si="39"/>
        <v>-2356.4391995048486</v>
      </c>
      <c r="AG41" s="59">
        <f t="shared" si="39"/>
        <v>-1.3198083158125762E-2</v>
      </c>
      <c r="AH41" s="59">
        <f t="shared" si="39"/>
        <v>30.016729108236891</v>
      </c>
      <c r="AI41" s="59">
        <f t="shared" si="39"/>
        <v>-238.74816931760449</v>
      </c>
      <c r="AJ41" s="59">
        <f t="shared" si="39"/>
        <v>-94.635402270618115</v>
      </c>
      <c r="AK41" s="59">
        <f t="shared" si="39"/>
        <v>-180.31655946674428</v>
      </c>
      <c r="AL41" s="59">
        <f t="shared" si="39"/>
        <v>-2120.2861398759569</v>
      </c>
      <c r="AM41" s="59">
        <f t="shared" si="39"/>
        <v>16.848387174311647</v>
      </c>
      <c r="AN41" s="59" t="e">
        <f t="shared" si="39"/>
        <v>#DIV/0!</v>
      </c>
      <c r="AO41" s="59">
        <f t="shared" si="39"/>
        <v>-101.29321060837309</v>
      </c>
      <c r="AP41" s="59">
        <f t="shared" si="39"/>
        <v>94.36650505816408</v>
      </c>
      <c r="AQ41" s="59">
        <f t="shared" si="39"/>
        <v>80.478184971410798</v>
      </c>
      <c r="AR41" s="59" t="e">
        <f t="shared" si="39"/>
        <v>#DIV/0!</v>
      </c>
      <c r="AS41" s="59">
        <f t="shared" si="39"/>
        <v>-28.82489017332593</v>
      </c>
      <c r="AT41" s="59">
        <f t="shared" si="39"/>
        <v>-73.693791916224583</v>
      </c>
      <c r="AU41" s="59">
        <f t="shared" si="39"/>
        <v>-761.43841528552787</v>
      </c>
      <c r="AV41" s="59">
        <f t="shared" si="39"/>
        <v>-5.0715712302299112</v>
      </c>
      <c r="AW41" s="59">
        <f t="shared" si="39"/>
        <v>-9.9961254035771105</v>
      </c>
      <c r="AX41" s="59">
        <f t="shared" si="39"/>
        <v>-10.563322521142613</v>
      </c>
      <c r="AY41" s="59">
        <f t="shared" si="39"/>
        <v>-13.314610464689412</v>
      </c>
      <c r="AZ41" s="59">
        <f t="shared" si="39"/>
        <v>-29.177087999999998</v>
      </c>
      <c r="BA41" s="59">
        <f t="shared" si="39"/>
        <v>6.4302495344527406</v>
      </c>
      <c r="BB41" s="59">
        <f t="shared" si="39"/>
        <v>14.954913103035617</v>
      </c>
      <c r="BC41" s="59">
        <f t="shared" si="39"/>
        <v>10.994273003585963</v>
      </c>
      <c r="BD41" s="59" t="e">
        <f t="shared" si="39"/>
        <v>#DIV/0!</v>
      </c>
      <c r="BE41" s="59">
        <f t="shared" si="39"/>
        <v>208.72438969261265</v>
      </c>
      <c r="BF41" s="59">
        <f t="shared" si="39"/>
        <v>-37.123657821263173</v>
      </c>
      <c r="BG41" s="59">
        <f t="shared" si="39"/>
        <v>-32.265097832398752</v>
      </c>
      <c r="BH41" s="59">
        <f t="shared" si="39"/>
        <v>-1.6912248525255302</v>
      </c>
      <c r="BI41" s="59">
        <f t="shared" si="39"/>
        <v>51.149746229058351</v>
      </c>
      <c r="BJ41" s="59">
        <f t="shared" si="39"/>
        <v>-68.171187698585072</v>
      </c>
      <c r="BK41" s="59">
        <f t="shared" si="39"/>
        <v>-231.32435186984958</v>
      </c>
      <c r="BL41" s="59">
        <f t="shared" si="39"/>
        <v>-9.2131529511994383</v>
      </c>
      <c r="BM41" s="59">
        <f t="shared" si="39"/>
        <v>-149.18376358893079</v>
      </c>
      <c r="BN41" s="59">
        <f t="shared" si="39"/>
        <v>-11.619124030745919</v>
      </c>
      <c r="BO41" s="59">
        <f t="shared" si="39"/>
        <v>-7.7036936464919741</v>
      </c>
      <c r="BP41" s="59">
        <f t="shared" si="39"/>
        <v>43.249783743212781</v>
      </c>
      <c r="BQ41" s="59">
        <f t="shared" si="39"/>
        <v>-2.0583806324776739</v>
      </c>
      <c r="BR41" s="59">
        <f t="shared" ref="BR41:CK41" si="40">1-BR40/BR39</f>
        <v>0</v>
      </c>
      <c r="BS41" s="59">
        <f t="shared" si="40"/>
        <v>-1.6875461769888385</v>
      </c>
      <c r="BT41" s="59">
        <f t="shared" si="40"/>
        <v>-1.0192338281291593</v>
      </c>
      <c r="BU41" s="59">
        <f t="shared" si="40"/>
        <v>-6.0450850452289444</v>
      </c>
      <c r="BV41" s="59" t="e">
        <f t="shared" si="40"/>
        <v>#DIV/0!</v>
      </c>
      <c r="BW41" s="59" t="e">
        <f t="shared" si="40"/>
        <v>#DIV/0!</v>
      </c>
      <c r="BX41" s="59" t="e">
        <f t="shared" si="40"/>
        <v>#DIV/0!</v>
      </c>
      <c r="BY41" s="59" t="e">
        <f t="shared" si="40"/>
        <v>#DIV/0!</v>
      </c>
      <c r="BZ41" s="59" t="e">
        <f t="shared" si="40"/>
        <v>#DIV/0!</v>
      </c>
      <c r="CA41" s="59" t="e">
        <f t="shared" si="40"/>
        <v>#DIV/0!</v>
      </c>
      <c r="CB41" s="59" t="e">
        <f t="shared" si="40"/>
        <v>#DIV/0!</v>
      </c>
      <c r="CC41" s="59" t="e">
        <f t="shared" si="40"/>
        <v>#DIV/0!</v>
      </c>
      <c r="CD41" s="59" t="e">
        <f t="shared" si="40"/>
        <v>#DIV/0!</v>
      </c>
      <c r="CE41" s="59">
        <f t="shared" si="40"/>
        <v>0</v>
      </c>
      <c r="CF41" s="59">
        <f t="shared" si="40"/>
        <v>0</v>
      </c>
      <c r="CG41" s="59" t="e">
        <f t="shared" si="40"/>
        <v>#DIV/0!</v>
      </c>
      <c r="CH41" s="59" t="e">
        <f t="shared" si="40"/>
        <v>#DIV/0!</v>
      </c>
      <c r="CI41" s="59" t="e">
        <f t="shared" si="40"/>
        <v>#DIV/0!</v>
      </c>
      <c r="CJ41" s="59" t="e">
        <f t="shared" si="40"/>
        <v>#DIV/0!</v>
      </c>
      <c r="CK41" s="59" t="e">
        <f t="shared" si="40"/>
        <v>#DIV/0!</v>
      </c>
    </row>
    <row r="42" spans="1:89" s="60" customFormat="1" x14ac:dyDescent="0.25">
      <c r="A42" s="21" t="s">
        <v>428</v>
      </c>
      <c r="E42" s="148">
        <f>E39/(E39-E40)</f>
        <v>225.56927148831991</v>
      </c>
      <c r="F42" s="29">
        <f t="shared" ref="F42:BQ42" si="41">F39/(F39-F40)</f>
        <v>-171.11459143436977</v>
      </c>
      <c r="G42" s="29">
        <f t="shared" si="41"/>
        <v>-265.71961638192852</v>
      </c>
      <c r="H42" s="29">
        <f t="shared" si="41"/>
        <v>106.67109504576224</v>
      </c>
      <c r="I42" s="29">
        <f t="shared" si="41"/>
        <v>30.119446787734852</v>
      </c>
      <c r="J42" s="29">
        <f t="shared" si="41"/>
        <v>35.27261090864652</v>
      </c>
      <c r="K42" s="29">
        <f t="shared" si="41"/>
        <v>30.147914965638684</v>
      </c>
      <c r="L42" s="29">
        <f t="shared" si="41"/>
        <v>11.937800157414969</v>
      </c>
      <c r="M42" s="29">
        <f t="shared" si="41"/>
        <v>22.322326414350272</v>
      </c>
      <c r="N42" s="29">
        <f t="shared" si="41"/>
        <v>23.375648557298977</v>
      </c>
      <c r="O42" s="29">
        <f t="shared" si="41"/>
        <v>12.729044649193952</v>
      </c>
      <c r="P42" s="29">
        <f t="shared" si="41"/>
        <v>10.178993562775243</v>
      </c>
      <c r="Q42" s="29">
        <f t="shared" si="41"/>
        <v>-23033.121258154824</v>
      </c>
      <c r="R42" s="29">
        <f t="shared" si="41"/>
        <v>-141.29408597028475</v>
      </c>
      <c r="S42" s="29" t="e">
        <f t="shared" si="41"/>
        <v>#DIV/0!</v>
      </c>
      <c r="T42" s="29">
        <f t="shared" si="41"/>
        <v>0</v>
      </c>
      <c r="U42" s="29">
        <f t="shared" si="41"/>
        <v>-147.29964664303148</v>
      </c>
      <c r="V42" s="29">
        <f t="shared" si="41"/>
        <v>-5.6602935185956563E-3</v>
      </c>
      <c r="W42" s="29">
        <f t="shared" si="41"/>
        <v>-7.9085953292085728E-3</v>
      </c>
      <c r="X42" s="29">
        <f t="shared" si="41"/>
        <v>0</v>
      </c>
      <c r="Y42" s="29">
        <f t="shared" si="41"/>
        <v>-65.328884469314303</v>
      </c>
      <c r="Z42" s="29">
        <f t="shared" si="41"/>
        <v>1.4792029785197919E-3</v>
      </c>
      <c r="AA42" s="29">
        <f t="shared" si="41"/>
        <v>2.4607188567664917E-3</v>
      </c>
      <c r="AB42" s="29">
        <f t="shared" si="41"/>
        <v>6.8804392873976299E-5</v>
      </c>
      <c r="AC42" s="29">
        <f t="shared" si="41"/>
        <v>-60.688302744576426</v>
      </c>
      <c r="AD42" s="29">
        <f t="shared" si="41"/>
        <v>-1.2123765139667058E-3</v>
      </c>
      <c r="AE42" s="29">
        <f t="shared" si="41"/>
        <v>-7.08719398075289E-4</v>
      </c>
      <c r="AF42" s="29">
        <f t="shared" si="41"/>
        <v>-4.2436910751193031E-4</v>
      </c>
      <c r="AG42" s="29">
        <f t="shared" si="41"/>
        <v>-75.768578513942401</v>
      </c>
      <c r="AH42" s="29">
        <f t="shared" si="41"/>
        <v>3.3314755794814098E-2</v>
      </c>
      <c r="AI42" s="29">
        <f t="shared" si="41"/>
        <v>-4.1885137919935598E-3</v>
      </c>
      <c r="AJ42" s="29">
        <f t="shared" si="41"/>
        <v>-1.0566870071946368E-2</v>
      </c>
      <c r="AK42" s="29">
        <f t="shared" si="41"/>
        <v>-5.545802354244839E-3</v>
      </c>
      <c r="AL42" s="29">
        <f t="shared" si="41"/>
        <v>-4.7163445593173715E-4</v>
      </c>
      <c r="AM42" s="29">
        <f t="shared" si="41"/>
        <v>5.935286206650553E-2</v>
      </c>
      <c r="AN42" s="29">
        <f t="shared" si="41"/>
        <v>0</v>
      </c>
      <c r="AO42" s="29">
        <f t="shared" si="41"/>
        <v>-9.8723299813871061E-3</v>
      </c>
      <c r="AP42" s="29">
        <f t="shared" si="41"/>
        <v>1.0596980352124266E-2</v>
      </c>
      <c r="AQ42" s="29">
        <f t="shared" si="41"/>
        <v>1.2425727547847178E-2</v>
      </c>
      <c r="AR42" s="29">
        <f t="shared" si="41"/>
        <v>0</v>
      </c>
      <c r="AS42" s="29">
        <f t="shared" si="41"/>
        <v>-3.4692239727087779E-2</v>
      </c>
      <c r="AT42" s="29">
        <f t="shared" si="41"/>
        <v>-1.3569664065282519E-2</v>
      </c>
      <c r="AU42" s="29">
        <f t="shared" si="41"/>
        <v>-1.3133038469368729E-3</v>
      </c>
      <c r="AV42" s="29">
        <f t="shared" si="41"/>
        <v>-0.19717755200584389</v>
      </c>
      <c r="AW42" s="29">
        <f t="shared" si="41"/>
        <v>-0.10003876098254531</v>
      </c>
      <c r="AX42" s="29">
        <f t="shared" si="41"/>
        <v>-9.4667184306688384E-2</v>
      </c>
      <c r="AY42" s="29">
        <f t="shared" si="41"/>
        <v>-7.510546423059225E-2</v>
      </c>
      <c r="AZ42" s="29">
        <f t="shared" si="41"/>
        <v>-3.4273468277574513E-2</v>
      </c>
      <c r="BA42" s="29">
        <f t="shared" si="41"/>
        <v>0.15551496013367497</v>
      </c>
      <c r="BB42" s="29">
        <f t="shared" si="41"/>
        <v>6.6867657010793016E-2</v>
      </c>
      <c r="BC42" s="29">
        <f t="shared" si="41"/>
        <v>9.0956446112792869E-2</v>
      </c>
      <c r="BD42" s="29">
        <f t="shared" si="41"/>
        <v>0</v>
      </c>
      <c r="BE42" s="29">
        <f t="shared" si="41"/>
        <v>4.7910069420861404E-3</v>
      </c>
      <c r="BF42" s="29">
        <f t="shared" si="41"/>
        <v>-2.6937000788409216E-2</v>
      </c>
      <c r="BG42" s="29">
        <f t="shared" si="41"/>
        <v>-3.0993242456430977E-2</v>
      </c>
      <c r="BH42" s="29">
        <f t="shared" si="41"/>
        <v>-0.5912874320092244</v>
      </c>
      <c r="BI42" s="29">
        <f t="shared" si="41"/>
        <v>1.9550439126751647E-2</v>
      </c>
      <c r="BJ42" s="29">
        <f t="shared" si="41"/>
        <v>-1.4668953758315634E-2</v>
      </c>
      <c r="BK42" s="29">
        <f t="shared" si="41"/>
        <v>-4.322934407539729E-3</v>
      </c>
      <c r="BL42" s="29">
        <f t="shared" si="41"/>
        <v>-0.10854047526366231</v>
      </c>
      <c r="BM42" s="29">
        <f t="shared" si="41"/>
        <v>-6.7031423255646998E-3</v>
      </c>
      <c r="BN42" s="29">
        <f t="shared" si="41"/>
        <v>-8.6065007771141122E-2</v>
      </c>
      <c r="BO42" s="29">
        <f t="shared" si="41"/>
        <v>-0.12980786177230313</v>
      </c>
      <c r="BP42" s="29">
        <f t="shared" si="41"/>
        <v>2.3121502894379923E-2</v>
      </c>
      <c r="BQ42" s="29">
        <f t="shared" si="41"/>
        <v>-0.4858187957182144</v>
      </c>
      <c r="BR42" s="29" t="e">
        <f t="shared" ref="BR42:CK42" si="42">BR39/(BR39-BR40)</f>
        <v>#DIV/0!</v>
      </c>
      <c r="BS42" s="29">
        <f t="shared" si="42"/>
        <v>-0.59257637724873591</v>
      </c>
      <c r="BT42" s="29">
        <f t="shared" si="42"/>
        <v>-0.98112913092330967</v>
      </c>
      <c r="BU42" s="29">
        <f t="shared" si="42"/>
        <v>-0.16542364458366809</v>
      </c>
      <c r="BV42" s="29">
        <f t="shared" si="42"/>
        <v>0</v>
      </c>
      <c r="BW42" s="29">
        <f t="shared" si="42"/>
        <v>0</v>
      </c>
      <c r="BX42" s="29">
        <f t="shared" si="42"/>
        <v>0</v>
      </c>
      <c r="BY42" s="29">
        <f t="shared" si="42"/>
        <v>0</v>
      </c>
      <c r="BZ42" s="29">
        <f t="shared" si="42"/>
        <v>0</v>
      </c>
      <c r="CA42" s="29">
        <f t="shared" si="42"/>
        <v>0</v>
      </c>
      <c r="CB42" s="29">
        <f t="shared" si="42"/>
        <v>0</v>
      </c>
      <c r="CC42" s="29">
        <f t="shared" si="42"/>
        <v>0</v>
      </c>
      <c r="CD42" s="29" t="e">
        <f t="shared" si="42"/>
        <v>#DIV/0!</v>
      </c>
      <c r="CE42" s="29" t="e">
        <f t="shared" si="42"/>
        <v>#DIV/0!</v>
      </c>
      <c r="CF42" s="29" t="e">
        <f t="shared" si="42"/>
        <v>#DIV/0!</v>
      </c>
      <c r="CG42" s="29" t="e">
        <f t="shared" si="42"/>
        <v>#DIV/0!</v>
      </c>
      <c r="CH42" s="29" t="e">
        <f t="shared" si="42"/>
        <v>#DIV/0!</v>
      </c>
      <c r="CI42" s="29" t="e">
        <f t="shared" si="42"/>
        <v>#DIV/0!</v>
      </c>
      <c r="CJ42" s="29" t="e">
        <f t="shared" si="42"/>
        <v>#DIV/0!</v>
      </c>
      <c r="CK42" s="29" t="e">
        <f t="shared" si="42"/>
        <v>#DIV/0!</v>
      </c>
    </row>
    <row r="43" spans="1:89" s="16" customFormat="1" ht="106.2" customHeight="1" x14ac:dyDescent="0.25">
      <c r="A43" s="282" t="s">
        <v>698</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42004</v>
      </c>
      <c r="P46" s="1">
        <v>41639</v>
      </c>
      <c r="Q46" s="1">
        <v>41274</v>
      </c>
      <c r="R46" s="1">
        <v>40908</v>
      </c>
      <c r="S46" s="1">
        <v>25569</v>
      </c>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140040107.69</v>
      </c>
      <c r="F47" s="26">
        <f>股权价值增加表!F42</f>
        <v>104448708.91000004</v>
      </c>
      <c r="G47" s="26">
        <f>股权价值增加表!G42</f>
        <v>56623388.020000018</v>
      </c>
      <c r="H47" s="26">
        <f>股权价值增加表!H42</f>
        <v>16932091.389999993</v>
      </c>
      <c r="I47" s="26">
        <f>股权价值增加表!I42</f>
        <v>127314218.50999995</v>
      </c>
      <c r="J47" s="26">
        <f>股权价值增加表!J42</f>
        <v>93458406.380000025</v>
      </c>
      <c r="K47" s="26">
        <f>股权价值增加表!K42</f>
        <v>48290108.969999984</v>
      </c>
      <c r="L47" s="26">
        <f>股权价值增加表!L42</f>
        <v>8834269.5900000054</v>
      </c>
      <c r="M47" s="26">
        <f>股权价值增加表!M42</f>
        <v>112745012.78</v>
      </c>
      <c r="N47" s="26">
        <f>股权价值增加表!N42</f>
        <v>78883496.679999962</v>
      </c>
      <c r="O47" s="26">
        <f>股权价值增加表!O42</f>
        <v>94913963.020000041</v>
      </c>
      <c r="P47" s="26">
        <f>股权价值增加表!P42</f>
        <v>84018399.520000041</v>
      </c>
      <c r="Q47" s="26">
        <f>股权价值增加表!Q42</f>
        <v>78574092.780000001</v>
      </c>
      <c r="R47" s="26">
        <f>股权价值增加表!R42</f>
        <v>69584154.749999985</v>
      </c>
      <c r="S47" s="26">
        <f>股权价值增加表!S42</f>
        <v>0</v>
      </c>
      <c r="T47" s="26">
        <f>股权价值增加表!T42</f>
        <v>-687652134.91000009</v>
      </c>
      <c r="U47" s="26">
        <f>股权价值增加表!U42</f>
        <v>-2088393325.8100002</v>
      </c>
      <c r="V47" s="26">
        <f>股权价值增加表!V42</f>
        <v>-1770623990.1299999</v>
      </c>
      <c r="W47" s="26">
        <f>股权价值增加表!W42</f>
        <v>-1503178518.1099999</v>
      </c>
      <c r="X47" s="26">
        <f>股权价值增加表!X42</f>
        <v>-996310945.95000005</v>
      </c>
      <c r="Y47" s="26">
        <f>股权价值增加表!Y42</f>
        <v>-2597690211.0299997</v>
      </c>
      <c r="Z47" s="26">
        <f>股权价值增加表!Z42</f>
        <v>-1981805644.22</v>
      </c>
      <c r="AA47" s="26">
        <f>股权价值增加表!AA42</f>
        <v>-1313125502.45</v>
      </c>
      <c r="AB47" s="26">
        <f>股权价值增加表!AB42</f>
        <v>-889790569.18999994</v>
      </c>
      <c r="AC47" s="26">
        <f>股权价值增加表!AC42</f>
        <v>-1620456259.7199998</v>
      </c>
      <c r="AD47" s="26">
        <f>股权价值增加表!AD42</f>
        <v>-1380864362.3400002</v>
      </c>
      <c r="AE47" s="26">
        <f>股权价值增加表!AE42</f>
        <v>-941882157.46000004</v>
      </c>
      <c r="AF47" s="26">
        <f>股权价值增加表!AF42</f>
        <v>-675598227.52999997</v>
      </c>
      <c r="AG47" s="26">
        <f>股权价值增加表!AG42</f>
        <v>-1312331906.45</v>
      </c>
      <c r="AH47" s="26">
        <f>股权价值增加表!AH42</f>
        <v>-1044450134.2699999</v>
      </c>
      <c r="AI47" s="26">
        <f>股权价值增加表!AI42</f>
        <v>-688669429.02999997</v>
      </c>
      <c r="AJ47" s="26">
        <f>股权价值增加表!AJ42</f>
        <v>-496480851.37</v>
      </c>
      <c r="AK47" s="26">
        <f>股权价值增加表!AK42</f>
        <v>-1028579461.33</v>
      </c>
      <c r="AL47" s="26">
        <f>股权价值增加表!AL42</f>
        <v>-716904063.83999991</v>
      </c>
      <c r="AM47" s="26">
        <f>股权价值增加表!AM42</f>
        <v>-499689055.96999997</v>
      </c>
      <c r="AN47" s="26">
        <f>股权价值增加表!AN42</f>
        <v>-380189417.44999999</v>
      </c>
      <c r="AO47" s="26">
        <f>股权价值增加表!AO42</f>
        <v>-407922375.93999994</v>
      </c>
      <c r="AP47" s="26">
        <f>股权价值增加表!AP42</f>
        <v>-411195663.44999999</v>
      </c>
      <c r="AQ47" s="26">
        <f>股权价值增加表!AQ42</f>
        <v>-329680221.73000002</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0.18612233705622691</v>
      </c>
      <c r="F48" s="63">
        <f>股权价值增加表!F43</f>
        <v>0.19865744417906595</v>
      </c>
      <c r="G48" s="63">
        <f>股权价值增加表!G43</f>
        <v>0.16665174616982636</v>
      </c>
      <c r="H48" s="63">
        <f>股权价值增加表!H43</f>
        <v>0.11016268878276858</v>
      </c>
      <c r="I48" s="63">
        <f>股权价值增加表!I43</f>
        <v>0.19144666449689415</v>
      </c>
      <c r="J48" s="63">
        <f>股权价值增加表!J43</f>
        <v>0.20585192902525495</v>
      </c>
      <c r="K48" s="63">
        <f>股权价值增加表!K43</f>
        <v>0.17048140972803383</v>
      </c>
      <c r="L48" s="63">
        <f>股权价值增加表!L43</f>
        <v>7.1070623236535874E-2</v>
      </c>
      <c r="M48" s="63">
        <f>股权价值增加表!M43</f>
        <v>0.18884063831396986</v>
      </c>
      <c r="N48" s="63">
        <f>股权价值增加表!N43</f>
        <v>0.19264529745278139</v>
      </c>
      <c r="O48" s="63">
        <f>股权价值增加表!O43</f>
        <v>0.17948605420229893</v>
      </c>
      <c r="P48" s="63">
        <f>股权价值增加表!P43</f>
        <v>0.17326670117084073</v>
      </c>
      <c r="Q48" s="63">
        <f>股权价值增加表!Q43</f>
        <v>0.19862317004297572</v>
      </c>
      <c r="R48" s="63">
        <f>股权价值增加表!R43</f>
        <v>0.21958352105318776</v>
      </c>
      <c r="S48" s="63" t="e">
        <f>股权价值增加表!S43</f>
        <v>#DIV/0!</v>
      </c>
      <c r="T48" s="63" t="e">
        <f>股权价值增加表!T43</f>
        <v>#DIV/0!</v>
      </c>
      <c r="U48" s="63" t="e">
        <f>股权价值增加表!U43</f>
        <v>#DIV/0!</v>
      </c>
      <c r="V48" s="63" t="e">
        <f>股权价值增加表!V43</f>
        <v>#DIV/0!</v>
      </c>
      <c r="W48" s="63" t="e">
        <f>股权价值增加表!W43</f>
        <v>#DIV/0!</v>
      </c>
      <c r="X48" s="63" t="e">
        <f>股权价值增加表!X43</f>
        <v>#DIV/0!</v>
      </c>
      <c r="Y48" s="63" t="e">
        <f>股权价值增加表!Y43</f>
        <v>#DIV/0!</v>
      </c>
      <c r="Z48" s="63" t="e">
        <f>股权价值增加表!Z43</f>
        <v>#DIV/0!</v>
      </c>
      <c r="AA48" s="63" t="e">
        <f>股权价值增加表!AA43</f>
        <v>#DIV/0!</v>
      </c>
      <c r="AB48" s="63" t="e">
        <f>股权价值增加表!AB43</f>
        <v>#DIV/0!</v>
      </c>
      <c r="AC48" s="63" t="e">
        <f>股权价值增加表!AC43</f>
        <v>#DIV/0!</v>
      </c>
      <c r="AD48" s="63" t="e">
        <f>股权价值增加表!AD43</f>
        <v>#DIV/0!</v>
      </c>
      <c r="AE48" s="63" t="e">
        <f>股权价值增加表!AE43</f>
        <v>#DIV/0!</v>
      </c>
      <c r="AF48" s="63" t="e">
        <f>股权价值增加表!AF43</f>
        <v>#DIV/0!</v>
      </c>
      <c r="AG48" s="63" t="e">
        <f>股权价值增加表!AG43</f>
        <v>#DIV/0!</v>
      </c>
      <c r="AH48" s="63" t="e">
        <f>股权价值增加表!AH43</f>
        <v>#DIV/0!</v>
      </c>
      <c r="AI48" s="63" t="e">
        <f>股权价值增加表!AI43</f>
        <v>#DIV/0!</v>
      </c>
      <c r="AJ48" s="63" t="e">
        <f>股权价值增加表!AJ43</f>
        <v>#DIV/0!</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9.9956543180607052E-2</v>
      </c>
      <c r="F49" s="59">
        <f t="shared" ref="F49:BQ49" si="43">(F47-J47)/J47</f>
        <v>0.11759565517641789</v>
      </c>
      <c r="G49" s="59">
        <f t="shared" si="43"/>
        <v>0.17256699617673357</v>
      </c>
      <c r="H49" s="59">
        <f t="shared" si="43"/>
        <v>0.91663738778883952</v>
      </c>
      <c r="I49" s="59">
        <f t="shared" si="43"/>
        <v>0.12922261810754254</v>
      </c>
      <c r="J49" s="59">
        <f t="shared" si="43"/>
        <v>0.18476500552612254</v>
      </c>
      <c r="K49" s="59">
        <f t="shared" si="43"/>
        <v>-0.49122228770676862</v>
      </c>
      <c r="L49" s="59">
        <f t="shared" si="43"/>
        <v>-0.89485315549367184</v>
      </c>
      <c r="M49" s="59">
        <f t="shared" si="43"/>
        <v>0.43488787195641354</v>
      </c>
      <c r="N49" s="59">
        <f t="shared" si="43"/>
        <v>0.13364165970558087</v>
      </c>
      <c r="O49" s="59" t="e">
        <f t="shared" si="43"/>
        <v>#DIV/0!</v>
      </c>
      <c r="P49" s="59">
        <f t="shared" si="43"/>
        <v>-1.122181543915364</v>
      </c>
      <c r="Q49" s="59">
        <f t="shared" si="43"/>
        <v>-1.0376241830544657</v>
      </c>
      <c r="R49" s="59">
        <f t="shared" si="43"/>
        <v>-1.0392992273559396</v>
      </c>
      <c r="S49" s="59">
        <f t="shared" si="43"/>
        <v>-1</v>
      </c>
      <c r="T49" s="59">
        <f t="shared" si="43"/>
        <v>-0.30980168620519205</v>
      </c>
      <c r="U49" s="59">
        <f t="shared" si="43"/>
        <v>-0.19605759110824084</v>
      </c>
      <c r="V49" s="59">
        <f t="shared" si="43"/>
        <v>-0.10656022436201967</v>
      </c>
      <c r="W49" s="59">
        <f t="shared" si="43"/>
        <v>0.14473332160970387</v>
      </c>
      <c r="X49" s="59">
        <f t="shared" si="43"/>
        <v>0.119713987143029</v>
      </c>
      <c r="Y49" s="59">
        <f t="shared" si="43"/>
        <v>0.60306098695860955</v>
      </c>
      <c r="Z49" s="59">
        <f t="shared" si="43"/>
        <v>0.43519211464162222</v>
      </c>
      <c r="AA49" s="59">
        <f t="shared" si="43"/>
        <v>0.3941505230241778</v>
      </c>
      <c r="AB49" s="59">
        <f t="shared" si="43"/>
        <v>0.31704100592905826</v>
      </c>
      <c r="AC49" s="59">
        <f t="shared" si="43"/>
        <v>0.23479148205998396</v>
      </c>
      <c r="AD49" s="59">
        <f t="shared" si="43"/>
        <v>0.32209697431379158</v>
      </c>
      <c r="AE49" s="59">
        <f t="shared" si="43"/>
        <v>0.3676839972215023</v>
      </c>
      <c r="AF49" s="59">
        <f t="shared" si="43"/>
        <v>0.36077398688336038</v>
      </c>
      <c r="AG49" s="59">
        <f t="shared" si="43"/>
        <v>0.27586827832736927</v>
      </c>
      <c r="AH49" s="59">
        <f t="shared" si="43"/>
        <v>0.45688968294522364</v>
      </c>
      <c r="AI49" s="59">
        <f t="shared" si="43"/>
        <v>0.37819594166045911</v>
      </c>
      <c r="AJ49" s="59">
        <f t="shared" si="43"/>
        <v>0.30587761937191188</v>
      </c>
      <c r="AK49" s="59">
        <f t="shared" si="43"/>
        <v>1.5215078210892032</v>
      </c>
      <c r="AL49" s="59">
        <f t="shared" si="43"/>
        <v>0.74346212171854054</v>
      </c>
      <c r="AM49" s="59">
        <f t="shared" si="43"/>
        <v>0.51567799047172747</v>
      </c>
      <c r="AN49" s="59">
        <f t="shared" si="43"/>
        <v>0.18733895289517088</v>
      </c>
      <c r="AO49" s="59">
        <f t="shared" si="43"/>
        <v>-0.33142303496322673</v>
      </c>
      <c r="AP49" s="59">
        <f t="shared" si="43"/>
        <v>-0.32221532080162696</v>
      </c>
      <c r="AQ49" s="59">
        <f t="shared" si="43"/>
        <v>-0.37232960236131291</v>
      </c>
      <c r="AR49" s="59">
        <f t="shared" si="43"/>
        <v>-0.13576435564059997</v>
      </c>
      <c r="AS49" s="59">
        <f t="shared" si="43"/>
        <v>0.10765202076352952</v>
      </c>
      <c r="AT49" s="59">
        <f t="shared" si="43"/>
        <v>0.21978228556988774</v>
      </c>
      <c r="AU49" s="59">
        <f t="shared" si="43"/>
        <v>0.33312930259253765</v>
      </c>
      <c r="AV49" s="59">
        <f t="shared" si="43"/>
        <v>0.33310416407447341</v>
      </c>
      <c r="AW49" s="59">
        <f t="shared" si="43"/>
        <v>0.46655447920322857</v>
      </c>
      <c r="AX49" s="59">
        <f t="shared" si="43"/>
        <v>0.31958621199061016</v>
      </c>
      <c r="AY49" s="59">
        <f t="shared" si="43"/>
        <v>0.18985908728139914</v>
      </c>
      <c r="AZ49" s="59">
        <f t="shared" si="43"/>
        <v>0.19558408831860988</v>
      </c>
      <c r="BA49" s="59">
        <f t="shared" si="43"/>
        <v>-9.5097801316947256E-2</v>
      </c>
      <c r="BB49" s="59">
        <f t="shared" si="43"/>
        <v>0.10244235163337981</v>
      </c>
      <c r="BC49" s="59">
        <f t="shared" si="43"/>
        <v>0.24078340355986305</v>
      </c>
      <c r="BD49" s="59">
        <f t="shared" si="43"/>
        <v>0.21966974111021106</v>
      </c>
      <c r="BE49" s="59">
        <f t="shared" si="43"/>
        <v>0.16709944793157067</v>
      </c>
      <c r="BF49" s="59">
        <f t="shared" si="43"/>
        <v>0.17286298999041566</v>
      </c>
      <c r="BG49" s="59">
        <f t="shared" si="43"/>
        <v>0.12190902803145222</v>
      </c>
      <c r="BH49" s="59">
        <f t="shared" si="43"/>
        <v>-6.8848277627286819E-2</v>
      </c>
      <c r="BI49" s="59">
        <f t="shared" si="43"/>
        <v>0.59329317962561823</v>
      </c>
      <c r="BJ49" s="59">
        <f t="shared" si="43"/>
        <v>0.74367991898136643</v>
      </c>
      <c r="BK49" s="59">
        <f t="shared" si="43"/>
        <v>1.0948230222816839</v>
      </c>
      <c r="BL49" s="59">
        <f t="shared" si="43"/>
        <v>0.79470938804926439</v>
      </c>
      <c r="BM49" s="59">
        <f t="shared" si="43"/>
        <v>1.8253102113977997</v>
      </c>
      <c r="BN49" s="59">
        <f t="shared" si="43"/>
        <v>0.13054193744505302</v>
      </c>
      <c r="BO49" s="59">
        <f t="shared" si="43"/>
        <v>-0.25773333387358083</v>
      </c>
      <c r="BP49" s="59">
        <f t="shared" si="43"/>
        <v>-0.10907560658767425</v>
      </c>
      <c r="BQ49" s="59">
        <f t="shared" si="43"/>
        <v>-0.64437444127486465</v>
      </c>
      <c r="BR49" s="59">
        <f t="shared" ref="BR49:CJ49" si="44">(BR47-BV47)/BV47</f>
        <v>-0.48640439940260538</v>
      </c>
      <c r="BS49" s="59">
        <f t="shared" si="44"/>
        <v>-0.46945288335106611</v>
      </c>
      <c r="BT49" s="59">
        <f t="shared" si="44"/>
        <v>1.2434443665544141</v>
      </c>
      <c r="BU49" s="59">
        <f t="shared" si="44"/>
        <v>2.006684591334389E-2</v>
      </c>
      <c r="BV49" s="59">
        <f t="shared" si="44"/>
        <v>6.0569029657770379</v>
      </c>
      <c r="BW49" s="59">
        <f t="shared" si="44"/>
        <v>0.602460980659833</v>
      </c>
      <c r="BX49" s="59">
        <f t="shared" si="44"/>
        <v>-0.60452225899251344</v>
      </c>
      <c r="BY49" s="59">
        <f t="shared" si="44"/>
        <v>0.82626460561985016</v>
      </c>
      <c r="BZ49" s="59" t="e">
        <f t="shared" si="44"/>
        <v>#DIV/0!</v>
      </c>
      <c r="CA49" s="59">
        <f t="shared" si="44"/>
        <v>7.9605727040486034</v>
      </c>
      <c r="CB49" s="59">
        <f t="shared" si="44"/>
        <v>9.0513382279123302</v>
      </c>
      <c r="CC49" s="59">
        <f t="shared" si="44"/>
        <v>26.541020842956119</v>
      </c>
      <c r="CD49" s="59">
        <f t="shared" si="44"/>
        <v>-1</v>
      </c>
      <c r="CE49" s="59">
        <f t="shared" si="44"/>
        <v>0.60519584332533971</v>
      </c>
      <c r="CF49" s="59">
        <f t="shared" si="44"/>
        <v>2.9544253002754819</v>
      </c>
      <c r="CG49" s="59" t="e">
        <f t="shared" si="44"/>
        <v>#DIV/0!</v>
      </c>
      <c r="CH49" s="59" t="e">
        <f t="shared" si="44"/>
        <v>#DIV/0!</v>
      </c>
      <c r="CI49" s="59" t="e">
        <f t="shared" si="44"/>
        <v>#DIV/0!</v>
      </c>
      <c r="CJ49" s="59" t="e">
        <f t="shared" si="44"/>
        <v>#DIV/0!</v>
      </c>
    </row>
    <row r="50" spans="1:88" s="26" customFormat="1" x14ac:dyDescent="0.25">
      <c r="A50" s="17" t="s">
        <v>426</v>
      </c>
      <c r="E50" s="26">
        <f>股权价值增加表!E47</f>
        <v>52494399.365199998</v>
      </c>
      <c r="F50" s="26">
        <f>股权价值增加表!F47</f>
        <v>20147550.958000034</v>
      </c>
      <c r="G50" s="26">
        <f>股权价值增加表!G47</f>
        <v>-23461030.080799989</v>
      </c>
      <c r="H50" s="26">
        <f>股权价值增加表!H47</f>
        <v>-62411747.419600002</v>
      </c>
      <c r="I50" s="26">
        <f>股权价值增加表!I47</f>
        <v>48481079.171599939</v>
      </c>
      <c r="J50" s="26">
        <f>股权价值增加表!J47</f>
        <v>57902830.927200019</v>
      </c>
      <c r="K50" s="26">
        <f>股权价值增加表!K47</f>
        <v>16347997.309999984</v>
      </c>
      <c r="L50" s="26">
        <f>股权价值增加表!L47</f>
        <v>-29407193.352399997</v>
      </c>
      <c r="M50" s="26">
        <f>股权价值增加表!M47</f>
        <v>81757183.258399993</v>
      </c>
      <c r="N50" s="26">
        <f>股权价值增加表!N47</f>
        <v>53464038.43999996</v>
      </c>
      <c r="O50" s="26">
        <f>股权价值增加表!O47</f>
        <v>74563688.741600037</v>
      </c>
      <c r="P50" s="26">
        <f>股权价值增加表!P47</f>
        <v>67236857.736000031</v>
      </c>
      <c r="Q50" s="26">
        <f>股权价值增加表!Q47</f>
        <v>78574092.780000001</v>
      </c>
      <c r="R50" s="26">
        <f>股权价值增加表!R47</f>
        <v>69584154.749999985</v>
      </c>
      <c r="S50" s="26">
        <f>股权价值增加表!S47</f>
        <v>0</v>
      </c>
      <c r="T50" s="26">
        <f>股权价值增加表!T47</f>
        <v>-3868038785.9252005</v>
      </c>
      <c r="U50" s="26">
        <f>股权价值增加表!U47</f>
        <v>-5049936089.9771996</v>
      </c>
      <c r="V50" s="26">
        <f>股权价值增加表!V47</f>
        <v>-4645524401.3476</v>
      </c>
      <c r="W50" s="26">
        <f>股权价值增加表!W47</f>
        <v>-4262542827.1395998</v>
      </c>
      <c r="X50" s="26">
        <f>股权价值增加表!X47</f>
        <v>-3818321607.2244005</v>
      </c>
      <c r="Y50" s="26">
        <f>股权价值增加表!Y47</f>
        <v>-5119375855.2939997</v>
      </c>
      <c r="Z50" s="26">
        <f>股权价值增加表!Z47</f>
        <v>-4351521066.0344</v>
      </c>
      <c r="AA50" s="26">
        <f>股权价值增加表!AA47</f>
        <v>-3453061580.3604002</v>
      </c>
      <c r="AB50" s="26">
        <f>股权价值增加表!AB47</f>
        <v>-3016026399.7420001</v>
      </c>
      <c r="AC50" s="26">
        <f>股权价值增加表!AC47</f>
        <v>-3496191358.9559999</v>
      </c>
      <c r="AD50" s="26">
        <f>股权价值增加表!AD47</f>
        <v>-3159150603.4176006</v>
      </c>
      <c r="AE50" s="26">
        <f>股权价值增加表!AE47</f>
        <v>-2599330863.8928003</v>
      </c>
      <c r="AF50" s="26">
        <f>股权价值增加表!AF47</f>
        <v>-2320809198.2547998</v>
      </c>
      <c r="AG50" s="26">
        <f>股权价值增加表!AG47</f>
        <v>-2781620029.7676001</v>
      </c>
      <c r="AH50" s="26">
        <f>股权价值增加表!AH47</f>
        <v>-2445973651.9331999</v>
      </c>
      <c r="AI50" s="26">
        <f>股权价值增加表!AI47</f>
        <v>-1995822294.8076</v>
      </c>
      <c r="AJ50" s="26">
        <f>股权价值增加表!AJ47</f>
        <v>-1791496679.5492001</v>
      </c>
      <c r="AK50" s="26">
        <f>股权价值增加表!AK47</f>
        <v>-2195016432.8972001</v>
      </c>
      <c r="AL50" s="26">
        <f>股权价值增加表!AL47</f>
        <v>-1809611796.128</v>
      </c>
      <c r="AM50" s="26">
        <f>股权价值增加表!AM47</f>
        <v>-1530572190.7395999</v>
      </c>
      <c r="AN50" s="26">
        <f>股权价值增加表!AN47</f>
        <v>-1398206785.8844001</v>
      </c>
      <c r="AO50" s="26">
        <f>股权价值增加表!AO47</f>
        <v>-1324397326.0776</v>
      </c>
      <c r="AP50" s="26">
        <f>股权价值增加表!AP47</f>
        <v>-1309621530.4188001</v>
      </c>
      <c r="AQ50" s="26">
        <f>股权价值增加表!AQ47</f>
        <v>-1204430921.7676001</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683</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670</v>
      </c>
      <c r="E53" s="1">
        <f>E1</f>
        <v>43100</v>
      </c>
      <c r="F53" s="1">
        <f t="shared" ref="F53:AC53" si="45">F1</f>
        <v>43008</v>
      </c>
      <c r="G53" s="1">
        <f t="shared" si="45"/>
        <v>42916</v>
      </c>
      <c r="H53" s="1">
        <f t="shared" si="45"/>
        <v>42825</v>
      </c>
      <c r="I53" s="1">
        <f t="shared" si="45"/>
        <v>42735</v>
      </c>
      <c r="J53" s="1">
        <f t="shared" si="45"/>
        <v>42643</v>
      </c>
      <c r="K53" s="1">
        <f t="shared" si="45"/>
        <v>42551</v>
      </c>
      <c r="L53" s="1">
        <f t="shared" si="45"/>
        <v>42460</v>
      </c>
      <c r="M53" s="1">
        <f t="shared" si="45"/>
        <v>42369</v>
      </c>
      <c r="N53" s="1">
        <f t="shared" si="45"/>
        <v>42277</v>
      </c>
      <c r="O53" s="1">
        <f t="shared" si="45"/>
        <v>42004</v>
      </c>
      <c r="P53" s="1">
        <f t="shared" si="45"/>
        <v>41639</v>
      </c>
      <c r="Q53" s="1">
        <f t="shared" si="45"/>
        <v>41274</v>
      </c>
      <c r="R53" s="1">
        <f t="shared" si="45"/>
        <v>40908</v>
      </c>
      <c r="S53" s="1">
        <f t="shared" si="45"/>
        <v>25569</v>
      </c>
      <c r="T53" s="1">
        <f t="shared" si="45"/>
        <v>0</v>
      </c>
      <c r="U53" s="1">
        <f t="shared" si="45"/>
        <v>0</v>
      </c>
      <c r="V53" s="1">
        <f t="shared" si="45"/>
        <v>0</v>
      </c>
      <c r="W53" s="1">
        <f t="shared" si="45"/>
        <v>0</v>
      </c>
      <c r="X53" s="1">
        <f t="shared" si="45"/>
        <v>0</v>
      </c>
      <c r="Y53" s="1">
        <f t="shared" si="45"/>
        <v>0</v>
      </c>
      <c r="Z53" s="1">
        <f t="shared" si="45"/>
        <v>0</v>
      </c>
      <c r="AA53" s="1">
        <f t="shared" si="45"/>
        <v>0</v>
      </c>
      <c r="AB53" s="1">
        <f t="shared" si="45"/>
        <v>0</v>
      </c>
      <c r="AC53" s="1">
        <f t="shared" si="45"/>
        <v>0</v>
      </c>
    </row>
    <row r="54" spans="1:88" x14ac:dyDescent="0.25">
      <c r="A54" s="17" t="s">
        <v>671</v>
      </c>
      <c r="E54" s="191">
        <f>E39</f>
        <v>166254087.90000001</v>
      </c>
      <c r="F54" s="191">
        <f t="shared" ref="F54:AC54" si="46">F39</f>
        <v>123974008.48000005</v>
      </c>
      <c r="G54" s="191">
        <f t="shared" si="46"/>
        <v>68565731.800000012</v>
      </c>
      <c r="H54" s="191">
        <f t="shared" si="46"/>
        <v>21351904.00999999</v>
      </c>
      <c r="I54" s="191">
        <f t="shared" si="46"/>
        <v>154464604.63999996</v>
      </c>
      <c r="J54" s="191">
        <f t="shared" si="46"/>
        <v>114236527.72000003</v>
      </c>
      <c r="K54" s="191">
        <f t="shared" si="46"/>
        <v>59553780.909999989</v>
      </c>
      <c r="L54" s="191">
        <f t="shared" si="46"/>
        <v>11857340.220000006</v>
      </c>
      <c r="M54" s="191">
        <f t="shared" si="46"/>
        <v>139508536.5</v>
      </c>
      <c r="N54" s="191">
        <f t="shared" si="46"/>
        <v>98734106.919999972</v>
      </c>
      <c r="O54" s="191">
        <f t="shared" si="46"/>
        <v>121681477.87000003</v>
      </c>
      <c r="P54" s="191">
        <f t="shared" si="46"/>
        <v>111732572.96000004</v>
      </c>
      <c r="Q54" s="191">
        <f t="shared" si="46"/>
        <v>96611045.13000001</v>
      </c>
      <c r="R54" s="191">
        <f t="shared" si="46"/>
        <v>83600165.599999994</v>
      </c>
      <c r="S54" s="191">
        <f t="shared" si="46"/>
        <v>0</v>
      </c>
      <c r="T54" s="191">
        <f t="shared" si="46"/>
        <v>0</v>
      </c>
      <c r="U54" s="191">
        <f t="shared" si="46"/>
        <v>830830320.38</v>
      </c>
      <c r="V54" s="191">
        <f t="shared" si="46"/>
        <v>3732421.22</v>
      </c>
      <c r="W54" s="191">
        <f t="shared" si="46"/>
        <v>3732421.22</v>
      </c>
      <c r="X54" s="191">
        <f t="shared" si="46"/>
        <v>0</v>
      </c>
      <c r="Y54" s="191">
        <f t="shared" si="46"/>
        <v>793102067.42999995</v>
      </c>
      <c r="Z54" s="191">
        <f t="shared" si="46"/>
        <v>-917593.17</v>
      </c>
      <c r="AA54" s="191">
        <f t="shared" si="46"/>
        <v>-984891.57</v>
      </c>
      <c r="AB54" s="191">
        <f t="shared" si="46"/>
        <v>-9791.5400000000009</v>
      </c>
      <c r="AC54" s="191">
        <f t="shared" si="46"/>
        <v>477256150.63999999</v>
      </c>
    </row>
    <row r="55" spans="1:88" s="63" customFormat="1" x14ac:dyDescent="0.25">
      <c r="A55" s="63" t="s">
        <v>672</v>
      </c>
      <c r="E55" s="63">
        <f>E54/E2</f>
        <v>0.22096240780960927</v>
      </c>
      <c r="F55" s="63">
        <f t="shared" ref="F55:AC55" si="47">F54/F2</f>
        <v>0.2357938161829467</v>
      </c>
      <c r="G55" s="63">
        <f t="shared" si="47"/>
        <v>0.20179998639159474</v>
      </c>
      <c r="H55" s="63">
        <f t="shared" si="47"/>
        <v>0.13891864284186209</v>
      </c>
      <c r="I55" s="63">
        <f t="shared" si="47"/>
        <v>0.23227361159850929</v>
      </c>
      <c r="J55" s="63">
        <f t="shared" si="47"/>
        <v>0.25161791760811975</v>
      </c>
      <c r="K55" s="63">
        <f t="shared" si="47"/>
        <v>0.21024621274883967</v>
      </c>
      <c r="L55" s="63">
        <f t="shared" si="47"/>
        <v>9.5390858381427704E-2</v>
      </c>
      <c r="M55" s="63">
        <f t="shared" si="47"/>
        <v>0.23366781761171718</v>
      </c>
      <c r="N55" s="63">
        <f t="shared" si="47"/>
        <v>0.2411234567034678</v>
      </c>
      <c r="O55" s="63">
        <f t="shared" si="47"/>
        <v>0.23010448239094775</v>
      </c>
      <c r="P55" s="63">
        <f t="shared" si="47"/>
        <v>0.23042017511296525</v>
      </c>
      <c r="Q55" s="63">
        <f t="shared" si="47"/>
        <v>0.24421779960748016</v>
      </c>
      <c r="R55" s="63">
        <f t="shared" si="47"/>
        <v>0.26381320271879261</v>
      </c>
      <c r="S55" s="63" t="e">
        <f t="shared" si="47"/>
        <v>#DIV/0!</v>
      </c>
      <c r="T55" s="63" t="e">
        <f t="shared" si="47"/>
        <v>#DIV/0!</v>
      </c>
      <c r="U55" s="63" t="e">
        <f t="shared" si="47"/>
        <v>#DIV/0!</v>
      </c>
      <c r="V55" s="63" t="e">
        <f t="shared" si="47"/>
        <v>#DIV/0!</v>
      </c>
      <c r="W55" s="63" t="e">
        <f t="shared" si="47"/>
        <v>#DIV/0!</v>
      </c>
      <c r="X55" s="63" t="e">
        <f t="shared" si="47"/>
        <v>#DIV/0!</v>
      </c>
      <c r="Y55" s="63" t="e">
        <f t="shared" si="47"/>
        <v>#DIV/0!</v>
      </c>
      <c r="Z55" s="63" t="e">
        <f t="shared" si="47"/>
        <v>#DIV/0!</v>
      </c>
      <c r="AA55" s="63" t="e">
        <f t="shared" si="47"/>
        <v>#DIV/0!</v>
      </c>
      <c r="AB55" s="63" t="e">
        <f t="shared" si="47"/>
        <v>#DIV/0!</v>
      </c>
      <c r="AC55" s="63" t="e">
        <f t="shared" si="47"/>
        <v>#DIV/0!</v>
      </c>
    </row>
    <row r="56" spans="1:88" x14ac:dyDescent="0.25">
      <c r="A56" s="17" t="s">
        <v>673</v>
      </c>
      <c r="E56" s="191">
        <f>E23</f>
        <v>131862245.31655653</v>
      </c>
      <c r="F56" s="191">
        <f t="shared" ref="F56:AC56" si="48">F23</f>
        <v>99155553.065059483</v>
      </c>
      <c r="G56" s="191">
        <f t="shared" si="48"/>
        <v>54064735.591907874</v>
      </c>
      <c r="H56" s="191">
        <f t="shared" si="48"/>
        <v>16486232.646324649</v>
      </c>
      <c r="I56" s="191">
        <f t="shared" si="48"/>
        <v>130251681.47252651</v>
      </c>
      <c r="J56" s="191">
        <f t="shared" si="48"/>
        <v>96104716.657987207</v>
      </c>
      <c r="K56" s="191">
        <f t="shared" si="48"/>
        <v>49896706.918183491</v>
      </c>
      <c r="L56" s="191">
        <f t="shared" si="48"/>
        <v>9641952.0730275512</v>
      </c>
      <c r="M56" s="191">
        <f t="shared" si="48"/>
        <v>117478001.56777264</v>
      </c>
      <c r="N56" s="191">
        <f t="shared" si="48"/>
        <v>82319387.510931507</v>
      </c>
      <c r="O56" s="191">
        <f t="shared" si="48"/>
        <v>103006179.04089503</v>
      </c>
      <c r="P56" s="191">
        <f t="shared" si="48"/>
        <v>93171734.136197031</v>
      </c>
      <c r="Q56" s="191">
        <f t="shared" si="48"/>
        <v>78570681.575730503</v>
      </c>
      <c r="R56" s="191">
        <f t="shared" si="48"/>
        <v>69095138.258024842</v>
      </c>
      <c r="S56" s="191" t="e">
        <f t="shared" si="48"/>
        <v>#DIV/0!</v>
      </c>
      <c r="T56" s="191">
        <f t="shared" si="48"/>
        <v>0</v>
      </c>
      <c r="U56" s="191">
        <f t="shared" si="48"/>
        <v>-14654163.3124847</v>
      </c>
      <c r="V56" s="191">
        <f t="shared" si="48"/>
        <v>0</v>
      </c>
      <c r="W56" s="191">
        <f t="shared" si="48"/>
        <v>0</v>
      </c>
      <c r="X56" s="191">
        <f t="shared" si="48"/>
        <v>0</v>
      </c>
      <c r="Y56" s="191">
        <f t="shared" si="48"/>
        <v>-38862740.031897604</v>
      </c>
      <c r="Z56" s="191">
        <f t="shared" si="48"/>
        <v>0</v>
      </c>
      <c r="AA56" s="191">
        <f t="shared" si="48"/>
        <v>0</v>
      </c>
      <c r="AB56" s="191">
        <f t="shared" si="48"/>
        <v>0</v>
      </c>
      <c r="AC56" s="191">
        <f t="shared" si="48"/>
        <v>-27571135.956625599</v>
      </c>
    </row>
    <row r="57" spans="1:88" s="63" customFormat="1" x14ac:dyDescent="0.25">
      <c r="A57" s="63" t="s">
        <v>674</v>
      </c>
      <c r="E57" s="63">
        <f>E56/E2</f>
        <v>0.17525343041100466</v>
      </c>
      <c r="F57" s="63">
        <f t="shared" ref="F57:AC57" si="49">F56/F2</f>
        <v>0.18859006447882054</v>
      </c>
      <c r="G57" s="63">
        <f t="shared" si="49"/>
        <v>0.15912122018235611</v>
      </c>
      <c r="H57" s="63">
        <f t="shared" si="49"/>
        <v>0.10726186590807094</v>
      </c>
      <c r="I57" s="63">
        <f t="shared" si="49"/>
        <v>0.19586382616854753</v>
      </c>
      <c r="J57" s="63">
        <f t="shared" si="49"/>
        <v>0.21168070459101931</v>
      </c>
      <c r="K57" s="63">
        <f t="shared" si="49"/>
        <v>0.17615327688498408</v>
      </c>
      <c r="L57" s="63">
        <f t="shared" si="49"/>
        <v>7.7568330473247057E-2</v>
      </c>
      <c r="M57" s="63">
        <f t="shared" si="49"/>
        <v>0.19676808984178054</v>
      </c>
      <c r="N57" s="63">
        <f t="shared" si="49"/>
        <v>0.2010362567661749</v>
      </c>
      <c r="O57" s="63">
        <f t="shared" si="49"/>
        <v>0.19478875442815524</v>
      </c>
      <c r="P57" s="63">
        <f t="shared" si="49"/>
        <v>0.19214313898353419</v>
      </c>
      <c r="Q57" s="63">
        <f t="shared" si="49"/>
        <v>0.1986145470454749</v>
      </c>
      <c r="R57" s="63">
        <f t="shared" si="49"/>
        <v>0.21804035417062992</v>
      </c>
      <c r="S57" s="63" t="e">
        <f t="shared" si="49"/>
        <v>#DIV/0!</v>
      </c>
      <c r="T57" s="63" t="e">
        <f t="shared" si="49"/>
        <v>#DIV/0!</v>
      </c>
      <c r="U57" s="63" t="e">
        <f t="shared" si="49"/>
        <v>#DIV/0!</v>
      </c>
      <c r="V57" s="63" t="e">
        <f t="shared" si="49"/>
        <v>#DIV/0!</v>
      </c>
      <c r="W57" s="63" t="e">
        <f t="shared" si="49"/>
        <v>#DIV/0!</v>
      </c>
      <c r="X57" s="63" t="e">
        <f t="shared" si="49"/>
        <v>#DIV/0!</v>
      </c>
      <c r="Y57" s="63" t="e">
        <f t="shared" si="49"/>
        <v>#DIV/0!</v>
      </c>
      <c r="Z57" s="63" t="e">
        <f t="shared" si="49"/>
        <v>#DIV/0!</v>
      </c>
      <c r="AA57" s="63" t="e">
        <f t="shared" si="49"/>
        <v>#DIV/0!</v>
      </c>
      <c r="AB57" s="63" t="e">
        <f t="shared" si="49"/>
        <v>#DIV/0!</v>
      </c>
      <c r="AC57" s="63" t="e">
        <f t="shared" si="49"/>
        <v>#DIV/0!</v>
      </c>
    </row>
    <row r="58" spans="1:88" ht="93" customHeight="1" x14ac:dyDescent="0.25">
      <c r="A58" s="278" t="s">
        <v>675</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3" customFormat="1" x14ac:dyDescent="0.25">
      <c r="A60" s="225" t="s">
        <v>677</v>
      </c>
      <c r="B60" s="221"/>
      <c r="C60" s="221"/>
      <c r="D60" s="221"/>
      <c r="E60" s="226">
        <f>E53</f>
        <v>43100</v>
      </c>
      <c r="F60" s="226">
        <f t="shared" ref="F60:AC60" si="50">F53</f>
        <v>43008</v>
      </c>
      <c r="G60" s="226">
        <f t="shared" si="50"/>
        <v>42916</v>
      </c>
      <c r="H60" s="226">
        <f t="shared" si="50"/>
        <v>42825</v>
      </c>
      <c r="I60" s="226">
        <f t="shared" si="50"/>
        <v>42735</v>
      </c>
      <c r="J60" s="226">
        <f t="shared" si="50"/>
        <v>42643</v>
      </c>
      <c r="K60" s="226">
        <f t="shared" si="50"/>
        <v>42551</v>
      </c>
      <c r="L60" s="226">
        <f t="shared" si="50"/>
        <v>42460</v>
      </c>
      <c r="M60" s="226">
        <f t="shared" si="50"/>
        <v>42369</v>
      </c>
      <c r="N60" s="226">
        <f t="shared" si="50"/>
        <v>42277</v>
      </c>
      <c r="O60" s="226">
        <f t="shared" si="50"/>
        <v>42004</v>
      </c>
      <c r="P60" s="226">
        <f t="shared" si="50"/>
        <v>41639</v>
      </c>
      <c r="Q60" s="226">
        <f t="shared" si="50"/>
        <v>41274</v>
      </c>
      <c r="R60" s="226">
        <f t="shared" si="50"/>
        <v>40908</v>
      </c>
      <c r="S60" s="226">
        <f t="shared" si="50"/>
        <v>25569</v>
      </c>
      <c r="T60" s="226">
        <f t="shared" si="50"/>
        <v>0</v>
      </c>
      <c r="U60" s="226">
        <f t="shared" si="50"/>
        <v>0</v>
      </c>
      <c r="V60" s="226">
        <f t="shared" si="50"/>
        <v>0</v>
      </c>
      <c r="W60" s="226">
        <f t="shared" si="50"/>
        <v>0</v>
      </c>
      <c r="X60" s="226">
        <f t="shared" si="50"/>
        <v>0</v>
      </c>
      <c r="Y60" s="226">
        <f t="shared" si="50"/>
        <v>0</v>
      </c>
      <c r="Z60" s="226">
        <f t="shared" si="50"/>
        <v>0</v>
      </c>
      <c r="AA60" s="226">
        <f t="shared" si="50"/>
        <v>0</v>
      </c>
      <c r="AB60" s="226">
        <f t="shared" si="50"/>
        <v>0</v>
      </c>
      <c r="AC60" s="226">
        <f t="shared" si="50"/>
        <v>0</v>
      </c>
    </row>
    <row r="61" spans="1:88" s="191" customFormat="1" x14ac:dyDescent="0.25">
      <c r="A61" s="88" t="s">
        <v>678</v>
      </c>
      <c r="B61" s="88"/>
      <c r="C61" s="88"/>
      <c r="D61" s="88"/>
      <c r="E61" s="88">
        <f>股权价值增加表!E38</f>
        <v>165517045.63</v>
      </c>
      <c r="F61" s="88">
        <f>股权价值增加表!F38</f>
        <v>124698517.17000005</v>
      </c>
      <c r="G61" s="88">
        <f>股权价值增加表!G38</f>
        <v>68823769.700000018</v>
      </c>
      <c r="H61" s="88">
        <f>股权价值增加表!H38</f>
        <v>21151738.219999991</v>
      </c>
      <c r="I61" s="88">
        <f>股权价值增加表!I38</f>
        <v>149336203.51999995</v>
      </c>
      <c r="J61" s="88">
        <f>股权价值增加表!J38</f>
        <v>110997852.59000003</v>
      </c>
      <c r="K61" s="88">
        <f>股权价值增加表!K38</f>
        <v>57578394.519999988</v>
      </c>
      <c r="L61" s="88">
        <f>股权价值增加表!L38</f>
        <v>10864080.150000006</v>
      </c>
      <c r="M61" s="88">
        <f>股权价值增加表!M38</f>
        <v>133258805.45</v>
      </c>
      <c r="N61" s="88">
        <f>股权价值增加表!N38</f>
        <v>94510305.099999964</v>
      </c>
      <c r="O61" s="88">
        <f>股权价值增加表!O38</f>
        <v>112122121.20000003</v>
      </c>
      <c r="P61" s="88">
        <f>股权价值增加表!P38</f>
        <v>100755792.96000004</v>
      </c>
      <c r="Q61" s="88">
        <f>股权价值增加表!Q38</f>
        <v>96615239.570000008</v>
      </c>
      <c r="R61" s="88">
        <f>股权价值增加表!R38</f>
        <v>84191840.50999999</v>
      </c>
      <c r="S61" s="88">
        <f>股权价值增加表!S38</f>
        <v>0</v>
      </c>
      <c r="T61" s="88">
        <f>股权价值增加表!T38</f>
        <v>245115593.80000001</v>
      </c>
      <c r="U61" s="88">
        <f>股权价值增加表!U38</f>
        <v>836470729.83999991</v>
      </c>
      <c r="V61" s="88">
        <f>股权价值增加表!V38</f>
        <v>663136603.66000009</v>
      </c>
      <c r="W61" s="88">
        <f>股权价值增加表!W38</f>
        <v>475677319.73000002</v>
      </c>
      <c r="X61" s="88">
        <f>股权价值增加表!X38</f>
        <v>238664090.94</v>
      </c>
      <c r="Y61" s="88">
        <f>股权价值增加表!Y38</f>
        <v>805242211.47000003</v>
      </c>
      <c r="Z61" s="88">
        <f>股权价值增加表!Z38</f>
        <v>619411856.75999999</v>
      </c>
      <c r="AA61" s="88">
        <f>股权价值增加表!AA38</f>
        <v>399260576.25</v>
      </c>
      <c r="AB61" s="88">
        <f>股权价值增加表!AB38</f>
        <v>142300017.34</v>
      </c>
      <c r="AC61" s="88">
        <f>股权价值增加表!AC38</f>
        <v>485120205.63999999</v>
      </c>
    </row>
    <row r="62" spans="1:88" s="191" customFormat="1" x14ac:dyDescent="0.25">
      <c r="A62" s="88" t="s">
        <v>679</v>
      </c>
      <c r="B62" s="88"/>
      <c r="C62" s="88"/>
      <c r="D62" s="88"/>
      <c r="E62" s="88">
        <f>股权价值增加表!E40</f>
        <v>25476937.940000001</v>
      </c>
      <c r="F62" s="88">
        <f>股权价值增加表!F40</f>
        <v>20249808.260000002</v>
      </c>
      <c r="G62" s="88">
        <f>股权价值增加表!G40</f>
        <v>12200381.68</v>
      </c>
      <c r="H62" s="88">
        <f>股权价值增加表!H40</f>
        <v>4219646.83</v>
      </c>
      <c r="I62" s="88">
        <f>股权价值增加表!I40</f>
        <v>22021985.010000002</v>
      </c>
      <c r="J62" s="88">
        <f>股权价值增加表!J40</f>
        <v>17539446.210000001</v>
      </c>
      <c r="K62" s="88">
        <f>股权价值增加表!K40</f>
        <v>9288285.5500000007</v>
      </c>
      <c r="L62" s="88">
        <f>股权价值增加表!L40</f>
        <v>2029810.56</v>
      </c>
      <c r="M62" s="88">
        <f>股权价值增加表!M40</f>
        <v>20513792.670000002</v>
      </c>
      <c r="N62" s="88">
        <f>股权价值增加表!N40</f>
        <v>15626808.42</v>
      </c>
      <c r="O62" s="88">
        <f>股权价值增加表!O40</f>
        <v>17208158.18</v>
      </c>
      <c r="P62" s="88">
        <f>股权价值增加表!P40</f>
        <v>16737393.439999999</v>
      </c>
      <c r="Q62" s="88">
        <f>股权价值增加表!Q40</f>
        <v>18041146.789999999</v>
      </c>
      <c r="R62" s="88">
        <f>股权价值增加表!R40</f>
        <v>14607685.76</v>
      </c>
      <c r="S62" s="88">
        <f>股权价值增加表!S40</f>
        <v>0</v>
      </c>
      <c r="T62" s="88">
        <f>股权价值增加表!T40</f>
        <v>932767728.71000004</v>
      </c>
      <c r="U62" s="88">
        <f>股权价值增加表!U40</f>
        <v>2924864055.6500001</v>
      </c>
      <c r="V62" s="88">
        <f>股权价值增加表!V40</f>
        <v>2433760593.79</v>
      </c>
      <c r="W62" s="88">
        <f>股权价值增加表!W40</f>
        <v>1978855837.8399999</v>
      </c>
      <c r="X62" s="88">
        <f>股权价值增加表!X40</f>
        <v>1234975036.8900001</v>
      </c>
      <c r="Y62" s="88">
        <f>股权价值增加表!Y40</f>
        <v>3402932422.5</v>
      </c>
      <c r="Z62" s="88">
        <f>股权价值增加表!Z40</f>
        <v>2601217500.98</v>
      </c>
      <c r="AA62" s="88">
        <f>股权价值增加表!AA40</f>
        <v>1712386078.7</v>
      </c>
      <c r="AB62" s="88">
        <f>股权价值增加表!AB40</f>
        <v>1032090586.53</v>
      </c>
      <c r="AC62" s="88">
        <f>股权价值增加表!AC40</f>
        <v>2105576465.3599999</v>
      </c>
    </row>
    <row r="63" spans="1:88" x14ac:dyDescent="0.25">
      <c r="A63" s="182" t="s">
        <v>680</v>
      </c>
      <c r="B63" s="64"/>
      <c r="C63" s="64"/>
      <c r="D63" s="64"/>
      <c r="E63" s="64">
        <f>股权价值增加表!E42</f>
        <v>140040107.69</v>
      </c>
      <c r="F63" s="64">
        <f>股权价值增加表!F42</f>
        <v>104448708.91000004</v>
      </c>
      <c r="G63" s="64">
        <f>股权价值增加表!G42</f>
        <v>56623388.020000018</v>
      </c>
      <c r="H63" s="64">
        <f>股权价值增加表!H42</f>
        <v>16932091.389999993</v>
      </c>
      <c r="I63" s="64">
        <f>股权价值增加表!I42</f>
        <v>127314218.50999995</v>
      </c>
      <c r="J63" s="64">
        <f>股权价值增加表!J42</f>
        <v>93458406.380000025</v>
      </c>
      <c r="K63" s="64">
        <f>股权价值增加表!K42</f>
        <v>48290108.969999984</v>
      </c>
      <c r="L63" s="64">
        <f>股权价值增加表!L42</f>
        <v>8834269.5900000054</v>
      </c>
      <c r="M63" s="64">
        <f>股权价值增加表!M42</f>
        <v>112745012.78</v>
      </c>
      <c r="N63" s="64">
        <f>股权价值增加表!N42</f>
        <v>78883496.679999962</v>
      </c>
      <c r="O63" s="64">
        <f>股权价值增加表!O42</f>
        <v>94913963.020000041</v>
      </c>
      <c r="P63" s="64">
        <f>股权价值增加表!P42</f>
        <v>84018399.520000041</v>
      </c>
      <c r="Q63" s="64">
        <f>股权价值增加表!Q42</f>
        <v>78574092.780000001</v>
      </c>
      <c r="R63" s="64">
        <f>股权价值增加表!R42</f>
        <v>69584154.749999985</v>
      </c>
      <c r="S63" s="64">
        <f>股权价值增加表!S42</f>
        <v>0</v>
      </c>
      <c r="T63" s="64">
        <f>股权价值增加表!T42</f>
        <v>-687652134.91000009</v>
      </c>
      <c r="U63" s="64">
        <f>股权价值增加表!U42</f>
        <v>-2088393325.8100002</v>
      </c>
      <c r="V63" s="64">
        <f>股权价值增加表!V42</f>
        <v>-1770623990.1299999</v>
      </c>
      <c r="W63" s="64">
        <f>股权价值增加表!W42</f>
        <v>-1503178518.1099999</v>
      </c>
      <c r="X63" s="64">
        <f>股权价值增加表!X42</f>
        <v>-996310945.95000005</v>
      </c>
      <c r="Y63" s="64">
        <f>股权价值增加表!Y42</f>
        <v>-2597690211.0299997</v>
      </c>
      <c r="Z63" s="64">
        <f>股权价值增加表!Z42</f>
        <v>-1981805644.22</v>
      </c>
      <c r="AA63" s="64">
        <f>股权价值增加表!AA42</f>
        <v>-1313125502.45</v>
      </c>
      <c r="AB63" s="64">
        <f>股权价值增加表!AB42</f>
        <v>-889790569.18999994</v>
      </c>
      <c r="AC63" s="64">
        <f>股权价值增加表!AC42</f>
        <v>-1620456259.7199998</v>
      </c>
    </row>
    <row r="64" spans="1:88" s="63" customFormat="1" x14ac:dyDescent="0.25">
      <c r="A64" s="212" t="s">
        <v>681</v>
      </c>
      <c r="B64" s="212"/>
      <c r="C64" s="212"/>
      <c r="D64" s="212"/>
      <c r="E64" s="212">
        <f>1-E63/E61</f>
        <v>0.15392334875860236</v>
      </c>
      <c r="F64" s="212">
        <f t="shared" ref="F64:AC64" si="51">1-F63/F61</f>
        <v>0.16239012876467229</v>
      </c>
      <c r="G64" s="212">
        <f t="shared" si="51"/>
        <v>0.17726988412841904</v>
      </c>
      <c r="H64" s="212">
        <f t="shared" si="51"/>
        <v>0.199494092925664</v>
      </c>
      <c r="I64" s="212">
        <f t="shared" si="51"/>
        <v>0.1474658153275652</v>
      </c>
      <c r="J64" s="212">
        <f t="shared" si="51"/>
        <v>0.15801608590381111</v>
      </c>
      <c r="K64" s="212">
        <f t="shared" si="51"/>
        <v>0.16131546611244429</v>
      </c>
      <c r="L64" s="212">
        <f t="shared" si="51"/>
        <v>0.18683685429180119</v>
      </c>
      <c r="M64" s="212">
        <f t="shared" si="51"/>
        <v>0.15393949090814096</v>
      </c>
      <c r="N64" s="212">
        <f t="shared" si="51"/>
        <v>0.16534502140761798</v>
      </c>
      <c r="O64" s="212">
        <f t="shared" si="51"/>
        <v>0.15347692316045825</v>
      </c>
      <c r="P64" s="212">
        <f t="shared" si="51"/>
        <v>0.16611842305330005</v>
      </c>
      <c r="Q64" s="212">
        <f t="shared" si="51"/>
        <v>0.18673189519888089</v>
      </c>
      <c r="R64" s="212">
        <f t="shared" si="51"/>
        <v>0.17350476805724369</v>
      </c>
      <c r="S64" s="212" t="e">
        <f t="shared" si="51"/>
        <v>#DIV/0!</v>
      </c>
      <c r="T64" s="212">
        <f t="shared" si="51"/>
        <v>3.805419778682396</v>
      </c>
      <c r="U64" s="212">
        <f t="shared" si="51"/>
        <v>3.4966723297173448</v>
      </c>
      <c r="V64" s="212">
        <f t="shared" si="51"/>
        <v>3.6700742808608782</v>
      </c>
      <c r="W64" s="212">
        <f t="shared" si="51"/>
        <v>4.1600802808156203</v>
      </c>
      <c r="X64" s="212">
        <f t="shared" si="51"/>
        <v>5.1745322558829008</v>
      </c>
      <c r="Y64" s="212">
        <f t="shared" si="51"/>
        <v>4.2259737182528205</v>
      </c>
      <c r="Z64" s="212">
        <f t="shared" si="51"/>
        <v>4.1994958162188993</v>
      </c>
      <c r="AA64" s="212">
        <f t="shared" si="51"/>
        <v>4.2888934709841644</v>
      </c>
      <c r="AB64" s="212">
        <f t="shared" si="51"/>
        <v>7.2529196118367807</v>
      </c>
      <c r="AC64" s="212">
        <f t="shared" si="51"/>
        <v>4.3403190402720817</v>
      </c>
    </row>
    <row r="65" spans="1:29" ht="42.6" customHeight="1" x14ac:dyDescent="0.25">
      <c r="A65" s="280" t="s">
        <v>682</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7" spans="1:29" s="221" customFormat="1" x14ac:dyDescent="0.25">
      <c r="A67" s="220" t="s">
        <v>752</v>
      </c>
      <c r="E67" s="226">
        <f>E60</f>
        <v>43100</v>
      </c>
      <c r="F67" s="226">
        <f t="shared" ref="F67:AC67" si="52">F60</f>
        <v>43008</v>
      </c>
      <c r="G67" s="226">
        <f t="shared" si="52"/>
        <v>42916</v>
      </c>
      <c r="H67" s="226">
        <f t="shared" si="52"/>
        <v>42825</v>
      </c>
      <c r="I67" s="226">
        <f t="shared" si="52"/>
        <v>42735</v>
      </c>
      <c r="J67" s="226">
        <f t="shared" si="52"/>
        <v>42643</v>
      </c>
      <c r="K67" s="226">
        <f t="shared" si="52"/>
        <v>42551</v>
      </c>
      <c r="L67" s="226">
        <f t="shared" si="52"/>
        <v>42460</v>
      </c>
      <c r="M67" s="226">
        <f t="shared" si="52"/>
        <v>42369</v>
      </c>
      <c r="N67" s="226">
        <f t="shared" si="52"/>
        <v>42277</v>
      </c>
      <c r="O67" s="226">
        <f t="shared" si="52"/>
        <v>42004</v>
      </c>
      <c r="P67" s="226">
        <f t="shared" si="52"/>
        <v>41639</v>
      </c>
      <c r="Q67" s="226">
        <f t="shared" si="52"/>
        <v>41274</v>
      </c>
      <c r="R67" s="226">
        <f t="shared" si="52"/>
        <v>40908</v>
      </c>
      <c r="S67" s="226">
        <f t="shared" si="52"/>
        <v>25569</v>
      </c>
      <c r="T67" s="226">
        <f t="shared" si="52"/>
        <v>0</v>
      </c>
      <c r="U67" s="226">
        <f t="shared" si="52"/>
        <v>0</v>
      </c>
      <c r="V67" s="226">
        <f t="shared" si="52"/>
        <v>0</v>
      </c>
      <c r="W67" s="226">
        <f t="shared" si="52"/>
        <v>0</v>
      </c>
      <c r="X67" s="226">
        <f t="shared" si="52"/>
        <v>0</v>
      </c>
      <c r="Y67" s="226">
        <f t="shared" si="52"/>
        <v>0</v>
      </c>
      <c r="Z67" s="226">
        <f t="shared" si="52"/>
        <v>0</v>
      </c>
      <c r="AA67" s="226">
        <f t="shared" si="52"/>
        <v>0</v>
      </c>
      <c r="AB67" s="226">
        <f t="shared" si="52"/>
        <v>0</v>
      </c>
      <c r="AC67" s="226">
        <f t="shared" si="52"/>
        <v>0</v>
      </c>
    </row>
    <row r="68" spans="1:29" s="88" customFormat="1" x14ac:dyDescent="0.25">
      <c r="A68" s="88" t="s">
        <v>753</v>
      </c>
      <c r="E68" s="88">
        <f>股权价值增加表!E15</f>
        <v>155851417.39000002</v>
      </c>
      <c r="F68" s="88">
        <f>股权价值增加表!F15</f>
        <v>118379160.12000005</v>
      </c>
      <c r="G68" s="88">
        <f>股权价值增加表!G15</f>
        <v>65713816.170000009</v>
      </c>
      <c r="H68" s="88">
        <f>股权价值增加表!H15</f>
        <v>20594767.00999999</v>
      </c>
      <c r="I68" s="88">
        <f>股权价值增加表!I15</f>
        <v>152781769.70999995</v>
      </c>
      <c r="J68" s="88">
        <f>股权价值增加表!J15</f>
        <v>114140798.95000003</v>
      </c>
      <c r="K68" s="88">
        <f>股权价值增加表!K15</f>
        <v>59494011.039999992</v>
      </c>
      <c r="L68" s="88">
        <f>股权价值增加表!L15</f>
        <v>11857340.220000006</v>
      </c>
      <c r="M68" s="88">
        <f>股权价值增加表!M15</f>
        <v>138852954.72999999</v>
      </c>
      <c r="N68" s="88">
        <f>股权价值增加表!N15</f>
        <v>98626845.369999975</v>
      </c>
      <c r="O68" s="88">
        <f>股权价值增加表!O15</f>
        <v>121681477.87000003</v>
      </c>
      <c r="P68" s="88">
        <f>股权价值增加表!P15</f>
        <v>111732572.96000004</v>
      </c>
      <c r="Q68" s="88">
        <f>股权价值增加表!Q15</f>
        <v>96611045.13000001</v>
      </c>
      <c r="R68" s="88">
        <f>股权价值增加表!R15</f>
        <v>83600165.599999994</v>
      </c>
      <c r="S68" s="88">
        <f>股权价值增加表!S15</f>
        <v>0</v>
      </c>
      <c r="T68" s="88">
        <f>股权价值增加表!T15</f>
        <v>0</v>
      </c>
      <c r="U68" s="88">
        <f>股权价值增加表!U15</f>
        <v>5869478</v>
      </c>
      <c r="V68" s="88">
        <f>股权价值增加表!V15</f>
        <v>0</v>
      </c>
      <c r="W68" s="88">
        <f>股权价值增加表!W15</f>
        <v>0</v>
      </c>
      <c r="X68" s="88">
        <f>股权价值增加表!X15</f>
        <v>0</v>
      </c>
      <c r="Y68" s="88">
        <f>股权价值增加表!Y15</f>
        <v>12046824.75</v>
      </c>
      <c r="Z68" s="88">
        <f>股权价值增加表!Z15</f>
        <v>0</v>
      </c>
      <c r="AA68" s="88">
        <f>股权价值增加表!AA15</f>
        <v>0</v>
      </c>
      <c r="AB68" s="88">
        <f>股权价值增加表!AB15</f>
        <v>0</v>
      </c>
      <c r="AC68" s="88">
        <f>股权价值增加表!AC15</f>
        <v>8254042.6900000004</v>
      </c>
    </row>
    <row r="69" spans="1:29" s="88" customFormat="1" x14ac:dyDescent="0.25">
      <c r="A69" s="88" t="s">
        <v>754</v>
      </c>
      <c r="E69" s="88">
        <f>股权价值增加表!E27</f>
        <v>10402670.51</v>
      </c>
      <c r="F69" s="88">
        <f>股权价值增加表!F27</f>
        <v>5594848.3600000003</v>
      </c>
      <c r="G69" s="88">
        <f>股权价值增加表!G27</f>
        <v>2851915.63</v>
      </c>
      <c r="H69" s="88">
        <f>股权价值增加表!H27</f>
        <v>757137</v>
      </c>
      <c r="I69" s="88">
        <f>股权价值增加表!I27</f>
        <v>1682834.9300000002</v>
      </c>
      <c r="J69" s="88">
        <f>股权价值增加表!J27</f>
        <v>95728.77</v>
      </c>
      <c r="K69" s="88">
        <f>股权价值增加表!K27</f>
        <v>59769.87</v>
      </c>
      <c r="L69" s="88">
        <f>股权价值增加表!L27</f>
        <v>0</v>
      </c>
      <c r="M69" s="88">
        <f>股权价值增加表!M27</f>
        <v>655581.77</v>
      </c>
      <c r="N69" s="88">
        <f>股权价值增加表!N27</f>
        <v>107261.55</v>
      </c>
      <c r="O69" s="88">
        <f>股权价值增加表!O27</f>
        <v>0</v>
      </c>
      <c r="P69" s="88">
        <f>股权价值增加表!P27</f>
        <v>0</v>
      </c>
      <c r="Q69" s="88">
        <f>股权价值增加表!Q27</f>
        <v>0</v>
      </c>
      <c r="R69" s="88">
        <f>股权价值增加表!R27</f>
        <v>0</v>
      </c>
      <c r="S69" s="88">
        <f>股权价值增加表!S27</f>
        <v>0</v>
      </c>
      <c r="T69" s="88">
        <f>股权价值增加表!T27</f>
        <v>0</v>
      </c>
      <c r="U69" s="88">
        <f>股权价值增加表!U27</f>
        <v>824960842.38</v>
      </c>
      <c r="V69" s="88">
        <f>股权价值增加表!V27</f>
        <v>3732421.22</v>
      </c>
      <c r="W69" s="88">
        <f>股权价值增加表!W27</f>
        <v>3732421.22</v>
      </c>
      <c r="X69" s="88">
        <f>股权价值增加表!X27</f>
        <v>0</v>
      </c>
      <c r="Y69" s="88">
        <f>股权价值增加表!Y27</f>
        <v>781055242.67999995</v>
      </c>
      <c r="Z69" s="88">
        <f>股权价值增加表!Z27</f>
        <v>-917593.17</v>
      </c>
      <c r="AA69" s="88">
        <f>股权价值增加表!AA27</f>
        <v>-984891.57</v>
      </c>
      <c r="AB69" s="88">
        <f>股权价值增加表!AB27</f>
        <v>-9791.5400000000009</v>
      </c>
      <c r="AC69" s="88">
        <f>股权价值增加表!AC27</f>
        <v>469002107.94999999</v>
      </c>
    </row>
    <row r="70" spans="1:29" s="88" customFormat="1" x14ac:dyDescent="0.25">
      <c r="A70" s="88" t="s">
        <v>755</v>
      </c>
      <c r="E70" s="88">
        <f>股权价值增加表!E31</f>
        <v>166254087.90000001</v>
      </c>
      <c r="F70" s="88">
        <f>股权价值增加表!F31</f>
        <v>123974008.48000005</v>
      </c>
      <c r="G70" s="88">
        <f>股权价值增加表!G31</f>
        <v>68565731.800000012</v>
      </c>
      <c r="H70" s="88">
        <f>股权价值增加表!H31</f>
        <v>21351904.00999999</v>
      </c>
      <c r="I70" s="88">
        <f>股权价值增加表!I31</f>
        <v>154464604.63999996</v>
      </c>
      <c r="J70" s="88">
        <f>股权价值增加表!J31</f>
        <v>114236527.72000003</v>
      </c>
      <c r="K70" s="88">
        <f>股权价值增加表!K31</f>
        <v>59553780.909999989</v>
      </c>
      <c r="L70" s="88">
        <f>股权价值增加表!L31</f>
        <v>11857340.220000006</v>
      </c>
      <c r="M70" s="88">
        <f>股权价值增加表!M31</f>
        <v>139508536.5</v>
      </c>
      <c r="N70" s="88">
        <f>股权价值增加表!N31</f>
        <v>98734106.919999972</v>
      </c>
      <c r="O70" s="88">
        <f>股权价值增加表!O31</f>
        <v>121681477.87000003</v>
      </c>
      <c r="P70" s="88">
        <f>股权价值增加表!P31</f>
        <v>111732572.96000004</v>
      </c>
      <c r="Q70" s="88">
        <f>股权价值增加表!Q31</f>
        <v>96611045.13000001</v>
      </c>
      <c r="R70" s="88">
        <f>股权价值增加表!R31</f>
        <v>83600165.599999994</v>
      </c>
      <c r="S70" s="88">
        <f>股权价值增加表!S31</f>
        <v>0</v>
      </c>
      <c r="T70" s="88">
        <f>股权价值增加表!T31</f>
        <v>0</v>
      </c>
      <c r="U70" s="88">
        <f>股权价值增加表!U31</f>
        <v>830830320.38</v>
      </c>
      <c r="V70" s="88">
        <f>股权价值增加表!V31</f>
        <v>3732421.22</v>
      </c>
      <c r="W70" s="88">
        <f>股权价值增加表!W31</f>
        <v>3732421.22</v>
      </c>
      <c r="X70" s="88">
        <f>股权价值增加表!X31</f>
        <v>0</v>
      </c>
      <c r="Y70" s="88">
        <f>股权价值增加表!Y31</f>
        <v>793102067.42999995</v>
      </c>
      <c r="Z70" s="88">
        <f>股权价值增加表!Z31</f>
        <v>-917593.17</v>
      </c>
      <c r="AA70" s="88">
        <f>股权价值增加表!AA31</f>
        <v>-984891.57</v>
      </c>
      <c r="AB70" s="88">
        <f>股权价值增加表!AB31</f>
        <v>-9791.5400000000009</v>
      </c>
      <c r="AC70" s="88">
        <f>股权价值增加表!AC31</f>
        <v>477256150.63999999</v>
      </c>
    </row>
    <row r="71" spans="1:29" s="212" customFormat="1" x14ac:dyDescent="0.25">
      <c r="A71" s="212" t="s">
        <v>756</v>
      </c>
      <c r="E71" s="212">
        <f>(E70-I70)/I70</f>
        <v>7.6324820741146424E-2</v>
      </c>
      <c r="F71" s="212">
        <f t="shared" ref="F71:AC71" si="53">(F70-J70)/J70</f>
        <v>8.5239642296088672E-2</v>
      </c>
      <c r="G71" s="212">
        <f t="shared" si="53"/>
        <v>0.15132458010716796</v>
      </c>
      <c r="H71" s="212">
        <f t="shared" si="53"/>
        <v>0.80073301548565834</v>
      </c>
      <c r="I71" s="212">
        <f t="shared" si="53"/>
        <v>0.10720539771413885</v>
      </c>
      <c r="J71" s="212">
        <f t="shared" si="53"/>
        <v>0.1570118096329266</v>
      </c>
      <c r="K71" s="212">
        <f t="shared" si="53"/>
        <v>-0.51057644965797477</v>
      </c>
      <c r="L71" s="212">
        <f t="shared" si="53"/>
        <v>-0.89387749779784542</v>
      </c>
      <c r="M71" s="212">
        <f>(M70-O70)/O70</f>
        <v>0.14650593452723948</v>
      </c>
      <c r="N71" s="212">
        <f t="shared" ref="N71:R71" si="54">(N70-P70)/P70</f>
        <v>-0.11633551162071137</v>
      </c>
      <c r="O71" s="212">
        <f t="shared" si="54"/>
        <v>0.25949861846815964</v>
      </c>
      <c r="P71" s="212">
        <f>(P70-Q70)/Q70</f>
        <v>0.1565196589028974</v>
      </c>
      <c r="Q71" s="212">
        <f t="shared" ref="Q71:R71" si="55">(Q70-R70)/R70</f>
        <v>0.15563222197732127</v>
      </c>
      <c r="R71" s="212" t="e">
        <f t="shared" si="55"/>
        <v>#DIV/0!</v>
      </c>
      <c r="S71" s="212">
        <f t="shared" si="53"/>
        <v>-1</v>
      </c>
      <c r="T71" s="212" t="e">
        <f t="shared" si="53"/>
        <v>#DIV/0!</v>
      </c>
      <c r="U71" s="212">
        <f t="shared" si="53"/>
        <v>4.7570488716863653E-2</v>
      </c>
      <c r="V71" s="212">
        <f t="shared" si="53"/>
        <v>-5.0676209697593979</v>
      </c>
      <c r="W71" s="212">
        <f t="shared" si="53"/>
        <v>-4.7896772941208141</v>
      </c>
      <c r="X71" s="212">
        <f t="shared" si="53"/>
        <v>-1</v>
      </c>
      <c r="Y71" s="212">
        <f t="shared" si="53"/>
        <v>0.66179538255599413</v>
      </c>
      <c r="Z71" s="212" t="e">
        <f t="shared" si="53"/>
        <v>#DIV/0!</v>
      </c>
      <c r="AA71" s="212" t="e">
        <f t="shared" si="53"/>
        <v>#DIV/0!</v>
      </c>
      <c r="AB71" s="212" t="e">
        <f t="shared" si="53"/>
        <v>#DIV/0!</v>
      </c>
      <c r="AC71" s="212" t="e">
        <f t="shared" si="53"/>
        <v>#DIV/0!</v>
      </c>
    </row>
    <row r="72" spans="1:29" s="64" customFormat="1" x14ac:dyDescent="0.25">
      <c r="A72" s="316" t="s">
        <v>757</v>
      </c>
      <c r="B72" s="316"/>
      <c r="C72" s="316"/>
      <c r="D72" s="316"/>
      <c r="E72" s="316"/>
      <c r="F72" s="316"/>
      <c r="G72" s="316"/>
      <c r="H72" s="316"/>
      <c r="I72" s="316"/>
      <c r="J72" s="316"/>
      <c r="K72" s="316"/>
      <c r="L72" s="316"/>
      <c r="M72" s="316"/>
      <c r="N72" s="316"/>
      <c r="O72" s="316"/>
    </row>
    <row r="73" spans="1:29" s="64" customFormat="1" x14ac:dyDescent="0.25">
      <c r="A73" s="182"/>
      <c r="E73" s="317">
        <f>E67</f>
        <v>43100</v>
      </c>
      <c r="F73" s="317">
        <f t="shared" ref="F73:AC73" si="56">F67</f>
        <v>43008</v>
      </c>
      <c r="G73" s="317">
        <f t="shared" si="56"/>
        <v>42916</v>
      </c>
      <c r="H73" s="317">
        <f t="shared" si="56"/>
        <v>42825</v>
      </c>
      <c r="I73" s="317">
        <f t="shared" si="56"/>
        <v>42735</v>
      </c>
      <c r="J73" s="317">
        <f t="shared" si="56"/>
        <v>42643</v>
      </c>
      <c r="K73" s="317">
        <f t="shared" si="56"/>
        <v>42551</v>
      </c>
      <c r="L73" s="317">
        <f t="shared" si="56"/>
        <v>42460</v>
      </c>
      <c r="M73" s="317">
        <f t="shared" si="56"/>
        <v>42369</v>
      </c>
      <c r="N73" s="317">
        <f t="shared" si="56"/>
        <v>42277</v>
      </c>
      <c r="O73" s="317">
        <f t="shared" si="56"/>
        <v>42004</v>
      </c>
      <c r="P73" s="317">
        <f t="shared" si="56"/>
        <v>41639</v>
      </c>
      <c r="Q73" s="317">
        <f t="shared" si="56"/>
        <v>41274</v>
      </c>
      <c r="R73" s="317">
        <f t="shared" si="56"/>
        <v>40908</v>
      </c>
      <c r="S73" s="317">
        <f t="shared" si="56"/>
        <v>25569</v>
      </c>
      <c r="T73" s="317">
        <f t="shared" si="56"/>
        <v>0</v>
      </c>
      <c r="U73" s="317">
        <f t="shared" si="56"/>
        <v>0</v>
      </c>
      <c r="V73" s="317">
        <f t="shared" si="56"/>
        <v>0</v>
      </c>
      <c r="W73" s="317">
        <f t="shared" si="56"/>
        <v>0</v>
      </c>
      <c r="X73" s="317">
        <f t="shared" si="56"/>
        <v>0</v>
      </c>
      <c r="Y73" s="317">
        <f t="shared" si="56"/>
        <v>0</v>
      </c>
      <c r="Z73" s="317">
        <f t="shared" si="56"/>
        <v>0</v>
      </c>
      <c r="AA73" s="317">
        <f t="shared" si="56"/>
        <v>0</v>
      </c>
      <c r="AB73" s="317">
        <f t="shared" si="56"/>
        <v>0</v>
      </c>
      <c r="AC73" s="317">
        <f t="shared" si="56"/>
        <v>0</v>
      </c>
    </row>
    <row r="74" spans="1:29" s="212" customFormat="1" x14ac:dyDescent="0.25">
      <c r="A74" s="212" t="s">
        <v>753</v>
      </c>
      <c r="E74" s="212">
        <f>E68/E70</f>
        <v>0.9374290843527584</v>
      </c>
      <c r="F74" s="212">
        <f t="shared" ref="F74:AC74" si="57">F68/F70</f>
        <v>0.95487079567244471</v>
      </c>
      <c r="G74" s="212">
        <f t="shared" si="57"/>
        <v>0.95840610819528949</v>
      </c>
      <c r="H74" s="212">
        <f t="shared" si="57"/>
        <v>0.96454007100980776</v>
      </c>
      <c r="I74" s="212">
        <f t="shared" si="57"/>
        <v>0.98910536861229748</v>
      </c>
      <c r="J74" s="212">
        <f t="shared" si="57"/>
        <v>0.99916201260743298</v>
      </c>
      <c r="K74" s="212">
        <f t="shared" si="57"/>
        <v>0.99899637153029253</v>
      </c>
      <c r="L74" s="212">
        <f t="shared" si="57"/>
        <v>1</v>
      </c>
      <c r="M74" s="212">
        <f t="shared" si="57"/>
        <v>0.99530077666609307</v>
      </c>
      <c r="N74" s="212">
        <f t="shared" si="57"/>
        <v>0.99891363224577601</v>
      </c>
      <c r="O74" s="212">
        <f t="shared" si="57"/>
        <v>1</v>
      </c>
      <c r="P74" s="212">
        <f t="shared" si="57"/>
        <v>1</v>
      </c>
      <c r="Q74" s="212">
        <f t="shared" si="57"/>
        <v>1</v>
      </c>
      <c r="R74" s="212">
        <f t="shared" si="57"/>
        <v>1</v>
      </c>
      <c r="S74" s="212" t="e">
        <f t="shared" si="57"/>
        <v>#DIV/0!</v>
      </c>
      <c r="T74" s="212" t="e">
        <f t="shared" si="57"/>
        <v>#DIV/0!</v>
      </c>
      <c r="U74" s="212">
        <f t="shared" si="57"/>
        <v>7.0645929211098782E-3</v>
      </c>
      <c r="V74" s="212">
        <f t="shared" si="57"/>
        <v>0</v>
      </c>
      <c r="W74" s="212">
        <f t="shared" si="57"/>
        <v>0</v>
      </c>
      <c r="X74" s="212" t="e">
        <f t="shared" si="57"/>
        <v>#DIV/0!</v>
      </c>
      <c r="Y74" s="212">
        <f t="shared" si="57"/>
        <v>1.518950113071451E-2</v>
      </c>
      <c r="Z74" s="212">
        <f t="shared" si="57"/>
        <v>0</v>
      </c>
      <c r="AA74" s="212">
        <f t="shared" si="57"/>
        <v>0</v>
      </c>
      <c r="AB74" s="212">
        <f t="shared" si="57"/>
        <v>0</v>
      </c>
      <c r="AC74" s="212">
        <f t="shared" si="57"/>
        <v>1.7294785366163093E-2</v>
      </c>
    </row>
    <row r="75" spans="1:29" s="212" customFormat="1" x14ac:dyDescent="0.25">
      <c r="A75" s="212" t="s">
        <v>754</v>
      </c>
      <c r="E75" s="212">
        <f>E69/E70</f>
        <v>6.2570915647241654E-2</v>
      </c>
      <c r="F75" s="212">
        <f t="shared" ref="F75:AC75" si="58">F69/F70</f>
        <v>4.5129204327555336E-2</v>
      </c>
      <c r="G75" s="212">
        <f t="shared" si="58"/>
        <v>4.1593891804710521E-2</v>
      </c>
      <c r="H75" s="212">
        <f t="shared" si="58"/>
        <v>3.5459928990192215E-2</v>
      </c>
      <c r="I75" s="212">
        <f t="shared" si="58"/>
        <v>1.0894631387702497E-2</v>
      </c>
      <c r="J75" s="212">
        <f t="shared" si="58"/>
        <v>8.3798739256708192E-4</v>
      </c>
      <c r="K75" s="212">
        <f t="shared" si="58"/>
        <v>1.0036284697075165E-3</v>
      </c>
      <c r="L75" s="212">
        <f t="shared" si="58"/>
        <v>0</v>
      </c>
      <c r="M75" s="212">
        <f t="shared" si="58"/>
        <v>4.6992233339068828E-3</v>
      </c>
      <c r="N75" s="212">
        <f t="shared" si="58"/>
        <v>1.0863677542240742E-3</v>
      </c>
      <c r="O75" s="212">
        <f t="shared" si="58"/>
        <v>0</v>
      </c>
      <c r="P75" s="212">
        <f t="shared" si="58"/>
        <v>0</v>
      </c>
      <c r="Q75" s="212">
        <f t="shared" si="58"/>
        <v>0</v>
      </c>
      <c r="R75" s="212">
        <f t="shared" si="58"/>
        <v>0</v>
      </c>
      <c r="S75" s="212" t="e">
        <f t="shared" si="58"/>
        <v>#DIV/0!</v>
      </c>
      <c r="T75" s="212" t="e">
        <f t="shared" si="58"/>
        <v>#DIV/0!</v>
      </c>
      <c r="U75" s="212">
        <f t="shared" si="58"/>
        <v>0.99293540707889016</v>
      </c>
      <c r="V75" s="212">
        <f t="shared" si="58"/>
        <v>1</v>
      </c>
      <c r="W75" s="212">
        <f t="shared" si="58"/>
        <v>1</v>
      </c>
      <c r="X75" s="212" t="e">
        <f t="shared" si="58"/>
        <v>#DIV/0!</v>
      </c>
      <c r="Y75" s="212">
        <f t="shared" si="58"/>
        <v>0.98481049886928551</v>
      </c>
      <c r="Z75" s="212">
        <f t="shared" si="58"/>
        <v>1</v>
      </c>
      <c r="AA75" s="212">
        <f t="shared" si="58"/>
        <v>1</v>
      </c>
      <c r="AB75" s="212">
        <f t="shared" si="58"/>
        <v>1</v>
      </c>
      <c r="AC75" s="212">
        <f t="shared" si="58"/>
        <v>0.98270521463383687</v>
      </c>
    </row>
    <row r="76" spans="1:29" s="212" customFormat="1" x14ac:dyDescent="0.25">
      <c r="A76" s="212" t="s">
        <v>755</v>
      </c>
      <c r="E76" s="212">
        <f>E70/E70</f>
        <v>1</v>
      </c>
      <c r="F76" s="212">
        <f t="shared" ref="F76:AC76" si="59">F70/F70</f>
        <v>1</v>
      </c>
      <c r="G76" s="212">
        <f t="shared" si="59"/>
        <v>1</v>
      </c>
      <c r="H76" s="212">
        <f t="shared" si="59"/>
        <v>1</v>
      </c>
      <c r="I76" s="212">
        <f t="shared" si="59"/>
        <v>1</v>
      </c>
      <c r="J76" s="212">
        <f t="shared" si="59"/>
        <v>1</v>
      </c>
      <c r="K76" s="212">
        <f t="shared" si="59"/>
        <v>1</v>
      </c>
      <c r="L76" s="212">
        <f t="shared" si="59"/>
        <v>1</v>
      </c>
      <c r="M76" s="212">
        <f t="shared" si="59"/>
        <v>1</v>
      </c>
      <c r="N76" s="212">
        <f t="shared" si="59"/>
        <v>1</v>
      </c>
      <c r="O76" s="212">
        <f t="shared" si="59"/>
        <v>1</v>
      </c>
      <c r="P76" s="212">
        <f t="shared" si="59"/>
        <v>1</v>
      </c>
      <c r="Q76" s="212">
        <f t="shared" si="59"/>
        <v>1</v>
      </c>
      <c r="R76" s="212">
        <f t="shared" si="59"/>
        <v>1</v>
      </c>
      <c r="S76" s="212" t="e">
        <f t="shared" si="59"/>
        <v>#DIV/0!</v>
      </c>
      <c r="T76" s="212" t="e">
        <f t="shared" si="59"/>
        <v>#DIV/0!</v>
      </c>
      <c r="U76" s="212">
        <f t="shared" si="59"/>
        <v>1</v>
      </c>
      <c r="V76" s="212">
        <f t="shared" si="59"/>
        <v>1</v>
      </c>
      <c r="W76" s="212">
        <f t="shared" si="59"/>
        <v>1</v>
      </c>
      <c r="X76" s="212" t="e">
        <f t="shared" si="59"/>
        <v>#DIV/0!</v>
      </c>
      <c r="Y76" s="212">
        <f t="shared" si="59"/>
        <v>1</v>
      </c>
      <c r="Z76" s="212">
        <f t="shared" si="59"/>
        <v>1</v>
      </c>
      <c r="AA76" s="212">
        <f t="shared" si="59"/>
        <v>1</v>
      </c>
      <c r="AB76" s="212">
        <f t="shared" si="59"/>
        <v>1</v>
      </c>
      <c r="AC76" s="212">
        <f t="shared" si="59"/>
        <v>1</v>
      </c>
    </row>
    <row r="77" spans="1:29" s="64" customFormat="1" x14ac:dyDescent="0.25">
      <c r="A77" s="182"/>
    </row>
    <row r="78" spans="1:29" ht="55.8" customHeight="1" x14ac:dyDescent="0.25">
      <c r="A78" s="278" t="s">
        <v>734</v>
      </c>
      <c r="B78" s="277"/>
      <c r="C78" s="277"/>
      <c r="D78" s="277"/>
      <c r="E78" s="277"/>
      <c r="F78" s="277"/>
      <c r="G78" s="277"/>
      <c r="H78" s="277"/>
      <c r="I78" s="277"/>
      <c r="J78" s="277"/>
      <c r="K78" s="277"/>
      <c r="L78" s="277"/>
      <c r="M78" s="277"/>
      <c r="N78" s="277"/>
      <c r="O78" s="277"/>
      <c r="P78" s="277"/>
      <c r="Q78" s="277"/>
      <c r="R78" s="277"/>
      <c r="S78" s="277"/>
      <c r="T78" s="277"/>
      <c r="U78" s="277"/>
      <c r="V78" s="277"/>
      <c r="W78" s="277"/>
      <c r="X78" s="277"/>
      <c r="Y78" s="277"/>
      <c r="Z78" s="277"/>
      <c r="AA78" s="277"/>
      <c r="AB78" s="277"/>
      <c r="AC78" s="277"/>
    </row>
    <row r="79" spans="1:29" x14ac:dyDescent="0.25">
      <c r="A79" s="285" t="s">
        <v>702</v>
      </c>
      <c r="B79" s="285"/>
      <c r="C79" s="285"/>
      <c r="D79" s="285"/>
      <c r="E79" s="285"/>
      <c r="F79" s="255"/>
      <c r="G79" s="255"/>
      <c r="H79" s="255"/>
      <c r="I79" s="255" t="s">
        <v>706</v>
      </c>
      <c r="J79" s="255"/>
      <c r="K79" s="255"/>
      <c r="L79" s="255"/>
      <c r="M79" s="255" t="s">
        <v>707</v>
      </c>
    </row>
    <row r="80" spans="1:29" ht="57.6" x14ac:dyDescent="0.25">
      <c r="A80" s="286" t="s">
        <v>703</v>
      </c>
      <c r="B80" s="65"/>
      <c r="C80" s="65"/>
      <c r="D80" s="65"/>
      <c r="E80" s="65" t="s">
        <v>704</v>
      </c>
      <c r="F80" s="65"/>
      <c r="G80" s="65"/>
      <c r="H80" s="65"/>
      <c r="I80" s="256" t="s">
        <v>708</v>
      </c>
      <c r="J80" s="257"/>
      <c r="K80" s="257"/>
      <c r="L80" s="257"/>
      <c r="M80" s="256" t="s">
        <v>709</v>
      </c>
    </row>
    <row r="81" spans="1:13" ht="54.6" customHeight="1" x14ac:dyDescent="0.25">
      <c r="A81" s="286"/>
      <c r="B81" s="65"/>
      <c r="C81" s="65"/>
      <c r="D81" s="65"/>
      <c r="E81" s="65" t="s">
        <v>705</v>
      </c>
      <c r="F81" s="65"/>
      <c r="G81" s="65"/>
      <c r="H81" s="65"/>
      <c r="I81" s="256" t="s">
        <v>710</v>
      </c>
      <c r="J81" s="257"/>
      <c r="K81" s="257"/>
      <c r="L81" s="257"/>
      <c r="M81" s="256" t="s">
        <v>711</v>
      </c>
    </row>
    <row r="82" spans="1:13" ht="57.6" x14ac:dyDescent="0.25">
      <c r="A82" s="286" t="s">
        <v>719</v>
      </c>
      <c r="B82" s="65"/>
      <c r="C82" s="65"/>
      <c r="D82" s="65"/>
      <c r="E82" s="65" t="s">
        <v>712</v>
      </c>
      <c r="F82" s="65"/>
      <c r="G82" s="65"/>
      <c r="H82" s="65"/>
      <c r="I82" s="256" t="s">
        <v>720</v>
      </c>
      <c r="J82" s="257"/>
      <c r="K82" s="257"/>
      <c r="L82" s="257"/>
      <c r="M82" s="256" t="s">
        <v>721</v>
      </c>
    </row>
    <row r="83" spans="1:13" ht="43.2" x14ac:dyDescent="0.25">
      <c r="A83" s="286"/>
      <c r="B83" s="65"/>
      <c r="C83" s="65"/>
      <c r="D83" s="65"/>
      <c r="E83" s="65" t="s">
        <v>713</v>
      </c>
      <c r="F83" s="65"/>
      <c r="G83" s="65"/>
      <c r="H83" s="65"/>
      <c r="I83" s="256" t="s">
        <v>722</v>
      </c>
      <c r="J83" s="257"/>
      <c r="K83" s="257"/>
      <c r="L83" s="257"/>
      <c r="M83" s="256" t="s">
        <v>723</v>
      </c>
    </row>
    <row r="84" spans="1:13" ht="72" x14ac:dyDescent="0.25">
      <c r="A84" s="286"/>
      <c r="B84" s="65"/>
      <c r="C84" s="65"/>
      <c r="D84" s="65"/>
      <c r="E84" s="65" t="s">
        <v>714</v>
      </c>
      <c r="F84" s="65"/>
      <c r="G84" s="65"/>
      <c r="H84" s="65"/>
      <c r="I84" s="256" t="s">
        <v>724</v>
      </c>
      <c r="J84" s="257"/>
      <c r="K84" s="257"/>
      <c r="L84" s="257"/>
      <c r="M84" s="256" t="s">
        <v>725</v>
      </c>
    </row>
    <row r="85" spans="1:13" ht="72" x14ac:dyDescent="0.25">
      <c r="A85" s="286"/>
      <c r="B85" s="65"/>
      <c r="C85" s="65"/>
      <c r="D85" s="65"/>
      <c r="E85" s="65" t="s">
        <v>715</v>
      </c>
      <c r="F85" s="65"/>
      <c r="G85" s="65"/>
      <c r="H85" s="65"/>
      <c r="I85" s="256" t="s">
        <v>726</v>
      </c>
      <c r="J85" s="257"/>
      <c r="K85" s="257"/>
      <c r="L85" s="257"/>
      <c r="M85" s="256" t="s">
        <v>727</v>
      </c>
    </row>
    <row r="86" spans="1:13" x14ac:dyDescent="0.25">
      <c r="A86" s="286"/>
      <c r="B86" s="65"/>
      <c r="C86" s="65"/>
      <c r="D86" s="65"/>
      <c r="E86" s="65" t="s">
        <v>716</v>
      </c>
      <c r="F86" s="65"/>
      <c r="G86" s="65"/>
      <c r="H86" s="65"/>
      <c r="I86" s="256" t="s">
        <v>728</v>
      </c>
      <c r="J86" s="257"/>
      <c r="K86" s="257"/>
      <c r="L86" s="257"/>
      <c r="M86" s="256" t="s">
        <v>729</v>
      </c>
    </row>
    <row r="87" spans="1:13" ht="57.6" x14ac:dyDescent="0.25">
      <c r="A87" s="286"/>
      <c r="B87" s="65"/>
      <c r="C87" s="65"/>
      <c r="D87" s="65"/>
      <c r="E87" s="65" t="s">
        <v>717</v>
      </c>
      <c r="F87" s="65"/>
      <c r="G87" s="65"/>
      <c r="H87" s="65"/>
      <c r="I87" s="256" t="s">
        <v>730</v>
      </c>
      <c r="J87" s="257"/>
      <c r="K87" s="257"/>
      <c r="L87" s="257"/>
      <c r="M87" s="256" t="s">
        <v>731</v>
      </c>
    </row>
    <row r="88" spans="1:13" ht="57.6" x14ac:dyDescent="0.25">
      <c r="A88" s="286"/>
      <c r="B88" s="65"/>
      <c r="C88" s="65"/>
      <c r="D88" s="65"/>
      <c r="E88" s="65" t="s">
        <v>718</v>
      </c>
      <c r="F88" s="65"/>
      <c r="G88" s="65"/>
      <c r="H88" s="65"/>
      <c r="I88" s="256" t="s">
        <v>732</v>
      </c>
      <c r="J88" s="257"/>
      <c r="K88" s="257"/>
      <c r="L88" s="257"/>
      <c r="M88" s="256" t="s">
        <v>733</v>
      </c>
    </row>
  </sheetData>
  <mergeCells count="11">
    <mergeCell ref="A65:AC65"/>
    <mergeCell ref="A79:E79"/>
    <mergeCell ref="A80:A81"/>
    <mergeCell ref="A82:A88"/>
    <mergeCell ref="A78:AC78"/>
    <mergeCell ref="A72:O72"/>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61" workbookViewId="0">
      <selection activeCell="I57" sqref="I57"/>
    </sheetView>
  </sheetViews>
  <sheetFormatPr defaultRowHeight="14.4" x14ac:dyDescent="0.25"/>
  <cols>
    <col min="1" max="1" width="50.6640625" style="17" bestFit="1" customWidth="1"/>
    <col min="2" max="4" width="11.6640625" hidden="1" customWidth="1"/>
    <col min="5" max="5" width="19.33203125" bestFit="1" customWidth="1"/>
    <col min="6" max="7" width="19.33203125" hidden="1" customWidth="1"/>
    <col min="8" max="8" width="17.21875" hidden="1" customWidth="1"/>
    <col min="9" max="9" width="17.21875" bestFit="1" customWidth="1"/>
    <col min="10" max="12" width="17.21875" hidden="1" customWidth="1"/>
    <col min="13" max="13" width="17.21875" bestFit="1" customWidth="1"/>
    <col min="14" max="14" width="17.21875" hidden="1" customWidth="1"/>
    <col min="15" max="17" width="17.21875" bestFit="1" customWidth="1"/>
    <col min="18" max="18" width="20.44140625" bestFit="1" customWidth="1"/>
    <col min="19" max="19" width="20.44140625" hidden="1" customWidth="1"/>
    <col min="20"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140040107.69</v>
      </c>
      <c r="F2" s="26">
        <f>股权价值增加表!F42</f>
        <v>104448708.91000004</v>
      </c>
      <c r="G2" s="26">
        <f>股权价值增加表!G42</f>
        <v>56623388.020000018</v>
      </c>
      <c r="H2" s="26">
        <f>股权价值增加表!H42</f>
        <v>16932091.389999993</v>
      </c>
      <c r="I2" s="26">
        <f>股权价值增加表!I42</f>
        <v>127314218.50999995</v>
      </c>
      <c r="J2" s="26">
        <f>股权价值增加表!J42</f>
        <v>93458406.380000025</v>
      </c>
      <c r="K2" s="26">
        <f>股权价值增加表!K42</f>
        <v>48290108.969999984</v>
      </c>
      <c r="L2" s="26">
        <f>股权价值增加表!L42</f>
        <v>8834269.5900000054</v>
      </c>
      <c r="M2" s="26">
        <f>股权价值增加表!M42</f>
        <v>112745012.78</v>
      </c>
      <c r="N2" s="26">
        <f>股权价值增加表!N42</f>
        <v>78883496.679999962</v>
      </c>
      <c r="O2" s="26">
        <f>股权价值增加表!O42</f>
        <v>94913963.020000041</v>
      </c>
      <c r="P2" s="26">
        <f>股权价值增加表!P42</f>
        <v>84018399.520000041</v>
      </c>
      <c r="Q2" s="26">
        <f>股权价值增加表!Q42</f>
        <v>78574092.780000001</v>
      </c>
      <c r="R2" s="26">
        <f>股权价值增加表!R42</f>
        <v>69584154.749999985</v>
      </c>
      <c r="S2" s="26">
        <f>股权价值增加表!S42</f>
        <v>0</v>
      </c>
      <c r="T2" s="26">
        <f>股权价值增加表!T42</f>
        <v>-687652134.91000009</v>
      </c>
      <c r="U2" s="26">
        <f>股权价值增加表!U42</f>
        <v>-2088393325.8100002</v>
      </c>
      <c r="V2" s="26">
        <f>股权价值增加表!V42</f>
        <v>-1770623990.1299999</v>
      </c>
      <c r="W2" s="26">
        <f>股权价值增加表!W42</f>
        <v>-1503178518.1099999</v>
      </c>
      <c r="X2" s="26">
        <f>股权价值增加表!X42</f>
        <v>-996310945.95000005</v>
      </c>
      <c r="Y2" s="26">
        <f>股权价值增加表!Y42</f>
        <v>-2597690211.0299997</v>
      </c>
      <c r="Z2" s="26">
        <f>股权价值增加表!Z42</f>
        <v>-1981805644.22</v>
      </c>
      <c r="AA2" s="26">
        <f>股权价值增加表!AA42</f>
        <v>-1313125502.45</v>
      </c>
      <c r="AB2" s="26">
        <f>股权价值增加表!AB42</f>
        <v>-889790569.18999994</v>
      </c>
      <c r="AC2" s="26">
        <f>股权价值增加表!AC42</f>
        <v>-1620456259.7199998</v>
      </c>
      <c r="AD2" s="26">
        <f>股权价值增加表!AD42</f>
        <v>-1380864362.3400002</v>
      </c>
      <c r="AE2" s="26">
        <f>股权价值增加表!AE42</f>
        <v>-941882157.46000004</v>
      </c>
      <c r="AF2" s="26">
        <f>股权价值增加表!AF42</f>
        <v>-675598227.52999997</v>
      </c>
      <c r="AG2" s="26">
        <f>股权价值增加表!AG42</f>
        <v>-1312331906.45</v>
      </c>
      <c r="AH2" s="26">
        <f>股权价值增加表!AH42</f>
        <v>-1044450134.2699999</v>
      </c>
      <c r="AI2" s="26">
        <f>股权价值增加表!AI42</f>
        <v>-688669429.02999997</v>
      </c>
      <c r="AJ2" s="26">
        <f>股权价值增加表!AJ42</f>
        <v>-496480851.37</v>
      </c>
      <c r="AK2" s="26">
        <f>股权价值增加表!AK42</f>
        <v>-1028579461.33</v>
      </c>
      <c r="AL2" s="26">
        <f>股权价值增加表!AL42</f>
        <v>-716904063.83999991</v>
      </c>
      <c r="AM2" s="26">
        <f>股权价值增加表!AM42</f>
        <v>-499689055.96999997</v>
      </c>
      <c r="AN2" s="26">
        <f>股权价值增加表!AN42</f>
        <v>-380189417.44999999</v>
      </c>
      <c r="AO2" s="26">
        <f>股权价值增加表!AO42</f>
        <v>-407922375.93999994</v>
      </c>
      <c r="AP2" s="26">
        <f>股权价值增加表!AP42</f>
        <v>-411195663.44999999</v>
      </c>
      <c r="AQ2" s="26">
        <f>股权价值增加表!AQ42</f>
        <v>-329680221.73000002</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1094321354.0599999</v>
      </c>
      <c r="F3" s="26">
        <f>资产资本表!F107</f>
        <v>1053764474.4</v>
      </c>
      <c r="G3" s="26">
        <f>资产资本表!G107</f>
        <v>1001055226.26</v>
      </c>
      <c r="H3" s="26">
        <f>资产资本表!H107</f>
        <v>991797985.12</v>
      </c>
      <c r="I3" s="26">
        <f>资产资本表!I107</f>
        <v>985414241.73000002</v>
      </c>
      <c r="J3" s="26">
        <f>资产资本表!J107</f>
        <v>444444693.15999997</v>
      </c>
      <c r="K3" s="26">
        <f>资产资本表!K107</f>
        <v>399276395.75</v>
      </c>
      <c r="L3" s="26">
        <f>资产资本表!L107</f>
        <v>478018286.77999997</v>
      </c>
      <c r="M3" s="26">
        <f>资产资本表!M107</f>
        <v>387347869.01999998</v>
      </c>
      <c r="N3" s="26">
        <f>资产资本表!N107</f>
        <v>317743228</v>
      </c>
      <c r="O3" s="26">
        <f>资产资本表!O107</f>
        <v>254378428.47999999</v>
      </c>
      <c r="P3" s="26">
        <f>资产资本表!P107</f>
        <v>209769272.30000001</v>
      </c>
      <c r="Q3" s="26">
        <f>资产资本表!Q107</f>
        <v>0</v>
      </c>
      <c r="R3" s="26">
        <f>资产资本表!R107</f>
        <v>39038063287.049995</v>
      </c>
      <c r="S3" s="26">
        <f>资产资本表!S107</f>
        <v>38186456366.719994</v>
      </c>
      <c r="T3" s="26">
        <f>资产资本表!T107</f>
        <v>39754833137.689995</v>
      </c>
      <c r="U3" s="26">
        <f>资产资本表!U107</f>
        <v>37019284552.089996</v>
      </c>
      <c r="V3" s="26">
        <f>资产资本表!V107</f>
        <v>35936255140.220001</v>
      </c>
      <c r="W3" s="26">
        <f>资产资本表!W107</f>
        <v>34492053862.870003</v>
      </c>
      <c r="X3" s="26">
        <f>资产资本表!X107</f>
        <v>35275133265.93</v>
      </c>
      <c r="Y3" s="26">
        <f>资产资本表!Y107</f>
        <v>31521070553.299999</v>
      </c>
      <c r="Z3" s="26">
        <f>资产资本表!Z107</f>
        <v>29621442772.68</v>
      </c>
      <c r="AA3" s="26">
        <f>资产资本表!AA107</f>
        <v>26749200973.880001</v>
      </c>
      <c r="AB3" s="26">
        <f>资产资本表!AB107</f>
        <v>26577947881.900002</v>
      </c>
      <c r="AC3" s="26">
        <f>资产资本表!AC107</f>
        <v>23446688740.450001</v>
      </c>
      <c r="AD3" s="26">
        <f>资产资本表!AD107</f>
        <v>22228578013.470001</v>
      </c>
      <c r="AE3" s="26">
        <f>资产资本表!AE107</f>
        <v>20718108830.41</v>
      </c>
      <c r="AF3" s="26">
        <f>资产资本表!AF107</f>
        <v>20565137134.060001</v>
      </c>
      <c r="AG3" s="26">
        <f>资产资本表!AG107</f>
        <v>18366101541.469997</v>
      </c>
      <c r="AH3" s="26">
        <f>资产资本表!AH107</f>
        <v>17519043970.790001</v>
      </c>
      <c r="AI3" s="26">
        <f>资产资本表!AI107</f>
        <v>16339410822.219999</v>
      </c>
      <c r="AJ3" s="26">
        <f>资产资本表!AJ107</f>
        <v>16187697852.24</v>
      </c>
      <c r="AK3" s="26">
        <f>资产资本表!AK107</f>
        <v>14580462144.59</v>
      </c>
      <c r="AL3" s="26">
        <f>资产资本表!AL107</f>
        <v>13658846653.599998</v>
      </c>
      <c r="AM3" s="26">
        <f>资产资本表!AM107</f>
        <v>12886039184.620001</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0.12796982090356049</v>
      </c>
      <c r="F4" s="59">
        <f t="shared" ref="F4:BQ4" si="0">F2/F3</f>
        <v>9.9119595931976931E-2</v>
      </c>
      <c r="G4" s="59">
        <f t="shared" si="0"/>
        <v>5.6563700517850805E-2</v>
      </c>
      <c r="H4" s="59">
        <f t="shared" si="0"/>
        <v>1.7072117148888278E-2</v>
      </c>
      <c r="I4" s="59">
        <f t="shared" si="0"/>
        <v>0.12919867921381595</v>
      </c>
      <c r="J4" s="59">
        <f t="shared" si="0"/>
        <v>0.21028129667948364</v>
      </c>
      <c r="K4" s="59">
        <f t="shared" si="0"/>
        <v>0.12094406151731543</v>
      </c>
      <c r="L4" s="59">
        <f t="shared" si="0"/>
        <v>1.8481028517776835E-2</v>
      </c>
      <c r="M4" s="59">
        <f t="shared" si="0"/>
        <v>0.29106914429463049</v>
      </c>
      <c r="N4" s="59">
        <f t="shared" si="0"/>
        <v>0.24826177154592249</v>
      </c>
      <c r="O4" s="59">
        <f t="shared" si="0"/>
        <v>0.3731211156038039</v>
      </c>
      <c r="P4" s="59">
        <f t="shared" si="0"/>
        <v>0.40052767785665833</v>
      </c>
      <c r="Q4" s="59" t="e">
        <f t="shared" si="0"/>
        <v>#DIV/0!</v>
      </c>
      <c r="R4" s="59">
        <f t="shared" si="0"/>
        <v>1.7824694385667173E-3</v>
      </c>
      <c r="S4" s="59">
        <f t="shared" si="0"/>
        <v>0</v>
      </c>
      <c r="T4" s="59">
        <f t="shared" si="0"/>
        <v>-1.7297321624475996E-2</v>
      </c>
      <c r="U4" s="59">
        <f t="shared" si="0"/>
        <v>-5.6413659828336578E-2</v>
      </c>
      <c r="V4" s="59">
        <f t="shared" si="0"/>
        <v>-4.9271243851680871E-2</v>
      </c>
      <c r="W4" s="59">
        <f t="shared" si="0"/>
        <v>-4.3580429396468646E-2</v>
      </c>
      <c r="X4" s="59">
        <f t="shared" si="0"/>
        <v>-2.8244002324217247E-2</v>
      </c>
      <c r="Y4" s="59">
        <f t="shared" si="0"/>
        <v>-8.2411230501752197E-2</v>
      </c>
      <c r="Z4" s="59">
        <f t="shared" si="0"/>
        <v>-6.6904426615162341E-2</v>
      </c>
      <c r="AA4" s="59">
        <f t="shared" si="0"/>
        <v>-4.9090270162919551E-2</v>
      </c>
      <c r="AB4" s="59">
        <f t="shared" si="0"/>
        <v>-3.3478527881227474E-2</v>
      </c>
      <c r="AC4" s="59">
        <f t="shared" si="0"/>
        <v>-6.9112371373975898E-2</v>
      </c>
      <c r="AD4" s="59">
        <f t="shared" si="0"/>
        <v>-6.2121129003538979E-2</v>
      </c>
      <c r="AE4" s="59">
        <f t="shared" si="0"/>
        <v>-4.5461782500027574E-2</v>
      </c>
      <c r="AF4" s="59">
        <f t="shared" si="0"/>
        <v>-3.2851627641766294E-2</v>
      </c>
      <c r="AG4" s="59">
        <f t="shared" si="0"/>
        <v>-7.1454026511113516E-2</v>
      </c>
      <c r="AH4" s="59">
        <f t="shared" si="0"/>
        <v>-5.9617986918204052E-2</v>
      </c>
      <c r="AI4" s="59">
        <f t="shared" si="0"/>
        <v>-4.2147751624769539E-2</v>
      </c>
      <c r="AJ4" s="59">
        <f t="shared" si="0"/>
        <v>-3.0670256876662586E-2</v>
      </c>
      <c r="AK4" s="59">
        <f t="shared" si="0"/>
        <v>-7.0545052079275056E-2</v>
      </c>
      <c r="AL4" s="59">
        <f t="shared" si="0"/>
        <v>-5.2486427443055657E-2</v>
      </c>
      <c r="AM4" s="59">
        <f t="shared" si="0"/>
        <v>-3.8777552109759118E-2</v>
      </c>
      <c r="AN4" s="59">
        <f t="shared" si="0"/>
        <v>-2.9876851160973016E-2</v>
      </c>
      <c r="AO4" s="59">
        <f t="shared" si="0"/>
        <v>-3.5607945498456167E-2</v>
      </c>
      <c r="AP4" s="59">
        <f t="shared" si="0"/>
        <v>-3.6614766209911873E-2</v>
      </c>
      <c r="AQ4" s="59">
        <f t="shared" si="0"/>
        <v>-3.015078208827536E-2</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52494399.365199998</v>
      </c>
      <c r="F5" s="26">
        <f>股权价值增加表!F47</f>
        <v>20147550.958000034</v>
      </c>
      <c r="G5" s="26">
        <f>股权价值增加表!G47</f>
        <v>-23461030.080799989</v>
      </c>
      <c r="H5" s="26">
        <f>股权价值增加表!H47</f>
        <v>-62411747.419600002</v>
      </c>
      <c r="I5" s="26">
        <f>股权价值增加表!I47</f>
        <v>48481079.171599939</v>
      </c>
      <c r="J5" s="26">
        <f>股权价值增加表!J47</f>
        <v>57902830.927200019</v>
      </c>
      <c r="K5" s="26">
        <f>股权价值增加表!K47</f>
        <v>16347997.309999984</v>
      </c>
      <c r="L5" s="26">
        <f>股权价值增加表!L47</f>
        <v>-29407193.352399997</v>
      </c>
      <c r="M5" s="26">
        <f>股权价值增加表!M47</f>
        <v>81757183.258399993</v>
      </c>
      <c r="N5" s="26">
        <f>股权价值增加表!N47</f>
        <v>53464038.43999996</v>
      </c>
      <c r="O5" s="26">
        <f>股权价值增加表!O47</f>
        <v>74563688.741600037</v>
      </c>
      <c r="P5" s="26">
        <f>股权价值增加表!P47</f>
        <v>67236857.736000031</v>
      </c>
      <c r="Q5" s="26">
        <f>股权价值增加表!Q47</f>
        <v>78574092.780000001</v>
      </c>
      <c r="R5" s="26">
        <f>股权价值增加表!R47</f>
        <v>69584154.749999985</v>
      </c>
      <c r="S5" s="26">
        <f>股权价值增加表!S47</f>
        <v>0</v>
      </c>
      <c r="T5" s="26">
        <f>股权价值增加表!T47</f>
        <v>-3868038785.9252005</v>
      </c>
      <c r="U5" s="26">
        <f>股权价值增加表!U47</f>
        <v>-5049936089.9771996</v>
      </c>
      <c r="V5" s="26">
        <f>股权价值增加表!V47</f>
        <v>-4645524401.3476</v>
      </c>
      <c r="W5" s="26">
        <f>股权价值增加表!W47</f>
        <v>-4262542827.1395998</v>
      </c>
      <c r="X5" s="26">
        <f>股权价值增加表!X47</f>
        <v>-3818321607.2244005</v>
      </c>
      <c r="Y5" s="26">
        <f>股权价值增加表!Y47</f>
        <v>-5119375855.2939997</v>
      </c>
      <c r="Z5" s="26">
        <f>股权价值增加表!Z47</f>
        <v>-4351521066.0344</v>
      </c>
      <c r="AA5" s="26">
        <f>股权价值增加表!AA47</f>
        <v>-3453061580.3604002</v>
      </c>
      <c r="AB5" s="26">
        <f>股权价值增加表!AB47</f>
        <v>-3016026399.7420001</v>
      </c>
      <c r="AC5" s="26">
        <f>股权价值增加表!AC47</f>
        <v>-3496191358.9559999</v>
      </c>
      <c r="AD5" s="26">
        <f>股权价值增加表!AD47</f>
        <v>-3159150603.4176006</v>
      </c>
      <c r="AE5" s="26">
        <f>股权价值增加表!AE47</f>
        <v>-2599330863.8928003</v>
      </c>
      <c r="AF5" s="26">
        <f>股权价值增加表!AF47</f>
        <v>-2320809198.2547998</v>
      </c>
      <c r="AG5" s="26">
        <f>股权价值增加表!AG47</f>
        <v>-2781620029.7676001</v>
      </c>
      <c r="AH5" s="26">
        <f>股权价值增加表!AH47</f>
        <v>-2445973651.9331999</v>
      </c>
      <c r="AI5" s="26">
        <f>股权价值增加表!AI47</f>
        <v>-1995822294.8076</v>
      </c>
      <c r="AJ5" s="26">
        <f>股权价值增加表!AJ47</f>
        <v>-1791496679.5492001</v>
      </c>
      <c r="AK5" s="26">
        <f>股权价值增加表!AK47</f>
        <v>-2195016432.8972001</v>
      </c>
      <c r="AL5" s="26">
        <f>股权价值增加表!AL47</f>
        <v>-1809611796.128</v>
      </c>
      <c r="AM5" s="26">
        <f>股权价值增加表!AM47</f>
        <v>-1530572190.7395999</v>
      </c>
      <c r="AN5" s="26">
        <f>股权价值增加表!AN47</f>
        <v>-1398206785.8844001</v>
      </c>
      <c r="AO5" s="26">
        <f>股权价值增加表!AO47</f>
        <v>-1324397326.0776</v>
      </c>
      <c r="AP5" s="26">
        <f>股权价值增加表!AP47</f>
        <v>-1309621530.4188001</v>
      </c>
      <c r="AQ5" s="26">
        <f>股权价值增加表!AQ47</f>
        <v>-1204430921.7676001</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0.22096240780960927</v>
      </c>
      <c r="F6" s="156">
        <f>股权价值增加表!F31/股权价值增加表!F4</f>
        <v>0.2357938161829467</v>
      </c>
      <c r="G6" s="156">
        <f>股权价值增加表!G31/股权价值增加表!G4</f>
        <v>0.20179998639159474</v>
      </c>
      <c r="H6" s="156">
        <f>股权价值增加表!H31/股权价值增加表!H4</f>
        <v>0.13891864284186209</v>
      </c>
      <c r="I6" s="156">
        <f>股权价值增加表!I31/股权价值增加表!I4</f>
        <v>0.23227361159850929</v>
      </c>
      <c r="J6" s="156">
        <f>股权价值增加表!J31/股权价值增加表!J4</f>
        <v>0.25161791760811975</v>
      </c>
      <c r="K6" s="156">
        <f>股权价值增加表!K31/股权价值增加表!K4</f>
        <v>0.21024621274883967</v>
      </c>
      <c r="L6" s="156">
        <f>股权价值增加表!L31/股权价值增加表!L4</f>
        <v>9.5390858381427704E-2</v>
      </c>
      <c r="M6" s="156">
        <f>股权价值增加表!M31/股权价值增加表!M4</f>
        <v>0.23366781761171718</v>
      </c>
      <c r="N6" s="156">
        <f>股权价值增加表!N31/股权价值增加表!N4</f>
        <v>0.2411234567034678</v>
      </c>
      <c r="O6" s="156">
        <f>股权价值增加表!O31/股权价值增加表!O4</f>
        <v>0.23010448239094775</v>
      </c>
      <c r="P6" s="156">
        <f>股权价值增加表!P31/股权价值增加表!P4</f>
        <v>0.23042017511296525</v>
      </c>
      <c r="Q6" s="156">
        <f>股权价值增加表!Q31/股权价值增加表!Q4</f>
        <v>0.24421779960748016</v>
      </c>
      <c r="R6" s="156">
        <f>股权价值增加表!R31/股权价值增加表!R4</f>
        <v>0.26381320271879261</v>
      </c>
      <c r="S6" s="156" t="e">
        <f>股权价值增加表!S31/股权价值增加表!S4</f>
        <v>#DIV/0!</v>
      </c>
      <c r="T6" s="156" t="e">
        <f>股权价值增加表!T31/股权价值增加表!T4</f>
        <v>#DIV/0!</v>
      </c>
      <c r="U6" s="156" t="e">
        <f>股权价值增加表!U31/股权价值增加表!U4</f>
        <v>#DIV/0!</v>
      </c>
      <c r="V6" s="156" t="e">
        <f>股权价值增加表!V31/股权价值增加表!V4</f>
        <v>#DIV/0!</v>
      </c>
      <c r="W6" s="156" t="e">
        <f>股权价值增加表!W31/股权价值增加表!W4</f>
        <v>#DIV/0!</v>
      </c>
      <c r="X6" s="156" t="e">
        <f>股权价值增加表!X31/股权价值增加表!X4</f>
        <v>#DIV/0!</v>
      </c>
      <c r="Y6" s="156" t="e">
        <f>股权价值增加表!Y31/股权价值增加表!Y4</f>
        <v>#DIV/0!</v>
      </c>
      <c r="Z6" s="156" t="e">
        <f>股权价值增加表!Z31/股权价值增加表!Z4</f>
        <v>#DIV/0!</v>
      </c>
      <c r="AA6" s="156" t="e">
        <f>股权价值增加表!AA31/股权价值增加表!AA4</f>
        <v>#DIV/0!</v>
      </c>
      <c r="AB6" s="156" t="e">
        <f>股权价值增加表!AB31/股权价值增加表!AB4</f>
        <v>#DIV/0!</v>
      </c>
      <c r="AC6" s="156" t="e">
        <f>股权价值增加表!AC31/股权价值增加表!AC4</f>
        <v>#DIV/0!</v>
      </c>
      <c r="AD6" s="156" t="e">
        <f>股权价值增加表!AD31/股权价值增加表!AD4</f>
        <v>#DIV/0!</v>
      </c>
      <c r="AE6" s="156" t="e">
        <f>股权价值增加表!AE31/股权价值增加表!AE4</f>
        <v>#DIV/0!</v>
      </c>
      <c r="AF6" s="156" t="e">
        <f>股权价值增加表!AF31/股权价值增加表!AF4</f>
        <v>#DIV/0!</v>
      </c>
      <c r="AG6" s="156" t="e">
        <f>股权价值增加表!AG31/股权价值增加表!AG4</f>
        <v>#DIV/0!</v>
      </c>
      <c r="AH6" s="156" t="e">
        <f>股权价值增加表!AH31/股权价值增加表!AH4</f>
        <v>#DIV/0!</v>
      </c>
      <c r="AI6" s="156" t="e">
        <f>股权价值增加表!AI31/股权价值增加表!AI4</f>
        <v>#DIV/0!</v>
      </c>
      <c r="AJ6" s="156" t="e">
        <f>股权价值增加表!AJ31/股权价值增加表!AJ4</f>
        <v>#DIV/0!</v>
      </c>
      <c r="AK6" s="156" t="e">
        <f>股权价值增加表!AK31/股权价值增加表!AK4</f>
        <v>#DIV/0!</v>
      </c>
      <c r="AL6" s="156" t="e">
        <f>股权价值增加表!AL31/股权价值增加表!AL4</f>
        <v>#DIV/0!</v>
      </c>
      <c r="AM6" s="156" t="e">
        <f>股权价值增加表!AM31/股权价值增加表!AM4</f>
        <v>#DIV/0!</v>
      </c>
      <c r="AN6" s="156" t="e">
        <f>股权价值增加表!AN31/股权价值增加表!AN4</f>
        <v>#DIV/0!</v>
      </c>
      <c r="AO6" s="156" t="e">
        <f>股权价值增加表!AO31/股权价值增加表!AO4</f>
        <v>#DIV/0!</v>
      </c>
      <c r="AP6" s="156" t="e">
        <f>股权价值增加表!AP31/股权价值增加表!AP4</f>
        <v>#DIV/0!</v>
      </c>
      <c r="AQ6" s="156" t="e">
        <f>股权价值增加表!AQ31/股权价值增加表!AQ4</f>
        <v>#DIV/0!</v>
      </c>
      <c r="AR6" s="156" t="e">
        <f>股权价值增加表!AR31/股权价值增加表!AR4</f>
        <v>#DIV/0!</v>
      </c>
      <c r="AS6" s="156" t="e">
        <f>股权价值增加表!AS31/股权价值增加表!AS4</f>
        <v>#DIV/0!</v>
      </c>
      <c r="AT6" s="156" t="e">
        <f>股权价值增加表!AT31/股权价值增加表!AT4</f>
        <v>#DIV/0!</v>
      </c>
      <c r="AU6" s="156" t="e">
        <f>股权价值增加表!AU31/股权价值增加表!AU4</f>
        <v>#DIV/0!</v>
      </c>
      <c r="AV6" s="156" t="e">
        <f>股权价值增加表!AV31/股权价值增加表!AV4</f>
        <v>#DIV/0!</v>
      </c>
      <c r="AW6" s="156" t="e">
        <f>股权价值增加表!AW31/股权价值增加表!AW4</f>
        <v>#DIV/0!</v>
      </c>
      <c r="AX6" s="156" t="e">
        <f>股权价值增加表!AX31/股权价值增加表!AX4</f>
        <v>#DIV/0!</v>
      </c>
      <c r="AY6" s="156" t="e">
        <f>股权价值增加表!AY31/股权价值增加表!AY4</f>
        <v>#DIV/0!</v>
      </c>
      <c r="AZ6" s="156" t="e">
        <f>股权价值增加表!AZ31/股权价值增加表!AZ4</f>
        <v>#DIV/0!</v>
      </c>
      <c r="BA6" s="156" t="e">
        <f>股权价值增加表!BA31/股权价值增加表!BA4</f>
        <v>#DIV/0!</v>
      </c>
      <c r="BB6" s="156" t="e">
        <f>股权价值增加表!BB31/股权价值增加表!BB4</f>
        <v>#DIV/0!</v>
      </c>
      <c r="BC6" s="156" t="e">
        <f>股权价值增加表!BC31/股权价值增加表!BC4</f>
        <v>#DIV/0!</v>
      </c>
      <c r="BD6" s="156" t="e">
        <f>股权价值增加表!BD31/股权价值增加表!BD4</f>
        <v>#DIV/0!</v>
      </c>
      <c r="BE6" s="156" t="e">
        <f>股权价值增加表!BE31/股权价值增加表!BE4</f>
        <v>#DIV/0!</v>
      </c>
      <c r="BF6" s="156" t="e">
        <f>股权价值增加表!BF31/股权价值增加表!BF4</f>
        <v>#DIV/0!</v>
      </c>
      <c r="BG6" s="156" t="e">
        <f>股权价值增加表!BG31/股权价值增加表!BG4</f>
        <v>#DIV/0!</v>
      </c>
      <c r="BH6" s="156" t="e">
        <f>股权价值增加表!BH31/股权价值增加表!BH4</f>
        <v>#DIV/0!</v>
      </c>
      <c r="BI6" s="156" t="e">
        <f>股权价值增加表!BI31/股权价值增加表!BI4</f>
        <v>#DIV/0!</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0.68720144088064206</v>
      </c>
      <c r="F7" s="61">
        <f>股权价值增加表!F4/资产资本表!F70</f>
        <v>0.49867892898315386</v>
      </c>
      <c r="G7" s="61">
        <f>股权价值增加表!G4/资产资本表!G70</f>
        <v>0.33922041795612168</v>
      </c>
      <c r="H7" s="61">
        <f>股权价值增加表!H4/资产资本表!H70</f>
        <v>0.1469415907897276</v>
      </c>
      <c r="I7" s="61">
        <f>股权价值增加表!I4/资产资本表!I70</f>
        <v>0.62614684082879946</v>
      </c>
      <c r="J7" s="61">
        <f>股权价值增加表!J4/资产资本表!J70</f>
        <v>0.81408243309628214</v>
      </c>
      <c r="K7" s="61">
        <f>股权价值增加表!K4/资产资本表!K70</f>
        <v>0.55316157607399763</v>
      </c>
      <c r="L7" s="61">
        <f>股权价值增加表!L4/资产资本表!L70</f>
        <v>0.21867490189194025</v>
      </c>
      <c r="M7" s="61">
        <f>股权价值增加表!M4/资产资本表!M70</f>
        <v>1.2174789291994235</v>
      </c>
      <c r="N7" s="61">
        <f>股权价值增加表!N4/资产资本表!N70</f>
        <v>0.82525737186565229</v>
      </c>
      <c r="O7" s="61">
        <f>股权价值增加表!O4/资产资本表!O70</f>
        <v>1.6039742602585818</v>
      </c>
      <c r="P7" s="61">
        <f>股权价值增加表!P4/资产资本表!P70</f>
        <v>2.0415230064601575</v>
      </c>
      <c r="Q7" s="61" t="e">
        <f>股权价值增加表!Q4/资产资本表!Q70</f>
        <v>#DIV/0!</v>
      </c>
      <c r="R7" s="61" t="e">
        <f>股权价值增加表!R4/资产资本表!R70</f>
        <v>#DIV/0!</v>
      </c>
      <c r="S7" s="61" t="e">
        <f>股权价值增加表!S4/资产资本表!S70</f>
        <v>#DIV/0!</v>
      </c>
      <c r="T7" s="61" t="e">
        <f>股权价值增加表!T4/资产资本表!T70</f>
        <v>#DIV/0!</v>
      </c>
      <c r="U7" s="61" t="e">
        <f>股权价值增加表!U4/资产资本表!U70</f>
        <v>#DIV/0!</v>
      </c>
      <c r="V7" s="61" t="e">
        <f>股权价值增加表!V4/资产资本表!V70</f>
        <v>#DIV/0!</v>
      </c>
      <c r="W7" s="61" t="e">
        <f>股权价值增加表!W4/资产资本表!W70</f>
        <v>#DIV/0!</v>
      </c>
      <c r="X7" s="61" t="e">
        <f>股权价值增加表!X4/资产资本表!X70</f>
        <v>#DIV/0!</v>
      </c>
      <c r="Y7" s="61" t="e">
        <f>股权价值增加表!Y4/资产资本表!Y70</f>
        <v>#DIV/0!</v>
      </c>
      <c r="Z7" s="61" t="e">
        <f>股权价值增加表!Z4/资产资本表!Z70</f>
        <v>#DIV/0!</v>
      </c>
      <c r="AA7" s="61" t="e">
        <f>股权价值增加表!AA4/资产资本表!AA70</f>
        <v>#DIV/0!</v>
      </c>
      <c r="AB7" s="61" t="e">
        <f>股权价值增加表!AB4/资产资本表!AB70</f>
        <v>#DIV/0!</v>
      </c>
      <c r="AC7" s="61" t="e">
        <f>股权价值增加表!AC4/资产资本表!AC70</f>
        <v>#DIV/0!</v>
      </c>
      <c r="AD7" s="61" t="e">
        <f>股权价值增加表!AD4/资产资本表!AD70</f>
        <v>#DIV/0!</v>
      </c>
      <c r="AE7" s="61" t="e">
        <f>股权价值增加表!AE4/资产资本表!AE70</f>
        <v>#DIV/0!</v>
      </c>
      <c r="AF7" s="61" t="e">
        <f>股权价值增加表!AF4/资产资本表!AF70</f>
        <v>#DIV/0!</v>
      </c>
      <c r="AG7" s="61" t="e">
        <f>股权价值增加表!AG4/资产资本表!AG70</f>
        <v>#DIV/0!</v>
      </c>
      <c r="AH7" s="61" t="e">
        <f>股权价值增加表!AH4/资产资本表!AH70</f>
        <v>#DIV/0!</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0.15184568502721951</v>
      </c>
      <c r="F8" s="63">
        <f>股权价值增加表!F31/资产资本表!F70</f>
        <v>0.11758540771496251</v>
      </c>
      <c r="G8" s="63">
        <f>股权价值增加表!G31/资产资本表!G70</f>
        <v>6.8454675727296438E-2</v>
      </c>
      <c r="H8" s="63">
        <f>股权价值增加表!H31/资产资本表!H70</f>
        <v>2.0412926369533221E-2</v>
      </c>
      <c r="I8" s="63">
        <f>股权价值增加表!I31/资产资本表!I70</f>
        <v>0.14543738811030218</v>
      </c>
      <c r="J8" s="63">
        <f>股权价值增加表!J31/资产资本表!J70</f>
        <v>0.20483772657703794</v>
      </c>
      <c r="K8" s="63">
        <f>股权价值增加表!K31/资产资本表!K70</f>
        <v>0.11630012640773717</v>
      </c>
      <c r="L8" s="63">
        <f>股权价值增加表!L31/资产资本表!L70</f>
        <v>2.0859586597946667E-2</v>
      </c>
      <c r="M8" s="63">
        <f>股权价值增加表!M31/资产资本表!M70</f>
        <v>0.28448564437427959</v>
      </c>
      <c r="N8" s="63">
        <f>股权价值增加表!N31/资产资本表!N70</f>
        <v>0.19898891017426523</v>
      </c>
      <c r="O8" s="63">
        <f>股权价值增加表!O31/资产资本表!O70</f>
        <v>0.36908166692520428</v>
      </c>
      <c r="P8" s="63">
        <f>股权价值增加表!P31/资产资本表!P70</f>
        <v>0.47040808864569678</v>
      </c>
      <c r="Q8" s="63" t="e">
        <f>股权价值增加表!Q31/资产资本表!Q70</f>
        <v>#DIV/0!</v>
      </c>
      <c r="R8" s="63" t="e">
        <f>股权价值增加表!R31/资产资本表!R70</f>
        <v>#DIV/0!</v>
      </c>
      <c r="S8" s="63" t="e">
        <f>股权价值增加表!S31/资产资本表!S70</f>
        <v>#DIV/0!</v>
      </c>
      <c r="T8" s="63" t="e">
        <f>股权价值增加表!T31/资产资本表!T70</f>
        <v>#DIV/0!</v>
      </c>
      <c r="U8" s="63" t="e">
        <f>股权价值增加表!U31/资产资本表!U70</f>
        <v>#DIV/0!</v>
      </c>
      <c r="V8" s="63" t="e">
        <f>股权价值增加表!V31/资产资本表!V70</f>
        <v>#DIV/0!</v>
      </c>
      <c r="W8" s="63" t="e">
        <f>股权价值增加表!W31/资产资本表!W70</f>
        <v>#DIV/0!</v>
      </c>
      <c r="X8" s="63" t="e">
        <f>股权价值增加表!X31/资产资本表!X70</f>
        <v>#DIV/0!</v>
      </c>
      <c r="Y8" s="63" t="e">
        <f>股权价值增加表!Y31/资产资本表!Y70</f>
        <v>#DIV/0!</v>
      </c>
      <c r="Z8" s="63" t="e">
        <f>股权价值增加表!Z31/资产资本表!Z70</f>
        <v>#DIV/0!</v>
      </c>
      <c r="AA8" s="63" t="e">
        <f>股权价值增加表!AA31/资产资本表!AA70</f>
        <v>#DIV/0!</v>
      </c>
      <c r="AB8" s="63" t="e">
        <f>股权价值增加表!AB31/资产资本表!AB70</f>
        <v>#DIV/0!</v>
      </c>
      <c r="AC8" s="63" t="e">
        <f>股权价值增加表!AC31/资产资本表!AC70</f>
        <v>#DIV/0!</v>
      </c>
      <c r="AD8" s="63" t="e">
        <f>股权价值增加表!AD31/资产资本表!AD70</f>
        <v>#DIV/0!</v>
      </c>
      <c r="AE8" s="63" t="e">
        <f>股权价值增加表!AE31/资产资本表!AE70</f>
        <v>#DIV/0!</v>
      </c>
      <c r="AF8" s="63" t="e">
        <f>股权价值增加表!AF31/资产资本表!AF70</f>
        <v>#DIV/0!</v>
      </c>
      <c r="AG8" s="63" t="e">
        <f>股权价值增加表!AG31/资产资本表!AG70</f>
        <v>#DIV/0!</v>
      </c>
      <c r="AH8" s="63" t="e">
        <f>股权价值增加表!AH31/资产资本表!AH70</f>
        <v>#DIV/0!</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0.99556677204566946</v>
      </c>
      <c r="F9" s="156">
        <f>股权价值增加表!F38/股权价值增加表!F31</f>
        <v>1.0058440369790647</v>
      </c>
      <c r="G9" s="156">
        <f>股权价值增加表!G38/股权价值增加表!G31</f>
        <v>1.0037633653608873</v>
      </c>
      <c r="H9" s="156">
        <f>股权价值增加表!H38/股权价值增加表!H31</f>
        <v>0.9906253891968485</v>
      </c>
      <c r="I9" s="156">
        <f>股权价值增加表!I38/股权价值增加表!I31</f>
        <v>0.96679885898810014</v>
      </c>
      <c r="J9" s="156">
        <f>股权价值增加表!J38/股权价值增加表!J31</f>
        <v>0.97164939100794301</v>
      </c>
      <c r="K9" s="156">
        <f>股权价值增加表!K38/股权价值增加表!K31</f>
        <v>0.96683021027690441</v>
      </c>
      <c r="L9" s="156">
        <f>股权价值增加表!L38/股权价值增加表!L31</f>
        <v>0.91623247274927233</v>
      </c>
      <c r="M9" s="156">
        <f>股权价值增加表!M38/股权价值增加表!M31</f>
        <v>0.9552018019341777</v>
      </c>
      <c r="N9" s="156">
        <f>股权价值增加表!N38/股权价值增加表!N31</f>
        <v>0.95722043828864145</v>
      </c>
      <c r="O9" s="156">
        <f>股权价值增加表!O38/股权价值增加表!O31</f>
        <v>0.92143950881158043</v>
      </c>
      <c r="P9" s="156">
        <f>股权价值增加表!P38/股权价值增加表!P31</f>
        <v>0.90175846031998508</v>
      </c>
      <c r="Q9" s="156">
        <f>股权价值增加表!Q38/股权价值增加表!Q31</f>
        <v>1.0000434157398292</v>
      </c>
      <c r="R9" s="156">
        <f>股权价值增加表!R38/股权价值增加表!R31</f>
        <v>1.0070774370571343</v>
      </c>
      <c r="S9" s="156" t="e">
        <f>股权价值增加表!S38/股权价值增加表!S31</f>
        <v>#DIV/0!</v>
      </c>
      <c r="T9" s="156" t="e">
        <f>股权价值增加表!T38/股权价值增加表!T31</f>
        <v>#DIV/0!</v>
      </c>
      <c r="U9" s="156">
        <f>股权价值增加表!U38/股权价值增加表!U31</f>
        <v>1.0067888825451388</v>
      </c>
      <c r="V9" s="156">
        <f>股权价值增加表!V38/股权价值增加表!V31</f>
        <v>177.66928344170117</v>
      </c>
      <c r="W9" s="156">
        <f>股权价值增加表!W38/股权价值增加表!W31</f>
        <v>127.44470457436741</v>
      </c>
      <c r="X9" s="156" t="e">
        <f>股权价值增加表!X38/股权价值增加表!X31</f>
        <v>#DIV/0!</v>
      </c>
      <c r="Y9" s="156">
        <f>股权价值增加表!Y38/股权价值增加表!Y31</f>
        <v>1.0153071647881835</v>
      </c>
      <c r="Z9" s="156">
        <f>股权价值增加表!Z38/股权价值增加表!Z31</f>
        <v>-675.0397420242349</v>
      </c>
      <c r="AA9" s="156">
        <f>股权价值增加表!AA38/股权价值增加表!AA31</f>
        <v>-405.38531185722303</v>
      </c>
      <c r="AB9" s="156">
        <f>股权价值增加表!AB38/股权价值增加表!AB31</f>
        <v>-14532.955729129431</v>
      </c>
      <c r="AC9" s="156">
        <f>股权价值增加表!AC38/股权价值增加表!AC31</f>
        <v>1.0164776399203117</v>
      </c>
      <c r="AD9" s="156">
        <f>股权价值增加表!AD38/股权价值增加表!AD31</f>
        <v>825.8262717727489</v>
      </c>
      <c r="AE9" s="156">
        <f>股权价值增加表!AE38/股权价值增加表!AE31</f>
        <v>1411.9956672778517</v>
      </c>
      <c r="AF9" s="156">
        <f>股权价值增加表!AF38/股权价值增加表!AF31</f>
        <v>2357.4391995048486</v>
      </c>
      <c r="AG9" s="156">
        <f>股权价值增加表!AG38/股权价值增加表!AG31</f>
        <v>1.0131980831581258</v>
      </c>
      <c r="AH9" s="156">
        <f>股权价值增加表!AH38/股权价值增加表!AH31</f>
        <v>-29.016729108236891</v>
      </c>
      <c r="AI9" s="156">
        <f>股权价值增加表!AI38/股权价值增加表!AI31</f>
        <v>239.74816931760449</v>
      </c>
      <c r="AJ9" s="156">
        <f>股权价值增加表!AJ38/股权价值增加表!AJ31</f>
        <v>95.635402270618115</v>
      </c>
      <c r="AK9" s="156">
        <f>股权价值增加表!AK38/股权价值增加表!AK31</f>
        <v>181.31655946674428</v>
      </c>
      <c r="AL9" s="156">
        <f>股权价值增加表!AL38/股权价值增加表!AL31</f>
        <v>2121.2861398759569</v>
      </c>
      <c r="AM9" s="156">
        <f>股权价值增加表!AM38/股权价值增加表!AM31</f>
        <v>-15.848387174311645</v>
      </c>
      <c r="AN9" s="156" t="e">
        <f>股权价值增加表!AN38/股权价值增加表!AN31</f>
        <v>#DIV/0!</v>
      </c>
      <c r="AO9" s="156">
        <f>股权价值增加表!AO38/股权价值增加表!AO31</f>
        <v>102.29321060837309</v>
      </c>
      <c r="AP9" s="156">
        <f>股权价值增加表!AP38/股权价值增加表!AP31</f>
        <v>-93.36650505816408</v>
      </c>
      <c r="AQ9" s="156">
        <f>股权价值增加表!AQ38/股权价值增加表!AQ31</f>
        <v>-79.478184971410798</v>
      </c>
      <c r="AR9" s="156" t="e">
        <f>股权价值增加表!AR38/股权价值增加表!AR31</f>
        <v>#DIV/0!</v>
      </c>
      <c r="AS9" s="156">
        <f>股权价值增加表!AS38/股权价值增加表!AS31</f>
        <v>29.82489017332593</v>
      </c>
      <c r="AT9" s="156">
        <f>股权价值增加表!AT38/股权价值增加表!AT31</f>
        <v>74.693791916224583</v>
      </c>
      <c r="AU9" s="156">
        <f>股权价值增加表!AU38/股权价值增加表!AU31</f>
        <v>762.43841528552787</v>
      </c>
      <c r="AV9" s="156">
        <f>股权价值增加表!AV38/股权价值增加表!AV31</f>
        <v>6.0715712302299112</v>
      </c>
      <c r="AW9" s="156">
        <f>股权价值增加表!AW38/股权价值增加表!AW31</f>
        <v>10.996125403577111</v>
      </c>
      <c r="AX9" s="156">
        <f>股权价值增加表!AX38/股权价值增加表!AX31</f>
        <v>11.563322521142613</v>
      </c>
      <c r="AY9" s="156">
        <f>股权价值增加表!AY38/股权价值增加表!AY31</f>
        <v>14.314610464689412</v>
      </c>
      <c r="AZ9" s="156">
        <f>股权价值增加表!AZ38/股权价值增加表!AZ31</f>
        <v>30.177087999999998</v>
      </c>
      <c r="BA9" s="156">
        <f>股权价值增加表!BA38/股权价值增加表!BA31</f>
        <v>-5.4302495344527406</v>
      </c>
      <c r="BB9" s="156">
        <f>股权价值增加表!BB38/股权价值增加表!BB31</f>
        <v>-13.954913103035617</v>
      </c>
      <c r="BC9" s="156">
        <f>股权价值增加表!BC38/股权价值增加表!BC31</f>
        <v>-9.9942730035859633</v>
      </c>
      <c r="BD9" s="156" t="e">
        <f>股权价值增加表!BD38/股权价值增加表!BD31</f>
        <v>#DIV/0!</v>
      </c>
      <c r="BE9" s="156">
        <f>股权价值增加表!BE38/股权价值增加表!BE31</f>
        <v>-207.72438969261265</v>
      </c>
      <c r="BF9" s="156">
        <f>股权价值增加表!BF38/股权价值增加表!BF31</f>
        <v>38.123657821263173</v>
      </c>
      <c r="BG9" s="156">
        <f>股权价值增加表!BG38/股权价值增加表!BG31</f>
        <v>33.265097832398752</v>
      </c>
      <c r="BH9" s="156">
        <f>股权价值增加表!BH38/股权价值增加表!BH31</f>
        <v>2.6912248525255302</v>
      </c>
      <c r="BI9" s="156">
        <f>股权价值增加表!BI38/股权价值增加表!BI31</f>
        <v>-50.149746229058351</v>
      </c>
      <c r="BJ9" s="156">
        <f>股权价值增加表!BJ38/股权价值增加表!BJ31</f>
        <v>69.171187698585072</v>
      </c>
      <c r="BK9" s="156">
        <f>股权价值增加表!BK38/股权价值增加表!BK31</f>
        <v>232.32435186984958</v>
      </c>
      <c r="BL9" s="156">
        <f>股权价值增加表!BL38/股权价值增加表!BL31</f>
        <v>10.213152951199438</v>
      </c>
      <c r="BM9" s="156">
        <f>股权价值增加表!BM38/股权价值增加表!BM31</f>
        <v>150.18376358893079</v>
      </c>
      <c r="BN9" s="156">
        <f>股权价值增加表!BN38/股权价值增加表!BN31</f>
        <v>12.619124030745919</v>
      </c>
      <c r="BO9" s="156">
        <f>股权价值增加表!BO38/股权价值增加表!BO31</f>
        <v>8.7036936464919741</v>
      </c>
      <c r="BP9" s="156">
        <f>股权价值增加表!BP38/股权价值增加表!BP31</f>
        <v>-42.249783743212781</v>
      </c>
      <c r="BQ9" s="156">
        <f>股权价值增加表!BQ38/股权价值增加表!BQ31</f>
        <v>3.0583806324776739</v>
      </c>
      <c r="BR9" s="156">
        <f>股权价值增加表!BR38/股权价值增加表!BR31</f>
        <v>1</v>
      </c>
      <c r="BS9" s="156">
        <f>股权价值增加表!BS38/股权价值增加表!BS31</f>
        <v>2.6875461769888385</v>
      </c>
      <c r="BT9" s="156">
        <f>股权价值增加表!BT38/股权价值增加表!BT31</f>
        <v>2.0192338281291593</v>
      </c>
      <c r="BU9" s="156">
        <f>股权价值增加表!BU38/股权价值增加表!BU31</f>
        <v>7.0450850452289444</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1.0005182241193558</v>
      </c>
      <c r="F10" s="61">
        <f>资产资本表!F70/资产资本表!F107</f>
        <v>1.0005381693288939</v>
      </c>
      <c r="G10" s="61">
        <f>资产资本表!G70/资产资本表!G107</f>
        <v>1.0005665059280684</v>
      </c>
      <c r="H10" s="61">
        <f>资产资本表!H70/资产资本表!H107</f>
        <v>1.0546494187659012</v>
      </c>
      <c r="I10" s="61">
        <f>资产资本表!I70/资产资本表!I107</f>
        <v>1.0777898168849513</v>
      </c>
      <c r="J10" s="61">
        <f>资产资本表!J70/资产资本表!J107</f>
        <v>1.2548081245943254</v>
      </c>
      <c r="K10" s="61">
        <f>资产资本表!K70/资产资本表!K107</f>
        <v>1.2824945126749332</v>
      </c>
      <c r="L10" s="61">
        <f>资产资本表!L70/资产资本表!L107</f>
        <v>1.1891511848617067</v>
      </c>
      <c r="M10" s="61">
        <f>资产资本表!M70/资产资本表!M107</f>
        <v>1.266016178843828</v>
      </c>
      <c r="N10" s="61">
        <f>资产资本表!N70/资产资本表!N107</f>
        <v>1.5615720439524208</v>
      </c>
      <c r="O10" s="61">
        <f>资产资本表!O70/资产资本表!O107</f>
        <v>1.2960498984917705</v>
      </c>
      <c r="P10" s="61">
        <f>资产资本表!P70/资产资本表!P107</f>
        <v>1.1323042758631907</v>
      </c>
      <c r="Q10" s="61" t="e">
        <f>资产资本表!Q70/资产资本表!Q107</f>
        <v>#DIV/0!</v>
      </c>
      <c r="R10" s="61">
        <f>资产资本表!R70/资产资本表!R107</f>
        <v>0</v>
      </c>
      <c r="S10" s="61">
        <f>资产资本表!S70/资产资本表!S107</f>
        <v>0</v>
      </c>
      <c r="T10" s="61">
        <f>资产资本表!T70/资产资本表!T107</f>
        <v>0</v>
      </c>
      <c r="U10" s="61">
        <f>资产资本表!U70/资产资本表!U107</f>
        <v>0</v>
      </c>
      <c r="V10" s="61">
        <f>资产资本表!V70/资产资本表!V107</f>
        <v>0</v>
      </c>
      <c r="W10" s="61">
        <f>资产资本表!W70/资产资本表!W107</f>
        <v>0</v>
      </c>
      <c r="X10" s="61">
        <f>资产资本表!X70/资产资本表!X107</f>
        <v>0</v>
      </c>
      <c r="Y10" s="61">
        <f>资产资本表!Y70/资产资本表!Y107</f>
        <v>0</v>
      </c>
      <c r="Z10" s="61">
        <f>资产资本表!Z70/资产资本表!Z107</f>
        <v>0</v>
      </c>
      <c r="AA10" s="61">
        <f>资产资本表!AA70/资产资本表!AA107</f>
        <v>0</v>
      </c>
      <c r="AB10" s="61">
        <f>资产资本表!AB70/资产资本表!AB107</f>
        <v>0</v>
      </c>
      <c r="AC10" s="61">
        <f>资产资本表!AC70/资产资本表!AC107</f>
        <v>0</v>
      </c>
      <c r="AD10" s="61">
        <f>资产资本表!AD70/资产资本表!AD107</f>
        <v>0</v>
      </c>
      <c r="AE10" s="61">
        <f>资产资本表!AE70/资产资本表!AE107</f>
        <v>0</v>
      </c>
      <c r="AF10" s="61">
        <f>资产资本表!AF70/资产资本表!AF107</f>
        <v>0</v>
      </c>
      <c r="AG10" s="61">
        <f>资产资本表!AG70/资产资本表!AG107</f>
        <v>0</v>
      </c>
      <c r="AH10" s="61">
        <f>资产资本表!AH70/资产资本表!AH107</f>
        <v>0</v>
      </c>
      <c r="AI10" s="61">
        <f>资产资本表!AI70/资产资本表!AI107</f>
        <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0.99608269875937272</v>
      </c>
      <c r="F11" s="28">
        <f t="shared" ref="F11:BQ11" si="2">F9*F10</f>
        <v>1.0063853513894176</v>
      </c>
      <c r="G11" s="28">
        <f t="shared" si="2"/>
        <v>1.0043320032577421</v>
      </c>
      <c r="H11" s="28">
        <f t="shared" si="2"/>
        <v>1.044762490931201</v>
      </c>
      <c r="I11" s="28">
        <f t="shared" si="2"/>
        <v>1.0420059651933644</v>
      </c>
      <c r="J11" s="28">
        <f t="shared" si="2"/>
        <v>1.2192335500938953</v>
      </c>
      <c r="K11" s="28">
        <f t="shared" si="2"/>
        <v>1.2399544393684818</v>
      </c>
      <c r="L11" s="28">
        <f t="shared" si="2"/>
        <v>1.0895389305785685</v>
      </c>
      <c r="M11" s="28">
        <f t="shared" si="2"/>
        <v>1.2093009353094466</v>
      </c>
      <c r="N11" s="28">
        <f t="shared" si="2"/>
        <v>1.4947686763314258</v>
      </c>
      <c r="O11" s="28">
        <f t="shared" si="2"/>
        <v>1.1942315818615556</v>
      </c>
      <c r="P11" s="28">
        <f t="shared" si="2"/>
        <v>1.0210649604161266</v>
      </c>
      <c r="Q11" s="28" t="e">
        <f t="shared" si="2"/>
        <v>#DIV/0!</v>
      </c>
      <c r="R11" s="28">
        <f t="shared" si="2"/>
        <v>0</v>
      </c>
      <c r="S11" s="28" t="e">
        <f t="shared" si="2"/>
        <v>#DIV/0!</v>
      </c>
      <c r="T11" s="28" t="e">
        <f t="shared" si="2"/>
        <v>#DIV/0!</v>
      </c>
      <c r="U11" s="28">
        <f t="shared" si="2"/>
        <v>0</v>
      </c>
      <c r="V11" s="28">
        <f t="shared" si="2"/>
        <v>0</v>
      </c>
      <c r="W11" s="28">
        <f t="shared" si="2"/>
        <v>0</v>
      </c>
      <c r="X11" s="28" t="e">
        <f t="shared" si="2"/>
        <v>#DIV/0!</v>
      </c>
      <c r="Y11" s="28">
        <f t="shared" si="2"/>
        <v>0</v>
      </c>
      <c r="Z11" s="28">
        <f t="shared" si="2"/>
        <v>0</v>
      </c>
      <c r="AA11" s="28">
        <f t="shared" si="2"/>
        <v>0</v>
      </c>
      <c r="AB11" s="28">
        <f t="shared" si="2"/>
        <v>0</v>
      </c>
      <c r="AC11" s="28">
        <f t="shared" si="2"/>
        <v>0</v>
      </c>
      <c r="AD11" s="28">
        <f t="shared" si="2"/>
        <v>0</v>
      </c>
      <c r="AE11" s="28">
        <f t="shared" si="2"/>
        <v>0</v>
      </c>
      <c r="AF11" s="28">
        <f t="shared" si="2"/>
        <v>0</v>
      </c>
      <c r="AG11" s="28">
        <f t="shared" si="2"/>
        <v>0</v>
      </c>
      <c r="AH11" s="28">
        <f t="shared" si="2"/>
        <v>0</v>
      </c>
      <c r="AI11" s="28">
        <f t="shared" si="2"/>
        <v>0</v>
      </c>
      <c r="AJ11" s="28">
        <f t="shared" si="2"/>
        <v>0</v>
      </c>
      <c r="AK11" s="28">
        <f t="shared" si="2"/>
        <v>0</v>
      </c>
      <c r="AL11" s="28">
        <f t="shared" si="2"/>
        <v>0</v>
      </c>
      <c r="AM11" s="28">
        <f t="shared" si="2"/>
        <v>0</v>
      </c>
      <c r="AN11" s="28" t="e">
        <f t="shared" si="2"/>
        <v>#DIV/0!</v>
      </c>
      <c r="AO11" s="28">
        <f t="shared" si="2"/>
        <v>0</v>
      </c>
      <c r="AP11" s="28">
        <f t="shared" si="2"/>
        <v>0</v>
      </c>
      <c r="AQ11" s="28">
        <f t="shared" si="2"/>
        <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0.84607665124139764</v>
      </c>
      <c r="F12" s="156">
        <f>F2/股权价值增加表!F38</f>
        <v>0.83760987123532771</v>
      </c>
      <c r="G12" s="156">
        <f>G2/股权价值增加表!G38</f>
        <v>0.82273011587158096</v>
      </c>
      <c r="H12" s="156">
        <f>H2/股权价值增加表!H38</f>
        <v>0.800505907074336</v>
      </c>
      <c r="I12" s="156">
        <f>I2/股权价值增加表!I38</f>
        <v>0.8525341846724348</v>
      </c>
      <c r="J12" s="156">
        <f>J2/股权价值增加表!J38</f>
        <v>0.84198391409618889</v>
      </c>
      <c r="K12" s="156">
        <f>K2/股权价值增加表!K38</f>
        <v>0.83868453388755571</v>
      </c>
      <c r="L12" s="156">
        <f>L2/股权价值增加表!L38</f>
        <v>0.81316314570819881</v>
      </c>
      <c r="M12" s="156">
        <f>M2/股权价值增加表!M38</f>
        <v>0.84606050909185904</v>
      </c>
      <c r="N12" s="156">
        <f>N2/股权价值增加表!N38</f>
        <v>0.83465497859238202</v>
      </c>
      <c r="O12" s="156">
        <f>O2/股权价值增加表!O38</f>
        <v>0.84652307683954175</v>
      </c>
      <c r="P12" s="156">
        <f>P2/股权价值增加表!P38</f>
        <v>0.83388157694669995</v>
      </c>
      <c r="Q12" s="156">
        <f>Q2/股权价值增加表!Q38</f>
        <v>0.81326810480111911</v>
      </c>
      <c r="R12" s="156">
        <f>R2/股权价值增加表!R38</f>
        <v>0.82649523194275631</v>
      </c>
      <c r="S12" s="156" t="e">
        <f>S2/股权价值增加表!S38</f>
        <v>#DIV/0!</v>
      </c>
      <c r="T12" s="156">
        <f>T2/股权价值增加表!T38</f>
        <v>-2.805419778682396</v>
      </c>
      <c r="U12" s="156">
        <f>U2/股权价值增加表!U38</f>
        <v>-2.4966723297173448</v>
      </c>
      <c r="V12" s="156">
        <f>V2/股权价值增加表!V38</f>
        <v>-2.6700742808608782</v>
      </c>
      <c r="W12" s="156">
        <f>W2/股权价值增加表!W38</f>
        <v>-3.1600802808156199</v>
      </c>
      <c r="X12" s="156">
        <f>X2/股权价值增加表!X38</f>
        <v>-4.1745322558829008</v>
      </c>
      <c r="Y12" s="156">
        <f>Y2/股权价值增加表!Y38</f>
        <v>-3.2259737182528201</v>
      </c>
      <c r="Z12" s="156">
        <f>Z2/股权价值增加表!Z38</f>
        <v>-3.1994958162188993</v>
      </c>
      <c r="AA12" s="156">
        <f>AA2/股权价值增加表!AA38</f>
        <v>-3.2888934709841644</v>
      </c>
      <c r="AB12" s="156">
        <f>AB2/股权价值增加表!AB38</f>
        <v>-6.2529196118367807</v>
      </c>
      <c r="AC12" s="156">
        <f>AC2/股权价值增加表!AC38</f>
        <v>-3.3403190402720822</v>
      </c>
      <c r="AD12" s="156">
        <f>AD2/股权价值增加表!AD38</f>
        <v>-5.8662940813406408</v>
      </c>
      <c r="AE12" s="156">
        <f>AE2/股权价值增加表!AE38</f>
        <v>-5.015138846302154</v>
      </c>
      <c r="AF12" s="156">
        <f>AF2/股权价值增加表!AF38</f>
        <v>-28.841717588486997</v>
      </c>
      <c r="AG12" s="156">
        <f>AG2/股权价值增加表!AG38</f>
        <v>-6.700555738097024</v>
      </c>
      <c r="AH12" s="156">
        <f>AH2/股权价值增加表!AH38</f>
        <v>-10.267420694522546</v>
      </c>
      <c r="AI12" s="156">
        <f>AI2/股权价值增加表!AI38</f>
        <v>-8.8740053906789367</v>
      </c>
      <c r="AJ12" s="156">
        <f>AJ2/股权价值增加表!AJ38</f>
        <v>-40.974362341375894</v>
      </c>
      <c r="AK12" s="156">
        <f>AK2/股权价值增加表!AK38</f>
        <v>-9.3218471575625124</v>
      </c>
      <c r="AL12" s="156">
        <f>AL2/股权价值增加表!AL38</f>
        <v>-10.854023058184641</v>
      </c>
      <c r="AM12" s="156">
        <f>AM2/股权价值增加表!AM38</f>
        <v>-13.068775080429651</v>
      </c>
      <c r="AN12" s="156">
        <f>AN2/股权价值增加表!AN38</f>
        <v>-34.664573379659004</v>
      </c>
      <c r="AO12" s="156">
        <f>AO2/股权价值增加表!AO38</f>
        <v>-2.52531305832122</v>
      </c>
      <c r="AP12" s="156">
        <f>AP2/股权价值增加表!AP38</f>
        <v>-4.7377873328213909</v>
      </c>
      <c r="AQ12" s="156">
        <f>AQ2/股权价值增加表!AQ38</f>
        <v>-4.4623444638231016</v>
      </c>
      <c r="AR12" s="156">
        <f>AR2/股权价值增加表!AR38</f>
        <v>-20.506440938812048</v>
      </c>
      <c r="AS12" s="156">
        <f>AS2/股权价值增加表!AS38</f>
        <v>-6.3937250836614146</v>
      </c>
      <c r="AT12" s="156">
        <f>AT2/股权价值增加表!AT38</f>
        <v>-14.592366512196667</v>
      </c>
      <c r="AU12" s="156">
        <f>AU2/股权价值增加表!AU38</f>
        <v>-14.376416082794156</v>
      </c>
      <c r="AV12" s="156">
        <f>AV2/股权价值增加表!AV38</f>
        <v>-91.644454630179325</v>
      </c>
      <c r="AW12" s="156">
        <f>AW2/股权价值增加表!AW38</f>
        <v>-9.9162205411310982</v>
      </c>
      <c r="AX12" s="156">
        <f>AX2/股权价值增加表!AX38</f>
        <v>-17.231369460204579</v>
      </c>
      <c r="AY12" s="156">
        <f>AY2/股权价值增加表!AY38</f>
        <v>-15.021387764306059</v>
      </c>
      <c r="AZ12" s="156">
        <f>AZ2/股权价值增加表!AZ38</f>
        <v>-92.098322439196252</v>
      </c>
      <c r="BA12" s="156">
        <f>BA2/股权价值增加表!BA38</f>
        <v>-17.631308838172572</v>
      </c>
      <c r="BB12" s="156">
        <f>BB2/股权价值增加表!BB38</f>
        <v>-54.304324722487436</v>
      </c>
      <c r="BC12" s="156">
        <f>BC2/股权价值增加表!BC38</f>
        <v>-66.277250227328935</v>
      </c>
      <c r="BD12" s="156">
        <f>BD2/股权价值增加表!BD38</f>
        <v>-38.372760490940244</v>
      </c>
      <c r="BE12" s="156">
        <f>BE2/股权价值增加表!BE38</f>
        <v>-15.764297507062913</v>
      </c>
      <c r="BF12" s="156">
        <f>BF2/股权价值增加表!BF38</f>
        <v>-26.049077122304052</v>
      </c>
      <c r="BG12" s="156">
        <f>BG2/股权价值增加表!BG38</f>
        <v>-23.303157252166656</v>
      </c>
      <c r="BH12" s="156">
        <f>BH2/股权价值增加表!BH38</f>
        <v>-69.000749015543192</v>
      </c>
      <c r="BI12" s="156">
        <f>BI2/股权价值增加表!BI38</f>
        <v>-12.790967082937895</v>
      </c>
      <c r="BJ12" s="156">
        <f>BJ2/股权价值增加表!BJ38</f>
        <v>-14.670402589550692</v>
      </c>
      <c r="BK12" s="156">
        <f>BK2/股权价值增加表!BK38</f>
        <v>-19.530470057823827</v>
      </c>
      <c r="BL12" s="156">
        <f>BL2/股权价值增加表!BL38</f>
        <v>-75.496332781702776</v>
      </c>
      <c r="BM12" s="156">
        <f>BM2/股权价值增加表!BM38</f>
        <v>-8.3062959249435355</v>
      </c>
      <c r="BN12" s="156">
        <f>BN2/股权价值增加表!BN38</f>
        <v>-7.0800067537645504</v>
      </c>
      <c r="BO12" s="156">
        <f>BO2/股权价值增加表!BO38</f>
        <v>-8.6301249443167141</v>
      </c>
      <c r="BP12" s="156">
        <f>BP2/股权价值增加表!BP38</f>
        <v>-15.511200920697274</v>
      </c>
      <c r="BQ12" s="156">
        <f>BQ2/股权价值增加表!BQ38</f>
        <v>-2.0916829946917983</v>
      </c>
      <c r="BR12" s="156">
        <f>BR2/股权价值增加表!BR38</f>
        <v>-11.625</v>
      </c>
      <c r="BS12" s="156">
        <f>BS2/股权价值增加表!BS38</f>
        <v>-5.8283566880658215</v>
      </c>
      <c r="BT12" s="156">
        <f>BT2/股权价值增加表!BT38</f>
        <v>-11.853075776272602</v>
      </c>
      <c r="BU12" s="156">
        <f>BU2/股权价值增加表!BU38</f>
        <v>-13.285141378045161</v>
      </c>
      <c r="BV12" s="156">
        <f>BV2/股权价值增加表!BV38</f>
        <v>-38.705149385866775</v>
      </c>
      <c r="BW12" s="156">
        <f>BW2/股权价值增加表!BW38</f>
        <v>-19.112527092609866</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0.15392334875860236</v>
      </c>
      <c r="F13" s="63">
        <f>1-F2/股权价值增加表!F38</f>
        <v>0.16239012876467229</v>
      </c>
      <c r="G13" s="63">
        <f>1-G2/股权价值增加表!G38</f>
        <v>0.17726988412841904</v>
      </c>
      <c r="H13" s="63">
        <f>1-H2/股权价值增加表!H38</f>
        <v>0.199494092925664</v>
      </c>
      <c r="I13" s="63">
        <f>1-I2/股权价值增加表!I38</f>
        <v>0.1474658153275652</v>
      </c>
      <c r="J13" s="63">
        <f>1-J2/股权价值增加表!J38</f>
        <v>0.15801608590381111</v>
      </c>
      <c r="K13" s="63">
        <f>1-K2/股权价值增加表!K38</f>
        <v>0.16131546611244429</v>
      </c>
      <c r="L13" s="63">
        <f>1-L2/股权价值增加表!L38</f>
        <v>0.18683685429180119</v>
      </c>
      <c r="M13" s="63">
        <f>1-M2/股权价值增加表!M38</f>
        <v>0.15393949090814096</v>
      </c>
      <c r="N13" s="63">
        <f>1-N2/股权价值增加表!N38</f>
        <v>0.16534502140761798</v>
      </c>
      <c r="O13" s="63">
        <f>1-O2/股权价值增加表!O38</f>
        <v>0.15347692316045825</v>
      </c>
      <c r="P13" s="63">
        <f>1-P2/股权价值增加表!P38</f>
        <v>0.16611842305330005</v>
      </c>
      <c r="Q13" s="63">
        <f>1-Q2/股权价值增加表!Q38</f>
        <v>0.18673189519888089</v>
      </c>
      <c r="R13" s="63">
        <f>1-R2/股权价值增加表!R38</f>
        <v>0.17350476805724369</v>
      </c>
      <c r="S13" s="63" t="e">
        <f>1-S2/股权价值增加表!S38</f>
        <v>#DIV/0!</v>
      </c>
      <c r="T13" s="63">
        <f>1-T2/股权价值增加表!T38</f>
        <v>3.805419778682396</v>
      </c>
      <c r="U13" s="63">
        <f>1-U2/股权价值增加表!U38</f>
        <v>3.4966723297173448</v>
      </c>
      <c r="V13" s="63">
        <f>1-V2/股权价值增加表!V38</f>
        <v>3.6700742808608782</v>
      </c>
      <c r="W13" s="63">
        <f>1-W2/股权价值增加表!W38</f>
        <v>4.1600802808156203</v>
      </c>
      <c r="X13" s="63">
        <f>1-X2/股权价值增加表!X38</f>
        <v>5.1745322558829008</v>
      </c>
      <c r="Y13" s="63">
        <f>1-Y2/股权价值增加表!Y38</f>
        <v>4.2259737182528205</v>
      </c>
      <c r="Z13" s="63">
        <f>1-Z2/股权价值增加表!Z38</f>
        <v>4.1994958162188993</v>
      </c>
      <c r="AA13" s="63">
        <f>1-AA2/股权价值增加表!AA38</f>
        <v>4.2888934709841644</v>
      </c>
      <c r="AB13" s="63">
        <f>1-AB2/股权价值增加表!AB38</f>
        <v>7.2529196118367807</v>
      </c>
      <c r="AC13" s="63">
        <f>1-AC2/股权价值增加表!AC38</f>
        <v>4.3403190402720817</v>
      </c>
      <c r="AD13" s="63">
        <f>1-AD2/股权价值增加表!AD38</f>
        <v>6.8662940813406408</v>
      </c>
      <c r="AE13" s="63">
        <f>1-AE2/股权价值增加表!AE38</f>
        <v>6.015138846302154</v>
      </c>
      <c r="AF13" s="63">
        <f>1-AF2/股权价值增加表!AF38</f>
        <v>29.841717588486997</v>
      </c>
      <c r="AG13" s="63">
        <f>1-AG2/股权价值增加表!AG38</f>
        <v>7.700555738097024</v>
      </c>
      <c r="AH13" s="63">
        <f>1-AH2/股权价值增加表!AH38</f>
        <v>11.267420694522546</v>
      </c>
      <c r="AI13" s="63">
        <f>1-AI2/股权价值增加表!AI38</f>
        <v>9.8740053906789367</v>
      </c>
      <c r="AJ13" s="63">
        <f>1-AJ2/股权价值增加表!AJ38</f>
        <v>41.974362341375894</v>
      </c>
      <c r="AK13" s="63">
        <f>1-AK2/股权价值增加表!AK38</f>
        <v>10.321847157562512</v>
      </c>
      <c r="AL13" s="63">
        <f>1-AL2/股权价值增加表!AL38</f>
        <v>11.854023058184641</v>
      </c>
      <c r="AM13" s="63">
        <f>1-AM2/股权价值增加表!AM38</f>
        <v>14.068775080429651</v>
      </c>
      <c r="AN13" s="63">
        <f>1-AN2/股权价值增加表!AN38</f>
        <v>35.664573379659004</v>
      </c>
      <c r="AO13" s="63">
        <f>1-AO2/股权价值增加表!AO38</f>
        <v>3.52531305832122</v>
      </c>
      <c r="AP13" s="63">
        <f>1-AP2/股权价值增加表!AP38</f>
        <v>5.7377873328213909</v>
      </c>
      <c r="AQ13" s="63">
        <f>1-AQ2/股权价值增加表!AQ38</f>
        <v>5.4623444638231016</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0.12796982090356046</v>
      </c>
      <c r="F14" s="59">
        <f t="shared" ref="F14:BQ14" si="4">F6*F7*F9*F10*F12</f>
        <v>9.9119595931976931E-2</v>
      </c>
      <c r="G14" s="59">
        <f t="shared" si="4"/>
        <v>5.6563700517850805E-2</v>
      </c>
      <c r="H14" s="59">
        <f t="shared" si="4"/>
        <v>1.7072117148888278E-2</v>
      </c>
      <c r="I14" s="59">
        <f t="shared" si="4"/>
        <v>0.12919867921381595</v>
      </c>
      <c r="J14" s="59">
        <f t="shared" si="4"/>
        <v>0.21028129667948367</v>
      </c>
      <c r="K14" s="59">
        <f t="shared" si="4"/>
        <v>0.12094406151731543</v>
      </c>
      <c r="L14" s="59">
        <f t="shared" si="4"/>
        <v>1.8481028517776839E-2</v>
      </c>
      <c r="M14" s="59">
        <f t="shared" si="4"/>
        <v>0.29106914429463043</v>
      </c>
      <c r="N14" s="59">
        <f t="shared" si="4"/>
        <v>0.24826177154592247</v>
      </c>
      <c r="O14" s="59">
        <f t="shared" si="4"/>
        <v>0.3731211156038039</v>
      </c>
      <c r="P14" s="59">
        <f t="shared" si="4"/>
        <v>0.40052767785665827</v>
      </c>
      <c r="Q14" s="59" t="e">
        <f t="shared" si="4"/>
        <v>#DIV/0!</v>
      </c>
      <c r="R14" s="59" t="e">
        <f t="shared" si="4"/>
        <v>#DIV/0!</v>
      </c>
      <c r="S14" s="59" t="e">
        <f t="shared" si="4"/>
        <v>#DIV/0!</v>
      </c>
      <c r="T14" s="59" t="e">
        <f t="shared" si="4"/>
        <v>#DIV/0!</v>
      </c>
      <c r="U14" s="59" t="e">
        <f t="shared" si="4"/>
        <v>#DIV/0!</v>
      </c>
      <c r="V14" s="59" t="e">
        <f t="shared" si="4"/>
        <v>#DIV/0!</v>
      </c>
      <c r="W14" s="59" t="e">
        <f t="shared" si="4"/>
        <v>#DIV/0!</v>
      </c>
      <c r="X14" s="59" t="e">
        <f t="shared" si="4"/>
        <v>#DIV/0!</v>
      </c>
      <c r="Y14" s="59" t="e">
        <f t="shared" si="4"/>
        <v>#DIV/0!</v>
      </c>
      <c r="Z14" s="59" t="e">
        <f t="shared" si="4"/>
        <v>#DIV/0!</v>
      </c>
      <c r="AA14" s="59" t="e">
        <f t="shared" si="4"/>
        <v>#DIV/0!</v>
      </c>
      <c r="AB14" s="59" t="e">
        <f t="shared" si="4"/>
        <v>#DIV/0!</v>
      </c>
      <c r="AC14" s="59" t="e">
        <f t="shared" si="4"/>
        <v>#DIV/0!</v>
      </c>
      <c r="AD14" s="59" t="e">
        <f t="shared" si="4"/>
        <v>#DIV/0!</v>
      </c>
      <c r="AE14" s="59" t="e">
        <f t="shared" si="4"/>
        <v>#DIV/0!</v>
      </c>
      <c r="AF14" s="59" t="e">
        <f t="shared" si="4"/>
        <v>#DIV/0!</v>
      </c>
      <c r="AG14" s="59" t="e">
        <f t="shared" si="4"/>
        <v>#DIV/0!</v>
      </c>
      <c r="AH14" s="59" t="e">
        <f t="shared" si="4"/>
        <v>#DIV/0!</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697</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42004</v>
      </c>
      <c r="P18" s="1">
        <v>41639</v>
      </c>
      <c r="Q18" s="1">
        <v>41274</v>
      </c>
      <c r="R18" s="1">
        <v>40908</v>
      </c>
      <c r="S18" s="1">
        <v>25569</v>
      </c>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7" t="s">
        <v>446</v>
      </c>
      <c r="B19" s="75">
        <v>43373</v>
      </c>
      <c r="C19" s="75">
        <v>43281</v>
      </c>
      <c r="D19" s="75">
        <v>43190</v>
      </c>
      <c r="E19" s="75">
        <f>股权价值增加表!E4</f>
        <v>752408925.78999996</v>
      </c>
      <c r="F19" s="75">
        <f>股权价值增加表!F4</f>
        <v>525772942.17000002</v>
      </c>
      <c r="G19" s="75">
        <f>股权价值增加表!G4</f>
        <v>339770745.41000003</v>
      </c>
      <c r="H19" s="75">
        <f>股权价值增加表!H4</f>
        <v>153700781.78999999</v>
      </c>
      <c r="I19" s="75">
        <f>股权价值增加表!I4</f>
        <v>665011421.55999994</v>
      </c>
      <c r="J19" s="75">
        <f>股权价值增加表!J4</f>
        <v>454007921.24000001</v>
      </c>
      <c r="K19" s="75">
        <f>股权价值增加表!K4</f>
        <v>283257330.20999998</v>
      </c>
      <c r="L19" s="75">
        <f>股权价值增加表!L4</f>
        <v>124302689.18000001</v>
      </c>
      <c r="M19" s="75">
        <f>股权价值增加表!M4</f>
        <v>597037871.64999998</v>
      </c>
      <c r="N19" s="75">
        <f>股权价值增加表!N4</f>
        <v>409475329.64999998</v>
      </c>
      <c r="O19" s="75">
        <f>股权价值增加表!O4</f>
        <v>528809680.74000001</v>
      </c>
      <c r="P19" s="75">
        <f>股权价值增加表!P4</f>
        <v>484907942.22000003</v>
      </c>
      <c r="Q19" s="75">
        <f>股权价值增加表!Q4</f>
        <v>395593790.81</v>
      </c>
      <c r="R19" s="75">
        <f>股权价值增加表!R4</f>
        <v>316891515.43000001</v>
      </c>
      <c r="S19" s="75">
        <f>股权价值增加表!S4</f>
        <v>0</v>
      </c>
      <c r="T19" s="75">
        <f>股权价值增加表!T4</f>
        <v>0</v>
      </c>
      <c r="U19" s="75">
        <f>股权价值增加表!U4</f>
        <v>0</v>
      </c>
      <c r="V19" s="75">
        <f>股权价值增加表!V4</f>
        <v>0</v>
      </c>
      <c r="W19" s="75">
        <f>股权价值增加表!W4</f>
        <v>0</v>
      </c>
      <c r="X19" s="75">
        <f>股权价值增加表!X4</f>
        <v>0</v>
      </c>
      <c r="Y19" s="75">
        <f>股权价值增加表!Y4</f>
        <v>0</v>
      </c>
      <c r="Z19" s="75">
        <f>股权价值增加表!Z4</f>
        <v>0</v>
      </c>
      <c r="AA19" s="75">
        <f>股权价值增加表!AA4</f>
        <v>0</v>
      </c>
      <c r="AB19" s="75">
        <f>股权价值增加表!AB4</f>
        <v>0</v>
      </c>
      <c r="AC19" s="75">
        <f>股权价值增加表!AC4</f>
        <v>0</v>
      </c>
      <c r="AD19" s="75">
        <f>股权价值增加表!AD4</f>
        <v>0</v>
      </c>
      <c r="AE19" s="75">
        <f>股权价值增加表!AE4</f>
        <v>0</v>
      </c>
      <c r="AF19" s="75">
        <f>股权价值增加表!AF4</f>
        <v>0</v>
      </c>
      <c r="AG19" s="75">
        <f>股权价值增加表!AG4</f>
        <v>0</v>
      </c>
      <c r="AH19" s="75">
        <f>股权价值增加表!AH4</f>
        <v>0</v>
      </c>
      <c r="AI19" s="75">
        <f>股权价值增加表!AI4</f>
        <v>0</v>
      </c>
      <c r="AJ19" s="75">
        <f>股权价值增加表!AJ4</f>
        <v>0</v>
      </c>
      <c r="AK19" s="75">
        <f>股权价值增加表!AK4</f>
        <v>0</v>
      </c>
      <c r="AL19" s="75">
        <f>股权价值增加表!AL4</f>
        <v>0</v>
      </c>
      <c r="AM19" s="75">
        <f>股权价值增加表!AM4</f>
        <v>0</v>
      </c>
      <c r="AN19" s="75">
        <f>股权价值增加表!AN4</f>
        <v>0</v>
      </c>
      <c r="AO19" s="75">
        <f>股权价值增加表!AO4</f>
        <v>0</v>
      </c>
      <c r="AP19" s="75">
        <f>股权价值增加表!AP4</f>
        <v>0</v>
      </c>
      <c r="AQ19" s="75">
        <f>股权价值增加表!AQ4</f>
        <v>0</v>
      </c>
      <c r="AR19" s="75">
        <f>股权价值增加表!AR4</f>
        <v>0</v>
      </c>
      <c r="AS19" s="75">
        <f>股权价值增加表!AS4</f>
        <v>0</v>
      </c>
      <c r="AT19" s="75">
        <f>股权价值增加表!AT4</f>
        <v>0</v>
      </c>
      <c r="AU19" s="75">
        <f>股权价值增加表!AU4</f>
        <v>0</v>
      </c>
      <c r="AV19" s="75">
        <f>股权价值增加表!AV4</f>
        <v>0</v>
      </c>
      <c r="AW19" s="75">
        <f>股权价值增加表!AW4</f>
        <v>0</v>
      </c>
      <c r="AX19" s="75">
        <f>股权价值增加表!AX4</f>
        <v>0</v>
      </c>
      <c r="AY19" s="75">
        <f>股权价值增加表!AY4</f>
        <v>0</v>
      </c>
      <c r="AZ19" s="75">
        <f>股权价值增加表!AZ4</f>
        <v>0</v>
      </c>
      <c r="BA19" s="75">
        <f>股权价值增加表!BA4</f>
        <v>0</v>
      </c>
      <c r="BB19" s="75">
        <f>股权价值增加表!BB4</f>
        <v>0</v>
      </c>
      <c r="BC19" s="75">
        <f>股权价值增加表!BC4</f>
        <v>0</v>
      </c>
      <c r="BD19" s="75">
        <f>股权价值增加表!BD4</f>
        <v>0</v>
      </c>
      <c r="BE19" s="75">
        <f>股权价值增加表!BE4</f>
        <v>0</v>
      </c>
      <c r="BF19" s="75">
        <f>股权价值增加表!BF4</f>
        <v>0</v>
      </c>
      <c r="BG19" s="75">
        <f>股权价值增加表!BG4</f>
        <v>0</v>
      </c>
      <c r="BH19" s="75">
        <f>股权价值增加表!BH4</f>
        <v>0</v>
      </c>
      <c r="BI19" s="75">
        <f>股权价值增加表!BI4</f>
        <v>0</v>
      </c>
      <c r="BJ19" s="75">
        <f>股权价值增加表!BJ4</f>
        <v>0</v>
      </c>
      <c r="BK19" s="75">
        <f>股权价值增加表!BK4</f>
        <v>0</v>
      </c>
      <c r="BL19" s="75">
        <f>股权价值增加表!BL4</f>
        <v>0</v>
      </c>
      <c r="BM19" s="75">
        <f>股权价值增加表!BM4</f>
        <v>0</v>
      </c>
      <c r="BN19" s="75">
        <f>股权价值增加表!BN4</f>
        <v>0</v>
      </c>
      <c r="BO19" s="75">
        <f>股权价值增加表!BO4</f>
        <v>0</v>
      </c>
      <c r="BP19" s="75">
        <f>股权价值增加表!BP4</f>
        <v>0</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7" t="s">
        <v>447</v>
      </c>
      <c r="E20" s="75">
        <f>股权价值增加表!E15</f>
        <v>155851417.39000002</v>
      </c>
      <c r="F20" s="75">
        <f>股权价值增加表!F15</f>
        <v>118379160.12000005</v>
      </c>
      <c r="G20" s="75">
        <f>股权价值增加表!G15</f>
        <v>65713816.170000009</v>
      </c>
      <c r="H20" s="75">
        <f>股权价值增加表!H15</f>
        <v>20594767.00999999</v>
      </c>
      <c r="I20" s="75">
        <f>股权价值增加表!I15</f>
        <v>152781769.70999995</v>
      </c>
      <c r="J20" s="75">
        <f>股权价值增加表!J15</f>
        <v>114140798.95000003</v>
      </c>
      <c r="K20" s="75">
        <f>股权价值增加表!K15</f>
        <v>59494011.039999992</v>
      </c>
      <c r="L20" s="75">
        <f>股权价值增加表!L15</f>
        <v>11857340.220000006</v>
      </c>
      <c r="M20" s="75">
        <f>股权价值增加表!M15</f>
        <v>138852954.72999999</v>
      </c>
      <c r="N20" s="75">
        <f>股权价值增加表!N15</f>
        <v>98626845.369999975</v>
      </c>
      <c r="O20" s="75">
        <f>股权价值增加表!O15</f>
        <v>121681477.87000003</v>
      </c>
      <c r="P20" s="75">
        <f>股权价值增加表!P15</f>
        <v>111732572.96000004</v>
      </c>
      <c r="Q20" s="75">
        <f>股权价值增加表!Q15</f>
        <v>96611045.13000001</v>
      </c>
      <c r="R20" s="75">
        <f>股权价值增加表!R15</f>
        <v>83600165.599999994</v>
      </c>
      <c r="S20" s="75">
        <f>股权价值增加表!S15</f>
        <v>0</v>
      </c>
      <c r="T20" s="75">
        <f>股权价值增加表!T15</f>
        <v>0</v>
      </c>
      <c r="U20" s="75">
        <f>股权价值增加表!U15</f>
        <v>5869478</v>
      </c>
      <c r="V20" s="75">
        <f>股权价值增加表!V15</f>
        <v>0</v>
      </c>
      <c r="W20" s="75">
        <f>股权价值增加表!W15</f>
        <v>0</v>
      </c>
      <c r="X20" s="75">
        <f>股权价值增加表!X15</f>
        <v>0</v>
      </c>
      <c r="Y20" s="75">
        <f>股权价值增加表!Y15</f>
        <v>12046824.75</v>
      </c>
      <c r="Z20" s="75">
        <f>股权价值增加表!Z15</f>
        <v>0</v>
      </c>
      <c r="AA20" s="75">
        <f>股权价值增加表!AA15</f>
        <v>0</v>
      </c>
      <c r="AB20" s="75">
        <f>股权价值增加表!AB15</f>
        <v>0</v>
      </c>
      <c r="AC20" s="75">
        <f>股权价值增加表!AC15</f>
        <v>8254042.6900000004</v>
      </c>
      <c r="AD20" s="75">
        <f>股权价值增加表!AD15</f>
        <v>0</v>
      </c>
      <c r="AE20" s="75">
        <f>股权价值增加表!AE15</f>
        <v>0</v>
      </c>
      <c r="AF20" s="75">
        <f>股权价值增加表!AF15</f>
        <v>0</v>
      </c>
      <c r="AG20" s="75">
        <f>股权价值增加表!AG15</f>
        <v>2922096.12</v>
      </c>
      <c r="AH20" s="75">
        <f>股权价值增加表!AH15</f>
        <v>0</v>
      </c>
      <c r="AI20" s="75">
        <f>股权价值增加表!AI15</f>
        <v>0</v>
      </c>
      <c r="AJ20" s="75">
        <f>股权价值增加表!AJ15</f>
        <v>0</v>
      </c>
      <c r="AK20" s="75">
        <f>股权价值增加表!AK15</f>
        <v>0</v>
      </c>
      <c r="AL20" s="75">
        <f>股权价值增加表!AL15</f>
        <v>0</v>
      </c>
      <c r="AM20" s="75">
        <f>股权价值增加表!AM15</f>
        <v>0</v>
      </c>
      <c r="AN20" s="75">
        <f>股权价值增加表!AN15</f>
        <v>0</v>
      </c>
      <c r="AO20" s="75">
        <f>股权价值增加表!AO15</f>
        <v>0</v>
      </c>
      <c r="AP20" s="75">
        <f>股权价值增加表!AP15</f>
        <v>0</v>
      </c>
      <c r="AQ20" s="75">
        <f>股权价值增加表!AQ15</f>
        <v>0</v>
      </c>
      <c r="AR20" s="75">
        <f>股权价值增加表!AR15</f>
        <v>0</v>
      </c>
      <c r="AS20" s="75">
        <f>股权价值增加表!AS15</f>
        <v>0</v>
      </c>
      <c r="AT20" s="75">
        <f>股权价值增加表!AT15</f>
        <v>0</v>
      </c>
      <c r="AU20" s="75">
        <f>股权价值增加表!AU15</f>
        <v>0</v>
      </c>
      <c r="AV20" s="75">
        <f>股权价值增加表!AV15</f>
        <v>0</v>
      </c>
      <c r="AW20" s="75">
        <f>股权价值增加表!AW15</f>
        <v>0</v>
      </c>
      <c r="AX20" s="75">
        <f>股权价值增加表!AX15</f>
        <v>0</v>
      </c>
      <c r="AY20" s="75">
        <f>股权价值增加表!AY15</f>
        <v>0</v>
      </c>
      <c r="AZ20" s="75">
        <f>股权价值增加表!AZ15</f>
        <v>0</v>
      </c>
      <c r="BA20" s="75">
        <f>股权价值增加表!BA15</f>
        <v>0</v>
      </c>
      <c r="BB20" s="75">
        <f>股权价值增加表!BB15</f>
        <v>0</v>
      </c>
      <c r="BC20" s="75">
        <f>股权价值增加表!BC15</f>
        <v>0</v>
      </c>
      <c r="BD20" s="75">
        <f>股权价值增加表!BD15</f>
        <v>0</v>
      </c>
      <c r="BE20" s="75">
        <f>股权价值增加表!BE15</f>
        <v>0</v>
      </c>
      <c r="BF20" s="75">
        <f>股权价值增加表!BF15</f>
        <v>0</v>
      </c>
      <c r="BG20" s="75">
        <f>股权价值增加表!BG15</f>
        <v>0</v>
      </c>
      <c r="BH20" s="75">
        <f>股权价值增加表!BH15</f>
        <v>0</v>
      </c>
      <c r="BI20" s="75">
        <f>股权价值增加表!BI15</f>
        <v>0</v>
      </c>
      <c r="BJ20" s="75">
        <f>股权价值增加表!BJ15</f>
        <v>0</v>
      </c>
      <c r="BK20" s="75">
        <f>股权价值增加表!BK15</f>
        <v>0</v>
      </c>
      <c r="BL20" s="75">
        <f>股权价值增加表!BL15</f>
        <v>0</v>
      </c>
      <c r="BM20" s="75">
        <f>股权价值增加表!BM15</f>
        <v>0</v>
      </c>
      <c r="BN20" s="75">
        <f>股权价值增加表!BN15</f>
        <v>0</v>
      </c>
      <c r="BO20" s="75">
        <f>股权价值增加表!BO15</f>
        <v>0</v>
      </c>
      <c r="BP20" s="75">
        <f>股权价值增加表!BP15</f>
        <v>0</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2" customFormat="1" x14ac:dyDescent="0.25">
      <c r="A21" s="232" t="s">
        <v>448</v>
      </c>
      <c r="E21" s="242">
        <f>E20/E19</f>
        <v>0.20713658762934281</v>
      </c>
      <c r="F21" s="242">
        <f t="shared" ref="F21:BQ21" si="6">F20/F19</f>
        <v>0.22515262887325246</v>
      </c>
      <c r="G21" s="242">
        <f t="shared" si="6"/>
        <v>0.19340633959143069</v>
      </c>
      <c r="H21" s="242">
        <f t="shared" si="6"/>
        <v>0.1339925976312758</v>
      </c>
      <c r="I21" s="242">
        <f t="shared" si="6"/>
        <v>0.22974307621905316</v>
      </c>
      <c r="J21" s="242">
        <f t="shared" si="6"/>
        <v>0.25140706496542015</v>
      </c>
      <c r="K21" s="242">
        <f t="shared" si="6"/>
        <v>0.21003520366407677</v>
      </c>
      <c r="L21" s="242">
        <f t="shared" si="6"/>
        <v>9.5390858381427704E-2</v>
      </c>
      <c r="M21" s="242">
        <f t="shared" si="6"/>
        <v>0.23256976035081309</v>
      </c>
      <c r="N21" s="242">
        <f t="shared" si="6"/>
        <v>0.2408615079553181</v>
      </c>
      <c r="O21" s="242">
        <f t="shared" si="6"/>
        <v>0.23010448239094775</v>
      </c>
      <c r="P21" s="242">
        <f t="shared" si="6"/>
        <v>0.23042017511296525</v>
      </c>
      <c r="Q21" s="242">
        <f t="shared" si="6"/>
        <v>0.24421779960748016</v>
      </c>
      <c r="R21" s="242">
        <f t="shared" si="6"/>
        <v>0.26381320271879261</v>
      </c>
      <c r="S21" s="242" t="e">
        <f t="shared" si="6"/>
        <v>#DIV/0!</v>
      </c>
      <c r="T21" s="242" t="e">
        <f t="shared" si="6"/>
        <v>#DIV/0!</v>
      </c>
      <c r="U21" s="242" t="e">
        <f t="shared" si="6"/>
        <v>#DIV/0!</v>
      </c>
      <c r="V21" s="242" t="e">
        <f t="shared" si="6"/>
        <v>#DIV/0!</v>
      </c>
      <c r="W21" s="242" t="e">
        <f t="shared" si="6"/>
        <v>#DIV/0!</v>
      </c>
      <c r="X21" s="242" t="e">
        <f t="shared" si="6"/>
        <v>#DIV/0!</v>
      </c>
      <c r="Y21" s="242" t="e">
        <f t="shared" si="6"/>
        <v>#DIV/0!</v>
      </c>
      <c r="Z21" s="242" t="e">
        <f t="shared" si="6"/>
        <v>#DIV/0!</v>
      </c>
      <c r="AA21" s="242" t="e">
        <f t="shared" si="6"/>
        <v>#DIV/0!</v>
      </c>
      <c r="AB21" s="242" t="e">
        <f t="shared" si="6"/>
        <v>#DIV/0!</v>
      </c>
      <c r="AC21" s="242" t="e">
        <f t="shared" si="6"/>
        <v>#DIV/0!</v>
      </c>
      <c r="AD21" s="242" t="e">
        <f t="shared" si="6"/>
        <v>#DIV/0!</v>
      </c>
      <c r="AE21" s="242" t="e">
        <f t="shared" si="6"/>
        <v>#DIV/0!</v>
      </c>
      <c r="AF21" s="242" t="e">
        <f t="shared" si="6"/>
        <v>#DIV/0!</v>
      </c>
      <c r="AG21" s="242" t="e">
        <f t="shared" si="6"/>
        <v>#DIV/0!</v>
      </c>
      <c r="AH21" s="242" t="e">
        <f t="shared" si="6"/>
        <v>#DIV/0!</v>
      </c>
      <c r="AI21" s="242" t="e">
        <f t="shared" si="6"/>
        <v>#DIV/0!</v>
      </c>
      <c r="AJ21" s="242" t="e">
        <f t="shared" si="6"/>
        <v>#DIV/0!</v>
      </c>
      <c r="AK21" s="242" t="e">
        <f t="shared" si="6"/>
        <v>#DIV/0!</v>
      </c>
      <c r="AL21" s="242" t="e">
        <f t="shared" si="6"/>
        <v>#DIV/0!</v>
      </c>
      <c r="AM21" s="242" t="e">
        <f t="shared" si="6"/>
        <v>#DIV/0!</v>
      </c>
      <c r="AN21" s="242" t="e">
        <f t="shared" si="6"/>
        <v>#DIV/0!</v>
      </c>
      <c r="AO21" s="242" t="e">
        <f t="shared" si="6"/>
        <v>#DIV/0!</v>
      </c>
      <c r="AP21" s="242" t="e">
        <f t="shared" si="6"/>
        <v>#DIV/0!</v>
      </c>
      <c r="AQ21" s="242" t="e">
        <f t="shared" si="6"/>
        <v>#DIV/0!</v>
      </c>
      <c r="AR21" s="242" t="e">
        <f t="shared" si="6"/>
        <v>#DIV/0!</v>
      </c>
      <c r="AS21" s="242" t="e">
        <f t="shared" si="6"/>
        <v>#DIV/0!</v>
      </c>
      <c r="AT21" s="242" t="e">
        <f t="shared" si="6"/>
        <v>#DIV/0!</v>
      </c>
      <c r="AU21" s="242" t="e">
        <f t="shared" si="6"/>
        <v>#DIV/0!</v>
      </c>
      <c r="AV21" s="242" t="e">
        <f t="shared" si="6"/>
        <v>#DIV/0!</v>
      </c>
      <c r="AW21" s="242" t="e">
        <f t="shared" si="6"/>
        <v>#DIV/0!</v>
      </c>
      <c r="AX21" s="242" t="e">
        <f t="shared" si="6"/>
        <v>#DIV/0!</v>
      </c>
      <c r="AY21" s="242" t="e">
        <f t="shared" si="6"/>
        <v>#DIV/0!</v>
      </c>
      <c r="AZ21" s="242" t="e">
        <f t="shared" si="6"/>
        <v>#DIV/0!</v>
      </c>
      <c r="BA21" s="242" t="e">
        <f t="shared" si="6"/>
        <v>#DIV/0!</v>
      </c>
      <c r="BB21" s="242" t="e">
        <f t="shared" si="6"/>
        <v>#DIV/0!</v>
      </c>
      <c r="BC21" s="242" t="e">
        <f t="shared" si="6"/>
        <v>#DIV/0!</v>
      </c>
      <c r="BD21" s="242" t="e">
        <f t="shared" si="6"/>
        <v>#DIV/0!</v>
      </c>
      <c r="BE21" s="242" t="e">
        <f t="shared" si="6"/>
        <v>#DIV/0!</v>
      </c>
      <c r="BF21" s="242" t="e">
        <f t="shared" si="6"/>
        <v>#DIV/0!</v>
      </c>
      <c r="BG21" s="242" t="e">
        <f t="shared" si="6"/>
        <v>#DIV/0!</v>
      </c>
      <c r="BH21" s="242" t="e">
        <f t="shared" si="6"/>
        <v>#DIV/0!</v>
      </c>
      <c r="BI21" s="242" t="e">
        <f t="shared" si="6"/>
        <v>#DIV/0!</v>
      </c>
      <c r="BJ21" s="242" t="e">
        <f t="shared" si="6"/>
        <v>#DIV/0!</v>
      </c>
      <c r="BK21" s="242" t="e">
        <f t="shared" si="6"/>
        <v>#DIV/0!</v>
      </c>
      <c r="BL21" s="242" t="e">
        <f t="shared" si="6"/>
        <v>#DIV/0!</v>
      </c>
      <c r="BM21" s="242" t="e">
        <f t="shared" si="6"/>
        <v>#DIV/0!</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684</v>
      </c>
      <c r="E22" s="26">
        <f>资产资本表!E69</f>
        <v>702164235.43999994</v>
      </c>
      <c r="F22" s="191">
        <f>资产资本表!F69</f>
        <v>781586907.52999997</v>
      </c>
      <c r="G22" s="191">
        <f>资产资本表!G69</f>
        <v>640632225.54999995</v>
      </c>
      <c r="H22" s="191">
        <f>资产资本表!H69</f>
        <v>502980738.4799999</v>
      </c>
      <c r="I22" s="191">
        <f>资产资本表!I69</f>
        <v>619996063.93999994</v>
      </c>
      <c r="J22" s="191">
        <f>资产资本表!J69</f>
        <v>384251723.55999994</v>
      </c>
      <c r="K22" s="191">
        <f>资产资本表!K69</f>
        <v>386306516.14999998</v>
      </c>
      <c r="L22" s="191">
        <f>资产资本表!L69</f>
        <v>364766595.25</v>
      </c>
      <c r="M22" s="191">
        <f>资产资本表!M69</f>
        <v>369028479.01999992</v>
      </c>
      <c r="N22" s="191">
        <f>资产资本表!N69</f>
        <v>375130690.38000005</v>
      </c>
      <c r="O22" s="191">
        <f>资产资本表!O69</f>
        <v>197308563.13000005</v>
      </c>
      <c r="P22" s="191">
        <f>资产资本表!P69</f>
        <v>129888213.55</v>
      </c>
      <c r="Q22" s="191">
        <f>资产资本表!Q69</f>
        <v>0</v>
      </c>
      <c r="R22" s="191">
        <f>资产资本表!R69</f>
        <v>0</v>
      </c>
      <c r="S22" s="191">
        <f>资产资本表!S69</f>
        <v>0</v>
      </c>
      <c r="T22" s="191">
        <f>资产资本表!T69</f>
        <v>0</v>
      </c>
      <c r="U22" s="191">
        <f>资产资本表!U69</f>
        <v>0</v>
      </c>
      <c r="V22" s="191">
        <f>资产资本表!V69</f>
        <v>0</v>
      </c>
      <c r="W22" s="191">
        <f>资产资本表!W69</f>
        <v>0</v>
      </c>
      <c r="X22" s="191">
        <f>资产资本表!X69</f>
        <v>0</v>
      </c>
      <c r="Y22" s="191">
        <f>资产资本表!Y69</f>
        <v>0</v>
      </c>
      <c r="Z22" s="191">
        <f>资产资本表!Z69</f>
        <v>0</v>
      </c>
      <c r="AA22" s="191">
        <f>资产资本表!AA69</f>
        <v>0</v>
      </c>
      <c r="AB22" s="191">
        <f>资产资本表!AB69</f>
        <v>0</v>
      </c>
      <c r="AC22" s="191">
        <f>资产资本表!AC69</f>
        <v>0</v>
      </c>
      <c r="AD22" s="191">
        <f>资产资本表!AD69</f>
        <v>0</v>
      </c>
      <c r="AE22" s="191">
        <f>资产资本表!AE69</f>
        <v>0</v>
      </c>
      <c r="AF22" s="191">
        <f>资产资本表!AF69</f>
        <v>0</v>
      </c>
      <c r="AG22" s="191">
        <f>资产资本表!AG69</f>
        <v>0</v>
      </c>
      <c r="AH22" s="191">
        <f>资产资本表!AH69</f>
        <v>0</v>
      </c>
      <c r="AI22" s="191">
        <f>资产资本表!AI69</f>
        <v>0</v>
      </c>
      <c r="AJ22" s="191">
        <f>资产资本表!AJ69</f>
        <v>0</v>
      </c>
      <c r="AK22" s="191">
        <f>资产资本表!AK69</f>
        <v>0</v>
      </c>
      <c r="AL22" s="191">
        <f>资产资本表!AL69</f>
        <v>0</v>
      </c>
      <c r="AM22" s="191">
        <f>资产资本表!AM69</f>
        <v>0</v>
      </c>
      <c r="AN22" s="191">
        <f>资产资本表!AN69</f>
        <v>0</v>
      </c>
      <c r="AO22" s="191">
        <f>资产资本表!AO69</f>
        <v>0</v>
      </c>
      <c r="AP22" s="191">
        <f>资产资本表!AP69</f>
        <v>0</v>
      </c>
      <c r="AQ22" s="191">
        <f>资产资本表!AQ69</f>
        <v>0</v>
      </c>
      <c r="AR22" s="191">
        <f>资产资本表!AR69</f>
        <v>0</v>
      </c>
      <c r="AS22" s="191">
        <f>资产资本表!AS69</f>
        <v>0</v>
      </c>
      <c r="AT22" s="191">
        <f>资产资本表!AT69</f>
        <v>0</v>
      </c>
      <c r="AU22" s="191">
        <f>资产资本表!AU69</f>
        <v>0</v>
      </c>
      <c r="AV22" s="191">
        <f>资产资本表!AV69</f>
        <v>0</v>
      </c>
      <c r="AW22" s="191">
        <f>资产资本表!AW69</f>
        <v>0</v>
      </c>
      <c r="AX22" s="191">
        <f>资产资本表!AX69</f>
        <v>0</v>
      </c>
      <c r="AY22" s="191">
        <f>资产资本表!AY69</f>
        <v>0</v>
      </c>
      <c r="AZ22" s="191">
        <f>资产资本表!AZ69</f>
        <v>0</v>
      </c>
      <c r="BA22" s="191">
        <f>资产资本表!BA69</f>
        <v>0</v>
      </c>
      <c r="BB22" s="191">
        <f>资产资本表!BB69</f>
        <v>0</v>
      </c>
      <c r="BC22" s="191">
        <f>资产资本表!BC69</f>
        <v>0</v>
      </c>
      <c r="BD22" s="191">
        <f>资产资本表!BD69</f>
        <v>0</v>
      </c>
      <c r="BE22" s="191">
        <f>资产资本表!BE69</f>
        <v>0</v>
      </c>
      <c r="BF22" s="191">
        <f>资产资本表!BF69</f>
        <v>0</v>
      </c>
      <c r="BG22" s="191">
        <f>资产资本表!BG69</f>
        <v>0</v>
      </c>
      <c r="BH22" s="191">
        <f>资产资本表!BH69</f>
        <v>0</v>
      </c>
      <c r="BI22" s="191">
        <f>资产资本表!BI69</f>
        <v>0</v>
      </c>
      <c r="BJ22" s="191">
        <f>资产资本表!BJ69</f>
        <v>0</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685</v>
      </c>
      <c r="E23" s="244">
        <f>E19/E22</f>
        <v>1.0715568919834189</v>
      </c>
      <c r="F23" s="244">
        <f t="shared" ref="F23:BQ23" si="8">F19/F22</f>
        <v>0.67269927004223651</v>
      </c>
      <c r="G23" s="244">
        <f t="shared" si="8"/>
        <v>0.53036786452367068</v>
      </c>
      <c r="H23" s="244">
        <f t="shared" si="8"/>
        <v>0.30557985630718465</v>
      </c>
      <c r="I23" s="244">
        <f t="shared" si="8"/>
        <v>1.0726058764533646</v>
      </c>
      <c r="J23" s="244">
        <f t="shared" si="8"/>
        <v>1.1815377613240758</v>
      </c>
      <c r="K23" s="244">
        <f t="shared" si="8"/>
        <v>0.73324502271665859</v>
      </c>
      <c r="L23" s="244">
        <f t="shared" si="8"/>
        <v>0.34077322539583621</v>
      </c>
      <c r="M23" s="244">
        <f t="shared" si="8"/>
        <v>1.6178639470739677</v>
      </c>
      <c r="N23" s="244">
        <f t="shared" si="8"/>
        <v>1.0915537975184315</v>
      </c>
      <c r="O23" s="244">
        <f t="shared" si="8"/>
        <v>2.6801152081351121</v>
      </c>
      <c r="P23" s="244">
        <f t="shared" si="8"/>
        <v>3.7332713182119215</v>
      </c>
      <c r="Q23" s="244" t="e">
        <f t="shared" si="8"/>
        <v>#DIV/0!</v>
      </c>
      <c r="R23" s="244" t="e">
        <f t="shared" si="8"/>
        <v>#DIV/0!</v>
      </c>
      <c r="S23" s="244" t="e">
        <f t="shared" si="8"/>
        <v>#DIV/0!</v>
      </c>
      <c r="T23" s="244" t="e">
        <f t="shared" si="8"/>
        <v>#DIV/0!</v>
      </c>
      <c r="U23" s="244" t="e">
        <f t="shared" si="8"/>
        <v>#DIV/0!</v>
      </c>
      <c r="V23" s="244" t="e">
        <f t="shared" si="8"/>
        <v>#DIV/0!</v>
      </c>
      <c r="W23" s="244" t="e">
        <f t="shared" si="8"/>
        <v>#DIV/0!</v>
      </c>
      <c r="X23" s="244" t="e">
        <f t="shared" si="8"/>
        <v>#DIV/0!</v>
      </c>
      <c r="Y23" s="244" t="e">
        <f t="shared" si="8"/>
        <v>#DIV/0!</v>
      </c>
      <c r="Z23" s="244" t="e">
        <f t="shared" si="8"/>
        <v>#DIV/0!</v>
      </c>
      <c r="AA23" s="244" t="e">
        <f t="shared" si="8"/>
        <v>#DIV/0!</v>
      </c>
      <c r="AB23" s="244" t="e">
        <f t="shared" si="8"/>
        <v>#DIV/0!</v>
      </c>
      <c r="AC23" s="244" t="e">
        <f t="shared" si="8"/>
        <v>#DIV/0!</v>
      </c>
      <c r="AD23" s="244" t="e">
        <f t="shared" si="8"/>
        <v>#DIV/0!</v>
      </c>
      <c r="AE23" s="244" t="e">
        <f t="shared" si="8"/>
        <v>#DIV/0!</v>
      </c>
      <c r="AF23" s="244" t="e">
        <f t="shared" si="8"/>
        <v>#DIV/0!</v>
      </c>
      <c r="AG23" s="244" t="e">
        <f t="shared" si="8"/>
        <v>#DIV/0!</v>
      </c>
      <c r="AH23" s="244" t="e">
        <f t="shared" si="8"/>
        <v>#DIV/0!</v>
      </c>
      <c r="AI23" s="244" t="e">
        <f t="shared" si="8"/>
        <v>#DIV/0!</v>
      </c>
      <c r="AJ23" s="244" t="e">
        <f t="shared" si="8"/>
        <v>#DIV/0!</v>
      </c>
      <c r="AK23" s="244" t="e">
        <f t="shared" si="8"/>
        <v>#DIV/0!</v>
      </c>
      <c r="AL23" s="244" t="e">
        <f t="shared" si="8"/>
        <v>#DIV/0!</v>
      </c>
      <c r="AM23" s="244" t="e">
        <f t="shared" si="8"/>
        <v>#DIV/0!</v>
      </c>
      <c r="AN23" s="244" t="e">
        <f t="shared" si="8"/>
        <v>#DIV/0!</v>
      </c>
      <c r="AO23" s="244" t="e">
        <f t="shared" si="8"/>
        <v>#DIV/0!</v>
      </c>
      <c r="AP23" s="244" t="e">
        <f t="shared" si="8"/>
        <v>#DIV/0!</v>
      </c>
      <c r="AQ23" s="244" t="e">
        <f t="shared" si="8"/>
        <v>#DIV/0!</v>
      </c>
      <c r="AR23" s="244" t="e">
        <f t="shared" si="8"/>
        <v>#DIV/0!</v>
      </c>
      <c r="AS23" s="244" t="e">
        <f t="shared" si="8"/>
        <v>#DIV/0!</v>
      </c>
      <c r="AT23" s="244" t="e">
        <f t="shared" si="8"/>
        <v>#DIV/0!</v>
      </c>
      <c r="AU23" s="244" t="e">
        <f t="shared" si="8"/>
        <v>#DIV/0!</v>
      </c>
      <c r="AV23" s="244" t="e">
        <f t="shared" si="8"/>
        <v>#DIV/0!</v>
      </c>
      <c r="AW23" s="244" t="e">
        <f t="shared" si="8"/>
        <v>#DIV/0!</v>
      </c>
      <c r="AX23" s="244" t="e">
        <f t="shared" si="8"/>
        <v>#DIV/0!</v>
      </c>
      <c r="AY23" s="244" t="e">
        <f t="shared" si="8"/>
        <v>#DIV/0!</v>
      </c>
      <c r="AZ23" s="244" t="e">
        <f t="shared" si="8"/>
        <v>#DIV/0!</v>
      </c>
      <c r="BA23" s="244" t="e">
        <f t="shared" si="8"/>
        <v>#DIV/0!</v>
      </c>
      <c r="BB23" s="244" t="e">
        <f t="shared" si="8"/>
        <v>#DIV/0!</v>
      </c>
      <c r="BC23" s="244" t="e">
        <f t="shared" si="8"/>
        <v>#DIV/0!</v>
      </c>
      <c r="BD23" s="244" t="e">
        <f t="shared" si="8"/>
        <v>#DIV/0!</v>
      </c>
      <c r="BE23" s="244" t="e">
        <f t="shared" si="8"/>
        <v>#DIV/0!</v>
      </c>
      <c r="BF23" s="244" t="e">
        <f t="shared" si="8"/>
        <v>#DIV/0!</v>
      </c>
      <c r="BG23" s="244" t="e">
        <f t="shared" si="8"/>
        <v>#DIV/0!</v>
      </c>
      <c r="BH23" s="244" t="e">
        <f t="shared" si="8"/>
        <v>#DIV/0!</v>
      </c>
      <c r="BI23" s="244" t="e">
        <f t="shared" si="8"/>
        <v>#DIV/0!</v>
      </c>
      <c r="BJ23" s="244" t="e">
        <f t="shared" si="8"/>
        <v>#DIV/0!</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692</v>
      </c>
      <c r="E24" s="159">
        <f>E21*E23</f>
        <v>0.22195863805614968</v>
      </c>
      <c r="F24" s="159">
        <f t="shared" ref="F24:BQ24" si="10">F21*F23</f>
        <v>0.15146000909112753</v>
      </c>
      <c r="G24" s="159">
        <f t="shared" si="10"/>
        <v>0.10257650731444697</v>
      </c>
      <c r="H24" s="159">
        <f t="shared" si="10"/>
        <v>4.0945438730391671E-2</v>
      </c>
      <c r="I24" s="159">
        <f t="shared" si="10"/>
        <v>0.24642377362702966</v>
      </c>
      <c r="J24" s="159">
        <f t="shared" si="10"/>
        <v>0.29704694072029902</v>
      </c>
      <c r="K24" s="159">
        <f t="shared" si="10"/>
        <v>0.15400726768196399</v>
      </c>
      <c r="L24" s="159">
        <f t="shared" si="10"/>
        <v>3.2506650483916558E-2</v>
      </c>
      <c r="M24" s="159">
        <f t="shared" si="10"/>
        <v>0.37626623045121321</v>
      </c>
      <c r="N24" s="159">
        <f t="shared" si="10"/>
        <v>0.26291329368464339</v>
      </c>
      <c r="O24" s="159">
        <f t="shared" si="10"/>
        <v>0.6167065227160371</v>
      </c>
      <c r="P24" s="159">
        <f t="shared" si="10"/>
        <v>0.86022103088660162</v>
      </c>
      <c r="Q24" s="159" t="e">
        <f t="shared" si="10"/>
        <v>#DIV/0!</v>
      </c>
      <c r="R24" s="159" t="e">
        <f t="shared" si="10"/>
        <v>#DIV/0!</v>
      </c>
      <c r="S24" s="159" t="e">
        <f t="shared" si="10"/>
        <v>#DIV/0!</v>
      </c>
      <c r="T24" s="159" t="e">
        <f t="shared" si="10"/>
        <v>#DIV/0!</v>
      </c>
      <c r="U24" s="159" t="e">
        <f t="shared" si="10"/>
        <v>#DIV/0!</v>
      </c>
      <c r="V24" s="159" t="e">
        <f t="shared" si="10"/>
        <v>#DIV/0!</v>
      </c>
      <c r="W24" s="159" t="e">
        <f t="shared" si="10"/>
        <v>#DIV/0!</v>
      </c>
      <c r="X24" s="159" t="e">
        <f t="shared" si="10"/>
        <v>#DIV/0!</v>
      </c>
      <c r="Y24" s="159" t="e">
        <f t="shared" si="10"/>
        <v>#DIV/0!</v>
      </c>
      <c r="Z24" s="159" t="e">
        <f t="shared" si="10"/>
        <v>#DIV/0!</v>
      </c>
      <c r="AA24" s="159" t="e">
        <f t="shared" si="10"/>
        <v>#DIV/0!</v>
      </c>
      <c r="AB24" s="159" t="e">
        <f t="shared" si="10"/>
        <v>#DIV/0!</v>
      </c>
      <c r="AC24" s="159" t="e">
        <f t="shared" si="10"/>
        <v>#DIV/0!</v>
      </c>
      <c r="AD24" s="159" t="e">
        <f t="shared" si="10"/>
        <v>#DIV/0!</v>
      </c>
      <c r="AE24" s="159" t="e">
        <f t="shared" si="10"/>
        <v>#DIV/0!</v>
      </c>
      <c r="AF24" s="159" t="e">
        <f t="shared" si="10"/>
        <v>#DIV/0!</v>
      </c>
      <c r="AG24" s="159" t="e">
        <f t="shared" si="10"/>
        <v>#DIV/0!</v>
      </c>
      <c r="AH24" s="159" t="e">
        <f t="shared" si="10"/>
        <v>#DIV/0!</v>
      </c>
      <c r="AI24" s="159" t="e">
        <f t="shared" si="10"/>
        <v>#DIV/0!</v>
      </c>
      <c r="AJ24" s="159" t="e">
        <f t="shared" si="10"/>
        <v>#DIV/0!</v>
      </c>
      <c r="AK24" s="159" t="e">
        <f t="shared" si="10"/>
        <v>#DIV/0!</v>
      </c>
      <c r="AL24" s="159" t="e">
        <f t="shared" si="10"/>
        <v>#DIV/0!</v>
      </c>
      <c r="AM24" s="159" t="e">
        <f t="shared" si="10"/>
        <v>#DIV/0!</v>
      </c>
      <c r="AN24" s="159" t="e">
        <f t="shared" si="10"/>
        <v>#DIV/0!</v>
      </c>
      <c r="AO24" s="159" t="e">
        <f t="shared" si="10"/>
        <v>#DIV/0!</v>
      </c>
      <c r="AP24" s="159" t="e">
        <f t="shared" si="10"/>
        <v>#DIV/0!</v>
      </c>
      <c r="AQ24" s="159" t="e">
        <f t="shared" si="10"/>
        <v>#DIV/0!</v>
      </c>
      <c r="AR24" s="159" t="e">
        <f t="shared" si="10"/>
        <v>#DIV/0!</v>
      </c>
      <c r="AS24" s="159" t="e">
        <f t="shared" si="10"/>
        <v>#DIV/0!</v>
      </c>
      <c r="AT24" s="159" t="e">
        <f t="shared" si="10"/>
        <v>#DIV/0!</v>
      </c>
      <c r="AU24" s="159" t="e">
        <f t="shared" si="10"/>
        <v>#DIV/0!</v>
      </c>
      <c r="AV24" s="159" t="e">
        <f t="shared" si="10"/>
        <v>#DIV/0!</v>
      </c>
      <c r="AW24" s="159" t="e">
        <f t="shared" si="10"/>
        <v>#DIV/0!</v>
      </c>
      <c r="AX24" s="159" t="e">
        <f t="shared" si="10"/>
        <v>#DIV/0!</v>
      </c>
      <c r="AY24" s="159" t="e">
        <f t="shared" si="10"/>
        <v>#DIV/0!</v>
      </c>
      <c r="AZ24" s="159" t="e">
        <f t="shared" si="10"/>
        <v>#DIV/0!</v>
      </c>
      <c r="BA24" s="159" t="e">
        <f t="shared" si="10"/>
        <v>#DIV/0!</v>
      </c>
      <c r="BB24" s="159" t="e">
        <f t="shared" si="10"/>
        <v>#DIV/0!</v>
      </c>
      <c r="BC24" s="159" t="e">
        <f t="shared" si="10"/>
        <v>#DIV/0!</v>
      </c>
      <c r="BD24" s="159" t="e">
        <f t="shared" si="10"/>
        <v>#DIV/0!</v>
      </c>
      <c r="BE24" s="159" t="e">
        <f t="shared" si="10"/>
        <v>#DIV/0!</v>
      </c>
      <c r="BF24" s="159" t="e">
        <f t="shared" si="10"/>
        <v>#DIV/0!</v>
      </c>
      <c r="BG24" s="159" t="e">
        <f t="shared" si="10"/>
        <v>#DIV/0!</v>
      </c>
      <c r="BH24" s="159" t="e">
        <f t="shared" si="10"/>
        <v>#DIV/0!</v>
      </c>
      <c r="BI24" s="159" t="e">
        <f t="shared" si="10"/>
        <v>#DIV/0!</v>
      </c>
      <c r="BJ24" s="159" t="e">
        <f t="shared" si="10"/>
        <v>#DIV/0!</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42004</v>
      </c>
      <c r="P25" s="1">
        <v>41639</v>
      </c>
      <c r="Q25" s="1">
        <v>41274</v>
      </c>
      <c r="R25" s="1">
        <v>40908</v>
      </c>
      <c r="S25" s="1">
        <v>25569</v>
      </c>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5" t="s">
        <v>442</v>
      </c>
      <c r="E26" s="75">
        <f>利润表!E14</f>
        <v>0</v>
      </c>
      <c r="F26" s="75">
        <f>利润表!F14</f>
        <v>0</v>
      </c>
      <c r="G26" s="75">
        <f>利润表!G14</f>
        <v>0</v>
      </c>
      <c r="H26" s="75">
        <f>利润表!H14</f>
        <v>0</v>
      </c>
      <c r="I26" s="75">
        <f>利润表!I14</f>
        <v>0</v>
      </c>
      <c r="J26" s="75">
        <f>利润表!J14</f>
        <v>0</v>
      </c>
      <c r="K26" s="75">
        <f>利润表!K14</f>
        <v>0</v>
      </c>
      <c r="L26" s="75">
        <f>利润表!L14</f>
        <v>0</v>
      </c>
      <c r="M26" s="75">
        <f>利润表!M14</f>
        <v>0</v>
      </c>
      <c r="N26" s="75">
        <f>利润表!N14</f>
        <v>0</v>
      </c>
      <c r="O26" s="75">
        <f>利润表!O14</f>
        <v>0</v>
      </c>
      <c r="P26" s="75">
        <f>利润表!P14</f>
        <v>0</v>
      </c>
      <c r="Q26" s="75">
        <f>利润表!Q14</f>
        <v>0</v>
      </c>
      <c r="R26" s="75">
        <f>利润表!R14</f>
        <v>0</v>
      </c>
      <c r="S26" s="75">
        <f>利润表!S14</f>
        <v>0</v>
      </c>
      <c r="T26" s="75">
        <f>利润表!T14</f>
        <v>0</v>
      </c>
      <c r="U26" s="75">
        <f>利润表!U14</f>
        <v>0</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5" t="s">
        <v>443</v>
      </c>
      <c r="E27" s="75">
        <f>资产资本表!E19</f>
        <v>33000000</v>
      </c>
      <c r="F27" s="75">
        <f>资产资本表!F19</f>
        <v>0</v>
      </c>
      <c r="G27" s="75">
        <f>资产资本表!G19</f>
        <v>0</v>
      </c>
      <c r="H27" s="75">
        <f>资产资本表!H19</f>
        <v>0</v>
      </c>
      <c r="I27" s="75">
        <f>资产资本表!I19</f>
        <v>0</v>
      </c>
      <c r="J27" s="75">
        <f>资产资本表!J19</f>
        <v>0</v>
      </c>
      <c r="K27" s="75">
        <f>资产资本表!K19</f>
        <v>0</v>
      </c>
      <c r="L27" s="75">
        <f>资产资本表!L19</f>
        <v>0</v>
      </c>
      <c r="M27" s="75">
        <f>资产资本表!M19</f>
        <v>0</v>
      </c>
      <c r="N27" s="75">
        <f>资产资本表!N19</f>
        <v>0</v>
      </c>
      <c r="O27" s="75">
        <f>资产资本表!O19</f>
        <v>1000000</v>
      </c>
      <c r="P27" s="75">
        <f>资产资本表!P19</f>
        <v>1000000</v>
      </c>
      <c r="Q27" s="75">
        <f>资产资本表!Q19</f>
        <v>0</v>
      </c>
      <c r="R27" s="75">
        <f>资产资本表!R19</f>
        <v>0</v>
      </c>
      <c r="S27" s="75">
        <f>资产资本表!S19</f>
        <v>0</v>
      </c>
      <c r="T27" s="75">
        <f>资产资本表!T19</f>
        <v>0</v>
      </c>
      <c r="U27" s="75">
        <f>资产资本表!U19</f>
        <v>0</v>
      </c>
      <c r="V27" s="75">
        <f>资产资本表!V19</f>
        <v>0</v>
      </c>
      <c r="W27" s="75">
        <f>资产资本表!W19</f>
        <v>0</v>
      </c>
      <c r="X27" s="75">
        <f>资产资本表!X19</f>
        <v>0</v>
      </c>
      <c r="Y27" s="75">
        <f>资产资本表!Y19</f>
        <v>0</v>
      </c>
      <c r="Z27" s="75">
        <f>资产资本表!Z19</f>
        <v>0</v>
      </c>
      <c r="AA27" s="75">
        <f>资产资本表!AA19</f>
        <v>0</v>
      </c>
      <c r="AB27" s="75">
        <f>资产资本表!AB19</f>
        <v>0</v>
      </c>
      <c r="AC27" s="75">
        <f>资产资本表!AC19</f>
        <v>0</v>
      </c>
      <c r="AD27" s="75">
        <f>资产资本表!AD19</f>
        <v>0</v>
      </c>
      <c r="AE27" s="75">
        <f>资产资本表!AE19</f>
        <v>0</v>
      </c>
      <c r="AF27" s="75">
        <f>资产资本表!AF19</f>
        <v>0</v>
      </c>
      <c r="AG27" s="75">
        <f>资产资本表!AG19</f>
        <v>0</v>
      </c>
      <c r="AH27" s="75">
        <f>资产资本表!AH19</f>
        <v>0</v>
      </c>
      <c r="AI27" s="75">
        <f>资产资本表!AI19</f>
        <v>0</v>
      </c>
      <c r="AJ27" s="75">
        <f>资产资本表!AJ19</f>
        <v>0</v>
      </c>
      <c r="AK27" s="75">
        <f>资产资本表!AK19</f>
        <v>0</v>
      </c>
      <c r="AL27" s="75">
        <f>资产资本表!AL19</f>
        <v>0</v>
      </c>
      <c r="AM27" s="75">
        <f>资产资本表!AM19</f>
        <v>0</v>
      </c>
      <c r="AN27" s="75">
        <f>资产资本表!AN19</f>
        <v>0</v>
      </c>
      <c r="AO27" s="75">
        <f>资产资本表!AO19</f>
        <v>0</v>
      </c>
      <c r="AP27" s="75">
        <f>资产资本表!AP19</f>
        <v>0</v>
      </c>
      <c r="AQ27" s="75">
        <f>资产资本表!AQ19</f>
        <v>0</v>
      </c>
      <c r="AR27" s="75">
        <f>资产资本表!AR19</f>
        <v>0</v>
      </c>
      <c r="AS27" s="75">
        <f>资产资本表!AS19</f>
        <v>0</v>
      </c>
      <c r="AT27" s="75">
        <f>资产资本表!AT19</f>
        <v>0</v>
      </c>
      <c r="AU27" s="75">
        <f>资产资本表!AU19</f>
        <v>0</v>
      </c>
      <c r="AV27" s="75">
        <f>资产资本表!AV19</f>
        <v>0</v>
      </c>
      <c r="AW27" s="75">
        <f>资产资本表!AW19</f>
        <v>0</v>
      </c>
      <c r="AX27" s="75">
        <f>资产资本表!AX19</f>
        <v>0</v>
      </c>
      <c r="AY27" s="75">
        <f>资产资本表!AY19</f>
        <v>0</v>
      </c>
      <c r="AZ27" s="75">
        <f>资产资本表!AZ19</f>
        <v>0</v>
      </c>
      <c r="BA27" s="75">
        <f>资产资本表!BA19</f>
        <v>0</v>
      </c>
      <c r="BB27" s="75">
        <f>资产资本表!BB19</f>
        <v>0</v>
      </c>
      <c r="BC27" s="75">
        <f>资产资本表!BC19</f>
        <v>0</v>
      </c>
      <c r="BD27" s="75">
        <f>资产资本表!BD19</f>
        <v>0</v>
      </c>
      <c r="BE27" s="75">
        <f>资产资本表!BE19</f>
        <v>0</v>
      </c>
      <c r="BF27" s="75">
        <f>资产资本表!BF19</f>
        <v>0</v>
      </c>
      <c r="BG27" s="75">
        <f>资产资本表!BG19</f>
        <v>0</v>
      </c>
      <c r="BH27" s="75">
        <f>资产资本表!BH19</f>
        <v>0</v>
      </c>
      <c r="BI27" s="75">
        <f>资产资本表!BI19</f>
        <v>0</v>
      </c>
      <c r="BJ27" s="75">
        <f>资产资本表!BJ19</f>
        <v>0</v>
      </c>
      <c r="BK27" s="75">
        <f>资产资本表!BK19</f>
        <v>0</v>
      </c>
      <c r="BL27" s="75">
        <f>资产资本表!BL19</f>
        <v>0</v>
      </c>
      <c r="BM27" s="75">
        <f>资产资本表!BM19</f>
        <v>0</v>
      </c>
      <c r="BN27" s="75">
        <f>资产资本表!BN19</f>
        <v>0</v>
      </c>
      <c r="BO27" s="75">
        <f>资产资本表!BO19</f>
        <v>0</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3" t="s">
        <v>444</v>
      </c>
      <c r="E28" s="109">
        <f>E26/E27</f>
        <v>0</v>
      </c>
      <c r="F28" s="109" t="e">
        <f t="shared" ref="F28:BQ28" si="12">F26/F27</f>
        <v>#DIV/0!</v>
      </c>
      <c r="G28" s="109" t="e">
        <f t="shared" si="12"/>
        <v>#DIV/0!</v>
      </c>
      <c r="H28" s="109" t="e">
        <f t="shared" si="12"/>
        <v>#DIV/0!</v>
      </c>
      <c r="I28" s="109" t="e">
        <f t="shared" si="12"/>
        <v>#DIV/0!</v>
      </c>
      <c r="J28" s="109" t="e">
        <f t="shared" si="12"/>
        <v>#DIV/0!</v>
      </c>
      <c r="K28" s="109" t="e">
        <f t="shared" si="12"/>
        <v>#DIV/0!</v>
      </c>
      <c r="L28" s="109" t="e">
        <f t="shared" si="12"/>
        <v>#DIV/0!</v>
      </c>
      <c r="M28" s="109" t="e">
        <f t="shared" si="12"/>
        <v>#DIV/0!</v>
      </c>
      <c r="N28" s="109" t="e">
        <f t="shared" si="12"/>
        <v>#DIV/0!</v>
      </c>
      <c r="O28" s="109">
        <f t="shared" si="12"/>
        <v>0</v>
      </c>
      <c r="P28" s="109">
        <f t="shared" si="12"/>
        <v>0</v>
      </c>
      <c r="Q28" s="109" t="e">
        <f t="shared" si="12"/>
        <v>#DIV/0!</v>
      </c>
      <c r="R28" s="109" t="e">
        <f t="shared" si="12"/>
        <v>#DIV/0!</v>
      </c>
      <c r="S28" s="109" t="e">
        <f t="shared" si="12"/>
        <v>#DIV/0!</v>
      </c>
      <c r="T28" s="109" t="e">
        <f t="shared" si="12"/>
        <v>#DIV/0!</v>
      </c>
      <c r="U28" s="109" t="e">
        <f t="shared" si="12"/>
        <v>#DIV/0!</v>
      </c>
      <c r="V28" s="109" t="e">
        <f t="shared" si="12"/>
        <v>#DIV/0!</v>
      </c>
      <c r="W28" s="109" t="e">
        <f t="shared" si="12"/>
        <v>#DIV/0!</v>
      </c>
      <c r="X28" s="109" t="e">
        <f t="shared" si="12"/>
        <v>#DIV/0!</v>
      </c>
      <c r="Y28" s="109" t="e">
        <f t="shared" si="12"/>
        <v>#DIV/0!</v>
      </c>
      <c r="Z28" s="109" t="e">
        <f t="shared" si="12"/>
        <v>#DIV/0!</v>
      </c>
      <c r="AA28" s="109" t="e">
        <f t="shared" si="12"/>
        <v>#DIV/0!</v>
      </c>
      <c r="AB28" s="109" t="e">
        <f t="shared" si="12"/>
        <v>#DIV/0!</v>
      </c>
      <c r="AC28" s="109" t="e">
        <f t="shared" si="12"/>
        <v>#DIV/0!</v>
      </c>
      <c r="AD28" s="109" t="e">
        <f t="shared" si="12"/>
        <v>#DIV/0!</v>
      </c>
      <c r="AE28" s="109" t="e">
        <f t="shared" si="12"/>
        <v>#DIV/0!</v>
      </c>
      <c r="AF28" s="109" t="e">
        <f t="shared" si="12"/>
        <v>#DIV/0!</v>
      </c>
      <c r="AG28" s="109" t="e">
        <f t="shared" si="12"/>
        <v>#DIV/0!</v>
      </c>
      <c r="AH28" s="109" t="e">
        <f t="shared" si="12"/>
        <v>#DIV/0!</v>
      </c>
      <c r="AI28" s="109" t="e">
        <f t="shared" si="12"/>
        <v>#DIV/0!</v>
      </c>
      <c r="AJ28" s="109" t="e">
        <f t="shared" si="12"/>
        <v>#DIV/0!</v>
      </c>
      <c r="AK28" s="109" t="e">
        <f t="shared" si="12"/>
        <v>#DIV/0!</v>
      </c>
      <c r="AL28" s="109" t="e">
        <f t="shared" si="12"/>
        <v>#DIV/0!</v>
      </c>
      <c r="AM28" s="109" t="e">
        <f t="shared" si="12"/>
        <v>#DIV/0!</v>
      </c>
      <c r="AN28" s="109" t="e">
        <f t="shared" si="12"/>
        <v>#DIV/0!</v>
      </c>
      <c r="AO28" s="109" t="e">
        <f t="shared" si="12"/>
        <v>#DIV/0!</v>
      </c>
      <c r="AP28" s="109" t="e">
        <f t="shared" si="12"/>
        <v>#DIV/0!</v>
      </c>
      <c r="AQ28" s="109" t="e">
        <f t="shared" si="12"/>
        <v>#DIV/0!</v>
      </c>
      <c r="AR28" s="109" t="e">
        <f t="shared" si="12"/>
        <v>#DIV/0!</v>
      </c>
      <c r="AS28" s="109" t="e">
        <f t="shared" si="12"/>
        <v>#DIV/0!</v>
      </c>
      <c r="AT28" s="109" t="e">
        <f t="shared" si="12"/>
        <v>#DIV/0!</v>
      </c>
      <c r="AU28" s="109" t="e">
        <f t="shared" si="12"/>
        <v>#DIV/0!</v>
      </c>
      <c r="AV28" s="109" t="e">
        <f t="shared" si="12"/>
        <v>#DIV/0!</v>
      </c>
      <c r="AW28" s="109" t="e">
        <f t="shared" si="12"/>
        <v>#DIV/0!</v>
      </c>
      <c r="AX28" s="109" t="e">
        <f t="shared" si="12"/>
        <v>#DIV/0!</v>
      </c>
      <c r="AY28" s="109" t="e">
        <f t="shared" si="12"/>
        <v>#DIV/0!</v>
      </c>
      <c r="AZ28" s="109" t="e">
        <f t="shared" si="12"/>
        <v>#DIV/0!</v>
      </c>
      <c r="BA28" s="109" t="e">
        <f t="shared" si="12"/>
        <v>#DIV/0!</v>
      </c>
      <c r="BB28" s="109" t="e">
        <f t="shared" si="12"/>
        <v>#DIV/0!</v>
      </c>
      <c r="BC28" s="109" t="e">
        <f t="shared" si="12"/>
        <v>#DIV/0!</v>
      </c>
      <c r="BD28" s="109" t="e">
        <f t="shared" si="12"/>
        <v>#DIV/0!</v>
      </c>
      <c r="BE28" s="109" t="e">
        <f t="shared" si="12"/>
        <v>#DIV/0!</v>
      </c>
      <c r="BF28" s="109" t="e">
        <f t="shared" si="12"/>
        <v>#DIV/0!</v>
      </c>
      <c r="BG28" s="109" t="e">
        <f t="shared" si="12"/>
        <v>#DIV/0!</v>
      </c>
      <c r="BH28" s="109" t="e">
        <f t="shared" si="12"/>
        <v>#DIV/0!</v>
      </c>
      <c r="BI28" s="109" t="e">
        <f t="shared" si="12"/>
        <v>#DIV/0!</v>
      </c>
      <c r="BJ28" s="109" t="e">
        <f t="shared" si="12"/>
        <v>#DIV/0!</v>
      </c>
      <c r="BK28" s="109" t="e">
        <f t="shared" si="12"/>
        <v>#DIV/0!</v>
      </c>
      <c r="BL28" s="109" t="e">
        <f t="shared" si="12"/>
        <v>#DIV/0!</v>
      </c>
      <c r="BM28" s="109" t="e">
        <f t="shared" si="12"/>
        <v>#DIV/0!</v>
      </c>
      <c r="BN28" s="109" t="e">
        <f t="shared" si="12"/>
        <v>#DIV/0!</v>
      </c>
      <c r="BO28" s="109" t="e">
        <f t="shared" si="12"/>
        <v>#DIV/0!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89" t="s">
        <v>694</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5" customFormat="1" x14ac:dyDescent="0.25">
      <c r="A31" s="117"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42004</v>
      </c>
      <c r="P31" s="1">
        <v>41639</v>
      </c>
      <c r="Q31" s="1">
        <v>41274</v>
      </c>
      <c r="R31" s="1">
        <v>40908</v>
      </c>
      <c r="S31" s="1">
        <v>25569</v>
      </c>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5" t="s">
        <v>449</v>
      </c>
      <c r="E32" s="75">
        <f>股权价值增加表!E29</f>
        <v>8801456.6290684417</v>
      </c>
      <c r="F32" s="75">
        <f>股权价值增加表!F29</f>
        <v>4686300.214400785</v>
      </c>
      <c r="G32" s="75">
        <f>股权价值增加表!G29</f>
        <v>2346356.8767258725</v>
      </c>
      <c r="H32" s="75">
        <f>股权价值增加表!H29</f>
        <v>606092.64096454147</v>
      </c>
      <c r="I32" s="75">
        <f>股权价值增加表!I29</f>
        <v>1434674.3049858441</v>
      </c>
      <c r="J32" s="75">
        <f>股权价值增加表!J29</f>
        <v>80602.084456213837</v>
      </c>
      <c r="K32" s="75">
        <f>股权价值增加表!K29</f>
        <v>50128.065561469804</v>
      </c>
      <c r="L32" s="75">
        <f>股权价值增加表!L29</f>
        <v>0</v>
      </c>
      <c r="M32" s="75">
        <f>股权价值增加表!M29</f>
        <v>554661.84607754205</v>
      </c>
      <c r="N32" s="75">
        <f>股权价值增加表!N29</f>
        <v>89526.386719035712</v>
      </c>
      <c r="O32" s="75">
        <f>股权价值增加表!O29</f>
        <v>0</v>
      </c>
      <c r="P32" s="75">
        <f>股权价值增加表!P29</f>
        <v>0</v>
      </c>
      <c r="Q32" s="75">
        <f>股权价值增加表!Q29</f>
        <v>0</v>
      </c>
      <c r="R32" s="75">
        <f>股权价值增加表!R29</f>
        <v>0</v>
      </c>
      <c r="S32" s="75" t="e">
        <f>股权价值增加表!S29</f>
        <v>#DIV/0!</v>
      </c>
      <c r="T32" s="75">
        <f>股权价值增加表!T29</f>
        <v>0</v>
      </c>
      <c r="U32" s="75">
        <f>股权价值增加表!U29</f>
        <v>-2059656908.2704577</v>
      </c>
      <c r="V32" s="75">
        <f>股权价值增加表!V29</f>
        <v>-9965841.9048613813</v>
      </c>
      <c r="W32" s="75">
        <f>股权价值增加表!W29</f>
        <v>-11794750.69701978</v>
      </c>
      <c r="X32" s="75">
        <f>股权价值增加表!X29</f>
        <v>0</v>
      </c>
      <c r="Y32" s="75">
        <f>股权价值增加表!Y29</f>
        <v>-2519663685.3892589</v>
      </c>
      <c r="Z32" s="75">
        <f>股权价值增加表!Z29</f>
        <v>2935835.5084060375</v>
      </c>
      <c r="AA32" s="75">
        <f>股权价值增加表!AA29</f>
        <v>3239203.4542003428</v>
      </c>
      <c r="AB32" s="75">
        <f>股权价值增加表!AB29</f>
        <v>61225.712496084314</v>
      </c>
      <c r="AC32" s="75">
        <f>股权价值增加表!AC29</f>
        <v>-1566616671.1131275</v>
      </c>
      <c r="AD32" s="75">
        <f>股权价值增加表!AD29</f>
        <v>-1672100.306733747</v>
      </c>
      <c r="AE32" s="75">
        <f>股权价值增加表!AE29</f>
        <v>-667057.39917448116</v>
      </c>
      <c r="AF32" s="75">
        <f>股权价值增加表!AF29</f>
        <v>-286581.40056036279</v>
      </c>
      <c r="AG32" s="75">
        <f>股权价值增加表!AG29</f>
        <v>-1275657589.4929693</v>
      </c>
      <c r="AH32" s="75">
        <f>股权价值增加表!AH29</f>
        <v>35994757.72662174</v>
      </c>
      <c r="AI32" s="75">
        <f>股权价值增加表!AI29</f>
        <v>-2872470.0213151188</v>
      </c>
      <c r="AJ32" s="75">
        <f>股权价值增加表!AJ29</f>
        <v>-5191391.8860833067</v>
      </c>
      <c r="AK32" s="75">
        <f>股权价值增加表!AK29</f>
        <v>-5672837.9600576665</v>
      </c>
      <c r="AL32" s="75">
        <f>股权价值增加表!AL29</f>
        <v>-337957.26581323973</v>
      </c>
      <c r="AM32" s="75">
        <f>股权价值增加表!AM29</f>
        <v>31529331.689973895</v>
      </c>
      <c r="AN32" s="75">
        <f>股权价值增加表!AN29</f>
        <v>0</v>
      </c>
      <c r="AO32" s="75">
        <f>股权价值增加表!AO29</f>
        <v>-3987775.6648163111</v>
      </c>
      <c r="AP32" s="75">
        <f>股权价值增加表!AP29</f>
        <v>4404102.5546992403</v>
      </c>
      <c r="AQ32" s="75">
        <f>股权价值增加表!AQ29</f>
        <v>4148059.2674403638</v>
      </c>
      <c r="AR32" s="75">
        <f>股权价值增加表!AR29</f>
        <v>0</v>
      </c>
      <c r="AS32" s="75">
        <f>股权价值增加表!AS29</f>
        <v>-20457250.631745093</v>
      </c>
      <c r="AT32" s="75">
        <f>股权价值增加表!AT29</f>
        <v>-8122173.6560173379</v>
      </c>
      <c r="AU32" s="75">
        <f>股权价值增加表!AU29</f>
        <v>-688900.4632240358</v>
      </c>
      <c r="AV32" s="75">
        <f>股权价值增加表!AV29</f>
        <v>-61022787.12720795</v>
      </c>
      <c r="AW32" s="75">
        <f>股权价值增加表!AW29</f>
        <v>-50093697.729275554</v>
      </c>
      <c r="AX32" s="75">
        <f>股权价值增加表!AX29</f>
        <v>-43012215.904261902</v>
      </c>
      <c r="AY32" s="75">
        <f>股权价值增加表!AY29</f>
        <v>-27523866.203127492</v>
      </c>
      <c r="AZ32" s="75">
        <f>股权价值增加表!AZ29</f>
        <v>-9209832.2439196259</v>
      </c>
      <c r="BA32" s="75">
        <f>股权价值增加表!BA29</f>
        <v>69167931.356924787</v>
      </c>
      <c r="BB32" s="75">
        <f>股权价值增加表!BB29</f>
        <v>27009065.035167493</v>
      </c>
      <c r="BC32" s="75">
        <f>股权价值增加表!BC29</f>
        <v>33131586.469690327</v>
      </c>
      <c r="BD32" s="75">
        <f>股权价值增加表!BD29</f>
        <v>0</v>
      </c>
      <c r="BE32" s="75">
        <f>股权价值增加表!BE29</f>
        <v>1998183.825135876</v>
      </c>
      <c r="BF32" s="75">
        <f>股权价值增加表!BF29</f>
        <v>-8967806.6352624726</v>
      </c>
      <c r="BG32" s="75">
        <f>股权价值增加表!BG29</f>
        <v>-8022480.3069745274</v>
      </c>
      <c r="BH32" s="75">
        <f>股权价值增加表!BH29</f>
        <v>-70820124.885195538</v>
      </c>
      <c r="BI32" s="75">
        <f>股权价值增加表!BI29</f>
        <v>7091634.2273319187</v>
      </c>
      <c r="BJ32" s="75">
        <f>股权价值增加表!BJ29</f>
        <v>-4214133.4392030779</v>
      </c>
      <c r="BK32" s="75">
        <f>股权价值增加表!BK29</f>
        <v>-1023870.6355382719</v>
      </c>
      <c r="BL32" s="75">
        <f>股权价值增加表!BL29</f>
        <v>-20041322.937003668</v>
      </c>
      <c r="BM32" s="75">
        <f>股权价值增加表!BM29</f>
        <v>-1486265.4649603667</v>
      </c>
      <c r="BN32" s="75">
        <f>股权价值增加表!BN29</f>
        <v>-13247610.205168763</v>
      </c>
      <c r="BO32" s="75">
        <f>股权价值增加表!BO29</f>
        <v>-13046345.857516127</v>
      </c>
      <c r="BP32" s="75">
        <f>股权价值增加表!BP29</f>
        <v>2699402.1974922284</v>
      </c>
      <c r="BQ32" s="75">
        <f>股权价值增加表!BQ29</f>
        <v>-25832217.946003724</v>
      </c>
      <c r="BR32" s="75">
        <f>股权价值增加表!BR29</f>
        <v>-147870000</v>
      </c>
      <c r="BS32" s="75">
        <f>股权价值增加表!BS29</f>
        <v>-56921533.426971629</v>
      </c>
      <c r="BT32" s="75">
        <f>股权价值增加表!BT29</f>
        <v>-63396403.961102709</v>
      </c>
      <c r="BU32" s="75">
        <f>股权价值增加表!BU29</f>
        <v>-31533634.159668338</v>
      </c>
      <c r="BV32" s="75">
        <f>股权价值增加表!BV29</f>
        <v>0</v>
      </c>
      <c r="BW32" s="75">
        <f>股权价值增加表!BW29</f>
        <v>0</v>
      </c>
      <c r="BX32" s="75">
        <f>股权价值增加表!BX29</f>
        <v>0</v>
      </c>
      <c r="BY32" s="75">
        <f>股权价值增加表!BY29</f>
        <v>0</v>
      </c>
      <c r="BZ32" s="75">
        <f>股权价值增加表!BZ29</f>
        <v>0</v>
      </c>
      <c r="CA32" s="75">
        <f>股权价值增加表!CA29</f>
        <v>0</v>
      </c>
      <c r="CB32" s="75">
        <f>股权价值增加表!CB29</f>
        <v>0</v>
      </c>
      <c r="CC32" s="75">
        <f>股权价值增加表!CC29</f>
        <v>0</v>
      </c>
      <c r="CD32" s="75" t="e">
        <f>股权价值增加表!CD29</f>
        <v>#DIV/0!</v>
      </c>
      <c r="CE32" s="75">
        <f>股权价值增加表!CE29</f>
        <v>-20081000</v>
      </c>
      <c r="CF32" s="75">
        <f>股权价值增加表!CF29</f>
        <v>-14354563.84</v>
      </c>
      <c r="CG32" s="75" t="e">
        <f>股权价值增加表!CG29</f>
        <v>#DIV/0!</v>
      </c>
      <c r="CH32" s="75" t="e">
        <f>股权价值增加表!CH29</f>
        <v>#DIV/0!</v>
      </c>
      <c r="CI32" s="75" t="e">
        <f>股权价值增加表!CI29</f>
        <v>#DIV/0!</v>
      </c>
      <c r="CJ32" s="75" t="e">
        <f>股权价值增加表!CJ29</f>
        <v>#DIV/0!</v>
      </c>
    </row>
    <row r="33" spans="1:89" s="75" customFormat="1" x14ac:dyDescent="0.25">
      <c r="A33" s="146" t="s">
        <v>450</v>
      </c>
    </row>
    <row r="34" spans="1:89" s="75" customFormat="1" x14ac:dyDescent="0.25">
      <c r="A34" s="145" t="s">
        <v>451</v>
      </c>
      <c r="E34" s="75">
        <f>资产资本表!E4</f>
        <v>326019035.54000002</v>
      </c>
      <c r="F34" s="75">
        <f>资产资本表!F4</f>
        <v>239821834.81</v>
      </c>
      <c r="G34" s="75">
        <f>资产资本表!G4</f>
        <v>327855534.62</v>
      </c>
      <c r="H34" s="75">
        <f>资产资本表!H4</f>
        <v>509672126.22000003</v>
      </c>
      <c r="I34" s="75">
        <f>资产资本表!I4</f>
        <v>408833913.93000001</v>
      </c>
      <c r="J34" s="75">
        <f>资产资本表!J4</f>
        <v>139991968.87</v>
      </c>
      <c r="K34" s="75">
        <f>资产资本表!K4</f>
        <v>92104488.760000005</v>
      </c>
      <c r="L34" s="75">
        <f>资产资本表!L4</f>
        <v>169591310.78</v>
      </c>
      <c r="M34" s="75">
        <f>资产资本表!M4</f>
        <v>86443435.120000005</v>
      </c>
      <c r="N34" s="75">
        <f>资产资本表!N4</f>
        <v>85292847.939999998</v>
      </c>
      <c r="O34" s="75">
        <f>资产资本表!O4</f>
        <v>131378573.28</v>
      </c>
      <c r="P34" s="75">
        <f>资产资本表!P4</f>
        <v>106634430.42</v>
      </c>
      <c r="Q34" s="75">
        <f>资产资本表!Q4</f>
        <v>0</v>
      </c>
      <c r="R34" s="75">
        <f>资产资本表!R4</f>
        <v>0</v>
      </c>
      <c r="S34" s="75">
        <f>资产资本表!S4</f>
        <v>0</v>
      </c>
      <c r="T34" s="75">
        <f>资产资本表!T4</f>
        <v>0</v>
      </c>
      <c r="U34" s="75">
        <f>资产资本表!U4</f>
        <v>0</v>
      </c>
      <c r="V34" s="75">
        <f>资产资本表!V4</f>
        <v>0</v>
      </c>
      <c r="W34" s="75">
        <f>资产资本表!W4</f>
        <v>0</v>
      </c>
      <c r="X34" s="75">
        <f>资产资本表!X4</f>
        <v>0</v>
      </c>
      <c r="Y34" s="75">
        <f>资产资本表!Y4</f>
        <v>0</v>
      </c>
      <c r="Z34" s="75">
        <f>资产资本表!Z4</f>
        <v>0</v>
      </c>
      <c r="AA34" s="75">
        <f>资产资本表!AA4</f>
        <v>0</v>
      </c>
      <c r="AB34" s="75">
        <f>资产资本表!AB4</f>
        <v>0</v>
      </c>
      <c r="AC34" s="75">
        <f>资产资本表!AC4</f>
        <v>0</v>
      </c>
      <c r="AD34" s="75">
        <f>资产资本表!AD4</f>
        <v>0</v>
      </c>
      <c r="AE34" s="75">
        <f>资产资本表!AE4</f>
        <v>0</v>
      </c>
      <c r="AF34" s="75">
        <f>资产资本表!AF4</f>
        <v>0</v>
      </c>
      <c r="AG34" s="75">
        <f>资产资本表!AG4</f>
        <v>0</v>
      </c>
      <c r="AH34" s="75">
        <f>资产资本表!AH4</f>
        <v>0</v>
      </c>
      <c r="AI34" s="75">
        <f>资产资本表!AI4</f>
        <v>0</v>
      </c>
      <c r="AJ34" s="75">
        <f>资产资本表!AJ4</f>
        <v>0</v>
      </c>
      <c r="AK34" s="75">
        <f>资产资本表!AK4</f>
        <v>0</v>
      </c>
      <c r="AL34" s="75">
        <f>资产资本表!AL4</f>
        <v>0</v>
      </c>
      <c r="AM34" s="75">
        <f>资产资本表!AM4</f>
        <v>0</v>
      </c>
      <c r="AN34" s="75">
        <f>资产资本表!AN4</f>
        <v>0</v>
      </c>
      <c r="AO34" s="75">
        <f>资产资本表!AO4</f>
        <v>0</v>
      </c>
      <c r="AP34" s="75">
        <f>资产资本表!AP4</f>
        <v>0</v>
      </c>
      <c r="AQ34" s="75">
        <f>资产资本表!AQ4</f>
        <v>0</v>
      </c>
      <c r="AR34" s="75">
        <f>资产资本表!AR4</f>
        <v>0</v>
      </c>
      <c r="AS34" s="75">
        <f>资产资本表!AS4</f>
        <v>0</v>
      </c>
      <c r="AT34" s="75">
        <f>资产资本表!AT4</f>
        <v>0</v>
      </c>
      <c r="AU34" s="75">
        <f>资产资本表!AU4</f>
        <v>0</v>
      </c>
      <c r="AV34" s="75">
        <f>资产资本表!AV4</f>
        <v>0</v>
      </c>
      <c r="AW34" s="75">
        <f>资产资本表!AW4</f>
        <v>0</v>
      </c>
      <c r="AX34" s="75">
        <f>资产资本表!AX4</f>
        <v>0</v>
      </c>
      <c r="AY34" s="75">
        <f>资产资本表!AY4</f>
        <v>0</v>
      </c>
      <c r="AZ34" s="75">
        <f>资产资本表!AZ4</f>
        <v>0</v>
      </c>
      <c r="BA34" s="75">
        <f>资产资本表!BA4</f>
        <v>0</v>
      </c>
      <c r="BB34" s="75">
        <f>资产资本表!BB4</f>
        <v>0</v>
      </c>
      <c r="BC34" s="75">
        <f>资产资本表!BC4</f>
        <v>0</v>
      </c>
      <c r="BD34" s="75">
        <f>资产资本表!BD4</f>
        <v>0</v>
      </c>
      <c r="BE34" s="75">
        <f>资产资本表!BE4</f>
        <v>0</v>
      </c>
      <c r="BF34" s="75">
        <f>资产资本表!BF4</f>
        <v>0</v>
      </c>
      <c r="BG34" s="75">
        <f>资产资本表!BG4</f>
        <v>0</v>
      </c>
      <c r="BH34" s="75">
        <f>资产资本表!BH4</f>
        <v>0</v>
      </c>
      <c r="BI34" s="75">
        <f>资产资本表!BI4</f>
        <v>0</v>
      </c>
      <c r="BJ34" s="75">
        <f>资产资本表!BJ4</f>
        <v>0</v>
      </c>
      <c r="BK34" s="75">
        <f>资产资本表!BK4</f>
        <v>0</v>
      </c>
      <c r="BL34" s="75">
        <f>资产资本表!BL4</f>
        <v>0</v>
      </c>
      <c r="BM34" s="75">
        <f>资产资本表!BM4</f>
        <v>0</v>
      </c>
      <c r="BN34" s="75">
        <f>资产资本表!BN4</f>
        <v>0</v>
      </c>
      <c r="BO34" s="75">
        <f>资产资本表!BO4</f>
        <v>0</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5" t="s">
        <v>452</v>
      </c>
      <c r="E35" s="75">
        <f>利润表!E12</f>
        <v>0</v>
      </c>
      <c r="F35" s="75">
        <f>利润表!F12</f>
        <v>0</v>
      </c>
      <c r="G35" s="75">
        <f>利润表!G12</f>
        <v>0</v>
      </c>
      <c r="H35" s="75">
        <f>利润表!H12</f>
        <v>0</v>
      </c>
      <c r="I35" s="75">
        <f>利润表!I12</f>
        <v>0</v>
      </c>
      <c r="J35" s="75">
        <f>利润表!J12</f>
        <v>0</v>
      </c>
      <c r="K35" s="75">
        <f>利润表!K12</f>
        <v>0</v>
      </c>
      <c r="L35" s="75">
        <f>利润表!L12</f>
        <v>0</v>
      </c>
      <c r="M35" s="75">
        <f>利润表!M12</f>
        <v>0</v>
      </c>
      <c r="N35" s="75">
        <f>利润表!N12</f>
        <v>0</v>
      </c>
      <c r="O35" s="75">
        <f>利润表!O12</f>
        <v>0</v>
      </c>
      <c r="P35" s="75">
        <f>利润表!P12</f>
        <v>0</v>
      </c>
      <c r="Q35" s="75">
        <f>利润表!Q12</f>
        <v>0</v>
      </c>
      <c r="R35" s="75">
        <f>利润表!R12</f>
        <v>0</v>
      </c>
      <c r="S35" s="75">
        <f>利润表!S12</f>
        <v>0</v>
      </c>
      <c r="T35" s="75">
        <f>利润表!T12</f>
        <v>0</v>
      </c>
      <c r="U35" s="75">
        <f>利润表!U12</f>
        <v>0</v>
      </c>
      <c r="V35" s="75">
        <f>利润表!V12</f>
        <v>0</v>
      </c>
      <c r="W35" s="75">
        <f>利润表!W12</f>
        <v>0</v>
      </c>
      <c r="X35" s="75">
        <f>利润表!X12</f>
        <v>0</v>
      </c>
      <c r="Y35" s="75">
        <f>利润表!Y12</f>
        <v>0</v>
      </c>
      <c r="Z35" s="75">
        <f>利润表!Z12</f>
        <v>0</v>
      </c>
      <c r="AA35" s="75">
        <f>利润表!AA12</f>
        <v>0</v>
      </c>
      <c r="AB35" s="75">
        <f>利润表!AB12</f>
        <v>0</v>
      </c>
      <c r="AC35" s="75">
        <f>利润表!AC12</f>
        <v>0</v>
      </c>
      <c r="AD35" s="75">
        <f>利润表!AD12</f>
        <v>0</v>
      </c>
      <c r="AE35" s="75">
        <f>利润表!AE12</f>
        <v>0</v>
      </c>
      <c r="AF35" s="75">
        <f>利润表!AF12</f>
        <v>0</v>
      </c>
      <c r="AG35" s="75">
        <f>利润表!AG12</f>
        <v>0</v>
      </c>
      <c r="AH35" s="75">
        <f>利润表!AH12</f>
        <v>0</v>
      </c>
      <c r="AI35" s="75">
        <f>利润表!AI12</f>
        <v>0</v>
      </c>
      <c r="AJ35" s="75">
        <f>利润表!AJ12</f>
        <v>0</v>
      </c>
      <c r="AK35" s="75">
        <f>利润表!AK12</f>
        <v>0</v>
      </c>
      <c r="AL35" s="75">
        <f>利润表!AL12</f>
        <v>0</v>
      </c>
      <c r="AM35" s="75">
        <f>利润表!AM12</f>
        <v>0</v>
      </c>
      <c r="AN35" s="75">
        <f>利润表!AN12</f>
        <v>0</v>
      </c>
      <c r="AO35" s="75">
        <f>利润表!AO12</f>
        <v>0</v>
      </c>
      <c r="AP35" s="75">
        <f>利润表!AP12</f>
        <v>0</v>
      </c>
      <c r="AQ35" s="75">
        <f>利润表!AQ12</f>
        <v>0</v>
      </c>
      <c r="AR35" s="75">
        <f>利润表!AR12</f>
        <v>0</v>
      </c>
      <c r="AS35" s="75">
        <f>利润表!AS12</f>
        <v>0</v>
      </c>
      <c r="AT35" s="75">
        <f>利润表!AT12</f>
        <v>0</v>
      </c>
      <c r="AU35" s="75">
        <f>利润表!AU12</f>
        <v>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5" t="s">
        <v>453</v>
      </c>
      <c r="E36" s="75">
        <f>资产资本表!E13</f>
        <v>0</v>
      </c>
      <c r="F36" s="75">
        <f>资产资本表!F13</f>
        <v>0</v>
      </c>
      <c r="G36" s="75">
        <f>资产资本表!G13</f>
        <v>0</v>
      </c>
      <c r="H36" s="75">
        <f>资产资本表!H13</f>
        <v>0</v>
      </c>
      <c r="I36" s="75">
        <f>资产资本表!I13</f>
        <v>0</v>
      </c>
      <c r="J36" s="75">
        <f>资产资本表!J13</f>
        <v>0</v>
      </c>
      <c r="K36" s="75">
        <f>资产资本表!K13</f>
        <v>0</v>
      </c>
      <c r="L36" s="75">
        <f>资产资本表!L13</f>
        <v>0</v>
      </c>
      <c r="M36" s="75">
        <f>资产资本表!M13</f>
        <v>0</v>
      </c>
      <c r="N36" s="75">
        <f>资产资本表!N13</f>
        <v>0</v>
      </c>
      <c r="O36" s="75">
        <f>资产资本表!O13</f>
        <v>0</v>
      </c>
      <c r="P36" s="75">
        <f>资产资本表!P13</f>
        <v>0</v>
      </c>
      <c r="Q36" s="75">
        <f>资产资本表!Q13</f>
        <v>0</v>
      </c>
      <c r="R36" s="75">
        <f>资产资本表!R13</f>
        <v>0</v>
      </c>
      <c r="S36" s="75">
        <f>资产资本表!S13</f>
        <v>0</v>
      </c>
      <c r="T36" s="75">
        <f>资产资本表!T13</f>
        <v>0</v>
      </c>
      <c r="U36" s="75">
        <f>资产资本表!U13</f>
        <v>0</v>
      </c>
      <c r="V36" s="75">
        <f>资产资本表!V13</f>
        <v>0</v>
      </c>
      <c r="W36" s="75">
        <f>资产资本表!W13</f>
        <v>0</v>
      </c>
      <c r="X36" s="75">
        <f>资产资本表!X13</f>
        <v>0</v>
      </c>
      <c r="Y36" s="75">
        <f>资产资本表!Y13</f>
        <v>0</v>
      </c>
      <c r="Z36" s="75">
        <f>资产资本表!Z13</f>
        <v>0</v>
      </c>
      <c r="AA36" s="75">
        <f>资产资本表!AA13</f>
        <v>0</v>
      </c>
      <c r="AB36" s="75">
        <f>资产资本表!AB13</f>
        <v>0</v>
      </c>
      <c r="AC36" s="75">
        <f>资产资本表!AC13</f>
        <v>0</v>
      </c>
      <c r="AD36" s="75">
        <f>资产资本表!AD13</f>
        <v>0</v>
      </c>
      <c r="AE36" s="75">
        <f>资产资本表!AE13</f>
        <v>0</v>
      </c>
      <c r="AF36" s="75">
        <f>资产资本表!AF13</f>
        <v>0</v>
      </c>
      <c r="AG36" s="75">
        <f>资产资本表!AG13</f>
        <v>0</v>
      </c>
      <c r="AH36" s="75">
        <f>资产资本表!AH13</f>
        <v>0</v>
      </c>
      <c r="AI36" s="75">
        <f>资产资本表!AI13</f>
        <v>0</v>
      </c>
      <c r="AJ36" s="75">
        <f>资产资本表!AJ13</f>
        <v>0</v>
      </c>
      <c r="AK36" s="75">
        <f>资产资本表!AK13</f>
        <v>0</v>
      </c>
      <c r="AL36" s="75">
        <f>资产资本表!AL13</f>
        <v>0</v>
      </c>
      <c r="AM36" s="75">
        <f>资产资本表!AM13</f>
        <v>0</v>
      </c>
      <c r="AN36" s="75">
        <f>资产资本表!AN13</f>
        <v>0</v>
      </c>
      <c r="AO36" s="75">
        <f>资产资本表!AO13</f>
        <v>0</v>
      </c>
      <c r="AP36" s="75">
        <f>资产资本表!AP13</f>
        <v>0</v>
      </c>
      <c r="AQ36" s="75">
        <f>资产资本表!AQ13</f>
        <v>0</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5" t="s">
        <v>454</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0</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5" t="s">
        <v>455</v>
      </c>
      <c r="E38" s="75">
        <f>资产资本表!E8</f>
        <v>1000000</v>
      </c>
      <c r="F38" s="75">
        <f>资产资本表!F8</f>
        <v>1000000</v>
      </c>
      <c r="G38" s="75">
        <f>资产资本表!G8</f>
        <v>1000000</v>
      </c>
      <c r="H38" s="75">
        <f>资产资本表!H8</f>
        <v>1000000</v>
      </c>
      <c r="I38" s="75">
        <f>资产资本表!I8</f>
        <v>1000000</v>
      </c>
      <c r="J38" s="75">
        <f>资产资本表!J8</f>
        <v>1000000</v>
      </c>
      <c r="K38" s="75">
        <f>资产资本表!K8</f>
        <v>1000000</v>
      </c>
      <c r="L38" s="75">
        <f>资产资本表!L8</f>
        <v>1000000</v>
      </c>
      <c r="M38" s="75">
        <f>资产资本表!M8</f>
        <v>1000000</v>
      </c>
      <c r="N38" s="75">
        <f>资产资本表!N8</f>
        <v>1000000</v>
      </c>
      <c r="O38" s="75">
        <f>资产资本表!O8</f>
        <v>0</v>
      </c>
      <c r="P38" s="75">
        <f>资产资本表!P8</f>
        <v>0</v>
      </c>
      <c r="Q38" s="75">
        <f>资产资本表!Q8</f>
        <v>0</v>
      </c>
      <c r="R38" s="75">
        <f>资产资本表!R8</f>
        <v>0</v>
      </c>
      <c r="S38" s="75">
        <f>资产资本表!S8</f>
        <v>0</v>
      </c>
      <c r="T38" s="75">
        <f>资产资本表!T8</f>
        <v>0</v>
      </c>
      <c r="U38" s="75">
        <f>资产资本表!U8</f>
        <v>0</v>
      </c>
      <c r="V38" s="75">
        <f>资产资本表!V8</f>
        <v>0</v>
      </c>
      <c r="W38" s="75">
        <f>资产资本表!W8</f>
        <v>0</v>
      </c>
      <c r="X38" s="75">
        <f>资产资本表!X8</f>
        <v>0</v>
      </c>
      <c r="Y38" s="75">
        <f>资产资本表!Y8</f>
        <v>0</v>
      </c>
      <c r="Z38" s="75">
        <f>资产资本表!Z8</f>
        <v>0</v>
      </c>
      <c r="AA38" s="75">
        <f>资产资本表!AA8</f>
        <v>0</v>
      </c>
      <c r="AB38" s="75">
        <f>资产资本表!AB8</f>
        <v>0</v>
      </c>
      <c r="AC38" s="75">
        <f>资产资本表!AC8</f>
        <v>0</v>
      </c>
      <c r="AD38" s="75">
        <f>资产资本表!AD8</f>
        <v>0</v>
      </c>
      <c r="AE38" s="75">
        <f>资产资本表!AE8</f>
        <v>0</v>
      </c>
      <c r="AF38" s="75">
        <f>资产资本表!AF8</f>
        <v>0</v>
      </c>
      <c r="AG38" s="75">
        <f>资产资本表!AG8</f>
        <v>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5" t="s">
        <v>456</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5" t="s">
        <v>457</v>
      </c>
      <c r="E40" s="75">
        <f>资产资本表!E10</f>
        <v>32705186.800000001</v>
      </c>
      <c r="F40" s="75">
        <f>资产资本表!F10</f>
        <v>31922835.780000001</v>
      </c>
      <c r="G40" s="75">
        <f>资产资本表!G10</f>
        <v>32134569.809999999</v>
      </c>
      <c r="H40" s="75">
        <f>资产资本表!H10</f>
        <v>32346303.84</v>
      </c>
      <c r="I40" s="75">
        <f>资产资本表!I10</f>
        <v>32239457.280000001</v>
      </c>
      <c r="J40" s="75">
        <f>资产资本表!J10</f>
        <v>32449119.48</v>
      </c>
      <c r="K40" s="75">
        <f>资产资本表!K10</f>
        <v>32658781.68</v>
      </c>
      <c r="L40" s="75">
        <f>资产资本表!L10</f>
        <v>33078106.079999998</v>
      </c>
      <c r="M40" s="75">
        <f>资产资本表!M10</f>
        <v>33916754.880000003</v>
      </c>
      <c r="N40" s="75">
        <f>资产资本表!N10</f>
        <v>34755403.68</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0</v>
      </c>
      <c r="AM40" s="75">
        <f>资产资本表!AM10</f>
        <v>0</v>
      </c>
      <c r="AN40" s="75">
        <f>资产资本表!AN10</f>
        <v>0</v>
      </c>
      <c r="AO40" s="75">
        <f>资产资本表!AO10</f>
        <v>0</v>
      </c>
      <c r="AP40" s="75">
        <f>资产资本表!AP10</f>
        <v>0</v>
      </c>
      <c r="AQ40" s="75">
        <f>资产资本表!AQ10</f>
        <v>0</v>
      </c>
      <c r="AR40" s="75">
        <f>资产资本表!AR10</f>
        <v>0</v>
      </c>
      <c r="AS40" s="75">
        <f>资产资本表!AS10</f>
        <v>0</v>
      </c>
      <c r="AT40" s="75">
        <f>资产资本表!AT10</f>
        <v>0</v>
      </c>
      <c r="AU40" s="75">
        <f>资产资本表!AU10</f>
        <v>0</v>
      </c>
      <c r="AV40" s="75">
        <f>资产资本表!AV10</f>
        <v>0</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5" t="s">
        <v>458</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5" t="s">
        <v>459</v>
      </c>
      <c r="E42" s="75">
        <f>资产资本表!E6</f>
        <v>0</v>
      </c>
      <c r="F42" s="75">
        <f>资产资本表!F6</f>
        <v>0</v>
      </c>
      <c r="G42" s="75">
        <f>资产资本表!G6</f>
        <v>0</v>
      </c>
      <c r="H42" s="75">
        <f>资产资本表!H6</f>
        <v>0</v>
      </c>
      <c r="I42" s="75">
        <f>资产资本表!I6</f>
        <v>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6" t="s">
        <v>460</v>
      </c>
      <c r="E43" s="75">
        <f>SUM(E34:E42)</f>
        <v>359724222.34000003</v>
      </c>
      <c r="F43" s="75">
        <f t="shared" ref="F43:BQ43" si="14">SUM(F34:F42)</f>
        <v>272744670.59000003</v>
      </c>
      <c r="G43" s="75">
        <f t="shared" si="14"/>
        <v>360990104.43000001</v>
      </c>
      <c r="H43" s="75">
        <f t="shared" si="14"/>
        <v>543018430.06000006</v>
      </c>
      <c r="I43" s="75">
        <f t="shared" si="14"/>
        <v>442073371.21000004</v>
      </c>
      <c r="J43" s="75">
        <f t="shared" si="14"/>
        <v>173441088.34999999</v>
      </c>
      <c r="K43" s="75">
        <f t="shared" si="14"/>
        <v>125763270.44</v>
      </c>
      <c r="L43" s="75">
        <f t="shared" si="14"/>
        <v>203669416.86000001</v>
      </c>
      <c r="M43" s="75">
        <f t="shared" si="14"/>
        <v>121360190</v>
      </c>
      <c r="N43" s="75">
        <f t="shared" si="14"/>
        <v>121048251.62</v>
      </c>
      <c r="O43" s="75">
        <f t="shared" si="14"/>
        <v>131378573.28</v>
      </c>
      <c r="P43" s="75">
        <f t="shared" si="14"/>
        <v>106634430.42</v>
      </c>
      <c r="Q43" s="75">
        <f t="shared" si="14"/>
        <v>0</v>
      </c>
      <c r="R43" s="75">
        <f t="shared" si="14"/>
        <v>0</v>
      </c>
      <c r="S43" s="75">
        <f t="shared" si="14"/>
        <v>0</v>
      </c>
      <c r="T43" s="75">
        <f t="shared" si="14"/>
        <v>0</v>
      </c>
      <c r="U43" s="75">
        <f t="shared" si="14"/>
        <v>0</v>
      </c>
      <c r="V43" s="75">
        <f t="shared" si="14"/>
        <v>0</v>
      </c>
      <c r="W43" s="75">
        <f t="shared" si="14"/>
        <v>0</v>
      </c>
      <c r="X43" s="75">
        <f t="shared" si="14"/>
        <v>0</v>
      </c>
      <c r="Y43" s="75">
        <f t="shared" si="14"/>
        <v>0</v>
      </c>
      <c r="Z43" s="75">
        <f t="shared" si="14"/>
        <v>0</v>
      </c>
      <c r="AA43" s="75">
        <f t="shared" si="14"/>
        <v>0</v>
      </c>
      <c r="AB43" s="75">
        <f t="shared" si="14"/>
        <v>0</v>
      </c>
      <c r="AC43" s="75">
        <f t="shared" si="14"/>
        <v>0</v>
      </c>
      <c r="AD43" s="75">
        <f t="shared" si="14"/>
        <v>0</v>
      </c>
      <c r="AE43" s="75">
        <f t="shared" si="14"/>
        <v>0</v>
      </c>
      <c r="AF43" s="75">
        <f t="shared" si="14"/>
        <v>0</v>
      </c>
      <c r="AG43" s="75">
        <f t="shared" si="14"/>
        <v>0</v>
      </c>
      <c r="AH43" s="75">
        <f t="shared" si="14"/>
        <v>0</v>
      </c>
      <c r="AI43" s="75">
        <f t="shared" si="14"/>
        <v>0</v>
      </c>
      <c r="AJ43" s="75">
        <f t="shared" si="14"/>
        <v>0</v>
      </c>
      <c r="AK43" s="75">
        <f t="shared" si="14"/>
        <v>0</v>
      </c>
      <c r="AL43" s="75">
        <f t="shared" si="14"/>
        <v>0</v>
      </c>
      <c r="AM43" s="75">
        <f t="shared" si="14"/>
        <v>0</v>
      </c>
      <c r="AN43" s="75">
        <f t="shared" si="14"/>
        <v>0</v>
      </c>
      <c r="AO43" s="75">
        <f t="shared" si="14"/>
        <v>0</v>
      </c>
      <c r="AP43" s="75">
        <f t="shared" si="14"/>
        <v>0</v>
      </c>
      <c r="AQ43" s="75">
        <f t="shared" si="14"/>
        <v>0</v>
      </c>
      <c r="AR43" s="75">
        <f t="shared" si="14"/>
        <v>0</v>
      </c>
      <c r="AS43" s="75">
        <f t="shared" si="14"/>
        <v>0</v>
      </c>
      <c r="AT43" s="75">
        <f t="shared" si="14"/>
        <v>0</v>
      </c>
      <c r="AU43" s="75">
        <f t="shared" si="14"/>
        <v>0</v>
      </c>
      <c r="AV43" s="75">
        <f t="shared" si="14"/>
        <v>0</v>
      </c>
      <c r="AW43" s="75">
        <f t="shared" si="14"/>
        <v>0</v>
      </c>
      <c r="AX43" s="75">
        <f t="shared" si="14"/>
        <v>0</v>
      </c>
      <c r="AY43" s="75">
        <f t="shared" si="14"/>
        <v>0</v>
      </c>
      <c r="AZ43" s="75">
        <f t="shared" si="14"/>
        <v>0</v>
      </c>
      <c r="BA43" s="75">
        <f t="shared" si="14"/>
        <v>0</v>
      </c>
      <c r="BB43" s="75">
        <f t="shared" si="14"/>
        <v>0</v>
      </c>
      <c r="BC43" s="75">
        <f t="shared" si="14"/>
        <v>0</v>
      </c>
      <c r="BD43" s="75">
        <f t="shared" si="14"/>
        <v>0</v>
      </c>
      <c r="BE43" s="75">
        <f t="shared" si="14"/>
        <v>0</v>
      </c>
      <c r="BF43" s="75">
        <f t="shared" si="14"/>
        <v>0</v>
      </c>
      <c r="BG43" s="75">
        <f t="shared" si="14"/>
        <v>0</v>
      </c>
      <c r="BH43" s="75">
        <f t="shared" si="14"/>
        <v>0</v>
      </c>
      <c r="BI43" s="75">
        <f t="shared" si="14"/>
        <v>0</v>
      </c>
      <c r="BJ43" s="75">
        <f t="shared" si="14"/>
        <v>0</v>
      </c>
      <c r="BK43" s="75">
        <f t="shared" si="14"/>
        <v>0</v>
      </c>
      <c r="BL43" s="75">
        <f t="shared" si="14"/>
        <v>0</v>
      </c>
      <c r="BM43" s="75">
        <f t="shared" si="14"/>
        <v>0</v>
      </c>
      <c r="BN43" s="75">
        <f t="shared" si="14"/>
        <v>0</v>
      </c>
      <c r="BO43" s="75">
        <f t="shared" si="14"/>
        <v>0</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3" t="s">
        <v>461</v>
      </c>
      <c r="E44" s="109">
        <f>E32/E43</f>
        <v>2.446723373759797E-2</v>
      </c>
      <c r="F44" s="109">
        <f t="shared" ref="F44:BQ44" si="16">F32/F43</f>
        <v>1.7182004708885427E-2</v>
      </c>
      <c r="G44" s="109">
        <f t="shared" si="16"/>
        <v>6.4997817057360838E-3</v>
      </c>
      <c r="H44" s="109">
        <f t="shared" si="16"/>
        <v>1.1161548253483258E-3</v>
      </c>
      <c r="I44" s="109">
        <f t="shared" si="16"/>
        <v>3.2453307491898771E-3</v>
      </c>
      <c r="J44" s="109">
        <f t="shared" si="16"/>
        <v>4.6472312427814534E-4</v>
      </c>
      <c r="K44" s="109">
        <f t="shared" si="16"/>
        <v>3.9859066471546034E-4</v>
      </c>
      <c r="L44" s="109">
        <f t="shared" si="16"/>
        <v>0</v>
      </c>
      <c r="M44" s="109">
        <f t="shared" si="16"/>
        <v>4.5703772058822752E-3</v>
      </c>
      <c r="N44" s="109">
        <f t="shared" si="16"/>
        <v>7.3959256346866438E-4</v>
      </c>
      <c r="O44" s="109">
        <f t="shared" si="16"/>
        <v>0</v>
      </c>
      <c r="P44" s="109">
        <f t="shared" si="16"/>
        <v>0</v>
      </c>
      <c r="Q44" s="109" t="e">
        <f t="shared" si="16"/>
        <v>#DIV/0!</v>
      </c>
      <c r="R44" s="109" t="e">
        <f t="shared" si="16"/>
        <v>#DIV/0!</v>
      </c>
      <c r="S44" s="109" t="e">
        <f t="shared" si="16"/>
        <v>#DIV/0!</v>
      </c>
      <c r="T44" s="109" t="e">
        <f t="shared" si="16"/>
        <v>#DIV/0!</v>
      </c>
      <c r="U44" s="109" t="e">
        <f t="shared" si="16"/>
        <v>#DIV/0!</v>
      </c>
      <c r="V44" s="109" t="e">
        <f t="shared" si="16"/>
        <v>#DIV/0!</v>
      </c>
      <c r="W44" s="109" t="e">
        <f t="shared" si="16"/>
        <v>#DIV/0!</v>
      </c>
      <c r="X44" s="109" t="e">
        <f t="shared" si="16"/>
        <v>#DIV/0!</v>
      </c>
      <c r="Y44" s="109" t="e">
        <f t="shared" si="16"/>
        <v>#DIV/0!</v>
      </c>
      <c r="Z44" s="109" t="e">
        <f t="shared" si="16"/>
        <v>#DIV/0!</v>
      </c>
      <c r="AA44" s="109" t="e">
        <f t="shared" si="16"/>
        <v>#DIV/0!</v>
      </c>
      <c r="AB44" s="109" t="e">
        <f t="shared" si="16"/>
        <v>#DIV/0!</v>
      </c>
      <c r="AC44" s="109" t="e">
        <f t="shared" si="16"/>
        <v>#DIV/0!</v>
      </c>
      <c r="AD44" s="109" t="e">
        <f t="shared" si="16"/>
        <v>#DIV/0!</v>
      </c>
      <c r="AE44" s="109" t="e">
        <f t="shared" si="16"/>
        <v>#DIV/0!</v>
      </c>
      <c r="AF44" s="109" t="e">
        <f t="shared" si="16"/>
        <v>#DIV/0!</v>
      </c>
      <c r="AG44" s="109" t="e">
        <f t="shared" si="16"/>
        <v>#DIV/0!</v>
      </c>
      <c r="AH44" s="109" t="e">
        <f t="shared" si="16"/>
        <v>#DIV/0!</v>
      </c>
      <c r="AI44" s="109" t="e">
        <f t="shared" si="16"/>
        <v>#DIV/0!</v>
      </c>
      <c r="AJ44" s="109" t="e">
        <f t="shared" si="16"/>
        <v>#DIV/0!</v>
      </c>
      <c r="AK44" s="109" t="e">
        <f t="shared" si="16"/>
        <v>#DIV/0!</v>
      </c>
      <c r="AL44" s="109" t="e">
        <f t="shared" si="16"/>
        <v>#DIV/0!</v>
      </c>
      <c r="AM44" s="109" t="e">
        <f t="shared" si="16"/>
        <v>#DIV/0!</v>
      </c>
      <c r="AN44" s="109" t="e">
        <f t="shared" si="16"/>
        <v>#DIV/0!</v>
      </c>
      <c r="AO44" s="109" t="e">
        <f t="shared" si="16"/>
        <v>#DIV/0!</v>
      </c>
      <c r="AP44" s="109" t="e">
        <f t="shared" si="16"/>
        <v>#DIV/0!</v>
      </c>
      <c r="AQ44" s="109" t="e">
        <f t="shared" si="16"/>
        <v>#DIV/0!</v>
      </c>
      <c r="AR44" s="109" t="e">
        <f t="shared" si="16"/>
        <v>#DIV/0!</v>
      </c>
      <c r="AS44" s="109" t="e">
        <f t="shared" si="16"/>
        <v>#DIV/0!</v>
      </c>
      <c r="AT44" s="109" t="e">
        <f t="shared" si="16"/>
        <v>#DIV/0!</v>
      </c>
      <c r="AU44" s="109" t="e">
        <f t="shared" si="16"/>
        <v>#DIV/0!</v>
      </c>
      <c r="AV44" s="109" t="e">
        <f t="shared" si="16"/>
        <v>#DIV/0!</v>
      </c>
      <c r="AW44" s="109" t="e">
        <f t="shared" si="16"/>
        <v>#DIV/0!</v>
      </c>
      <c r="AX44" s="109" t="e">
        <f t="shared" si="16"/>
        <v>#DIV/0!</v>
      </c>
      <c r="AY44" s="109" t="e">
        <f t="shared" si="16"/>
        <v>#DIV/0!</v>
      </c>
      <c r="AZ44" s="109" t="e">
        <f t="shared" si="16"/>
        <v>#DIV/0!</v>
      </c>
      <c r="BA44" s="109" t="e">
        <f t="shared" si="16"/>
        <v>#DIV/0!</v>
      </c>
      <c r="BB44" s="109" t="e">
        <f t="shared" si="16"/>
        <v>#DIV/0!</v>
      </c>
      <c r="BC44" s="109" t="e">
        <f t="shared" si="16"/>
        <v>#DIV/0!</v>
      </c>
      <c r="BD44" s="109" t="e">
        <f t="shared" si="16"/>
        <v>#DIV/0!</v>
      </c>
      <c r="BE44" s="109" t="e">
        <f t="shared" si="16"/>
        <v>#DIV/0!</v>
      </c>
      <c r="BF44" s="109" t="e">
        <f t="shared" si="16"/>
        <v>#DIV/0!</v>
      </c>
      <c r="BG44" s="109" t="e">
        <f t="shared" si="16"/>
        <v>#DIV/0!</v>
      </c>
      <c r="BH44" s="109" t="e">
        <f t="shared" si="16"/>
        <v>#DIV/0!</v>
      </c>
      <c r="BI44" s="109" t="e">
        <f t="shared" si="16"/>
        <v>#DIV/0!</v>
      </c>
      <c r="BJ44" s="109" t="e">
        <f t="shared" si="16"/>
        <v>#DIV/0!</v>
      </c>
      <c r="BK44" s="109" t="e">
        <f t="shared" si="16"/>
        <v>#DIV/0!</v>
      </c>
      <c r="BL44" s="109" t="e">
        <f t="shared" si="16"/>
        <v>#DIV/0!</v>
      </c>
      <c r="BM44" s="109" t="e">
        <f t="shared" si="16"/>
        <v>#DIV/0!</v>
      </c>
      <c r="BN44" s="109" t="e">
        <f t="shared" si="16"/>
        <v>#DIV/0!</v>
      </c>
      <c r="BO44" s="109" t="e">
        <f t="shared" si="16"/>
        <v>#DIV/0!</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78" t="s">
        <v>695</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696</v>
      </c>
      <c r="E46" s="57">
        <f>E43/资产资本表!E70</f>
        <v>0.32854873917419702</v>
      </c>
      <c r="F46" s="57">
        <f>F43/资产资本表!F70</f>
        <v>0.25868965347347045</v>
      </c>
      <c r="G46" s="57">
        <f>G43/资产资本表!G70</f>
        <v>0.36040540793175818</v>
      </c>
      <c r="H46" s="57">
        <f>H43/资产资本表!H70</f>
        <v>0.51913849111174948</v>
      </c>
      <c r="I46" s="57">
        <f>I43/资产资本表!I70</f>
        <v>0.4162377303961905</v>
      </c>
      <c r="J46" s="57">
        <f>J43/资产资本表!J70</f>
        <v>0.3109975324157303</v>
      </c>
      <c r="K46" s="57">
        <f>K43/资产资本表!K70</f>
        <v>0.24559791210781812</v>
      </c>
      <c r="L46" s="57">
        <f>L43/资产资本表!L70</f>
        <v>0.35829787789832579</v>
      </c>
      <c r="M46" s="57">
        <f>M43/资产资本表!M70</f>
        <v>0.24747755742914701</v>
      </c>
      <c r="N46" s="57">
        <f>N43/资产资本表!N70</f>
        <v>0.24396088058892268</v>
      </c>
      <c r="O46" s="57">
        <f>O43/资产资本表!O70</f>
        <v>0.39849469017989569</v>
      </c>
      <c r="P46" s="57">
        <f>P43/资产资本表!P70</f>
        <v>0.44894427174475343</v>
      </c>
      <c r="Q46" s="57" t="e">
        <f>Q43/资产资本表!Q70</f>
        <v>#DIV/0!</v>
      </c>
      <c r="R46" s="57" t="e">
        <f>R43/资产资本表!R70</f>
        <v>#DIV/0!</v>
      </c>
      <c r="S46" s="57" t="e">
        <f>S43/资产资本表!S70</f>
        <v>#DIV/0!</v>
      </c>
      <c r="T46" s="57" t="e">
        <f>T43/资产资本表!T70</f>
        <v>#DIV/0!</v>
      </c>
      <c r="U46" s="57" t="e">
        <f>U43/资产资本表!U70</f>
        <v>#DIV/0!</v>
      </c>
      <c r="V46" s="57" t="e">
        <f>V43/资产资本表!V70</f>
        <v>#DIV/0!</v>
      </c>
      <c r="W46" s="57" t="e">
        <f>W43/资产资本表!W70</f>
        <v>#DIV/0!</v>
      </c>
      <c r="X46" s="57" t="e">
        <f>X43/资产资本表!X70</f>
        <v>#DIV/0!</v>
      </c>
      <c r="Y46" s="57" t="e">
        <f>Y43/资产资本表!Y70</f>
        <v>#DIV/0!</v>
      </c>
      <c r="Z46" s="57" t="e">
        <f>Z43/资产资本表!Z70</f>
        <v>#DIV/0!</v>
      </c>
      <c r="AA46" s="57" t="e">
        <f>AA43/资产资本表!AA70</f>
        <v>#DIV/0!</v>
      </c>
      <c r="AB46" s="57" t="e">
        <f>AB43/资产资本表!AB70</f>
        <v>#DIV/0!</v>
      </c>
      <c r="AC46" s="57" t="e">
        <f>AC43/资产资本表!AC70</f>
        <v>#DIV/0!</v>
      </c>
      <c r="AD46" s="57" t="e">
        <f>AD43/资产资本表!AD70</f>
        <v>#DIV/0!</v>
      </c>
      <c r="AE46" s="57" t="e">
        <f>AE43/资产资本表!AE70</f>
        <v>#DIV/0!</v>
      </c>
      <c r="AF46" s="57" t="e">
        <f>AF43/资产资本表!AF70</f>
        <v>#DIV/0!</v>
      </c>
      <c r="AG46" s="57" t="e">
        <f>AG43/资产资本表!AG70</f>
        <v>#DIV/0!</v>
      </c>
      <c r="AH46" s="57" t="e">
        <f>AH43/资产资本表!AH70</f>
        <v>#DIV/0!</v>
      </c>
      <c r="AI46" s="57" t="e">
        <f>AI43/资产资本表!AI70</f>
        <v>#DIV/0!</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42004</v>
      </c>
      <c r="P48" s="1">
        <v>41639</v>
      </c>
      <c r="Q48" s="1">
        <v>41274</v>
      </c>
      <c r="R48" s="1">
        <v>40908</v>
      </c>
      <c r="S48" s="1">
        <v>25569</v>
      </c>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5" t="s">
        <v>463</v>
      </c>
      <c r="E49" s="75">
        <f>利润表!E4</f>
        <v>752408925.78999996</v>
      </c>
      <c r="F49" s="75">
        <f>利润表!F4</f>
        <v>525772942.17000002</v>
      </c>
      <c r="G49" s="75">
        <f>利润表!G4</f>
        <v>339770745.41000003</v>
      </c>
      <c r="H49" s="75">
        <f>利润表!H4</f>
        <v>153700781.78999999</v>
      </c>
      <c r="I49" s="75">
        <f>利润表!I4</f>
        <v>665011421.55999994</v>
      </c>
      <c r="J49" s="75">
        <f>利润表!J4</f>
        <v>454007921.24000001</v>
      </c>
      <c r="K49" s="75">
        <f>利润表!K4</f>
        <v>283257330.20999998</v>
      </c>
      <c r="L49" s="75">
        <f>利润表!L4</f>
        <v>124302689.18000001</v>
      </c>
      <c r="M49" s="75">
        <f>利润表!M4</f>
        <v>597037871.64999998</v>
      </c>
      <c r="N49" s="75">
        <f>利润表!N4</f>
        <v>409475329.64999998</v>
      </c>
      <c r="O49" s="75">
        <f>利润表!O4</f>
        <v>528809680.74000001</v>
      </c>
      <c r="P49" s="75">
        <f>利润表!P4</f>
        <v>484907942.22000003</v>
      </c>
      <c r="Q49" s="75">
        <f>利润表!Q4</f>
        <v>395593790.81</v>
      </c>
      <c r="R49" s="75">
        <f>利润表!R4</f>
        <v>316891515.43000001</v>
      </c>
      <c r="S49" s="75">
        <f>利润表!S4</f>
        <v>0</v>
      </c>
      <c r="T49" s="75">
        <f>利润表!T4</f>
        <v>0</v>
      </c>
      <c r="U49" s="75">
        <f>利润表!U4</f>
        <v>0</v>
      </c>
      <c r="V49" s="75">
        <f>利润表!V4</f>
        <v>0</v>
      </c>
      <c r="W49" s="75">
        <f>利润表!W4</f>
        <v>0</v>
      </c>
      <c r="X49" s="75">
        <f>利润表!X4</f>
        <v>0</v>
      </c>
      <c r="Y49" s="75">
        <f>利润表!Y4</f>
        <v>0</v>
      </c>
      <c r="Z49" s="75">
        <f>利润表!Z4</f>
        <v>0</v>
      </c>
      <c r="AA49" s="75">
        <f>利润表!AA4</f>
        <v>0</v>
      </c>
      <c r="AB49" s="75">
        <f>利润表!AB4</f>
        <v>0</v>
      </c>
      <c r="AC49" s="75">
        <f>利润表!AC4</f>
        <v>0</v>
      </c>
      <c r="AD49" s="75">
        <f>利润表!AD4</f>
        <v>0</v>
      </c>
      <c r="AE49" s="75">
        <f>利润表!AE4</f>
        <v>0</v>
      </c>
      <c r="AF49" s="75">
        <f>利润表!AF4</f>
        <v>0</v>
      </c>
      <c r="AG49" s="75">
        <f>利润表!AG4</f>
        <v>0</v>
      </c>
      <c r="AH49" s="75">
        <f>利润表!AH4</f>
        <v>0</v>
      </c>
      <c r="AI49" s="75">
        <f>利润表!AI4</f>
        <v>0</v>
      </c>
      <c r="AJ49" s="75">
        <f>利润表!AJ4</f>
        <v>0</v>
      </c>
      <c r="AK49" s="75">
        <f>利润表!AK4</f>
        <v>0</v>
      </c>
      <c r="AL49" s="75">
        <f>利润表!AL4</f>
        <v>0</v>
      </c>
      <c r="AM49" s="75">
        <f>利润表!AM4</f>
        <v>0</v>
      </c>
      <c r="AN49" s="75">
        <f>利润表!AN4</f>
        <v>0</v>
      </c>
      <c r="AO49" s="75">
        <f>利润表!AO4</f>
        <v>0</v>
      </c>
      <c r="AP49" s="75">
        <f>利润表!AP4</f>
        <v>0</v>
      </c>
      <c r="AQ49" s="75">
        <f>利润表!AQ4</f>
        <v>0</v>
      </c>
      <c r="AR49" s="75">
        <f>利润表!AR4</f>
        <v>0</v>
      </c>
      <c r="AS49" s="75">
        <f>利润表!AS4</f>
        <v>0</v>
      </c>
      <c r="AT49" s="75">
        <f>利润表!AT4</f>
        <v>0</v>
      </c>
      <c r="AU49" s="75">
        <f>利润表!AU4</f>
        <v>0</v>
      </c>
      <c r="AV49" s="75">
        <f>利润表!AV4</f>
        <v>0</v>
      </c>
      <c r="AW49" s="75">
        <f>利润表!AW4</f>
        <v>0</v>
      </c>
      <c r="AX49" s="75">
        <f>利润表!AX4</f>
        <v>0</v>
      </c>
      <c r="AY49" s="75">
        <f>利润表!AY4</f>
        <v>0</v>
      </c>
      <c r="AZ49" s="75">
        <f>利润表!AZ4</f>
        <v>0</v>
      </c>
      <c r="BA49" s="75">
        <f>利润表!BA4</f>
        <v>0</v>
      </c>
      <c r="BB49" s="75">
        <f>利润表!BB4</f>
        <v>0</v>
      </c>
      <c r="BC49" s="75">
        <f>利润表!BC4</f>
        <v>0</v>
      </c>
      <c r="BD49" s="75">
        <f>利润表!BD4</f>
        <v>0</v>
      </c>
      <c r="BE49" s="75">
        <f>利润表!BE4</f>
        <v>0</v>
      </c>
      <c r="BF49" s="75">
        <f>利润表!BF4</f>
        <v>0</v>
      </c>
      <c r="BG49" s="75">
        <f>利润表!BG4</f>
        <v>0</v>
      </c>
      <c r="BH49" s="75">
        <f>利润表!BH4</f>
        <v>0</v>
      </c>
      <c r="BI49" s="75">
        <f>利润表!BI4</f>
        <v>0</v>
      </c>
      <c r="BJ49" s="75">
        <f>利润表!BJ4</f>
        <v>0</v>
      </c>
      <c r="BK49" s="75">
        <f>利润表!BK4</f>
        <v>0</v>
      </c>
      <c r="BL49" s="75">
        <f>利润表!BL4</f>
        <v>0</v>
      </c>
      <c r="BM49" s="75">
        <f>利润表!BM4</f>
        <v>0</v>
      </c>
      <c r="BN49" s="75">
        <f>利润表!BN4</f>
        <v>0</v>
      </c>
      <c r="BO49" s="75">
        <f>利润表!BO4</f>
        <v>0</v>
      </c>
      <c r="BP49" s="75">
        <f>利润表!BP4</f>
        <v>0</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5" t="s">
        <v>464</v>
      </c>
      <c r="E50" s="75">
        <f>资产资本表!E50</f>
        <v>191971497.01999995</v>
      </c>
      <c r="F50" s="75">
        <f>资产资本表!F50</f>
        <v>314958716.34000003</v>
      </c>
      <c r="G50" s="75">
        <f>资产资本表!G50</f>
        <v>179942635.36999997</v>
      </c>
      <c r="H50" s="75">
        <f>资产资本表!H50</f>
        <v>46953509.559999973</v>
      </c>
      <c r="I50" s="75">
        <f>资产资本表!I50</f>
        <v>174160219.69000003</v>
      </c>
      <c r="J50" s="75">
        <f>资产资本表!J50</f>
        <v>-54243005.640000015</v>
      </c>
      <c r="K50" s="75">
        <f>资产资本表!K50</f>
        <v>-52081627.970000014</v>
      </c>
      <c r="L50" s="75">
        <f>资产资本表!L50</f>
        <v>-65944078.750000015</v>
      </c>
      <c r="M50" s="75">
        <f>资产资本表!M50</f>
        <v>-40591410.170000017</v>
      </c>
      <c r="N50" s="75">
        <f>资产资本表!N50</f>
        <v>-24105600.079999983</v>
      </c>
      <c r="O50" s="75">
        <f>资产资本表!O50</f>
        <v>17286619.160000011</v>
      </c>
      <c r="P50" s="75">
        <f>资产资本表!P50</f>
        <v>-393556.98000000417</v>
      </c>
      <c r="Q50" s="75">
        <f>资产资本表!Q50</f>
        <v>0</v>
      </c>
      <c r="R50" s="75">
        <f>资产资本表!R50</f>
        <v>0</v>
      </c>
      <c r="S50" s="75">
        <f>资产资本表!S50</f>
        <v>0</v>
      </c>
      <c r="T50" s="75">
        <f>资产资本表!T50</f>
        <v>0</v>
      </c>
      <c r="U50" s="75">
        <f>资产资本表!U50</f>
        <v>0</v>
      </c>
      <c r="V50" s="75">
        <f>资产资本表!V50</f>
        <v>0</v>
      </c>
      <c r="W50" s="75">
        <f>资产资本表!W50</f>
        <v>0</v>
      </c>
      <c r="X50" s="75">
        <f>资产资本表!X50</f>
        <v>0</v>
      </c>
      <c r="Y50" s="75">
        <f>资产资本表!Y50</f>
        <v>0</v>
      </c>
      <c r="Z50" s="75">
        <f>资产资本表!Z50</f>
        <v>0</v>
      </c>
      <c r="AA50" s="75">
        <f>资产资本表!AA50</f>
        <v>0</v>
      </c>
      <c r="AB50" s="75">
        <f>资产资本表!AB50</f>
        <v>0</v>
      </c>
      <c r="AC50" s="75">
        <f>资产资本表!AC50</f>
        <v>0</v>
      </c>
      <c r="AD50" s="75">
        <f>资产资本表!AD50</f>
        <v>0</v>
      </c>
      <c r="AE50" s="75">
        <f>资产资本表!AE50</f>
        <v>0</v>
      </c>
      <c r="AF50" s="75">
        <f>资产资本表!AF50</f>
        <v>0</v>
      </c>
      <c r="AG50" s="75">
        <f>资产资本表!AG50</f>
        <v>0</v>
      </c>
      <c r="AH50" s="75">
        <f>资产资本表!AH50</f>
        <v>0</v>
      </c>
      <c r="AI50" s="75">
        <f>资产资本表!AI50</f>
        <v>0</v>
      </c>
      <c r="AJ50" s="75">
        <f>资产资本表!AJ50</f>
        <v>0</v>
      </c>
      <c r="AK50" s="75">
        <f>资产资本表!AK50</f>
        <v>0</v>
      </c>
      <c r="AL50" s="75">
        <f>资产资本表!AL50</f>
        <v>0</v>
      </c>
      <c r="AM50" s="75">
        <f>资产资本表!AM50</f>
        <v>0</v>
      </c>
      <c r="AN50" s="75">
        <f>资产资本表!AN50</f>
        <v>0</v>
      </c>
      <c r="AO50" s="75">
        <f>资产资本表!AO50</f>
        <v>0</v>
      </c>
      <c r="AP50" s="75">
        <f>资产资本表!AP50</f>
        <v>0</v>
      </c>
      <c r="AQ50" s="75">
        <f>资产资本表!AQ50</f>
        <v>0</v>
      </c>
      <c r="AR50" s="75">
        <f>资产资本表!AR50</f>
        <v>0</v>
      </c>
      <c r="AS50" s="75">
        <f>资产资本表!AS50</f>
        <v>0</v>
      </c>
      <c r="AT50" s="75">
        <f>资产资本表!AT50</f>
        <v>0</v>
      </c>
      <c r="AU50" s="75">
        <f>资产资本表!AU50</f>
        <v>0</v>
      </c>
      <c r="AV50" s="75">
        <f>资产资本表!AV50</f>
        <v>0</v>
      </c>
      <c r="AW50" s="75">
        <f>资产资本表!AW50</f>
        <v>0</v>
      </c>
      <c r="AX50" s="75">
        <f>资产资本表!AX50</f>
        <v>0</v>
      </c>
      <c r="AY50" s="75">
        <f>资产资本表!AY50</f>
        <v>0</v>
      </c>
      <c r="AZ50" s="75">
        <f>资产资本表!AZ50</f>
        <v>0</v>
      </c>
      <c r="BA50" s="75">
        <f>资产资本表!BA50</f>
        <v>0</v>
      </c>
      <c r="BB50" s="75">
        <f>资产资本表!BB50</f>
        <v>0</v>
      </c>
      <c r="BC50" s="75">
        <f>资产资本表!BC50</f>
        <v>0</v>
      </c>
      <c r="BD50" s="75">
        <f>资产资本表!BD50</f>
        <v>0</v>
      </c>
      <c r="BE50" s="75">
        <f>资产资本表!BE50</f>
        <v>0</v>
      </c>
      <c r="BF50" s="75">
        <f>资产资本表!BF50</f>
        <v>0</v>
      </c>
      <c r="BG50" s="75">
        <f>资产资本表!BG50</f>
        <v>0</v>
      </c>
      <c r="BH50" s="75">
        <f>资产资本表!BH50</f>
        <v>0</v>
      </c>
      <c r="BI50" s="75">
        <f>资产资本表!BI50</f>
        <v>0</v>
      </c>
      <c r="BJ50" s="75">
        <f>资产资本表!BJ50</f>
        <v>0</v>
      </c>
      <c r="BK50" s="75">
        <f>资产资本表!BK50</f>
        <v>0</v>
      </c>
      <c r="BL50" s="75">
        <f>资产资本表!BL50</f>
        <v>0</v>
      </c>
      <c r="BM50" s="75">
        <f>资产资本表!BM50</f>
        <v>0</v>
      </c>
      <c r="BN50" s="75">
        <f>资产资本表!BN50</f>
        <v>0</v>
      </c>
      <c r="BO50" s="75">
        <f>资产资本表!BO50</f>
        <v>0</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1" t="s">
        <v>465</v>
      </c>
      <c r="E51" s="44">
        <f>E49/E50</f>
        <v>3.9193783320427644</v>
      </c>
      <c r="F51" s="44">
        <f t="shared" ref="F51:BQ51" si="18">F49/F50</f>
        <v>1.6693392336614195</v>
      </c>
      <c r="G51" s="44">
        <f t="shared" si="18"/>
        <v>1.888217012668286</v>
      </c>
      <c r="H51" s="44">
        <f t="shared" si="18"/>
        <v>3.2734673772062135</v>
      </c>
      <c r="I51" s="44">
        <f t="shared" si="18"/>
        <v>3.8183887385058446</v>
      </c>
      <c r="J51" s="44">
        <f t="shared" si="18"/>
        <v>-8.3698887235924904</v>
      </c>
      <c r="K51" s="44">
        <f t="shared" si="18"/>
        <v>-5.438718819871788</v>
      </c>
      <c r="L51" s="44">
        <f t="shared" si="18"/>
        <v>-1.8849711988735605</v>
      </c>
      <c r="M51" s="44">
        <f t="shared" si="18"/>
        <v>-14.708478201411541</v>
      </c>
      <c r="N51" s="44">
        <f t="shared" si="18"/>
        <v>-16.986730398374728</v>
      </c>
      <c r="O51" s="44">
        <f t="shared" si="18"/>
        <v>30.590694215305408</v>
      </c>
      <c r="P51" s="44">
        <f t="shared" si="18"/>
        <v>-1232.1162293195634</v>
      </c>
      <c r="Q51" s="44" t="e">
        <f t="shared" si="18"/>
        <v>#DIV/0!</v>
      </c>
      <c r="R51" s="44" t="e">
        <f t="shared" si="18"/>
        <v>#DIV/0!</v>
      </c>
      <c r="S51" s="44" t="e">
        <f t="shared" si="18"/>
        <v>#DIV/0!</v>
      </c>
      <c r="T51" s="44" t="e">
        <f t="shared" si="18"/>
        <v>#DIV/0!</v>
      </c>
      <c r="U51" s="44" t="e">
        <f t="shared" si="18"/>
        <v>#DIV/0!</v>
      </c>
      <c r="V51" s="44" t="e">
        <f t="shared" si="18"/>
        <v>#DIV/0!</v>
      </c>
      <c r="W51" s="44" t="e">
        <f t="shared" si="18"/>
        <v>#DIV/0!</v>
      </c>
      <c r="X51" s="44" t="e">
        <f t="shared" si="18"/>
        <v>#DIV/0!</v>
      </c>
      <c r="Y51" s="44" t="e">
        <f t="shared" si="18"/>
        <v>#DIV/0!</v>
      </c>
      <c r="Z51" s="44" t="e">
        <f t="shared" si="18"/>
        <v>#DIV/0!</v>
      </c>
      <c r="AA51" s="44" t="e">
        <f t="shared" si="18"/>
        <v>#DIV/0!</v>
      </c>
      <c r="AB51" s="44" t="e">
        <f t="shared" si="18"/>
        <v>#DIV/0!</v>
      </c>
      <c r="AC51" s="44" t="e">
        <f t="shared" si="18"/>
        <v>#DIV/0!</v>
      </c>
      <c r="AD51" s="44" t="e">
        <f t="shared" si="18"/>
        <v>#DIV/0!</v>
      </c>
      <c r="AE51" s="44" t="e">
        <f t="shared" si="18"/>
        <v>#DIV/0!</v>
      </c>
      <c r="AF51" s="44" t="e">
        <f t="shared" si="18"/>
        <v>#DIV/0!</v>
      </c>
      <c r="AG51" s="44" t="e">
        <f t="shared" si="18"/>
        <v>#DIV/0!</v>
      </c>
      <c r="AH51" s="44" t="e">
        <f t="shared" si="18"/>
        <v>#DIV/0!</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5" t="s">
        <v>466</v>
      </c>
      <c r="E52" s="75">
        <f>资产资本表!E68</f>
        <v>510192738.41999996</v>
      </c>
      <c r="F52" s="75">
        <f>资产资本表!F68</f>
        <v>466628191.19</v>
      </c>
      <c r="G52" s="75">
        <f>资产资本表!G68</f>
        <v>460689590.17999995</v>
      </c>
      <c r="H52" s="75">
        <f>资产资本表!H68</f>
        <v>456027228.91999996</v>
      </c>
      <c r="I52" s="75">
        <f>资产资本表!I68</f>
        <v>445835844.24999994</v>
      </c>
      <c r="J52" s="75">
        <f>资产资本表!J68</f>
        <v>438494729.19999999</v>
      </c>
      <c r="K52" s="75">
        <f>资产资本表!K68</f>
        <v>438388144.12</v>
      </c>
      <c r="L52" s="75">
        <f>资产资本表!L68</f>
        <v>430710674</v>
      </c>
      <c r="M52" s="75">
        <f>资产资本表!M68</f>
        <v>409619889.18999994</v>
      </c>
      <c r="N52" s="75">
        <f>资产资本表!N68</f>
        <v>399236290.46000004</v>
      </c>
      <c r="O52" s="75">
        <f>资产资本表!O68</f>
        <v>180021943.97000003</v>
      </c>
      <c r="P52" s="75">
        <f>资产资本表!P68</f>
        <v>130281770.53</v>
      </c>
      <c r="Q52" s="75">
        <f>资产资本表!Q68</f>
        <v>0</v>
      </c>
      <c r="R52" s="75">
        <f>资产资本表!R68</f>
        <v>0</v>
      </c>
      <c r="S52" s="75">
        <f>资产资本表!S68</f>
        <v>0</v>
      </c>
      <c r="T52" s="75">
        <f>资产资本表!T68</f>
        <v>0</v>
      </c>
      <c r="U52" s="75">
        <f>资产资本表!U68</f>
        <v>0</v>
      </c>
      <c r="V52" s="75">
        <f>资产资本表!V68</f>
        <v>0</v>
      </c>
      <c r="W52" s="75">
        <f>资产资本表!W68</f>
        <v>0</v>
      </c>
      <c r="X52" s="75">
        <f>资产资本表!X68</f>
        <v>0</v>
      </c>
      <c r="Y52" s="75">
        <f>资产资本表!Y68</f>
        <v>0</v>
      </c>
      <c r="Z52" s="75">
        <f>资产资本表!Z68</f>
        <v>0</v>
      </c>
      <c r="AA52" s="75">
        <f>资产资本表!AA68</f>
        <v>0</v>
      </c>
      <c r="AB52" s="75">
        <f>资产资本表!AB68</f>
        <v>0</v>
      </c>
      <c r="AC52" s="75">
        <f>资产资本表!AC68</f>
        <v>0</v>
      </c>
      <c r="AD52" s="75">
        <f>资产资本表!AD68</f>
        <v>0</v>
      </c>
      <c r="AE52" s="75">
        <f>资产资本表!AE68</f>
        <v>0</v>
      </c>
      <c r="AF52" s="75">
        <f>资产资本表!AF68</f>
        <v>0</v>
      </c>
      <c r="AG52" s="75">
        <f>资产资本表!AG68</f>
        <v>0</v>
      </c>
      <c r="AH52" s="75">
        <f>资产资本表!AH68</f>
        <v>0</v>
      </c>
      <c r="AI52" s="75">
        <f>资产资本表!AI68</f>
        <v>0</v>
      </c>
      <c r="AJ52" s="75">
        <f>资产资本表!AJ68</f>
        <v>0</v>
      </c>
      <c r="AK52" s="75">
        <f>资产资本表!AK68</f>
        <v>0</v>
      </c>
      <c r="AL52" s="75">
        <f>资产资本表!AL68</f>
        <v>0</v>
      </c>
      <c r="AM52" s="75">
        <f>资产资本表!AM68</f>
        <v>0</v>
      </c>
      <c r="AN52" s="75">
        <f>资产资本表!AN68</f>
        <v>0</v>
      </c>
      <c r="AO52" s="75">
        <f>资产资本表!AO68</f>
        <v>0</v>
      </c>
      <c r="AP52" s="75">
        <f>资产资本表!AP68</f>
        <v>0</v>
      </c>
      <c r="AQ52" s="75">
        <f>资产资本表!AQ68</f>
        <v>0</v>
      </c>
      <c r="AR52" s="75">
        <f>资产资本表!AR68</f>
        <v>0</v>
      </c>
      <c r="AS52" s="75">
        <f>资产资本表!AS68</f>
        <v>0</v>
      </c>
      <c r="AT52" s="75">
        <f>资产资本表!AT68</f>
        <v>0</v>
      </c>
      <c r="AU52" s="75">
        <f>资产资本表!AU68</f>
        <v>0</v>
      </c>
      <c r="AV52" s="75">
        <f>资产资本表!AV68</f>
        <v>0</v>
      </c>
      <c r="AW52" s="75">
        <f>资产资本表!AW68</f>
        <v>0</v>
      </c>
      <c r="AX52" s="75">
        <f>资产资本表!AX68</f>
        <v>0</v>
      </c>
      <c r="AY52" s="75">
        <f>资产资本表!AY68</f>
        <v>0</v>
      </c>
      <c r="AZ52" s="75">
        <f>资产资本表!AZ68</f>
        <v>0</v>
      </c>
      <c r="BA52" s="75">
        <f>资产资本表!BA68</f>
        <v>0</v>
      </c>
      <c r="BB52" s="75">
        <f>资产资本表!BB68</f>
        <v>0</v>
      </c>
      <c r="BC52" s="75">
        <f>资产资本表!BC68</f>
        <v>0</v>
      </c>
      <c r="BD52" s="75">
        <f>资产资本表!BD68</f>
        <v>0</v>
      </c>
      <c r="BE52" s="75">
        <f>资产资本表!BE68</f>
        <v>0</v>
      </c>
      <c r="BF52" s="75">
        <f>资产资本表!BF68</f>
        <v>0</v>
      </c>
      <c r="BG52" s="75">
        <f>资产资本表!BG68</f>
        <v>0</v>
      </c>
      <c r="BH52" s="75">
        <f>资产资本表!BH68</f>
        <v>0</v>
      </c>
      <c r="BI52" s="75">
        <f>资产资本表!BI68</f>
        <v>0</v>
      </c>
      <c r="BJ52" s="75">
        <f>资产资本表!BJ68</f>
        <v>0</v>
      </c>
      <c r="BK52" s="75">
        <f>资产资本表!BK68</f>
        <v>0</v>
      </c>
      <c r="BL52" s="75">
        <f>资产资本表!BL68</f>
        <v>0</v>
      </c>
      <c r="BM52" s="75">
        <f>资产资本表!BM68</f>
        <v>0</v>
      </c>
      <c r="BN52" s="75">
        <f>资产资本表!BN68</f>
        <v>0</v>
      </c>
      <c r="BO52" s="75">
        <f>资产资本表!BO68</f>
        <v>0</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1" t="s">
        <v>467</v>
      </c>
      <c r="E53" s="44">
        <f>E49/E52</f>
        <v>1.4747542823132131</v>
      </c>
      <c r="F53" s="44">
        <f t="shared" ref="F53:BQ53" si="20">F49/F52</f>
        <v>1.126749202248515</v>
      </c>
      <c r="G53" s="44">
        <f t="shared" si="20"/>
        <v>0.73752642267702495</v>
      </c>
      <c r="H53" s="44">
        <f t="shared" si="20"/>
        <v>0.33704299226606804</v>
      </c>
      <c r="I53" s="44">
        <f t="shared" si="20"/>
        <v>1.4916060028298186</v>
      </c>
      <c r="J53" s="44">
        <f t="shared" si="20"/>
        <v>1.0353782862300367</v>
      </c>
      <c r="K53" s="44">
        <f t="shared" si="20"/>
        <v>0.64613364665369222</v>
      </c>
      <c r="L53" s="44">
        <f t="shared" si="20"/>
        <v>0.28859904498210787</v>
      </c>
      <c r="M53" s="44">
        <f t="shared" si="20"/>
        <v>1.4575412166401598</v>
      </c>
      <c r="N53" s="44">
        <f t="shared" si="20"/>
        <v>1.0256465642895403</v>
      </c>
      <c r="O53" s="44">
        <f t="shared" si="20"/>
        <v>2.9374734495041568</v>
      </c>
      <c r="P53" s="44">
        <f t="shared" si="20"/>
        <v>3.721993800416922</v>
      </c>
      <c r="Q53" s="44" t="e">
        <f t="shared" si="20"/>
        <v>#DIV/0!</v>
      </c>
      <c r="R53" s="44" t="e">
        <f t="shared" si="20"/>
        <v>#DIV/0!</v>
      </c>
      <c r="S53" s="44" t="e">
        <f t="shared" si="20"/>
        <v>#DIV/0!</v>
      </c>
      <c r="T53" s="44" t="e">
        <f t="shared" si="20"/>
        <v>#DIV/0!</v>
      </c>
      <c r="U53" s="44" t="e">
        <f t="shared" si="20"/>
        <v>#DIV/0!</v>
      </c>
      <c r="V53" s="44" t="e">
        <f t="shared" si="20"/>
        <v>#DIV/0!</v>
      </c>
      <c r="W53" s="44" t="e">
        <f t="shared" si="20"/>
        <v>#DIV/0!</v>
      </c>
      <c r="X53" s="44" t="e">
        <f t="shared" si="20"/>
        <v>#DIV/0!</v>
      </c>
      <c r="Y53" s="44" t="e">
        <f t="shared" si="20"/>
        <v>#DIV/0!</v>
      </c>
      <c r="Z53" s="44" t="e">
        <f t="shared" si="20"/>
        <v>#DIV/0!</v>
      </c>
      <c r="AA53" s="44" t="e">
        <f t="shared" si="20"/>
        <v>#DIV/0!</v>
      </c>
      <c r="AB53" s="44" t="e">
        <f t="shared" si="20"/>
        <v>#DIV/0!</v>
      </c>
      <c r="AC53" s="44" t="e">
        <f t="shared" si="20"/>
        <v>#DIV/0!</v>
      </c>
      <c r="AD53" s="44" t="e">
        <f t="shared" si="20"/>
        <v>#DIV/0!</v>
      </c>
      <c r="AE53" s="44" t="e">
        <f t="shared" si="20"/>
        <v>#DIV/0!</v>
      </c>
      <c r="AF53" s="44" t="e">
        <f t="shared" si="20"/>
        <v>#DIV/0!</v>
      </c>
      <c r="AG53" s="44" t="e">
        <f t="shared" si="20"/>
        <v>#DIV/0!</v>
      </c>
      <c r="AH53" s="44" t="e">
        <f t="shared" si="20"/>
        <v>#DIV/0!</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5" t="s">
        <v>468</v>
      </c>
      <c r="E54" s="75">
        <f>资产资本表!E17</f>
        <v>359724222.34000003</v>
      </c>
      <c r="F54" s="75">
        <f>资产资本表!F17</f>
        <v>272744670.59000003</v>
      </c>
      <c r="G54" s="75">
        <f>资产资本表!G17</f>
        <v>360990104.43000001</v>
      </c>
      <c r="H54" s="75">
        <f>资产资本表!H17</f>
        <v>543018430.06000006</v>
      </c>
      <c r="I54" s="75">
        <f>资产资本表!I17</f>
        <v>442073371.21000004</v>
      </c>
      <c r="J54" s="75">
        <f>资产资本表!J17</f>
        <v>173441088.34999999</v>
      </c>
      <c r="K54" s="75">
        <f>资产资本表!K17</f>
        <v>125763270.44</v>
      </c>
      <c r="L54" s="75">
        <f>资产资本表!L17</f>
        <v>203669416.86000001</v>
      </c>
      <c r="M54" s="75">
        <f>资产资本表!M17</f>
        <v>121360190</v>
      </c>
      <c r="N54" s="75">
        <f>资产资本表!N17</f>
        <v>121048251.62</v>
      </c>
      <c r="O54" s="75">
        <f>资产资本表!O17</f>
        <v>131378573.28</v>
      </c>
      <c r="P54" s="75">
        <f>资产资本表!P17</f>
        <v>106634430.42</v>
      </c>
      <c r="Q54" s="75">
        <f>资产资本表!Q17</f>
        <v>0</v>
      </c>
      <c r="R54" s="75">
        <f>资产资本表!R17</f>
        <v>0</v>
      </c>
      <c r="S54" s="75">
        <f>资产资本表!S17</f>
        <v>0</v>
      </c>
      <c r="T54" s="75">
        <f>资产资本表!T17</f>
        <v>0</v>
      </c>
      <c r="U54" s="75">
        <f>资产资本表!U17</f>
        <v>0</v>
      </c>
      <c r="V54" s="75">
        <f>资产资本表!V17</f>
        <v>0</v>
      </c>
      <c r="W54" s="75">
        <f>资产资本表!W17</f>
        <v>0</v>
      </c>
      <c r="X54" s="75">
        <f>资产资本表!X17</f>
        <v>0</v>
      </c>
      <c r="Y54" s="75">
        <f>资产资本表!Y17</f>
        <v>0</v>
      </c>
      <c r="Z54" s="75">
        <f>资产资本表!Z17</f>
        <v>0</v>
      </c>
      <c r="AA54" s="75">
        <f>资产资本表!AA17</f>
        <v>0</v>
      </c>
      <c r="AB54" s="75">
        <f>资产资本表!AB17</f>
        <v>0</v>
      </c>
      <c r="AC54" s="75">
        <f>资产资本表!AC17</f>
        <v>0</v>
      </c>
      <c r="AD54" s="75">
        <f>资产资本表!AD17</f>
        <v>0</v>
      </c>
      <c r="AE54" s="75">
        <f>资产资本表!AE17</f>
        <v>0</v>
      </c>
      <c r="AF54" s="75">
        <f>资产资本表!AF17</f>
        <v>0</v>
      </c>
      <c r="AG54" s="75">
        <f>资产资本表!AG17</f>
        <v>0</v>
      </c>
      <c r="AH54" s="75">
        <f>资产资本表!AH17</f>
        <v>0</v>
      </c>
      <c r="AI54" s="75">
        <f>资产资本表!AI17</f>
        <v>0</v>
      </c>
      <c r="AJ54" s="75">
        <f>资产资本表!AJ17</f>
        <v>0</v>
      </c>
      <c r="AK54" s="75">
        <f>资产资本表!AK17</f>
        <v>0</v>
      </c>
      <c r="AL54" s="75">
        <f>资产资本表!AL17</f>
        <v>0</v>
      </c>
      <c r="AM54" s="75">
        <f>资产资本表!AM17</f>
        <v>0</v>
      </c>
      <c r="AN54" s="75">
        <f>资产资本表!AN17</f>
        <v>0</v>
      </c>
      <c r="AO54" s="75">
        <f>资产资本表!AO17</f>
        <v>0</v>
      </c>
      <c r="AP54" s="75">
        <f>资产资本表!AP17</f>
        <v>0</v>
      </c>
      <c r="AQ54" s="75">
        <f>资产资本表!AQ17</f>
        <v>0</v>
      </c>
      <c r="AR54" s="75">
        <f>资产资本表!AR17</f>
        <v>0</v>
      </c>
      <c r="AS54" s="75">
        <f>资产资本表!AS17</f>
        <v>0</v>
      </c>
      <c r="AT54" s="75">
        <f>资产资本表!AT17</f>
        <v>0</v>
      </c>
      <c r="AU54" s="75">
        <f>资产资本表!AU17</f>
        <v>0</v>
      </c>
      <c r="AV54" s="75">
        <f>资产资本表!AV17</f>
        <v>0</v>
      </c>
      <c r="AW54" s="75">
        <f>资产资本表!AW17</f>
        <v>0</v>
      </c>
      <c r="AX54" s="75">
        <f>资产资本表!AX17</f>
        <v>0</v>
      </c>
      <c r="AY54" s="75">
        <f>资产资本表!AY17</f>
        <v>0</v>
      </c>
      <c r="AZ54" s="75">
        <f>资产资本表!AZ17</f>
        <v>0</v>
      </c>
      <c r="BA54" s="75">
        <f>资产资本表!BA17</f>
        <v>0</v>
      </c>
      <c r="BB54" s="75">
        <f>资产资本表!BB17</f>
        <v>0</v>
      </c>
      <c r="BC54" s="75">
        <f>资产资本表!BC17</f>
        <v>0</v>
      </c>
      <c r="BD54" s="75">
        <f>资产资本表!BD17</f>
        <v>0</v>
      </c>
      <c r="BE54" s="75">
        <f>资产资本表!BE17</f>
        <v>0</v>
      </c>
      <c r="BF54" s="75">
        <f>资产资本表!BF17</f>
        <v>0</v>
      </c>
      <c r="BG54" s="75">
        <f>资产资本表!BG17</f>
        <v>0</v>
      </c>
      <c r="BH54" s="75">
        <f>资产资本表!BH17</f>
        <v>0</v>
      </c>
      <c r="BI54" s="75">
        <f>资产资本表!BI17</f>
        <v>0</v>
      </c>
      <c r="BJ54" s="75">
        <f>资产资本表!BJ17</f>
        <v>0</v>
      </c>
      <c r="BK54" s="75">
        <f>资产资本表!BK17</f>
        <v>0</v>
      </c>
      <c r="BL54" s="75">
        <f>资产资本表!BL17</f>
        <v>0</v>
      </c>
      <c r="BM54" s="75">
        <f>资产资本表!BM17</f>
        <v>0</v>
      </c>
      <c r="BN54" s="75">
        <f>资产资本表!BN17</f>
        <v>0</v>
      </c>
      <c r="BO54" s="75">
        <f>资产资本表!BO17</f>
        <v>0</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1" t="s">
        <v>469</v>
      </c>
      <c r="E55" s="44">
        <f>E49/E54</f>
        <v>2.0916270828124737</v>
      </c>
      <c r="F55" s="44">
        <f t="shared" ref="F55:BQ55" si="22">F49/F54</f>
        <v>1.92771114842556</v>
      </c>
      <c r="G55" s="44">
        <f t="shared" si="22"/>
        <v>0.94121900085459365</v>
      </c>
      <c r="H55" s="44">
        <f t="shared" si="22"/>
        <v>0.28304892298594181</v>
      </c>
      <c r="I55" s="44">
        <f t="shared" si="22"/>
        <v>1.5043010162313004</v>
      </c>
      <c r="J55" s="44">
        <f t="shared" si="22"/>
        <v>2.6176491715955033</v>
      </c>
      <c r="K55" s="44">
        <f t="shared" si="22"/>
        <v>2.2523056948104601</v>
      </c>
      <c r="L55" s="44">
        <f t="shared" si="22"/>
        <v>0.61031592811720092</v>
      </c>
      <c r="M55" s="44">
        <f t="shared" si="22"/>
        <v>4.9195528752056168</v>
      </c>
      <c r="N55" s="44">
        <f t="shared" si="22"/>
        <v>3.3827446837930624</v>
      </c>
      <c r="O55" s="44">
        <f t="shared" si="22"/>
        <v>4.0250831436034602</v>
      </c>
      <c r="P55" s="44">
        <f t="shared" si="22"/>
        <v>4.5473862457941383</v>
      </c>
      <c r="Q55" s="44" t="e">
        <f t="shared" si="22"/>
        <v>#DIV/0!</v>
      </c>
      <c r="R55" s="44" t="e">
        <f t="shared" si="22"/>
        <v>#DIV/0!</v>
      </c>
      <c r="S55" s="44" t="e">
        <f t="shared" si="22"/>
        <v>#DIV/0!</v>
      </c>
      <c r="T55" s="44" t="e">
        <f t="shared" si="22"/>
        <v>#DIV/0!</v>
      </c>
      <c r="U55" s="44" t="e">
        <f t="shared" si="22"/>
        <v>#DIV/0!</v>
      </c>
      <c r="V55" s="44" t="e">
        <f t="shared" si="22"/>
        <v>#DIV/0!</v>
      </c>
      <c r="W55" s="44" t="e">
        <f t="shared" si="22"/>
        <v>#DIV/0!</v>
      </c>
      <c r="X55" s="44" t="e">
        <f t="shared" si="22"/>
        <v>#DIV/0!</v>
      </c>
      <c r="Y55" s="44" t="e">
        <f t="shared" si="22"/>
        <v>#DIV/0!</v>
      </c>
      <c r="Z55" s="44" t="e">
        <f t="shared" si="22"/>
        <v>#DIV/0!</v>
      </c>
      <c r="AA55" s="44" t="e">
        <f t="shared" si="22"/>
        <v>#DIV/0!</v>
      </c>
      <c r="AB55" s="44" t="e">
        <f t="shared" si="22"/>
        <v>#DIV/0!</v>
      </c>
      <c r="AC55" s="44" t="e">
        <f t="shared" si="22"/>
        <v>#DIV/0!</v>
      </c>
      <c r="AD55" s="44" t="e">
        <f t="shared" si="22"/>
        <v>#DIV/0!</v>
      </c>
      <c r="AE55" s="44" t="e">
        <f t="shared" si="22"/>
        <v>#DIV/0!</v>
      </c>
      <c r="AF55" s="44" t="e">
        <f t="shared" si="22"/>
        <v>#DIV/0!</v>
      </c>
      <c r="AG55" s="44" t="e">
        <f t="shared" si="22"/>
        <v>#DIV/0!</v>
      </c>
      <c r="AH55" s="44" t="e">
        <f t="shared" si="22"/>
        <v>#DIV/0!</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5" t="s">
        <v>443</v>
      </c>
      <c r="E56" s="75">
        <f>资产资本表!E19</f>
        <v>33000000</v>
      </c>
      <c r="F56" s="75">
        <f>资产资本表!F19</f>
        <v>0</v>
      </c>
      <c r="G56" s="75">
        <f>资产资本表!G19</f>
        <v>0</v>
      </c>
      <c r="H56" s="75">
        <f>资产资本表!H19</f>
        <v>0</v>
      </c>
      <c r="I56" s="75">
        <f>资产资本表!I19</f>
        <v>0</v>
      </c>
      <c r="J56" s="75">
        <f>资产资本表!J19</f>
        <v>0</v>
      </c>
      <c r="K56" s="75">
        <f>资产资本表!K19</f>
        <v>0</v>
      </c>
      <c r="L56" s="75">
        <f>资产资本表!L19</f>
        <v>0</v>
      </c>
      <c r="M56" s="75">
        <f>资产资本表!M19</f>
        <v>0</v>
      </c>
      <c r="N56" s="75">
        <f>资产资本表!N19</f>
        <v>0</v>
      </c>
      <c r="O56" s="75">
        <f>资产资本表!O19</f>
        <v>1000000</v>
      </c>
      <c r="P56" s="75">
        <f>资产资本表!P19</f>
        <v>1000000</v>
      </c>
      <c r="Q56" s="75">
        <f>资产资本表!Q19</f>
        <v>0</v>
      </c>
      <c r="R56" s="75">
        <f>资产资本表!R19</f>
        <v>0</v>
      </c>
      <c r="S56" s="75">
        <f>资产资本表!S19</f>
        <v>0</v>
      </c>
      <c r="T56" s="75">
        <f>资产资本表!T19</f>
        <v>0</v>
      </c>
      <c r="U56" s="75">
        <f>资产资本表!U19</f>
        <v>0</v>
      </c>
      <c r="V56" s="75">
        <f>资产资本表!V19</f>
        <v>0</v>
      </c>
      <c r="W56" s="75">
        <f>资产资本表!W19</f>
        <v>0</v>
      </c>
      <c r="X56" s="75">
        <f>资产资本表!X19</f>
        <v>0</v>
      </c>
      <c r="Y56" s="75">
        <f>资产资本表!Y19</f>
        <v>0</v>
      </c>
      <c r="Z56" s="75">
        <f>资产资本表!Z19</f>
        <v>0</v>
      </c>
      <c r="AA56" s="75">
        <f>资产资本表!AA19</f>
        <v>0</v>
      </c>
      <c r="AB56" s="75">
        <f>资产资本表!AB19</f>
        <v>0</v>
      </c>
      <c r="AC56" s="75">
        <f>资产资本表!AC19</f>
        <v>0</v>
      </c>
      <c r="AD56" s="75">
        <f>资产资本表!AD19</f>
        <v>0</v>
      </c>
      <c r="AE56" s="75">
        <f>资产资本表!AE19</f>
        <v>0</v>
      </c>
      <c r="AF56" s="75">
        <f>资产资本表!AF19</f>
        <v>0</v>
      </c>
      <c r="AG56" s="75">
        <f>资产资本表!AG19</f>
        <v>0</v>
      </c>
      <c r="AH56" s="75">
        <f>资产资本表!AH19</f>
        <v>0</v>
      </c>
      <c r="AI56" s="75">
        <f>资产资本表!AI19</f>
        <v>0</v>
      </c>
      <c r="AJ56" s="75">
        <f>资产资本表!AJ19</f>
        <v>0</v>
      </c>
      <c r="AK56" s="75">
        <f>资产资本表!AK19</f>
        <v>0</v>
      </c>
      <c r="AL56" s="75">
        <f>资产资本表!AL19</f>
        <v>0</v>
      </c>
      <c r="AM56" s="75">
        <f>资产资本表!AM19</f>
        <v>0</v>
      </c>
      <c r="AN56" s="75">
        <f>资产资本表!AN19</f>
        <v>0</v>
      </c>
      <c r="AO56" s="75">
        <f>资产资本表!AO19</f>
        <v>0</v>
      </c>
      <c r="AP56" s="75">
        <f>资产资本表!AP19</f>
        <v>0</v>
      </c>
      <c r="AQ56" s="75">
        <f>资产资本表!AQ19</f>
        <v>0</v>
      </c>
      <c r="AR56" s="75">
        <f>资产资本表!AR19</f>
        <v>0</v>
      </c>
      <c r="AS56" s="75">
        <f>资产资本表!AS19</f>
        <v>0</v>
      </c>
      <c r="AT56" s="75">
        <f>资产资本表!AT19</f>
        <v>0</v>
      </c>
      <c r="AU56" s="75">
        <f>资产资本表!AU19</f>
        <v>0</v>
      </c>
      <c r="AV56" s="75">
        <f>资产资本表!AV19</f>
        <v>0</v>
      </c>
      <c r="AW56" s="75">
        <f>资产资本表!AW19</f>
        <v>0</v>
      </c>
      <c r="AX56" s="75">
        <f>资产资本表!AX19</f>
        <v>0</v>
      </c>
      <c r="AY56" s="75">
        <f>资产资本表!AY19</f>
        <v>0</v>
      </c>
      <c r="AZ56" s="75">
        <f>资产资本表!AZ19</f>
        <v>0</v>
      </c>
      <c r="BA56" s="75">
        <f>资产资本表!BA19</f>
        <v>0</v>
      </c>
      <c r="BB56" s="75">
        <f>资产资本表!BB19</f>
        <v>0</v>
      </c>
      <c r="BC56" s="75">
        <f>资产资本表!BC19</f>
        <v>0</v>
      </c>
      <c r="BD56" s="75">
        <f>资产资本表!BD19</f>
        <v>0</v>
      </c>
      <c r="BE56" s="75">
        <f>资产资本表!BE19</f>
        <v>0</v>
      </c>
      <c r="BF56" s="75">
        <f>资产资本表!BF19</f>
        <v>0</v>
      </c>
      <c r="BG56" s="75">
        <f>资产资本表!BG19</f>
        <v>0</v>
      </c>
      <c r="BH56" s="75">
        <f>资产资本表!BH19</f>
        <v>0</v>
      </c>
      <c r="BI56" s="75">
        <f>资产资本表!BI19</f>
        <v>0</v>
      </c>
      <c r="BJ56" s="75">
        <f>资产资本表!BJ19</f>
        <v>0</v>
      </c>
      <c r="BK56" s="75">
        <f>资产资本表!BK19</f>
        <v>0</v>
      </c>
      <c r="BL56" s="75">
        <f>资产资本表!BL19</f>
        <v>0</v>
      </c>
      <c r="BM56" s="75">
        <f>资产资本表!BM19</f>
        <v>0</v>
      </c>
      <c r="BN56" s="75">
        <f>资产资本表!BN19</f>
        <v>0</v>
      </c>
      <c r="BO56" s="75">
        <f>资产资本表!BO19</f>
        <v>0</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3" t="s">
        <v>470</v>
      </c>
      <c r="E57" s="116">
        <f>E49/E56</f>
        <v>22.800270478484848</v>
      </c>
      <c r="F57" s="116" t="e">
        <f t="shared" ref="F57:BQ57" si="24">F49/F56</f>
        <v>#DIV/0!</v>
      </c>
      <c r="G57" s="116" t="e">
        <f t="shared" si="24"/>
        <v>#DIV/0!</v>
      </c>
      <c r="H57" s="116" t="e">
        <f t="shared" si="24"/>
        <v>#DIV/0!</v>
      </c>
      <c r="I57" s="116" t="e">
        <f t="shared" si="24"/>
        <v>#DIV/0!</v>
      </c>
      <c r="J57" s="116" t="e">
        <f t="shared" si="24"/>
        <v>#DIV/0!</v>
      </c>
      <c r="K57" s="116" t="e">
        <f t="shared" si="24"/>
        <v>#DIV/0!</v>
      </c>
      <c r="L57" s="116" t="e">
        <f t="shared" si="24"/>
        <v>#DIV/0!</v>
      </c>
      <c r="M57" s="116" t="e">
        <f t="shared" si="24"/>
        <v>#DIV/0!</v>
      </c>
      <c r="N57" s="116" t="e">
        <f t="shared" si="24"/>
        <v>#DIV/0!</v>
      </c>
      <c r="O57" s="116">
        <f t="shared" si="24"/>
        <v>528.80968073999998</v>
      </c>
      <c r="P57" s="116">
        <f t="shared" si="24"/>
        <v>484.90794222000005</v>
      </c>
      <c r="Q57" s="116" t="e">
        <f t="shared" si="24"/>
        <v>#DIV/0!</v>
      </c>
      <c r="R57" s="116" t="e">
        <f t="shared" si="24"/>
        <v>#DIV/0!</v>
      </c>
      <c r="S57" s="116" t="e">
        <f t="shared" si="24"/>
        <v>#DIV/0!</v>
      </c>
      <c r="T57" s="116" t="e">
        <f t="shared" si="24"/>
        <v>#DIV/0!</v>
      </c>
      <c r="U57" s="116" t="e">
        <f t="shared" si="24"/>
        <v>#DIV/0!</v>
      </c>
      <c r="V57" s="116" t="e">
        <f t="shared" si="24"/>
        <v>#DIV/0!</v>
      </c>
      <c r="W57" s="116" t="e">
        <f t="shared" si="24"/>
        <v>#DIV/0!</v>
      </c>
      <c r="X57" s="116" t="e">
        <f t="shared" si="24"/>
        <v>#DIV/0!</v>
      </c>
      <c r="Y57" s="116" t="e">
        <f t="shared" si="24"/>
        <v>#DIV/0!</v>
      </c>
      <c r="Z57" s="116" t="e">
        <f t="shared" si="24"/>
        <v>#DIV/0!</v>
      </c>
      <c r="AA57" s="116" t="e">
        <f t="shared" si="24"/>
        <v>#DIV/0!</v>
      </c>
      <c r="AB57" s="116" t="e">
        <f t="shared" si="24"/>
        <v>#DIV/0!</v>
      </c>
      <c r="AC57" s="116" t="e">
        <f t="shared" si="24"/>
        <v>#DIV/0!</v>
      </c>
      <c r="AD57" s="116" t="e">
        <f t="shared" si="24"/>
        <v>#DIV/0!</v>
      </c>
      <c r="AE57" s="116" t="e">
        <f t="shared" si="24"/>
        <v>#DIV/0!</v>
      </c>
      <c r="AF57" s="116" t="e">
        <f t="shared" si="24"/>
        <v>#DIV/0!</v>
      </c>
      <c r="AG57" s="116" t="e">
        <f t="shared" si="24"/>
        <v>#DIV/0!</v>
      </c>
      <c r="AH57" s="116" t="e">
        <f t="shared" si="24"/>
        <v>#DIV/0!</v>
      </c>
      <c r="AI57" s="116" t="e">
        <f t="shared" si="24"/>
        <v>#DIV/0!</v>
      </c>
      <c r="AJ57" s="116" t="e">
        <f t="shared" si="24"/>
        <v>#DIV/0!</v>
      </c>
      <c r="AK57" s="116" t="e">
        <f t="shared" si="24"/>
        <v>#DIV/0!</v>
      </c>
      <c r="AL57" s="116" t="e">
        <f t="shared" si="24"/>
        <v>#DIV/0!</v>
      </c>
      <c r="AM57" s="116" t="e">
        <f t="shared" si="24"/>
        <v>#DIV/0!</v>
      </c>
      <c r="AN57" s="116" t="e">
        <f t="shared" si="24"/>
        <v>#DIV/0!</v>
      </c>
      <c r="AO57" s="116" t="e">
        <f t="shared" si="24"/>
        <v>#DIV/0!</v>
      </c>
      <c r="AP57" s="116" t="e">
        <f t="shared" si="24"/>
        <v>#DIV/0!</v>
      </c>
      <c r="AQ57" s="116" t="e">
        <f t="shared" si="24"/>
        <v>#DIV/0!</v>
      </c>
      <c r="AR57" s="116" t="e">
        <f t="shared" si="24"/>
        <v>#DIV/0!</v>
      </c>
      <c r="AS57" s="116" t="e">
        <f t="shared" si="24"/>
        <v>#DIV/0!</v>
      </c>
      <c r="AT57" s="116" t="e">
        <f t="shared" si="24"/>
        <v>#DIV/0!</v>
      </c>
      <c r="AU57" s="116" t="e">
        <f t="shared" si="24"/>
        <v>#DIV/0!</v>
      </c>
      <c r="AV57" s="116" t="e">
        <f t="shared" si="24"/>
        <v>#DIV/0!</v>
      </c>
      <c r="AW57" s="116" t="e">
        <f t="shared" si="24"/>
        <v>#DIV/0!</v>
      </c>
      <c r="AX57" s="116" t="e">
        <f t="shared" si="24"/>
        <v>#DIV/0!</v>
      </c>
      <c r="AY57" s="116" t="e">
        <f t="shared" si="24"/>
        <v>#DIV/0!</v>
      </c>
      <c r="AZ57" s="116" t="e">
        <f t="shared" si="24"/>
        <v>#DIV/0!</v>
      </c>
      <c r="BA57" s="116" t="e">
        <f t="shared" si="24"/>
        <v>#DIV/0!</v>
      </c>
      <c r="BB57" s="116" t="e">
        <f t="shared" si="24"/>
        <v>#DIV/0!</v>
      </c>
      <c r="BC57" s="116" t="e">
        <f t="shared" si="24"/>
        <v>#DIV/0!</v>
      </c>
      <c r="BD57" s="116" t="e">
        <f t="shared" si="24"/>
        <v>#DIV/0!</v>
      </c>
      <c r="BE57" s="116" t="e">
        <f t="shared" si="24"/>
        <v>#DIV/0!</v>
      </c>
      <c r="BF57" s="116" t="e">
        <f t="shared" si="24"/>
        <v>#DIV/0!</v>
      </c>
      <c r="BG57" s="116" t="e">
        <f t="shared" si="24"/>
        <v>#DIV/0!</v>
      </c>
      <c r="BH57" s="116" t="e">
        <f t="shared" si="24"/>
        <v>#DIV/0!</v>
      </c>
      <c r="BI57" s="116" t="e">
        <f t="shared" si="24"/>
        <v>#DIV/0!</v>
      </c>
      <c r="BJ57" s="116" t="e">
        <f t="shared" si="24"/>
        <v>#DIV/0!</v>
      </c>
      <c r="BK57" s="116" t="e">
        <f t="shared" si="24"/>
        <v>#DIV/0!</v>
      </c>
      <c r="BL57" s="116" t="e">
        <f t="shared" si="24"/>
        <v>#DIV/0!</v>
      </c>
      <c r="BM57" s="116" t="e">
        <f t="shared" si="24"/>
        <v>#DIV/0!</v>
      </c>
      <c r="BN57" s="116" t="e">
        <f t="shared" si="24"/>
        <v>#DIV/0!</v>
      </c>
      <c r="BO57" s="116" t="e">
        <f t="shared" si="24"/>
        <v>#DIV/0!</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78" t="s">
        <v>693</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8" customFormat="1" x14ac:dyDescent="0.25">
      <c r="A61" s="117"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42004</v>
      </c>
      <c r="P61" s="1">
        <v>41639</v>
      </c>
      <c r="Q61" s="1">
        <v>41274</v>
      </c>
      <c r="R61" s="1">
        <v>40908</v>
      </c>
      <c r="S61" s="1">
        <v>25569</v>
      </c>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5" t="s">
        <v>472</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5" t="s">
        <v>463</v>
      </c>
      <c r="E63" s="75">
        <f>E49</f>
        <v>752408925.78999996</v>
      </c>
      <c r="F63" s="75">
        <f t="shared" ref="F63:BQ63" si="26">F49</f>
        <v>525772942.17000002</v>
      </c>
      <c r="G63" s="75">
        <f t="shared" si="26"/>
        <v>339770745.41000003</v>
      </c>
      <c r="H63" s="75">
        <f t="shared" si="26"/>
        <v>153700781.78999999</v>
      </c>
      <c r="I63" s="75">
        <f t="shared" si="26"/>
        <v>665011421.55999994</v>
      </c>
      <c r="J63" s="75">
        <f t="shared" si="26"/>
        <v>454007921.24000001</v>
      </c>
      <c r="K63" s="75">
        <f t="shared" si="26"/>
        <v>283257330.20999998</v>
      </c>
      <c r="L63" s="75">
        <f t="shared" si="26"/>
        <v>124302689.18000001</v>
      </c>
      <c r="M63" s="75">
        <f t="shared" si="26"/>
        <v>597037871.64999998</v>
      </c>
      <c r="N63" s="75">
        <f t="shared" si="26"/>
        <v>409475329.64999998</v>
      </c>
      <c r="O63" s="75">
        <f t="shared" si="26"/>
        <v>528809680.74000001</v>
      </c>
      <c r="P63" s="75">
        <f t="shared" si="26"/>
        <v>484907942.22000003</v>
      </c>
      <c r="Q63" s="75">
        <f t="shared" si="26"/>
        <v>395593790.81</v>
      </c>
      <c r="R63" s="75">
        <f t="shared" si="26"/>
        <v>316891515.43000001</v>
      </c>
      <c r="S63" s="75">
        <f t="shared" si="26"/>
        <v>0</v>
      </c>
      <c r="T63" s="75">
        <f t="shared" si="26"/>
        <v>0</v>
      </c>
      <c r="U63" s="75">
        <f t="shared" si="26"/>
        <v>0</v>
      </c>
      <c r="V63" s="75">
        <f t="shared" si="26"/>
        <v>0</v>
      </c>
      <c r="W63" s="75">
        <f t="shared" si="26"/>
        <v>0</v>
      </c>
      <c r="X63" s="75">
        <f t="shared" si="26"/>
        <v>0</v>
      </c>
      <c r="Y63" s="75">
        <f t="shared" si="26"/>
        <v>0</v>
      </c>
      <c r="Z63" s="75">
        <f t="shared" si="26"/>
        <v>0</v>
      </c>
      <c r="AA63" s="75">
        <f t="shared" si="26"/>
        <v>0</v>
      </c>
      <c r="AB63" s="75">
        <f t="shared" si="26"/>
        <v>0</v>
      </c>
      <c r="AC63" s="75">
        <f t="shared" si="26"/>
        <v>0</v>
      </c>
      <c r="AD63" s="75">
        <f t="shared" si="26"/>
        <v>0</v>
      </c>
      <c r="AE63" s="75">
        <f t="shared" si="26"/>
        <v>0</v>
      </c>
      <c r="AF63" s="75">
        <f t="shared" si="26"/>
        <v>0</v>
      </c>
      <c r="AG63" s="75">
        <f t="shared" si="26"/>
        <v>0</v>
      </c>
      <c r="AH63" s="75">
        <f t="shared" si="26"/>
        <v>0</v>
      </c>
      <c r="AI63" s="75">
        <f t="shared" si="26"/>
        <v>0</v>
      </c>
      <c r="AJ63" s="75">
        <f t="shared" si="26"/>
        <v>0</v>
      </c>
      <c r="AK63" s="75">
        <f t="shared" si="26"/>
        <v>0</v>
      </c>
      <c r="AL63" s="75">
        <f t="shared" si="26"/>
        <v>0</v>
      </c>
      <c r="AM63" s="75">
        <f t="shared" si="26"/>
        <v>0</v>
      </c>
      <c r="AN63" s="75">
        <f t="shared" si="26"/>
        <v>0</v>
      </c>
      <c r="AO63" s="75">
        <f t="shared" si="26"/>
        <v>0</v>
      </c>
      <c r="AP63" s="75">
        <f t="shared" si="26"/>
        <v>0</v>
      </c>
      <c r="AQ63" s="75">
        <f t="shared" si="26"/>
        <v>0</v>
      </c>
      <c r="AR63" s="75">
        <f t="shared" si="26"/>
        <v>0</v>
      </c>
      <c r="AS63" s="75">
        <f t="shared" si="26"/>
        <v>0</v>
      </c>
      <c r="AT63" s="75">
        <f t="shared" si="26"/>
        <v>0</v>
      </c>
      <c r="AU63" s="75">
        <f t="shared" si="26"/>
        <v>0</v>
      </c>
      <c r="AV63" s="75">
        <f t="shared" si="26"/>
        <v>0</v>
      </c>
      <c r="AW63" s="75">
        <f t="shared" si="26"/>
        <v>0</v>
      </c>
      <c r="AX63" s="75">
        <f t="shared" si="26"/>
        <v>0</v>
      </c>
      <c r="AY63" s="75">
        <f t="shared" si="26"/>
        <v>0</v>
      </c>
      <c r="AZ63" s="75">
        <f t="shared" si="26"/>
        <v>0</v>
      </c>
      <c r="BA63" s="75">
        <f t="shared" si="26"/>
        <v>0</v>
      </c>
      <c r="BB63" s="75">
        <f t="shared" si="26"/>
        <v>0</v>
      </c>
      <c r="BC63" s="75">
        <f t="shared" si="26"/>
        <v>0</v>
      </c>
      <c r="BD63" s="75">
        <f t="shared" si="26"/>
        <v>0</v>
      </c>
      <c r="BE63" s="75">
        <f t="shared" si="26"/>
        <v>0</v>
      </c>
      <c r="BF63" s="75">
        <f t="shared" si="26"/>
        <v>0</v>
      </c>
      <c r="BG63" s="75">
        <f t="shared" si="26"/>
        <v>0</v>
      </c>
      <c r="BH63" s="75">
        <f t="shared" si="26"/>
        <v>0</v>
      </c>
      <c r="BI63" s="75">
        <f t="shared" si="26"/>
        <v>0</v>
      </c>
      <c r="BJ63" s="75">
        <f t="shared" si="26"/>
        <v>0</v>
      </c>
      <c r="BK63" s="75">
        <f t="shared" si="26"/>
        <v>0</v>
      </c>
      <c r="BL63" s="75">
        <f t="shared" si="26"/>
        <v>0</v>
      </c>
      <c r="BM63" s="75">
        <f t="shared" si="26"/>
        <v>0</v>
      </c>
      <c r="BN63" s="75">
        <f t="shared" si="26"/>
        <v>0</v>
      </c>
      <c r="BO63" s="75">
        <f t="shared" si="26"/>
        <v>0</v>
      </c>
      <c r="BP63" s="75">
        <f t="shared" si="26"/>
        <v>0</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5" t="s">
        <v>473</v>
      </c>
      <c r="E64" s="75">
        <f>资产资本表!E22+资产资本表!E23-资产资本表!E37</f>
        <v>-29400678.989999995</v>
      </c>
      <c r="F64" s="75">
        <f>资产资本表!F22+资产资本表!F23-资产资本表!F37</f>
        <v>-18710323.74000001</v>
      </c>
      <c r="G64" s="75">
        <f>资产资本表!G22+资产资本表!G23-资产资本表!G37</f>
        <v>-21489629.620000005</v>
      </c>
      <c r="H64" s="75">
        <f>资产资本表!H22+资产资本表!H23-资产资本表!H37</f>
        <v>-29388032.149999991</v>
      </c>
      <c r="I64" s="75">
        <f>资产资本表!I22+资产资本表!I23-资产资本表!I37</f>
        <v>-22435266.560000002</v>
      </c>
      <c r="J64" s="75">
        <f>资产资本表!J22+资产资本表!J23-资产资本表!J37</f>
        <v>-30852294.810000002</v>
      </c>
      <c r="K64" s="75">
        <f>资产资本表!K22+资产资本表!K23-资产资本表!K37</f>
        <v>-19101019.570000008</v>
      </c>
      <c r="L64" s="75">
        <f>资产资本表!L22+资产资本表!L23-资产资本表!L37</f>
        <v>-15932894.490000002</v>
      </c>
      <c r="M64" s="75">
        <f>资产资本表!M22+资产资本表!M23-资产资本表!M37</f>
        <v>-14494856.729999997</v>
      </c>
      <c r="N64" s="75">
        <f>资产资本表!N22+资产资本表!N23-资产资本表!N37</f>
        <v>-11348847.119999997</v>
      </c>
      <c r="O64" s="75">
        <f>资产资本表!O22+资产资本表!O23-资产资本表!O37</f>
        <v>-14100024.060000002</v>
      </c>
      <c r="P64" s="75">
        <f>资产资本表!P22+资产资本表!P23-资产资本表!P37</f>
        <v>-1585541.0400000028</v>
      </c>
      <c r="Q64" s="75">
        <f>资产资本表!Q22+资产资本表!Q23-资产资本表!Q37</f>
        <v>0</v>
      </c>
      <c r="R64" s="75">
        <f>资产资本表!R22+资产资本表!R23-资产资本表!R37</f>
        <v>0</v>
      </c>
      <c r="S64" s="75">
        <f>资产资本表!S22+资产资本表!S23-资产资本表!S37</f>
        <v>0</v>
      </c>
      <c r="T64" s="75">
        <f>资产资本表!T22+资产资本表!T23-资产资本表!T37</f>
        <v>0</v>
      </c>
      <c r="U64" s="75">
        <f>资产资本表!U22+资产资本表!U23-资产资本表!U37</f>
        <v>0</v>
      </c>
      <c r="V64" s="75">
        <f>资产资本表!V22+资产资本表!V23-资产资本表!V37</f>
        <v>0</v>
      </c>
      <c r="W64" s="75">
        <f>资产资本表!W22+资产资本表!W23-资产资本表!W37</f>
        <v>0</v>
      </c>
      <c r="X64" s="75">
        <f>资产资本表!X22+资产资本表!X23-资产资本表!X37</f>
        <v>0</v>
      </c>
      <c r="Y64" s="75">
        <f>资产资本表!Y22+资产资本表!Y23-资产资本表!Y37</f>
        <v>0</v>
      </c>
      <c r="Z64" s="75">
        <f>资产资本表!Z22+资产资本表!Z23-资产资本表!Z37</f>
        <v>0</v>
      </c>
      <c r="AA64" s="75">
        <f>资产资本表!AA22+资产资本表!AA23-资产资本表!AA37</f>
        <v>0</v>
      </c>
      <c r="AB64" s="75">
        <f>资产资本表!AB22+资产资本表!AB23-资产资本表!AB37</f>
        <v>0</v>
      </c>
      <c r="AC64" s="75">
        <f>资产资本表!AC22+资产资本表!AC23-资产资本表!AC37</f>
        <v>0</v>
      </c>
      <c r="AD64" s="75">
        <f>资产资本表!AD22+资产资本表!AD23-资产资本表!AD37</f>
        <v>0</v>
      </c>
      <c r="AE64" s="75">
        <f>资产资本表!AE22+资产资本表!AE23-资产资本表!AE37</f>
        <v>0</v>
      </c>
      <c r="AF64" s="75">
        <f>资产资本表!AF22+资产资本表!AF23-资产资本表!AF37</f>
        <v>0</v>
      </c>
      <c r="AG64" s="75">
        <f>资产资本表!AG22+资产资本表!AG23-资产资本表!AG37</f>
        <v>0</v>
      </c>
      <c r="AH64" s="75">
        <f>资产资本表!AH22+资产资本表!AH23-资产资本表!AH37</f>
        <v>0</v>
      </c>
      <c r="AI64" s="75">
        <f>资产资本表!AI22+资产资本表!AI23-资产资本表!AI37</f>
        <v>0</v>
      </c>
      <c r="AJ64" s="75">
        <f>资产资本表!AJ22+资产资本表!AJ23-资产资本表!AJ37</f>
        <v>0</v>
      </c>
      <c r="AK64" s="75">
        <f>资产资本表!AK22+资产资本表!AK23-资产资本表!AK37</f>
        <v>0</v>
      </c>
      <c r="AL64" s="75">
        <f>资产资本表!AL22+资产资本表!AL23-资产资本表!AL37</f>
        <v>0</v>
      </c>
      <c r="AM64" s="75">
        <f>资产资本表!AM22+资产资本表!AM23-资产资本表!AM37</f>
        <v>0</v>
      </c>
      <c r="AN64" s="75">
        <f>资产资本表!AN22+资产资本表!AN23-资产资本表!AN37</f>
        <v>0</v>
      </c>
      <c r="AO64" s="75">
        <f>资产资本表!AO22+资产资本表!AO23-资产资本表!AO37</f>
        <v>0</v>
      </c>
      <c r="AP64" s="75">
        <f>资产资本表!AP22+资产资本表!AP23-资产资本表!AP37</f>
        <v>0</v>
      </c>
      <c r="AQ64" s="75">
        <f>资产资本表!AQ22+资产资本表!AQ23-资产资本表!AQ37</f>
        <v>0</v>
      </c>
      <c r="AR64" s="75">
        <f>资产资本表!AR22+资产资本表!AR23-资产资本表!AR37</f>
        <v>0</v>
      </c>
      <c r="AS64" s="75">
        <f>资产资本表!AS22+资产资本表!AS23-资产资本表!AS37</f>
        <v>0</v>
      </c>
      <c r="AT64" s="75">
        <f>资产资本表!AT22+资产资本表!AT23-资产资本表!AT37</f>
        <v>0</v>
      </c>
      <c r="AU64" s="75">
        <f>资产资本表!AU22+资产资本表!AU23-资产资本表!AU37</f>
        <v>0</v>
      </c>
      <c r="AV64" s="75">
        <f>资产资本表!AV22+资产资本表!AV23-资产资本表!AV37</f>
        <v>0</v>
      </c>
      <c r="AW64" s="75">
        <f>资产资本表!AW22+资产资本表!AW23-资产资本表!AW37</f>
        <v>0</v>
      </c>
      <c r="AX64" s="75">
        <f>资产资本表!AX22+资产资本表!AX23-资产资本表!AX37</f>
        <v>0</v>
      </c>
      <c r="AY64" s="75">
        <f>资产资本表!AY22+资产资本表!AY23-资产资本表!AY37</f>
        <v>0</v>
      </c>
      <c r="AZ64" s="75">
        <f>资产资本表!AZ22+资产资本表!AZ23-资产资本表!AZ37</f>
        <v>0</v>
      </c>
      <c r="BA64" s="75">
        <f>资产资本表!BA22+资产资本表!BA23-资产资本表!BA37</f>
        <v>0</v>
      </c>
      <c r="BB64" s="75">
        <f>资产资本表!BB22+资产资本表!BB23-资产资本表!BB37</f>
        <v>0</v>
      </c>
      <c r="BC64" s="75">
        <f>资产资本表!BC22+资产资本表!BC23-资产资本表!BC37</f>
        <v>0</v>
      </c>
      <c r="BD64" s="75">
        <f>资产资本表!BD22+资产资本表!BD23-资产资本表!BD37</f>
        <v>0</v>
      </c>
      <c r="BE64" s="75">
        <f>资产资本表!BE22+资产资本表!BE23-资产资本表!BE37</f>
        <v>0</v>
      </c>
      <c r="BF64" s="75">
        <f>资产资本表!BF22+资产资本表!BF23-资产资本表!BF37</f>
        <v>0</v>
      </c>
      <c r="BG64" s="75">
        <f>资产资本表!BG22+资产资本表!BG23-资产资本表!BG37</f>
        <v>0</v>
      </c>
      <c r="BH64" s="75">
        <f>资产资本表!BH22+资产资本表!BH23-资产资本表!BH37</f>
        <v>0</v>
      </c>
      <c r="BI64" s="75">
        <f>资产资本表!BI22+资产资本表!BI23-资产资本表!BI37</f>
        <v>0</v>
      </c>
      <c r="BJ64" s="75">
        <f>资产资本表!BJ22+资产资本表!BJ23-资产资本表!BJ37</f>
        <v>0</v>
      </c>
      <c r="BK64" s="75">
        <f>资产资本表!BK22+资产资本表!BK23-资产资本表!BK37</f>
        <v>0</v>
      </c>
      <c r="BL64" s="75">
        <f>资产资本表!BL22+资产资本表!BL23-资产资本表!BL37</f>
        <v>0</v>
      </c>
      <c r="BM64" s="75">
        <f>资产资本表!BM22+资产资本表!BM23-资产资本表!BM37</f>
        <v>0</v>
      </c>
      <c r="BN64" s="75">
        <f>资产资本表!BN22+资产资本表!BN23-资产资本表!BN37</f>
        <v>0</v>
      </c>
      <c r="BO64" s="75">
        <f>资产资本表!BO22+资产资本表!BO23-资产资本表!BO37</f>
        <v>0</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3" customFormat="1" x14ac:dyDescent="0.25">
      <c r="A65" s="152" t="s">
        <v>691</v>
      </c>
      <c r="E65" s="153">
        <f>E63/(E64+I64)*2</f>
        <v>-29.030392628383336</v>
      </c>
      <c r="F65" s="153">
        <f t="shared" ref="F65:BQ65" si="28">F63/(F64+J64)*2</f>
        <v>-21.216511861236189</v>
      </c>
      <c r="G65" s="153">
        <f t="shared" si="28"/>
        <v>-16.74133093164258</v>
      </c>
      <c r="H65" s="153">
        <f t="shared" si="28"/>
        <v>-6.7827731330781997</v>
      </c>
      <c r="I65" s="153">
        <f t="shared" si="28"/>
        <v>-36.014579011171236</v>
      </c>
      <c r="J65" s="153">
        <f t="shared" si="28"/>
        <v>-21.516380859696799</v>
      </c>
      <c r="K65" s="153">
        <f t="shared" si="28"/>
        <v>-17.063158216752711</v>
      </c>
      <c r="L65" s="153">
        <f t="shared" si="28"/>
        <v>-14.1910719101753</v>
      </c>
      <c r="M65" s="153">
        <f t="shared" si="28"/>
        <v>-82.379271871561315</v>
      </c>
      <c r="N65" s="153">
        <f t="shared" si="28"/>
        <v>-72.161572945746059</v>
      </c>
      <c r="O65" s="153">
        <f t="shared" si="28"/>
        <v>-75.008337360241342</v>
      </c>
      <c r="P65" s="153">
        <f t="shared" si="28"/>
        <v>-611.66242940012341</v>
      </c>
      <c r="Q65" s="153" t="e">
        <f t="shared" si="28"/>
        <v>#DIV/0!</v>
      </c>
      <c r="R65" s="153" t="e">
        <f t="shared" si="28"/>
        <v>#DIV/0!</v>
      </c>
      <c r="S65" s="153" t="e">
        <f t="shared" si="28"/>
        <v>#DIV/0!</v>
      </c>
      <c r="T65" s="153" t="e">
        <f t="shared" si="28"/>
        <v>#DIV/0!</v>
      </c>
      <c r="U65" s="153" t="e">
        <f t="shared" si="28"/>
        <v>#DIV/0!</v>
      </c>
      <c r="V65" s="153" t="e">
        <f t="shared" si="28"/>
        <v>#DIV/0!</v>
      </c>
      <c r="W65" s="153" t="e">
        <f t="shared" si="28"/>
        <v>#DIV/0!</v>
      </c>
      <c r="X65" s="153" t="e">
        <f t="shared" si="28"/>
        <v>#DIV/0!</v>
      </c>
      <c r="Y65" s="153" t="e">
        <f t="shared" si="28"/>
        <v>#DIV/0!</v>
      </c>
      <c r="Z65" s="153" t="e">
        <f t="shared" si="28"/>
        <v>#DIV/0!</v>
      </c>
      <c r="AA65" s="153" t="e">
        <f t="shared" si="28"/>
        <v>#DIV/0!</v>
      </c>
      <c r="AB65" s="153" t="e">
        <f t="shared" si="28"/>
        <v>#DIV/0!</v>
      </c>
      <c r="AC65" s="153" t="e">
        <f t="shared" si="28"/>
        <v>#DIV/0!</v>
      </c>
      <c r="AD65" s="153" t="e">
        <f t="shared" si="28"/>
        <v>#DIV/0!</v>
      </c>
      <c r="AE65" s="153" t="e">
        <f t="shared" si="28"/>
        <v>#DIV/0!</v>
      </c>
      <c r="AF65" s="153" t="e">
        <f t="shared" si="28"/>
        <v>#DIV/0!</v>
      </c>
      <c r="AG65" s="153" t="e">
        <f t="shared" si="28"/>
        <v>#DIV/0!</v>
      </c>
      <c r="AH65" s="153" t="e">
        <f t="shared" si="28"/>
        <v>#DIV/0!</v>
      </c>
      <c r="AI65" s="153" t="e">
        <f t="shared" si="28"/>
        <v>#DIV/0!</v>
      </c>
      <c r="AJ65" s="153" t="e">
        <f t="shared" si="28"/>
        <v>#DIV/0!</v>
      </c>
      <c r="AK65" s="153" t="e">
        <f t="shared" si="28"/>
        <v>#DIV/0!</v>
      </c>
      <c r="AL65" s="153" t="e">
        <f t="shared" si="28"/>
        <v>#DIV/0!</v>
      </c>
      <c r="AM65" s="153" t="e">
        <f t="shared" si="28"/>
        <v>#DIV/0!</v>
      </c>
      <c r="AN65" s="153" t="e">
        <f t="shared" si="28"/>
        <v>#DIV/0!</v>
      </c>
      <c r="AO65" s="153" t="e">
        <f t="shared" si="28"/>
        <v>#DIV/0!</v>
      </c>
      <c r="AP65" s="153" t="e">
        <f t="shared" si="28"/>
        <v>#DIV/0!</v>
      </c>
      <c r="AQ65" s="153" t="e">
        <f t="shared" si="28"/>
        <v>#DIV/0!</v>
      </c>
      <c r="AR65" s="153" t="e">
        <f t="shared" si="28"/>
        <v>#DIV/0!</v>
      </c>
      <c r="AS65" s="153" t="e">
        <f t="shared" si="28"/>
        <v>#DIV/0!</v>
      </c>
      <c r="AT65" s="153" t="e">
        <f t="shared" si="28"/>
        <v>#DIV/0!</v>
      </c>
      <c r="AU65" s="153" t="e">
        <f t="shared" si="28"/>
        <v>#DIV/0!</v>
      </c>
      <c r="AV65" s="153" t="e">
        <f t="shared" si="28"/>
        <v>#DIV/0!</v>
      </c>
      <c r="AW65" s="153" t="e">
        <f t="shared" si="28"/>
        <v>#DIV/0!</v>
      </c>
      <c r="AX65" s="153" t="e">
        <f t="shared" si="28"/>
        <v>#DIV/0!</v>
      </c>
      <c r="AY65" s="153" t="e">
        <f t="shared" si="28"/>
        <v>#DIV/0!</v>
      </c>
      <c r="AZ65" s="153" t="e">
        <f t="shared" si="28"/>
        <v>#DIV/0!</v>
      </c>
      <c r="BA65" s="153" t="e">
        <f t="shared" si="28"/>
        <v>#DIV/0!</v>
      </c>
      <c r="BB65" s="153" t="e">
        <f t="shared" si="28"/>
        <v>#DIV/0!</v>
      </c>
      <c r="BC65" s="153" t="e">
        <f t="shared" si="28"/>
        <v>#DIV/0!</v>
      </c>
      <c r="BD65" s="153" t="e">
        <f t="shared" si="28"/>
        <v>#DIV/0!</v>
      </c>
      <c r="BE65" s="153" t="e">
        <f t="shared" si="28"/>
        <v>#DIV/0!</v>
      </c>
      <c r="BF65" s="153" t="e">
        <f t="shared" si="28"/>
        <v>#DIV/0!</v>
      </c>
      <c r="BG65" s="153" t="e">
        <f t="shared" si="28"/>
        <v>#DIV/0!</v>
      </c>
      <c r="BH65" s="153" t="e">
        <f t="shared" si="28"/>
        <v>#DIV/0!</v>
      </c>
      <c r="BI65" s="153" t="e">
        <f t="shared" si="28"/>
        <v>#DIV/0!</v>
      </c>
      <c r="BJ65" s="153" t="e">
        <f t="shared" si="28"/>
        <v>#DIV/0!</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2" customFormat="1" x14ac:dyDescent="0.25">
      <c r="A66" s="146" t="s">
        <v>474</v>
      </c>
      <c r="E66" s="82">
        <f>E62/E65</f>
        <v>-12.573030088581561</v>
      </c>
      <c r="F66" s="82">
        <f t="shared" ref="F66:BQ66" si="30">F62/F65</f>
        <v>-17.203581926531307</v>
      </c>
      <c r="G66" s="82">
        <f t="shared" si="30"/>
        <v>-21.802328709130173</v>
      </c>
      <c r="H66" s="82">
        <f t="shared" si="30"/>
        <v>-53.812797927733939</v>
      </c>
      <c r="I66" s="82">
        <f t="shared" si="30"/>
        <v>-10.134784579511035</v>
      </c>
      <c r="J66" s="82">
        <f t="shared" si="30"/>
        <v>-16.963819444360933</v>
      </c>
      <c r="K66" s="82">
        <f t="shared" si="30"/>
        <v>-21.391116191001547</v>
      </c>
      <c r="L66" s="82">
        <f t="shared" si="30"/>
        <v>-25.720396761451632</v>
      </c>
      <c r="M66" s="82">
        <f t="shared" si="30"/>
        <v>-4.4307262216286238</v>
      </c>
      <c r="N66" s="82">
        <f t="shared" si="30"/>
        <v>-5.0580937346587707</v>
      </c>
      <c r="O66" s="82">
        <f t="shared" si="30"/>
        <v>-4.8661257247580405</v>
      </c>
      <c r="P66" s="82">
        <f t="shared" si="30"/>
        <v>-0.59673437905605387</v>
      </c>
      <c r="Q66" s="82" t="e">
        <f t="shared" si="30"/>
        <v>#DIV/0!</v>
      </c>
      <c r="R66" s="82" t="e">
        <f t="shared" si="30"/>
        <v>#DIV/0!</v>
      </c>
      <c r="S66" s="82" t="e">
        <f t="shared" si="30"/>
        <v>#DIV/0!</v>
      </c>
      <c r="T66" s="82" t="e">
        <f t="shared" si="30"/>
        <v>#DIV/0!</v>
      </c>
      <c r="U66" s="82" t="e">
        <f t="shared" si="30"/>
        <v>#DIV/0!</v>
      </c>
      <c r="V66" s="82" t="e">
        <f t="shared" si="30"/>
        <v>#DIV/0!</v>
      </c>
      <c r="W66" s="82" t="e">
        <f t="shared" si="30"/>
        <v>#DIV/0!</v>
      </c>
      <c r="X66" s="82" t="e">
        <f t="shared" si="30"/>
        <v>#DIV/0!</v>
      </c>
      <c r="Y66" s="82" t="e">
        <f t="shared" si="30"/>
        <v>#DIV/0!</v>
      </c>
      <c r="Z66" s="82" t="e">
        <f t="shared" si="30"/>
        <v>#DIV/0!</v>
      </c>
      <c r="AA66" s="82" t="e">
        <f t="shared" si="30"/>
        <v>#DIV/0!</v>
      </c>
      <c r="AB66" s="82" t="e">
        <f t="shared" si="30"/>
        <v>#DIV/0!</v>
      </c>
      <c r="AC66" s="82" t="e">
        <f t="shared" si="30"/>
        <v>#DIV/0!</v>
      </c>
      <c r="AD66" s="82" t="e">
        <f t="shared" si="30"/>
        <v>#DIV/0!</v>
      </c>
      <c r="AE66" s="82" t="e">
        <f t="shared" si="30"/>
        <v>#DIV/0!</v>
      </c>
      <c r="AF66" s="82" t="e">
        <f t="shared" si="30"/>
        <v>#DIV/0!</v>
      </c>
      <c r="AG66" s="82" t="e">
        <f t="shared" si="30"/>
        <v>#DIV/0!</v>
      </c>
      <c r="AH66" s="82" t="e">
        <f t="shared" si="30"/>
        <v>#DIV/0!</v>
      </c>
      <c r="AI66" s="82" t="e">
        <f t="shared" si="30"/>
        <v>#DIV/0!</v>
      </c>
      <c r="AJ66" s="82" t="e">
        <f t="shared" si="30"/>
        <v>#DIV/0!</v>
      </c>
      <c r="AK66" s="82" t="e">
        <f t="shared" si="30"/>
        <v>#DIV/0!</v>
      </c>
      <c r="AL66" s="82" t="e">
        <f t="shared" si="30"/>
        <v>#DIV/0!</v>
      </c>
      <c r="AM66" s="82" t="e">
        <f t="shared" si="30"/>
        <v>#DIV/0!</v>
      </c>
      <c r="AN66" s="82" t="e">
        <f t="shared" si="30"/>
        <v>#DIV/0!</v>
      </c>
      <c r="AO66" s="82" t="e">
        <f t="shared" si="30"/>
        <v>#DIV/0!</v>
      </c>
      <c r="AP66" s="82" t="e">
        <f t="shared" si="30"/>
        <v>#DIV/0!</v>
      </c>
      <c r="AQ66" s="82" t="e">
        <f t="shared" si="30"/>
        <v>#DIV/0!</v>
      </c>
      <c r="AR66" s="82" t="e">
        <f t="shared" si="30"/>
        <v>#DIV/0!</v>
      </c>
      <c r="AS66" s="82" t="e">
        <f t="shared" si="30"/>
        <v>#DIV/0!</v>
      </c>
      <c r="AT66" s="82" t="e">
        <f t="shared" si="30"/>
        <v>#DIV/0!</v>
      </c>
      <c r="AU66" s="82" t="e">
        <f t="shared" si="30"/>
        <v>#DIV/0!</v>
      </c>
      <c r="AV66" s="82" t="e">
        <f t="shared" si="30"/>
        <v>#DIV/0!</v>
      </c>
      <c r="AW66" s="82" t="e">
        <f t="shared" si="30"/>
        <v>#DIV/0!</v>
      </c>
      <c r="AX66" s="82" t="e">
        <f t="shared" si="30"/>
        <v>#DIV/0!</v>
      </c>
      <c r="AY66" s="82" t="e">
        <f t="shared" si="30"/>
        <v>#DIV/0!</v>
      </c>
      <c r="AZ66" s="82" t="e">
        <f t="shared" si="30"/>
        <v>#DIV/0!</v>
      </c>
      <c r="BA66" s="82" t="e">
        <f t="shared" si="30"/>
        <v>#DIV/0!</v>
      </c>
      <c r="BB66" s="82" t="e">
        <f t="shared" si="30"/>
        <v>#DIV/0!</v>
      </c>
      <c r="BC66" s="82" t="e">
        <f t="shared" si="30"/>
        <v>#DIV/0!</v>
      </c>
      <c r="BD66" s="82" t="e">
        <f t="shared" si="30"/>
        <v>#DIV/0!</v>
      </c>
      <c r="BE66" s="82" t="e">
        <f t="shared" si="30"/>
        <v>#DIV/0!</v>
      </c>
      <c r="BF66" s="82" t="e">
        <f t="shared" si="30"/>
        <v>#DIV/0!</v>
      </c>
      <c r="BG66" s="82" t="e">
        <f t="shared" si="30"/>
        <v>#DIV/0!</v>
      </c>
      <c r="BH66" s="82" t="e">
        <f t="shared" si="30"/>
        <v>#DIV/0!</v>
      </c>
      <c r="BI66" s="82" t="e">
        <f t="shared" si="30"/>
        <v>#DIV/0!</v>
      </c>
      <c r="BJ66" s="82" t="e">
        <f t="shared" si="30"/>
        <v>#DIV/0!</v>
      </c>
      <c r="BK66" s="82" t="e">
        <f t="shared" si="30"/>
        <v>#DIV/0!</v>
      </c>
      <c r="BL66" s="82" t="e">
        <f t="shared" si="30"/>
        <v>#DIV/0!</v>
      </c>
      <c r="BM66" s="82" t="e">
        <f t="shared" si="30"/>
        <v>#DIV/0!</v>
      </c>
      <c r="BN66" s="82" t="e">
        <f t="shared" si="30"/>
        <v>#DIV/0!</v>
      </c>
      <c r="BO66" s="82" t="e">
        <f t="shared" si="30"/>
        <v>#DIV/0!</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5" t="s">
        <v>475</v>
      </c>
      <c r="E67" s="75">
        <f>股权价值增加表!E5</f>
        <v>406091046.83999997</v>
      </c>
      <c r="F67" s="75">
        <f>股权价值增加表!F5</f>
        <v>271365768.27999997</v>
      </c>
      <c r="G67" s="75">
        <f>股权价值增加表!G5</f>
        <v>181470105.86000001</v>
      </c>
      <c r="H67" s="75">
        <f>股权价值增加表!H5</f>
        <v>91249713.920000002</v>
      </c>
      <c r="I67" s="75">
        <f>股权价值增加表!I5</f>
        <v>348439708.45999998</v>
      </c>
      <c r="J67" s="75">
        <f>股权价值增加表!J5</f>
        <v>228589200.88</v>
      </c>
      <c r="K67" s="75">
        <f>股权价值增加表!K5</f>
        <v>149382777.41999999</v>
      </c>
      <c r="L67" s="75">
        <f>股权价值增加表!L5</f>
        <v>74864949.950000003</v>
      </c>
      <c r="M67" s="75">
        <f>股权价值增加表!M5</f>
        <v>318153253.52999997</v>
      </c>
      <c r="N67" s="75">
        <f>股权价值增加表!N5</f>
        <v>215473046.52000001</v>
      </c>
      <c r="O67" s="75">
        <f>股权价值增加表!O5</f>
        <v>287721956.77999997</v>
      </c>
      <c r="P67" s="75">
        <f>股权价值增加表!P5</f>
        <v>255145394.69</v>
      </c>
      <c r="Q67" s="75">
        <f>股权价值增加表!Q5</f>
        <v>207821413.31999999</v>
      </c>
      <c r="R67" s="75">
        <f>股权价值增加表!R5</f>
        <v>157440528.15000001</v>
      </c>
      <c r="S67" s="75">
        <f>股权价值增加表!S5</f>
        <v>0</v>
      </c>
      <c r="T67" s="75">
        <f>股权价值增加表!T5</f>
        <v>0</v>
      </c>
      <c r="U67" s="75">
        <f>股权价值增加表!U5</f>
        <v>0</v>
      </c>
      <c r="V67" s="75">
        <f>股权价值增加表!V5</f>
        <v>0</v>
      </c>
      <c r="W67" s="75">
        <f>股权价值增加表!W5</f>
        <v>0</v>
      </c>
      <c r="X67" s="75">
        <f>股权价值增加表!X5</f>
        <v>0</v>
      </c>
      <c r="Y67" s="75">
        <f>股权价值增加表!Y5</f>
        <v>0</v>
      </c>
      <c r="Z67" s="75">
        <f>股权价值增加表!Z5</f>
        <v>0</v>
      </c>
      <c r="AA67" s="75">
        <f>股权价值增加表!AA5</f>
        <v>0</v>
      </c>
      <c r="AB67" s="75">
        <f>股权价值增加表!AB5</f>
        <v>0</v>
      </c>
      <c r="AC67" s="75">
        <f>股权价值增加表!AC5</f>
        <v>0</v>
      </c>
      <c r="AD67" s="75">
        <f>股权价值增加表!AD5</f>
        <v>0</v>
      </c>
      <c r="AE67" s="75">
        <f>股权价值增加表!AE5</f>
        <v>0</v>
      </c>
      <c r="AF67" s="75">
        <f>股权价值增加表!AF5</f>
        <v>0</v>
      </c>
      <c r="AG67" s="75">
        <f>股权价值增加表!AG5</f>
        <v>0</v>
      </c>
      <c r="AH67" s="75">
        <f>股权价值增加表!AH5</f>
        <v>0</v>
      </c>
      <c r="AI67" s="75">
        <f>股权价值增加表!AI5</f>
        <v>0</v>
      </c>
      <c r="AJ67" s="75">
        <f>股权价值增加表!AJ5</f>
        <v>0</v>
      </c>
      <c r="AK67" s="75">
        <f>股权价值增加表!AK5</f>
        <v>0</v>
      </c>
      <c r="AL67" s="75">
        <f>股权价值增加表!AL5</f>
        <v>0</v>
      </c>
      <c r="AM67" s="75">
        <f>股权价值增加表!AM5</f>
        <v>0</v>
      </c>
      <c r="AN67" s="75">
        <f>股权价值增加表!AN5</f>
        <v>0</v>
      </c>
      <c r="AO67" s="75">
        <f>股权价值增加表!AO5</f>
        <v>0</v>
      </c>
      <c r="AP67" s="75">
        <f>股权价值增加表!AP5</f>
        <v>0</v>
      </c>
      <c r="AQ67" s="75">
        <f>股权价值增加表!AQ5</f>
        <v>0</v>
      </c>
      <c r="AR67" s="75">
        <f>股权价值增加表!AR5</f>
        <v>0</v>
      </c>
      <c r="AS67" s="75">
        <f>股权价值增加表!AS5</f>
        <v>0</v>
      </c>
      <c r="AT67" s="75">
        <f>股权价值增加表!AT5</f>
        <v>0</v>
      </c>
      <c r="AU67" s="75">
        <f>股权价值增加表!AU5</f>
        <v>0</v>
      </c>
      <c r="AV67" s="75">
        <f>股权价值增加表!AV5</f>
        <v>0</v>
      </c>
      <c r="AW67" s="75">
        <f>股权价值增加表!AW5</f>
        <v>0</v>
      </c>
      <c r="AX67" s="75">
        <f>股权价值增加表!AX5</f>
        <v>0</v>
      </c>
      <c r="AY67" s="75">
        <f>股权价值增加表!AY5</f>
        <v>0</v>
      </c>
      <c r="AZ67" s="75">
        <f>股权价值增加表!AZ5</f>
        <v>0</v>
      </c>
      <c r="BA67" s="75">
        <f>股权价值增加表!BA5</f>
        <v>0</v>
      </c>
      <c r="BB67" s="75">
        <f>股权价值增加表!BB5</f>
        <v>0</v>
      </c>
      <c r="BC67" s="75">
        <f>股权价值增加表!BC5</f>
        <v>0</v>
      </c>
      <c r="BD67" s="75">
        <f>股权价值增加表!BD5</f>
        <v>0</v>
      </c>
      <c r="BE67" s="75">
        <f>股权价值增加表!BE5</f>
        <v>0</v>
      </c>
      <c r="BF67" s="75">
        <f>股权价值增加表!BF5</f>
        <v>0</v>
      </c>
      <c r="BG67" s="75">
        <f>股权价值增加表!BG5</f>
        <v>0</v>
      </c>
      <c r="BH67" s="75">
        <f>股权价值增加表!BH5</f>
        <v>0</v>
      </c>
      <c r="BI67" s="75">
        <f>股权价值增加表!BI5</f>
        <v>0</v>
      </c>
      <c r="BJ67" s="75">
        <f>股权价值增加表!BJ5</f>
        <v>0</v>
      </c>
      <c r="BK67" s="75">
        <f>股权价值增加表!BK5</f>
        <v>0</v>
      </c>
      <c r="BL67" s="75">
        <f>股权价值增加表!BL5</f>
        <v>0</v>
      </c>
      <c r="BM67" s="75">
        <f>股权价值增加表!BM5</f>
        <v>0</v>
      </c>
      <c r="BN67" s="75">
        <f>股权价值增加表!BN5</f>
        <v>0</v>
      </c>
      <c r="BO67" s="75">
        <f>股权价值增加表!BO5</f>
        <v>0</v>
      </c>
      <c r="BP67" s="75">
        <f>股权价值增加表!BP5</f>
        <v>0</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5" t="s">
        <v>476</v>
      </c>
      <c r="E68" s="75">
        <f>资产资本表!E26</f>
        <v>12117745.539999999</v>
      </c>
      <c r="F68" s="75">
        <f>资产资本表!F26</f>
        <v>12503960.84</v>
      </c>
      <c r="G68" s="75">
        <f>资产资本表!G26</f>
        <v>13673254.140000001</v>
      </c>
      <c r="H68" s="75">
        <f>资产资本表!H26</f>
        <v>12157989.869999999</v>
      </c>
      <c r="I68" s="75">
        <f>资产资本表!I26</f>
        <v>12589577.720000001</v>
      </c>
      <c r="J68" s="75">
        <f>资产资本表!J26</f>
        <v>10846087.970000001</v>
      </c>
      <c r="K68" s="75">
        <f>资产资本表!K26</f>
        <v>8984778.7699999996</v>
      </c>
      <c r="L68" s="75">
        <f>资产资本表!L26</f>
        <v>5961470.6200000001</v>
      </c>
      <c r="M68" s="75">
        <f>资产资本表!M26</f>
        <v>7215783.6699999999</v>
      </c>
      <c r="N68" s="75">
        <f>资产资本表!N26</f>
        <v>8664830.7799999993</v>
      </c>
      <c r="O68" s="75">
        <f>资产资本表!O26</f>
        <v>6187653.1900000004</v>
      </c>
      <c r="P68" s="75">
        <f>资产资本表!P26</f>
        <v>4502522.03</v>
      </c>
      <c r="Q68" s="75">
        <f>资产资本表!Q26</f>
        <v>0</v>
      </c>
      <c r="R68" s="75">
        <f>资产资本表!R26</f>
        <v>0</v>
      </c>
      <c r="S68" s="75">
        <f>资产资本表!S26</f>
        <v>0</v>
      </c>
      <c r="T68" s="75">
        <f>资产资本表!T26</f>
        <v>0</v>
      </c>
      <c r="U68" s="75">
        <f>资产资本表!U26</f>
        <v>0</v>
      </c>
      <c r="V68" s="75">
        <f>资产资本表!V26</f>
        <v>0</v>
      </c>
      <c r="W68" s="75">
        <f>资产资本表!W26</f>
        <v>0</v>
      </c>
      <c r="X68" s="75">
        <f>资产资本表!X26</f>
        <v>0</v>
      </c>
      <c r="Y68" s="75">
        <f>资产资本表!Y26</f>
        <v>0</v>
      </c>
      <c r="Z68" s="75">
        <f>资产资本表!Z26</f>
        <v>0</v>
      </c>
      <c r="AA68" s="75">
        <f>资产资本表!AA26</f>
        <v>0</v>
      </c>
      <c r="AB68" s="75">
        <f>资产资本表!AB26</f>
        <v>0</v>
      </c>
      <c r="AC68" s="75">
        <f>资产资本表!AC26</f>
        <v>0</v>
      </c>
      <c r="AD68" s="75">
        <f>资产资本表!AD26</f>
        <v>0</v>
      </c>
      <c r="AE68" s="75">
        <f>资产资本表!AE26</f>
        <v>0</v>
      </c>
      <c r="AF68" s="75">
        <f>资产资本表!AF26</f>
        <v>0</v>
      </c>
      <c r="AG68" s="75">
        <f>资产资本表!AG26</f>
        <v>0</v>
      </c>
      <c r="AH68" s="75">
        <f>资产资本表!AH26</f>
        <v>0</v>
      </c>
      <c r="AI68" s="75">
        <f>资产资本表!AI26</f>
        <v>0</v>
      </c>
      <c r="AJ68" s="75">
        <f>资产资本表!AJ26</f>
        <v>0</v>
      </c>
      <c r="AK68" s="75">
        <f>资产资本表!AK26</f>
        <v>0</v>
      </c>
      <c r="AL68" s="75">
        <f>资产资本表!AL26</f>
        <v>0</v>
      </c>
      <c r="AM68" s="75">
        <f>资产资本表!AM26</f>
        <v>0</v>
      </c>
      <c r="AN68" s="75">
        <f>资产资本表!AN26</f>
        <v>0</v>
      </c>
      <c r="AO68" s="75">
        <f>资产资本表!AO26</f>
        <v>0</v>
      </c>
      <c r="AP68" s="75">
        <f>资产资本表!AP26</f>
        <v>0</v>
      </c>
      <c r="AQ68" s="75">
        <f>资产资本表!AQ26</f>
        <v>0</v>
      </c>
      <c r="AR68" s="75">
        <f>资产资本表!AR26</f>
        <v>0</v>
      </c>
      <c r="AS68" s="75">
        <f>资产资本表!AS26</f>
        <v>0</v>
      </c>
      <c r="AT68" s="75">
        <f>资产资本表!AT26</f>
        <v>0</v>
      </c>
      <c r="AU68" s="75">
        <f>资产资本表!AU26</f>
        <v>0</v>
      </c>
      <c r="AV68" s="75">
        <f>资产资本表!AV26</f>
        <v>0</v>
      </c>
      <c r="AW68" s="75">
        <f>资产资本表!AW26</f>
        <v>0</v>
      </c>
      <c r="AX68" s="75">
        <f>资产资本表!AX26</f>
        <v>0</v>
      </c>
      <c r="AY68" s="75">
        <f>资产资本表!AY26</f>
        <v>0</v>
      </c>
      <c r="AZ68" s="75">
        <f>资产资本表!AZ26</f>
        <v>0</v>
      </c>
      <c r="BA68" s="75">
        <f>资产资本表!BA26</f>
        <v>0</v>
      </c>
      <c r="BB68" s="75">
        <f>资产资本表!BB26</f>
        <v>0</v>
      </c>
      <c r="BC68" s="75">
        <f>资产资本表!BC26</f>
        <v>0</v>
      </c>
      <c r="BD68" s="75">
        <f>资产资本表!BD26</f>
        <v>0</v>
      </c>
      <c r="BE68" s="75">
        <f>资产资本表!BE26</f>
        <v>0</v>
      </c>
      <c r="BF68" s="75">
        <f>资产资本表!BF26</f>
        <v>0</v>
      </c>
      <c r="BG68" s="75">
        <f>资产资本表!BG26</f>
        <v>0</v>
      </c>
      <c r="BH68" s="75">
        <f>资产资本表!BH26</f>
        <v>0</v>
      </c>
      <c r="BI68" s="75">
        <f>资产资本表!BI26</f>
        <v>0</v>
      </c>
      <c r="BJ68" s="75">
        <f>资产资本表!BJ26</f>
        <v>0</v>
      </c>
      <c r="BK68" s="75">
        <f>资产资本表!BK26</f>
        <v>0</v>
      </c>
      <c r="BL68" s="75">
        <f>资产资本表!BL26</f>
        <v>0</v>
      </c>
      <c r="BM68" s="75">
        <f>资产资本表!BM26</f>
        <v>0</v>
      </c>
      <c r="BN68" s="75">
        <f>资产资本表!BN26</f>
        <v>0</v>
      </c>
      <c r="BO68" s="75">
        <f>资产资本表!BO26</f>
        <v>0</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3" customFormat="1" x14ac:dyDescent="0.25">
      <c r="A69" s="152" t="s">
        <v>477</v>
      </c>
      <c r="E69" s="153">
        <f>E67/(E68+I68)*2</f>
        <v>32.872119943275472</v>
      </c>
      <c r="F69" s="153">
        <f t="shared" ref="F69:BQ69" si="32">F67/(F68+J68)*2</f>
        <v>23.243272036654893</v>
      </c>
      <c r="G69" s="153">
        <f t="shared" si="32"/>
        <v>16.018169501370011</v>
      </c>
      <c r="H69" s="153">
        <f t="shared" si="32"/>
        <v>10.072012240139276</v>
      </c>
      <c r="I69" s="153">
        <f t="shared" si="32"/>
        <v>35.186402469377001</v>
      </c>
      <c r="J69" s="153">
        <f t="shared" si="32"/>
        <v>23.431925867663203</v>
      </c>
      <c r="K69" s="153">
        <f t="shared" si="32"/>
        <v>19.691342536757038</v>
      </c>
      <c r="L69" s="153">
        <f t="shared" si="32"/>
        <v>14.309060117697999</v>
      </c>
      <c r="M69" s="153">
        <f t="shared" si="32"/>
        <v>88.182591962322505</v>
      </c>
      <c r="N69" s="153">
        <f t="shared" si="32"/>
        <v>49.735084732953098</v>
      </c>
      <c r="O69" s="153">
        <f t="shared" si="32"/>
        <v>92.998734074170031</v>
      </c>
      <c r="P69" s="153">
        <f t="shared" si="32"/>
        <v>113.33443478565277</v>
      </c>
      <c r="Q69" s="153" t="e">
        <f t="shared" si="32"/>
        <v>#DIV/0!</v>
      </c>
      <c r="R69" s="153" t="e">
        <f t="shared" si="32"/>
        <v>#DIV/0!</v>
      </c>
      <c r="S69" s="153" t="e">
        <f t="shared" si="32"/>
        <v>#DIV/0!</v>
      </c>
      <c r="T69" s="153" t="e">
        <f t="shared" si="32"/>
        <v>#DIV/0!</v>
      </c>
      <c r="U69" s="153" t="e">
        <f t="shared" si="32"/>
        <v>#DIV/0!</v>
      </c>
      <c r="V69" s="153" t="e">
        <f t="shared" si="32"/>
        <v>#DIV/0!</v>
      </c>
      <c r="W69" s="153" t="e">
        <f t="shared" si="32"/>
        <v>#DIV/0!</v>
      </c>
      <c r="X69" s="153" t="e">
        <f t="shared" si="32"/>
        <v>#DIV/0!</v>
      </c>
      <c r="Y69" s="153" t="e">
        <f t="shared" si="32"/>
        <v>#DIV/0!</v>
      </c>
      <c r="Z69" s="153" t="e">
        <f t="shared" si="32"/>
        <v>#DIV/0!</v>
      </c>
      <c r="AA69" s="153" t="e">
        <f t="shared" si="32"/>
        <v>#DIV/0!</v>
      </c>
      <c r="AB69" s="153" t="e">
        <f t="shared" si="32"/>
        <v>#DIV/0!</v>
      </c>
      <c r="AC69" s="153" t="e">
        <f t="shared" si="32"/>
        <v>#DIV/0!</v>
      </c>
      <c r="AD69" s="153" t="e">
        <f t="shared" si="32"/>
        <v>#DIV/0!</v>
      </c>
      <c r="AE69" s="153" t="e">
        <f t="shared" si="32"/>
        <v>#DIV/0!</v>
      </c>
      <c r="AF69" s="153" t="e">
        <f t="shared" si="32"/>
        <v>#DIV/0!</v>
      </c>
      <c r="AG69" s="153" t="e">
        <f t="shared" si="32"/>
        <v>#DIV/0!</v>
      </c>
      <c r="AH69" s="153" t="e">
        <f t="shared" si="32"/>
        <v>#DIV/0!</v>
      </c>
      <c r="AI69" s="153" t="e">
        <f t="shared" si="32"/>
        <v>#DIV/0!</v>
      </c>
      <c r="AJ69" s="153" t="e">
        <f t="shared" si="32"/>
        <v>#DIV/0!</v>
      </c>
      <c r="AK69" s="153" t="e">
        <f t="shared" si="32"/>
        <v>#DIV/0!</v>
      </c>
      <c r="AL69" s="153" t="e">
        <f t="shared" si="32"/>
        <v>#DIV/0!</v>
      </c>
      <c r="AM69" s="153" t="e">
        <f t="shared" si="32"/>
        <v>#DIV/0!</v>
      </c>
      <c r="AN69" s="153" t="e">
        <f t="shared" si="32"/>
        <v>#DIV/0!</v>
      </c>
      <c r="AO69" s="153" t="e">
        <f t="shared" si="32"/>
        <v>#DIV/0!</v>
      </c>
      <c r="AP69" s="153" t="e">
        <f t="shared" si="32"/>
        <v>#DIV/0!</v>
      </c>
      <c r="AQ69" s="153" t="e">
        <f t="shared" si="32"/>
        <v>#DIV/0!</v>
      </c>
      <c r="AR69" s="153" t="e">
        <f t="shared" si="32"/>
        <v>#DIV/0!</v>
      </c>
      <c r="AS69" s="153" t="e">
        <f t="shared" si="32"/>
        <v>#DIV/0!</v>
      </c>
      <c r="AT69" s="153" t="e">
        <f t="shared" si="32"/>
        <v>#DIV/0!</v>
      </c>
      <c r="AU69" s="153" t="e">
        <f t="shared" si="32"/>
        <v>#DIV/0!</v>
      </c>
      <c r="AV69" s="153" t="e">
        <f t="shared" si="32"/>
        <v>#DIV/0!</v>
      </c>
      <c r="AW69" s="153" t="e">
        <f t="shared" si="32"/>
        <v>#DIV/0!</v>
      </c>
      <c r="AX69" s="153" t="e">
        <f t="shared" si="32"/>
        <v>#DIV/0!</v>
      </c>
      <c r="AY69" s="153" t="e">
        <f t="shared" si="32"/>
        <v>#DIV/0!</v>
      </c>
      <c r="AZ69" s="153" t="e">
        <f t="shared" si="32"/>
        <v>#DIV/0!</v>
      </c>
      <c r="BA69" s="153" t="e">
        <f t="shared" si="32"/>
        <v>#DIV/0!</v>
      </c>
      <c r="BB69" s="153" t="e">
        <f t="shared" si="32"/>
        <v>#DIV/0!</v>
      </c>
      <c r="BC69" s="153" t="e">
        <f t="shared" si="32"/>
        <v>#DIV/0!</v>
      </c>
      <c r="BD69" s="153" t="e">
        <f t="shared" si="32"/>
        <v>#DIV/0!</v>
      </c>
      <c r="BE69" s="153" t="e">
        <f t="shared" si="32"/>
        <v>#DIV/0!</v>
      </c>
      <c r="BF69" s="153" t="e">
        <f t="shared" si="32"/>
        <v>#DIV/0!</v>
      </c>
      <c r="BG69" s="153" t="e">
        <f t="shared" si="32"/>
        <v>#DIV/0!</v>
      </c>
      <c r="BH69" s="153" t="e">
        <f t="shared" si="32"/>
        <v>#DIV/0!</v>
      </c>
      <c r="BI69" s="153" t="e">
        <f t="shared" si="32"/>
        <v>#DIV/0!</v>
      </c>
      <c r="BJ69" s="153" t="e">
        <f t="shared" si="32"/>
        <v>#DIV/0!</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2" customFormat="1" x14ac:dyDescent="0.25">
      <c r="A70" s="146" t="s">
        <v>478</v>
      </c>
      <c r="E70" s="82">
        <f>E62/E69</f>
        <v>11.103634345148668</v>
      </c>
      <c r="F70" s="82">
        <f t="shared" ref="F70:BQ70" si="34">F62/F69</f>
        <v>15.703468918850625</v>
      </c>
      <c r="G70" s="82">
        <f t="shared" si="34"/>
        <v>22.786623650647602</v>
      </c>
      <c r="H70" s="82">
        <f t="shared" si="34"/>
        <v>36.239034593841275</v>
      </c>
      <c r="I70" s="82">
        <f t="shared" si="34"/>
        <v>10.373325329796428</v>
      </c>
      <c r="J70" s="82">
        <f t="shared" si="34"/>
        <v>15.57703801477588</v>
      </c>
      <c r="K70" s="82">
        <f t="shared" si="34"/>
        <v>18.536064735995993</v>
      </c>
      <c r="L70" s="82">
        <f t="shared" si="34"/>
        <v>25.508314102933557</v>
      </c>
      <c r="M70" s="82">
        <f t="shared" si="34"/>
        <v>4.139138937489526</v>
      </c>
      <c r="N70" s="82">
        <f t="shared" si="34"/>
        <v>7.338883646420352</v>
      </c>
      <c r="O70" s="82">
        <f t="shared" si="34"/>
        <v>3.9247846073786188</v>
      </c>
      <c r="P70" s="82">
        <f t="shared" si="34"/>
        <v>3.2205569356772941</v>
      </c>
      <c r="Q70" s="82" t="e">
        <f t="shared" si="34"/>
        <v>#DIV/0!</v>
      </c>
      <c r="R70" s="82" t="e">
        <f t="shared" si="34"/>
        <v>#DIV/0!</v>
      </c>
      <c r="S70" s="82" t="e">
        <f t="shared" si="34"/>
        <v>#DIV/0!</v>
      </c>
      <c r="T70" s="82" t="e">
        <f t="shared" si="34"/>
        <v>#DIV/0!</v>
      </c>
      <c r="U70" s="82" t="e">
        <f t="shared" si="34"/>
        <v>#DIV/0!</v>
      </c>
      <c r="V70" s="82" t="e">
        <f t="shared" si="34"/>
        <v>#DIV/0!</v>
      </c>
      <c r="W70" s="82" t="e">
        <f t="shared" si="34"/>
        <v>#DIV/0!</v>
      </c>
      <c r="X70" s="82" t="e">
        <f t="shared" si="34"/>
        <v>#DIV/0!</v>
      </c>
      <c r="Y70" s="82" t="e">
        <f t="shared" si="34"/>
        <v>#DIV/0!</v>
      </c>
      <c r="Z70" s="82" t="e">
        <f t="shared" si="34"/>
        <v>#DIV/0!</v>
      </c>
      <c r="AA70" s="82" t="e">
        <f t="shared" si="34"/>
        <v>#DIV/0!</v>
      </c>
      <c r="AB70" s="82" t="e">
        <f t="shared" si="34"/>
        <v>#DIV/0!</v>
      </c>
      <c r="AC70" s="82" t="e">
        <f t="shared" si="34"/>
        <v>#DIV/0!</v>
      </c>
      <c r="AD70" s="82" t="e">
        <f t="shared" si="34"/>
        <v>#DIV/0!</v>
      </c>
      <c r="AE70" s="82" t="e">
        <f t="shared" si="34"/>
        <v>#DIV/0!</v>
      </c>
      <c r="AF70" s="82" t="e">
        <f t="shared" si="34"/>
        <v>#DIV/0!</v>
      </c>
      <c r="AG70" s="82" t="e">
        <f t="shared" si="34"/>
        <v>#DIV/0!</v>
      </c>
      <c r="AH70" s="82" t="e">
        <f t="shared" si="34"/>
        <v>#DIV/0!</v>
      </c>
      <c r="AI70" s="82" t="e">
        <f t="shared" si="34"/>
        <v>#DIV/0!</v>
      </c>
      <c r="AJ70" s="82" t="e">
        <f t="shared" si="34"/>
        <v>#DIV/0!</v>
      </c>
      <c r="AK70" s="82" t="e">
        <f t="shared" si="34"/>
        <v>#DIV/0!</v>
      </c>
      <c r="AL70" s="82" t="e">
        <f t="shared" si="34"/>
        <v>#DIV/0!</v>
      </c>
      <c r="AM70" s="82" t="e">
        <f t="shared" si="34"/>
        <v>#DIV/0!</v>
      </c>
      <c r="AN70" s="82" t="e">
        <f t="shared" si="34"/>
        <v>#DIV/0!</v>
      </c>
      <c r="AO70" s="82" t="e">
        <f t="shared" si="34"/>
        <v>#DIV/0!</v>
      </c>
      <c r="AP70" s="82" t="e">
        <f t="shared" si="34"/>
        <v>#DIV/0!</v>
      </c>
      <c r="AQ70" s="82" t="e">
        <f t="shared" si="34"/>
        <v>#DIV/0!</v>
      </c>
      <c r="AR70" s="82" t="e">
        <f t="shared" si="34"/>
        <v>#DIV/0!</v>
      </c>
      <c r="AS70" s="82" t="e">
        <f t="shared" si="34"/>
        <v>#DIV/0!</v>
      </c>
      <c r="AT70" s="82" t="e">
        <f t="shared" si="34"/>
        <v>#DIV/0!</v>
      </c>
      <c r="AU70" s="82" t="e">
        <f t="shared" si="34"/>
        <v>#DIV/0!</v>
      </c>
      <c r="AV70" s="82" t="e">
        <f t="shared" si="34"/>
        <v>#DIV/0!</v>
      </c>
      <c r="AW70" s="82" t="e">
        <f t="shared" si="34"/>
        <v>#DIV/0!</v>
      </c>
      <c r="AX70" s="82" t="e">
        <f t="shared" si="34"/>
        <v>#DIV/0!</v>
      </c>
      <c r="AY70" s="82" t="e">
        <f t="shared" si="34"/>
        <v>#DIV/0!</v>
      </c>
      <c r="AZ70" s="82" t="e">
        <f t="shared" si="34"/>
        <v>#DIV/0!</v>
      </c>
      <c r="BA70" s="82" t="e">
        <f t="shared" si="34"/>
        <v>#DIV/0!</v>
      </c>
      <c r="BB70" s="82" t="e">
        <f t="shared" si="34"/>
        <v>#DIV/0!</v>
      </c>
      <c r="BC70" s="82" t="e">
        <f t="shared" si="34"/>
        <v>#DIV/0!</v>
      </c>
      <c r="BD70" s="82" t="e">
        <f t="shared" si="34"/>
        <v>#DIV/0!</v>
      </c>
      <c r="BE70" s="82" t="e">
        <f t="shared" si="34"/>
        <v>#DIV/0!</v>
      </c>
      <c r="BF70" s="82" t="e">
        <f t="shared" si="34"/>
        <v>#DIV/0!</v>
      </c>
      <c r="BG70" s="82" t="e">
        <f t="shared" si="34"/>
        <v>#DIV/0!</v>
      </c>
      <c r="BH70" s="82" t="e">
        <f t="shared" si="34"/>
        <v>#DIV/0!</v>
      </c>
      <c r="BI70" s="82" t="e">
        <f t="shared" si="34"/>
        <v>#DIV/0!</v>
      </c>
      <c r="BJ70" s="82" t="e">
        <f t="shared" si="34"/>
        <v>#DIV/0!</v>
      </c>
      <c r="BK70" s="82" t="e">
        <f t="shared" si="34"/>
        <v>#DIV/0!</v>
      </c>
      <c r="BL70" s="82" t="e">
        <f t="shared" si="34"/>
        <v>#DIV/0!</v>
      </c>
      <c r="BM70" s="82" t="e">
        <f t="shared" si="34"/>
        <v>#DIV/0!</v>
      </c>
      <c r="BN70" s="82" t="e">
        <f t="shared" si="34"/>
        <v>#DIV/0!</v>
      </c>
      <c r="BO70" s="82" t="e">
        <f t="shared" si="34"/>
        <v>#DIV/0!</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5" t="s">
        <v>479</v>
      </c>
      <c r="E71" s="75">
        <f>资产资本表!E35+资产资本表!E36-资产资本表!E24</f>
        <v>-20789610.559999999</v>
      </c>
      <c r="F71" s="75">
        <f>资产资本表!F35+资产资本表!F36-资产资本表!F24</f>
        <v>-43589614.909999996</v>
      </c>
      <c r="G71" s="75">
        <f>资产资本表!G35+资产资本表!G36-资产资本表!G24</f>
        <v>-14548553.319999997</v>
      </c>
      <c r="H71" s="75">
        <f>资产资本表!H35+资产资本表!H36-资产资本表!H24</f>
        <v>-17877719.230000004</v>
      </c>
      <c r="I71" s="75">
        <f>资产资本表!I35+资产资本表!I36-资产资本表!I24</f>
        <v>-7036467.9899999984</v>
      </c>
      <c r="J71" s="75">
        <f>资产资本表!J35+资产资本表!J36-资产资本表!J24</f>
        <v>-42872751.049999997</v>
      </c>
      <c r="K71" s="75">
        <f>资产资本表!K35+资产资本表!K36-资产资本表!K24</f>
        <v>-24889323.949999999</v>
      </c>
      <c r="L71" s="75">
        <f>资产资本表!L35+资产资本表!L36-资产资本表!L24</f>
        <v>-5204525.8900000006</v>
      </c>
      <c r="M71" s="75">
        <f>资产资本表!M35+资产资本表!M36-资产资本表!M24</f>
        <v>-1354486.3299999982</v>
      </c>
      <c r="N71" s="75">
        <f>资产资本表!N35+资产资本表!N36-资产资本表!N24</f>
        <v>-7295003.0700000003</v>
      </c>
      <c r="O71" s="75">
        <f>资产资本表!O35+资产资本表!O36-资产资本表!O24</f>
        <v>-70443094.039999992</v>
      </c>
      <c r="P71" s="75">
        <f>资产资本表!P35+资产资本表!P36-资产资本表!P24</f>
        <v>-8678213.5999999996</v>
      </c>
      <c r="Q71" s="75">
        <f>资产资本表!Q35+资产资本表!Q36-资产资本表!Q24</f>
        <v>0</v>
      </c>
      <c r="R71" s="75">
        <f>资产资本表!R35+资产资本表!R36-资产资本表!R24</f>
        <v>0</v>
      </c>
      <c r="S71" s="75">
        <f>资产资本表!S35+资产资本表!S36-资产资本表!S24</f>
        <v>0</v>
      </c>
      <c r="T71" s="75">
        <f>资产资本表!T35+资产资本表!T36-资产资本表!T24</f>
        <v>0</v>
      </c>
      <c r="U71" s="75">
        <f>资产资本表!U35+资产资本表!U36-资产资本表!U24</f>
        <v>0</v>
      </c>
      <c r="V71" s="75">
        <f>资产资本表!V35+资产资本表!V36-资产资本表!V24</f>
        <v>0</v>
      </c>
      <c r="W71" s="75">
        <f>资产资本表!W35+资产资本表!W36-资产资本表!W24</f>
        <v>0</v>
      </c>
      <c r="X71" s="75">
        <f>资产资本表!X35+资产资本表!X36-资产资本表!X24</f>
        <v>0</v>
      </c>
      <c r="Y71" s="75">
        <f>资产资本表!Y35+资产资本表!Y36-资产资本表!Y24</f>
        <v>0</v>
      </c>
      <c r="Z71" s="75">
        <f>资产资本表!Z35+资产资本表!Z36-资产资本表!Z24</f>
        <v>0</v>
      </c>
      <c r="AA71" s="75">
        <f>资产资本表!AA35+资产资本表!AA36-资产资本表!AA24</f>
        <v>0</v>
      </c>
      <c r="AB71" s="75">
        <f>资产资本表!AB35+资产资本表!AB36-资产资本表!AB24</f>
        <v>0</v>
      </c>
      <c r="AC71" s="75">
        <f>资产资本表!AC35+资产资本表!AC36-资产资本表!AC24</f>
        <v>0</v>
      </c>
      <c r="AD71" s="75">
        <f>资产资本表!AD35+资产资本表!AD36-资产资本表!AD24</f>
        <v>0</v>
      </c>
      <c r="AE71" s="75">
        <f>资产资本表!AE35+资产资本表!AE36-资产资本表!AE24</f>
        <v>0</v>
      </c>
      <c r="AF71" s="75">
        <f>资产资本表!AF35+资产资本表!AF36-资产资本表!AF24</f>
        <v>0</v>
      </c>
      <c r="AG71" s="75">
        <f>资产资本表!AG35+资产资本表!AG36-资产资本表!AG24</f>
        <v>0</v>
      </c>
      <c r="AH71" s="75">
        <f>资产资本表!AH35+资产资本表!AH36-资产资本表!AH24</f>
        <v>0</v>
      </c>
      <c r="AI71" s="75">
        <f>资产资本表!AI35+资产资本表!AI36-资产资本表!AI24</f>
        <v>0</v>
      </c>
      <c r="AJ71" s="75">
        <f>资产资本表!AJ35+资产资本表!AJ36-资产资本表!AJ24</f>
        <v>0</v>
      </c>
      <c r="AK71" s="75">
        <f>资产资本表!AK35+资产资本表!AK36-资产资本表!AK24</f>
        <v>0</v>
      </c>
      <c r="AL71" s="75">
        <f>资产资本表!AL35+资产资本表!AL36-资产资本表!AL24</f>
        <v>0</v>
      </c>
      <c r="AM71" s="75">
        <f>资产资本表!AM35+资产资本表!AM36-资产资本表!AM24</f>
        <v>0</v>
      </c>
      <c r="AN71" s="75">
        <f>资产资本表!AN35+资产资本表!AN36-资产资本表!AN24</f>
        <v>0</v>
      </c>
      <c r="AO71" s="75">
        <f>资产资本表!AO35+资产资本表!AO36-资产资本表!AO24</f>
        <v>0</v>
      </c>
      <c r="AP71" s="75">
        <f>资产资本表!AP35+资产资本表!AP36-资产资本表!AP24</f>
        <v>0</v>
      </c>
      <c r="AQ71" s="75">
        <f>资产资本表!AQ35+资产资本表!AQ36-资产资本表!AQ24</f>
        <v>0</v>
      </c>
      <c r="AR71" s="75">
        <f>资产资本表!AR35+资产资本表!AR36-资产资本表!AR24</f>
        <v>0</v>
      </c>
      <c r="AS71" s="75">
        <f>资产资本表!AS35+资产资本表!AS36-资产资本表!AS24</f>
        <v>0</v>
      </c>
      <c r="AT71" s="75">
        <f>资产资本表!AT35+资产资本表!AT36-资产资本表!AT24</f>
        <v>0</v>
      </c>
      <c r="AU71" s="75">
        <f>资产资本表!AU35+资产资本表!AU36-资产资本表!AU24</f>
        <v>0</v>
      </c>
      <c r="AV71" s="75">
        <f>资产资本表!AV35+资产资本表!AV36-资产资本表!AV24</f>
        <v>0</v>
      </c>
      <c r="AW71" s="75">
        <f>资产资本表!AW35+资产资本表!AW36-资产资本表!AW24</f>
        <v>0</v>
      </c>
      <c r="AX71" s="75">
        <f>资产资本表!AX35+资产资本表!AX36-资产资本表!AX24</f>
        <v>0</v>
      </c>
      <c r="AY71" s="75">
        <f>资产资本表!AY35+资产资本表!AY36-资产资本表!AY24</f>
        <v>0</v>
      </c>
      <c r="AZ71" s="75">
        <f>资产资本表!AZ35+资产资本表!AZ36-资产资本表!AZ24</f>
        <v>0</v>
      </c>
      <c r="BA71" s="75">
        <f>资产资本表!BA35+资产资本表!BA36-资产资本表!BA24</f>
        <v>0</v>
      </c>
      <c r="BB71" s="75">
        <f>资产资本表!BB35+资产资本表!BB36-资产资本表!BB24</f>
        <v>0</v>
      </c>
      <c r="BC71" s="75">
        <f>资产资本表!BC35+资产资本表!BC36-资产资本表!BC24</f>
        <v>0</v>
      </c>
      <c r="BD71" s="75">
        <f>资产资本表!BD35+资产资本表!BD36-资产资本表!BD24</f>
        <v>0</v>
      </c>
      <c r="BE71" s="75">
        <f>资产资本表!BE35+资产资本表!BE36-资产资本表!BE24</f>
        <v>0</v>
      </c>
      <c r="BF71" s="75">
        <f>资产资本表!BF35+资产资本表!BF36-资产资本表!BF24</f>
        <v>0</v>
      </c>
      <c r="BG71" s="75">
        <f>资产资本表!BG35+资产资本表!BG36-资产资本表!BG24</f>
        <v>0</v>
      </c>
      <c r="BH71" s="75">
        <f>资产资本表!BH35+资产资本表!BH36-资产资本表!BH24</f>
        <v>0</v>
      </c>
      <c r="BI71" s="75">
        <f>资产资本表!BI35+资产资本表!BI36-资产资本表!BI24</f>
        <v>0</v>
      </c>
      <c r="BJ71" s="75">
        <f>资产资本表!BJ35+资产资本表!BJ36-资产资本表!BJ24</f>
        <v>0</v>
      </c>
      <c r="BK71" s="75">
        <f>资产资本表!BK35+资产资本表!BK36-资产资本表!BK24</f>
        <v>0</v>
      </c>
      <c r="BL71" s="75">
        <f>资产资本表!BL35+资产资本表!BL36-资产资本表!BL24</f>
        <v>0</v>
      </c>
      <c r="BM71" s="75">
        <f>资产资本表!BM35+资产资本表!BM36-资产资本表!BM24</f>
        <v>0</v>
      </c>
      <c r="BN71" s="75">
        <f>资产资本表!BN35+资产资本表!BN36-资产资本表!BN24</f>
        <v>0</v>
      </c>
      <c r="BO71" s="75">
        <f>资产资本表!BO35+资产资本表!BO36-资产资本表!BO24</f>
        <v>0</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3" customFormat="1" x14ac:dyDescent="0.25">
      <c r="A72" s="152" t="s">
        <v>480</v>
      </c>
      <c r="E72" s="153">
        <f>E67/(E71+I71)*2</f>
        <v>-29.187802809533867</v>
      </c>
      <c r="F72" s="153">
        <f t="shared" ref="F72:BQ72" si="36">F67/(F71+J71)*2</f>
        <v>-6.2770840299591537</v>
      </c>
      <c r="G72" s="153">
        <f t="shared" si="36"/>
        <v>-9.2028333379921818</v>
      </c>
      <c r="H72" s="153">
        <f t="shared" si="36"/>
        <v>-7.9064851313735627</v>
      </c>
      <c r="I72" s="153">
        <f t="shared" si="36"/>
        <v>-83.0512704924367</v>
      </c>
      <c r="J72" s="153">
        <f t="shared" si="36"/>
        <v>-9.1129931921297658</v>
      </c>
      <c r="K72" s="153">
        <f t="shared" si="36"/>
        <v>-3.1339345118817747</v>
      </c>
      <c r="L72" s="153">
        <f t="shared" si="36"/>
        <v>-10.785328069280078</v>
      </c>
      <c r="M72" s="153">
        <f t="shared" si="36"/>
        <v>-469.77698701470155</v>
      </c>
      <c r="N72" s="153">
        <f t="shared" si="36"/>
        <v>-59.074148277226151</v>
      </c>
      <c r="O72" s="153">
        <f t="shared" si="36"/>
        <v>-8.1689187762428954</v>
      </c>
      <c r="P72" s="153">
        <f t="shared" si="36"/>
        <v>-58.801363149208498</v>
      </c>
      <c r="Q72" s="153" t="e">
        <f t="shared" si="36"/>
        <v>#DIV/0!</v>
      </c>
      <c r="R72" s="153" t="e">
        <f t="shared" si="36"/>
        <v>#DIV/0!</v>
      </c>
      <c r="S72" s="153" t="e">
        <f t="shared" si="36"/>
        <v>#DIV/0!</v>
      </c>
      <c r="T72" s="153" t="e">
        <f t="shared" si="36"/>
        <v>#DIV/0!</v>
      </c>
      <c r="U72" s="153" t="e">
        <f t="shared" si="36"/>
        <v>#DIV/0!</v>
      </c>
      <c r="V72" s="153" t="e">
        <f t="shared" si="36"/>
        <v>#DIV/0!</v>
      </c>
      <c r="W72" s="153" t="e">
        <f t="shared" si="36"/>
        <v>#DIV/0!</v>
      </c>
      <c r="X72" s="153" t="e">
        <f t="shared" si="36"/>
        <v>#DIV/0!</v>
      </c>
      <c r="Y72" s="153" t="e">
        <f t="shared" si="36"/>
        <v>#DIV/0!</v>
      </c>
      <c r="Z72" s="153" t="e">
        <f t="shared" si="36"/>
        <v>#DIV/0!</v>
      </c>
      <c r="AA72" s="153" t="e">
        <f t="shared" si="36"/>
        <v>#DIV/0!</v>
      </c>
      <c r="AB72" s="153" t="e">
        <f t="shared" si="36"/>
        <v>#DIV/0!</v>
      </c>
      <c r="AC72" s="153" t="e">
        <f t="shared" si="36"/>
        <v>#DIV/0!</v>
      </c>
      <c r="AD72" s="153" t="e">
        <f t="shared" si="36"/>
        <v>#DIV/0!</v>
      </c>
      <c r="AE72" s="153" t="e">
        <f t="shared" si="36"/>
        <v>#DIV/0!</v>
      </c>
      <c r="AF72" s="153" t="e">
        <f t="shared" si="36"/>
        <v>#DIV/0!</v>
      </c>
      <c r="AG72" s="153" t="e">
        <f t="shared" si="36"/>
        <v>#DIV/0!</v>
      </c>
      <c r="AH72" s="153" t="e">
        <f t="shared" si="36"/>
        <v>#DIV/0!</v>
      </c>
      <c r="AI72" s="153" t="e">
        <f t="shared" si="36"/>
        <v>#DIV/0!</v>
      </c>
      <c r="AJ72" s="153" t="e">
        <f t="shared" si="36"/>
        <v>#DIV/0!</v>
      </c>
      <c r="AK72" s="153" t="e">
        <f t="shared" si="36"/>
        <v>#DIV/0!</v>
      </c>
      <c r="AL72" s="153" t="e">
        <f t="shared" si="36"/>
        <v>#DIV/0!</v>
      </c>
      <c r="AM72" s="153" t="e">
        <f t="shared" si="36"/>
        <v>#DIV/0!</v>
      </c>
      <c r="AN72" s="153" t="e">
        <f t="shared" si="36"/>
        <v>#DIV/0!</v>
      </c>
      <c r="AO72" s="153" t="e">
        <f t="shared" si="36"/>
        <v>#DIV/0!</v>
      </c>
      <c r="AP72" s="153" t="e">
        <f t="shared" si="36"/>
        <v>#DIV/0!</v>
      </c>
      <c r="AQ72" s="153" t="e">
        <f t="shared" si="36"/>
        <v>#DIV/0!</v>
      </c>
      <c r="AR72" s="153" t="e">
        <f t="shared" si="36"/>
        <v>#DIV/0!</v>
      </c>
      <c r="AS72" s="153" t="e">
        <f t="shared" si="36"/>
        <v>#DIV/0!</v>
      </c>
      <c r="AT72" s="153" t="e">
        <f t="shared" si="36"/>
        <v>#DIV/0!</v>
      </c>
      <c r="AU72" s="153" t="e">
        <f t="shared" si="36"/>
        <v>#DIV/0!</v>
      </c>
      <c r="AV72" s="153" t="e">
        <f t="shared" si="36"/>
        <v>#DIV/0!</v>
      </c>
      <c r="AW72" s="153" t="e">
        <f t="shared" si="36"/>
        <v>#DIV/0!</v>
      </c>
      <c r="AX72" s="153" t="e">
        <f t="shared" si="36"/>
        <v>#DIV/0!</v>
      </c>
      <c r="AY72" s="153" t="e">
        <f t="shared" si="36"/>
        <v>#DIV/0!</v>
      </c>
      <c r="AZ72" s="153" t="e">
        <f t="shared" si="36"/>
        <v>#DIV/0!</v>
      </c>
      <c r="BA72" s="153" t="e">
        <f t="shared" si="36"/>
        <v>#DIV/0!</v>
      </c>
      <c r="BB72" s="153" t="e">
        <f t="shared" si="36"/>
        <v>#DIV/0!</v>
      </c>
      <c r="BC72" s="153" t="e">
        <f t="shared" si="36"/>
        <v>#DIV/0!</v>
      </c>
      <c r="BD72" s="153" t="e">
        <f t="shared" si="36"/>
        <v>#DIV/0!</v>
      </c>
      <c r="BE72" s="153" t="e">
        <f t="shared" si="36"/>
        <v>#DIV/0!</v>
      </c>
      <c r="BF72" s="153" t="e">
        <f t="shared" si="36"/>
        <v>#DIV/0!</v>
      </c>
      <c r="BG72" s="153" t="e">
        <f t="shared" si="36"/>
        <v>#DIV/0!</v>
      </c>
      <c r="BH72" s="153" t="e">
        <f t="shared" si="36"/>
        <v>#DIV/0!</v>
      </c>
      <c r="BI72" s="153" t="e">
        <f t="shared" si="36"/>
        <v>#DIV/0!</v>
      </c>
      <c r="BJ72" s="153" t="e">
        <f t="shared" si="36"/>
        <v>#DIV/0!</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2" customFormat="1" x14ac:dyDescent="0.25">
      <c r="A73" s="146" t="s">
        <v>481</v>
      </c>
      <c r="E73" s="82">
        <f>E62/E72</f>
        <v>-12.505223581981198</v>
      </c>
      <c r="F73" s="82">
        <f t="shared" ref="F73:BQ73" si="38">F62/F72</f>
        <v>-58.148018770807361</v>
      </c>
      <c r="G73" s="82">
        <f t="shared" si="38"/>
        <v>-39.661698369910226</v>
      </c>
      <c r="H73" s="82">
        <f t="shared" si="38"/>
        <v>-46.164634971822174</v>
      </c>
      <c r="I73" s="82">
        <f t="shared" si="38"/>
        <v>-4.3948755730743425</v>
      </c>
      <c r="J73" s="82">
        <f t="shared" si="38"/>
        <v>-40.052701928409661</v>
      </c>
      <c r="K73" s="82">
        <f t="shared" si="38"/>
        <v>-116.46701570060419</v>
      </c>
      <c r="L73" s="82">
        <f t="shared" si="38"/>
        <v>-33.842271431652776</v>
      </c>
      <c r="M73" s="82">
        <f t="shared" si="38"/>
        <v>-0.77696441096331825</v>
      </c>
      <c r="N73" s="82">
        <f t="shared" si="38"/>
        <v>-6.1786756245237688</v>
      </c>
      <c r="O73" s="82">
        <f t="shared" si="38"/>
        <v>-44.681555784531042</v>
      </c>
      <c r="P73" s="82">
        <f t="shared" si="38"/>
        <v>-6.2073390896366174</v>
      </c>
      <c r="Q73" s="82" t="e">
        <f t="shared" si="38"/>
        <v>#DIV/0!</v>
      </c>
      <c r="R73" s="82" t="e">
        <f t="shared" si="38"/>
        <v>#DIV/0!</v>
      </c>
      <c r="S73" s="82" t="e">
        <f t="shared" si="38"/>
        <v>#DIV/0!</v>
      </c>
      <c r="T73" s="82" t="e">
        <f t="shared" si="38"/>
        <v>#DIV/0!</v>
      </c>
      <c r="U73" s="82" t="e">
        <f t="shared" si="38"/>
        <v>#DIV/0!</v>
      </c>
      <c r="V73" s="82" t="e">
        <f t="shared" si="38"/>
        <v>#DIV/0!</v>
      </c>
      <c r="W73" s="82" t="e">
        <f t="shared" si="38"/>
        <v>#DIV/0!</v>
      </c>
      <c r="X73" s="82" t="e">
        <f t="shared" si="38"/>
        <v>#DIV/0!</v>
      </c>
      <c r="Y73" s="82" t="e">
        <f t="shared" si="38"/>
        <v>#DIV/0!</v>
      </c>
      <c r="Z73" s="82" t="e">
        <f t="shared" si="38"/>
        <v>#DIV/0!</v>
      </c>
      <c r="AA73" s="82" t="e">
        <f t="shared" si="38"/>
        <v>#DIV/0!</v>
      </c>
      <c r="AB73" s="82" t="e">
        <f t="shared" si="38"/>
        <v>#DIV/0!</v>
      </c>
      <c r="AC73" s="82" t="e">
        <f t="shared" si="38"/>
        <v>#DIV/0!</v>
      </c>
      <c r="AD73" s="82" t="e">
        <f t="shared" si="38"/>
        <v>#DIV/0!</v>
      </c>
      <c r="AE73" s="82" t="e">
        <f t="shared" si="38"/>
        <v>#DIV/0!</v>
      </c>
      <c r="AF73" s="82" t="e">
        <f t="shared" si="38"/>
        <v>#DIV/0!</v>
      </c>
      <c r="AG73" s="82" t="e">
        <f t="shared" si="38"/>
        <v>#DIV/0!</v>
      </c>
      <c r="AH73" s="82" t="e">
        <f t="shared" si="38"/>
        <v>#DIV/0!</v>
      </c>
      <c r="AI73" s="82" t="e">
        <f t="shared" si="38"/>
        <v>#DIV/0!</v>
      </c>
      <c r="AJ73" s="82" t="e">
        <f t="shared" si="38"/>
        <v>#DIV/0!</v>
      </c>
      <c r="AK73" s="82" t="e">
        <f t="shared" si="38"/>
        <v>#DIV/0!</v>
      </c>
      <c r="AL73" s="82" t="e">
        <f t="shared" si="38"/>
        <v>#DIV/0!</v>
      </c>
      <c r="AM73" s="82" t="e">
        <f t="shared" si="38"/>
        <v>#DIV/0!</v>
      </c>
      <c r="AN73" s="82" t="e">
        <f t="shared" si="38"/>
        <v>#DIV/0!</v>
      </c>
      <c r="AO73" s="82" t="e">
        <f t="shared" si="38"/>
        <v>#DIV/0!</v>
      </c>
      <c r="AP73" s="82" t="e">
        <f t="shared" si="38"/>
        <v>#DIV/0!</v>
      </c>
      <c r="AQ73" s="82" t="e">
        <f t="shared" si="38"/>
        <v>#DIV/0!</v>
      </c>
      <c r="AR73" s="82" t="e">
        <f t="shared" si="38"/>
        <v>#DIV/0!</v>
      </c>
      <c r="AS73" s="82" t="e">
        <f t="shared" si="38"/>
        <v>#DIV/0!</v>
      </c>
      <c r="AT73" s="82" t="e">
        <f t="shared" si="38"/>
        <v>#DIV/0!</v>
      </c>
      <c r="AU73" s="82" t="e">
        <f t="shared" si="38"/>
        <v>#DIV/0!</v>
      </c>
      <c r="AV73" s="82" t="e">
        <f t="shared" si="38"/>
        <v>#DIV/0!</v>
      </c>
      <c r="AW73" s="82" t="e">
        <f t="shared" si="38"/>
        <v>#DIV/0!</v>
      </c>
      <c r="AX73" s="82" t="e">
        <f t="shared" si="38"/>
        <v>#DIV/0!</v>
      </c>
      <c r="AY73" s="82" t="e">
        <f t="shared" si="38"/>
        <v>#DIV/0!</v>
      </c>
      <c r="AZ73" s="82" t="e">
        <f t="shared" si="38"/>
        <v>#DIV/0!</v>
      </c>
      <c r="BA73" s="82" t="e">
        <f t="shared" si="38"/>
        <v>#DIV/0!</v>
      </c>
      <c r="BB73" s="82" t="e">
        <f t="shared" si="38"/>
        <v>#DIV/0!</v>
      </c>
      <c r="BC73" s="82" t="e">
        <f t="shared" si="38"/>
        <v>#DIV/0!</v>
      </c>
      <c r="BD73" s="82" t="e">
        <f t="shared" si="38"/>
        <v>#DIV/0!</v>
      </c>
      <c r="BE73" s="82" t="e">
        <f t="shared" si="38"/>
        <v>#DIV/0!</v>
      </c>
      <c r="BF73" s="82" t="e">
        <f t="shared" si="38"/>
        <v>#DIV/0!</v>
      </c>
      <c r="BG73" s="82" t="e">
        <f t="shared" si="38"/>
        <v>#DIV/0!</v>
      </c>
      <c r="BH73" s="82" t="e">
        <f t="shared" si="38"/>
        <v>#DIV/0!</v>
      </c>
      <c r="BI73" s="82" t="e">
        <f t="shared" si="38"/>
        <v>#DIV/0!</v>
      </c>
      <c r="BJ73" s="82" t="e">
        <f t="shared" si="38"/>
        <v>#DIV/0!</v>
      </c>
      <c r="BK73" s="82" t="e">
        <f t="shared" si="38"/>
        <v>#DIV/0!</v>
      </c>
      <c r="BL73" s="82" t="e">
        <f t="shared" si="38"/>
        <v>#DIV/0!</v>
      </c>
      <c r="BM73" s="82" t="e">
        <f t="shared" si="38"/>
        <v>#DIV/0!</v>
      </c>
      <c r="BN73" s="82" t="e">
        <f t="shared" si="38"/>
        <v>#DIV/0!</v>
      </c>
      <c r="BO73" s="82" t="e">
        <f t="shared" si="38"/>
        <v>#DIV/0!</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4" customFormat="1" x14ac:dyDescent="0.25">
      <c r="A74" s="253" t="s">
        <v>482</v>
      </c>
      <c r="E74" s="254">
        <f>E66+E70</f>
        <v>-1.4693957434328926</v>
      </c>
      <c r="F74" s="254">
        <f t="shared" ref="F74:BQ74" si="40">F66+F70</f>
        <v>-1.5001130076806817</v>
      </c>
      <c r="G74" s="254">
        <f t="shared" si="40"/>
        <v>0.98429494151742958</v>
      </c>
      <c r="H74" s="254">
        <f t="shared" si="40"/>
        <v>-17.573763333892664</v>
      </c>
      <c r="I74" s="254">
        <f t="shared" si="40"/>
        <v>0.23854075028539334</v>
      </c>
      <c r="J74" s="254">
        <f t="shared" si="40"/>
        <v>-1.3867814295850529</v>
      </c>
      <c r="K74" s="254">
        <f t="shared" si="40"/>
        <v>-2.8550514550055546</v>
      </c>
      <c r="L74" s="254">
        <f t="shared" si="40"/>
        <v>-0.2120826585180744</v>
      </c>
      <c r="M74" s="254">
        <f t="shared" si="40"/>
        <v>-0.29158728413909785</v>
      </c>
      <c r="N74" s="254">
        <f t="shared" si="40"/>
        <v>2.2807899117615813</v>
      </c>
      <c r="O74" s="254">
        <f t="shared" si="40"/>
        <v>-0.94134111737942172</v>
      </c>
      <c r="P74" s="254">
        <f t="shared" si="40"/>
        <v>2.6238225566212403</v>
      </c>
      <c r="Q74" s="254" t="e">
        <f t="shared" si="40"/>
        <v>#DIV/0!</v>
      </c>
      <c r="R74" s="254" t="e">
        <f t="shared" si="40"/>
        <v>#DIV/0!</v>
      </c>
      <c r="S74" s="254" t="e">
        <f t="shared" si="40"/>
        <v>#DIV/0!</v>
      </c>
      <c r="T74" s="254" t="e">
        <f t="shared" si="40"/>
        <v>#DIV/0!</v>
      </c>
      <c r="U74" s="254" t="e">
        <f t="shared" si="40"/>
        <v>#DIV/0!</v>
      </c>
      <c r="V74" s="254" t="e">
        <f t="shared" si="40"/>
        <v>#DIV/0!</v>
      </c>
      <c r="W74" s="254" t="e">
        <f t="shared" si="40"/>
        <v>#DIV/0!</v>
      </c>
      <c r="X74" s="254" t="e">
        <f t="shared" si="40"/>
        <v>#DIV/0!</v>
      </c>
      <c r="Y74" s="254" t="e">
        <f t="shared" si="40"/>
        <v>#DIV/0!</v>
      </c>
      <c r="Z74" s="254" t="e">
        <f t="shared" si="40"/>
        <v>#DIV/0!</v>
      </c>
      <c r="AA74" s="254" t="e">
        <f t="shared" si="40"/>
        <v>#DIV/0!</v>
      </c>
      <c r="AB74" s="254" t="e">
        <f t="shared" si="40"/>
        <v>#DIV/0!</v>
      </c>
      <c r="AC74" s="254" t="e">
        <f t="shared" si="40"/>
        <v>#DIV/0!</v>
      </c>
      <c r="AD74" s="254" t="e">
        <f t="shared" si="40"/>
        <v>#DIV/0!</v>
      </c>
      <c r="AE74" s="254" t="e">
        <f t="shared" si="40"/>
        <v>#DIV/0!</v>
      </c>
      <c r="AF74" s="254" t="e">
        <f t="shared" si="40"/>
        <v>#DIV/0!</v>
      </c>
      <c r="AG74" s="254" t="e">
        <f t="shared" si="40"/>
        <v>#DIV/0!</v>
      </c>
      <c r="AH74" s="254" t="e">
        <f t="shared" si="40"/>
        <v>#DIV/0!</v>
      </c>
      <c r="AI74" s="254" t="e">
        <f t="shared" si="40"/>
        <v>#DIV/0!</v>
      </c>
      <c r="AJ74" s="254" t="e">
        <f t="shared" si="40"/>
        <v>#DIV/0!</v>
      </c>
      <c r="AK74" s="254" t="e">
        <f t="shared" si="40"/>
        <v>#DIV/0!</v>
      </c>
      <c r="AL74" s="254" t="e">
        <f t="shared" si="40"/>
        <v>#DIV/0!</v>
      </c>
      <c r="AM74" s="254" t="e">
        <f t="shared" si="40"/>
        <v>#DIV/0!</v>
      </c>
      <c r="AN74" s="254" t="e">
        <f t="shared" si="40"/>
        <v>#DIV/0!</v>
      </c>
      <c r="AO74" s="254" t="e">
        <f t="shared" si="40"/>
        <v>#DIV/0!</v>
      </c>
      <c r="AP74" s="254" t="e">
        <f t="shared" si="40"/>
        <v>#DIV/0!</v>
      </c>
      <c r="AQ74" s="254" t="e">
        <f t="shared" si="40"/>
        <v>#DIV/0!</v>
      </c>
      <c r="AR74" s="254" t="e">
        <f t="shared" si="40"/>
        <v>#DIV/0!</v>
      </c>
      <c r="AS74" s="254" t="e">
        <f t="shared" si="40"/>
        <v>#DIV/0!</v>
      </c>
      <c r="AT74" s="254" t="e">
        <f t="shared" si="40"/>
        <v>#DIV/0!</v>
      </c>
      <c r="AU74" s="254" t="e">
        <f t="shared" si="40"/>
        <v>#DIV/0!</v>
      </c>
      <c r="AV74" s="254" t="e">
        <f t="shared" si="40"/>
        <v>#DIV/0!</v>
      </c>
      <c r="AW74" s="254" t="e">
        <f t="shared" si="40"/>
        <v>#DIV/0!</v>
      </c>
      <c r="AX74" s="254" t="e">
        <f t="shared" si="40"/>
        <v>#DIV/0!</v>
      </c>
      <c r="AY74" s="254" t="e">
        <f t="shared" si="40"/>
        <v>#DIV/0!</v>
      </c>
      <c r="AZ74" s="254" t="e">
        <f t="shared" si="40"/>
        <v>#DIV/0!</v>
      </c>
      <c r="BA74" s="254" t="e">
        <f t="shared" si="40"/>
        <v>#DIV/0!</v>
      </c>
      <c r="BB74" s="254" t="e">
        <f t="shared" si="40"/>
        <v>#DIV/0!</v>
      </c>
      <c r="BC74" s="254" t="e">
        <f t="shared" si="40"/>
        <v>#DIV/0!</v>
      </c>
      <c r="BD74" s="254" t="e">
        <f t="shared" si="40"/>
        <v>#DIV/0!</v>
      </c>
      <c r="BE74" s="254" t="e">
        <f t="shared" si="40"/>
        <v>#DIV/0!</v>
      </c>
      <c r="BF74" s="254" t="e">
        <f t="shared" si="40"/>
        <v>#DIV/0!</v>
      </c>
      <c r="BG74" s="254" t="e">
        <f t="shared" si="40"/>
        <v>#DIV/0!</v>
      </c>
      <c r="BH74" s="254" t="e">
        <f t="shared" si="40"/>
        <v>#DIV/0!</v>
      </c>
      <c r="BI74" s="254" t="e">
        <f t="shared" si="40"/>
        <v>#DIV/0!</v>
      </c>
      <c r="BJ74" s="254" t="e">
        <f t="shared" si="40"/>
        <v>#DIV/0!</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11.035827838548306</v>
      </c>
      <c r="F75" s="254">
        <f t="shared" ref="F75:BQ75" si="42">F74-F73</f>
        <v>56.64790576312668</v>
      </c>
      <c r="G75" s="254">
        <f t="shared" si="42"/>
        <v>40.645993311427659</v>
      </c>
      <c r="H75" s="254">
        <f t="shared" si="42"/>
        <v>28.59087163792951</v>
      </c>
      <c r="I75" s="254">
        <f t="shared" si="42"/>
        <v>4.6334163233597359</v>
      </c>
      <c r="J75" s="254">
        <f t="shared" si="42"/>
        <v>38.665920498824605</v>
      </c>
      <c r="K75" s="254">
        <f t="shared" si="42"/>
        <v>113.61196424559864</v>
      </c>
      <c r="L75" s="254">
        <f t="shared" si="42"/>
        <v>33.630188773134705</v>
      </c>
      <c r="M75" s="254">
        <f t="shared" si="42"/>
        <v>0.48537712682422041</v>
      </c>
      <c r="N75" s="254">
        <f t="shared" si="42"/>
        <v>8.4594655362853501</v>
      </c>
      <c r="O75" s="254">
        <f t="shared" si="42"/>
        <v>43.740214667151619</v>
      </c>
      <c r="P75" s="254">
        <f t="shared" si="42"/>
        <v>8.8311616462578577</v>
      </c>
      <c r="Q75" s="254" t="e">
        <f t="shared" si="42"/>
        <v>#DIV/0!</v>
      </c>
      <c r="R75" s="254" t="e">
        <f t="shared" si="42"/>
        <v>#DIV/0!</v>
      </c>
      <c r="S75" s="254" t="e">
        <f t="shared" si="42"/>
        <v>#DIV/0!</v>
      </c>
      <c r="T75" s="254" t="e">
        <f t="shared" si="42"/>
        <v>#DIV/0!</v>
      </c>
      <c r="U75" s="254" t="e">
        <f t="shared" si="42"/>
        <v>#DIV/0!</v>
      </c>
      <c r="V75" s="254" t="e">
        <f t="shared" si="42"/>
        <v>#DIV/0!</v>
      </c>
      <c r="W75" s="254" t="e">
        <f t="shared" si="42"/>
        <v>#DIV/0!</v>
      </c>
      <c r="X75" s="254" t="e">
        <f t="shared" si="42"/>
        <v>#DIV/0!</v>
      </c>
      <c r="Y75" s="254" t="e">
        <f t="shared" si="42"/>
        <v>#DIV/0!</v>
      </c>
      <c r="Z75" s="254" t="e">
        <f t="shared" si="42"/>
        <v>#DIV/0!</v>
      </c>
      <c r="AA75" s="254" t="e">
        <f t="shared" si="42"/>
        <v>#DIV/0!</v>
      </c>
      <c r="AB75" s="254" t="e">
        <f t="shared" si="42"/>
        <v>#DIV/0!</v>
      </c>
      <c r="AC75" s="254" t="e">
        <f t="shared" si="42"/>
        <v>#DIV/0!</v>
      </c>
      <c r="AD75" s="254" t="e">
        <f t="shared" si="42"/>
        <v>#DIV/0!</v>
      </c>
      <c r="AE75" s="254" t="e">
        <f t="shared" si="42"/>
        <v>#DIV/0!</v>
      </c>
      <c r="AF75" s="254" t="e">
        <f t="shared" si="42"/>
        <v>#DIV/0!</v>
      </c>
      <c r="AG75" s="254" t="e">
        <f t="shared" si="42"/>
        <v>#DIV/0!</v>
      </c>
      <c r="AH75" s="254" t="e">
        <f t="shared" si="42"/>
        <v>#DIV/0!</v>
      </c>
      <c r="AI75" s="254" t="e">
        <f t="shared" si="42"/>
        <v>#DIV/0!</v>
      </c>
      <c r="AJ75" s="254" t="e">
        <f t="shared" si="42"/>
        <v>#DIV/0!</v>
      </c>
      <c r="AK75" s="254" t="e">
        <f t="shared" si="42"/>
        <v>#DIV/0!</v>
      </c>
      <c r="AL75" s="254" t="e">
        <f t="shared" si="42"/>
        <v>#DIV/0!</v>
      </c>
      <c r="AM75" s="254" t="e">
        <f t="shared" si="42"/>
        <v>#DIV/0!</v>
      </c>
      <c r="AN75" s="254" t="e">
        <f t="shared" si="42"/>
        <v>#DIV/0!</v>
      </c>
      <c r="AO75" s="254" t="e">
        <f t="shared" si="42"/>
        <v>#DIV/0!</v>
      </c>
      <c r="AP75" s="254" t="e">
        <f t="shared" si="42"/>
        <v>#DIV/0!</v>
      </c>
      <c r="AQ75" s="254" t="e">
        <f t="shared" si="42"/>
        <v>#DIV/0!</v>
      </c>
      <c r="AR75" s="254" t="e">
        <f t="shared" si="42"/>
        <v>#DIV/0!</v>
      </c>
      <c r="AS75" s="254" t="e">
        <f t="shared" si="42"/>
        <v>#DIV/0!</v>
      </c>
      <c r="AT75" s="254" t="e">
        <f t="shared" si="42"/>
        <v>#DIV/0!</v>
      </c>
      <c r="AU75" s="254" t="e">
        <f t="shared" si="42"/>
        <v>#DIV/0!</v>
      </c>
      <c r="AV75" s="254" t="e">
        <f t="shared" si="42"/>
        <v>#DIV/0!</v>
      </c>
      <c r="AW75" s="254" t="e">
        <f t="shared" si="42"/>
        <v>#DIV/0!</v>
      </c>
      <c r="AX75" s="254" t="e">
        <f t="shared" si="42"/>
        <v>#DIV/0!</v>
      </c>
      <c r="AY75" s="254" t="e">
        <f t="shared" si="42"/>
        <v>#DIV/0!</v>
      </c>
      <c r="AZ75" s="254" t="e">
        <f t="shared" si="42"/>
        <v>#DIV/0!</v>
      </c>
      <c r="BA75" s="254" t="e">
        <f t="shared" si="42"/>
        <v>#DIV/0!</v>
      </c>
      <c r="BB75" s="254" t="e">
        <f t="shared" si="42"/>
        <v>#DIV/0!</v>
      </c>
      <c r="BC75" s="254" t="e">
        <f t="shared" si="42"/>
        <v>#DIV/0!</v>
      </c>
      <c r="BD75" s="254" t="e">
        <f t="shared" si="42"/>
        <v>#DIV/0!</v>
      </c>
      <c r="BE75" s="254" t="e">
        <f t="shared" si="42"/>
        <v>#DIV/0!</v>
      </c>
      <c r="BF75" s="254" t="e">
        <f t="shared" si="42"/>
        <v>#DIV/0!</v>
      </c>
      <c r="BG75" s="254" t="e">
        <f t="shared" si="42"/>
        <v>#DIV/0!</v>
      </c>
      <c r="BH75" s="254" t="e">
        <f t="shared" si="42"/>
        <v>#DIV/0!</v>
      </c>
      <c r="BI75" s="254" t="e">
        <f t="shared" si="42"/>
        <v>#DIV/0!</v>
      </c>
      <c r="BJ75" s="254" t="e">
        <f t="shared" si="42"/>
        <v>#DIV/0!</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19" customFormat="1" x14ac:dyDescent="0.25">
      <c r="A76" s="147" t="s">
        <v>484</v>
      </c>
      <c r="E76" s="119">
        <f>E71-E64-E68</f>
        <v>-3506677.1100000031</v>
      </c>
      <c r="F76" s="119">
        <f t="shared" ref="F76:BQ76" si="44">F71-F64-F68</f>
        <v>-37383252.00999999</v>
      </c>
      <c r="G76" s="119">
        <f t="shared" si="44"/>
        <v>-6732177.8399999924</v>
      </c>
      <c r="H76" s="119">
        <f t="shared" si="44"/>
        <v>-647676.95000001229</v>
      </c>
      <c r="I76" s="119">
        <f t="shared" si="44"/>
        <v>2809220.8500000034</v>
      </c>
      <c r="J76" s="119">
        <f t="shared" si="44"/>
        <v>-22866544.209999993</v>
      </c>
      <c r="K76" s="119">
        <f t="shared" si="44"/>
        <v>-14773083.149999991</v>
      </c>
      <c r="L76" s="119">
        <f t="shared" si="44"/>
        <v>4766897.9800000014</v>
      </c>
      <c r="M76" s="119">
        <f t="shared" si="44"/>
        <v>5924586.7299999986</v>
      </c>
      <c r="N76" s="119">
        <f t="shared" si="44"/>
        <v>-4610986.7300000023</v>
      </c>
      <c r="O76" s="119">
        <f t="shared" si="44"/>
        <v>-62530723.169999987</v>
      </c>
      <c r="P76" s="119">
        <f t="shared" si="44"/>
        <v>-11595194.589999996</v>
      </c>
      <c r="Q76" s="119">
        <f t="shared" si="44"/>
        <v>0</v>
      </c>
      <c r="R76" s="119">
        <f t="shared" si="44"/>
        <v>0</v>
      </c>
      <c r="S76" s="119">
        <f t="shared" si="44"/>
        <v>0</v>
      </c>
      <c r="T76" s="119">
        <f t="shared" si="44"/>
        <v>0</v>
      </c>
      <c r="U76" s="119">
        <f t="shared" si="44"/>
        <v>0</v>
      </c>
      <c r="V76" s="119">
        <f t="shared" si="44"/>
        <v>0</v>
      </c>
      <c r="W76" s="119">
        <f t="shared" si="44"/>
        <v>0</v>
      </c>
      <c r="X76" s="119">
        <f t="shared" si="44"/>
        <v>0</v>
      </c>
      <c r="Y76" s="119">
        <f t="shared" si="44"/>
        <v>0</v>
      </c>
      <c r="Z76" s="119">
        <f t="shared" si="44"/>
        <v>0</v>
      </c>
      <c r="AA76" s="119">
        <f t="shared" si="44"/>
        <v>0</v>
      </c>
      <c r="AB76" s="119">
        <f t="shared" si="44"/>
        <v>0</v>
      </c>
      <c r="AC76" s="119">
        <f t="shared" si="44"/>
        <v>0</v>
      </c>
      <c r="AD76" s="119">
        <f t="shared" si="44"/>
        <v>0</v>
      </c>
      <c r="AE76" s="119">
        <f t="shared" si="44"/>
        <v>0</v>
      </c>
      <c r="AF76" s="119">
        <f t="shared" si="44"/>
        <v>0</v>
      </c>
      <c r="AG76" s="119">
        <f t="shared" si="44"/>
        <v>0</v>
      </c>
      <c r="AH76" s="119">
        <f t="shared" si="44"/>
        <v>0</v>
      </c>
      <c r="AI76" s="119">
        <f t="shared" si="44"/>
        <v>0</v>
      </c>
      <c r="AJ76" s="119">
        <f t="shared" si="44"/>
        <v>0</v>
      </c>
      <c r="AK76" s="119">
        <f t="shared" si="44"/>
        <v>0</v>
      </c>
      <c r="AL76" s="119">
        <f t="shared" si="44"/>
        <v>0</v>
      </c>
      <c r="AM76" s="119">
        <f t="shared" si="44"/>
        <v>0</v>
      </c>
      <c r="AN76" s="119">
        <f t="shared" si="44"/>
        <v>0</v>
      </c>
      <c r="AO76" s="119">
        <f t="shared" si="44"/>
        <v>0</v>
      </c>
      <c r="AP76" s="119">
        <f t="shared" si="44"/>
        <v>0</v>
      </c>
      <c r="AQ76" s="119">
        <f t="shared" si="44"/>
        <v>0</v>
      </c>
      <c r="AR76" s="119">
        <f t="shared" si="44"/>
        <v>0</v>
      </c>
      <c r="AS76" s="119">
        <f t="shared" si="44"/>
        <v>0</v>
      </c>
      <c r="AT76" s="119">
        <f t="shared" si="44"/>
        <v>0</v>
      </c>
      <c r="AU76" s="119">
        <f t="shared" si="44"/>
        <v>0</v>
      </c>
      <c r="AV76" s="119">
        <f t="shared" si="44"/>
        <v>0</v>
      </c>
      <c r="AW76" s="119">
        <f t="shared" si="44"/>
        <v>0</v>
      </c>
      <c r="AX76" s="119">
        <f t="shared" si="44"/>
        <v>0</v>
      </c>
      <c r="AY76" s="119">
        <f t="shared" si="44"/>
        <v>0</v>
      </c>
      <c r="AZ76" s="119">
        <f t="shared" si="44"/>
        <v>0</v>
      </c>
      <c r="BA76" s="119">
        <f t="shared" si="44"/>
        <v>0</v>
      </c>
      <c r="BB76" s="119">
        <f t="shared" si="44"/>
        <v>0</v>
      </c>
      <c r="BC76" s="119">
        <f t="shared" si="44"/>
        <v>0</v>
      </c>
      <c r="BD76" s="119">
        <f t="shared" si="44"/>
        <v>0</v>
      </c>
      <c r="BE76" s="119">
        <f t="shared" si="44"/>
        <v>0</v>
      </c>
      <c r="BF76" s="119">
        <f t="shared" si="44"/>
        <v>0</v>
      </c>
      <c r="BG76" s="119">
        <f t="shared" si="44"/>
        <v>0</v>
      </c>
      <c r="BH76" s="119">
        <f t="shared" si="44"/>
        <v>0</v>
      </c>
      <c r="BI76" s="119">
        <f t="shared" si="44"/>
        <v>0</v>
      </c>
      <c r="BJ76" s="119">
        <f t="shared" si="44"/>
        <v>0</v>
      </c>
      <c r="BK76" s="119">
        <f t="shared" si="44"/>
        <v>0</v>
      </c>
      <c r="BL76" s="119">
        <f t="shared" si="44"/>
        <v>0</v>
      </c>
      <c r="BM76" s="119">
        <f t="shared" si="44"/>
        <v>0</v>
      </c>
      <c r="BN76" s="119">
        <f t="shared" si="44"/>
        <v>0</v>
      </c>
      <c r="BO76" s="119">
        <f t="shared" si="44"/>
        <v>0</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78" t="s">
        <v>690</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42004</v>
      </c>
      <c r="P80" s="1">
        <v>41639</v>
      </c>
      <c r="Q80" s="1">
        <v>41274</v>
      </c>
      <c r="R80" s="1">
        <v>40908</v>
      </c>
      <c r="S80" s="1">
        <v>25569</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579</v>
      </c>
      <c r="E81" s="75">
        <f>股权价值增加表!E4</f>
        <v>752408925.78999996</v>
      </c>
      <c r="F81" s="75">
        <f>股权价值增加表!F4</f>
        <v>525772942.17000002</v>
      </c>
      <c r="G81" s="75">
        <f>股权价值增加表!G4</f>
        <v>339770745.41000003</v>
      </c>
      <c r="H81" s="75">
        <f>股权价值增加表!H4</f>
        <v>153700781.78999999</v>
      </c>
      <c r="I81" s="75">
        <f>股权价值增加表!I4</f>
        <v>665011421.55999994</v>
      </c>
      <c r="J81" s="75">
        <f>股权价值增加表!J4</f>
        <v>454007921.24000001</v>
      </c>
      <c r="K81" s="75">
        <f>股权价值增加表!K4</f>
        <v>283257330.20999998</v>
      </c>
      <c r="L81" s="75">
        <f>股权价值增加表!L4</f>
        <v>124302689.18000001</v>
      </c>
      <c r="M81" s="75">
        <f>股权价值增加表!M4</f>
        <v>597037871.64999998</v>
      </c>
      <c r="N81" s="75">
        <f>股权价值增加表!N4</f>
        <v>409475329.64999998</v>
      </c>
      <c r="O81" s="75">
        <f>股权价值增加表!O4</f>
        <v>528809680.74000001</v>
      </c>
      <c r="P81" s="75">
        <f>股权价值增加表!P4</f>
        <v>484907942.22000003</v>
      </c>
      <c r="Q81" s="75">
        <f>股权价值增加表!Q4</f>
        <v>395593790.81</v>
      </c>
      <c r="R81" s="75">
        <f>股权价值增加表!R4</f>
        <v>316891515.43000001</v>
      </c>
      <c r="S81" s="75">
        <f>股权价值增加表!S4</f>
        <v>0</v>
      </c>
      <c r="T81" s="75">
        <f>股权价值增加表!T4</f>
        <v>0</v>
      </c>
      <c r="U81" s="75">
        <f>股权价值增加表!U4</f>
        <v>0</v>
      </c>
      <c r="V81" s="75">
        <f>股权价值增加表!V4</f>
        <v>0</v>
      </c>
      <c r="W81" s="75">
        <f>股权价值增加表!W4</f>
        <v>0</v>
      </c>
      <c r="X81" s="75">
        <f>股权价值增加表!X4</f>
        <v>0</v>
      </c>
      <c r="Y81" s="75">
        <f>股权价值增加表!Y4</f>
        <v>0</v>
      </c>
      <c r="Z81" s="75">
        <f>股权价值增加表!Z4</f>
        <v>0</v>
      </c>
      <c r="AA81" s="75">
        <f>股权价值增加表!AA4</f>
        <v>0</v>
      </c>
      <c r="AB81" s="75">
        <f>股权价值增加表!AB4</f>
        <v>0</v>
      </c>
      <c r="AC81" s="75">
        <f>股权价值增加表!AC4</f>
        <v>0</v>
      </c>
      <c r="AD81" s="75">
        <f>股权价值增加表!AD4</f>
        <v>0</v>
      </c>
      <c r="AE81" s="75">
        <f>股权价值增加表!AE4</f>
        <v>0</v>
      </c>
      <c r="AF81" s="75">
        <f>股权价值增加表!AF4</f>
        <v>0</v>
      </c>
      <c r="AG81" s="75">
        <f>股权价值增加表!AG4</f>
        <v>0</v>
      </c>
      <c r="AH81" s="75">
        <f>股权价值增加表!AH4</f>
        <v>0</v>
      </c>
      <c r="AI81" s="75">
        <f>股权价值增加表!AI4</f>
        <v>0</v>
      </c>
      <c r="AJ81" s="75">
        <f>股权价值增加表!AJ4</f>
        <v>0</v>
      </c>
      <c r="AK81" s="75">
        <f>股权价值增加表!AK4</f>
        <v>0</v>
      </c>
      <c r="AL81" s="75">
        <f>股权价值增加表!AL4</f>
        <v>0</v>
      </c>
      <c r="AM81" s="75">
        <f>股权价值增加表!AM4</f>
        <v>0</v>
      </c>
      <c r="AN81" s="75">
        <f>股权价值增加表!AN4</f>
        <v>0</v>
      </c>
      <c r="AO81" s="75">
        <f>股权价值增加表!AO4</f>
        <v>0</v>
      </c>
      <c r="AP81" s="75">
        <f>股权价值增加表!AP4</f>
        <v>0</v>
      </c>
      <c r="AQ81" s="75">
        <f>股权价值增加表!AQ4</f>
        <v>0</v>
      </c>
      <c r="AR81" s="75">
        <f>股权价值增加表!AR4</f>
        <v>0</v>
      </c>
      <c r="AS81" s="75">
        <f>股权价值增加表!AS4</f>
        <v>0</v>
      </c>
      <c r="AT81" s="75">
        <f>股权价值增加表!AT4</f>
        <v>0</v>
      </c>
      <c r="AU81" s="75">
        <f>股权价值增加表!AU4</f>
        <v>0</v>
      </c>
      <c r="AV81" s="75">
        <f>股权价值增加表!AV4</f>
        <v>0</v>
      </c>
      <c r="AW81" s="75">
        <f>股权价值增加表!AW4</f>
        <v>0</v>
      </c>
      <c r="AX81" s="75">
        <f>股权价值增加表!AX4</f>
        <v>0</v>
      </c>
      <c r="AY81" s="75">
        <f>股权价值增加表!AY4</f>
        <v>0</v>
      </c>
      <c r="AZ81" s="75">
        <f>股权价值增加表!AZ4</f>
        <v>0</v>
      </c>
      <c r="BA81" s="75">
        <f>股权价值增加表!BA4</f>
        <v>0</v>
      </c>
      <c r="BB81" s="75">
        <f>股权价值增加表!BB4</f>
        <v>0</v>
      </c>
      <c r="BC81" s="75">
        <f>股权价值增加表!BC4</f>
        <v>0</v>
      </c>
      <c r="BD81" s="75">
        <f>股权价值增加表!BD4</f>
        <v>0</v>
      </c>
      <c r="BE81" s="75">
        <f>股权价值增加表!BE4</f>
        <v>0</v>
      </c>
      <c r="BF81" s="75">
        <f>股权价值增加表!BF4</f>
        <v>0</v>
      </c>
      <c r="BG81" s="75">
        <f>股权价值增加表!BG4</f>
        <v>0</v>
      </c>
      <c r="BH81" s="75">
        <f>股权价值增加表!BH4</f>
        <v>0</v>
      </c>
      <c r="BI81" s="75">
        <f>股权价值增加表!BI4</f>
        <v>0</v>
      </c>
      <c r="BJ81" s="75">
        <f>股权价值增加表!BJ4</f>
        <v>0</v>
      </c>
      <c r="BK81" s="75">
        <f>股权价值增加表!BK4</f>
        <v>0</v>
      </c>
      <c r="BL81" s="75">
        <f>股权价值增加表!BL4</f>
        <v>0</v>
      </c>
      <c r="BM81" s="75">
        <f>股权价值增加表!BM4</f>
        <v>0</v>
      </c>
      <c r="BN81" s="75">
        <f>股权价值增加表!BN4</f>
        <v>0</v>
      </c>
      <c r="BO81" s="75">
        <f>股权价值增加表!BO4</f>
        <v>0</v>
      </c>
      <c r="BP81" s="75">
        <f>股权价值增加表!BP4</f>
        <v>0</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580</v>
      </c>
      <c r="E82" s="75">
        <f>投资和筹资活动现金流表!E34</f>
        <v>513971448.90999997</v>
      </c>
      <c r="F82" s="75">
        <f>投资和筹资活动现金流表!F34</f>
        <v>436676333.93000001</v>
      </c>
      <c r="G82" s="75">
        <f>投资和筹资活动现金流表!G34</f>
        <v>431001262.72000003</v>
      </c>
      <c r="H82" s="75">
        <f>投资和筹资活动现金流表!H34</f>
        <v>426602418.74000001</v>
      </c>
      <c r="I82" s="75">
        <f>投资和筹资活动现金流表!I34</f>
        <v>416358416.99000001</v>
      </c>
      <c r="J82" s="75">
        <f>投资和筹资活动现金流表!J34</f>
        <v>409281856.69</v>
      </c>
      <c r="K82" s="75">
        <f>投资和筹资活动现金流表!K34</f>
        <v>409439801.31</v>
      </c>
      <c r="L82" s="75">
        <f>投资和筹资活动现金流表!L34</f>
        <v>402209558.91000003</v>
      </c>
      <c r="M82" s="75">
        <f>投资和筹资活动现金流表!M34</f>
        <v>382712115.77999997</v>
      </c>
      <c r="N82" s="75">
        <f>投资和筹资活动现金流表!N34</f>
        <v>374389056.73000002</v>
      </c>
      <c r="O82" s="75">
        <f>投资和筹资活动现金流表!O34</f>
        <v>121825467.78999999</v>
      </c>
      <c r="P82" s="75">
        <f>投资和筹资活动现金流表!P34</f>
        <v>95918076.370000005</v>
      </c>
      <c r="Q82" s="75">
        <f>投资和筹资活动现金流表!Q34</f>
        <v>0</v>
      </c>
      <c r="R82" s="75">
        <f>投资和筹资活动现金流表!R34</f>
        <v>0</v>
      </c>
      <c r="S82" s="75">
        <f>投资和筹资活动现金流表!S34</f>
        <v>0</v>
      </c>
      <c r="T82" s="75">
        <f>投资和筹资活动现金流表!T34</f>
        <v>7740932584.29</v>
      </c>
      <c r="U82" s="75">
        <f>投资和筹资活动现金流表!U34</f>
        <v>7185660413.8000002</v>
      </c>
      <c r="V82" s="75">
        <f>投资和筹资活动现金流表!V34</f>
        <v>7206369226.2600002</v>
      </c>
      <c r="W82" s="75">
        <f>投资和筹资活动现金流表!W34</f>
        <v>7305520980.6000004</v>
      </c>
      <c r="X82" s="75">
        <f>投资和筹资活动现金流表!X34</f>
        <v>7309510343.54</v>
      </c>
      <c r="Y82" s="75">
        <f>投资和筹资活动现金流表!AZ34</f>
        <v>5394582476.9899998</v>
      </c>
      <c r="Z82" s="75">
        <f>投资和筹资活动现金流表!BA34</f>
        <v>5501322858.9799995</v>
      </c>
      <c r="AA82" s="75">
        <f>投资和筹资活动现金流表!BB34</f>
        <v>5577867470.3299999</v>
      </c>
      <c r="AB82" s="75">
        <f>投资和筹资活动现金流表!BC34</f>
        <v>5696283898.6499996</v>
      </c>
      <c r="AC82" s="75">
        <f>投资和筹资活动现金流表!BD34</f>
        <v>5779603253.5100002</v>
      </c>
      <c r="AD82" s="75">
        <f>投资和筹资活动现金流表!BE34</f>
        <v>5840992847.29</v>
      </c>
      <c r="AE82" s="75">
        <f>投资和筹资活动现金流表!BF34</f>
        <v>5434316703.3800001</v>
      </c>
      <c r="AF82" s="75">
        <f>投资和筹资活动现金流表!BG34</f>
        <v>5519652065.3800001</v>
      </c>
      <c r="AG82" s="75">
        <f>投资和筹资活动现金流表!BH34</f>
        <v>5587811046.9799995</v>
      </c>
      <c r="AH82" s="75">
        <f>投资和筹资活动现金流表!BI34</f>
        <v>5587556850.7200003</v>
      </c>
      <c r="AI82" s="75">
        <f>投资和筹资活动现金流表!BJ34</f>
        <v>5175235607.8500004</v>
      </c>
      <c r="AJ82" s="75">
        <f>投资和筹资活动现金流表!BK34</f>
        <v>4543535291.6599998</v>
      </c>
      <c r="AK82" s="75">
        <f>投资和筹资活动现金流表!BL34</f>
        <v>4478639735.0500002</v>
      </c>
      <c r="AL82" s="75">
        <f>投资和筹资活动现金流表!BM34</f>
        <v>4520776529.7700005</v>
      </c>
      <c r="AM82" s="75">
        <f>投资和筹资活动现金流表!BN34</f>
        <v>3620875395.5999999</v>
      </c>
      <c r="AN82" s="75">
        <f>投资和筹资活动现金流表!BO34</f>
        <v>3684993020.0500002</v>
      </c>
      <c r="AO82" s="75">
        <f>投资和筹资活动现金流表!BP34</f>
        <v>3523637936.8200002</v>
      </c>
      <c r="AP82" s="75">
        <f>投资和筹资活动现金流表!BQ34</f>
        <v>4841679198.5100002</v>
      </c>
      <c r="AQ82" s="75">
        <f>投资和筹资活动现金流表!BR34</f>
        <v>4945499008.7600002</v>
      </c>
      <c r="AR82" s="75">
        <f>投资和筹资活动现金流表!BS34</f>
        <v>4983590367.6400003</v>
      </c>
      <c r="AS82" s="75">
        <f>投资和筹资活动现金流表!AS34</f>
        <v>5087759145.3900003</v>
      </c>
      <c r="AT82" s="75">
        <f>投资和筹资活动现金流表!AT34</f>
        <v>5119825755.0799999</v>
      </c>
      <c r="AU82" s="75">
        <f>投资和筹资活动现金流表!AU34</f>
        <v>5166324238.8199997</v>
      </c>
      <c r="AV82" s="75">
        <f>投资和筹资活动现金流表!AV34</f>
        <v>5229742144.5900002</v>
      </c>
      <c r="AW82" s="75">
        <f>投资和筹资活动现金流表!AW34</f>
        <v>5303368604.3599997</v>
      </c>
      <c r="AX82" s="75">
        <f>投资和筹资活动现金流表!AX34</f>
        <v>5412891640.3100004</v>
      </c>
      <c r="AY82" s="75">
        <f>投资和筹资活动现金流表!AY34</f>
        <v>5477269087.8599997</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3" customFormat="1" x14ac:dyDescent="0.25">
      <c r="A83" s="249" t="s">
        <v>581</v>
      </c>
      <c r="E83" s="153">
        <f>E81/E82</f>
        <v>1.4639119106434102</v>
      </c>
      <c r="F83" s="153">
        <f t="shared" ref="F83:BQ83" si="46">F81/F82</f>
        <v>1.204033517086095</v>
      </c>
      <c r="G83" s="153">
        <f t="shared" si="46"/>
        <v>0.78832888624442865</v>
      </c>
      <c r="H83" s="153">
        <f t="shared" si="46"/>
        <v>0.3602904602462545</v>
      </c>
      <c r="I83" s="153">
        <f t="shared" si="46"/>
        <v>1.5972090257418095</v>
      </c>
      <c r="J83" s="153">
        <f t="shared" si="46"/>
        <v>1.1092793726839365</v>
      </c>
      <c r="K83" s="153">
        <f t="shared" si="46"/>
        <v>0.69181679285628794</v>
      </c>
      <c r="L83" s="153">
        <f t="shared" si="46"/>
        <v>0.30904956490060559</v>
      </c>
      <c r="M83" s="153">
        <f t="shared" si="46"/>
        <v>1.5600182148223498</v>
      </c>
      <c r="N83" s="153">
        <f t="shared" si="46"/>
        <v>1.0937160750008335</v>
      </c>
      <c r="O83" s="153">
        <f t="shared" si="46"/>
        <v>4.3407153720234453</v>
      </c>
      <c r="P83" s="153">
        <f t="shared" si="46"/>
        <v>5.0554385635246453</v>
      </c>
      <c r="Q83" s="153" t="e">
        <f t="shared" si="46"/>
        <v>#DIV/0!</v>
      </c>
      <c r="R83" s="153" t="e">
        <f t="shared" si="46"/>
        <v>#DIV/0!</v>
      </c>
      <c r="S83" s="153" t="e">
        <f t="shared" si="46"/>
        <v>#DIV/0!</v>
      </c>
      <c r="T83" s="153">
        <f t="shared" si="46"/>
        <v>0</v>
      </c>
      <c r="U83" s="153">
        <f t="shared" si="46"/>
        <v>0</v>
      </c>
      <c r="V83" s="153">
        <f t="shared" si="46"/>
        <v>0</v>
      </c>
      <c r="W83" s="153">
        <f t="shared" si="46"/>
        <v>0</v>
      </c>
      <c r="X83" s="153">
        <f t="shared" si="46"/>
        <v>0</v>
      </c>
      <c r="Y83" s="153">
        <f t="shared" si="46"/>
        <v>0</v>
      </c>
      <c r="Z83" s="153">
        <f t="shared" si="46"/>
        <v>0</v>
      </c>
      <c r="AA83" s="153">
        <f t="shared" si="46"/>
        <v>0</v>
      </c>
      <c r="AB83" s="153">
        <f t="shared" si="46"/>
        <v>0</v>
      </c>
      <c r="AC83" s="153">
        <f t="shared" si="46"/>
        <v>0</v>
      </c>
      <c r="AD83" s="153">
        <f t="shared" si="46"/>
        <v>0</v>
      </c>
      <c r="AE83" s="153">
        <f t="shared" si="46"/>
        <v>0</v>
      </c>
      <c r="AF83" s="153">
        <f t="shared" si="46"/>
        <v>0</v>
      </c>
      <c r="AG83" s="153">
        <f t="shared" si="46"/>
        <v>0</v>
      </c>
      <c r="AH83" s="153">
        <f t="shared" si="46"/>
        <v>0</v>
      </c>
      <c r="AI83" s="153">
        <f t="shared" si="46"/>
        <v>0</v>
      </c>
      <c r="AJ83" s="153">
        <f t="shared" si="46"/>
        <v>0</v>
      </c>
      <c r="AK83" s="153">
        <f t="shared" si="46"/>
        <v>0</v>
      </c>
      <c r="AL83" s="153">
        <f t="shared" si="46"/>
        <v>0</v>
      </c>
      <c r="AM83" s="153">
        <f t="shared" si="46"/>
        <v>0</v>
      </c>
      <c r="AN83" s="153">
        <f t="shared" si="46"/>
        <v>0</v>
      </c>
      <c r="AO83" s="153">
        <f t="shared" si="46"/>
        <v>0</v>
      </c>
      <c r="AP83" s="153">
        <f t="shared" si="46"/>
        <v>0</v>
      </c>
      <c r="AQ83" s="153">
        <f t="shared" si="46"/>
        <v>0</v>
      </c>
      <c r="AR83" s="153">
        <f t="shared" si="46"/>
        <v>0</v>
      </c>
      <c r="AS83" s="153">
        <f t="shared" si="46"/>
        <v>0</v>
      </c>
      <c r="AT83" s="153">
        <f t="shared" si="46"/>
        <v>0</v>
      </c>
      <c r="AU83" s="153">
        <f t="shared" si="46"/>
        <v>0</v>
      </c>
      <c r="AV83" s="153">
        <f t="shared" si="46"/>
        <v>0</v>
      </c>
      <c r="AW83" s="153">
        <f t="shared" si="46"/>
        <v>0</v>
      </c>
      <c r="AX83" s="153">
        <f t="shared" si="46"/>
        <v>0</v>
      </c>
      <c r="AY83" s="153">
        <f t="shared" si="46"/>
        <v>0</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5" customFormat="1" x14ac:dyDescent="0.25">
      <c r="A84" s="69" t="s">
        <v>582</v>
      </c>
      <c r="E84" s="75">
        <f>资产资本表!E52</f>
        <v>319391107.06</v>
      </c>
      <c r="F84" s="75">
        <f>资产资本表!F52</f>
        <v>267304832.13</v>
      </c>
      <c r="G84" s="75">
        <f>资产资本表!G52</f>
        <v>263148285.97999999</v>
      </c>
      <c r="H84" s="75">
        <f>资产资本表!H52</f>
        <v>258002324.71000001</v>
      </c>
      <c r="I84" s="75">
        <f>资产资本表!I52</f>
        <v>260701094.24000001</v>
      </c>
      <c r="J84" s="75">
        <f>资产资本表!J52</f>
        <v>228037011.72</v>
      </c>
      <c r="K84" s="75">
        <f>资产资本表!K52</f>
        <v>228140943.62</v>
      </c>
      <c r="L84" s="75">
        <f>资产资本表!L52</f>
        <v>232212647.59999999</v>
      </c>
      <c r="M84" s="75">
        <f>资产资本表!M52</f>
        <v>219813120.94</v>
      </c>
      <c r="N84" s="75">
        <f>资产资本表!N52</f>
        <v>215450318.12</v>
      </c>
      <c r="O84" s="75">
        <f>资产资本表!O52</f>
        <v>100643033.04000001</v>
      </c>
      <c r="P84" s="75">
        <f>资产资本表!P52</f>
        <v>84088210.109999999</v>
      </c>
      <c r="Q84" s="75">
        <f>资产资本表!Q52</f>
        <v>0</v>
      </c>
      <c r="R84" s="75">
        <f>资产资本表!R52</f>
        <v>0</v>
      </c>
      <c r="S84" s="75">
        <f>资产资本表!S52</f>
        <v>0</v>
      </c>
      <c r="T84" s="75">
        <f>资产资本表!T52</f>
        <v>0</v>
      </c>
      <c r="U84" s="75">
        <f>资产资本表!U52</f>
        <v>0</v>
      </c>
      <c r="V84" s="75">
        <f>资产资本表!V52</f>
        <v>0</v>
      </c>
      <c r="W84" s="75">
        <f>资产资本表!W52</f>
        <v>0</v>
      </c>
      <c r="X84" s="75">
        <f>资产资本表!X52</f>
        <v>0</v>
      </c>
      <c r="Y84" s="75">
        <f>资产资本表!Y52</f>
        <v>0</v>
      </c>
      <c r="Z84" s="75">
        <f>资产资本表!Z52</f>
        <v>0</v>
      </c>
      <c r="AA84" s="75">
        <f>资产资本表!AA52</f>
        <v>0</v>
      </c>
      <c r="AB84" s="75">
        <f>资产资本表!AB52</f>
        <v>0</v>
      </c>
      <c r="AC84" s="75">
        <f>资产资本表!AC52</f>
        <v>0</v>
      </c>
      <c r="AD84" s="75">
        <f>资产资本表!AD52</f>
        <v>0</v>
      </c>
      <c r="AE84" s="75">
        <f>资产资本表!AE52</f>
        <v>0</v>
      </c>
      <c r="AF84" s="75">
        <f>资产资本表!AF52</f>
        <v>0</v>
      </c>
      <c r="AG84" s="75">
        <f>资产资本表!AG52</f>
        <v>0</v>
      </c>
      <c r="AH84" s="75">
        <f>资产资本表!AH52</f>
        <v>0</v>
      </c>
      <c r="AI84" s="75">
        <f>资产资本表!AI52</f>
        <v>0</v>
      </c>
      <c r="AJ84" s="75">
        <f>资产资本表!AJ52</f>
        <v>0</v>
      </c>
      <c r="AK84" s="75">
        <f>资产资本表!AK52</f>
        <v>0</v>
      </c>
      <c r="AL84" s="75">
        <f>资产资本表!AL52</f>
        <v>0</v>
      </c>
      <c r="AM84" s="75">
        <f>资产资本表!AM52</f>
        <v>0</v>
      </c>
      <c r="AN84" s="75">
        <f>资产资本表!AN52</f>
        <v>0</v>
      </c>
      <c r="AO84" s="75">
        <f>资产资本表!AO52</f>
        <v>0</v>
      </c>
      <c r="AP84" s="75">
        <f>资产资本表!AP52</f>
        <v>0</v>
      </c>
      <c r="AQ84" s="75">
        <f>资产资本表!AQ52</f>
        <v>0</v>
      </c>
      <c r="AR84" s="75">
        <f>资产资本表!AR52</f>
        <v>0</v>
      </c>
      <c r="AS84" s="75">
        <f>资产资本表!AS52</f>
        <v>0</v>
      </c>
      <c r="AT84" s="75">
        <f>资产资本表!AT52</f>
        <v>0</v>
      </c>
      <c r="AU84" s="75">
        <f>资产资本表!AU52</f>
        <v>0</v>
      </c>
      <c r="AV84" s="75">
        <f>资产资本表!AV52</f>
        <v>0</v>
      </c>
      <c r="AW84" s="75">
        <f>资产资本表!AW52</f>
        <v>0</v>
      </c>
      <c r="AX84" s="75">
        <f>资产资本表!AX52</f>
        <v>0</v>
      </c>
      <c r="AY84" s="75">
        <f>资产资本表!AY52</f>
        <v>0</v>
      </c>
      <c r="AZ84" s="75">
        <f>资产资本表!AZ52</f>
        <v>0</v>
      </c>
      <c r="BA84" s="75">
        <f>资产资本表!BA52</f>
        <v>0</v>
      </c>
      <c r="BB84" s="75">
        <f>资产资本表!BB52</f>
        <v>0</v>
      </c>
      <c r="BC84" s="75">
        <f>资产资本表!BC52</f>
        <v>0</v>
      </c>
      <c r="BD84" s="75">
        <f>资产资本表!BD52</f>
        <v>0</v>
      </c>
      <c r="BE84" s="75">
        <f>资产资本表!BE52</f>
        <v>0</v>
      </c>
      <c r="BF84" s="75">
        <f>资产资本表!BF52</f>
        <v>0</v>
      </c>
      <c r="BG84" s="75">
        <f>资产资本表!BG52</f>
        <v>0</v>
      </c>
      <c r="BH84" s="75">
        <f>资产资本表!BH52</f>
        <v>0</v>
      </c>
      <c r="BI84" s="75">
        <f>资产资本表!BI52</f>
        <v>0</v>
      </c>
      <c r="BJ84" s="75">
        <f>资产资本表!BJ52</f>
        <v>0</v>
      </c>
      <c r="BK84" s="75">
        <f>资产资本表!BK52</f>
        <v>0</v>
      </c>
      <c r="BL84" s="75">
        <f>资产资本表!BL52</f>
        <v>0</v>
      </c>
      <c r="BM84" s="75">
        <f>资产资本表!BM52</f>
        <v>0</v>
      </c>
      <c r="BN84" s="75">
        <f>资产资本表!BN52</f>
        <v>0</v>
      </c>
      <c r="BO84" s="75">
        <f>资产资本表!BO52</f>
        <v>0</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3" customFormat="1" x14ac:dyDescent="0.25">
      <c r="A85" s="249" t="s">
        <v>583</v>
      </c>
      <c r="E85" s="153">
        <f>E81/E84</f>
        <v>2.3557604114777506</v>
      </c>
      <c r="F85" s="153">
        <f t="shared" ref="F85:BQ85" si="48">F81/F84</f>
        <v>1.9669414053626149</v>
      </c>
      <c r="G85" s="153">
        <f t="shared" si="48"/>
        <v>1.2911759776228358</v>
      </c>
      <c r="H85" s="153">
        <f t="shared" si="48"/>
        <v>0.59573409643794051</v>
      </c>
      <c r="I85" s="153">
        <f t="shared" si="48"/>
        <v>2.5508578070937977</v>
      </c>
      <c r="J85" s="153">
        <f t="shared" si="48"/>
        <v>1.9909396190363304</v>
      </c>
      <c r="K85" s="153">
        <f t="shared" si="48"/>
        <v>1.2415891935723904</v>
      </c>
      <c r="L85" s="153">
        <f t="shared" si="48"/>
        <v>0.5352968086136235</v>
      </c>
      <c r="M85" s="153">
        <f t="shared" si="48"/>
        <v>2.7161157127329396</v>
      </c>
      <c r="N85" s="153">
        <f t="shared" si="48"/>
        <v>1.9005556975874749</v>
      </c>
      <c r="O85" s="153">
        <f t="shared" si="48"/>
        <v>5.2543098589827633</v>
      </c>
      <c r="P85" s="153">
        <f t="shared" si="48"/>
        <v>5.7666579129900333</v>
      </c>
      <c r="Q85" s="153" t="e">
        <f t="shared" si="48"/>
        <v>#DIV/0!</v>
      </c>
      <c r="R85" s="153" t="e">
        <f t="shared" si="48"/>
        <v>#DIV/0!</v>
      </c>
      <c r="S85" s="153" t="e">
        <f t="shared" si="48"/>
        <v>#DIV/0!</v>
      </c>
      <c r="T85" s="153" t="e">
        <f t="shared" si="48"/>
        <v>#DIV/0!</v>
      </c>
      <c r="U85" s="153" t="e">
        <f t="shared" si="48"/>
        <v>#DIV/0!</v>
      </c>
      <c r="V85" s="153" t="e">
        <f t="shared" si="48"/>
        <v>#DIV/0!</v>
      </c>
      <c r="W85" s="153" t="e">
        <f t="shared" si="48"/>
        <v>#DIV/0!</v>
      </c>
      <c r="X85" s="153" t="e">
        <f t="shared" si="48"/>
        <v>#DIV/0!</v>
      </c>
      <c r="Y85" s="153" t="e">
        <f t="shared" si="48"/>
        <v>#DIV/0!</v>
      </c>
      <c r="Z85" s="153" t="e">
        <f t="shared" si="48"/>
        <v>#DIV/0!</v>
      </c>
      <c r="AA85" s="153" t="e">
        <f t="shared" si="48"/>
        <v>#DIV/0!</v>
      </c>
      <c r="AB85" s="153" t="e">
        <f t="shared" si="48"/>
        <v>#DIV/0!</v>
      </c>
      <c r="AC85" s="153" t="e">
        <f t="shared" si="48"/>
        <v>#DIV/0!</v>
      </c>
      <c r="AD85" s="153" t="e">
        <f t="shared" si="48"/>
        <v>#DIV/0!</v>
      </c>
      <c r="AE85" s="153" t="e">
        <f t="shared" si="48"/>
        <v>#DIV/0!</v>
      </c>
      <c r="AF85" s="153" t="e">
        <f t="shared" si="48"/>
        <v>#DIV/0!</v>
      </c>
      <c r="AG85" s="153" t="e">
        <f t="shared" si="48"/>
        <v>#DIV/0!</v>
      </c>
      <c r="AH85" s="153" t="e">
        <f t="shared" si="48"/>
        <v>#DIV/0!</v>
      </c>
      <c r="AI85" s="153" t="e">
        <f t="shared" si="48"/>
        <v>#DIV/0!</v>
      </c>
      <c r="AJ85" s="153" t="e">
        <f t="shared" si="48"/>
        <v>#DIV/0!</v>
      </c>
      <c r="AK85" s="153" t="e">
        <f t="shared" si="48"/>
        <v>#DIV/0!</v>
      </c>
      <c r="AL85" s="153" t="e">
        <f t="shared" si="48"/>
        <v>#DIV/0!</v>
      </c>
      <c r="AM85" s="153" t="e">
        <f t="shared" si="48"/>
        <v>#DIV/0!</v>
      </c>
      <c r="AN85" s="153" t="e">
        <f t="shared" si="48"/>
        <v>#DIV/0!</v>
      </c>
      <c r="AO85" s="153" t="e">
        <f t="shared" si="48"/>
        <v>#DIV/0!</v>
      </c>
      <c r="AP85" s="153" t="e">
        <f t="shared" si="48"/>
        <v>#DIV/0!</v>
      </c>
      <c r="AQ85" s="153" t="e">
        <f t="shared" si="48"/>
        <v>#DIV/0!</v>
      </c>
      <c r="AR85" s="153" t="e">
        <f t="shared" si="48"/>
        <v>#DIV/0!</v>
      </c>
      <c r="AS85" s="153" t="e">
        <f t="shared" si="48"/>
        <v>#DIV/0!</v>
      </c>
      <c r="AT85" s="153" t="e">
        <f t="shared" si="48"/>
        <v>#DIV/0!</v>
      </c>
      <c r="AU85" s="153" t="e">
        <f t="shared" si="48"/>
        <v>#DIV/0!</v>
      </c>
      <c r="AV85" s="153" t="e">
        <f t="shared" si="48"/>
        <v>#DIV/0!</v>
      </c>
      <c r="AW85" s="153" t="e">
        <f t="shared" si="48"/>
        <v>#DIV/0!</v>
      </c>
      <c r="AX85" s="153" t="e">
        <f t="shared" si="48"/>
        <v>#DIV/0!</v>
      </c>
      <c r="AY85" s="153" t="e">
        <f t="shared" si="48"/>
        <v>#DIV/0!</v>
      </c>
      <c r="AZ85" s="153" t="e">
        <f t="shared" si="48"/>
        <v>#DIV/0!</v>
      </c>
      <c r="BA85" s="153" t="e">
        <f t="shared" si="48"/>
        <v>#DIV/0!</v>
      </c>
      <c r="BB85" s="153" t="e">
        <f t="shared" si="48"/>
        <v>#DIV/0!</v>
      </c>
      <c r="BC85" s="153" t="e">
        <f t="shared" si="48"/>
        <v>#DIV/0!</v>
      </c>
      <c r="BD85" s="153" t="e">
        <f t="shared" si="48"/>
        <v>#DIV/0!</v>
      </c>
      <c r="BE85" s="153" t="e">
        <f t="shared" si="48"/>
        <v>#DIV/0!</v>
      </c>
      <c r="BF85" s="153" t="e">
        <f t="shared" si="48"/>
        <v>#DIV/0!</v>
      </c>
      <c r="BG85" s="153" t="e">
        <f t="shared" si="48"/>
        <v>#DIV/0!</v>
      </c>
      <c r="BH85" s="153" t="e">
        <f t="shared" si="48"/>
        <v>#DIV/0!</v>
      </c>
      <c r="BI85" s="153" t="e">
        <f t="shared" si="48"/>
        <v>#DIV/0!</v>
      </c>
      <c r="BJ85" s="153" t="e">
        <f t="shared" si="48"/>
        <v>#DIV/0!</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5" customFormat="1" x14ac:dyDescent="0.25">
      <c r="A86" s="69" t="s">
        <v>584</v>
      </c>
      <c r="E86" s="75">
        <f>资产资本表!E53</f>
        <v>48289733.960000001</v>
      </c>
      <c r="F86" s="75">
        <f>资产资本表!F53</f>
        <v>70180899.620000005</v>
      </c>
      <c r="G86" s="75">
        <f>资产资本表!G53</f>
        <v>67669223.189999998</v>
      </c>
      <c r="H86" s="75">
        <f>资产资本表!H53</f>
        <v>67064214.490000002</v>
      </c>
      <c r="I86" s="75">
        <f>资产资本表!I53</f>
        <v>53359317.390000001</v>
      </c>
      <c r="J86" s="75">
        <f>资产资本表!J53</f>
        <v>69635501.519999996</v>
      </c>
      <c r="K86" s="75">
        <f>资产资本表!K53</f>
        <v>68701890.849999994</v>
      </c>
      <c r="L86" s="75">
        <f>资产资本表!L53</f>
        <v>56098042</v>
      </c>
      <c r="M86" s="75">
        <f>资产资本表!M53</f>
        <v>50408573.420000002</v>
      </c>
      <c r="N86" s="75">
        <f>资产资本表!N53</f>
        <v>57075147.840000004</v>
      </c>
      <c r="O86" s="75">
        <f>资产资本表!O53</f>
        <v>0</v>
      </c>
      <c r="P86" s="75">
        <f>资产资本表!P53</f>
        <v>0</v>
      </c>
      <c r="Q86" s="75">
        <f>资产资本表!Q53</f>
        <v>0</v>
      </c>
      <c r="R86" s="75">
        <f>资产资本表!R53</f>
        <v>0</v>
      </c>
      <c r="S86" s="75">
        <f>资产资本表!S53</f>
        <v>0</v>
      </c>
      <c r="T86" s="75">
        <f>资产资本表!T53</f>
        <v>0</v>
      </c>
      <c r="U86" s="75">
        <f>资产资本表!U53</f>
        <v>0</v>
      </c>
      <c r="V86" s="75">
        <f>资产资本表!V53</f>
        <v>0</v>
      </c>
      <c r="W86" s="75">
        <f>资产资本表!W53</f>
        <v>0</v>
      </c>
      <c r="X86" s="75">
        <f>资产资本表!X53</f>
        <v>0</v>
      </c>
      <c r="Y86" s="75">
        <f>资产资本表!Y53</f>
        <v>0</v>
      </c>
      <c r="Z86" s="75">
        <f>资产资本表!Z53</f>
        <v>0</v>
      </c>
      <c r="AA86" s="75">
        <f>资产资本表!AA53</f>
        <v>0</v>
      </c>
      <c r="AB86" s="75">
        <f>资产资本表!AB53</f>
        <v>0</v>
      </c>
      <c r="AC86" s="75">
        <f>资产资本表!AC53</f>
        <v>0</v>
      </c>
      <c r="AD86" s="75">
        <f>资产资本表!AD53</f>
        <v>0</v>
      </c>
      <c r="AE86" s="75">
        <f>资产资本表!AE53</f>
        <v>0</v>
      </c>
      <c r="AF86" s="75">
        <f>资产资本表!AF53</f>
        <v>0</v>
      </c>
      <c r="AG86" s="75">
        <f>资产资本表!AG53</f>
        <v>0</v>
      </c>
      <c r="AH86" s="75">
        <f>资产资本表!AH53</f>
        <v>0</v>
      </c>
      <c r="AI86" s="75">
        <f>资产资本表!AI53</f>
        <v>0</v>
      </c>
      <c r="AJ86" s="75">
        <f>资产资本表!AJ53</f>
        <v>0</v>
      </c>
      <c r="AK86" s="75">
        <f>资产资本表!AK53</f>
        <v>0</v>
      </c>
      <c r="AL86" s="75">
        <f>资产资本表!AL53</f>
        <v>0</v>
      </c>
      <c r="AM86" s="75">
        <f>资产资本表!AM53</f>
        <v>0</v>
      </c>
      <c r="AN86" s="75">
        <f>资产资本表!AN53</f>
        <v>0</v>
      </c>
      <c r="AO86" s="75">
        <f>资产资本表!AO53</f>
        <v>0</v>
      </c>
      <c r="AP86" s="75">
        <f>资产资本表!AP53</f>
        <v>0</v>
      </c>
      <c r="AQ86" s="75">
        <f>资产资本表!AQ53</f>
        <v>0</v>
      </c>
      <c r="AR86" s="75">
        <f>资产资本表!AR53</f>
        <v>0</v>
      </c>
      <c r="AS86" s="75">
        <f>资产资本表!AS53</f>
        <v>0</v>
      </c>
      <c r="AT86" s="75">
        <f>资产资本表!AT53</f>
        <v>0</v>
      </c>
      <c r="AU86" s="75">
        <f>资产资本表!AU53</f>
        <v>0</v>
      </c>
      <c r="AV86" s="75">
        <f>资产资本表!AV53</f>
        <v>0</v>
      </c>
      <c r="AW86" s="75">
        <f>资产资本表!AW53</f>
        <v>0</v>
      </c>
      <c r="AX86" s="75">
        <f>资产资本表!AX53</f>
        <v>0</v>
      </c>
      <c r="AY86" s="75">
        <f>资产资本表!AY53</f>
        <v>0</v>
      </c>
      <c r="AZ86" s="75">
        <f>资产资本表!AZ53</f>
        <v>0</v>
      </c>
      <c r="BA86" s="75">
        <f>资产资本表!BA53</f>
        <v>0</v>
      </c>
      <c r="BB86" s="75">
        <f>资产资本表!BB53</f>
        <v>0</v>
      </c>
      <c r="BC86" s="75">
        <f>资产资本表!BC53</f>
        <v>0</v>
      </c>
      <c r="BD86" s="75">
        <f>资产资本表!BD53</f>
        <v>0</v>
      </c>
      <c r="BE86" s="75">
        <f>资产资本表!BE53</f>
        <v>0</v>
      </c>
      <c r="BF86" s="75">
        <f>资产资本表!BF53</f>
        <v>0</v>
      </c>
      <c r="BG86" s="75">
        <f>资产资本表!BG53</f>
        <v>0</v>
      </c>
      <c r="BH86" s="75">
        <f>资产资本表!BH53</f>
        <v>0</v>
      </c>
      <c r="BI86" s="75">
        <f>资产资本表!BI53</f>
        <v>0</v>
      </c>
      <c r="BJ86" s="75">
        <f>资产资本表!BJ53</f>
        <v>0</v>
      </c>
      <c r="BK86" s="75">
        <f>资产资本表!BK53</f>
        <v>0</v>
      </c>
      <c r="BL86" s="75">
        <f>资产资本表!BL53</f>
        <v>0</v>
      </c>
      <c r="BM86" s="75">
        <f>资产资本表!BM53</f>
        <v>0</v>
      </c>
      <c r="BN86" s="75">
        <f>资产资本表!BN53</f>
        <v>0</v>
      </c>
      <c r="BO86" s="75">
        <f>资产资本表!BO53</f>
        <v>0</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2" t="s">
        <v>585</v>
      </c>
      <c r="E87" s="54">
        <f>E81/E86</f>
        <v>15.581136280710211</v>
      </c>
      <c r="F87" s="54">
        <f t="shared" ref="F87:BQ87" si="50">F81/F86</f>
        <v>7.4916814263829465</v>
      </c>
      <c r="G87" s="54">
        <f t="shared" si="50"/>
        <v>5.0210528419396807</v>
      </c>
      <c r="H87" s="54">
        <f t="shared" si="50"/>
        <v>2.2918449572374913</v>
      </c>
      <c r="I87" s="54">
        <f t="shared" si="50"/>
        <v>12.462892219918631</v>
      </c>
      <c r="J87" s="54">
        <f t="shared" si="50"/>
        <v>6.5197767134570643</v>
      </c>
      <c r="K87" s="54">
        <f t="shared" si="50"/>
        <v>4.1229917649348078</v>
      </c>
      <c r="L87" s="54">
        <f t="shared" si="50"/>
        <v>2.215811546149864</v>
      </c>
      <c r="M87" s="54">
        <f t="shared" si="50"/>
        <v>11.843974767457324</v>
      </c>
      <c r="N87" s="54">
        <f t="shared" si="50"/>
        <v>7.1743192115400385</v>
      </c>
      <c r="O87" s="54" t="e">
        <f t="shared" si="50"/>
        <v>#DIV/0!</v>
      </c>
      <c r="P87" s="54" t="e">
        <f t="shared" si="50"/>
        <v>#DIV/0!</v>
      </c>
      <c r="Q87" s="54" t="e">
        <f t="shared" si="50"/>
        <v>#DIV/0!</v>
      </c>
      <c r="R87" s="54" t="e">
        <f t="shared" si="50"/>
        <v>#DIV/0!</v>
      </c>
      <c r="S87" s="54" t="e">
        <f t="shared" si="50"/>
        <v>#DIV/0!</v>
      </c>
      <c r="T87" s="54" t="e">
        <f t="shared" si="50"/>
        <v>#DIV/0!</v>
      </c>
      <c r="U87" s="54" t="e">
        <f t="shared" si="50"/>
        <v>#DIV/0!</v>
      </c>
      <c r="V87" s="54" t="e">
        <f t="shared" si="50"/>
        <v>#DIV/0!</v>
      </c>
      <c r="W87" s="54" t="e">
        <f t="shared" si="50"/>
        <v>#DIV/0!</v>
      </c>
      <c r="X87" s="54" t="e">
        <f t="shared" si="50"/>
        <v>#DIV/0!</v>
      </c>
      <c r="Y87" s="54" t="e">
        <f t="shared" si="50"/>
        <v>#DIV/0!</v>
      </c>
      <c r="Z87" s="54" t="e">
        <f t="shared" si="50"/>
        <v>#DIV/0!</v>
      </c>
      <c r="AA87" s="54" t="e">
        <f t="shared" si="50"/>
        <v>#DIV/0!</v>
      </c>
      <c r="AB87" s="54" t="e">
        <f t="shared" si="50"/>
        <v>#DIV/0!</v>
      </c>
      <c r="AC87" s="54" t="e">
        <f t="shared" si="50"/>
        <v>#DIV/0!</v>
      </c>
      <c r="AD87" s="54" t="e">
        <f t="shared" si="50"/>
        <v>#DIV/0!</v>
      </c>
      <c r="AE87" s="54" t="e">
        <f t="shared" si="50"/>
        <v>#DIV/0!</v>
      </c>
      <c r="AF87" s="54" t="e">
        <f t="shared" si="50"/>
        <v>#DIV/0!</v>
      </c>
      <c r="AG87" s="54" t="e">
        <f t="shared" si="50"/>
        <v>#DIV/0!</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586</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0</v>
      </c>
      <c r="AW88" s="75">
        <f>资产资本表!AW54</f>
        <v>0</v>
      </c>
      <c r="AX88" s="75">
        <f>资产资本表!AX54</f>
        <v>0</v>
      </c>
      <c r="AY88" s="75">
        <f>资产资本表!AY54</f>
        <v>0</v>
      </c>
      <c r="AZ88" s="75">
        <f>资产资本表!AZ54</f>
        <v>0</v>
      </c>
      <c r="BA88" s="75">
        <f>资产资本表!BA54</f>
        <v>0</v>
      </c>
      <c r="BB88" s="75">
        <f>资产资本表!BB54</f>
        <v>0</v>
      </c>
      <c r="BC88" s="75">
        <f>资产资本表!BC54</f>
        <v>0</v>
      </c>
      <c r="BD88" s="75">
        <f>资产资本表!BD54</f>
        <v>0</v>
      </c>
      <c r="BE88" s="75">
        <f>资产资本表!BE54</f>
        <v>0</v>
      </c>
      <c r="BF88" s="75">
        <f>资产资本表!BF54</f>
        <v>0</v>
      </c>
      <c r="BG88" s="75">
        <f>资产资本表!BG54</f>
        <v>0</v>
      </c>
      <c r="BH88" s="75">
        <f>资产资本表!BH54</f>
        <v>0</v>
      </c>
      <c r="BI88" s="75">
        <f>资产资本表!BI54</f>
        <v>0</v>
      </c>
      <c r="BJ88" s="75">
        <f>资产资本表!BJ54</f>
        <v>0</v>
      </c>
      <c r="BK88" s="75">
        <f>资产资本表!BK54</f>
        <v>0</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587</v>
      </c>
      <c r="E89" s="75">
        <f>资产资本表!E55</f>
        <v>0</v>
      </c>
      <c r="F89" s="75">
        <f>资产资本表!F55</f>
        <v>0</v>
      </c>
      <c r="G89" s="75">
        <f>资产资本表!G55</f>
        <v>0</v>
      </c>
      <c r="H89" s="75">
        <f>资产资本表!H55</f>
        <v>0</v>
      </c>
      <c r="I89" s="75">
        <f>资产资本表!I55</f>
        <v>0</v>
      </c>
      <c r="J89" s="75">
        <f>资产资本表!J55</f>
        <v>0</v>
      </c>
      <c r="K89" s="75">
        <f>资产资本表!K55</f>
        <v>0</v>
      </c>
      <c r="L89" s="75">
        <f>资产资本表!L55</f>
        <v>0</v>
      </c>
      <c r="M89" s="75">
        <f>资产资本表!M55</f>
        <v>0</v>
      </c>
      <c r="N89" s="75">
        <f>资产资本表!N55</f>
        <v>0</v>
      </c>
      <c r="O89" s="75">
        <f>资产资本表!O55</f>
        <v>0</v>
      </c>
      <c r="P89" s="75">
        <f>资产资本表!P55</f>
        <v>0</v>
      </c>
      <c r="Q89" s="75">
        <f>资产资本表!Q55</f>
        <v>0</v>
      </c>
      <c r="R89" s="75">
        <f>资产资本表!R55</f>
        <v>0</v>
      </c>
      <c r="S89" s="75">
        <f>资产资本表!S55</f>
        <v>0</v>
      </c>
      <c r="T89" s="75">
        <f>资产资本表!T55</f>
        <v>0</v>
      </c>
      <c r="U89" s="75">
        <f>资产资本表!U55</f>
        <v>0</v>
      </c>
      <c r="V89" s="75">
        <f>资产资本表!V55</f>
        <v>0</v>
      </c>
      <c r="W89" s="75">
        <f>资产资本表!W55</f>
        <v>0</v>
      </c>
      <c r="X89" s="75">
        <f>资产资本表!X55</f>
        <v>0</v>
      </c>
      <c r="Y89" s="75">
        <f>资产资本表!Y55</f>
        <v>0</v>
      </c>
      <c r="Z89" s="75">
        <f>资产资本表!Z55</f>
        <v>0</v>
      </c>
      <c r="AA89" s="75">
        <f>资产资本表!AA55</f>
        <v>0</v>
      </c>
      <c r="AB89" s="75">
        <f>资产资本表!AB55</f>
        <v>0</v>
      </c>
      <c r="AC89" s="75">
        <f>资产资本表!AC55</f>
        <v>0</v>
      </c>
      <c r="AD89" s="75">
        <f>资产资本表!AD55</f>
        <v>0</v>
      </c>
      <c r="AE89" s="75">
        <f>资产资本表!AE55</f>
        <v>0</v>
      </c>
      <c r="AF89" s="75">
        <f>资产资本表!AF55</f>
        <v>0</v>
      </c>
      <c r="AG89" s="75">
        <f>资产资本表!AG55</f>
        <v>0</v>
      </c>
      <c r="AH89" s="75">
        <f>资产资本表!AH55</f>
        <v>0</v>
      </c>
      <c r="AI89" s="75">
        <f>资产资本表!AI55</f>
        <v>0</v>
      </c>
      <c r="AJ89" s="75">
        <f>资产资本表!AJ55</f>
        <v>0</v>
      </c>
      <c r="AK89" s="75">
        <f>资产资本表!AK55</f>
        <v>0</v>
      </c>
      <c r="AL89" s="75">
        <f>资产资本表!AL55</f>
        <v>0</v>
      </c>
      <c r="AM89" s="75">
        <f>资产资本表!AM55</f>
        <v>0</v>
      </c>
      <c r="AN89" s="75">
        <f>资产资本表!AN55</f>
        <v>0</v>
      </c>
      <c r="AO89" s="75">
        <f>资产资本表!AO55</f>
        <v>0</v>
      </c>
      <c r="AP89" s="75">
        <f>资产资本表!AP55</f>
        <v>0</v>
      </c>
      <c r="AQ89" s="75">
        <f>资产资本表!AQ55</f>
        <v>0</v>
      </c>
      <c r="AR89" s="75">
        <f>资产资本表!AR55</f>
        <v>0</v>
      </c>
      <c r="AS89" s="75">
        <f>资产资本表!AS55</f>
        <v>0</v>
      </c>
      <c r="AT89" s="75">
        <f>资产资本表!AT55</f>
        <v>0</v>
      </c>
      <c r="AU89" s="75">
        <f>资产资本表!AU55</f>
        <v>0</v>
      </c>
      <c r="AV89" s="75">
        <f>资产资本表!AV55</f>
        <v>0</v>
      </c>
      <c r="AW89" s="75">
        <f>资产资本表!AW55</f>
        <v>0</v>
      </c>
      <c r="AX89" s="75">
        <f>资产资本表!AX55</f>
        <v>0</v>
      </c>
      <c r="AY89" s="75">
        <f>资产资本表!AY55</f>
        <v>0</v>
      </c>
      <c r="AZ89" s="75">
        <f>资产资本表!AZ55</f>
        <v>0</v>
      </c>
      <c r="BA89" s="75">
        <f>资产资本表!BA55</f>
        <v>0</v>
      </c>
      <c r="BB89" s="75">
        <f>资产资本表!BB55</f>
        <v>0</v>
      </c>
      <c r="BC89" s="75">
        <f>资产资本表!BC55</f>
        <v>0</v>
      </c>
      <c r="BD89" s="75">
        <f>资产资本表!BD55</f>
        <v>0</v>
      </c>
      <c r="BE89" s="75">
        <f>资产资本表!BE55</f>
        <v>0</v>
      </c>
      <c r="BF89" s="75">
        <f>资产资本表!BF55</f>
        <v>0</v>
      </c>
      <c r="BG89" s="75">
        <f>资产资本表!BG55</f>
        <v>0</v>
      </c>
      <c r="BH89" s="75">
        <f>资产资本表!BH55</f>
        <v>0</v>
      </c>
      <c r="BI89" s="75">
        <f>资产资本表!BI55</f>
        <v>0</v>
      </c>
      <c r="BJ89" s="75">
        <f>资产资本表!BJ55</f>
        <v>0</v>
      </c>
      <c r="BK89" s="75">
        <f>资产资本表!BK55</f>
        <v>0</v>
      </c>
      <c r="BL89" s="75">
        <f>资产资本表!BL55</f>
        <v>0</v>
      </c>
      <c r="BM89" s="75">
        <f>资产资本表!BM55</f>
        <v>0</v>
      </c>
      <c r="BN89" s="75">
        <f>资产资本表!BN55</f>
        <v>0</v>
      </c>
      <c r="BO89" s="75">
        <f>资产资本表!BO55</f>
        <v>0</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588</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589</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590</v>
      </c>
      <c r="E92" s="75">
        <f>资产资本表!E58</f>
        <v>55522117.740000002</v>
      </c>
      <c r="F92" s="75">
        <f>资产资本表!F58</f>
        <v>55376172.719999999</v>
      </c>
      <c r="G92" s="75">
        <f>资产资本表!G58</f>
        <v>55591959.420000002</v>
      </c>
      <c r="H92" s="75">
        <f>资产资本表!H58</f>
        <v>56545406.509999998</v>
      </c>
      <c r="I92" s="75">
        <f>资产资本表!I58</f>
        <v>56907484.909999996</v>
      </c>
      <c r="J92" s="75">
        <f>资产资本表!J58</f>
        <v>65440239.509999998</v>
      </c>
      <c r="K92" s="75">
        <f>资产资本表!K58</f>
        <v>66009379.030000001</v>
      </c>
      <c r="L92" s="75">
        <f>资产资本表!L58</f>
        <v>67270884.709999993</v>
      </c>
      <c r="M92" s="75">
        <f>资产资本表!M58</f>
        <v>66607493.780000001</v>
      </c>
      <c r="N92" s="75">
        <f>资产资本表!N58</f>
        <v>57043974.93</v>
      </c>
      <c r="O92" s="75">
        <f>资产资本表!O58</f>
        <v>11661119.57</v>
      </c>
      <c r="P92" s="75">
        <f>资产资本表!P58</f>
        <v>4352089.13</v>
      </c>
      <c r="Q92" s="75">
        <f>资产资本表!Q58</f>
        <v>0</v>
      </c>
      <c r="R92" s="75">
        <f>资产资本表!R58</f>
        <v>0</v>
      </c>
      <c r="S92" s="75">
        <f>资产资本表!S58</f>
        <v>0</v>
      </c>
      <c r="T92" s="75">
        <f>资产资本表!T58</f>
        <v>0</v>
      </c>
      <c r="U92" s="75">
        <f>资产资本表!U58</f>
        <v>0</v>
      </c>
      <c r="V92" s="75">
        <f>资产资本表!V58</f>
        <v>0</v>
      </c>
      <c r="W92" s="75">
        <f>资产资本表!W58</f>
        <v>0</v>
      </c>
      <c r="X92" s="75">
        <f>资产资本表!X58</f>
        <v>0</v>
      </c>
      <c r="Y92" s="75">
        <f>资产资本表!Y58</f>
        <v>0</v>
      </c>
      <c r="Z92" s="75">
        <f>资产资本表!Z58</f>
        <v>0</v>
      </c>
      <c r="AA92" s="75">
        <f>资产资本表!AA58</f>
        <v>0</v>
      </c>
      <c r="AB92" s="75">
        <f>资产资本表!AB58</f>
        <v>0</v>
      </c>
      <c r="AC92" s="75">
        <f>资产资本表!AC58</f>
        <v>0</v>
      </c>
      <c r="AD92" s="75">
        <f>资产资本表!AD58</f>
        <v>0</v>
      </c>
      <c r="AE92" s="75">
        <f>资产资本表!AE58</f>
        <v>0</v>
      </c>
      <c r="AF92" s="75">
        <f>资产资本表!AF58</f>
        <v>0</v>
      </c>
      <c r="AG92" s="75">
        <f>资产资本表!AG58</f>
        <v>0</v>
      </c>
      <c r="AH92" s="75">
        <f>资产资本表!AH58</f>
        <v>0</v>
      </c>
      <c r="AI92" s="75">
        <f>资产资本表!AI58</f>
        <v>0</v>
      </c>
      <c r="AJ92" s="75">
        <f>资产资本表!AJ58</f>
        <v>0</v>
      </c>
      <c r="AK92" s="75">
        <f>资产资本表!AK58</f>
        <v>0</v>
      </c>
      <c r="AL92" s="75">
        <f>资产资本表!AL58</f>
        <v>0</v>
      </c>
      <c r="AM92" s="75">
        <f>资产资本表!AM58</f>
        <v>0</v>
      </c>
      <c r="AN92" s="75">
        <f>资产资本表!AN58</f>
        <v>0</v>
      </c>
      <c r="AO92" s="75">
        <f>资产资本表!AO58</f>
        <v>0</v>
      </c>
      <c r="AP92" s="75">
        <f>资产资本表!AP58</f>
        <v>0</v>
      </c>
      <c r="AQ92" s="75">
        <f>资产资本表!AQ58</f>
        <v>0</v>
      </c>
      <c r="AR92" s="75">
        <f>资产资本表!AR58</f>
        <v>0</v>
      </c>
      <c r="AS92" s="75">
        <f>资产资本表!AS58</f>
        <v>0</v>
      </c>
      <c r="AT92" s="75">
        <f>资产资本表!AT58</f>
        <v>0</v>
      </c>
      <c r="AU92" s="75">
        <f>资产资本表!AU58</f>
        <v>0</v>
      </c>
      <c r="AV92" s="75">
        <f>资产资本表!AV58</f>
        <v>0</v>
      </c>
      <c r="AW92" s="75">
        <f>资产资本表!AW58</f>
        <v>0</v>
      </c>
      <c r="AX92" s="75">
        <f>资产资本表!AX58</f>
        <v>0</v>
      </c>
      <c r="AY92" s="75">
        <f>资产资本表!AY58</f>
        <v>0</v>
      </c>
      <c r="AZ92" s="75">
        <f>资产资本表!AZ58</f>
        <v>0</v>
      </c>
      <c r="BA92" s="75">
        <f>资产资本表!BA58</f>
        <v>0</v>
      </c>
      <c r="BB92" s="75">
        <f>资产资本表!BB58</f>
        <v>0</v>
      </c>
      <c r="BC92" s="75">
        <f>资产资本表!BC58</f>
        <v>0</v>
      </c>
      <c r="BD92" s="75">
        <f>资产资本表!BD58</f>
        <v>0</v>
      </c>
      <c r="BE92" s="75">
        <f>资产资本表!BE58</f>
        <v>0</v>
      </c>
      <c r="BF92" s="75">
        <f>资产资本表!BF58</f>
        <v>0</v>
      </c>
      <c r="BG92" s="75">
        <f>资产资本表!BG58</f>
        <v>0</v>
      </c>
      <c r="BH92" s="75">
        <f>资产资本表!BH58</f>
        <v>0</v>
      </c>
      <c r="BI92" s="75">
        <f>资产资本表!BI58</f>
        <v>0</v>
      </c>
      <c r="BJ92" s="75">
        <f>资产资本表!BJ58</f>
        <v>0</v>
      </c>
      <c r="BK92" s="75">
        <f>资产资本表!BK58</f>
        <v>0</v>
      </c>
      <c r="BL92" s="75">
        <f>资产资本表!BL58</f>
        <v>0</v>
      </c>
      <c r="BM92" s="75">
        <f>资产资本表!BM58</f>
        <v>0</v>
      </c>
      <c r="BN92" s="75">
        <f>资产资本表!BN58</f>
        <v>0</v>
      </c>
      <c r="BO92" s="75">
        <f>资产资本表!BO58</f>
        <v>0</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3" customFormat="1" x14ac:dyDescent="0.25">
      <c r="A93" s="249" t="s">
        <v>689</v>
      </c>
      <c r="E93" s="153">
        <f>E81/E92</f>
        <v>13.551517060523418</v>
      </c>
      <c r="F93" s="153">
        <f t="shared" ref="F93:BQ93" si="52">F81/F92</f>
        <v>9.4945698907087639</v>
      </c>
      <c r="G93" s="153">
        <f t="shared" si="52"/>
        <v>6.1118684959998486</v>
      </c>
      <c r="H93" s="153">
        <f t="shared" si="52"/>
        <v>2.7181833375416296</v>
      </c>
      <c r="I93" s="153">
        <f t="shared" si="52"/>
        <v>11.685833991991124</v>
      </c>
      <c r="J93" s="153">
        <f t="shared" si="52"/>
        <v>6.9377484654624855</v>
      </c>
      <c r="K93" s="153">
        <f t="shared" si="52"/>
        <v>4.291167927534433</v>
      </c>
      <c r="L93" s="153">
        <f t="shared" si="52"/>
        <v>1.8477932870343547</v>
      </c>
      <c r="M93" s="153">
        <f t="shared" si="52"/>
        <v>8.9635240386310766</v>
      </c>
      <c r="N93" s="153">
        <f t="shared" si="52"/>
        <v>7.1782397729554566</v>
      </c>
      <c r="O93" s="153">
        <f t="shared" si="52"/>
        <v>45.348105519854471</v>
      </c>
      <c r="P93" s="153">
        <f t="shared" si="52"/>
        <v>111.4195798237248</v>
      </c>
      <c r="Q93" s="153" t="e">
        <f t="shared" si="52"/>
        <v>#DIV/0!</v>
      </c>
      <c r="R93" s="153" t="e">
        <f t="shared" si="52"/>
        <v>#DIV/0!</v>
      </c>
      <c r="S93" s="153" t="e">
        <f t="shared" si="52"/>
        <v>#DIV/0!</v>
      </c>
      <c r="T93" s="153" t="e">
        <f t="shared" si="52"/>
        <v>#DIV/0!</v>
      </c>
      <c r="U93" s="153" t="e">
        <f t="shared" si="52"/>
        <v>#DIV/0!</v>
      </c>
      <c r="V93" s="153" t="e">
        <f t="shared" si="52"/>
        <v>#DIV/0!</v>
      </c>
      <c r="W93" s="153" t="e">
        <f t="shared" si="52"/>
        <v>#DIV/0!</v>
      </c>
      <c r="X93" s="153" t="e">
        <f t="shared" si="52"/>
        <v>#DIV/0!</v>
      </c>
      <c r="Y93" s="153" t="e">
        <f t="shared" si="52"/>
        <v>#DIV/0!</v>
      </c>
      <c r="Z93" s="153" t="e">
        <f t="shared" si="52"/>
        <v>#DIV/0!</v>
      </c>
      <c r="AA93" s="153" t="e">
        <f t="shared" si="52"/>
        <v>#DIV/0!</v>
      </c>
      <c r="AB93" s="153" t="e">
        <f t="shared" si="52"/>
        <v>#DIV/0!</v>
      </c>
      <c r="AC93" s="153" t="e">
        <f t="shared" si="52"/>
        <v>#DIV/0!</v>
      </c>
      <c r="AD93" s="153" t="e">
        <f t="shared" si="52"/>
        <v>#DIV/0!</v>
      </c>
      <c r="AE93" s="153" t="e">
        <f t="shared" si="52"/>
        <v>#DIV/0!</v>
      </c>
      <c r="AF93" s="153" t="e">
        <f t="shared" si="52"/>
        <v>#DIV/0!</v>
      </c>
      <c r="AG93" s="153" t="e">
        <f t="shared" si="52"/>
        <v>#DIV/0!</v>
      </c>
      <c r="AH93" s="153" t="e">
        <f t="shared" si="52"/>
        <v>#DIV/0!</v>
      </c>
      <c r="AI93" s="153" t="e">
        <f t="shared" si="52"/>
        <v>#DIV/0!</v>
      </c>
      <c r="AJ93" s="153" t="e">
        <f t="shared" si="52"/>
        <v>#DIV/0!</v>
      </c>
      <c r="AK93" s="153" t="e">
        <f t="shared" si="52"/>
        <v>#DIV/0!</v>
      </c>
      <c r="AL93" s="153" t="e">
        <f t="shared" si="52"/>
        <v>#DIV/0!</v>
      </c>
      <c r="AM93" s="153" t="e">
        <f t="shared" si="52"/>
        <v>#DIV/0!</v>
      </c>
      <c r="AN93" s="153" t="e">
        <f t="shared" si="52"/>
        <v>#DIV/0!</v>
      </c>
      <c r="AO93" s="153" t="e">
        <f t="shared" si="52"/>
        <v>#DIV/0!</v>
      </c>
      <c r="AP93" s="153" t="e">
        <f t="shared" si="52"/>
        <v>#DIV/0!</v>
      </c>
      <c r="AQ93" s="153" t="e">
        <f t="shared" si="52"/>
        <v>#DIV/0!</v>
      </c>
      <c r="AR93" s="153" t="e">
        <f t="shared" si="52"/>
        <v>#DIV/0!</v>
      </c>
      <c r="AS93" s="153" t="e">
        <f t="shared" si="52"/>
        <v>#DIV/0!</v>
      </c>
      <c r="AT93" s="153" t="e">
        <f t="shared" si="52"/>
        <v>#DIV/0!</v>
      </c>
      <c r="AU93" s="153" t="e">
        <f t="shared" si="52"/>
        <v>#DIV/0!</v>
      </c>
      <c r="AV93" s="153" t="e">
        <f t="shared" si="52"/>
        <v>#DIV/0!</v>
      </c>
      <c r="AW93" s="153" t="e">
        <f t="shared" si="52"/>
        <v>#DIV/0!</v>
      </c>
      <c r="AX93" s="153" t="e">
        <f t="shared" si="52"/>
        <v>#DIV/0!</v>
      </c>
      <c r="AY93" s="153" t="e">
        <f t="shared" si="52"/>
        <v>#DIV/0!</v>
      </c>
      <c r="AZ93" s="153" t="e">
        <f t="shared" si="52"/>
        <v>#DIV/0!</v>
      </c>
      <c r="BA93" s="153" t="e">
        <f t="shared" si="52"/>
        <v>#DIV/0!</v>
      </c>
      <c r="BB93" s="153" t="e">
        <f t="shared" si="52"/>
        <v>#DIV/0!</v>
      </c>
      <c r="BC93" s="153" t="e">
        <f t="shared" si="52"/>
        <v>#DIV/0!</v>
      </c>
      <c r="BD93" s="153" t="e">
        <f t="shared" si="52"/>
        <v>#DIV/0!</v>
      </c>
      <c r="BE93" s="153" t="e">
        <f t="shared" si="52"/>
        <v>#DIV/0!</v>
      </c>
      <c r="BF93" s="153" t="e">
        <f t="shared" si="52"/>
        <v>#DIV/0!</v>
      </c>
      <c r="BG93" s="153" t="e">
        <f t="shared" si="52"/>
        <v>#DIV/0!</v>
      </c>
      <c r="BH93" s="153" t="e">
        <f t="shared" si="52"/>
        <v>#DIV/0!</v>
      </c>
      <c r="BI93" s="153" t="e">
        <f t="shared" si="52"/>
        <v>#DIV/0!</v>
      </c>
      <c r="BJ93" s="153" t="e">
        <f t="shared" si="52"/>
        <v>#DIV/0!</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5" customFormat="1" x14ac:dyDescent="0.25">
      <c r="A94" s="69" t="s">
        <v>591</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592</v>
      </c>
      <c r="E95" s="75">
        <f>资产资本表!E60</f>
        <v>62947457.899999999</v>
      </c>
      <c r="F95" s="75">
        <f>资产资本表!F60</f>
        <v>62947457.899999999</v>
      </c>
      <c r="G95" s="75">
        <f>资产资本表!G60</f>
        <v>62947457.899999999</v>
      </c>
      <c r="H95" s="75">
        <f>资产资本表!H60</f>
        <v>62947457.899999999</v>
      </c>
      <c r="I95" s="75">
        <f>资产资本表!I60</f>
        <v>62947457.899999999</v>
      </c>
      <c r="J95" s="75">
        <f>资产资本表!J60</f>
        <v>62947457.899999999</v>
      </c>
      <c r="K95" s="75">
        <f>资产资本表!K60</f>
        <v>62947457.899999999</v>
      </c>
      <c r="L95" s="75">
        <f>资产资本表!L60</f>
        <v>62947457.899999999</v>
      </c>
      <c r="M95" s="75">
        <f>资产资本表!M60</f>
        <v>62082734.619999997</v>
      </c>
      <c r="N95" s="75">
        <f>资产资本表!N60</f>
        <v>62082734.619999997</v>
      </c>
      <c r="O95" s="75">
        <f>资产资本表!O60</f>
        <v>62082734.619999997</v>
      </c>
      <c r="P95" s="75">
        <f>资产资本表!P60</f>
        <v>36083966.270000003</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0</v>
      </c>
      <c r="AQ95" s="75">
        <f>资产资本表!AQ60</f>
        <v>0</v>
      </c>
      <c r="AR95" s="75">
        <f>资产资本表!AR60</f>
        <v>0</v>
      </c>
      <c r="AS95" s="75">
        <f>资产资本表!AS60</f>
        <v>0</v>
      </c>
      <c r="AT95" s="75">
        <f>资产资本表!AT60</f>
        <v>0</v>
      </c>
      <c r="AU95" s="75">
        <f>资产资本表!AU60</f>
        <v>0</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593</v>
      </c>
      <c r="E96" s="75">
        <f>资产资本表!E61</f>
        <v>10456250.720000001</v>
      </c>
      <c r="F96" s="75">
        <f>资产资本表!F61</f>
        <v>9860098.1400000006</v>
      </c>
      <c r="G96" s="75">
        <f>资产资本表!G61</f>
        <v>10678917.27</v>
      </c>
      <c r="H96" s="75">
        <f>资产资本表!H61</f>
        <v>11193269.960000001</v>
      </c>
      <c r="I96" s="75">
        <f>资产资本表!I61</f>
        <v>11742230.220000001</v>
      </c>
      <c r="J96" s="75">
        <f>资产资本表!J61</f>
        <v>12237893.699999999</v>
      </c>
      <c r="K96" s="75">
        <f>资产资本表!K61</f>
        <v>12478785.4</v>
      </c>
      <c r="L96" s="75">
        <f>资产资本表!L61</f>
        <v>12476028.9</v>
      </c>
      <c r="M96" s="75">
        <f>资产资本表!M61</f>
        <v>11175137.050000001</v>
      </c>
      <c r="N96" s="75">
        <f>资产资本表!N61</f>
        <v>9058705.0399999991</v>
      </c>
      <c r="O96" s="75">
        <f>资产资本表!O61</f>
        <v>7781969.0499999998</v>
      </c>
      <c r="P96" s="75">
        <f>资产资本表!P61</f>
        <v>5988595.79</v>
      </c>
      <c r="Q96" s="75">
        <f>资产资本表!Q61</f>
        <v>0</v>
      </c>
      <c r="R96" s="75">
        <f>资产资本表!R61</f>
        <v>0</v>
      </c>
      <c r="S96" s="75">
        <f>资产资本表!S61</f>
        <v>0</v>
      </c>
      <c r="T96" s="75">
        <f>资产资本表!T61</f>
        <v>0</v>
      </c>
      <c r="U96" s="75">
        <f>资产资本表!U61</f>
        <v>0</v>
      </c>
      <c r="V96" s="75">
        <f>资产资本表!V61</f>
        <v>0</v>
      </c>
      <c r="W96" s="75">
        <f>资产资本表!W61</f>
        <v>0</v>
      </c>
      <c r="X96" s="75">
        <f>资产资本表!X61</f>
        <v>0</v>
      </c>
      <c r="Y96" s="75">
        <f>资产资本表!Y61</f>
        <v>0</v>
      </c>
      <c r="Z96" s="75">
        <f>资产资本表!Z61</f>
        <v>0</v>
      </c>
      <c r="AA96" s="75">
        <f>资产资本表!AA61</f>
        <v>0</v>
      </c>
      <c r="AB96" s="75">
        <f>资产资本表!AB61</f>
        <v>0</v>
      </c>
      <c r="AC96" s="75">
        <f>资产资本表!AC61</f>
        <v>0</v>
      </c>
      <c r="AD96" s="75">
        <f>资产资本表!AD61</f>
        <v>0</v>
      </c>
      <c r="AE96" s="75">
        <f>资产资本表!AE61</f>
        <v>0</v>
      </c>
      <c r="AF96" s="75">
        <f>资产资本表!AF61</f>
        <v>0</v>
      </c>
      <c r="AG96" s="75">
        <f>资产资本表!AG61</f>
        <v>0</v>
      </c>
      <c r="AH96" s="75">
        <f>资产资本表!AH61</f>
        <v>0</v>
      </c>
      <c r="AI96" s="75">
        <f>资产资本表!AI61</f>
        <v>0</v>
      </c>
      <c r="AJ96" s="75">
        <f>资产资本表!AJ61</f>
        <v>0</v>
      </c>
      <c r="AK96" s="75">
        <f>资产资本表!AK61</f>
        <v>0</v>
      </c>
      <c r="AL96" s="75">
        <f>资产资本表!AL61</f>
        <v>0</v>
      </c>
      <c r="AM96" s="75">
        <f>资产资本表!AM61</f>
        <v>0</v>
      </c>
      <c r="AN96" s="75">
        <f>资产资本表!AN61</f>
        <v>0</v>
      </c>
      <c r="AO96" s="75">
        <f>资产资本表!AO61</f>
        <v>0</v>
      </c>
      <c r="AP96" s="75">
        <f>资产资本表!AP61</f>
        <v>0</v>
      </c>
      <c r="AQ96" s="75">
        <f>资产资本表!AQ61</f>
        <v>0</v>
      </c>
      <c r="AR96" s="75">
        <f>资产资本表!AR61</f>
        <v>0</v>
      </c>
      <c r="AS96" s="75">
        <f>资产资本表!AS61</f>
        <v>0</v>
      </c>
      <c r="AT96" s="75">
        <f>资产资本表!AT61</f>
        <v>0</v>
      </c>
      <c r="AU96" s="75">
        <f>资产资本表!AU61</f>
        <v>0</v>
      </c>
      <c r="AV96" s="75">
        <f>资产资本表!AV61</f>
        <v>0</v>
      </c>
      <c r="AW96" s="75">
        <f>资产资本表!AW61</f>
        <v>0</v>
      </c>
      <c r="AX96" s="75">
        <f>资产资本表!AX61</f>
        <v>0</v>
      </c>
      <c r="AY96" s="75">
        <f>资产资本表!AY61</f>
        <v>0</v>
      </c>
      <c r="AZ96" s="75">
        <f>资产资本表!AZ61</f>
        <v>0</v>
      </c>
      <c r="BA96" s="75">
        <f>资产资本表!BA61</f>
        <v>0</v>
      </c>
      <c r="BB96" s="75">
        <f>资产资本表!BB61</f>
        <v>0</v>
      </c>
      <c r="BC96" s="75">
        <f>资产资本表!BC61</f>
        <v>0</v>
      </c>
      <c r="BD96" s="75">
        <f>资产资本表!BD61</f>
        <v>0</v>
      </c>
      <c r="BE96" s="75">
        <f>资产资本表!BE61</f>
        <v>0</v>
      </c>
      <c r="BF96" s="75">
        <f>资产资本表!BF61</f>
        <v>0</v>
      </c>
      <c r="BG96" s="75">
        <f>资产资本表!BG61</f>
        <v>0</v>
      </c>
      <c r="BH96" s="75">
        <f>资产资本表!BH61</f>
        <v>0</v>
      </c>
      <c r="BI96" s="75">
        <f>资产资本表!BI61</f>
        <v>0</v>
      </c>
      <c r="BJ96" s="75">
        <f>资产资本表!BJ61</f>
        <v>0</v>
      </c>
      <c r="BK96" s="75">
        <f>资产资本表!BK61</f>
        <v>0</v>
      </c>
      <c r="BL96" s="75">
        <f>资产资本表!BL61</f>
        <v>0</v>
      </c>
      <c r="BM96" s="75">
        <f>资产资本表!BM61</f>
        <v>0</v>
      </c>
      <c r="BN96" s="75">
        <f>资产资本表!BN61</f>
        <v>0</v>
      </c>
      <c r="BO96" s="75">
        <f>资产资本表!BO61</f>
        <v>0</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594</v>
      </c>
      <c r="E97" s="75">
        <f>资产资本表!E62</f>
        <v>1877052.63</v>
      </c>
      <c r="F97" s="75">
        <f>资产资本表!F62</f>
        <v>2031495.54</v>
      </c>
      <c r="G97" s="75">
        <f>资产资本表!G62</f>
        <v>1778307.05</v>
      </c>
      <c r="H97" s="75">
        <f>资产资本表!H62</f>
        <v>1450899.23</v>
      </c>
      <c r="I97" s="75">
        <f>资产资本表!I62</f>
        <v>1408832.95</v>
      </c>
      <c r="J97" s="75">
        <f>资产资本表!J62</f>
        <v>1482090.76</v>
      </c>
      <c r="K97" s="75">
        <f>资产资本表!K62</f>
        <v>1450020.73</v>
      </c>
      <c r="L97" s="75">
        <f>资产资本表!L62</f>
        <v>1073849.6200000001</v>
      </c>
      <c r="M97" s="75">
        <f>资产资本表!M62</f>
        <v>791035.71</v>
      </c>
      <c r="N97" s="75">
        <f>资产资本表!N62</f>
        <v>1005507.12</v>
      </c>
      <c r="O97" s="75">
        <f>资产资本表!O62</f>
        <v>739346.13</v>
      </c>
      <c r="P97" s="75">
        <f>资产资本表!P62</f>
        <v>489181.34</v>
      </c>
      <c r="Q97" s="75">
        <f>资产资本表!Q62</f>
        <v>0</v>
      </c>
      <c r="R97" s="75">
        <f>资产资本表!R62</f>
        <v>0</v>
      </c>
      <c r="S97" s="75">
        <f>资产资本表!S62</f>
        <v>0</v>
      </c>
      <c r="T97" s="75">
        <f>资产资本表!T62</f>
        <v>0</v>
      </c>
      <c r="U97" s="75">
        <f>资产资本表!U62</f>
        <v>0</v>
      </c>
      <c r="V97" s="75">
        <f>资产资本表!V62</f>
        <v>0</v>
      </c>
      <c r="W97" s="75">
        <f>资产资本表!W62</f>
        <v>0</v>
      </c>
      <c r="X97" s="75">
        <f>资产资本表!X62</f>
        <v>0</v>
      </c>
      <c r="Y97" s="75">
        <f>资产资本表!Y62</f>
        <v>0</v>
      </c>
      <c r="Z97" s="75">
        <f>资产资本表!Z62</f>
        <v>0</v>
      </c>
      <c r="AA97" s="75">
        <f>资产资本表!AA62</f>
        <v>0</v>
      </c>
      <c r="AB97" s="75">
        <f>资产资本表!AB62</f>
        <v>0</v>
      </c>
      <c r="AC97" s="75">
        <f>资产资本表!AC62</f>
        <v>0</v>
      </c>
      <c r="AD97" s="75">
        <f>资产资本表!AD62</f>
        <v>0</v>
      </c>
      <c r="AE97" s="75">
        <f>资产资本表!AE62</f>
        <v>0</v>
      </c>
      <c r="AF97" s="75">
        <f>资产资本表!AF62</f>
        <v>0</v>
      </c>
      <c r="AG97" s="75">
        <f>资产资本表!AG62</f>
        <v>0</v>
      </c>
      <c r="AH97" s="75">
        <f>资产资本表!AH62</f>
        <v>0</v>
      </c>
      <c r="AI97" s="75">
        <f>资产资本表!AI62</f>
        <v>0</v>
      </c>
      <c r="AJ97" s="75">
        <f>资产资本表!AJ62</f>
        <v>0</v>
      </c>
      <c r="AK97" s="75">
        <f>资产资本表!AK62</f>
        <v>0</v>
      </c>
      <c r="AL97" s="75">
        <f>资产资本表!AL62</f>
        <v>0</v>
      </c>
      <c r="AM97" s="75">
        <f>资产资本表!AM62</f>
        <v>0</v>
      </c>
      <c r="AN97" s="75">
        <f>资产资本表!AN62</f>
        <v>0</v>
      </c>
      <c r="AO97" s="75">
        <f>资产资本表!AO62</f>
        <v>0</v>
      </c>
      <c r="AP97" s="75">
        <f>资产资本表!AP62</f>
        <v>0</v>
      </c>
      <c r="AQ97" s="75">
        <f>资产资本表!AQ62</f>
        <v>0</v>
      </c>
      <c r="AR97" s="75">
        <f>资产资本表!AR62</f>
        <v>0</v>
      </c>
      <c r="AS97" s="75">
        <f>资产资本表!AS62</f>
        <v>0</v>
      </c>
      <c r="AT97" s="75">
        <f>资产资本表!AT62</f>
        <v>0</v>
      </c>
      <c r="AU97" s="75">
        <f>资产资本表!AU62</f>
        <v>0</v>
      </c>
      <c r="AV97" s="75">
        <f>资产资本表!AV62</f>
        <v>0</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595</v>
      </c>
      <c r="E98" s="75">
        <f>资产资本表!E63</f>
        <v>1020981.59</v>
      </c>
      <c r="F98" s="75">
        <f>资产资本表!F63</f>
        <v>1072764.8600000001</v>
      </c>
      <c r="G98" s="75">
        <f>资产资本表!G63</f>
        <v>1124560.6299999999</v>
      </c>
      <c r="H98" s="75">
        <f>资产资本表!H63</f>
        <v>1176343.8799999999</v>
      </c>
      <c r="I98" s="75">
        <f>资产资本表!I63</f>
        <v>1230573.3600000001</v>
      </c>
      <c r="J98" s="75">
        <f>资产资本表!J63</f>
        <v>1285465.9099999999</v>
      </c>
      <c r="K98" s="75">
        <f>资产资本表!K63</f>
        <v>1340333.4099999999</v>
      </c>
      <c r="L98" s="75">
        <f>资产资本表!L63</f>
        <v>1368236.73</v>
      </c>
      <c r="M98" s="75">
        <f>资产资本表!M63</f>
        <v>1258206.33</v>
      </c>
      <c r="N98" s="75">
        <f>资产资本表!N63</f>
        <v>2480097.21</v>
      </c>
      <c r="O98" s="75">
        <f>资产资本表!O63</f>
        <v>2886258.44</v>
      </c>
      <c r="P98" s="75">
        <f>资产资本表!P63</f>
        <v>720272.11</v>
      </c>
      <c r="Q98" s="75">
        <f>资产资本表!Q63</f>
        <v>0</v>
      </c>
      <c r="R98" s="75">
        <f>资产资本表!R63</f>
        <v>0</v>
      </c>
      <c r="S98" s="75">
        <f>资产资本表!S63</f>
        <v>0</v>
      </c>
      <c r="T98" s="75">
        <f>资产资本表!T63</f>
        <v>0</v>
      </c>
      <c r="U98" s="75">
        <f>资产资本表!U63</f>
        <v>0</v>
      </c>
      <c r="V98" s="75">
        <f>资产资本表!V63</f>
        <v>0</v>
      </c>
      <c r="W98" s="75">
        <f>资产资本表!W63</f>
        <v>0</v>
      </c>
      <c r="X98" s="75">
        <f>资产资本表!X63</f>
        <v>0</v>
      </c>
      <c r="Y98" s="75">
        <f>资产资本表!Y63</f>
        <v>0</v>
      </c>
      <c r="Z98" s="75">
        <f>资产资本表!Z63</f>
        <v>0</v>
      </c>
      <c r="AA98" s="75">
        <f>资产资本表!AA63</f>
        <v>0</v>
      </c>
      <c r="AB98" s="75">
        <f>资产资本表!AB63</f>
        <v>0</v>
      </c>
      <c r="AC98" s="75">
        <f>资产资本表!AC63</f>
        <v>0</v>
      </c>
      <c r="AD98" s="75">
        <f>资产资本表!AD63</f>
        <v>0</v>
      </c>
      <c r="AE98" s="75">
        <f>资产资本表!AE63</f>
        <v>0</v>
      </c>
      <c r="AF98" s="75">
        <f>资产资本表!AF63</f>
        <v>0</v>
      </c>
      <c r="AG98" s="75">
        <f>资产资本表!AG63</f>
        <v>0</v>
      </c>
      <c r="AH98" s="75">
        <f>资产资本表!AH63</f>
        <v>0</v>
      </c>
      <c r="AI98" s="75">
        <f>资产资本表!AI63</f>
        <v>0</v>
      </c>
      <c r="AJ98" s="75">
        <f>资产资本表!AJ63</f>
        <v>0</v>
      </c>
      <c r="AK98" s="75">
        <f>资产资本表!AK63</f>
        <v>0</v>
      </c>
      <c r="AL98" s="75">
        <f>资产资本表!AL63</f>
        <v>0</v>
      </c>
      <c r="AM98" s="75">
        <f>资产资本表!AM63</f>
        <v>0</v>
      </c>
      <c r="AN98" s="75">
        <f>资产资本表!AN63</f>
        <v>0</v>
      </c>
      <c r="AO98" s="75">
        <f>资产资本表!AO63</f>
        <v>0</v>
      </c>
      <c r="AP98" s="75">
        <f>资产资本表!AP63</f>
        <v>0</v>
      </c>
      <c r="AQ98" s="75">
        <f>资产资本表!AQ63</f>
        <v>0</v>
      </c>
      <c r="AR98" s="75">
        <f>资产资本表!AR63</f>
        <v>0</v>
      </c>
      <c r="AS98" s="75">
        <f>资产资本表!AS63</f>
        <v>0</v>
      </c>
      <c r="AT98" s="75">
        <f>资产资本表!AT63</f>
        <v>0</v>
      </c>
      <c r="AU98" s="75">
        <f>资产资本表!AU63</f>
        <v>0</v>
      </c>
      <c r="AV98" s="75">
        <f>资产资本表!AV63</f>
        <v>0</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596</v>
      </c>
      <c r="E99" s="92">
        <f>资产资本表!E64</f>
        <v>12730000</v>
      </c>
      <c r="F99" s="92">
        <f>资产资本表!F64</f>
        <v>0</v>
      </c>
      <c r="G99" s="92">
        <f>资产资本表!G64</f>
        <v>0</v>
      </c>
      <c r="H99" s="92">
        <f>资产资本表!H64</f>
        <v>0</v>
      </c>
      <c r="I99" s="92">
        <f>资产资本表!I64</f>
        <v>0</v>
      </c>
      <c r="J99" s="92">
        <f>资产资本表!J64</f>
        <v>0</v>
      </c>
      <c r="K99" s="92">
        <f>资产资本表!K64</f>
        <v>0</v>
      </c>
      <c r="L99" s="92">
        <f>资产资本表!L64</f>
        <v>0</v>
      </c>
      <c r="M99" s="92">
        <f>资产资本表!M64</f>
        <v>0</v>
      </c>
      <c r="N99" s="92">
        <f>资产资本表!N64</f>
        <v>0</v>
      </c>
      <c r="O99" s="92">
        <f>资产资本表!O64</f>
        <v>0</v>
      </c>
      <c r="P99" s="92">
        <f>资产资本表!P64</f>
        <v>0</v>
      </c>
      <c r="Q99" s="92">
        <f>资产资本表!Q64</f>
        <v>0</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0</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5" customFormat="1" x14ac:dyDescent="0.25">
      <c r="A100" s="87" t="s">
        <v>686</v>
      </c>
      <c r="E100" s="195">
        <f>(E84+I84)/2</f>
        <v>290046100.64999998</v>
      </c>
      <c r="F100" s="195">
        <f t="shared" ref="F100:BQ100" si="54">(F84+J84)/2</f>
        <v>247670921.92500001</v>
      </c>
      <c r="G100" s="195">
        <f t="shared" si="54"/>
        <v>245644614.80000001</v>
      </c>
      <c r="H100" s="195">
        <f t="shared" si="54"/>
        <v>245107486.155</v>
      </c>
      <c r="I100" s="195">
        <f t="shared" si="54"/>
        <v>240257107.59</v>
      </c>
      <c r="J100" s="195">
        <f t="shared" si="54"/>
        <v>221743664.92000002</v>
      </c>
      <c r="K100" s="195">
        <f t="shared" si="54"/>
        <v>164391988.33000001</v>
      </c>
      <c r="L100" s="195">
        <f t="shared" si="54"/>
        <v>158150428.85499999</v>
      </c>
      <c r="M100" s="195">
        <f t="shared" si="54"/>
        <v>109906560.47</v>
      </c>
      <c r="N100" s="195">
        <f t="shared" si="54"/>
        <v>107725159.06</v>
      </c>
      <c r="O100" s="195">
        <f t="shared" si="54"/>
        <v>50321516.520000003</v>
      </c>
      <c r="P100" s="195">
        <f t="shared" si="54"/>
        <v>42044105.055</v>
      </c>
      <c r="Q100" s="195">
        <f t="shared" si="54"/>
        <v>0</v>
      </c>
      <c r="R100" s="195">
        <f t="shared" si="54"/>
        <v>0</v>
      </c>
      <c r="S100" s="195">
        <f t="shared" si="54"/>
        <v>0</v>
      </c>
      <c r="T100" s="195">
        <f t="shared" si="54"/>
        <v>0</v>
      </c>
      <c r="U100" s="195">
        <f t="shared" si="54"/>
        <v>0</v>
      </c>
      <c r="V100" s="195">
        <f t="shared" si="54"/>
        <v>0</v>
      </c>
      <c r="W100" s="195">
        <f t="shared" si="54"/>
        <v>0</v>
      </c>
      <c r="X100" s="195">
        <f t="shared" si="54"/>
        <v>0</v>
      </c>
      <c r="Y100" s="195">
        <f t="shared" si="54"/>
        <v>0</v>
      </c>
      <c r="Z100" s="195">
        <f t="shared" si="54"/>
        <v>0</v>
      </c>
      <c r="AA100" s="195">
        <f t="shared" si="54"/>
        <v>0</v>
      </c>
      <c r="AB100" s="195">
        <f t="shared" si="54"/>
        <v>0</v>
      </c>
      <c r="AC100" s="195">
        <f t="shared" si="54"/>
        <v>0</v>
      </c>
      <c r="AD100" s="195">
        <f t="shared" si="54"/>
        <v>0</v>
      </c>
      <c r="AE100" s="195">
        <f t="shared" si="54"/>
        <v>0</v>
      </c>
      <c r="AF100" s="195">
        <f t="shared" si="54"/>
        <v>0</v>
      </c>
      <c r="AG100" s="195">
        <f t="shared" si="54"/>
        <v>0</v>
      </c>
      <c r="AH100" s="195">
        <f t="shared" si="54"/>
        <v>0</v>
      </c>
      <c r="AI100" s="195">
        <f t="shared" si="54"/>
        <v>0</v>
      </c>
      <c r="AJ100" s="195">
        <f t="shared" si="54"/>
        <v>0</v>
      </c>
      <c r="AK100" s="195">
        <f t="shared" si="54"/>
        <v>0</v>
      </c>
      <c r="AL100" s="195">
        <f t="shared" si="54"/>
        <v>0</v>
      </c>
      <c r="AM100" s="195">
        <f t="shared" si="54"/>
        <v>0</v>
      </c>
      <c r="AN100" s="195">
        <f t="shared" si="54"/>
        <v>0</v>
      </c>
      <c r="AO100" s="195">
        <f t="shared" si="54"/>
        <v>0</v>
      </c>
      <c r="AP100" s="195">
        <f t="shared" si="54"/>
        <v>0</v>
      </c>
      <c r="AQ100" s="195">
        <f t="shared" si="54"/>
        <v>0</v>
      </c>
      <c r="AR100" s="195">
        <f t="shared" si="54"/>
        <v>0</v>
      </c>
      <c r="AS100" s="195">
        <f t="shared" si="54"/>
        <v>0</v>
      </c>
      <c r="AT100" s="195">
        <f t="shared" si="54"/>
        <v>0</v>
      </c>
      <c r="AU100" s="195">
        <f t="shared" si="54"/>
        <v>0</v>
      </c>
      <c r="AV100" s="195">
        <f t="shared" si="54"/>
        <v>0</v>
      </c>
      <c r="AW100" s="195">
        <f t="shared" si="54"/>
        <v>0</v>
      </c>
      <c r="AX100" s="195">
        <f t="shared" si="54"/>
        <v>0</v>
      </c>
      <c r="AY100" s="195">
        <f t="shared" si="54"/>
        <v>0</v>
      </c>
      <c r="AZ100" s="195">
        <f t="shared" si="54"/>
        <v>0</v>
      </c>
      <c r="BA100" s="195">
        <f t="shared" si="54"/>
        <v>0</v>
      </c>
      <c r="BB100" s="195">
        <f t="shared" si="54"/>
        <v>0</v>
      </c>
      <c r="BC100" s="195">
        <f t="shared" si="54"/>
        <v>0</v>
      </c>
      <c r="BD100" s="195">
        <f t="shared" si="54"/>
        <v>0</v>
      </c>
      <c r="BE100" s="195">
        <f t="shared" si="54"/>
        <v>0</v>
      </c>
      <c r="BF100" s="195">
        <f t="shared" si="54"/>
        <v>0</v>
      </c>
      <c r="BG100" s="195">
        <f t="shared" si="54"/>
        <v>0</v>
      </c>
      <c r="BH100" s="195">
        <f t="shared" si="54"/>
        <v>0</v>
      </c>
      <c r="BI100" s="195">
        <f t="shared" si="54"/>
        <v>0</v>
      </c>
      <c r="BJ100" s="195">
        <f t="shared" si="54"/>
        <v>0</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687</v>
      </c>
      <c r="E101" s="250">
        <f>E100/E84</f>
        <v>0.90812203044686735</v>
      </c>
      <c r="F101" s="250">
        <f t="shared" ref="F101:BQ101" si="56">F100/F84</f>
        <v>0.92654861474613637</v>
      </c>
      <c r="G101" s="250">
        <f t="shared" si="56"/>
        <v>0.93348362078508729</v>
      </c>
      <c r="H101" s="250">
        <f t="shared" si="56"/>
        <v>0.95002045594165063</v>
      </c>
      <c r="I101" s="250">
        <f t="shared" si="56"/>
        <v>0.92158074092631392</v>
      </c>
      <c r="J101" s="250">
        <f t="shared" si="56"/>
        <v>0.97240208178255116</v>
      </c>
      <c r="K101" s="250">
        <f t="shared" si="56"/>
        <v>0.72057205393091295</v>
      </c>
      <c r="L101" s="250">
        <f t="shared" si="56"/>
        <v>0.68105863521879928</v>
      </c>
      <c r="M101" s="250">
        <f t="shared" si="56"/>
        <v>0.5</v>
      </c>
      <c r="N101" s="250">
        <f t="shared" si="56"/>
        <v>0.5</v>
      </c>
      <c r="O101" s="250">
        <f t="shared" si="56"/>
        <v>0.5</v>
      </c>
      <c r="P101" s="250">
        <f t="shared" si="56"/>
        <v>0.5</v>
      </c>
      <c r="Q101" s="250" t="e">
        <f t="shared" si="56"/>
        <v>#DIV/0!</v>
      </c>
      <c r="R101" s="250" t="e">
        <f t="shared" si="56"/>
        <v>#DIV/0!</v>
      </c>
      <c r="S101" s="250" t="e">
        <f t="shared" si="56"/>
        <v>#DIV/0!</v>
      </c>
      <c r="T101" s="250" t="e">
        <f t="shared" si="56"/>
        <v>#DIV/0!</v>
      </c>
      <c r="U101" s="250" t="e">
        <f t="shared" si="56"/>
        <v>#DIV/0!</v>
      </c>
      <c r="V101" s="250" t="e">
        <f t="shared" si="56"/>
        <v>#DIV/0!</v>
      </c>
      <c r="W101" s="250" t="e">
        <f t="shared" si="56"/>
        <v>#DIV/0!</v>
      </c>
      <c r="X101" s="250" t="e">
        <f t="shared" si="56"/>
        <v>#DIV/0!</v>
      </c>
      <c r="Y101" s="250" t="e">
        <f t="shared" si="56"/>
        <v>#DIV/0!</v>
      </c>
      <c r="Z101" s="250" t="e">
        <f t="shared" si="56"/>
        <v>#DIV/0!</v>
      </c>
      <c r="AA101" s="250" t="e">
        <f t="shared" si="56"/>
        <v>#DIV/0!</v>
      </c>
      <c r="AB101" s="250" t="e">
        <f t="shared" si="56"/>
        <v>#DIV/0!</v>
      </c>
      <c r="AC101" s="250" t="e">
        <f t="shared" si="56"/>
        <v>#DIV/0!</v>
      </c>
      <c r="AD101" s="250" t="e">
        <f t="shared" si="56"/>
        <v>#DIV/0!</v>
      </c>
      <c r="AE101" s="250" t="e">
        <f t="shared" si="56"/>
        <v>#DIV/0!</v>
      </c>
      <c r="AF101" s="250" t="e">
        <f t="shared" si="56"/>
        <v>#DIV/0!</v>
      </c>
      <c r="AG101" s="250" t="e">
        <f t="shared" si="56"/>
        <v>#DIV/0!</v>
      </c>
      <c r="AH101" s="250" t="e">
        <f t="shared" si="56"/>
        <v>#DIV/0!</v>
      </c>
      <c r="AI101" s="250" t="e">
        <f t="shared" si="56"/>
        <v>#DIV/0!</v>
      </c>
      <c r="AJ101" s="250" t="e">
        <f t="shared" si="56"/>
        <v>#DIV/0!</v>
      </c>
      <c r="AK101" s="250" t="e">
        <f t="shared" si="56"/>
        <v>#DIV/0!</v>
      </c>
      <c r="AL101" s="250" t="e">
        <f t="shared" si="56"/>
        <v>#DIV/0!</v>
      </c>
      <c r="AM101" s="250" t="e">
        <f t="shared" si="56"/>
        <v>#DIV/0!</v>
      </c>
      <c r="AN101" s="250" t="e">
        <f t="shared" si="56"/>
        <v>#DIV/0!</v>
      </c>
      <c r="AO101" s="250" t="e">
        <f t="shared" si="56"/>
        <v>#DIV/0!</v>
      </c>
      <c r="AP101" s="250" t="e">
        <f t="shared" si="56"/>
        <v>#DIV/0!</v>
      </c>
      <c r="AQ101" s="250" t="e">
        <f t="shared" si="56"/>
        <v>#DIV/0!</v>
      </c>
      <c r="AR101" s="250" t="e">
        <f t="shared" si="56"/>
        <v>#DIV/0!</v>
      </c>
      <c r="AS101" s="250" t="e">
        <f t="shared" si="56"/>
        <v>#DIV/0!</v>
      </c>
      <c r="AT101" s="250" t="e">
        <f t="shared" si="56"/>
        <v>#DIV/0!</v>
      </c>
      <c r="AU101" s="250" t="e">
        <f t="shared" si="56"/>
        <v>#DIV/0!</v>
      </c>
      <c r="AV101" s="250" t="e">
        <f t="shared" si="56"/>
        <v>#DIV/0!</v>
      </c>
      <c r="AW101" s="250" t="e">
        <f t="shared" si="56"/>
        <v>#DIV/0!</v>
      </c>
      <c r="AX101" s="250" t="e">
        <f t="shared" si="56"/>
        <v>#DIV/0!</v>
      </c>
      <c r="AY101" s="250" t="e">
        <f t="shared" si="56"/>
        <v>#DIV/0!</v>
      </c>
      <c r="AZ101" s="250" t="e">
        <f t="shared" si="56"/>
        <v>#DIV/0!</v>
      </c>
      <c r="BA101" s="250" t="e">
        <f t="shared" si="56"/>
        <v>#DIV/0!</v>
      </c>
      <c r="BB101" s="250" t="e">
        <f t="shared" si="56"/>
        <v>#DIV/0!</v>
      </c>
      <c r="BC101" s="250" t="e">
        <f t="shared" si="56"/>
        <v>#DIV/0!</v>
      </c>
      <c r="BD101" s="250" t="e">
        <f t="shared" si="56"/>
        <v>#DIV/0!</v>
      </c>
      <c r="BE101" s="250" t="e">
        <f t="shared" si="56"/>
        <v>#DIV/0!</v>
      </c>
      <c r="BF101" s="250" t="e">
        <f t="shared" si="56"/>
        <v>#DIV/0!</v>
      </c>
      <c r="BG101" s="250" t="e">
        <f t="shared" si="56"/>
        <v>#DIV/0!</v>
      </c>
      <c r="BH101" s="250" t="e">
        <f t="shared" si="56"/>
        <v>#DIV/0!</v>
      </c>
      <c r="BI101" s="250" t="e">
        <f t="shared" si="56"/>
        <v>#DIV/0!</v>
      </c>
      <c r="BJ101" s="250" t="e">
        <f t="shared" si="56"/>
        <v>#DIV/0!</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7" t="s">
        <v>688</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2"/>
  <sheetViews>
    <sheetView workbookViewId="0">
      <selection activeCell="E29" sqref="E29"/>
    </sheetView>
  </sheetViews>
  <sheetFormatPr defaultRowHeight="14.4" x14ac:dyDescent="0.25"/>
  <cols>
    <col min="1" max="1" width="68.109375" style="17" bestFit="1" customWidth="1"/>
    <col min="2" max="4" width="9.5546875" hidden="1" customWidth="1"/>
    <col min="5" max="5" width="19" bestFit="1" customWidth="1"/>
    <col min="6" max="6" width="19" hidden="1" customWidth="1"/>
    <col min="7" max="8" width="17.77734375" hidden="1" customWidth="1"/>
    <col min="9" max="9" width="19" bestFit="1" customWidth="1"/>
    <col min="10" max="10" width="19" hidden="1" customWidth="1"/>
    <col min="11" max="11" width="17.77734375" hidden="1" customWidth="1"/>
    <col min="12" max="12" width="17.21875" hidden="1" customWidth="1"/>
    <col min="13" max="13" width="19" bestFit="1" customWidth="1"/>
    <col min="14" max="14" width="17.77734375" hidden="1" customWidth="1"/>
    <col min="15" max="15" width="19" bestFit="1" customWidth="1"/>
    <col min="16" max="16" width="17.77734375" bestFit="1" customWidth="1"/>
    <col min="17" max="17" width="19" bestFit="1" customWidth="1"/>
    <col min="18" max="18" width="17.77734375" bestFit="1" customWidth="1"/>
    <col min="19" max="19" width="9.5546875" hidden="1" customWidth="1"/>
    <col min="20" max="20" width="18.33203125" hidden="1" customWidth="1"/>
    <col min="21" max="21" width="20.44140625" bestFit="1" customWidth="1"/>
    <col min="22" max="23" width="20.44140625" hidden="1" customWidth="1"/>
    <col min="24" max="24" width="18.33203125" hidden="1" customWidth="1"/>
    <col min="25" max="25" width="20.44140625" bestFit="1" customWidth="1"/>
    <col min="26" max="27" width="20.44140625" hidden="1" customWidth="1"/>
    <col min="28" max="28" width="18.33203125" hidden="1" customWidth="1"/>
    <col min="29" max="29" width="20.44140625" bestFit="1" customWidth="1"/>
    <col min="30" max="30" width="20.44140625" hidden="1" customWidth="1"/>
    <col min="31" max="32" width="18.33203125" hidden="1" customWidth="1"/>
    <col min="33" max="33" width="20.44140625" bestFit="1" customWidth="1"/>
    <col min="34" max="34" width="20.44140625" hidden="1" customWidth="1"/>
    <col min="35" max="36" width="18.33203125" hidden="1" customWidth="1"/>
    <col min="37" max="37" width="20.44140625" bestFit="1" customWidth="1"/>
    <col min="38" max="40" width="18.33203125" hidden="1" customWidth="1"/>
    <col min="41" max="41" width="18.33203125" bestFit="1" customWidth="1"/>
    <col min="42"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801161519.13999999</v>
      </c>
      <c r="F2" s="26">
        <f>现金流量表!F4</f>
        <v>554516123.82000005</v>
      </c>
      <c r="G2" s="26">
        <f>现金流量表!G4</f>
        <v>360711308.88</v>
      </c>
      <c r="H2" s="26">
        <f>现金流量表!H4</f>
        <v>170192175.44999999</v>
      </c>
      <c r="I2" s="26">
        <f>现金流量表!I4</f>
        <v>711350011.96000004</v>
      </c>
      <c r="J2" s="26">
        <f>现金流量表!J4</f>
        <v>498709587.62</v>
      </c>
      <c r="K2" s="26">
        <f>现金流量表!K4</f>
        <v>305322938.24000001</v>
      </c>
      <c r="L2" s="26">
        <f>现金流量表!L4</f>
        <v>127848330.19</v>
      </c>
      <c r="M2" s="26">
        <f>现金流量表!M4</f>
        <v>637450598.5</v>
      </c>
      <c r="N2" s="26">
        <f>现金流量表!N4</f>
        <v>454338256.08999997</v>
      </c>
      <c r="O2" s="26">
        <f>现金流量表!O4</f>
        <v>565089648.98000002</v>
      </c>
      <c r="P2" s="26">
        <f>现金流量表!P4</f>
        <v>515923527.69999999</v>
      </c>
      <c r="Q2" s="26">
        <f>现金流量表!Q4</f>
        <v>420546580.74000001</v>
      </c>
      <c r="R2" s="26">
        <f>现金流量表!R4</f>
        <v>325120725.17000002</v>
      </c>
      <c r="S2" s="26">
        <f>现金流量表!S4</f>
        <v>0</v>
      </c>
      <c r="T2" s="26">
        <f>现金流量表!T4</f>
        <v>0</v>
      </c>
      <c r="U2" s="26">
        <f>现金流量表!U4</f>
        <v>0</v>
      </c>
      <c r="V2" s="26">
        <f>现金流量表!V4</f>
        <v>0</v>
      </c>
      <c r="W2" s="26">
        <f>现金流量表!W4</f>
        <v>0</v>
      </c>
      <c r="X2" s="26">
        <f>现金流量表!X4</f>
        <v>0</v>
      </c>
      <c r="Y2" s="26">
        <f>现金流量表!Y4</f>
        <v>0</v>
      </c>
      <c r="Z2" s="26">
        <f>现金流量表!Z4</f>
        <v>0</v>
      </c>
      <c r="AA2" s="26">
        <f>现金流量表!AA4</f>
        <v>0</v>
      </c>
      <c r="AB2" s="26">
        <f>现金流量表!AB4</f>
        <v>0</v>
      </c>
      <c r="AC2" s="26">
        <f>现金流量表!AC4</f>
        <v>0</v>
      </c>
      <c r="AD2" s="26">
        <f>现金流量表!AD4</f>
        <v>0</v>
      </c>
      <c r="AE2" s="26">
        <f>现金流量表!AE4</f>
        <v>0</v>
      </c>
      <c r="AF2" s="26">
        <f>现金流量表!AF4</f>
        <v>0</v>
      </c>
      <c r="AG2" s="26">
        <f>现金流量表!AG4</f>
        <v>0</v>
      </c>
      <c r="AH2" s="26">
        <f>现金流量表!AH4</f>
        <v>0</v>
      </c>
      <c r="AI2" s="26">
        <f>现金流量表!AI4</f>
        <v>0</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752408925.78999996</v>
      </c>
      <c r="F3" s="26">
        <f>利润表!F3</f>
        <v>525772942.17000002</v>
      </c>
      <c r="G3" s="26">
        <f>利润表!G3</f>
        <v>339770745.41000003</v>
      </c>
      <c r="H3" s="26">
        <f>利润表!H3</f>
        <v>153700781.78999999</v>
      </c>
      <c r="I3" s="26">
        <f>利润表!I3</f>
        <v>665011421.55999994</v>
      </c>
      <c r="J3" s="26">
        <f>利润表!J3</f>
        <v>454007921.24000001</v>
      </c>
      <c r="K3" s="26">
        <f>利润表!K3</f>
        <v>283257330.20999998</v>
      </c>
      <c r="L3" s="26">
        <f>利润表!L3</f>
        <v>124302689.18000001</v>
      </c>
      <c r="M3" s="26">
        <f>利润表!M3</f>
        <v>597037871.64999998</v>
      </c>
      <c r="N3" s="26">
        <f>利润表!N3</f>
        <v>409475329.64999998</v>
      </c>
      <c r="O3" s="26">
        <f>利润表!O3</f>
        <v>528809680.74000001</v>
      </c>
      <c r="P3" s="26">
        <f>利润表!P3</f>
        <v>484907942.22000003</v>
      </c>
      <c r="Q3" s="26">
        <f>利润表!Q3</f>
        <v>395593790.81</v>
      </c>
      <c r="R3" s="26">
        <f>利润表!R3</f>
        <v>316891515.43000001</v>
      </c>
      <c r="S3" s="26">
        <f>利润表!S3</f>
        <v>0</v>
      </c>
      <c r="T3" s="26">
        <f>利润表!T3</f>
        <v>0</v>
      </c>
      <c r="U3" s="26">
        <f>利润表!U3</f>
        <v>0</v>
      </c>
      <c r="V3" s="26">
        <f>利润表!V3</f>
        <v>0</v>
      </c>
      <c r="W3" s="26">
        <f>利润表!W3</f>
        <v>0</v>
      </c>
      <c r="X3" s="26">
        <f>利润表!X3</f>
        <v>0</v>
      </c>
      <c r="Y3" s="26">
        <f>利润表!Y3</f>
        <v>0</v>
      </c>
      <c r="Z3" s="26">
        <f>利润表!Z3</f>
        <v>0</v>
      </c>
      <c r="AA3" s="26">
        <f>利润表!AA3</f>
        <v>0</v>
      </c>
      <c r="AB3" s="26">
        <f>利润表!AB3</f>
        <v>0</v>
      </c>
      <c r="AC3" s="26">
        <f>利润表!AC3</f>
        <v>0</v>
      </c>
      <c r="AD3" s="26">
        <f>利润表!AD3</f>
        <v>0</v>
      </c>
      <c r="AE3" s="26">
        <f>利润表!AE3</f>
        <v>0</v>
      </c>
      <c r="AF3" s="26">
        <f>利润表!AF3</f>
        <v>0</v>
      </c>
      <c r="AG3" s="26">
        <f>利润表!AG3</f>
        <v>0</v>
      </c>
      <c r="AH3" s="26">
        <f>利润表!AH3</f>
        <v>0</v>
      </c>
      <c r="AI3" s="26">
        <f>利润表!AI3</f>
        <v>0</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$E$33</f>
        <v>0.17</v>
      </c>
      <c r="F4" s="63">
        <f t="shared" ref="F4:BQ4" si="0">$E$33</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$E$33</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0.910081488524912</v>
      </c>
      <c r="F5" s="28">
        <f t="shared" ref="F5:BQ5" si="2">(F2/(1+F4))/F3</f>
        <v>0.90142600914049431</v>
      </c>
      <c r="G5" s="28">
        <f t="shared" si="2"/>
        <v>0.90737730709562792</v>
      </c>
      <c r="H5" s="28">
        <f t="shared" si="2"/>
        <v>0.9464063625860939</v>
      </c>
      <c r="I5" s="28">
        <f t="shared" si="2"/>
        <v>0.91425717439173315</v>
      </c>
      <c r="J5" s="28">
        <f t="shared" si="2"/>
        <v>0.93885478830885782</v>
      </c>
      <c r="K5" s="28">
        <f t="shared" si="2"/>
        <v>0.92128163490079906</v>
      </c>
      <c r="L5" s="28">
        <f t="shared" si="2"/>
        <v>0.87908055574916477</v>
      </c>
      <c r="M5" s="28">
        <f t="shared" si="2"/>
        <v>0.9125544579974576</v>
      </c>
      <c r="N5" s="28">
        <f t="shared" si="2"/>
        <v>0.9483435696488457</v>
      </c>
      <c r="O5" s="28">
        <f t="shared" si="2"/>
        <v>0.91333919093527371</v>
      </c>
      <c r="P5" s="28">
        <f t="shared" si="2"/>
        <v>0.90936906099469261</v>
      </c>
      <c r="Q5" s="28">
        <f t="shared" si="2"/>
        <v>0.90861264850498236</v>
      </c>
      <c r="R5" s="28">
        <f t="shared" si="2"/>
        <v>0.87689618734883246</v>
      </c>
      <c r="S5" s="28" t="e">
        <f t="shared" si="2"/>
        <v>#DIV/0!</v>
      </c>
      <c r="T5" s="28" t="e">
        <f t="shared" si="2"/>
        <v>#DIV/0!</v>
      </c>
      <c r="U5" s="28" t="e">
        <f t="shared" si="2"/>
        <v>#DIV/0!</v>
      </c>
      <c r="V5" s="28" t="e">
        <f t="shared" si="2"/>
        <v>#DIV/0!</v>
      </c>
      <c r="W5" s="28" t="e">
        <f t="shared" si="2"/>
        <v>#DIV/0!</v>
      </c>
      <c r="X5" s="28" t="e">
        <f t="shared" si="2"/>
        <v>#DIV/0!</v>
      </c>
      <c r="Y5" s="28" t="e">
        <f t="shared" si="2"/>
        <v>#DIV/0!</v>
      </c>
      <c r="Z5" s="28" t="e">
        <f t="shared" si="2"/>
        <v>#DIV/0!</v>
      </c>
      <c r="AA5" s="28" t="e">
        <f t="shared" si="2"/>
        <v>#DIV/0!</v>
      </c>
      <c r="AB5" s="28" t="e">
        <f t="shared" si="2"/>
        <v>#DIV/0!</v>
      </c>
      <c r="AC5" s="28" t="e">
        <f t="shared" si="2"/>
        <v>#DIV/0!</v>
      </c>
      <c r="AD5" s="28" t="e">
        <f t="shared" si="2"/>
        <v>#DIV/0!</v>
      </c>
      <c r="AE5" s="28" t="e">
        <f t="shared" si="2"/>
        <v>#DIV/0!</v>
      </c>
      <c r="AF5" s="28" t="e">
        <f t="shared" si="2"/>
        <v>#DIV/0!</v>
      </c>
      <c r="AG5" s="28" t="e">
        <f t="shared" si="2"/>
        <v>#DIV/0!</v>
      </c>
      <c r="AH5" s="28" t="e">
        <f t="shared" si="2"/>
        <v>#DIV/0!</v>
      </c>
      <c r="AI5" s="28" t="e">
        <f t="shared" si="2"/>
        <v>#DIV/0!</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244840380.53</v>
      </c>
      <c r="F6" s="26">
        <f>现金流量表!F8</f>
        <v>169857410.24000001</v>
      </c>
      <c r="G6" s="26">
        <f>现金流量表!G8</f>
        <v>106075990.33</v>
      </c>
      <c r="H6" s="26">
        <f>现金流量表!H8</f>
        <v>59586637.090000004</v>
      </c>
      <c r="I6" s="26">
        <f>现金流量表!I8</f>
        <v>182420074.81999999</v>
      </c>
      <c r="J6" s="26">
        <f>现金流量表!J8</f>
        <v>133080799.20999999</v>
      </c>
      <c r="K6" s="26">
        <f>现金流量表!K8</f>
        <v>81681480.540000007</v>
      </c>
      <c r="L6" s="26">
        <f>现金流量表!L8</f>
        <v>42162364.82</v>
      </c>
      <c r="M6" s="26">
        <f>现金流量表!M8</f>
        <v>179496995.66</v>
      </c>
      <c r="N6" s="26">
        <f>现金流量表!N8</f>
        <v>147693214.06999999</v>
      </c>
      <c r="O6" s="26">
        <f>现金流量表!O8</f>
        <v>156711904.91999999</v>
      </c>
      <c r="P6" s="26">
        <f>现金流量表!P8</f>
        <v>161425714.91</v>
      </c>
      <c r="Q6" s="26">
        <f>现金流量表!Q8</f>
        <v>122925383.56999999</v>
      </c>
      <c r="R6" s="26">
        <f>现金流量表!R8</f>
        <v>91605157.790000007</v>
      </c>
      <c r="S6" s="26">
        <f>现金流量表!S8</f>
        <v>0</v>
      </c>
      <c r="T6" s="26">
        <f>现金流量表!T8</f>
        <v>0</v>
      </c>
      <c r="U6" s="26">
        <f>现金流量表!U8</f>
        <v>0</v>
      </c>
      <c r="V6" s="26">
        <f>现金流量表!V8</f>
        <v>0</v>
      </c>
      <c r="W6" s="26">
        <f>现金流量表!W8</f>
        <v>0</v>
      </c>
      <c r="X6" s="26">
        <f>现金流量表!X8</f>
        <v>0</v>
      </c>
      <c r="Y6" s="26">
        <f>现金流量表!Y8</f>
        <v>0</v>
      </c>
      <c r="Z6" s="26">
        <f>现金流量表!Z8</f>
        <v>0</v>
      </c>
      <c r="AA6" s="26">
        <f>现金流量表!AA8</f>
        <v>0</v>
      </c>
      <c r="AB6" s="26">
        <f>现金流量表!AB8</f>
        <v>0</v>
      </c>
      <c r="AC6" s="26">
        <f>现金流量表!AC8</f>
        <v>0</v>
      </c>
      <c r="AD6" s="26">
        <f>现金流量表!AD8</f>
        <v>0</v>
      </c>
      <c r="AE6" s="26">
        <f>现金流量表!AE8</f>
        <v>0</v>
      </c>
      <c r="AF6" s="26">
        <f>现金流量表!AF8</f>
        <v>0</v>
      </c>
      <c r="AG6" s="26">
        <f>现金流量表!AG8</f>
        <v>0</v>
      </c>
      <c r="AH6" s="26">
        <f>现金流量表!AH8</f>
        <v>0</v>
      </c>
      <c r="AI6" s="26">
        <f>现金流量表!AI8</f>
        <v>0</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277144839.24000001</v>
      </c>
      <c r="F7" s="26">
        <f>现金流量表!F9</f>
        <v>193003150.27000001</v>
      </c>
      <c r="G7" s="26">
        <f>现金流量表!G9</f>
        <v>131935658.45999999</v>
      </c>
      <c r="H7" s="26">
        <f>现金流量表!H9</f>
        <v>72149341.040000007</v>
      </c>
      <c r="I7" s="26">
        <f>现金流量表!I9</f>
        <v>253177088.38999999</v>
      </c>
      <c r="J7" s="26">
        <f>现金流量表!J9</f>
        <v>170156535.68000001</v>
      </c>
      <c r="K7" s="26">
        <f>现金流量表!K9</f>
        <v>117396651.3</v>
      </c>
      <c r="L7" s="26">
        <f>现金流量表!L9</f>
        <v>66175167.109999999</v>
      </c>
      <c r="M7" s="26">
        <f>现金流量表!M9</f>
        <v>212040085.53</v>
      </c>
      <c r="N7" s="26">
        <f>现金流量表!N9</f>
        <v>149971279.61000001</v>
      </c>
      <c r="O7" s="26">
        <f>现金流量表!O9</f>
        <v>187788781.61000001</v>
      </c>
      <c r="P7" s="26">
        <f>现金流量表!P9</f>
        <v>156975592.97999999</v>
      </c>
      <c r="Q7" s="26">
        <f>现金流量表!Q9</f>
        <v>118605915.26000001</v>
      </c>
      <c r="R7" s="26">
        <f>现金流量表!R9</f>
        <v>84544720.900000006</v>
      </c>
      <c r="S7" s="26">
        <f>现金流量表!S9</f>
        <v>0</v>
      </c>
      <c r="T7" s="26">
        <f>现金流量表!T9</f>
        <v>0</v>
      </c>
      <c r="U7" s="26">
        <f>现金流量表!U9</f>
        <v>0</v>
      </c>
      <c r="V7" s="26">
        <f>现金流量表!V9</f>
        <v>0</v>
      </c>
      <c r="W7" s="26">
        <f>现金流量表!W9</f>
        <v>0</v>
      </c>
      <c r="X7" s="26">
        <f>现金流量表!X9</f>
        <v>0</v>
      </c>
      <c r="Y7" s="26">
        <f>现金流量表!Y9</f>
        <v>0</v>
      </c>
      <c r="Z7" s="26">
        <f>现金流量表!Z9</f>
        <v>0</v>
      </c>
      <c r="AA7" s="26">
        <f>现金流量表!AA9</f>
        <v>0</v>
      </c>
      <c r="AB7" s="26">
        <f>现金流量表!AB9</f>
        <v>0</v>
      </c>
      <c r="AC7" s="26">
        <f>现金流量表!AC9</f>
        <v>0</v>
      </c>
      <c r="AD7" s="26">
        <f>现金流量表!AD9</f>
        <v>0</v>
      </c>
      <c r="AE7" s="26">
        <f>现金流量表!AE9</f>
        <v>0</v>
      </c>
      <c r="AF7" s="26">
        <f>现金流量表!AF9</f>
        <v>0</v>
      </c>
      <c r="AG7" s="26">
        <f>现金流量表!AG9</f>
        <v>0</v>
      </c>
      <c r="AH7" s="26">
        <f>现金流量表!AH9</f>
        <v>0</v>
      </c>
      <c r="AI7" s="26">
        <f>现金流量表!AI9</f>
        <v>0</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406091046.83999997</v>
      </c>
      <c r="F8" s="58">
        <f>利润表!F6</f>
        <v>271365768.27999997</v>
      </c>
      <c r="G8" s="58">
        <f>利润表!G6</f>
        <v>181470105.86000001</v>
      </c>
      <c r="H8" s="58">
        <f>利润表!H6</f>
        <v>91249713.920000002</v>
      </c>
      <c r="I8" s="58">
        <f>利润表!I6</f>
        <v>348439708.45999998</v>
      </c>
      <c r="J8" s="58">
        <f>利润表!J6</f>
        <v>228589200.88</v>
      </c>
      <c r="K8" s="58">
        <f>利润表!K6</f>
        <v>149382777.41999999</v>
      </c>
      <c r="L8" s="58">
        <f>利润表!L6</f>
        <v>74864949.950000003</v>
      </c>
      <c r="M8" s="58">
        <f>利润表!M6</f>
        <v>318153253.52999997</v>
      </c>
      <c r="N8" s="58">
        <f>利润表!N6</f>
        <v>215473046.52000001</v>
      </c>
      <c r="O8" s="58">
        <f>利润表!O6</f>
        <v>287721956.77999997</v>
      </c>
      <c r="P8" s="58">
        <f>利润表!P6</f>
        <v>255145394.69</v>
      </c>
      <c r="Q8" s="58">
        <f>利润表!Q6</f>
        <v>207821413.31999999</v>
      </c>
      <c r="R8" s="58">
        <f>利润表!R6</f>
        <v>157440528.15000001</v>
      </c>
      <c r="S8" s="58">
        <f>利润表!S6</f>
        <v>0</v>
      </c>
      <c r="T8" s="58">
        <f>利润表!T6</f>
        <v>0</v>
      </c>
      <c r="U8" s="58">
        <f>利润表!U6</f>
        <v>0</v>
      </c>
      <c r="V8" s="58">
        <f>利润表!V6</f>
        <v>0</v>
      </c>
      <c r="W8" s="58">
        <f>利润表!W6</f>
        <v>0</v>
      </c>
      <c r="X8" s="58">
        <f>利润表!X6</f>
        <v>0</v>
      </c>
      <c r="Y8" s="58">
        <f>利润表!Y6</f>
        <v>0</v>
      </c>
      <c r="Z8" s="58">
        <f>利润表!Z6</f>
        <v>0</v>
      </c>
      <c r="AA8" s="58">
        <f>利润表!AA6</f>
        <v>0</v>
      </c>
      <c r="AB8" s="58">
        <f>利润表!AB6</f>
        <v>0</v>
      </c>
      <c r="AC8" s="58">
        <f>利润表!AC6</f>
        <v>0</v>
      </c>
      <c r="AD8" s="58">
        <f>利润表!AD6</f>
        <v>0</v>
      </c>
      <c r="AE8" s="58">
        <f>利润表!AE6</f>
        <v>0</v>
      </c>
      <c r="AF8" s="58">
        <f>利润表!AF6</f>
        <v>0</v>
      </c>
      <c r="AG8" s="58">
        <f>利润表!AG6</f>
        <v>0</v>
      </c>
      <c r="AH8" s="58">
        <f>利润表!AH6</f>
        <v>0</v>
      </c>
      <c r="AI8" s="58">
        <f>利润表!AI6</f>
        <v>0</v>
      </c>
      <c r="AJ8" s="58">
        <f>利润表!AJ6</f>
        <v>0</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4713914.93</v>
      </c>
      <c r="F9" s="58">
        <f>利润表!F7</f>
        <v>3122552.32</v>
      </c>
      <c r="G9" s="58">
        <f>利润表!G7</f>
        <v>2242285.31</v>
      </c>
      <c r="H9" s="58">
        <f>利润表!H7</f>
        <v>741441.45</v>
      </c>
      <c r="I9" s="58">
        <f>利润表!I7</f>
        <v>4077013.45</v>
      </c>
      <c r="J9" s="58">
        <f>利润表!J7</f>
        <v>2478089.7400000002</v>
      </c>
      <c r="K9" s="58">
        <f>利润表!K7</f>
        <v>1674570.11</v>
      </c>
      <c r="L9" s="58">
        <f>利润表!L7</f>
        <v>761096.69</v>
      </c>
      <c r="M9" s="58">
        <f>利润表!M7</f>
        <v>3426043.03</v>
      </c>
      <c r="N9" s="58">
        <f>利润表!N7</f>
        <v>2528370.9500000002</v>
      </c>
      <c r="O9" s="58">
        <f>利润表!O7</f>
        <v>3185132.53</v>
      </c>
      <c r="P9" s="58">
        <f>利润表!P7</f>
        <v>4441789.72</v>
      </c>
      <c r="Q9" s="58">
        <f>利润表!Q7</f>
        <v>13470903.210000001</v>
      </c>
      <c r="R9" s="58">
        <f>利润表!R7</f>
        <v>15908543.560000001</v>
      </c>
      <c r="S9" s="58">
        <f>利润表!S7</f>
        <v>0</v>
      </c>
      <c r="T9" s="58">
        <f>利润表!T7</f>
        <v>0</v>
      </c>
      <c r="U9" s="58">
        <f>利润表!U7</f>
        <v>0</v>
      </c>
      <c r="V9" s="58">
        <f>利润表!V7</f>
        <v>0</v>
      </c>
      <c r="W9" s="58">
        <f>利润表!W7</f>
        <v>0</v>
      </c>
      <c r="X9" s="58">
        <f>利润表!X7</f>
        <v>0</v>
      </c>
      <c r="Y9" s="58">
        <f>利润表!Y7</f>
        <v>0</v>
      </c>
      <c r="Z9" s="58">
        <f>利润表!Z7</f>
        <v>0</v>
      </c>
      <c r="AA9" s="58">
        <f>利润表!AA7</f>
        <v>0</v>
      </c>
      <c r="AB9" s="58">
        <f>利润表!AB7</f>
        <v>0</v>
      </c>
      <c r="AC9" s="58">
        <f>利润表!AC7</f>
        <v>0</v>
      </c>
      <c r="AD9" s="58">
        <f>利润表!AD7</f>
        <v>0</v>
      </c>
      <c r="AE9" s="58">
        <f>利润表!AE7</f>
        <v>0</v>
      </c>
      <c r="AF9" s="58">
        <f>利润表!AF7</f>
        <v>0</v>
      </c>
      <c r="AG9" s="58">
        <f>利润表!AG7</f>
        <v>0</v>
      </c>
      <c r="AH9" s="58">
        <f>利润表!AH7</f>
        <v>0</v>
      </c>
      <c r="AI9" s="58">
        <f>利润表!AI7</f>
        <v>0</v>
      </c>
      <c r="AJ9" s="58">
        <f>利润表!AJ7</f>
        <v>0</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21668533.010000002</v>
      </c>
      <c r="F10" s="58">
        <f>利润表!F8</f>
        <v>13228844.43</v>
      </c>
      <c r="G10" s="58">
        <f>利润表!G8</f>
        <v>9180163.4299999997</v>
      </c>
      <c r="H10" s="58">
        <f>利润表!H8</f>
        <v>5012251.4000000004</v>
      </c>
      <c r="I10" s="58">
        <f>利润表!I8</f>
        <v>19538807.030000001</v>
      </c>
      <c r="J10" s="58">
        <f>利润表!J8</f>
        <v>12545397.220000001</v>
      </c>
      <c r="K10" s="58">
        <f>利润表!K8</f>
        <v>8046351.9000000004</v>
      </c>
      <c r="L10" s="58">
        <f>利润表!L8</f>
        <v>3789818.57</v>
      </c>
      <c r="M10" s="58">
        <f>利润表!M8</f>
        <v>17063513.98</v>
      </c>
      <c r="N10" s="58">
        <f>利润表!N8</f>
        <v>11785946.41</v>
      </c>
      <c r="O10" s="58">
        <f>利润表!O8</f>
        <v>16875542.949999999</v>
      </c>
      <c r="P10" s="58">
        <f>利润表!P8</f>
        <v>16358050.699999999</v>
      </c>
      <c r="Q10" s="58">
        <f>利润表!Q8</f>
        <v>9619825.7599999998</v>
      </c>
      <c r="R10" s="58">
        <f>利润表!R8</f>
        <v>7064283.7000000002</v>
      </c>
      <c r="S10" s="58">
        <f>利润表!S8</f>
        <v>0</v>
      </c>
      <c r="T10" s="58">
        <f>利润表!T8</f>
        <v>0</v>
      </c>
      <c r="U10" s="58">
        <f>利润表!U8</f>
        <v>0</v>
      </c>
      <c r="V10" s="58">
        <f>利润表!V8</f>
        <v>0</v>
      </c>
      <c r="W10" s="58">
        <f>利润表!W8</f>
        <v>0</v>
      </c>
      <c r="X10" s="58">
        <f>利润表!X8</f>
        <v>0</v>
      </c>
      <c r="Y10" s="58">
        <f>利润表!Y8</f>
        <v>0</v>
      </c>
      <c r="Z10" s="58">
        <f>利润表!Z8</f>
        <v>0</v>
      </c>
      <c r="AA10" s="58">
        <f>利润表!AA8</f>
        <v>0</v>
      </c>
      <c r="AB10" s="58">
        <f>利润表!AB8</f>
        <v>0</v>
      </c>
      <c r="AC10" s="58">
        <f>利润表!AC8</f>
        <v>0</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166019822.88</v>
      </c>
      <c r="F11" s="58">
        <f>利润表!F9</f>
        <v>117685777.28</v>
      </c>
      <c r="G11" s="58">
        <f>利润表!G9</f>
        <v>79178722.430000007</v>
      </c>
      <c r="H11" s="58">
        <f>利润表!H9</f>
        <v>37534449.25</v>
      </c>
      <c r="I11" s="58">
        <f>利润表!I9</f>
        <v>154974042.46000001</v>
      </c>
      <c r="J11" s="58">
        <f>利润表!J9</f>
        <v>103999553.73999999</v>
      </c>
      <c r="K11" s="58">
        <f>利润表!K9</f>
        <v>70613526.260000005</v>
      </c>
      <c r="L11" s="58">
        <f>利润表!L9</f>
        <v>35456383.57</v>
      </c>
      <c r="M11" s="58">
        <f>利润表!M9</f>
        <v>122441461.36</v>
      </c>
      <c r="N11" s="58">
        <f>利润表!N9</f>
        <v>86931351.890000001</v>
      </c>
      <c r="O11" s="58">
        <f>利润表!O9</f>
        <v>107670888.41</v>
      </c>
      <c r="P11" s="58">
        <f>利润表!P9</f>
        <v>102640374.88</v>
      </c>
      <c r="Q11" s="58">
        <f>利润表!Q9</f>
        <v>71521981.640000001</v>
      </c>
      <c r="R11" s="58">
        <f>利润表!R9</f>
        <v>52519359.909999996</v>
      </c>
      <c r="S11" s="58">
        <f>利润表!S9</f>
        <v>0</v>
      </c>
      <c r="T11" s="58">
        <f>利润表!T9</f>
        <v>0</v>
      </c>
      <c r="U11" s="58">
        <f>利润表!U9</f>
        <v>0</v>
      </c>
      <c r="V11" s="58">
        <f>利润表!V9</f>
        <v>0</v>
      </c>
      <c r="W11" s="58">
        <f>利润表!W9</f>
        <v>0</v>
      </c>
      <c r="X11" s="58">
        <f>利润表!X9</f>
        <v>0</v>
      </c>
      <c r="Y11" s="58">
        <f>利润表!Y9</f>
        <v>0</v>
      </c>
      <c r="Z11" s="58">
        <f>利润表!Z9</f>
        <v>0</v>
      </c>
      <c r="AA11" s="58">
        <f>利润表!AA9</f>
        <v>0</v>
      </c>
      <c r="AB11" s="58">
        <f>利润表!AB9</f>
        <v>0</v>
      </c>
      <c r="AC11" s="58">
        <f>利润表!AC9</f>
        <v>0</v>
      </c>
      <c r="AD11" s="58">
        <f>利润表!AD9</f>
        <v>0</v>
      </c>
      <c r="AE11" s="58">
        <f>利润表!AE9</f>
        <v>0</v>
      </c>
      <c r="AF11" s="58">
        <f>利润表!AF9</f>
        <v>0</v>
      </c>
      <c r="AG11" s="58">
        <f>利润表!AG9</f>
        <v>0</v>
      </c>
      <c r="AH11" s="58">
        <f>利润表!AH9</f>
        <v>0</v>
      </c>
      <c r="AI11" s="58">
        <f>利润表!AI9</f>
        <v>0</v>
      </c>
      <c r="AJ11" s="58">
        <f>利润表!AJ9</f>
        <v>0</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598493317.65999997</v>
      </c>
      <c r="F12" s="58">
        <f t="shared" ref="F12:BQ12" si="4">SUM(F8:F11)</f>
        <v>405402942.30999994</v>
      </c>
      <c r="G12" s="58">
        <f t="shared" si="4"/>
        <v>272071277.03000003</v>
      </c>
      <c r="H12" s="58">
        <f t="shared" si="4"/>
        <v>134537856.02000001</v>
      </c>
      <c r="I12" s="58">
        <f t="shared" si="4"/>
        <v>527029571.39999998</v>
      </c>
      <c r="J12" s="58">
        <f t="shared" si="4"/>
        <v>347612241.57999998</v>
      </c>
      <c r="K12" s="58">
        <f t="shared" si="4"/>
        <v>229717225.69</v>
      </c>
      <c r="L12" s="58">
        <f t="shared" si="4"/>
        <v>114872248.78</v>
      </c>
      <c r="M12" s="58">
        <f t="shared" si="4"/>
        <v>461084271.89999998</v>
      </c>
      <c r="N12" s="58">
        <f t="shared" si="4"/>
        <v>316718715.76999998</v>
      </c>
      <c r="O12" s="58">
        <f t="shared" si="4"/>
        <v>415453520.66999996</v>
      </c>
      <c r="P12" s="58">
        <f t="shared" si="4"/>
        <v>378585609.99000001</v>
      </c>
      <c r="Q12" s="58">
        <f t="shared" si="4"/>
        <v>302434123.93000001</v>
      </c>
      <c r="R12" s="58">
        <f t="shared" si="4"/>
        <v>232932715.31999999</v>
      </c>
      <c r="S12" s="58">
        <f t="shared" si="4"/>
        <v>0</v>
      </c>
      <c r="T12" s="58">
        <f t="shared" si="4"/>
        <v>0</v>
      </c>
      <c r="U12" s="58">
        <f t="shared" si="4"/>
        <v>0</v>
      </c>
      <c r="V12" s="58">
        <f t="shared" si="4"/>
        <v>0</v>
      </c>
      <c r="W12" s="58">
        <f t="shared" si="4"/>
        <v>0</v>
      </c>
      <c r="X12" s="58">
        <f t="shared" si="4"/>
        <v>0</v>
      </c>
      <c r="Y12" s="58">
        <f t="shared" si="4"/>
        <v>0</v>
      </c>
      <c r="Z12" s="58">
        <f t="shared" si="4"/>
        <v>0</v>
      </c>
      <c r="AA12" s="58">
        <f t="shared" si="4"/>
        <v>0</v>
      </c>
      <c r="AB12" s="58">
        <f t="shared" si="4"/>
        <v>0</v>
      </c>
      <c r="AC12" s="58">
        <f t="shared" si="4"/>
        <v>0</v>
      </c>
      <c r="AD12" s="58">
        <f t="shared" si="4"/>
        <v>0</v>
      </c>
      <c r="AE12" s="58">
        <f t="shared" si="4"/>
        <v>0</v>
      </c>
      <c r="AF12" s="58">
        <f t="shared" si="4"/>
        <v>0</v>
      </c>
      <c r="AG12" s="58">
        <f t="shared" si="4"/>
        <v>0</v>
      </c>
      <c r="AH12" s="58">
        <f t="shared" si="4"/>
        <v>0</v>
      </c>
      <c r="AI12" s="58">
        <f t="shared" si="4"/>
        <v>0</v>
      </c>
      <c r="AJ12" s="58">
        <f t="shared" si="4"/>
        <v>0</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0.81272439873856683</v>
      </c>
      <c r="F13" s="28">
        <f t="shared" ref="F13:BQ13" si="6">(F6/(1+F4)+F7)/F12</f>
        <v>0.83418344734361816</v>
      </c>
      <c r="G13" s="28">
        <f t="shared" si="6"/>
        <v>0.81816390354850155</v>
      </c>
      <c r="H13" s="28">
        <f t="shared" si="6"/>
        <v>0.91482125797571967</v>
      </c>
      <c r="I13" s="28">
        <f t="shared" si="6"/>
        <v>0.77622149581955668</v>
      </c>
      <c r="J13" s="28">
        <f t="shared" si="6"/>
        <v>0.81671694649948767</v>
      </c>
      <c r="K13" s="28">
        <f t="shared" si="6"/>
        <v>0.81495796394218256</v>
      </c>
      <c r="L13" s="28">
        <f t="shared" si="6"/>
        <v>0.88978301934016724</v>
      </c>
      <c r="M13" s="28">
        <f t="shared" si="6"/>
        <v>0.79260201097490013</v>
      </c>
      <c r="N13" s="28">
        <f t="shared" si="6"/>
        <v>0.87208233096563903</v>
      </c>
      <c r="O13" s="28">
        <f t="shared" si="6"/>
        <v>0.77440812191955832</v>
      </c>
      <c r="P13" s="28">
        <f t="shared" si="6"/>
        <v>0.77907422179111407</v>
      </c>
      <c r="Q13" s="28">
        <f t="shared" si="6"/>
        <v>0.73956715847805299</v>
      </c>
      <c r="R13" s="28">
        <f t="shared" si="6"/>
        <v>0.69908482942987427</v>
      </c>
      <c r="S13" s="28" t="e">
        <f t="shared" si="6"/>
        <v>#DIV/0!</v>
      </c>
      <c r="T13" s="28" t="e">
        <f t="shared" si="6"/>
        <v>#DIV/0!</v>
      </c>
      <c r="U13" s="28" t="e">
        <f t="shared" si="6"/>
        <v>#DIV/0!</v>
      </c>
      <c r="V13" s="28" t="e">
        <f t="shared" si="6"/>
        <v>#DIV/0!</v>
      </c>
      <c r="W13" s="28" t="e">
        <f t="shared" si="6"/>
        <v>#DIV/0!</v>
      </c>
      <c r="X13" s="28" t="e">
        <f t="shared" si="6"/>
        <v>#DIV/0!</v>
      </c>
      <c r="Y13" s="28" t="e">
        <f t="shared" si="6"/>
        <v>#DIV/0!</v>
      </c>
      <c r="Z13" s="28" t="e">
        <f t="shared" si="6"/>
        <v>#DIV/0!</v>
      </c>
      <c r="AA13" s="28" t="e">
        <f t="shared" si="6"/>
        <v>#DIV/0!</v>
      </c>
      <c r="AB13" s="28" t="e">
        <f t="shared" si="6"/>
        <v>#DIV/0!</v>
      </c>
      <c r="AC13" s="28" t="e">
        <f t="shared" si="6"/>
        <v>#DIV/0!</v>
      </c>
      <c r="AD13" s="28" t="e">
        <f t="shared" si="6"/>
        <v>#DIV/0!</v>
      </c>
      <c r="AE13" s="28" t="e">
        <f t="shared" si="6"/>
        <v>#DIV/0!</v>
      </c>
      <c r="AF13" s="28" t="e">
        <f t="shared" si="6"/>
        <v>#DIV/0!</v>
      </c>
      <c r="AG13" s="28" t="e">
        <f t="shared" si="6"/>
        <v>#DIV/0!</v>
      </c>
      <c r="AH13" s="28" t="e">
        <f t="shared" si="6"/>
        <v>#DIV/0!</v>
      </c>
      <c r="AI13" s="28" t="e">
        <f t="shared" si="6"/>
        <v>#DIV/0!</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155508915.56</v>
      </c>
      <c r="F14" s="26">
        <f>现金流量表!F13</f>
        <v>109780058.19</v>
      </c>
      <c r="G14" s="26">
        <f>现金流量表!G13</f>
        <v>67019547.100000001</v>
      </c>
      <c r="H14" s="26">
        <f>现金流量表!H13</f>
        <v>19076292.600000001</v>
      </c>
      <c r="I14" s="26">
        <f>现金流量表!I13</f>
        <v>203345786.18000001</v>
      </c>
      <c r="J14" s="26">
        <f>现金流量表!J13</f>
        <v>137669225.16</v>
      </c>
      <c r="K14" s="26">
        <f>现金流量表!K13</f>
        <v>66600627.039999999</v>
      </c>
      <c r="L14" s="26">
        <f>现金流量表!L13</f>
        <v>4261735.37</v>
      </c>
      <c r="M14" s="26">
        <f>现金流量表!M13</f>
        <v>178388453.16999999</v>
      </c>
      <c r="N14" s="26">
        <f>现金流量表!N13</f>
        <v>85764753.120000005</v>
      </c>
      <c r="O14" s="26">
        <f>现金流量表!O13</f>
        <v>146597397.75</v>
      </c>
      <c r="P14" s="26">
        <f>现金流量表!P13</f>
        <v>112746080.40000001</v>
      </c>
      <c r="Q14" s="26">
        <f>现金流量表!Q13</f>
        <v>109982674.95999999</v>
      </c>
      <c r="R14" s="26">
        <f>现金流量表!R13</f>
        <v>93640742.540000007</v>
      </c>
      <c r="S14" s="26">
        <f>现金流量表!S13</f>
        <v>0</v>
      </c>
      <c r="T14" s="26">
        <f>现金流量表!T13</f>
        <v>0</v>
      </c>
      <c r="U14" s="26">
        <f>现金流量表!U13</f>
        <v>0</v>
      </c>
      <c r="V14" s="26">
        <f>现金流量表!V13</f>
        <v>0</v>
      </c>
      <c r="W14" s="26">
        <f>现金流量表!W13</f>
        <v>0</v>
      </c>
      <c r="X14" s="26">
        <f>现金流量表!X13</f>
        <v>0</v>
      </c>
      <c r="Y14" s="26">
        <f>现金流量表!Y13</f>
        <v>0</v>
      </c>
      <c r="Z14" s="26">
        <f>现金流量表!Z13</f>
        <v>0</v>
      </c>
      <c r="AA14" s="26">
        <f>现金流量表!AA13</f>
        <v>0</v>
      </c>
      <c r="AB14" s="26">
        <f>现金流量表!AB13</f>
        <v>0</v>
      </c>
      <c r="AC14" s="26">
        <f>现金流量表!AC13</f>
        <v>0</v>
      </c>
      <c r="AD14" s="26">
        <f>现金流量表!AD13</f>
        <v>0</v>
      </c>
      <c r="AE14" s="26">
        <f>现金流量表!AE13</f>
        <v>0</v>
      </c>
      <c r="AF14" s="26">
        <f>现金流量表!AF13</f>
        <v>0</v>
      </c>
      <c r="AG14" s="26">
        <f>现金流量表!AG13</f>
        <v>0</v>
      </c>
      <c r="AH14" s="26">
        <f>现金流量表!AH13</f>
        <v>0</v>
      </c>
      <c r="AI14" s="26">
        <f>现金流量表!AI13</f>
        <v>0</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131862245.31655653</v>
      </c>
      <c r="F15" s="26">
        <f>股权价值增加表!F17</f>
        <v>99155553.065059483</v>
      </c>
      <c r="G15" s="26">
        <f>股权价值增加表!G17</f>
        <v>54064735.591907874</v>
      </c>
      <c r="H15" s="26">
        <f>股权价值增加表!H17</f>
        <v>16486232.646324649</v>
      </c>
      <c r="I15" s="26">
        <f>股权价值增加表!I17</f>
        <v>130251681.47252651</v>
      </c>
      <c r="J15" s="26">
        <f>股权价值增加表!J17</f>
        <v>96104716.657987207</v>
      </c>
      <c r="K15" s="26">
        <f>股权价值增加表!K17</f>
        <v>49896706.918183491</v>
      </c>
      <c r="L15" s="26">
        <f>股权价值增加表!L17</f>
        <v>9641952.0730275512</v>
      </c>
      <c r="M15" s="26">
        <f>股权价值增加表!M17</f>
        <v>117478001.56777264</v>
      </c>
      <c r="N15" s="26">
        <f>股权价值增加表!N17</f>
        <v>82319387.510931507</v>
      </c>
      <c r="O15" s="26">
        <f>股权价值增加表!O17</f>
        <v>103006179.04089503</v>
      </c>
      <c r="P15" s="26">
        <f>股权价值增加表!P17</f>
        <v>93171734.136197031</v>
      </c>
      <c r="Q15" s="26">
        <f>股权价值增加表!Q17</f>
        <v>78570681.575730503</v>
      </c>
      <c r="R15" s="26">
        <f>股权价值增加表!R17</f>
        <v>69095138.258024842</v>
      </c>
      <c r="S15" s="26" t="e">
        <f>股权价值增加表!S17</f>
        <v>#DIV/0!</v>
      </c>
      <c r="T15" s="26">
        <f>股权价值增加表!T17</f>
        <v>0</v>
      </c>
      <c r="U15" s="26">
        <f>股权价值增加表!U17</f>
        <v>-14654163.3124847</v>
      </c>
      <c r="V15" s="26">
        <f>股权价值增加表!V17</f>
        <v>0</v>
      </c>
      <c r="W15" s="26">
        <f>股权价值增加表!W17</f>
        <v>0</v>
      </c>
      <c r="X15" s="26">
        <f>股权价值增加表!X17</f>
        <v>0</v>
      </c>
      <c r="Y15" s="26">
        <f>股权价值增加表!Y17</f>
        <v>-38862740.031897604</v>
      </c>
      <c r="Z15" s="26">
        <f>股权价值增加表!Z17</f>
        <v>0</v>
      </c>
      <c r="AA15" s="26">
        <f>股权价值增加表!AA17</f>
        <v>0</v>
      </c>
      <c r="AB15" s="26">
        <f>股权价值增加表!AB17</f>
        <v>0</v>
      </c>
      <c r="AC15" s="26">
        <f>股权价值增加表!AC17</f>
        <v>-27571135.956625599</v>
      </c>
      <c r="AD15" s="26">
        <f>股权价值增加表!AD17</f>
        <v>0</v>
      </c>
      <c r="AE15" s="26">
        <f>股权价值增加表!AE17</f>
        <v>0</v>
      </c>
      <c r="AF15" s="26">
        <f>股权价值增加表!AF17</f>
        <v>0</v>
      </c>
      <c r="AG15" s="26">
        <f>股权价值增加表!AG17</f>
        <v>-19579667.924137052</v>
      </c>
      <c r="AH15" s="26">
        <f>股权价值增加表!AH17</f>
        <v>0</v>
      </c>
      <c r="AI15" s="26">
        <f>股权价值增加表!AI17</f>
        <v>0</v>
      </c>
      <c r="AJ15" s="26">
        <f>股权价值增加表!AJ17</f>
        <v>0</v>
      </c>
      <c r="AK15" s="26">
        <f>股权价值增加表!AK17</f>
        <v>0</v>
      </c>
      <c r="AL15" s="26">
        <f>股权价值增加表!AL17</f>
        <v>0</v>
      </c>
      <c r="AM15" s="26">
        <f>股权价值增加表!AM17</f>
        <v>0</v>
      </c>
      <c r="AN15" s="26">
        <f>股权价值增加表!AN17</f>
        <v>0</v>
      </c>
      <c r="AO15" s="26">
        <f>股权价值增加表!AO17</f>
        <v>0</v>
      </c>
      <c r="AP15" s="26">
        <f>股权价值增加表!AP17</f>
        <v>0</v>
      </c>
      <c r="AQ15" s="26">
        <f>股权价值增加表!AQ17</f>
        <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1.1793285878507214</v>
      </c>
      <c r="F16" s="28">
        <f t="shared" ref="F16:BQ16" si="8">F14/F15</f>
        <v>1.1071498750853561</v>
      </c>
      <c r="G16" s="28">
        <f t="shared" si="8"/>
        <v>1.2396166626223386</v>
      </c>
      <c r="H16" s="28">
        <f t="shared" si="8"/>
        <v>1.157104416105202</v>
      </c>
      <c r="I16" s="28">
        <f t="shared" si="8"/>
        <v>1.5611759010027901</v>
      </c>
      <c r="J16" s="28">
        <f t="shared" si="8"/>
        <v>1.432491868738665</v>
      </c>
      <c r="K16" s="28">
        <f t="shared" si="8"/>
        <v>1.3347699909175614</v>
      </c>
      <c r="L16" s="28">
        <f t="shared" si="8"/>
        <v>0.44199922772088879</v>
      </c>
      <c r="M16" s="28">
        <f t="shared" si="8"/>
        <v>1.518483893063914</v>
      </c>
      <c r="N16" s="28">
        <f t="shared" si="8"/>
        <v>1.0418536351307397</v>
      </c>
      <c r="O16" s="28">
        <f t="shared" si="8"/>
        <v>1.4231903281433107</v>
      </c>
      <c r="P16" s="28">
        <f t="shared" si="8"/>
        <v>1.2100888906413343</v>
      </c>
      <c r="Q16" s="28">
        <f t="shared" si="8"/>
        <v>1.3997928076262516</v>
      </c>
      <c r="R16" s="28">
        <f t="shared" si="8"/>
        <v>1.3552435800955127</v>
      </c>
      <c r="S16" s="28" t="e">
        <f t="shared" si="8"/>
        <v>#DIV/0!</v>
      </c>
      <c r="T16" s="28" t="e">
        <f t="shared" si="8"/>
        <v>#DIV/0!</v>
      </c>
      <c r="U16" s="28">
        <f t="shared" si="8"/>
        <v>0</v>
      </c>
      <c r="V16" s="28" t="e">
        <f t="shared" si="8"/>
        <v>#DIV/0!</v>
      </c>
      <c r="W16" s="28" t="e">
        <f t="shared" si="8"/>
        <v>#DIV/0!</v>
      </c>
      <c r="X16" s="28" t="e">
        <f t="shared" si="8"/>
        <v>#DIV/0!</v>
      </c>
      <c r="Y16" s="28">
        <f t="shared" si="8"/>
        <v>0</v>
      </c>
      <c r="Z16" s="28" t="e">
        <f t="shared" si="8"/>
        <v>#DIV/0!</v>
      </c>
      <c r="AA16" s="28" t="e">
        <f t="shared" si="8"/>
        <v>#DIV/0!</v>
      </c>
      <c r="AB16" s="28" t="e">
        <f t="shared" si="8"/>
        <v>#DIV/0!</v>
      </c>
      <c r="AC16" s="28">
        <f t="shared" si="8"/>
        <v>0</v>
      </c>
      <c r="AD16" s="28" t="e">
        <f t="shared" si="8"/>
        <v>#DIV/0!</v>
      </c>
      <c r="AE16" s="28" t="e">
        <f t="shared" si="8"/>
        <v>#DIV/0!</v>
      </c>
      <c r="AF16" s="28" t="e">
        <f t="shared" si="8"/>
        <v>#DIV/0!</v>
      </c>
      <c r="AG16" s="28">
        <f t="shared" si="8"/>
        <v>0</v>
      </c>
      <c r="AH16" s="28" t="e">
        <f t="shared" si="8"/>
        <v>#DIV/0!</v>
      </c>
      <c r="AI16" s="28" t="e">
        <f t="shared" si="8"/>
        <v>#DIV/0!</v>
      </c>
      <c r="AJ16" s="28" t="e">
        <f t="shared" si="8"/>
        <v>#DIV/0!</v>
      </c>
      <c r="AK16" s="28" t="e">
        <f t="shared" si="8"/>
        <v>#DIV/0!</v>
      </c>
      <c r="AL16" s="28" t="e">
        <f t="shared" si="8"/>
        <v>#DIV/0!</v>
      </c>
      <c r="AM16" s="28" t="e">
        <f t="shared" si="8"/>
        <v>#DIV/0!</v>
      </c>
      <c r="AN16" s="28" t="e">
        <f t="shared" si="8"/>
        <v>#DIV/0!</v>
      </c>
      <c r="AO16" s="28" t="e">
        <f t="shared" si="8"/>
        <v>#DIV/0!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140040107.69</v>
      </c>
      <c r="F17" s="26">
        <f>股权价值增加表!F42</f>
        <v>104448708.91000004</v>
      </c>
      <c r="G17" s="26">
        <f>股权价值增加表!G42</f>
        <v>56623388.020000018</v>
      </c>
      <c r="H17" s="26">
        <f>股权价值增加表!H42</f>
        <v>16932091.389999993</v>
      </c>
      <c r="I17" s="26">
        <f>股权价值增加表!I42</f>
        <v>127314218.50999995</v>
      </c>
      <c r="J17" s="26">
        <f>股权价值增加表!J42</f>
        <v>93458406.380000025</v>
      </c>
      <c r="K17" s="26">
        <f>股权价值增加表!K42</f>
        <v>48290108.969999984</v>
      </c>
      <c r="L17" s="26">
        <f>股权价值增加表!L42</f>
        <v>8834269.5900000054</v>
      </c>
      <c r="M17" s="26">
        <f>股权价值增加表!M42</f>
        <v>112745012.78</v>
      </c>
      <c r="N17" s="26">
        <f>股权价值增加表!N42</f>
        <v>78883496.679999962</v>
      </c>
      <c r="O17" s="26">
        <f>股权价值增加表!O42</f>
        <v>94913963.020000041</v>
      </c>
      <c r="P17" s="26">
        <f>股权价值增加表!P42</f>
        <v>84018399.520000041</v>
      </c>
      <c r="Q17" s="26">
        <f>股权价值增加表!Q42</f>
        <v>78574092.780000001</v>
      </c>
      <c r="R17" s="26">
        <f>股权价值增加表!R42</f>
        <v>69584154.749999985</v>
      </c>
      <c r="S17" s="26">
        <f>股权价值增加表!S42</f>
        <v>0</v>
      </c>
      <c r="T17" s="26">
        <f>股权价值增加表!T42</f>
        <v>-687652134.91000009</v>
      </c>
      <c r="U17" s="26">
        <f>股权价值增加表!U42</f>
        <v>-2088393325.8100002</v>
      </c>
      <c r="V17" s="26">
        <f>股权价值增加表!V42</f>
        <v>-1770623990.1299999</v>
      </c>
      <c r="W17" s="26">
        <f>股权价值增加表!W42</f>
        <v>-1503178518.1099999</v>
      </c>
      <c r="X17" s="26">
        <f>股权价值增加表!X42</f>
        <v>-996310945.95000005</v>
      </c>
      <c r="Y17" s="26">
        <f>股权价值增加表!Y42</f>
        <v>-2597690211.0299997</v>
      </c>
      <c r="Z17" s="26">
        <f>股权价值增加表!Z42</f>
        <v>-1981805644.22</v>
      </c>
      <c r="AA17" s="26">
        <f>股权价值增加表!AA42</f>
        <v>-1313125502.45</v>
      </c>
      <c r="AB17" s="26">
        <f>股权价值增加表!AB42</f>
        <v>-889790569.18999994</v>
      </c>
      <c r="AC17" s="26">
        <f>股权价值增加表!AC42</f>
        <v>-1620456259.7199998</v>
      </c>
      <c r="AD17" s="26">
        <f>股权价值增加表!AD42</f>
        <v>-1380864362.3400002</v>
      </c>
      <c r="AE17" s="26">
        <f>股权价值增加表!AE42</f>
        <v>-941882157.46000004</v>
      </c>
      <c r="AF17" s="26">
        <f>股权价值增加表!AF42</f>
        <v>-675598227.52999997</v>
      </c>
      <c r="AG17" s="26">
        <f>股权价值增加表!AG42</f>
        <v>-1312331906.45</v>
      </c>
      <c r="AH17" s="26">
        <f>股权价值增加表!AH42</f>
        <v>-1044450134.2699999</v>
      </c>
      <c r="AI17" s="26">
        <f>股权价值增加表!AI42</f>
        <v>-688669429.02999997</v>
      </c>
      <c r="AJ17" s="26">
        <f>股权价值增加表!AJ42</f>
        <v>-496480851.37</v>
      </c>
      <c r="AK17" s="26">
        <f>股权价值增加表!AK42</f>
        <v>-1028579461.33</v>
      </c>
      <c r="AL17" s="26">
        <f>股权价值增加表!AL42</f>
        <v>-716904063.83999991</v>
      </c>
      <c r="AM17" s="26">
        <f>股权价值增加表!AM42</f>
        <v>-499689055.96999997</v>
      </c>
      <c r="AN17" s="26">
        <f>股权价值增加表!AN42</f>
        <v>-380189417.44999999</v>
      </c>
      <c r="AO17" s="26">
        <f>股权价值增加表!AO42</f>
        <v>-407922375.93999994</v>
      </c>
      <c r="AP17" s="26">
        <f>股权价值增加表!AP42</f>
        <v>-411195663.44999999</v>
      </c>
      <c r="AQ17" s="26">
        <f>股权价值增加表!AQ42</f>
        <v>-329680221.73000002</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1.1104598398641805</v>
      </c>
      <c r="F18" s="28">
        <f t="shared" ref="F18:BQ18" si="10">F14/F17</f>
        <v>1.0510427494569972</v>
      </c>
      <c r="G18" s="28">
        <f t="shared" si="10"/>
        <v>1.1836018550555107</v>
      </c>
      <c r="H18" s="28">
        <f t="shared" si="10"/>
        <v>1.1266353435386229</v>
      </c>
      <c r="I18" s="28">
        <f t="shared" si="10"/>
        <v>1.597196201334167</v>
      </c>
      <c r="J18" s="28">
        <f t="shared" si="10"/>
        <v>1.4730534201518444</v>
      </c>
      <c r="K18" s="28">
        <f t="shared" si="10"/>
        <v>1.3791774021751606</v>
      </c>
      <c r="L18" s="28">
        <f t="shared" si="10"/>
        <v>0.48240947670694728</v>
      </c>
      <c r="M18" s="28">
        <f t="shared" si="10"/>
        <v>1.5822292159218645</v>
      </c>
      <c r="N18" s="28">
        <f t="shared" si="10"/>
        <v>1.0872331568656832</v>
      </c>
      <c r="O18" s="28">
        <f t="shared" si="10"/>
        <v>1.5445293093399688</v>
      </c>
      <c r="P18" s="28">
        <f t="shared" si="10"/>
        <v>1.3419213058582664</v>
      </c>
      <c r="Q18" s="28">
        <f t="shared" si="10"/>
        <v>1.3997320372242927</v>
      </c>
      <c r="R18" s="28">
        <f t="shared" si="10"/>
        <v>1.3457193361970101</v>
      </c>
      <c r="S18" s="28" t="e">
        <f t="shared" si="10"/>
        <v>#DIV/0!</v>
      </c>
      <c r="T18" s="28">
        <f t="shared" si="10"/>
        <v>0</v>
      </c>
      <c r="U18" s="28">
        <f t="shared" si="10"/>
        <v>0</v>
      </c>
      <c r="V18" s="28">
        <f t="shared" si="10"/>
        <v>0</v>
      </c>
      <c r="W18" s="28">
        <f t="shared" si="10"/>
        <v>0</v>
      </c>
      <c r="X18" s="28">
        <f t="shared" si="10"/>
        <v>0</v>
      </c>
      <c r="Y18" s="28">
        <f t="shared" si="10"/>
        <v>0</v>
      </c>
      <c r="Z18" s="28">
        <f t="shared" si="10"/>
        <v>0</v>
      </c>
      <c r="AA18" s="28">
        <f t="shared" si="10"/>
        <v>0</v>
      </c>
      <c r="AB18" s="28">
        <f t="shared" si="10"/>
        <v>0</v>
      </c>
      <c r="AC18" s="28">
        <f t="shared" si="10"/>
        <v>0</v>
      </c>
      <c r="AD18" s="28">
        <f t="shared" si="10"/>
        <v>0</v>
      </c>
      <c r="AE18" s="28">
        <f t="shared" si="10"/>
        <v>0</v>
      </c>
      <c r="AF18" s="28">
        <f t="shared" si="10"/>
        <v>0</v>
      </c>
      <c r="AG18" s="28">
        <f t="shared" si="10"/>
        <v>0</v>
      </c>
      <c r="AH18" s="28">
        <f t="shared" si="10"/>
        <v>0</v>
      </c>
      <c r="AI18" s="28">
        <f t="shared" si="10"/>
        <v>0</v>
      </c>
      <c r="AJ18" s="28">
        <f t="shared" si="10"/>
        <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3676127.1</v>
      </c>
      <c r="F19" s="26">
        <f>现金流量表!F48</f>
        <v>0</v>
      </c>
      <c r="G19" s="26">
        <f>现金流量表!G48</f>
        <v>2648674.7200000002</v>
      </c>
      <c r="H19" s="26">
        <f>现金流量表!H48</f>
        <v>0</v>
      </c>
      <c r="I19" s="26">
        <f>现金流量表!I48</f>
        <v>2861101.65</v>
      </c>
      <c r="J19" s="26">
        <f>现金流量表!J48</f>
        <v>0</v>
      </c>
      <c r="K19" s="26">
        <f>现金流量表!K48</f>
        <v>1732316.57</v>
      </c>
      <c r="L19" s="26">
        <f>现金流量表!L48</f>
        <v>0</v>
      </c>
      <c r="M19" s="26">
        <f>现金流量表!M48</f>
        <v>2284690.9700000002</v>
      </c>
      <c r="N19" s="26">
        <f>现金流量表!N48</f>
        <v>0</v>
      </c>
      <c r="O19" s="26">
        <f>现金流量表!O48</f>
        <v>1660639.19</v>
      </c>
      <c r="P19" s="26">
        <f>现金流量表!P48</f>
        <v>1472137.7</v>
      </c>
      <c r="Q19" s="26">
        <f>现金流量表!Q48</f>
        <v>0</v>
      </c>
      <c r="R19" s="26">
        <f>现金流量表!R48</f>
        <v>0</v>
      </c>
      <c r="S19" s="26">
        <f>现金流量表!S48</f>
        <v>0</v>
      </c>
      <c r="T19" s="26">
        <f>现金流量表!T48</f>
        <v>0</v>
      </c>
      <c r="U19" s="26">
        <f>现金流量表!U48</f>
        <v>0</v>
      </c>
      <c r="V19" s="26">
        <f>现金流量表!V48</f>
        <v>0</v>
      </c>
      <c r="W19" s="26">
        <f>现金流量表!W48</f>
        <v>0</v>
      </c>
      <c r="X19" s="26">
        <f>现金流量表!X48</f>
        <v>0</v>
      </c>
      <c r="Y19" s="26">
        <f>现金流量表!Y48</f>
        <v>0</v>
      </c>
      <c r="Z19" s="26">
        <f>现金流量表!Z48</f>
        <v>0</v>
      </c>
      <c r="AA19" s="26">
        <f>现金流量表!AA48</f>
        <v>0</v>
      </c>
      <c r="AB19" s="26">
        <f>现金流量表!AB48</f>
        <v>0</v>
      </c>
      <c r="AC19" s="26">
        <f>现金流量表!AC48</f>
        <v>0</v>
      </c>
      <c r="AD19" s="26">
        <f>现金流量表!AD48</f>
        <v>0</v>
      </c>
      <c r="AE19" s="26">
        <f>现金流量表!AE48</f>
        <v>0</v>
      </c>
      <c r="AF19" s="26">
        <f>现金流量表!AF48</f>
        <v>0</v>
      </c>
      <c r="AG19" s="26">
        <f>现金流量表!AG48</f>
        <v>0</v>
      </c>
      <c r="AH19" s="26">
        <f>现金流量表!AH48</f>
        <v>0</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26809345.239999998</v>
      </c>
      <c r="F20" s="26">
        <f>现金流量表!F49</f>
        <v>0</v>
      </c>
      <c r="G20" s="26">
        <f>现金流量表!G49</f>
        <v>12871866.01</v>
      </c>
      <c r="H20" s="26">
        <f>现金流量表!H49</f>
        <v>0</v>
      </c>
      <c r="I20" s="26">
        <f>现金流量表!I49</f>
        <v>23950808.620000001</v>
      </c>
      <c r="J20" s="26">
        <f>现金流量表!J49</f>
        <v>0</v>
      </c>
      <c r="K20" s="26">
        <f>现金流量表!K49</f>
        <v>11482492.609999999</v>
      </c>
      <c r="L20" s="26">
        <f>现金流量表!L49</f>
        <v>0</v>
      </c>
      <c r="M20" s="26">
        <f>现金流量表!M49</f>
        <v>22725146.620000001</v>
      </c>
      <c r="N20" s="26">
        <f>现金流量表!N49</f>
        <v>0</v>
      </c>
      <c r="O20" s="26">
        <f>现金流量表!O49</f>
        <v>19959625.489999998</v>
      </c>
      <c r="P20" s="26">
        <f>现金流量表!P49</f>
        <v>18635575.57</v>
      </c>
      <c r="Q20" s="26">
        <f>现金流量表!Q49</f>
        <v>0</v>
      </c>
      <c r="R20" s="26">
        <f>现金流量表!R49</f>
        <v>0</v>
      </c>
      <c r="S20" s="26">
        <f>现金流量表!S49</f>
        <v>0</v>
      </c>
      <c r="T20" s="26">
        <f>现金流量表!T49</f>
        <v>0</v>
      </c>
      <c r="U20" s="26">
        <f>现金流量表!U49</f>
        <v>0</v>
      </c>
      <c r="V20" s="26">
        <f>现金流量表!V49</f>
        <v>0</v>
      </c>
      <c r="W20" s="26">
        <f>现金流量表!W49</f>
        <v>0</v>
      </c>
      <c r="X20" s="26">
        <f>现金流量表!X49</f>
        <v>0</v>
      </c>
      <c r="Y20" s="26">
        <f>现金流量表!Y49</f>
        <v>0</v>
      </c>
      <c r="Z20" s="26">
        <f>现金流量表!Z49</f>
        <v>0</v>
      </c>
      <c r="AA20" s="26">
        <f>现金流量表!AA49</f>
        <v>0</v>
      </c>
      <c r="AB20" s="26">
        <f>现金流量表!AB49</f>
        <v>0</v>
      </c>
      <c r="AC20" s="26">
        <f>现金流量表!AC49</f>
        <v>0</v>
      </c>
      <c r="AD20" s="26">
        <f>现金流量表!AD49</f>
        <v>0</v>
      </c>
      <c r="AE20" s="26">
        <f>现金流量表!AE49</f>
        <v>0</v>
      </c>
      <c r="AF20" s="26">
        <f>现金流量表!AF49</f>
        <v>0</v>
      </c>
      <c r="AG20" s="26">
        <f>现金流量表!AG49</f>
        <v>0</v>
      </c>
      <c r="AH20" s="26">
        <f>现金流量表!AH49</f>
        <v>0</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3381039.48</v>
      </c>
      <c r="F21" s="26">
        <f>现金流量表!F50</f>
        <v>0</v>
      </c>
      <c r="G21" s="26">
        <f>现金流量表!G50</f>
        <v>1613504.83</v>
      </c>
      <c r="H21" s="26">
        <f>现金流量表!H50</f>
        <v>0</v>
      </c>
      <c r="I21" s="26">
        <f>现金流量表!I50</f>
        <v>3232061.94</v>
      </c>
      <c r="J21" s="26">
        <f>现金流量表!J50</f>
        <v>0</v>
      </c>
      <c r="K21" s="26">
        <f>现金流量表!K50</f>
        <v>1592210.19</v>
      </c>
      <c r="L21" s="26">
        <f>现金流量表!L50</f>
        <v>0</v>
      </c>
      <c r="M21" s="26">
        <f>现金流量表!M50</f>
        <v>3041889.61</v>
      </c>
      <c r="N21" s="26">
        <f>现金流量表!N50</f>
        <v>0</v>
      </c>
      <c r="O21" s="26">
        <f>现金流量表!O50</f>
        <v>2568358.56</v>
      </c>
      <c r="P21" s="26">
        <f>现金流量表!P50</f>
        <v>2197792.02</v>
      </c>
      <c r="Q21" s="26">
        <f>现金流量表!Q50</f>
        <v>0</v>
      </c>
      <c r="R21" s="26">
        <f>现金流量表!R50</f>
        <v>0</v>
      </c>
      <c r="S21" s="26">
        <f>现金流量表!S50</f>
        <v>0</v>
      </c>
      <c r="T21" s="26">
        <f>现金流量表!T50</f>
        <v>0</v>
      </c>
      <c r="U21" s="26">
        <f>现金流量表!U50</f>
        <v>0</v>
      </c>
      <c r="V21" s="26">
        <f>现金流量表!V50</f>
        <v>0</v>
      </c>
      <c r="W21" s="26">
        <f>现金流量表!W50</f>
        <v>0</v>
      </c>
      <c r="X21" s="26">
        <f>现金流量表!X50</f>
        <v>0</v>
      </c>
      <c r="Y21" s="26">
        <f>现金流量表!Y50</f>
        <v>0</v>
      </c>
      <c r="Z21" s="26">
        <f>现金流量表!Z50</f>
        <v>0</v>
      </c>
      <c r="AA21" s="26">
        <f>现金流量表!AA50</f>
        <v>0</v>
      </c>
      <c r="AB21" s="26">
        <f>现金流量表!AB50</f>
        <v>0</v>
      </c>
      <c r="AC21" s="26">
        <f>现金流量表!AC50</f>
        <v>0</v>
      </c>
      <c r="AD21" s="26">
        <f>现金流量表!AD50</f>
        <v>0</v>
      </c>
      <c r="AE21" s="26">
        <f>现金流量表!AE50</f>
        <v>0</v>
      </c>
      <c r="AF21" s="26">
        <f>现金流量表!AF50</f>
        <v>0</v>
      </c>
      <c r="AG21" s="26">
        <f>现金流量表!AG50</f>
        <v>0</v>
      </c>
      <c r="AH21" s="26">
        <f>现金流量表!AH50</f>
        <v>0</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5093971.0599999996</v>
      </c>
      <c r="F22" s="26">
        <f>现金流量表!F51</f>
        <v>0</v>
      </c>
      <c r="G22" s="26">
        <f>现金流量表!G51</f>
        <v>2722045.52</v>
      </c>
      <c r="H22" s="26">
        <f>现金流量表!H51</f>
        <v>0</v>
      </c>
      <c r="I22" s="26">
        <f>现金流量表!I51</f>
        <v>4709691.8600000003</v>
      </c>
      <c r="J22" s="26">
        <f>现金流量表!J51</f>
        <v>0</v>
      </c>
      <c r="K22" s="26">
        <f>现金流量表!K51</f>
        <v>2343474.65</v>
      </c>
      <c r="L22" s="26">
        <f>现金流量表!L51</f>
        <v>0</v>
      </c>
      <c r="M22" s="26">
        <f>现金流量表!M51</f>
        <v>4194991.1500000004</v>
      </c>
      <c r="N22" s="26">
        <f>现金流量表!N51</f>
        <v>0</v>
      </c>
      <c r="O22" s="26">
        <f>现金流量表!O51</f>
        <v>3655631.76</v>
      </c>
      <c r="P22" s="26">
        <f>现金流量表!P51</f>
        <v>3868753.34</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-305982.92</v>
      </c>
      <c r="F23" s="26">
        <f>现金流量表!F54</f>
        <v>0</v>
      </c>
      <c r="G23" s="26">
        <f>现金流量表!G54</f>
        <v>-239730.3</v>
      </c>
      <c r="H23" s="26">
        <f>现金流量表!H54</f>
        <v>0</v>
      </c>
      <c r="I23" s="26">
        <f>现金流量表!I54</f>
        <v>109300.88</v>
      </c>
      <c r="J23" s="26">
        <f>现金流量表!J54</f>
        <v>0</v>
      </c>
      <c r="K23" s="26">
        <f>现金流量表!K54</f>
        <v>137951.65</v>
      </c>
      <c r="L23" s="26">
        <f>现金流量表!L54</f>
        <v>0</v>
      </c>
      <c r="M23" s="26">
        <f>现金流量表!M54</f>
        <v>1045475.52</v>
      </c>
      <c r="N23" s="26">
        <f>现金流量表!N54</f>
        <v>0</v>
      </c>
      <c r="O23" s="26">
        <f>现金流量表!O54</f>
        <v>702006.33</v>
      </c>
      <c r="P23" s="26">
        <f>现金流量表!P54</f>
        <v>971546.66</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497595.84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39152095.800000004</v>
      </c>
      <c r="F25" s="28">
        <f t="shared" ref="F25:BQ25" si="12">SUM(F19:F24)</f>
        <v>0</v>
      </c>
      <c r="G25" s="28">
        <f t="shared" si="12"/>
        <v>19616360.780000001</v>
      </c>
      <c r="H25" s="28">
        <f t="shared" si="12"/>
        <v>0</v>
      </c>
      <c r="I25" s="28">
        <f t="shared" si="12"/>
        <v>34862964.950000003</v>
      </c>
      <c r="J25" s="28">
        <f t="shared" si="12"/>
        <v>0</v>
      </c>
      <c r="K25" s="28">
        <f t="shared" si="12"/>
        <v>17288445.669999998</v>
      </c>
      <c r="L25" s="28">
        <f t="shared" si="12"/>
        <v>0</v>
      </c>
      <c r="M25" s="28">
        <f t="shared" si="12"/>
        <v>33292193.870000001</v>
      </c>
      <c r="N25" s="28">
        <f t="shared" si="12"/>
        <v>0</v>
      </c>
      <c r="O25" s="28">
        <f t="shared" si="12"/>
        <v>28546261.329999998</v>
      </c>
      <c r="P25" s="28">
        <f t="shared" si="12"/>
        <v>27145805.289999999</v>
      </c>
      <c r="Q25" s="28">
        <f t="shared" si="12"/>
        <v>0</v>
      </c>
      <c r="R25" s="28">
        <f t="shared" si="12"/>
        <v>0</v>
      </c>
      <c r="S25" s="28">
        <f t="shared" si="12"/>
        <v>0</v>
      </c>
      <c r="T25" s="28">
        <f t="shared" si="12"/>
        <v>0</v>
      </c>
      <c r="U25" s="28">
        <f t="shared" si="12"/>
        <v>0</v>
      </c>
      <c r="V25" s="28">
        <f t="shared" si="12"/>
        <v>0</v>
      </c>
      <c r="W25" s="28">
        <f t="shared" si="12"/>
        <v>0</v>
      </c>
      <c r="X25" s="28">
        <f t="shared" si="12"/>
        <v>0</v>
      </c>
      <c r="Y25" s="28">
        <f t="shared" si="12"/>
        <v>0</v>
      </c>
      <c r="Z25" s="28">
        <f t="shared" si="12"/>
        <v>0</v>
      </c>
      <c r="AA25" s="28">
        <f t="shared" si="12"/>
        <v>0</v>
      </c>
      <c r="AB25" s="28">
        <f t="shared" si="12"/>
        <v>0</v>
      </c>
      <c r="AC25" s="28">
        <f t="shared" si="12"/>
        <v>0</v>
      </c>
      <c r="AD25" s="28">
        <f t="shared" si="12"/>
        <v>0</v>
      </c>
      <c r="AE25" s="28">
        <f t="shared" si="12"/>
        <v>0</v>
      </c>
      <c r="AF25" s="28">
        <f t="shared" si="12"/>
        <v>0</v>
      </c>
      <c r="AG25" s="28">
        <f t="shared" si="12"/>
        <v>0</v>
      </c>
      <c r="AH25" s="28">
        <f t="shared" si="12"/>
        <v>0</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116356819.75999999</v>
      </c>
      <c r="F26" s="28">
        <f t="shared" ref="F26:BQ26" si="14">F14-F25</f>
        <v>109780058.19</v>
      </c>
      <c r="G26" s="28">
        <f t="shared" si="14"/>
        <v>47403186.32</v>
      </c>
      <c r="H26" s="28">
        <f t="shared" si="14"/>
        <v>19076292.600000001</v>
      </c>
      <c r="I26" s="28">
        <f t="shared" si="14"/>
        <v>168482821.23000002</v>
      </c>
      <c r="J26" s="28">
        <f t="shared" si="14"/>
        <v>137669225.16</v>
      </c>
      <c r="K26" s="28">
        <f t="shared" si="14"/>
        <v>49312181.370000005</v>
      </c>
      <c r="L26" s="28">
        <f t="shared" si="14"/>
        <v>4261735.37</v>
      </c>
      <c r="M26" s="28">
        <f t="shared" si="14"/>
        <v>145096259.29999998</v>
      </c>
      <c r="N26" s="28">
        <f t="shared" si="14"/>
        <v>85764753.120000005</v>
      </c>
      <c r="O26" s="28">
        <f t="shared" si="14"/>
        <v>118051136.42</v>
      </c>
      <c r="P26" s="28">
        <f t="shared" si="14"/>
        <v>85600275.110000014</v>
      </c>
      <c r="Q26" s="28">
        <f t="shared" si="14"/>
        <v>109982674.95999999</v>
      </c>
      <c r="R26" s="28">
        <f t="shared" si="14"/>
        <v>93640742.540000007</v>
      </c>
      <c r="S26" s="28">
        <f t="shared" si="14"/>
        <v>0</v>
      </c>
      <c r="T26" s="28">
        <f t="shared" si="14"/>
        <v>0</v>
      </c>
      <c r="U26" s="28">
        <f t="shared" si="14"/>
        <v>0</v>
      </c>
      <c r="V26" s="28">
        <f t="shared" si="14"/>
        <v>0</v>
      </c>
      <c r="W26" s="28">
        <f t="shared" si="14"/>
        <v>0</v>
      </c>
      <c r="X26" s="28">
        <f t="shared" si="14"/>
        <v>0</v>
      </c>
      <c r="Y26" s="28">
        <f t="shared" si="14"/>
        <v>0</v>
      </c>
      <c r="Z26" s="28">
        <f t="shared" si="14"/>
        <v>0</v>
      </c>
      <c r="AA26" s="28">
        <f t="shared" si="14"/>
        <v>0</v>
      </c>
      <c r="AB26" s="28">
        <f t="shared" si="14"/>
        <v>0</v>
      </c>
      <c r="AC26" s="28">
        <f t="shared" si="14"/>
        <v>0</v>
      </c>
      <c r="AD26" s="28">
        <f t="shared" si="14"/>
        <v>0</v>
      </c>
      <c r="AE26" s="28">
        <f t="shared" si="14"/>
        <v>0</v>
      </c>
      <c r="AF26" s="28">
        <f t="shared" si="14"/>
        <v>0</v>
      </c>
      <c r="AG26" s="28">
        <f t="shared" si="14"/>
        <v>0</v>
      </c>
      <c r="AH26" s="28">
        <f t="shared" si="14"/>
        <v>0</v>
      </c>
      <c r="AI26" s="28">
        <f t="shared" si="14"/>
        <v>0</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273" t="s">
        <v>751</v>
      </c>
      <c r="E27" s="26">
        <f>E26</f>
        <v>116356819.75999999</v>
      </c>
      <c r="F27" s="191">
        <f t="shared" ref="F27:BQ27" si="16">F26</f>
        <v>109780058.19</v>
      </c>
      <c r="G27" s="191">
        <f t="shared" si="16"/>
        <v>47403186.32</v>
      </c>
      <c r="H27" s="191">
        <f t="shared" si="16"/>
        <v>19076292.600000001</v>
      </c>
      <c r="I27" s="191">
        <f t="shared" si="16"/>
        <v>168482821.23000002</v>
      </c>
      <c r="J27" s="191">
        <f t="shared" si="16"/>
        <v>137669225.16</v>
      </c>
      <c r="K27" s="191">
        <f t="shared" si="16"/>
        <v>49312181.370000005</v>
      </c>
      <c r="L27" s="191">
        <f t="shared" si="16"/>
        <v>4261735.37</v>
      </c>
      <c r="M27" s="191">
        <f t="shared" si="16"/>
        <v>145096259.29999998</v>
      </c>
      <c r="N27" s="191">
        <f t="shared" si="16"/>
        <v>85764753.120000005</v>
      </c>
      <c r="O27" s="191">
        <f t="shared" si="16"/>
        <v>118051136.42</v>
      </c>
      <c r="P27" s="191">
        <f t="shared" si="16"/>
        <v>85600275.110000014</v>
      </c>
      <c r="Q27" s="191">
        <f t="shared" si="16"/>
        <v>109982674.95999999</v>
      </c>
      <c r="R27" s="191">
        <f t="shared" si="16"/>
        <v>93640742.540000007</v>
      </c>
      <c r="S27" s="191">
        <f t="shared" si="16"/>
        <v>0</v>
      </c>
      <c r="T27" s="191">
        <f t="shared" si="16"/>
        <v>0</v>
      </c>
      <c r="U27" s="191">
        <f t="shared" si="16"/>
        <v>0</v>
      </c>
      <c r="V27" s="191">
        <f t="shared" si="16"/>
        <v>0</v>
      </c>
      <c r="W27" s="191">
        <f t="shared" si="16"/>
        <v>0</v>
      </c>
      <c r="X27" s="191">
        <f t="shared" si="16"/>
        <v>0</v>
      </c>
      <c r="Y27" s="191">
        <f t="shared" si="16"/>
        <v>0</v>
      </c>
      <c r="Z27" s="191">
        <f t="shared" si="16"/>
        <v>0</v>
      </c>
      <c r="AA27" s="191">
        <f t="shared" si="16"/>
        <v>0</v>
      </c>
      <c r="AB27" s="191">
        <f t="shared" si="16"/>
        <v>0</v>
      </c>
      <c r="AC27" s="191">
        <f t="shared" si="16"/>
        <v>0</v>
      </c>
      <c r="AD27" s="191">
        <f t="shared" si="16"/>
        <v>0</v>
      </c>
      <c r="AE27" s="191">
        <f t="shared" si="16"/>
        <v>0</v>
      </c>
      <c r="AF27" s="191">
        <f t="shared" si="16"/>
        <v>0</v>
      </c>
      <c r="AG27" s="191">
        <f t="shared" si="16"/>
        <v>0</v>
      </c>
      <c r="AH27" s="191">
        <f t="shared" si="16"/>
        <v>0</v>
      </c>
      <c r="AI27" s="191">
        <f t="shared" si="16"/>
        <v>0</v>
      </c>
      <c r="AJ27" s="191">
        <f t="shared" si="16"/>
        <v>0</v>
      </c>
      <c r="AK27" s="191">
        <f t="shared" si="16"/>
        <v>0</v>
      </c>
      <c r="AL27" s="191">
        <f t="shared" si="16"/>
        <v>0</v>
      </c>
      <c r="AM27" s="191">
        <f t="shared" si="16"/>
        <v>0</v>
      </c>
      <c r="AN27" s="191">
        <f t="shared" si="16"/>
        <v>0</v>
      </c>
      <c r="AO27" s="191">
        <f t="shared" si="16"/>
        <v>0</v>
      </c>
      <c r="AP27" s="191">
        <f t="shared" si="16"/>
        <v>0</v>
      </c>
      <c r="AQ27" s="191">
        <f t="shared" si="16"/>
        <v>0</v>
      </c>
      <c r="AR27" s="191">
        <f t="shared" si="16"/>
        <v>0</v>
      </c>
      <c r="AS27" s="191">
        <f t="shared" si="16"/>
        <v>0</v>
      </c>
      <c r="AT27" s="191">
        <f t="shared" si="16"/>
        <v>0</v>
      </c>
      <c r="AU27" s="191">
        <f t="shared" si="16"/>
        <v>0</v>
      </c>
      <c r="AV27" s="191">
        <f t="shared" si="16"/>
        <v>0</v>
      </c>
      <c r="AW27" s="191">
        <f t="shared" si="16"/>
        <v>0</v>
      </c>
      <c r="AX27" s="191">
        <f t="shared" si="16"/>
        <v>0</v>
      </c>
      <c r="AY27" s="191">
        <f t="shared" si="16"/>
        <v>0</v>
      </c>
      <c r="AZ27" s="191">
        <f t="shared" si="16"/>
        <v>0</v>
      </c>
      <c r="BA27" s="191">
        <f t="shared" si="16"/>
        <v>0</v>
      </c>
      <c r="BB27" s="191">
        <f t="shared" si="16"/>
        <v>0</v>
      </c>
      <c r="BC27" s="191">
        <f t="shared" si="16"/>
        <v>0</v>
      </c>
      <c r="BD27" s="191">
        <f t="shared" si="16"/>
        <v>0</v>
      </c>
      <c r="BE27" s="191">
        <f t="shared" si="16"/>
        <v>0</v>
      </c>
      <c r="BF27" s="191">
        <f t="shared" si="16"/>
        <v>0</v>
      </c>
      <c r="BG27" s="191">
        <f t="shared" si="16"/>
        <v>0</v>
      </c>
      <c r="BH27" s="191">
        <f t="shared" si="16"/>
        <v>0</v>
      </c>
      <c r="BI27" s="191">
        <f t="shared" si="16"/>
        <v>0</v>
      </c>
      <c r="BJ27" s="191">
        <f t="shared" si="16"/>
        <v>0</v>
      </c>
      <c r="BK27" s="191">
        <f t="shared" si="16"/>
        <v>0</v>
      </c>
      <c r="BL27" s="191">
        <f t="shared" si="16"/>
        <v>0</v>
      </c>
      <c r="BM27" s="191">
        <f t="shared" si="16"/>
        <v>0</v>
      </c>
      <c r="BN27" s="191">
        <f t="shared" si="16"/>
        <v>0</v>
      </c>
      <c r="BO27" s="191">
        <f t="shared" si="16"/>
        <v>0</v>
      </c>
      <c r="BP27" s="191">
        <f t="shared" si="16"/>
        <v>0</v>
      </c>
      <c r="BQ27" s="191">
        <f t="shared" si="16"/>
        <v>0</v>
      </c>
      <c r="BR27" s="191">
        <f t="shared" ref="BR27:CL27" si="17">BR26</f>
        <v>0</v>
      </c>
      <c r="BS27" s="191">
        <f t="shared" si="17"/>
        <v>0</v>
      </c>
      <c r="BT27" s="191">
        <f t="shared" si="17"/>
        <v>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x14ac:dyDescent="0.25">
      <c r="A28" s="17" t="s">
        <v>509</v>
      </c>
      <c r="E28" s="63">
        <f>(E27-I27)/I27</f>
        <v>-0.30938466657583774</v>
      </c>
      <c r="F28" s="63">
        <f t="shared" ref="F28:N28" si="18">(F27-J27)/J27</f>
        <v>-0.20258098305984537</v>
      </c>
      <c r="G28" s="63">
        <f t="shared" si="18"/>
        <v>-3.8712443801185756E-2</v>
      </c>
      <c r="H28" s="63">
        <f t="shared" si="18"/>
        <v>3.4761795240233324</v>
      </c>
      <c r="I28" s="63">
        <f t="shared" si="18"/>
        <v>0.16117963373298377</v>
      </c>
      <c r="J28" s="63">
        <f t="shared" si="18"/>
        <v>0.60519584271847071</v>
      </c>
      <c r="K28" s="63">
        <f t="shared" si="18"/>
        <v>-0.58228118029666309</v>
      </c>
      <c r="L28" s="63">
        <f t="shared" si="18"/>
        <v>-0.95021353185461732</v>
      </c>
      <c r="M28" s="63">
        <f t="shared" si="18"/>
        <v>0.31926468739527003</v>
      </c>
      <c r="N28" s="63">
        <f t="shared" si="18"/>
        <v>-8.4108575032237259E-2</v>
      </c>
      <c r="O28" s="63">
        <f>(O27-P27)/P27</f>
        <v>0.37909762869686159</v>
      </c>
      <c r="P28" s="63">
        <f t="shared" ref="P28:CA28" si="19">(P27-Q27)/Q27</f>
        <v>-0.22169309719796962</v>
      </c>
      <c r="Q28" s="63">
        <f t="shared" si="19"/>
        <v>0.1745173305628081</v>
      </c>
      <c r="R28" s="63" t="e">
        <f t="shared" si="19"/>
        <v>#DIV/0!</v>
      </c>
      <c r="S28" s="63" t="e">
        <f t="shared" si="19"/>
        <v>#DIV/0!</v>
      </c>
      <c r="T28" s="63" t="e">
        <f t="shared" si="19"/>
        <v>#DIV/0!</v>
      </c>
      <c r="U28" s="63" t="e">
        <f t="shared" si="19"/>
        <v>#DIV/0!</v>
      </c>
      <c r="V28" s="63" t="e">
        <f t="shared" si="19"/>
        <v>#DIV/0!</v>
      </c>
      <c r="W28" s="63" t="e">
        <f t="shared" si="19"/>
        <v>#DIV/0!</v>
      </c>
      <c r="X28" s="63" t="e">
        <f t="shared" si="19"/>
        <v>#DIV/0!</v>
      </c>
      <c r="Y28" s="63" t="e">
        <f t="shared" si="19"/>
        <v>#DIV/0!</v>
      </c>
      <c r="Z28" s="63" t="e">
        <f t="shared" si="19"/>
        <v>#DIV/0!</v>
      </c>
      <c r="AA28" s="63" t="e">
        <f t="shared" si="19"/>
        <v>#DIV/0!</v>
      </c>
      <c r="AB28" s="63" t="e">
        <f t="shared" si="19"/>
        <v>#DIV/0!</v>
      </c>
      <c r="AC28" s="63" t="e">
        <f t="shared" si="19"/>
        <v>#DIV/0!</v>
      </c>
      <c r="AD28" s="63" t="e">
        <f t="shared" si="19"/>
        <v>#DIV/0!</v>
      </c>
      <c r="AE28" s="63" t="e">
        <f t="shared" si="19"/>
        <v>#DIV/0!</v>
      </c>
      <c r="AF28" s="63" t="e">
        <f t="shared" si="19"/>
        <v>#DIV/0!</v>
      </c>
      <c r="AG28" s="63" t="e">
        <f t="shared" si="19"/>
        <v>#DIV/0!</v>
      </c>
      <c r="AH28" s="63" t="e">
        <f t="shared" si="19"/>
        <v>#DIV/0!</v>
      </c>
      <c r="AI28" s="63" t="e">
        <f t="shared" si="19"/>
        <v>#DIV/0!</v>
      </c>
      <c r="AJ28" s="63" t="e">
        <f t="shared" si="19"/>
        <v>#DIV/0!</v>
      </c>
      <c r="AK28" s="63" t="e">
        <f t="shared" si="19"/>
        <v>#DIV/0!</v>
      </c>
      <c r="AL28" s="63" t="e">
        <f t="shared" si="19"/>
        <v>#DIV/0!</v>
      </c>
      <c r="AM28" s="63" t="e">
        <f t="shared" si="19"/>
        <v>#DIV/0!</v>
      </c>
      <c r="AN28" s="63" t="e">
        <f t="shared" si="19"/>
        <v>#DIV/0!</v>
      </c>
      <c r="AO28" s="63" t="e">
        <f t="shared" si="19"/>
        <v>#DIV/0!</v>
      </c>
      <c r="AP28" s="63" t="e">
        <f t="shared" si="19"/>
        <v>#DIV/0!</v>
      </c>
      <c r="AQ28" s="63" t="e">
        <f t="shared" si="19"/>
        <v>#DIV/0!</v>
      </c>
      <c r="AR28" s="63" t="e">
        <f t="shared" si="19"/>
        <v>#DIV/0!</v>
      </c>
      <c r="AS28" s="63" t="e">
        <f t="shared" si="19"/>
        <v>#DIV/0!</v>
      </c>
      <c r="AT28" s="63" t="e">
        <f t="shared" si="19"/>
        <v>#DIV/0!</v>
      </c>
      <c r="AU28" s="63" t="e">
        <f t="shared" si="19"/>
        <v>#DIV/0!</v>
      </c>
      <c r="AV28" s="63" t="e">
        <f t="shared" si="19"/>
        <v>#DIV/0!</v>
      </c>
      <c r="AW28" s="63" t="e">
        <f t="shared" si="19"/>
        <v>#DIV/0!</v>
      </c>
      <c r="AX28" s="63" t="e">
        <f t="shared" si="19"/>
        <v>#DIV/0!</v>
      </c>
      <c r="AY28" s="63" t="e">
        <f t="shared" si="19"/>
        <v>#DIV/0!</v>
      </c>
      <c r="AZ28" s="63" t="e">
        <f t="shared" si="19"/>
        <v>#DIV/0!</v>
      </c>
      <c r="BA28" s="63" t="e">
        <f t="shared" si="19"/>
        <v>#DIV/0!</v>
      </c>
      <c r="BB28" s="63" t="e">
        <f t="shared" si="19"/>
        <v>#DIV/0!</v>
      </c>
      <c r="BC28" s="63" t="e">
        <f t="shared" si="19"/>
        <v>#DIV/0!</v>
      </c>
      <c r="BD28" s="63" t="e">
        <f t="shared" si="19"/>
        <v>#DIV/0!</v>
      </c>
      <c r="BE28" s="63" t="e">
        <f t="shared" si="19"/>
        <v>#DIV/0!</v>
      </c>
      <c r="BF28" s="63" t="e">
        <f t="shared" si="19"/>
        <v>#DIV/0!</v>
      </c>
      <c r="BG28" s="63" t="e">
        <f t="shared" si="19"/>
        <v>#DIV/0!</v>
      </c>
      <c r="BH28" s="63" t="e">
        <f t="shared" si="19"/>
        <v>#DIV/0!</v>
      </c>
      <c r="BI28" s="63" t="e">
        <f t="shared" si="19"/>
        <v>#DIV/0!</v>
      </c>
      <c r="BJ28" s="63" t="e">
        <f t="shared" si="19"/>
        <v>#DIV/0!</v>
      </c>
      <c r="BK28" s="63" t="e">
        <f t="shared" si="19"/>
        <v>#DIV/0!</v>
      </c>
      <c r="BL28" s="63" t="e">
        <f t="shared" si="19"/>
        <v>#DIV/0!</v>
      </c>
      <c r="BM28" s="63" t="e">
        <f t="shared" si="19"/>
        <v>#DIV/0!</v>
      </c>
      <c r="BN28" s="63" t="e">
        <f t="shared" si="19"/>
        <v>#DIV/0!</v>
      </c>
      <c r="BO28" s="63" t="e">
        <f t="shared" si="19"/>
        <v>#DIV/0!</v>
      </c>
      <c r="BP28" s="63" t="e">
        <f t="shared" si="19"/>
        <v>#DIV/0!</v>
      </c>
      <c r="BQ28" s="63" t="e">
        <f t="shared" si="19"/>
        <v>#DIV/0!</v>
      </c>
      <c r="BR28" s="63" t="e">
        <f t="shared" si="19"/>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ref="CB28:CK28" si="20">(CB27-CC27)/CC27</f>
        <v>#DIV/0!</v>
      </c>
      <c r="CC28" s="63" t="e">
        <f t="shared" si="20"/>
        <v>#DIV/0!</v>
      </c>
      <c r="CD28" s="63" t="e">
        <f t="shared" si="20"/>
        <v>#DIV/0!</v>
      </c>
      <c r="CE28" s="63" t="e">
        <f t="shared" si="20"/>
        <v>#DIV/0!</v>
      </c>
      <c r="CF28" s="63" t="e">
        <f t="shared" si="20"/>
        <v>#DIV/0!</v>
      </c>
      <c r="CG28" s="63" t="e">
        <f t="shared" si="20"/>
        <v>#DIV/0!</v>
      </c>
      <c r="CH28" s="63" t="e">
        <f t="shared" si="20"/>
        <v>#DIV/0!</v>
      </c>
      <c r="CI28" s="63" t="e">
        <f t="shared" si="20"/>
        <v>#DIV/0!</v>
      </c>
      <c r="CJ28" s="63" t="e">
        <f t="shared" si="20"/>
        <v>#DIV/0!</v>
      </c>
      <c r="CK28" s="63" t="e">
        <f t="shared" si="20"/>
        <v>#DIV/0!</v>
      </c>
      <c r="CL28" s="63" t="e">
        <f t="shared" ref="CL28" si="21">POWER($E$27/CL27,1/1)-1</f>
        <v>#DIV/0!</v>
      </c>
    </row>
    <row r="29" spans="1:90" s="63" customFormat="1" x14ac:dyDescent="0.25">
      <c r="A29" s="190" t="s">
        <v>569</v>
      </c>
      <c r="E29" s="63">
        <f>POWER(E27/$R$27,1/6)-1</f>
        <v>3.6862495037037979E-2</v>
      </c>
      <c r="F29" s="63">
        <f t="shared" ref="F29:Q29" si="22">POWER(F27/$R$27,1/6)-1</f>
        <v>2.6856527027750543E-2</v>
      </c>
      <c r="G29" s="63">
        <f t="shared" si="22"/>
        <v>-0.10726249378426411</v>
      </c>
      <c r="H29" s="63">
        <f t="shared" si="22"/>
        <v>-0.23292436593813259</v>
      </c>
      <c r="I29" s="63">
        <f>POWER(I27/$R$27,1/5)-1</f>
        <v>0.12465198847625114</v>
      </c>
      <c r="J29" s="63">
        <f t="shared" si="22"/>
        <v>6.6339106246549484E-2</v>
      </c>
      <c r="K29" s="63">
        <f t="shared" si="22"/>
        <v>-0.1013686594463552</v>
      </c>
      <c r="L29" s="63">
        <f t="shared" si="22"/>
        <v>-0.40247840596800488</v>
      </c>
      <c r="M29" s="63">
        <f>POWER(M27/$R$27,1/4)-1</f>
        <v>0.11570105004603048</v>
      </c>
      <c r="N29" s="63">
        <f t="shared" si="22"/>
        <v>-1.4536222814421684E-2</v>
      </c>
      <c r="O29" s="63">
        <f>POWER(O27/$R$27,1/3)-1</f>
        <v>8.0276945469908156E-2</v>
      </c>
      <c r="P29" s="63">
        <f>POWER(P27/$R$27,1/2)-1</f>
        <v>-4.3895954491537714E-2</v>
      </c>
      <c r="Q29" s="63">
        <f>POWER(Q27/$R$27,1/1)-1</f>
        <v>0.17451733056280805</v>
      </c>
      <c r="R29" s="63">
        <v>0</v>
      </c>
    </row>
    <row r="30" spans="1:90" s="16" customFormat="1" ht="367.2" customHeight="1" x14ac:dyDescent="0.25">
      <c r="A30" s="278" t="s">
        <v>736</v>
      </c>
      <c r="B30" s="277"/>
      <c r="C30" s="277"/>
      <c r="D30" s="277"/>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row>
    <row r="31" spans="1:90" x14ac:dyDescent="0.25">
      <c r="A31" s="110" t="s">
        <v>567</v>
      </c>
      <c r="B31" s="95"/>
      <c r="C31" s="95"/>
      <c r="D31" s="95"/>
      <c r="E31" s="95" t="s">
        <v>566</v>
      </c>
      <c r="F31" s="95"/>
      <c r="G31" s="95"/>
      <c r="H31" s="95"/>
      <c r="I31" s="95" t="s">
        <v>600</v>
      </c>
      <c r="M31" s="95" t="s">
        <v>568</v>
      </c>
      <c r="Q31" s="113" t="s">
        <v>606</v>
      </c>
      <c r="R31" s="113"/>
      <c r="S31" s="113"/>
      <c r="T31" s="113"/>
      <c r="U31" s="113" t="s">
        <v>603</v>
      </c>
      <c r="V31" s="113"/>
      <c r="W31" s="113"/>
      <c r="X31" s="113"/>
      <c r="Y31" s="113" t="s">
        <v>604</v>
      </c>
      <c r="Z31" s="113"/>
      <c r="AA31" s="113"/>
      <c r="AB31" s="113"/>
      <c r="AC31" s="113" t="s">
        <v>605</v>
      </c>
    </row>
    <row r="32" spans="1:90" s="63" customFormat="1" x14ac:dyDescent="0.25">
      <c r="A32" s="110" t="s">
        <v>569</v>
      </c>
      <c r="B32" s="111"/>
      <c r="C32" s="111"/>
      <c r="D32" s="111"/>
      <c r="E32" s="111" t="e">
        <f>POWER(E27/U27,1/5)-1</f>
        <v>#DIV/0!</v>
      </c>
      <c r="F32" s="111"/>
      <c r="G32" s="111"/>
      <c r="H32" s="111"/>
      <c r="I32" s="111" t="e">
        <f>POWER(E27/Y27,1/6)-1</f>
        <v>#DIV/0!</v>
      </c>
      <c r="M32" s="111" t="e">
        <f>POWER(E27/AC27,1/7)-1</f>
        <v>#DIV/0!</v>
      </c>
      <c r="Q32" s="114" t="s">
        <v>602</v>
      </c>
      <c r="R32" s="114"/>
      <c r="S32" s="114"/>
      <c r="T32" s="114"/>
      <c r="U32" s="114" t="e">
        <f>POWER(E14/U14,1/5)-1</f>
        <v>#DIV/0!</v>
      </c>
      <c r="V32" s="114"/>
      <c r="W32" s="114"/>
      <c r="X32" s="114"/>
      <c r="Y32" s="114" t="e">
        <f>POWER(E14/Y14,1/6)-1</f>
        <v>#DIV/0!</v>
      </c>
      <c r="Z32" s="114"/>
      <c r="AA32" s="114"/>
      <c r="AB32" s="114"/>
      <c r="AC32" s="114" t="e">
        <f>POWER(E14/AC14,1/7)-1</f>
        <v>#DIV/0!</v>
      </c>
    </row>
    <row r="33" spans="1:13" s="66" customFormat="1" x14ac:dyDescent="0.25">
      <c r="A33" s="46" t="s">
        <v>511</v>
      </c>
      <c r="E33" s="66">
        <v>0.17</v>
      </c>
    </row>
    <row r="40" spans="1:13" ht="43.2" x14ac:dyDescent="0.25">
      <c r="A40" s="67" t="s">
        <v>512</v>
      </c>
    </row>
    <row r="42" spans="1:13" ht="111" customHeight="1" x14ac:dyDescent="0.25">
      <c r="A42" s="278" t="s">
        <v>735</v>
      </c>
      <c r="B42" s="277"/>
      <c r="C42" s="277"/>
      <c r="D42" s="277"/>
      <c r="E42" s="277"/>
      <c r="F42" s="277"/>
      <c r="G42" s="277"/>
      <c r="H42" s="277"/>
      <c r="I42" s="277"/>
      <c r="J42" s="277"/>
      <c r="K42" s="277"/>
      <c r="L42" s="277"/>
      <c r="M42" s="277"/>
    </row>
  </sheetData>
  <mergeCells count="2">
    <mergeCell ref="A30:AC30"/>
    <mergeCell ref="A42:M42"/>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9" width="19.3320312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513</v>
      </c>
      <c r="B1" s="318">
        <f>自由现金流分析表!E1</f>
        <v>43100</v>
      </c>
      <c r="C1" s="189" t="s">
        <v>750</v>
      </c>
      <c r="D1" s="272">
        <v>0.08</v>
      </c>
      <c r="E1" s="260" t="s">
        <v>749</v>
      </c>
      <c r="F1" s="63">
        <f>平均资本成本表!E13</f>
        <v>7.9958563543822539E-2</v>
      </c>
    </row>
    <row r="2" spans="1:10" x14ac:dyDescent="0.25">
      <c r="A2" s="69" t="s">
        <v>514</v>
      </c>
      <c r="B2" s="70">
        <f>自由现金流分析表!E27</f>
        <v>116356819.75999999</v>
      </c>
      <c r="C2" t="s">
        <v>547</v>
      </c>
      <c r="D2" s="63"/>
      <c r="E2" s="63"/>
      <c r="F2" s="56"/>
    </row>
    <row r="3" spans="1:10" s="63" customFormat="1" x14ac:dyDescent="0.25">
      <c r="A3" s="71" t="s">
        <v>515</v>
      </c>
      <c r="B3" s="97">
        <v>0.03</v>
      </c>
      <c r="D3" s="188"/>
      <c r="E3" s="188"/>
      <c r="F3" s="258"/>
    </row>
    <row r="4" spans="1:10" s="63" customFormat="1" x14ac:dyDescent="0.25">
      <c r="A4" s="71" t="s">
        <v>516</v>
      </c>
      <c r="B4" s="97">
        <f>F1</f>
        <v>7.9958563543822539E-2</v>
      </c>
      <c r="D4" s="188"/>
      <c r="E4" s="188"/>
      <c r="F4" s="259"/>
    </row>
    <row r="5" spans="1:10" x14ac:dyDescent="0.25">
      <c r="A5" s="69" t="s">
        <v>517</v>
      </c>
      <c r="B5" s="70">
        <f>B2*(1+B3)/(B4-B3)</f>
        <v>2398938557.3040428</v>
      </c>
      <c r="D5" s="63"/>
      <c r="E5" s="63"/>
    </row>
    <row r="6" spans="1:10" x14ac:dyDescent="0.25">
      <c r="A6" s="69" t="s">
        <v>518</v>
      </c>
      <c r="B6" s="70">
        <f>资产资本表!E17</f>
        <v>359724222.34000003</v>
      </c>
      <c r="D6" s="188"/>
      <c r="E6" s="188"/>
      <c r="F6" s="188"/>
      <c r="G6" s="188"/>
    </row>
    <row r="7" spans="1:10" x14ac:dyDescent="0.25">
      <c r="A7" s="69" t="s">
        <v>519</v>
      </c>
      <c r="B7" s="70">
        <f>资产资本表!E19</f>
        <v>33000000</v>
      </c>
      <c r="D7" s="188"/>
      <c r="E7" s="188"/>
      <c r="F7" s="188"/>
      <c r="G7" s="188"/>
    </row>
    <row r="8" spans="1:10" x14ac:dyDescent="0.25">
      <c r="A8" s="69" t="s">
        <v>520</v>
      </c>
      <c r="B8" s="195">
        <f>资产资本表!E89</f>
        <v>0</v>
      </c>
      <c r="C8" s="270" t="s">
        <v>747</v>
      </c>
      <c r="D8" s="271">
        <f>B2/B4</f>
        <v>1455213983.3806396</v>
      </c>
      <c r="E8" s="63"/>
      <c r="F8" s="188"/>
      <c r="G8" s="188"/>
    </row>
    <row r="9" spans="1:10" x14ac:dyDescent="0.25">
      <c r="A9" s="69" t="s">
        <v>521</v>
      </c>
      <c r="B9" s="195">
        <f>B5+B6+B7-B8</f>
        <v>2791662779.644043</v>
      </c>
      <c r="C9" s="270" t="s">
        <v>748</v>
      </c>
      <c r="D9" s="271">
        <f>(D8+资产资本结构分析表!$E$2+资产资本结构分析表!$E$3)/B55</f>
        <v>8.3997191169119994</v>
      </c>
      <c r="E9" s="188"/>
      <c r="F9" s="188"/>
      <c r="G9" s="188"/>
    </row>
    <row r="10" spans="1:10" x14ac:dyDescent="0.25">
      <c r="A10" s="69" t="s">
        <v>522</v>
      </c>
      <c r="B10" s="72">
        <f>资产资本表!E103/资产资本表!E107</f>
        <v>5.992465806018122E-2</v>
      </c>
      <c r="D10" s="188"/>
      <c r="E10" s="188"/>
      <c r="F10" s="188"/>
      <c r="G10" s="188"/>
    </row>
    <row r="11" spans="1:10" x14ac:dyDescent="0.25">
      <c r="A11" s="69" t="s">
        <v>548</v>
      </c>
      <c r="B11" s="195">
        <f>B9*(1-B10)</f>
        <v>2624373342.1545386</v>
      </c>
      <c r="C11" s="267" t="s">
        <v>744</v>
      </c>
      <c r="D11" s="268">
        <f>资产资本结构分析表!E2</f>
        <v>359724222.34000003</v>
      </c>
      <c r="E11" s="63"/>
      <c r="F11" s="188"/>
      <c r="G11" s="188"/>
    </row>
    <row r="12" spans="1:10" x14ac:dyDescent="0.25">
      <c r="A12" s="69" t="s">
        <v>523</v>
      </c>
      <c r="B12" s="266">
        <f>B55</f>
        <v>220000000</v>
      </c>
      <c r="C12" s="267" t="s">
        <v>745</v>
      </c>
      <c r="D12" s="269">
        <f>D11/B55</f>
        <v>1.6351101015454548</v>
      </c>
      <c r="E12" s="188"/>
      <c r="F12" s="188"/>
      <c r="G12" s="188"/>
    </row>
    <row r="13" spans="1:10" ht="15" thickBot="1" x14ac:dyDescent="0.3">
      <c r="A13" s="73" t="s">
        <v>524</v>
      </c>
      <c r="B13" s="74">
        <f>B11/B12</f>
        <v>11.928969737066085</v>
      </c>
      <c r="D13" s="188"/>
      <c r="E13" s="188"/>
    </row>
    <row r="14" spans="1:10" s="16" customFormat="1" ht="53.25" customHeight="1" x14ac:dyDescent="0.25">
      <c r="A14" s="278" t="s">
        <v>737</v>
      </c>
      <c r="B14" s="277"/>
      <c r="C14" s="277"/>
      <c r="D14" s="277"/>
      <c r="E14" s="277"/>
      <c r="F14" s="277"/>
      <c r="G14" s="277"/>
      <c r="H14" s="277"/>
      <c r="I14" s="277"/>
    </row>
    <row r="16" spans="1:10" x14ac:dyDescent="0.25">
      <c r="A16" s="87"/>
      <c r="B16" s="75"/>
      <c r="C16" s="76"/>
      <c r="D16" s="76"/>
      <c r="E16" s="76"/>
      <c r="F16" s="76"/>
      <c r="G16" s="76"/>
      <c r="H16" s="76"/>
      <c r="I16" s="77"/>
      <c r="J16" s="76"/>
    </row>
    <row r="17" spans="1:10" s="63" customFormat="1" x14ac:dyDescent="0.25">
      <c r="A17" s="89"/>
      <c r="B17" s="89"/>
      <c r="C17" s="89" t="s">
        <v>540</v>
      </c>
      <c r="D17" s="89">
        <v>0.15</v>
      </c>
      <c r="E17" s="89"/>
      <c r="F17" s="89"/>
      <c r="G17" s="89"/>
      <c r="H17" s="89" t="s">
        <v>541</v>
      </c>
      <c r="I17" s="89">
        <v>0.04</v>
      </c>
      <c r="J17" s="77"/>
    </row>
    <row r="18" spans="1:10" s="2" customFormat="1" x14ac:dyDescent="0.25">
      <c r="A18" s="299" t="s">
        <v>525</v>
      </c>
      <c r="B18" s="299"/>
      <c r="C18" s="65" t="s">
        <v>539</v>
      </c>
      <c r="D18" s="96">
        <v>1</v>
      </c>
      <c r="E18" s="96">
        <v>2</v>
      </c>
      <c r="F18" s="96">
        <v>3</v>
      </c>
      <c r="G18" s="96">
        <v>4</v>
      </c>
      <c r="H18" s="96">
        <v>5</v>
      </c>
      <c r="I18" s="95">
        <v>6</v>
      </c>
      <c r="J18" s="79"/>
    </row>
    <row r="19" spans="1:10" s="26" customFormat="1" x14ac:dyDescent="0.25">
      <c r="A19" s="98" t="s">
        <v>526</v>
      </c>
      <c r="B19" s="93"/>
      <c r="C19" s="88">
        <f>B2</f>
        <v>116356819.75999999</v>
      </c>
      <c r="D19" s="88">
        <f>C19*(1+$D$17)</f>
        <v>133810342.72399998</v>
      </c>
      <c r="E19" s="88">
        <f>D19*(1+$D$17)</f>
        <v>153881894.13259995</v>
      </c>
      <c r="F19" s="88">
        <f>E19*(1+$D$17)</f>
        <v>176964178.25248992</v>
      </c>
      <c r="G19" s="88">
        <f>F19*(1+$D$17)</f>
        <v>203508804.99036339</v>
      </c>
      <c r="H19" s="88">
        <f>G19*(1+$D$17)</f>
        <v>234035125.73891789</v>
      </c>
      <c r="I19" s="88">
        <f>H19*(1+I17)</f>
        <v>243396530.76847461</v>
      </c>
      <c r="J19" s="75"/>
    </row>
    <row r="20" spans="1:10" s="26" customFormat="1" x14ac:dyDescent="0.25">
      <c r="A20" s="98" t="s">
        <v>527</v>
      </c>
      <c r="B20" s="94">
        <f>B4</f>
        <v>7.9958563543822539E-2</v>
      </c>
      <c r="C20" s="88"/>
      <c r="D20" s="88">
        <f t="shared" ref="D20:I20" si="0">(1+$B$20)^D18</f>
        <v>1.0799585635438225</v>
      </c>
      <c r="E20" s="88">
        <f t="shared" si="0"/>
        <v>1.1663104989716364</v>
      </c>
      <c r="F20" s="88">
        <f t="shared" si="0"/>
        <v>1.2595670111154873</v>
      </c>
      <c r="G20" s="88">
        <f t="shared" si="0"/>
        <v>1.3602801800114674</v>
      </c>
      <c r="H20" s="88">
        <f t="shared" si="0"/>
        <v>1.4690462292223165</v>
      </c>
      <c r="I20" s="88">
        <f t="shared" si="0"/>
        <v>1.586509055490402</v>
      </c>
      <c r="J20" s="75"/>
    </row>
    <row r="21" spans="1:10" s="26" customFormat="1" x14ac:dyDescent="0.25">
      <c r="A21" s="300" t="s">
        <v>528</v>
      </c>
      <c r="B21" s="300"/>
      <c r="C21" s="88"/>
      <c r="D21" s="88">
        <f>D19/D20</f>
        <v>123903219.29103369</v>
      </c>
      <c r="E21" s="88">
        <f>E19/E20</f>
        <v>131939045.62145437</v>
      </c>
      <c r="F21" s="88">
        <f>F19/F20</f>
        <v>140496040.85436341</v>
      </c>
      <c r="G21" s="88">
        <f>G19/G20</f>
        <v>149608005.74823326</v>
      </c>
      <c r="H21" s="88">
        <f>H19/H20</f>
        <v>159310933.23238122</v>
      </c>
      <c r="I21" s="88">
        <f>I19/((B20-I17)*I20)</f>
        <v>3839387626.4053364</v>
      </c>
      <c r="J21" s="75"/>
    </row>
    <row r="22" spans="1:10" s="26" customFormat="1" x14ac:dyDescent="0.25">
      <c r="A22" s="300" t="s">
        <v>546</v>
      </c>
      <c r="B22" s="300"/>
      <c r="C22" s="88"/>
      <c r="D22" s="296">
        <f>SUM(D21:H21)</f>
        <v>705257244.74746597</v>
      </c>
      <c r="E22" s="297"/>
      <c r="F22" s="297"/>
      <c r="G22" s="297"/>
      <c r="H22" s="298"/>
      <c r="I22" s="88">
        <f>I21</f>
        <v>3839387626.4053364</v>
      </c>
      <c r="J22" s="75"/>
    </row>
    <row r="23" spans="1:10" x14ac:dyDescent="0.25">
      <c r="A23" s="91" t="s">
        <v>529</v>
      </c>
      <c r="B23" s="75">
        <f>D22+I22</f>
        <v>4544644871.1528025</v>
      </c>
      <c r="C23" s="76"/>
      <c r="D23" s="76"/>
      <c r="E23" s="76"/>
      <c r="F23" s="76"/>
      <c r="G23" s="76"/>
      <c r="H23" s="76"/>
      <c r="I23" s="78"/>
      <c r="J23" s="76"/>
    </row>
    <row r="24" spans="1:10" x14ac:dyDescent="0.25">
      <c r="A24" s="91" t="s">
        <v>530</v>
      </c>
      <c r="B24" s="75">
        <f>B23</f>
        <v>4544644871.1528025</v>
      </c>
      <c r="C24" s="76"/>
      <c r="D24" s="76"/>
      <c r="E24" s="76"/>
      <c r="F24" s="76"/>
      <c r="G24" s="76"/>
      <c r="H24" s="76"/>
      <c r="I24" s="78"/>
      <c r="J24" s="76"/>
    </row>
    <row r="25" spans="1:10" x14ac:dyDescent="0.25">
      <c r="A25" s="69" t="s">
        <v>531</v>
      </c>
      <c r="B25" s="70">
        <f>资产资本表!E17</f>
        <v>359724222.34000003</v>
      </c>
      <c r="C25" s="76"/>
      <c r="D25" s="76"/>
      <c r="E25" s="76"/>
      <c r="F25" s="76"/>
      <c r="G25" s="76"/>
      <c r="H25" s="76"/>
      <c r="I25" s="78"/>
      <c r="J25" s="76"/>
    </row>
    <row r="26" spans="1:10" x14ac:dyDescent="0.25">
      <c r="A26" s="69" t="s">
        <v>532</v>
      </c>
      <c r="B26" s="70">
        <f>资产资本表!E19</f>
        <v>33000000</v>
      </c>
      <c r="C26" s="76"/>
      <c r="D26" s="76"/>
      <c r="E26" s="76"/>
      <c r="F26" s="76"/>
      <c r="G26" s="76"/>
      <c r="H26" s="76"/>
      <c r="I26" s="78"/>
      <c r="J26" s="76"/>
    </row>
    <row r="27" spans="1:10" x14ac:dyDescent="0.25">
      <c r="A27" s="69" t="s">
        <v>533</v>
      </c>
      <c r="B27" s="70">
        <f>资产资本表!E89</f>
        <v>0</v>
      </c>
      <c r="C27" s="76"/>
      <c r="D27" s="76"/>
      <c r="E27" s="76"/>
      <c r="F27" s="76"/>
      <c r="G27" s="76"/>
      <c r="H27" s="76"/>
      <c r="I27" s="78"/>
      <c r="J27" s="76"/>
    </row>
    <row r="28" spans="1:10" s="2" customFormat="1" x14ac:dyDescent="0.25">
      <c r="A28" s="81" t="s">
        <v>534</v>
      </c>
      <c r="B28" s="82">
        <f>B24+B25+B26-B27</f>
        <v>4937369093.4928026</v>
      </c>
      <c r="C28" s="79"/>
      <c r="D28" s="79"/>
      <c r="E28" s="79"/>
      <c r="F28" s="79"/>
      <c r="G28" s="79"/>
      <c r="H28" s="79"/>
      <c r="I28" s="80"/>
      <c r="J28" s="79"/>
    </row>
    <row r="29" spans="1:10" x14ac:dyDescent="0.25">
      <c r="A29" s="69" t="s">
        <v>535</v>
      </c>
      <c r="B29" s="77">
        <f>资产资本表!E103/资产资本表!E107</f>
        <v>5.992465806018122E-2</v>
      </c>
      <c r="C29" s="301" t="s">
        <v>542</v>
      </c>
      <c r="D29" s="301"/>
      <c r="E29" s="301"/>
      <c r="F29" s="76"/>
      <c r="G29" s="76"/>
      <c r="H29" s="76"/>
      <c r="I29" s="78"/>
      <c r="J29" s="76"/>
    </row>
    <row r="30" spans="1:10" s="2" customFormat="1" x14ac:dyDescent="0.25">
      <c r="A30" s="81" t="s">
        <v>536</v>
      </c>
      <c r="B30" s="82">
        <f>B28*(1-B29)</f>
        <v>4641498938.8483391</v>
      </c>
      <c r="C30" s="90">
        <v>0.4</v>
      </c>
      <c r="D30" s="90">
        <v>0.3</v>
      </c>
      <c r="E30" s="90">
        <v>0.2</v>
      </c>
      <c r="F30" s="79"/>
      <c r="G30" s="79"/>
      <c r="H30" s="79"/>
      <c r="I30" s="80"/>
      <c r="J30" s="79"/>
    </row>
    <row r="31" spans="1:10" x14ac:dyDescent="0.25">
      <c r="A31" s="69" t="s">
        <v>746</v>
      </c>
      <c r="B31" s="100">
        <f>B55</f>
        <v>220000000</v>
      </c>
      <c r="C31" s="213">
        <f>$B$32*(1-C30)</f>
        <v>12.658633469586379</v>
      </c>
      <c r="D31" s="213">
        <f>$B$32*(1-D30)</f>
        <v>14.76840571451744</v>
      </c>
      <c r="E31" s="213">
        <f>$B$32*(1-E30)</f>
        <v>16.878177959448504</v>
      </c>
      <c r="F31" s="76"/>
      <c r="G31" s="76"/>
      <c r="H31" s="76"/>
      <c r="I31" s="78"/>
      <c r="J31" s="76"/>
    </row>
    <row r="32" spans="1:10" s="2" customFormat="1" ht="15" thickBot="1" x14ac:dyDescent="0.3">
      <c r="A32" s="83" t="s">
        <v>537</v>
      </c>
      <c r="B32" s="84">
        <f>B30/B31</f>
        <v>21.097722449310631</v>
      </c>
      <c r="C32" s="85"/>
      <c r="D32" s="85"/>
      <c r="E32" s="85"/>
      <c r="F32" s="85"/>
      <c r="G32" s="85"/>
      <c r="H32" s="85"/>
      <c r="I32" s="86"/>
      <c r="J32" s="79"/>
    </row>
    <row r="33" spans="1:19" ht="63" customHeight="1" x14ac:dyDescent="0.25">
      <c r="A33" s="302" t="s">
        <v>738</v>
      </c>
      <c r="B33" s="303"/>
      <c r="C33" s="303"/>
      <c r="D33" s="303"/>
      <c r="E33" s="303"/>
      <c r="F33" s="303"/>
      <c r="G33" s="303"/>
      <c r="H33" s="303"/>
      <c r="I33" s="303"/>
    </row>
    <row r="37" spans="1:19" s="63" customFormat="1" x14ac:dyDescent="0.25">
      <c r="A37" s="202"/>
      <c r="B37" s="202"/>
      <c r="C37" s="212" t="s">
        <v>540</v>
      </c>
      <c r="D37" s="212">
        <v>0.15</v>
      </c>
      <c r="E37" s="212"/>
      <c r="F37" s="212"/>
      <c r="G37" s="212"/>
      <c r="H37" s="212" t="s">
        <v>635</v>
      </c>
      <c r="I37" s="212">
        <v>0.09</v>
      </c>
      <c r="J37" s="212"/>
      <c r="K37" s="212"/>
      <c r="L37" s="212"/>
      <c r="M37" s="212"/>
      <c r="N37" s="212"/>
      <c r="O37" s="212"/>
      <c r="P37" s="212"/>
      <c r="Q37" s="212"/>
      <c r="R37" s="212" t="s">
        <v>545</v>
      </c>
      <c r="S37" s="212">
        <v>0.02</v>
      </c>
    </row>
    <row r="38" spans="1:19" s="24" customFormat="1" x14ac:dyDescent="0.25">
      <c r="A38" s="310" t="s">
        <v>543</v>
      </c>
      <c r="B38" s="311"/>
      <c r="C38" s="214" t="s">
        <v>539</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8" t="s">
        <v>526</v>
      </c>
      <c r="B39" s="93"/>
      <c r="C39" s="88">
        <f>B2</f>
        <v>116356819.75999999</v>
      </c>
      <c r="D39" s="88">
        <f>$C$39*(1+$D$37)^D38</f>
        <v>133810342.72399998</v>
      </c>
      <c r="E39" s="88">
        <f>$C$39*(1+$D$37)^E38</f>
        <v>153881894.13259995</v>
      </c>
      <c r="F39" s="88">
        <f>$C$39*(1+$D$37)^F38</f>
        <v>176964178.25248992</v>
      </c>
      <c r="G39" s="88">
        <f>$C$39*(1+$D$37)^G38</f>
        <v>203508804.99036342</v>
      </c>
      <c r="H39" s="88">
        <f>$C$39*(1+$D$37)^H38</f>
        <v>234035125.73891795</v>
      </c>
      <c r="I39" s="88">
        <f>H39*(1+$I$37)</f>
        <v>255098287.05542058</v>
      </c>
      <c r="J39" s="88">
        <f t="shared" ref="J39:N39" si="1">I39*(1+$I$37)</f>
        <v>278057132.89040846</v>
      </c>
      <c r="K39" s="88">
        <f t="shared" si="1"/>
        <v>303082274.85054523</v>
      </c>
      <c r="L39" s="88">
        <f t="shared" si="1"/>
        <v>330359679.58709431</v>
      </c>
      <c r="M39" s="88">
        <f t="shared" si="1"/>
        <v>360092050.74993283</v>
      </c>
      <c r="N39" s="88">
        <f t="shared" si="1"/>
        <v>392500335.3174268</v>
      </c>
      <c r="O39" s="88">
        <f t="shared" ref="O39" si="2">N39*(1+$I$37)</f>
        <v>427825365.49599522</v>
      </c>
      <c r="P39" s="88">
        <f t="shared" ref="P39" si="3">O39*(1+$I$37)</f>
        <v>466329648.39063483</v>
      </c>
      <c r="Q39" s="88">
        <f t="shared" ref="Q39" si="4">P39*(1+$I$37)</f>
        <v>508299316.74579203</v>
      </c>
      <c r="R39" s="88">
        <f t="shared" ref="R39" si="5">Q39*(1+$I$37)</f>
        <v>554046255.25291336</v>
      </c>
      <c r="S39" s="88">
        <f>R39*(1+S37)</f>
        <v>565127180.35797167</v>
      </c>
    </row>
    <row r="40" spans="1:19" s="23" customFormat="1" x14ac:dyDescent="0.25">
      <c r="A40" s="208" t="s">
        <v>527</v>
      </c>
      <c r="B40" s="207">
        <f>B4</f>
        <v>7.9958563543822539E-2</v>
      </c>
      <c r="C40" s="213"/>
      <c r="D40" s="213">
        <f>(1+$B$40)^D38</f>
        <v>1.0799585635438225</v>
      </c>
      <c r="E40" s="213">
        <f t="shared" ref="E40:R40" si="6">(1+$B$40)^E38</f>
        <v>1.1663104989716364</v>
      </c>
      <c r="F40" s="213">
        <f t="shared" si="6"/>
        <v>1.2595670111154873</v>
      </c>
      <c r="G40" s="213">
        <f t="shared" si="6"/>
        <v>1.3602801800114674</v>
      </c>
      <c r="H40" s="213">
        <f t="shared" si="6"/>
        <v>1.4690462292223165</v>
      </c>
      <c r="I40" s="213">
        <f t="shared" si="6"/>
        <v>1.586509055490402</v>
      </c>
      <c r="J40" s="213">
        <f t="shared" si="6"/>
        <v>1.713364040616681</v>
      </c>
      <c r="K40" s="213">
        <f t="shared" si="6"/>
        <v>1.8503621681320304</v>
      </c>
      <c r="L40" s="213">
        <f t="shared" si="6"/>
        <v>1.9983144691317005</v>
      </c>
      <c r="M40" s="213">
        <f t="shared" si="6"/>
        <v>2.1580968235923073</v>
      </c>
      <c r="N40" s="213">
        <f t="shared" si="6"/>
        <v>2.3306551455952342</v>
      </c>
      <c r="O40" s="213">
        <f t="shared" si="6"/>
        <v>2.5170109831530474</v>
      </c>
      <c r="P40" s="213">
        <f t="shared" si="6"/>
        <v>2.7182675657899891</v>
      </c>
      <c r="Q40" s="213">
        <f t="shared" si="6"/>
        <v>2.9356163356783198</v>
      </c>
      <c r="R40" s="213">
        <f t="shared" si="6"/>
        <v>3.170344000994938</v>
      </c>
      <c r="S40" s="181">
        <f>(1+$B$40)^S38</f>
        <v>3.4238401532542682</v>
      </c>
    </row>
    <row r="41" spans="1:19" s="191" customFormat="1" x14ac:dyDescent="0.25">
      <c r="A41" s="312" t="s">
        <v>528</v>
      </c>
      <c r="B41" s="313"/>
      <c r="C41" s="88"/>
      <c r="D41" s="88">
        <f t="shared" ref="D41:R41" si="7">D39/D40</f>
        <v>123903219.29103369</v>
      </c>
      <c r="E41" s="88">
        <f t="shared" si="7"/>
        <v>131939045.62145437</v>
      </c>
      <c r="F41" s="88">
        <f t="shared" si="7"/>
        <v>140496040.85436341</v>
      </c>
      <c r="G41" s="88">
        <f t="shared" si="7"/>
        <v>149608005.74823329</v>
      </c>
      <c r="H41" s="88">
        <f t="shared" si="7"/>
        <v>159310933.23238128</v>
      </c>
      <c r="I41" s="88">
        <f t="shared" si="7"/>
        <v>160792203.59480882</v>
      </c>
      <c r="J41" s="88">
        <f t="shared" si="7"/>
        <v>162287246.78401035</v>
      </c>
      <c r="K41" s="88">
        <f t="shared" si="7"/>
        <v>163796190.85949621</v>
      </c>
      <c r="L41" s="88">
        <f t="shared" si="7"/>
        <v>165319165.0714719</v>
      </c>
      <c r="M41" s="88">
        <f t="shared" si="7"/>
        <v>166856299.87190923</v>
      </c>
      <c r="N41" s="88">
        <f t="shared" si="7"/>
        <v>168407726.92572019</v>
      </c>
      <c r="O41" s="88">
        <f t="shared" si="7"/>
        <v>169973579.12203485</v>
      </c>
      <c r="P41" s="88">
        <f t="shared" si="7"/>
        <v>171553990.58558425</v>
      </c>
      <c r="Q41" s="88">
        <f t="shared" si="7"/>
        <v>173149096.68818885</v>
      </c>
      <c r="R41" s="88">
        <f t="shared" si="7"/>
        <v>174759034.06035399</v>
      </c>
      <c r="S41" s="88">
        <f>S39/((B40-S37)*S40)</f>
        <v>2752843327.4220772</v>
      </c>
    </row>
    <row r="42" spans="1:19" s="23" customFormat="1" x14ac:dyDescent="0.25">
      <c r="A42" s="314" t="s">
        <v>546</v>
      </c>
      <c r="B42" s="315"/>
      <c r="C42" s="213"/>
      <c r="D42" s="307">
        <f>SUM(D41:H41)</f>
        <v>705257244.74746609</v>
      </c>
      <c r="E42" s="308"/>
      <c r="F42" s="308"/>
      <c r="G42" s="308"/>
      <c r="H42" s="309"/>
      <c r="I42" s="307">
        <f>SUM(I41:R41)</f>
        <v>1676894533.5635786</v>
      </c>
      <c r="J42" s="308"/>
      <c r="K42" s="308"/>
      <c r="L42" s="308"/>
      <c r="M42" s="308"/>
      <c r="N42" s="308"/>
      <c r="O42" s="308"/>
      <c r="P42" s="308"/>
      <c r="Q42" s="308"/>
      <c r="R42" s="309"/>
      <c r="S42" s="213">
        <f>S41</f>
        <v>2752843327.4220772</v>
      </c>
    </row>
    <row r="43" spans="1:19" x14ac:dyDescent="0.25">
      <c r="A43" s="204" t="s">
        <v>544</v>
      </c>
      <c r="B43" s="195">
        <f>D42+I42+S42</f>
        <v>5134995105.7331219</v>
      </c>
      <c r="C43" s="196"/>
      <c r="D43" s="196"/>
      <c r="E43" s="196"/>
      <c r="F43" s="196"/>
      <c r="G43" s="196"/>
      <c r="H43" s="196"/>
      <c r="I43" s="196"/>
      <c r="J43" s="196"/>
      <c r="K43" s="196"/>
      <c r="L43" s="196"/>
      <c r="M43" s="196"/>
      <c r="N43" s="196"/>
      <c r="O43" s="196"/>
      <c r="P43" s="196"/>
      <c r="Q43" s="196"/>
      <c r="R43" s="196"/>
      <c r="S43" s="198"/>
    </row>
    <row r="44" spans="1:19" x14ac:dyDescent="0.25">
      <c r="A44" s="204" t="s">
        <v>530</v>
      </c>
      <c r="B44" s="195">
        <f>B43</f>
        <v>5134995105.7331219</v>
      </c>
      <c r="C44" s="196"/>
      <c r="D44" s="196"/>
      <c r="E44" s="196"/>
      <c r="F44" s="196"/>
      <c r="G44" s="196"/>
      <c r="H44" s="196"/>
      <c r="I44" s="196"/>
      <c r="J44" s="196"/>
      <c r="K44" s="196"/>
      <c r="L44" s="196"/>
      <c r="M44" s="196"/>
      <c r="N44" s="196"/>
      <c r="O44" s="196"/>
      <c r="P44" s="196"/>
      <c r="Q44" s="196"/>
      <c r="R44" s="196"/>
      <c r="S44" s="198"/>
    </row>
    <row r="45" spans="1:19" x14ac:dyDescent="0.25">
      <c r="A45" s="194" t="s">
        <v>531</v>
      </c>
      <c r="B45" s="195">
        <f>资产资本表!E17</f>
        <v>359724222.34000003</v>
      </c>
      <c r="C45" s="196"/>
      <c r="D45" s="196"/>
      <c r="E45" s="196"/>
      <c r="F45" s="196"/>
      <c r="G45" s="196"/>
      <c r="H45" s="196"/>
      <c r="I45" s="196"/>
      <c r="J45" s="196"/>
      <c r="K45" s="196"/>
      <c r="L45" s="196"/>
      <c r="M45" s="196"/>
      <c r="N45" s="196"/>
      <c r="O45" s="196"/>
      <c r="P45" s="196"/>
      <c r="Q45" s="196"/>
      <c r="R45" s="196"/>
      <c r="S45" s="198"/>
    </row>
    <row r="46" spans="1:19" x14ac:dyDescent="0.25">
      <c r="A46" s="194" t="s">
        <v>532</v>
      </c>
      <c r="B46" s="195">
        <f>资产资本表!E19</f>
        <v>33000000</v>
      </c>
      <c r="C46" s="196"/>
      <c r="D46" s="196"/>
      <c r="E46" s="196"/>
      <c r="F46" s="196"/>
      <c r="G46" s="196"/>
      <c r="H46" s="196"/>
      <c r="I46" s="196"/>
      <c r="J46" s="196"/>
      <c r="K46" s="196"/>
      <c r="L46" s="196"/>
      <c r="M46" s="196"/>
      <c r="N46" s="196"/>
      <c r="O46" s="196"/>
      <c r="P46" s="196"/>
      <c r="Q46" s="196"/>
      <c r="R46" s="196"/>
      <c r="S46" s="198"/>
    </row>
    <row r="47" spans="1:19" x14ac:dyDescent="0.25">
      <c r="A47" s="194" t="s">
        <v>533</v>
      </c>
      <c r="B47" s="195">
        <f>资产资本表!E89</f>
        <v>0</v>
      </c>
      <c r="C47" s="196"/>
      <c r="D47" s="196"/>
      <c r="E47" s="196"/>
      <c r="F47" s="196"/>
      <c r="G47" s="196"/>
      <c r="H47" s="196"/>
      <c r="I47" s="196"/>
      <c r="J47" s="196"/>
      <c r="K47" s="196"/>
      <c r="L47" s="196"/>
      <c r="M47" s="196"/>
      <c r="N47" s="196"/>
      <c r="O47" s="196"/>
      <c r="P47" s="196"/>
      <c r="Q47" s="196"/>
      <c r="R47" s="196"/>
      <c r="S47" s="198"/>
    </row>
    <row r="48" spans="1:19" x14ac:dyDescent="0.25">
      <c r="A48" s="199" t="s">
        <v>534</v>
      </c>
      <c r="B48" s="195">
        <f>B44+B45+B46-B47</f>
        <v>5527719328.073122</v>
      </c>
      <c r="C48" s="196"/>
      <c r="D48" s="196"/>
      <c r="E48" s="196"/>
      <c r="F48" s="196"/>
      <c r="G48" s="196"/>
      <c r="H48" s="196"/>
      <c r="I48" s="196"/>
      <c r="J48" s="196"/>
      <c r="K48" s="196"/>
      <c r="L48" s="196"/>
      <c r="M48" s="196"/>
      <c r="N48" s="196"/>
      <c r="O48" s="196"/>
      <c r="P48" s="196"/>
      <c r="Q48" s="196"/>
      <c r="R48" s="196"/>
      <c r="S48" s="198"/>
    </row>
    <row r="49" spans="1:74" x14ac:dyDescent="0.25">
      <c r="A49" s="194" t="s">
        <v>535</v>
      </c>
      <c r="B49" s="197">
        <f>资产资本表!E103/资产资本表!E107</f>
        <v>5.992465806018122E-2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536</v>
      </c>
      <c r="B50" s="195">
        <f>B48*(1-B49)</f>
        <v>5196472637.4856853</v>
      </c>
      <c r="C50" s="304" t="s">
        <v>542</v>
      </c>
      <c r="D50" s="305"/>
      <c r="E50" s="306"/>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538</v>
      </c>
      <c r="B51" s="209">
        <f>B55</f>
        <v>220000000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537</v>
      </c>
      <c r="B52" s="205">
        <f>B50/B51</f>
        <v>23.620330170389479</v>
      </c>
      <c r="C52" s="206">
        <f>$B$52*(1-C51)</f>
        <v>14.172198102233688</v>
      </c>
      <c r="D52" s="206">
        <f>$B$52*(1-D51)</f>
        <v>16.534231119272636</v>
      </c>
      <c r="E52" s="206">
        <f>$B$52*(1-E51)</f>
        <v>18.896264136311583</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2" customFormat="1" x14ac:dyDescent="0.25">
      <c r="A54" s="193">
        <v>603060</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1" customFormat="1" x14ac:dyDescent="0.25">
      <c r="A55" s="210" t="s">
        <v>549</v>
      </c>
      <c r="B55" s="99">
        <v>220000000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3"/>
      <c r="B56" s="92"/>
    </row>
    <row r="57" spans="1:74" ht="52.8" customHeight="1" x14ac:dyDescent="0.25">
      <c r="A57" s="294" t="s">
        <v>739</v>
      </c>
      <c r="B57" s="295"/>
      <c r="C57" s="295"/>
      <c r="D57" s="295"/>
      <c r="E57" s="295"/>
      <c r="F57" s="295"/>
      <c r="G57" s="295"/>
      <c r="H57" s="295"/>
      <c r="I57" s="295"/>
    </row>
    <row r="60" spans="1:74" s="154" customFormat="1" ht="51" customHeight="1" x14ac:dyDescent="0.25">
      <c r="A60" s="292" t="s">
        <v>607</v>
      </c>
      <c r="B60" s="293"/>
      <c r="C60" s="293"/>
      <c r="D60" s="293"/>
      <c r="E60" s="293"/>
      <c r="F60" s="293"/>
      <c r="G60" s="293"/>
      <c r="H60" s="293"/>
      <c r="I60" s="293"/>
    </row>
    <row r="63" spans="1:74" s="4" customFormat="1" x14ac:dyDescent="0.25">
      <c r="A63" s="176" t="s">
        <v>609</v>
      </c>
      <c r="B63" s="175" t="s">
        <v>610</v>
      </c>
      <c r="C63" s="95" t="s">
        <v>611</v>
      </c>
      <c r="D63" s="95" t="s">
        <v>612</v>
      </c>
      <c r="E63" s="95" t="s">
        <v>627</v>
      </c>
      <c r="F63" s="95" t="s">
        <v>613</v>
      </c>
      <c r="G63" s="95" t="s">
        <v>614</v>
      </c>
      <c r="H63" s="95" t="s">
        <v>623</v>
      </c>
      <c r="I63" s="95" t="s">
        <v>616</v>
      </c>
      <c r="J63" s="95" t="s">
        <v>622</v>
      </c>
      <c r="K63" s="95" t="s">
        <v>618</v>
      </c>
      <c r="L63" s="95" t="s">
        <v>624</v>
      </c>
    </row>
    <row r="64" spans="1:74" s="26" customFormat="1" x14ac:dyDescent="0.25">
      <c r="A64" s="177">
        <f>股权价值增加表!M1</f>
        <v>42369</v>
      </c>
      <c r="B64" s="165">
        <v>42366</v>
      </c>
      <c r="C64" s="164">
        <v>17.39</v>
      </c>
      <c r="D64" s="164">
        <v>3.4</v>
      </c>
      <c r="E64" s="166">
        <f>股权价值增加表!M42/100000000</f>
        <v>1.1274501278</v>
      </c>
      <c r="F64" s="166">
        <v>0</v>
      </c>
      <c r="G64" s="164">
        <v>16.47</v>
      </c>
      <c r="H64" s="166">
        <f>G64*D64</f>
        <v>55.997999999999998</v>
      </c>
      <c r="I64" s="166">
        <f>C64*D64</f>
        <v>59.125999999999998</v>
      </c>
      <c r="J64" s="166">
        <f>H64/E64</f>
        <v>49.667828863764662</v>
      </c>
      <c r="K64" s="166">
        <f>I64/E64</f>
        <v>52.442230961801307</v>
      </c>
      <c r="L64" s="261">
        <v>0</v>
      </c>
    </row>
    <row r="65" spans="1:12" s="26" customFormat="1" x14ac:dyDescent="0.25">
      <c r="A65" s="177">
        <f>股权价值增加表!I1</f>
        <v>42735</v>
      </c>
      <c r="B65" s="165">
        <v>42543</v>
      </c>
      <c r="C65" s="164">
        <v>23.13</v>
      </c>
      <c r="D65" s="164">
        <v>3.64</v>
      </c>
      <c r="E65" s="166">
        <f>股权价值增加表!I42/100000000</f>
        <v>1.2731421850999995</v>
      </c>
      <c r="F65" s="166">
        <f>(E65-E64)/E64*100</f>
        <v>12.922261810754264</v>
      </c>
      <c r="G65" s="164">
        <v>23.11</v>
      </c>
      <c r="H65" s="166">
        <f t="shared" ref="H65:H66" si="8">G65*D65</f>
        <v>84.120400000000004</v>
      </c>
      <c r="I65" s="166">
        <f t="shared" ref="I65:I66" si="9">C65*D65</f>
        <v>84.193200000000004</v>
      </c>
      <c r="J65" s="166">
        <f t="shared" ref="J65:J66" si="10">H65/E65</f>
        <v>66.073060012061987</v>
      </c>
      <c r="K65" s="166">
        <f t="shared" ref="K65:K66" si="11">I65/E65</f>
        <v>66.130241370791595</v>
      </c>
      <c r="L65" s="261">
        <f>K65/F65</f>
        <v>5.1175438432733324</v>
      </c>
    </row>
    <row r="66" spans="1:12" s="26" customFormat="1" x14ac:dyDescent="0.25">
      <c r="A66" s="177">
        <f>股权价值增加表!E1</f>
        <v>43100</v>
      </c>
      <c r="B66" s="165">
        <v>42872</v>
      </c>
      <c r="C66" s="164">
        <v>16.399999999999999</v>
      </c>
      <c r="D66" s="164">
        <v>9.09</v>
      </c>
      <c r="E66" s="166">
        <f>股权价值增加表!E42/100000000</f>
        <v>1.4004010768999999</v>
      </c>
      <c r="F66" s="166">
        <f t="shared" ref="F66" si="12">(E66-E65)/E65*100</f>
        <v>9.9956543180606943</v>
      </c>
      <c r="G66" s="164">
        <v>15.76</v>
      </c>
      <c r="H66" s="166">
        <f t="shared" si="8"/>
        <v>143.25839999999999</v>
      </c>
      <c r="I66" s="166">
        <f t="shared" si="9"/>
        <v>149.07599999999999</v>
      </c>
      <c r="J66" s="166">
        <f t="shared" si="10"/>
        <v>102.2981218474383</v>
      </c>
      <c r="K66" s="166">
        <f t="shared" si="11"/>
        <v>106.45236029809568</v>
      </c>
      <c r="L66" s="261">
        <f t="shared" ref="L66" si="13">K66/F66</f>
        <v>10.649864122026683</v>
      </c>
    </row>
    <row r="67" spans="1:12" s="26" customFormat="1" x14ac:dyDescent="0.25">
      <c r="A67" s="160"/>
      <c r="B67" s="161"/>
      <c r="C67" s="82"/>
      <c r="D67" s="82"/>
      <c r="E67" s="82"/>
      <c r="F67" s="163"/>
      <c r="G67" s="82"/>
      <c r="H67" s="163"/>
      <c r="I67" s="163"/>
      <c r="J67" s="163"/>
      <c r="K67" s="163"/>
      <c r="L67" s="262"/>
    </row>
    <row r="68" spans="1:12" s="155" customFormat="1" ht="15" thickBot="1" x14ac:dyDescent="0.3">
      <c r="A68" s="162" t="s">
        <v>621</v>
      </c>
      <c r="B68" s="44" t="s">
        <v>610</v>
      </c>
      <c r="C68" s="44" t="s">
        <v>611</v>
      </c>
      <c r="D68" s="44" t="s">
        <v>612</v>
      </c>
      <c r="E68" s="44" t="s">
        <v>620</v>
      </c>
      <c r="F68" s="44" t="s">
        <v>613</v>
      </c>
      <c r="G68" s="44" t="s">
        <v>614</v>
      </c>
      <c r="H68" s="44" t="s">
        <v>615</v>
      </c>
      <c r="I68" s="44" t="s">
        <v>616</v>
      </c>
      <c r="J68" s="44" t="s">
        <v>617</v>
      </c>
      <c r="K68" s="44" t="s">
        <v>618</v>
      </c>
      <c r="L68" s="263" t="s">
        <v>619</v>
      </c>
    </row>
    <row r="69" spans="1:12" s="26" customFormat="1" ht="15" thickBot="1" x14ac:dyDescent="0.3">
      <c r="A69" s="167" t="s">
        <v>626</v>
      </c>
      <c r="B69" s="168">
        <v>43305</v>
      </c>
      <c r="C69" s="169">
        <v>11.65</v>
      </c>
      <c r="D69" s="169">
        <v>9.09</v>
      </c>
      <c r="E69" s="169">
        <v>4.33</v>
      </c>
      <c r="F69" s="170">
        <f>(E69-E66)/E66*100</f>
        <v>209.19713440845902</v>
      </c>
      <c r="G69" s="169">
        <v>10.119999999999999</v>
      </c>
      <c r="H69" s="170">
        <f>G69*D69</f>
        <v>91.990799999999993</v>
      </c>
      <c r="I69" s="170">
        <f>C69*D69</f>
        <v>105.8985</v>
      </c>
      <c r="J69" s="170">
        <f>H69/E69</f>
        <v>21.244988452655885</v>
      </c>
      <c r="K69" s="170">
        <f>I69/E69</f>
        <v>24.456928406466513</v>
      </c>
      <c r="L69" s="264">
        <f>K69/F69</f>
        <v>0.11690852494525174</v>
      </c>
    </row>
    <row r="70" spans="1:12" s="26" customFormat="1" ht="15" thickBot="1" x14ac:dyDescent="0.3">
      <c r="A70" s="171" t="s">
        <v>625</v>
      </c>
      <c r="B70" s="172">
        <v>43305</v>
      </c>
      <c r="C70" s="173">
        <v>11.65</v>
      </c>
      <c r="D70" s="173">
        <v>9.09</v>
      </c>
      <c r="E70" s="173">
        <v>3.86</v>
      </c>
      <c r="F70" s="174">
        <f>(E70-E66)/E66*100</f>
        <v>175.63532074287568</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0.1562034586411534</v>
      </c>
    </row>
    <row r="71" spans="1:12" s="87" customFormat="1" ht="138" customHeight="1" x14ac:dyDescent="0.25">
      <c r="A71" s="290" t="s">
        <v>628</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2019-02-15T14:55:57Z</dcterms:modified>
</cp:coreProperties>
</file>