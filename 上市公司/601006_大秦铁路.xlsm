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1713DD3-F4AB-4A61-A360-2467ADB5A775}"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Y26" i="12" s="1"/>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C26" i="12" s="1"/>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<sst xmlns="http://schemas.openxmlformats.org/spreadsheetml/2006/main" count="959" uniqueCount="753">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</sst>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0.27843264130626494</c:v>
                </c:pt>
                <c:pt idx="1">
                  <c:v>0.17194064863383765</c:v>
                </c:pt>
                <c:pt idx="2">
                  <c:v>0.2960687268260197</c:v>
                </c:pt>
                <c:pt idx="3">
                  <c:v>0.37493083525372017</c:v>
                </c:pt>
                <c:pt idx="4">
                  <c:v>0.37076229669368821</c:v>
                </c:pt>
                <c:pt idx="5">
                  <c:v>0.38383124429199017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0.19910291356149745</c:v>
                </c:pt>
                <c:pt idx="1">
                  <c:v>0.11878323473944728</c:v>
                </c:pt>
                <c:pt idx="2">
                  <c:v>0.21235600993635034</c:v>
                </c:pt>
                <c:pt idx="3">
                  <c:v>0.23076679193194005</c:v>
                </c:pt>
                <c:pt idx="4">
                  <c:v>0.21562034401755284</c:v>
                </c:pt>
                <c:pt idx="5">
                  <c:v>0.22931213860237881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0.3130487357680567</c:v>
                </c:pt>
                <c:pt idx="1">
                  <c:v>0.20617322943807187</c:v>
                </c:pt>
                <c:pt idx="2">
                  <c:v>0.31639610521843692</c:v>
                </c:pt>
                <c:pt idx="3">
                  <c:v>0.33756462749876326</c:v>
                </c:pt>
                <c:pt idx="4">
                  <c:v>0.32781537990519755</c:v>
                </c:pt>
                <c:pt idx="5">
                  <c:v>0.33859554848655338</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0.25505077442791879</c:v>
                </c:pt>
                <c:pt idx="1">
                  <c:v>0.1771285189472305</c:v>
                </c:pt>
                <c:pt idx="2">
                  <c:v>0.2529224201401144</c:v>
                </c:pt>
                <c:pt idx="3">
                  <c:v>0.27127768937566504</c:v>
                </c:pt>
                <c:pt idx="4">
                  <c:v>0.26953680593711565</c:v>
                </c:pt>
                <c:pt idx="5">
                  <c:v>0.2742886390553495</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0.29630811291360482</c:v>
                </c:pt>
                <c:pt idx="1">
                  <c:v>0.19357100099115099</c:v>
                </c:pt>
                <c:pt idx="2">
                  <c:v>0.30815867840628169</c:v>
                </c:pt>
                <c:pt idx="3">
                  <c:v>0.32442492809728357</c:v>
                </c:pt>
                <c:pt idx="4">
                  <c:v>0.31114411057640406</c:v>
                </c:pt>
                <c:pt idx="5">
                  <c:v>0.3178527760432896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0.22981592896059572</c:v>
                </c:pt>
                <c:pt idx="1">
                  <c:v>0.15524298380574697</c:v>
                </c:pt>
                <c:pt idx="2">
                  <c:v>0.23771409451425696</c:v>
                </c:pt>
                <c:pt idx="3">
                  <c:v>0.25252919048391004</c:v>
                </c:pt>
                <c:pt idx="4">
                  <c:v>0.24539438015380374</c:v>
                </c:pt>
                <c:pt idx="5">
                  <c:v>0.24826937077341893</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16797782595</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8787932307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16355443287</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18069342303</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16070776807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14701143647</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4713279471.04</c:v>
                </c:pt>
                <c:pt idx="1">
                  <c:v>-398249289.23999977</c:v>
                </c:pt>
                <c:pt idx="2">
                  <c:v>5238601574.1999998</c:v>
                </c:pt>
                <c:pt idx="3">
                  <c:v>6909365536.3599997</c:v>
                </c:pt>
                <c:pt idx="4">
                  <c:v>6417764335.7200003</c:v>
                </c:pt>
                <c:pt idx="5">
                  <c:v>5783320382.4799995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100910929137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91574360128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90610559210</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83997741533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77268192991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70346819619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101,307,937,990.00 </c:v>
                </c:pt>
                <c:pt idx="5">
                  <c:v>99,081,297,504.00 </c:v>
                </c:pt>
                <c:pt idx="6">
                  <c:v>97,367,642,262.00 </c:v>
                </c:pt>
                <c:pt idx="7">
                  <c:v>98,663,516,773.00 </c:v>
                </c:pt>
                <c:pt idx="8">
                  <c:v>98,614,062,189.00 </c:v>
                </c:pt>
                <c:pt idx="9">
                  <c:v>90,001,302,330.00 </c:v>
                </c:pt>
                <c:pt idx="10">
                  <c:v>89,089,118,508.00 </c:v>
                </c:pt>
                <c:pt idx="11">
                  <c:v>89,254,828,108.00 </c:v>
                </c:pt>
                <c:pt idx="12">
                  <c:v>89,818,951,854.00 </c:v>
                </c:pt>
                <c:pt idx="13">
                  <c:v>89,256,381,429.00 </c:v>
                </c:pt>
                <c:pt idx="14">
                  <c:v>88,939,548,020.00 </c:v>
                </c:pt>
                <c:pt idx="15">
                  <c:v>88,946,610,761.00 </c:v>
                </c:pt>
                <c:pt idx="16">
                  <c:v>89,361,069,473.00 </c:v>
                </c:pt>
                <c:pt idx="17">
                  <c:v>87,086,000,452.00 </c:v>
                </c:pt>
                <c:pt idx="18">
                  <c:v>86,545,013,930.00 </c:v>
                </c:pt>
                <c:pt idx="19">
                  <c:v>86,536,255,799.00 </c:v>
                </c:pt>
                <c:pt idx="20">
                  <c:v>86,878,460,080.00 </c:v>
                </c:pt>
              </c:strCache>
            </c:strRef>
          </c:tx>
          <c:invertIfNegative val="0"/>
          <c:cat>
            <c:numRef>
              <c:f>投资和筹资活动现金流表!$E$12</c:f>
              <c:numCache>
                <c:formatCode>#,##0.00_ </c:formatCode>
                <c:ptCount val="1"/>
                <c:pt idx="0">
                  <c:v>101307937990</c:v>
                </c:pt>
              </c:numCache>
            </c:numRef>
          </c:cat>
          <c:val>
            <c:numRef>
              <c:f>投资和筹资活动现金流表!$E$12:$U$12</c:f>
              <c:numCache>
                <c:formatCode>#,##0.00_ </c:formatCode>
                <c:ptCount val="5"/>
                <c:pt idx="0">
                  <c:v>101307937990</c:v>
                </c:pt>
                <c:pt idx="1">
                  <c:v>98614062189</c:v>
                </c:pt>
                <c:pt idx="2">
                  <c:v>89818951854</c:v>
                </c:pt>
                <c:pt idx="3">
                  <c:v>89361069473</c:v>
                </c:pt>
                <c:pt idx="4">
                  <c:v>86878460080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-1.2526010924487083E-2</c:v>
                </c:pt>
                <c:pt idx="1">
                  <c:v>-2.2447831504571424E-2</c:v>
                </c:pt>
                <c:pt idx="2">
                  <c:v>5.1404574922061744E-3</c:v>
                </c:pt>
                <c:pt idx="3">
                  <c:v>5.0789116745870036E-3</c:v>
                </c:pt>
                <c:pt idx="4">
                  <c:v>-2.3742723318306773E-3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4.0166679292151706</c:v>
                </c:pt>
                <c:pt idx="1">
                  <c:v>1.343552768654211</c:v>
                </c:pt>
                <c:pt idx="2">
                  <c:v>1.918754754743613</c:v>
                </c:pt>
                <c:pt idx="3">
                  <c:v>3.1677814265727418</c:v>
                </c:pt>
                <c:pt idx="4">
                  <c:v>3.1355146978494877</c:v>
                </c:pt>
                <c:pt idx="5">
                  <c:v>3.2951554155235985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4355251817</c:v>
                </c:pt>
                <c:pt idx="1">
                  <c:v>3071823825</c:v>
                </c:pt>
                <c:pt idx="2">
                  <c:v>5778829079</c:v>
                </c:pt>
                <c:pt idx="3">
                  <c:v>5465411999</c:v>
                </c:pt>
                <c:pt idx="4">
                  <c:v>4718988780</c:v>
                </c:pt>
                <c:pt idx="5">
                  <c:v>3919668775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1598361187</c:v>
                </c:pt>
                <c:pt idx="2">
                  <c:v>1578886257</c:v>
                </c:pt>
                <c:pt idx="3">
                  <c:v>0</c:v>
                </c:pt>
                <c:pt idx="4">
                  <c:v>-11681867</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17493600297</c:v>
                </c:pt>
                <c:pt idx="1">
                  <c:v>6274640003</c:v>
                </c:pt>
                <c:pt idx="2">
                  <c:v>14117651285</c:v>
                </c:pt>
                <c:pt idx="3">
                  <c:v>17313230619</c:v>
                </c:pt>
                <c:pt idx="4">
                  <c:v>14759830013</c:v>
                </c:pt>
                <c:pt idx="5">
                  <c:v>12915917791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-15179582495</c:v>
                </c:pt>
                <c:pt idx="1">
                  <c:v>134835227</c:v>
                </c:pt>
                <c:pt idx="2">
                  <c:v>-10099708997</c:v>
                </c:pt>
                <c:pt idx="3">
                  <c:v>-12288488568</c:v>
                </c:pt>
                <c:pt idx="4">
                  <c:v>-10314350133</c:v>
                </c:pt>
                <c:pt idx="5">
                  <c:v>-7198239431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-3705297872.75</c:v>
                </c:pt>
                <c:pt idx="1">
                  <c:v>-6685156170.9499998</c:v>
                </c:pt>
                <c:pt idx="2">
                  <c:v>-7133217916</c:v>
                </c:pt>
                <c:pt idx="3">
                  <c:v>-6392720341</c:v>
                </c:pt>
                <c:pt idx="4">
                  <c:v>-5797748682</c:v>
                </c:pt>
                <c:pt idx="5">
                  <c:v>-5648048682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-11691001679</c:v>
                </c:pt>
                <c:pt idx="1">
                  <c:v>6361039821</c:v>
                </c:pt>
                <c:pt idx="2">
                  <c:v>-2928684778</c:v>
                </c:pt>
                <c:pt idx="3">
                  <c:v>-6043193435</c:v>
                </c:pt>
                <c:pt idx="4">
                  <c:v>-4128022108</c:v>
                </c:pt>
                <c:pt idx="5">
                  <c:v>-2001520716</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300000000</c:v>
                </c:pt>
                <c:pt idx="1">
                  <c:v>160000000</c:v>
                </c:pt>
                <c:pt idx="2">
                  <c:v>716520000</c:v>
                </c:pt>
                <c:pt idx="3">
                  <c:v>332634000</c:v>
                </c:pt>
                <c:pt idx="4">
                  <c:v>685845000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10967000000</c:v>
                </c:pt>
                <c:pt idx="2">
                  <c:v>3988000000</c:v>
                </c:pt>
                <c:pt idx="3">
                  <c:v>1995500000</c:v>
                </c:pt>
                <c:pt idx="4">
                  <c:v>0</c:v>
                </c:pt>
                <c:pt idx="5">
                  <c:v>4980000000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3000000</c:v>
                </c:pt>
                <c:pt idx="2">
                  <c:v>117000000</c:v>
                </c:pt>
                <c:pt idx="3">
                  <c:v>199000000</c:v>
                </c:pt>
                <c:pt idx="4">
                  <c:v>245000000</c:v>
                </c:pt>
                <c:pt idx="5">
                  <c:v>14700000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820368933</c:v>
                </c:pt>
                <c:pt idx="1">
                  <c:v>583731376</c:v>
                </c:pt>
                <c:pt idx="2">
                  <c:v>616993849</c:v>
                </c:pt>
                <c:pt idx="3">
                  <c:v>849303919</c:v>
                </c:pt>
                <c:pt idx="4">
                  <c:v>775538341</c:v>
                </c:pt>
                <c:pt idx="5">
                  <c:v>861517428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7462160520</c:v>
                </c:pt>
                <c:pt idx="1">
                  <c:v>7475761803</c:v>
                </c:pt>
                <c:pt idx="2">
                  <c:v>5635809929</c:v>
                </c:pt>
                <c:pt idx="3">
                  <c:v>6033261362</c:v>
                </c:pt>
                <c:pt idx="4">
                  <c:v>14515573981</c:v>
                </c:pt>
                <c:pt idx="5">
                  <c:v>17818579992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100910929137</c:v>
                </c:pt>
                <c:pt idx="1">
                  <c:v>91574360128</c:v>
                </c:pt>
                <c:pt idx="2">
                  <c:v>90610559210</c:v>
                </c:pt>
                <c:pt idx="3">
                  <c:v>83997741533</c:v>
                </c:pt>
                <c:pt idx="4">
                  <c:v>77268192991</c:v>
                </c:pt>
                <c:pt idx="5">
                  <c:v>70346819619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108373251453</c:v>
                </c:pt>
                <c:pt idx="1">
                  <c:v>99055398580</c:v>
                </c:pt>
                <c:pt idx="2">
                  <c:v>96251645788</c:v>
                </c:pt>
                <c:pt idx="3">
                  <c:v>90036252055</c:v>
                </c:pt>
                <c:pt idx="4">
                  <c:v>91789188650</c:v>
                </c:pt>
                <c:pt idx="5">
                  <c:v>88165399611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8.0357202858139798E-2</c:v>
                </c:pt>
                <c:pt idx="1">
                  <c:v>7.9347458260210002E-2</c:v>
                </c:pt>
                <c:pt idx="2">
                  <c:v>8.0087812886600648E-2</c:v>
                </c:pt>
                <c:pt idx="3">
                  <c:v>7.8946191801558235E-2</c:v>
                </c:pt>
                <c:pt idx="4">
                  <c:v>7.332702603234853E-2</c:v>
                </c:pt>
                <c:pt idx="5">
                  <c:v>7.1265615522004444E-2</c:v>
                </c:pt>
                <c:pt idx="6">
                  <c:v>7.0048025088883664E-2</c:v>
                </c:pt>
                <c:pt idx="7">
                  <c:v>6.5937994407152062E-2</c:v>
                </c:pt>
                <c:pt idx="8">
                  <c:v>7.1756601373410459E-2</c:v>
                </c:pt>
                <c:pt idx="9">
                  <c:v>0.08</c:v>
                </c:pt>
                <c:pt idx="10">
                  <c:v>8.1129364103242368E-2</c:v>
                </c:pt>
                <c:pt idx="11">
                  <c:v>7.9981477336392437E-2</c:v>
                </c:pt>
                <c:pt idx="12">
                  <c:v>7.9990793154975148E-2</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4.7961033582930121E-2</c:v>
                </c:pt>
                <c:pt idx="1">
                  <c:v>0.3195996329311705</c:v>
                </c:pt>
                <c:pt idx="2">
                  <c:v>-0.13148461328962832</c:v>
                </c:pt>
                <c:pt idx="3">
                  <c:v>0.12608715650046784</c:v>
                </c:pt>
                <c:pt idx="4">
                  <c:v>0.11362769237264861</c:v>
                </c:pt>
                <c:pt idx="5">
                  <c:v>0.53569004458333036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3.7514333061847836E-2</c:v>
                </c:pt>
                <c:pt idx="1">
                  <c:v>4.9358979209806628E-2</c:v>
                </c:pt>
                <c:pt idx="2">
                  <c:v>3.890144179395242E-2</c:v>
                </c:pt>
                <c:pt idx="3">
                  <c:v>6.3762214437265999E-2</c:v>
                </c:pt>
                <c:pt idx="4">
                  <c:v>0.11144248625178607</c:v>
                </c:pt>
                <c:pt idx="5">
                  <c:v>5.7108889748182741E-2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-0.31731722374600102</c:v>
                </c:pt>
                <c:pt idx="1">
                  <c:v>0.24837851436153513</c:v>
                </c:pt>
                <c:pt idx="2">
                  <c:v>9.8482127860116925E-2</c:v>
                </c:pt>
                <c:pt idx="3">
                  <c:v>0.45656114000738701</c:v>
                </c:pt>
                <c:pt idx="4">
                  <c:v>-1.5042079527452698E-2</c:v>
                </c:pt>
                <c:pt idx="5">
                  <c:v>-0.17660824411955417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-3.1165433565602918E-2</c:v>
                </c:pt>
                <c:pt idx="1">
                  <c:v>0.50790351284570023</c:v>
                </c:pt>
                <c:pt idx="2">
                  <c:v>0.17418051010681648</c:v>
                </c:pt>
                <c:pt idx="3">
                  <c:v>0.14388947893448856</c:v>
                </c:pt>
                <c:pt idx="4">
                  <c:v>1.3401751235723548E-2</c:v>
                </c:pt>
                <c:pt idx="5">
                  <c:v>0.43791750178996086</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-0.20937157095585987</c:v>
                </c:pt>
                <c:pt idx="1">
                  <c:v>0.33505760342418339</c:v>
                </c:pt>
                <c:pt idx="2">
                  <c:v>0.12265528057523409</c:v>
                </c:pt>
                <c:pt idx="3">
                  <c:v>0.33962855541416742</c:v>
                </c:pt>
                <c:pt idx="4">
                  <c:v>-4.5935806356646501E-3</c:v>
                </c:pt>
                <c:pt idx="5">
                  <c:v>-2.327168821865859E-2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3.8349364427955619E-2</c:v>
                </c:pt>
                <c:pt idx="1">
                  <c:v>2.2215432702649945E-2</c:v>
                </c:pt>
                <c:pt idx="2">
                  <c:v>0.11244117264902288</c:v>
                </c:pt>
                <c:pt idx="3">
                  <c:v>-8.3254369245178411E-3</c:v>
                </c:pt>
                <c:pt idx="4">
                  <c:v>1.1281970359471698E-2</c:v>
                </c:pt>
                <c:pt idx="5">
                  <c:v>1.3293595999044333E-2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-0.30394021359580775</c:v>
                </c:pt>
                <c:pt idx="1">
                  <c:v>4.1805324700905802</c:v>
                </c:pt>
                <c:pt idx="2">
                  <c:v>-0.99092747230652523</c:v>
                </c:pt>
                <c:pt idx="3">
                  <c:v>-0.33350350287864805</c:v>
                </c:pt>
                <c:pt idx="4">
                  <c:v>0.8307044934011395</c:v>
                </c:pt>
                <c:pt idx="5">
                  <c:v>-0.3260360346105014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8.0265695832216818E-3</c:v>
                </c:pt>
                <c:pt idx="1">
                  <c:v>0.29507611981254561</c:v>
                </c:pt>
                <c:pt idx="2">
                  <c:v>4.517005681554636</c:v>
                </c:pt>
                <c:pt idx="3">
                  <c:v>-0.85490754068196395</c:v>
                </c:pt>
                <c:pt idx="4">
                  <c:v>-0.49040517409653051</c:v>
                </c:pt>
                <c:pt idx="5">
                  <c:v>8.20103811729542E-2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0.1253538148653926</c:v>
                </c:pt>
                <c:pt idx="1">
                  <c:v>0.13086887658657484</c:v>
                </c:pt>
                <c:pt idx="2">
                  <c:v>0.10206202337191354</c:v>
                </c:pt>
                <c:pt idx="3">
                  <c:v>0.12562538708397816</c:v>
                </c:pt>
                <c:pt idx="4">
                  <c:v>0.10942871137362428</c:v>
                </c:pt>
                <c:pt idx="5">
                  <c:v>0.10230211532863825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0.18509949183078331</c:v>
                </c:pt>
                <c:pt idx="1">
                  <c:v>0.1951888812741982</c:v>
                </c:pt>
                <c:pt idx="2">
                  <c:v>0.19142602336984779</c:v>
                </c:pt>
                <c:pt idx="3">
                  <c:v>0.19697784616985409</c:v>
                </c:pt>
                <c:pt idx="4">
                  <c:v>0.18163465019363148</c:v>
                </c:pt>
                <c:pt idx="5">
                  <c:v>0.17013946324957693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0.78537773978215242</c:v>
                </c:pt>
                <c:pt idx="1">
                  <c:v>0.82752103097943031</c:v>
                </c:pt>
                <c:pt idx="2">
                  <c:v>0.83311814293150943</c:v>
                </c:pt>
                <c:pt idx="3">
                  <c:v>0.80060867930138324</c:v>
                </c:pt>
                <c:pt idx="4">
                  <c:v>0.79191213442543051</c:v>
                </c:pt>
                <c:pt idx="5">
                  <c:v>0.81526365932823497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2.2008317907371951E-2</c:v>
                </c:pt>
                <c:pt idx="1">
                  <c:v>3.1560904322194598E-2</c:v>
                </c:pt>
                <c:pt idx="2">
                  <c:v>8.0811683810779553E-3</c:v>
                </c:pt>
                <c:pt idx="3">
                  <c:v>0.8320512009670169</c:v>
                </c:pt>
                <c:pt idx="4">
                  <c:v>0.51888379349371871</c:v>
                </c:pt>
                <c:pt idx="5">
                  <c:v>0.23089417752969954</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0.9779916820926281</c:v>
                </c:pt>
                <c:pt idx="1">
                  <c:v>0.96843909567780539</c:v>
                </c:pt>
                <c:pt idx="2">
                  <c:v>0.99191883161892203</c:v>
                </c:pt>
                <c:pt idx="3">
                  <c:v>0.16794879903298313</c:v>
                </c:pt>
                <c:pt idx="4">
                  <c:v>0.48111620650628134</c:v>
                </c:pt>
                <c:pt idx="5">
                  <c:v>0.76910582247030046</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-0.29225769996452783</c:v>
                </c:pt>
                <c:pt idx="1">
                  <c:v>0.16338082948262558</c:v>
                </c:pt>
                <c:pt idx="2">
                  <c:v>0.19759967465229022</c:v>
                </c:pt>
                <c:pt idx="3">
                  <c:v>0.43292606994858207</c:v>
                </c:pt>
                <c:pt idx="4">
                  <c:v>0.67011647460989077</c:v>
                </c:pt>
                <c:pt idx="5">
                  <c:v>0.36563106582334032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13585000499</c:v>
                </c:pt>
                <c:pt idx="1">
                  <c:v>12963268732</c:v>
                </c:pt>
                <c:pt idx="2">
                  <c:v>9823637722</c:v>
                </c:pt>
                <c:pt idx="3">
                  <c:v>11310839016</c:v>
                </c:pt>
                <c:pt idx="4">
                  <c:v>10044372632</c:v>
                </c:pt>
                <c:pt idx="5">
                  <c:v>9019506879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20059833772</c:v>
                </c:pt>
                <c:pt idx="1">
                  <c:v>19334512433</c:v>
                </c:pt>
                <c:pt idx="2">
                  <c:v>18425069796</c:v>
                </c:pt>
                <c:pt idx="3">
                  <c:v>17735147007</c:v>
                </c:pt>
                <c:pt idx="4">
                  <c:v>16672097172</c:v>
                </c:pt>
                <c:pt idx="5">
                  <c:v>15000413767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85113939279</c:v>
                </c:pt>
                <c:pt idx="1">
                  <c:v>81970425557</c:v>
                </c:pt>
                <c:pt idx="2">
                  <c:v>80188992393</c:v>
                </c:pt>
                <c:pt idx="3">
                  <c:v>72083804847</c:v>
                </c:pt>
                <c:pt idx="4">
                  <c:v>72688972301</c:v>
                </c:pt>
                <c:pt idx="5">
                  <c:v>71878046313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108373251453</c:v>
                </c:pt>
                <c:pt idx="1">
                  <c:v>99055398580</c:v>
                </c:pt>
                <c:pt idx="2">
                  <c:v>96251645788</c:v>
                </c:pt>
                <c:pt idx="3">
                  <c:v>90036252055</c:v>
                </c:pt>
                <c:pt idx="4">
                  <c:v>91789188650</c:v>
                </c:pt>
                <c:pt idx="5">
                  <c:v>88165399611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164229601</c:v>
                </c:pt>
                <c:pt idx="1">
                  <c:v>235941803</c:v>
                </c:pt>
                <c:pt idx="2">
                  <c:v>45543929</c:v>
                </c:pt>
                <c:pt idx="3">
                  <c:v>5019982362</c:v>
                </c:pt>
                <c:pt idx="4">
                  <c:v>7531896092</c:v>
                </c:pt>
                <c:pt idx="5">
                  <c:v>4114206372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7297930919</c:v>
                </c:pt>
                <c:pt idx="1">
                  <c:v>7239820000</c:v>
                </c:pt>
                <c:pt idx="2">
                  <c:v>5590266000</c:v>
                </c:pt>
                <c:pt idx="3">
                  <c:v>1013279000</c:v>
                </c:pt>
                <c:pt idx="4">
                  <c:v>6983677889</c:v>
                </c:pt>
                <c:pt idx="5">
                  <c:v>13704373620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13420770898</c:v>
                </c:pt>
                <c:pt idx="1">
                  <c:v>12727326929</c:v>
                </c:pt>
                <c:pt idx="2">
                  <c:v>9778093793</c:v>
                </c:pt>
                <c:pt idx="3">
                  <c:v>6290856654</c:v>
                </c:pt>
                <c:pt idx="4">
                  <c:v>2512476540</c:v>
                </c:pt>
                <c:pt idx="5">
                  <c:v>4905300507</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-13420770898</c:v>
                </c:pt>
                <c:pt idx="1">
                  <c:v>-12727326929</c:v>
                </c:pt>
                <c:pt idx="2">
                  <c:v>-9778093793</c:v>
                </c:pt>
                <c:pt idx="3">
                  <c:v>-6290856654</c:v>
                </c:pt>
                <c:pt idx="4">
                  <c:v>-2512476540</c:v>
                </c:pt>
                <c:pt idx="5">
                  <c:v>-4905300507</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0.72156735869373501</c:v>
                </c:pt>
                <c:pt idx="1">
                  <c:v>0.82805935136616238</c:v>
                </c:pt>
                <c:pt idx="2">
                  <c:v>0.7039312731739803</c:v>
                </c:pt>
                <c:pt idx="3">
                  <c:v>0.62506916474627983</c:v>
                </c:pt>
                <c:pt idx="4">
                  <c:v>0.62923770330631179</c:v>
                </c:pt>
                <c:pt idx="5">
                  <c:v>0.61616875570800977</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0.27843264130626494</c:v>
                </c:pt>
                <c:pt idx="1">
                  <c:v>0.17194064863383765</c:v>
                </c:pt>
                <c:pt idx="2">
                  <c:v>0.2960687268260197</c:v>
                </c:pt>
                <c:pt idx="3">
                  <c:v>0.37493083525372017</c:v>
                </c:pt>
                <c:pt idx="4">
                  <c:v>0.37076229669368821</c:v>
                </c:pt>
                <c:pt idx="5">
                  <c:v>0.38383124429199017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4.0320186976905191E-3</c:v>
                </c:pt>
                <c:pt idx="1">
                  <c:v>4.1605884219352131E-3</c:v>
                </c:pt>
                <c:pt idx="2">
                  <c:v>3.7890049665423443E-3</c:v>
                </c:pt>
                <c:pt idx="3">
                  <c:v>4.0695175579771739E-3</c:v>
                </c:pt>
                <c:pt idx="4">
                  <c:v>2.9797578860064424E-2</c:v>
                </c:pt>
                <c:pt idx="5">
                  <c:v>2.9553443020416674E-2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3.463265517300365E-3</c:v>
                </c:pt>
                <c:pt idx="1">
                  <c:v>4.3139515906910073E-3</c:v>
                </c:pt>
                <c:pt idx="2">
                  <c:v>3.9963111085144602E-3</c:v>
                </c:pt>
                <c:pt idx="3">
                  <c:v>3.3293634837180783E-3</c:v>
                </c:pt>
                <c:pt idx="4">
                  <c:v>3.6786833589270125E-3</c:v>
                </c:pt>
                <c:pt idx="5">
                  <c:v>0</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1.0023345315632126E-2</c:v>
                </c:pt>
                <c:pt idx="1">
                  <c:v>1.1689674216796895E-2</c:v>
                </c:pt>
                <c:pt idx="2">
                  <c:v>1.1173597335915109E-2</c:v>
                </c:pt>
                <c:pt idx="3">
                  <c:v>6.9199643065308639E-2</c:v>
                </c:pt>
                <c:pt idx="4">
                  <c:v>6.1394435253940963E-2</c:v>
                </c:pt>
                <c:pt idx="5">
                  <c:v>5.8782819365122127E-2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5.8684763295645964E-4</c:v>
                </c:pt>
                <c:pt idx="1">
                  <c:v>7.6755119589667724E-5</c:v>
                </c:pt>
                <c:pt idx="2">
                  <c:v>0</c:v>
                </c:pt>
                <c:pt idx="3">
                  <c:v>9.1658626127129577E-5</c:v>
                </c:pt>
                <c:pt idx="4">
                  <c:v>-4.8073593583061618E-6</c:v>
                </c:pt>
                <c:pt idx="5">
                  <c:v>6.1746722462207197E-6</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2.2246762692606007E-4</c:v>
                </c:pt>
                <c:pt idx="1">
                  <c:v>8.036179595609143E-4</c:v>
                </c:pt>
                <c:pt idx="2">
                  <c:v>2.9225165672263395E-4</c:v>
                </c:pt>
                <c:pt idx="3">
                  <c:v>1.3850879808192213E-4</c:v>
                </c:pt>
                <c:pt idx="4">
                  <c:v>9.7107011287770432E-5</c:v>
                </c:pt>
                <c:pt idx="5">
                  <c:v>9.3220356443328336E-5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-3.3957344354011167E-3</c:v>
                </c:pt>
                <c:pt idx="1">
                  <c:v>-2.7863749110139738E-3</c:v>
                </c:pt>
                <c:pt idx="2">
                  <c:v>-1.5316242234255613E-3</c:v>
                </c:pt>
                <c:pt idx="3">
                  <c:v>-1.6354273943978877E-3</c:v>
                </c:pt>
                <c:pt idx="4">
                  <c:v>-2.406729944897136E-3</c:v>
                </c:pt>
                <c:pt idx="5">
                  <c:v>-1.8132589082359761E-3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1.4932210355104414E-2</c:v>
                </c:pt>
                <c:pt idx="1">
                  <c:v>1.8258212397559724E-2</c:v>
                </c:pt>
                <c:pt idx="2">
                  <c:v>1.7719540844268987E-2</c:v>
                </c:pt>
                <c:pt idx="3">
                  <c:v>7.5193264136815055E-2</c:v>
                </c:pt>
                <c:pt idx="4">
                  <c:v>9.2556267179964735E-2</c:v>
                </c:pt>
                <c:pt idx="5">
                  <c:v>8.6622398505992362E-2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0.19910291356149745</c:v>
                </c:pt>
                <c:pt idx="1">
                  <c:v>0.11878323473944728</c:v>
                </c:pt>
                <c:pt idx="2">
                  <c:v>0.21235600993635034</c:v>
                </c:pt>
                <c:pt idx="3">
                  <c:v>0.23076679193194005</c:v>
                </c:pt>
                <c:pt idx="4">
                  <c:v>0.21562034401755284</c:v>
                </c:pt>
                <c:pt idx="5">
                  <c:v>0.22931213860237881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0.82002874552593141</c:v>
                </c:pt>
                <c:pt idx="1">
                  <c:v>0.71837496467376039</c:v>
                </c:pt>
                <c:pt idx="2">
                  <c:v>0.87006740283621609</c:v>
                </c:pt>
                <c:pt idx="3">
                  <c:v>0.87825172478770908</c:v>
                </c:pt>
                <c:pt idx="4">
                  <c:v>0.83398335277311542</c:v>
                </c:pt>
                <c:pt idx="5">
                  <c:v>0.86705903040300869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0.17956522249021453</c:v>
                </c:pt>
                <c:pt idx="1">
                  <c:v>0.29103499006932876</c:v>
                </c:pt>
                <c:pt idx="2">
                  <c:v>0.12533258618093832</c:v>
                </c:pt>
                <c:pt idx="3">
                  <c:v>0.13868190842482192</c:v>
                </c:pt>
                <c:pt idx="4">
                  <c:v>0.15870714685825552</c:v>
                </c:pt>
                <c:pt idx="5">
                  <c:v>0.13244558498009562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4.060319838541087E-4</c:v>
                </c:pt>
                <c:pt idx="1">
                  <c:v>-9.4099547430891248E-3</c:v>
                </c:pt>
                <c:pt idx="2">
                  <c:v>4.6000109828455869E-3</c:v>
                </c:pt>
                <c:pt idx="3">
                  <c:v>-1.6933633212530948E-2</c:v>
                </c:pt>
                <c:pt idx="4">
                  <c:v>7.3095003686290908E-3</c:v>
                </c:pt>
                <c:pt idx="5">
                  <c:v>4.9538461689572577E-4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0.22981592896059572</c:v>
                </c:pt>
                <c:pt idx="1">
                  <c:v>0.15524298380574697</c:v>
                </c:pt>
                <c:pt idx="2">
                  <c:v>0.23771409451425696</c:v>
                </c:pt>
                <c:pt idx="3">
                  <c:v>0.25252919048391004</c:v>
                </c:pt>
                <c:pt idx="4">
                  <c:v>0.24539438015380374</c:v>
                </c:pt>
                <c:pt idx="5">
                  <c:v>0.24826937077341893</c:v>
                </c:pt>
                <c:pt idx="6">
                  <c:v>0.25788269292648291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0.82002874552593141</c:v>
                </c:pt>
                <c:pt idx="1">
                  <c:v>0.71837496467376039</c:v>
                </c:pt>
                <c:pt idx="2">
                  <c:v>0.87006740283621609</c:v>
                </c:pt>
                <c:pt idx="3">
                  <c:v>0.87825172478770908</c:v>
                </c:pt>
                <c:pt idx="4">
                  <c:v>0.83398335277311542</c:v>
                </c:pt>
                <c:pt idx="5">
                  <c:v>0.86705903040300869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0.17956522249021453</c:v>
                </c:pt>
                <c:pt idx="1">
                  <c:v>0.29103499006932876</c:v>
                </c:pt>
                <c:pt idx="2">
                  <c:v>0.12533258618093832</c:v>
                </c:pt>
                <c:pt idx="3">
                  <c:v>0.13868190842482192</c:v>
                </c:pt>
                <c:pt idx="4">
                  <c:v>0.15870714685825552</c:v>
                </c:pt>
                <c:pt idx="5">
                  <c:v>0.13244558498009562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4.060319838541087E-4</c:v>
                </c:pt>
                <c:pt idx="1">
                  <c:v>-9.4099547430891248E-3</c:v>
                </c:pt>
                <c:pt idx="2">
                  <c:v>4.6000109828455869E-3</c:v>
                </c:pt>
                <c:pt idx="3">
                  <c:v>-1.6933633212530948E-2</c:v>
                </c:pt>
                <c:pt idx="4">
                  <c:v>7.3095003686290908E-3</c:v>
                </c:pt>
                <c:pt idx="5">
                  <c:v>4.9538461689572577E-4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5.3476091552898897E-2</c:v>
                </c:pt>
                <c:pt idx="1">
                  <c:v>6.1124465485982049E-2</c:v>
                </c:pt>
                <c:pt idx="2">
                  <c:v>2.6035171344692021E-2</c:v>
                </c:pt>
                <c:pt idx="3">
                  <c:v>3.8924988968305985E-2</c:v>
                </c:pt>
                <c:pt idx="4">
                  <c:v>5.0855665568878217E-2</c:v>
                </c:pt>
                <c:pt idx="5">
                  <c:v>6.1261208353090679E-2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55636499436</c:v>
                </c:pt>
                <c:pt idx="1">
                  <c:v>44624879986</c:v>
                </c:pt>
                <c:pt idx="2">
                  <c:v>52531366878</c:v>
                </c:pt>
                <c:pt idx="3">
                  <c:v>53970730405</c:v>
                </c:pt>
                <c:pt idx="4">
                  <c:v>51342739663</c:v>
                </c:pt>
                <c:pt idx="5">
                  <c:v>45962439573</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40145481945</c:v>
                </c:pt>
                <c:pt idx="1">
                  <c:v>36952049176</c:v>
                </c:pt>
                <c:pt idx="2">
                  <c:v>36978471968</c:v>
                </c:pt>
                <c:pt idx="3">
                  <c:v>33735439375</c:v>
                </c:pt>
                <c:pt idx="4">
                  <c:v>32306787587</c:v>
                </c:pt>
                <c:pt idx="5">
                  <c:v>28320619201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15491017491</c:v>
                </c:pt>
                <c:pt idx="1">
                  <c:v>7672830810</c:v>
                </c:pt>
                <c:pt idx="2">
                  <c:v>15552894910</c:v>
                </c:pt>
                <c:pt idx="3">
                  <c:v>20235291030</c:v>
                </c:pt>
                <c:pt idx="4">
                  <c:v>19035952076</c:v>
                </c:pt>
                <c:pt idx="5">
                  <c:v>17641820372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0.15590737139434357</c:v>
                </c:pt>
                <c:pt idx="1">
                  <c:v>0.13849092493430554</c:v>
                </c:pt>
                <c:pt idx="2">
                  <c:v>0.11305888281911614</c:v>
                </c:pt>
                <c:pt idx="3">
                  <c:v>0.14246239594195431</c:v>
                </c:pt>
                <c:pt idx="4">
                  <c:v>0.16021922091997751</c:v>
                </c:pt>
                <c:pt idx="5">
                  <c:v>0.13741007074981706</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-1.084492007271239E-3</c:v>
                </c:pt>
                <c:pt idx="1">
                  <c:v>-5.7086839753568187E-3</c:v>
                </c:pt>
                <c:pt idx="2">
                  <c:v>4.8750953254433496E-3</c:v>
                </c:pt>
                <c:pt idx="3">
                  <c:v>-3.0076355089033967E-2</c:v>
                </c:pt>
                <c:pt idx="4">
                  <c:v>9.6599809108085365E-3</c:v>
                </c:pt>
                <c:pt idx="5">
                  <c:v>6.6763819302485523E-4</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-5.3571210880261244</c:v>
                </c:pt>
                <c:pt idx="1">
                  <c:v>-2.933375585195098</c:v>
                </c:pt>
                <c:pt idx="2">
                  <c:v>-4.3107774139007082</c:v>
                </c:pt>
                <c:pt idx="3">
                  <c:v>-4.8650598609727762</c:v>
                </c:pt>
                <c:pt idx="4">
                  <c:v>-6.7412068107179346</c:v>
                </c:pt>
                <c:pt idx="5">
                  <c:v>-5.9440076632359391</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0.6536708312092786</c:v>
                </c:pt>
                <c:pt idx="1">
                  <c:v>0.54440219972957293</c:v>
                </c:pt>
                <c:pt idx="2">
                  <c:v>0.65509448753948507</c:v>
                </c:pt>
                <c:pt idx="3">
                  <c:v>0.74872199822906771</c:v>
                </c:pt>
                <c:pt idx="4">
                  <c:v>0.70633464799025181</c:v>
                </c:pt>
                <c:pt idx="5">
                  <c:v>0.63945031801298624</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4.0954359508559044</c:v>
                </c:pt>
                <c:pt idx="1">
                  <c:v>3.442409542574929</c:v>
                </c:pt>
                <c:pt idx="2">
                  <c:v>5.3474454539743661</c:v>
                </c:pt>
                <c:pt idx="3">
                  <c:v>4.7715938957892066</c:v>
                </c:pt>
                <c:pt idx="4">
                  <c:v>5.1115924850725909</c:v>
                </c:pt>
                <c:pt idx="5">
                  <c:v>5.0958927344480163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2.7735274413718605</c:v>
                </c:pt>
                <c:pt idx="1">
                  <c:v>2.3080426848434299</c:v>
                </c:pt>
                <c:pt idx="2">
                  <c:v>2.8510810249090248</c:v>
                </c:pt>
                <c:pt idx="3">
                  <c:v>3.0431510031294322</c:v>
                </c:pt>
                <c:pt idx="4">
                  <c:v>3.0795609654451694</c:v>
                </c:pt>
                <c:pt idx="5">
                  <c:v>3.064078117239311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0.52898085596353084</c:v>
                </c:pt>
                <c:pt idx="1">
                  <c:v>0.44048749655140423</c:v>
                </c:pt>
                <c:pt idx="2">
                  <c:v>0.53269651114584815</c:v>
                </c:pt>
                <c:pt idx="3">
                  <c:v>0.60088354730223303</c:v>
                </c:pt>
                <c:pt idx="4">
                  <c:v>0.57455377342493597</c:v>
                </c:pt>
                <c:pt idx="5">
                  <c:v>1.4573791425763409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0.75192650464070998</c:v>
                </c:pt>
                <c:pt idx="1">
                  <c:v>0.63105930931854659</c:v>
                </c:pt>
                <c:pt idx="2">
                  <c:v>0.75205169623037282</c:v>
                </c:pt>
                <c:pt idx="3">
                  <c:v>0.85292239130274417</c:v>
                </c:pt>
                <c:pt idx="4">
                  <c:v>0.80124678699419716</c:v>
                </c:pt>
                <c:pt idx="5">
                  <c:v>0.71501434444793699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30.929611995314243</c:v>
                </c:pt>
                <c:pt idx="1">
                  <c:v>18.933080414757232</c:v>
                </c:pt>
                <c:pt idx="2">
                  <c:v>10.854760859728209</c:v>
                </c:pt>
                <c:pt idx="3">
                  <c:v>16.139473152620685</c:v>
                </c:pt>
                <c:pt idx="4">
                  <c:v>17.175103258008399</c:v>
                </c:pt>
                <c:pt idx="5">
                  <c:v>25.82561181577114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9.5304476918705578</c:v>
                </c:pt>
                <c:pt idx="1">
                  <c:v>9.908109477925743</c:v>
                </c:pt>
                <c:pt idx="2">
                  <c:v>13.068051642596236</c:v>
                </c:pt>
                <c:pt idx="3">
                  <c:v>13.056277337470185</c:v>
                </c:pt>
                <c:pt idx="4">
                  <c:v>12.0913639792292</c:v>
                </c:pt>
                <c:pt idx="5">
                  <c:v>10.574507705386843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12.333786814917911</c:v>
                </c:pt>
                <c:pt idx="1">
                  <c:v>13.159544206375783</c:v>
                </c:pt>
                <c:pt idx="2">
                  <c:v>31.161547441741149</c:v>
                </c:pt>
                <c:pt idx="3">
                  <c:v>43.170252025092452</c:v>
                </c:pt>
                <c:pt idx="4">
                  <c:v>44.879783471756966</c:v>
                </c:pt>
                <c:pt idx="5">
                  <c:v>60.704126814671447</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25.56470915722155</c:v>
                </c:pt>
                <c:pt idx="1">
                  <c:v>22.247182215503624</c:v>
                </c:pt>
                <c:pt idx="2">
                  <c:v>21.783892929169944</c:v>
                </c:pt>
                <c:pt idx="3">
                  <c:v>19.430534582115694</c:v>
                </c:pt>
                <c:pt idx="4">
                  <c:v>18.755892297995743</c:v>
                </c:pt>
                <c:pt idx="5">
                  <c:v>18.05876232058943</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11.902567743082809</c:v>
                </c:pt>
                <c:pt idx="1">
                  <c:v>12.012955976584994</c:v>
                </c:pt>
                <c:pt idx="2">
                  <c:v>10.932585913192915</c:v>
                </c:pt>
                <c:pt idx="3">
                  <c:v>9.5597625782627542</c:v>
                </c:pt>
                <c:pt idx="4">
                  <c:v>9.3104259556958446</c:v>
                </c:pt>
                <c:pt idx="5">
                  <c:v>7.7777586457886621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0.19112391995692143</c:v>
                </c:pt>
                <c:pt idx="1">
                  <c:v>9.9005585234006821E-2</c:v>
                </c:pt>
                <c:pt idx="2">
                  <c:v>0.21265473152914691</c:v>
                </c:pt>
                <c:pt idx="3">
                  <c:v>0.26234555547937671</c:v>
                </c:pt>
                <c:pt idx="4">
                  <c:v>0.21570826879416355</c:v>
                </c:pt>
                <c:pt idx="5">
                  <c:v>0.21036182481952728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0.25670896208035832</c:v>
                </c:pt>
                <c:pt idx="1">
                  <c:v>0.14810968641424999</c:v>
                </c:pt>
                <c:pt idx="2">
                  <c:v>0.27528593753489955</c:v>
                </c:pt>
                <c:pt idx="3">
                  <c:v>0.29646671632810934</c:v>
                </c:pt>
                <c:pt idx="4">
                  <c:v>0.27339256962392922</c:v>
                </c:pt>
                <c:pt idx="5">
                  <c:v>0.29358232796952588</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12786153802</c:v>
                </c:pt>
                <c:pt idx="1">
                  <c:v>6927699521</c:v>
                </c:pt>
                <c:pt idx="2">
                  <c:v>12487446311</c:v>
                </c:pt>
                <c:pt idx="3">
                  <c:v>13629184859</c:v>
                </c:pt>
                <c:pt idx="4">
                  <c:v>12599219775</c:v>
                </c:pt>
                <c:pt idx="5">
                  <c:v>11411065952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100910929137</c:v>
                </c:pt>
                <c:pt idx="1">
                  <c:v>91574360128</c:v>
                </c:pt>
                <c:pt idx="2">
                  <c:v>90610559210</c:v>
                </c:pt>
                <c:pt idx="3">
                  <c:v>83997741533</c:v>
                </c:pt>
                <c:pt idx="4">
                  <c:v>77268192991</c:v>
                </c:pt>
                <c:pt idx="5">
                  <c:v>70346819619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55636499436</c:v>
                </c:pt>
                <c:pt idx="1">
                  <c:v>44624879986</c:v>
                </c:pt>
                <c:pt idx="2">
                  <c:v>52531366878</c:v>
                </c:pt>
                <c:pt idx="3">
                  <c:v>53970730405</c:v>
                </c:pt>
                <c:pt idx="4">
                  <c:v>51342739663</c:v>
                </c:pt>
                <c:pt idx="5">
                  <c:v>45962439573</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14282388024</c:v>
                </c:pt>
                <c:pt idx="1">
                  <c:v>6609376981</c:v>
                </c:pt>
                <c:pt idx="2">
                  <c:v>14461146581</c:v>
                </c:pt>
                <c:pt idx="3">
                  <c:v>16000525221</c:v>
                </c:pt>
                <c:pt idx="4">
                  <c:v>14036723528</c:v>
                </c:pt>
                <c:pt idx="5">
                  <c:v>13493760009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3127475954</c:v>
                </c:pt>
                <c:pt idx="1">
                  <c:v>2677654510</c:v>
                </c:pt>
                <c:pt idx="2">
                  <c:v>2083117807</c:v>
                </c:pt>
                <c:pt idx="3">
                  <c:v>2526591535</c:v>
                </c:pt>
                <c:pt idx="4">
                  <c:v>2671190420</c:v>
                </c:pt>
                <c:pt idx="5">
                  <c:v>2061207917</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20059833772</c:v>
                </c:pt>
                <c:pt idx="1">
                  <c:v>19334512433</c:v>
                </c:pt>
                <c:pt idx="2">
                  <c:v>18425069796</c:v>
                </c:pt>
                <c:pt idx="3">
                  <c:v>17735147007</c:v>
                </c:pt>
                <c:pt idx="4">
                  <c:v>16672097172</c:v>
                </c:pt>
                <c:pt idx="5">
                  <c:v>15000413767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0.71394685855200146</c:v>
                </c:pt>
                <c:pt idx="1">
                  <c:v>0.63778549254289219</c:v>
                </c:pt>
                <c:pt idx="2">
                  <c:v>0.74448054351572257</c:v>
                </c:pt>
                <c:pt idx="3">
                  <c:v>0.78286206742823283</c:v>
                </c:pt>
                <c:pt idx="4">
                  <c:v>0.72707901094740757</c:v>
                </c:pt>
                <c:pt idx="5">
                  <c:v>0.68899289018156018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0.57046822916078854</c:v>
                </c:pt>
                <c:pt idx="1">
                  <c:v>0.55120811480613363</c:v>
                </c:pt>
                <c:pt idx="2">
                  <c:v>0.61049657760116127</c:v>
                </c:pt>
                <c:pt idx="3">
                  <c:v>0.60420352267686972</c:v>
                </c:pt>
                <c:pt idx="4">
                  <c:v>0.58163848077433888</c:v>
                </c:pt>
                <c:pt idx="5">
                  <c:v>0.54296574408331855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1.5792169146499404</c:v>
                </c:pt>
                <c:pt idx="1">
                  <c:v>1.1837407677819205</c:v>
                </c:pt>
                <c:pt idx="2">
                  <c:v>1.2655496626102982</c:v>
                </c:pt>
                <c:pt idx="3">
                  <c:v>1.3901014803790872</c:v>
                </c:pt>
                <c:pt idx="4">
                  <c:v>1.333253038636651</c:v>
                </c:pt>
                <c:pt idx="5">
                  <c:v>1.2254487567177179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1.3681675168230547</c:v>
                </c:pt>
                <c:pt idx="1">
                  <c:v>0.90573212420365889</c:v>
                </c:pt>
                <c:pt idx="2">
                  <c:v>1.1305475061433479</c:v>
                </c:pt>
                <c:pt idx="3">
                  <c:v>1.2703056564360302</c:v>
                </c:pt>
                <c:pt idx="4">
                  <c:v>1.1714876219785602</c:v>
                </c:pt>
                <c:pt idx="5">
                  <c:v>1.1318765350520341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11.008201461946253</c:v>
                </c:pt>
                <c:pt idx="1">
                  <c:v>-0.88799324194546403</c:v>
                </c:pt>
                <c:pt idx="2">
                  <c:v>-0.28431919470183098</c:v>
                </c:pt>
                <c:pt idx="3">
                  <c:v>0.25032639668587514</c:v>
                </c:pt>
                <c:pt idx="4">
                  <c:v>0.17145622768829105</c:v>
                </c:pt>
                <c:pt idx="5">
                  <c:v>-0.23614638024817347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17493600297</c:v>
                </c:pt>
                <c:pt idx="1">
                  <c:v>6274640003</c:v>
                </c:pt>
                <c:pt idx="2">
                  <c:v>14117651285</c:v>
                </c:pt>
                <c:pt idx="3">
                  <c:v>17313230619</c:v>
                </c:pt>
                <c:pt idx="4">
                  <c:v>14759830013</c:v>
                </c:pt>
                <c:pt idx="5">
                  <c:v>12915917791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11077389138.07021</c:v>
                </c:pt>
                <c:pt idx="1">
                  <c:v>5300687594.5967007</c:v>
                </c:pt>
                <c:pt idx="2">
                  <c:v>11155351466.714634</c:v>
                </c:pt>
                <c:pt idx="3">
                  <c:v>12454652313.785465</c:v>
                </c:pt>
                <c:pt idx="4">
                  <c:v>11070539188.939714</c:v>
                </c:pt>
                <c:pt idx="5">
                  <c:v>10539745313.867237</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12786153802</c:v>
                </c:pt>
                <c:pt idx="1">
                  <c:v>6927699521</c:v>
                </c:pt>
                <c:pt idx="2">
                  <c:v>12487446311</c:v>
                </c:pt>
                <c:pt idx="3">
                  <c:v>13629184859</c:v>
                </c:pt>
                <c:pt idx="4">
                  <c:v>12599219775</c:v>
                </c:pt>
                <c:pt idx="5">
                  <c:v>11411065952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B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1" width="12.77734375" style="190" hidden="1" customWidth="1"/>
    <col min="52" max="53" width="12.77734375" style="190" bestFit="1" customWidth="1"/>
    <col min="54" max="54" width="9.5546875" style="190" hidden="1" customWidth="1"/>
    <col min="55" max="16384" width="8.88671875" style="190"/>
  </cols>
  <sheetData>
    <row r="1" spans="1:54"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20051231</v>
      </c>
      <c r="BA1" s="190">
        <v>20041231</v>
      </c>
      <c r="BB1" s="190">
        <v>19700101</v>
      </c>
    </row>
    <row r="2" spans="1:5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row>
    <row r="3" spans="1:54" x14ac:dyDescent="0.25">
      <c r="A3" s="190" t="s">
        <v>107</v>
      </c>
    </row>
    <row r="4" spans="1:54" x14ac:dyDescent="0.25">
      <c r="A4" s="190" t="s">
        <v>108</v>
      </c>
      <c r="B4" s="190">
        <v>15735898344</v>
      </c>
      <c r="C4" s="190">
        <v>8889372436</v>
      </c>
      <c r="D4" s="190">
        <v>15552446041</v>
      </c>
      <c r="E4" s="190">
        <v>11100350893</v>
      </c>
      <c r="F4" s="190">
        <v>14951304947</v>
      </c>
      <c r="G4" s="190">
        <v>9161747049</v>
      </c>
      <c r="H4" s="190">
        <v>14829480833</v>
      </c>
      <c r="I4" s="190">
        <v>11638240506</v>
      </c>
      <c r="J4" s="190">
        <v>8312784392</v>
      </c>
      <c r="K4" s="190">
        <v>13831935999</v>
      </c>
      <c r="L4" s="190">
        <v>6228396612</v>
      </c>
      <c r="M4" s="190">
        <v>8237909745</v>
      </c>
      <c r="N4" s="190">
        <v>11407709443</v>
      </c>
      <c r="O4" s="190">
        <v>9374936584</v>
      </c>
      <c r="P4" s="190">
        <v>10733550373</v>
      </c>
      <c r="Q4" s="190">
        <v>9638517206</v>
      </c>
      <c r="R4" s="190">
        <v>15144451676</v>
      </c>
      <c r="S4" s="190">
        <v>8231476385</v>
      </c>
      <c r="T4" s="190">
        <v>9717299426</v>
      </c>
      <c r="U4" s="190">
        <v>8785439966</v>
      </c>
      <c r="V4" s="190">
        <v>8505323038</v>
      </c>
      <c r="W4" s="190">
        <v>8251430721</v>
      </c>
      <c r="X4" s="190">
        <v>9233190939</v>
      </c>
      <c r="Y4" s="190">
        <v>7753976194</v>
      </c>
      <c r="Z4" s="190">
        <v>6547531039</v>
      </c>
      <c r="AA4" s="190">
        <v>8456487659</v>
      </c>
      <c r="AB4" s="190">
        <v>5073654319</v>
      </c>
      <c r="AC4" s="190">
        <v>4678809979</v>
      </c>
      <c r="AD4" s="190">
        <v>4944753962</v>
      </c>
      <c r="AE4" s="190">
        <v>9805303490</v>
      </c>
      <c r="AF4" s="190">
        <v>7359308623</v>
      </c>
      <c r="AG4" s="190">
        <v>10153209322</v>
      </c>
      <c r="AH4" s="190">
        <v>5861166763</v>
      </c>
      <c r="AI4" s="190">
        <v>4218442993</v>
      </c>
      <c r="AJ4" s="190">
        <v>6060801278</v>
      </c>
      <c r="AK4" s="190">
        <v>9017190649</v>
      </c>
      <c r="AL4" s="190">
        <v>6489196318</v>
      </c>
      <c r="AM4" s="190">
        <v>6085715021</v>
      </c>
      <c r="AN4" s="190">
        <v>4573336328</v>
      </c>
      <c r="AO4" s="190">
        <v>4677747639</v>
      </c>
      <c r="AP4" s="190">
        <v>6056564727</v>
      </c>
      <c r="AQ4" s="190">
        <v>7954553316</v>
      </c>
      <c r="AR4" s="190">
        <v>7823859551</v>
      </c>
      <c r="AS4" s="190">
        <v>7789551415</v>
      </c>
      <c r="AT4" s="190">
        <v>7466137957</v>
      </c>
      <c r="AU4" s="190">
        <v>4499376195</v>
      </c>
      <c r="AV4" s="190">
        <v>6602628507</v>
      </c>
      <c r="AW4" s="190">
        <v>6437511108</v>
      </c>
      <c r="AX4" s="190">
        <v>5623521932</v>
      </c>
      <c r="AY4" s="190">
        <v>4918707553</v>
      </c>
      <c r="AZ4" s="190">
        <v>5773536537</v>
      </c>
      <c r="BA4" s="190">
        <v>785200273</v>
      </c>
      <c r="BB4" s="190">
        <v>0</v>
      </c>
    </row>
    <row r="5" spans="1:54"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row>
    <row r="6" spans="1:54"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row>
    <row r="7" spans="1:54" x14ac:dyDescent="0.25">
      <c r="A7" s="190" t="s">
        <v>111</v>
      </c>
      <c r="B7" s="190">
        <v>315334657</v>
      </c>
      <c r="C7" s="190">
        <v>750022876</v>
      </c>
      <c r="D7" s="190">
        <v>447945357</v>
      </c>
      <c r="E7" s="190">
        <v>416217765</v>
      </c>
      <c r="F7" s="190">
        <v>589814728</v>
      </c>
      <c r="G7" s="190">
        <v>1425377256</v>
      </c>
      <c r="H7" s="190">
        <v>1678542586</v>
      </c>
      <c r="I7" s="190">
        <v>1428986763</v>
      </c>
      <c r="J7" s="190">
        <v>1906895393</v>
      </c>
      <c r="K7" s="190">
        <v>2154522861</v>
      </c>
      <c r="L7" s="190">
        <v>1748344294</v>
      </c>
      <c r="M7" s="190">
        <v>414536669</v>
      </c>
      <c r="N7" s="190">
        <v>389549703</v>
      </c>
      <c r="O7" s="190">
        <v>26243726</v>
      </c>
      <c r="P7" s="190">
        <v>32516000</v>
      </c>
      <c r="Q7" s="190">
        <v>39300300</v>
      </c>
      <c r="R7" s="190">
        <v>26399790</v>
      </c>
      <c r="S7" s="190">
        <v>15145410</v>
      </c>
      <c r="T7" s="190">
        <v>13874000</v>
      </c>
      <c r="U7" s="190">
        <v>11097357</v>
      </c>
      <c r="V7" s="190">
        <v>2815005</v>
      </c>
      <c r="W7" s="190">
        <v>15468325</v>
      </c>
      <c r="X7" s="190">
        <v>17201920</v>
      </c>
      <c r="Y7" s="190">
        <v>7664296</v>
      </c>
      <c r="Z7" s="190">
        <v>11200000</v>
      </c>
      <c r="AA7" s="190">
        <v>5350000</v>
      </c>
      <c r="AB7" s="190">
        <v>7223000</v>
      </c>
      <c r="AC7" s="190">
        <v>11050000</v>
      </c>
      <c r="AD7" s="190">
        <v>4700000</v>
      </c>
      <c r="AE7" s="190">
        <v>4300000</v>
      </c>
      <c r="AF7" s="190">
        <v>1000000</v>
      </c>
      <c r="AG7" s="190">
        <v>1000000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row>
    <row r="8" spans="1:54" x14ac:dyDescent="0.25">
      <c r="A8" s="190" t="s">
        <v>112</v>
      </c>
      <c r="B8" s="190">
        <v>6026815209</v>
      </c>
      <c r="C8" s="190">
        <v>6302553449</v>
      </c>
      <c r="D8" s="190">
        <v>6329829504</v>
      </c>
      <c r="E8" s="190">
        <v>5344344049</v>
      </c>
      <c r="F8" s="190">
        <v>6329555160</v>
      </c>
      <c r="G8" s="190">
        <v>5815805168</v>
      </c>
      <c r="H8" s="190">
        <v>6056238676</v>
      </c>
      <c r="I8" s="190">
        <v>4509622064</v>
      </c>
      <c r="J8" s="190">
        <v>4917731232</v>
      </c>
      <c r="K8" s="190">
        <v>4155552126</v>
      </c>
      <c r="L8" s="190">
        <v>2117328938</v>
      </c>
      <c r="M8" s="190">
        <v>2710223049</v>
      </c>
      <c r="N8" s="190">
        <v>2825155672</v>
      </c>
      <c r="O8" s="190">
        <v>2581542274</v>
      </c>
      <c r="P8" s="190">
        <v>5210755133</v>
      </c>
      <c r="Q8" s="190">
        <v>2316828381</v>
      </c>
      <c r="R8" s="190">
        <v>2148037046</v>
      </c>
      <c r="S8" s="190">
        <v>2452681300</v>
      </c>
      <c r="T8" s="190">
        <v>4234097421</v>
      </c>
      <c r="U8" s="190">
        <v>2080795737</v>
      </c>
      <c r="V8" s="190">
        <v>2183370257</v>
      </c>
      <c r="W8" s="190">
        <v>1919471215</v>
      </c>
      <c r="X8" s="190">
        <v>3906882777</v>
      </c>
      <c r="Y8" s="190">
        <v>2041066447</v>
      </c>
      <c r="Z8" s="190">
        <v>1874426063</v>
      </c>
      <c r="AA8" s="190">
        <v>1898369847</v>
      </c>
      <c r="AB8" s="190">
        <v>2373865301</v>
      </c>
      <c r="AC8" s="190">
        <v>1021196084</v>
      </c>
      <c r="AD8" s="190">
        <v>2421140491</v>
      </c>
      <c r="AE8" s="190">
        <v>2121679796</v>
      </c>
      <c r="AF8" s="190">
        <v>3161153497</v>
      </c>
      <c r="AG8" s="190">
        <v>2023840830</v>
      </c>
      <c r="AH8" s="190">
        <v>2613440904</v>
      </c>
      <c r="AI8" s="190">
        <v>1256618567</v>
      </c>
      <c r="AJ8" s="190">
        <v>2912709211</v>
      </c>
      <c r="AK8" s="190">
        <v>2530041043</v>
      </c>
      <c r="AL8" s="190">
        <v>2138005617</v>
      </c>
      <c r="AM8" s="190">
        <v>1621060517</v>
      </c>
      <c r="AN8" s="190">
        <v>1557168629</v>
      </c>
      <c r="AO8" s="190">
        <v>656208338</v>
      </c>
      <c r="AP8" s="190">
        <v>701352638</v>
      </c>
      <c r="AQ8" s="190">
        <v>1507024072</v>
      </c>
      <c r="AR8" s="190">
        <v>772955733</v>
      </c>
      <c r="AS8" s="190">
        <v>918487345</v>
      </c>
      <c r="AT8" s="190">
        <v>104511076</v>
      </c>
      <c r="AU8" s="190">
        <v>66031759</v>
      </c>
      <c r="AV8" s="190">
        <v>57909374</v>
      </c>
      <c r="AW8" s="190">
        <v>33254644</v>
      </c>
      <c r="AX8" s="190">
        <v>46040146</v>
      </c>
      <c r="AY8" s="190">
        <v>43742568</v>
      </c>
      <c r="AZ8" s="190">
        <v>52466568</v>
      </c>
      <c r="BA8" s="190">
        <v>3003806</v>
      </c>
      <c r="BB8" s="190">
        <v>0</v>
      </c>
    </row>
    <row r="9" spans="1:54" x14ac:dyDescent="0.25">
      <c r="A9" s="190" t="s">
        <v>113</v>
      </c>
      <c r="B9" s="190">
        <v>936143299</v>
      </c>
      <c r="C9" s="190">
        <v>79752397</v>
      </c>
      <c r="D9" s="190">
        <v>180765396</v>
      </c>
      <c r="E9" s="190">
        <v>172507089</v>
      </c>
      <c r="F9" s="190">
        <v>153959110</v>
      </c>
      <c r="G9" s="190">
        <v>70821029</v>
      </c>
      <c r="H9" s="190">
        <v>412089927</v>
      </c>
      <c r="I9" s="190">
        <v>118983495</v>
      </c>
      <c r="J9" s="190">
        <v>137307892</v>
      </c>
      <c r="K9" s="190">
        <v>112512439</v>
      </c>
      <c r="L9" s="190">
        <v>72737747</v>
      </c>
      <c r="M9" s="190">
        <v>110592429</v>
      </c>
      <c r="N9" s="190">
        <v>158407554</v>
      </c>
      <c r="O9" s="190">
        <v>265490775</v>
      </c>
      <c r="P9" s="190">
        <v>98657466</v>
      </c>
      <c r="Q9" s="190">
        <v>190457980</v>
      </c>
      <c r="R9" s="190">
        <v>240453068</v>
      </c>
      <c r="S9" s="190">
        <v>218560077</v>
      </c>
      <c r="T9" s="190">
        <v>223302757</v>
      </c>
      <c r="U9" s="190">
        <v>250517752</v>
      </c>
      <c r="V9" s="190">
        <v>370816823</v>
      </c>
      <c r="W9" s="190">
        <v>205380087</v>
      </c>
      <c r="X9" s="190">
        <v>120361483</v>
      </c>
      <c r="Y9" s="190">
        <v>111798003</v>
      </c>
      <c r="Z9" s="190">
        <v>112143473</v>
      </c>
      <c r="AA9" s="190">
        <v>98217083</v>
      </c>
      <c r="AB9" s="190">
        <v>106868993</v>
      </c>
      <c r="AC9" s="190">
        <v>78854766</v>
      </c>
      <c r="AD9" s="190">
        <v>211411486</v>
      </c>
      <c r="AE9" s="190">
        <v>201519447</v>
      </c>
      <c r="AF9" s="190">
        <v>130982463</v>
      </c>
      <c r="AG9" s="190">
        <v>114669146</v>
      </c>
      <c r="AH9" s="190">
        <v>40895893</v>
      </c>
      <c r="AI9" s="190">
        <v>32253434</v>
      </c>
      <c r="AJ9" s="190">
        <v>31944303</v>
      </c>
      <c r="AK9" s="190">
        <v>24194640</v>
      </c>
      <c r="AL9" s="190">
        <v>58500505</v>
      </c>
      <c r="AM9" s="190">
        <v>48886883</v>
      </c>
      <c r="AN9" s="190">
        <v>202209907</v>
      </c>
      <c r="AO9" s="190">
        <v>1563540</v>
      </c>
      <c r="AP9" s="190">
        <v>39003912</v>
      </c>
      <c r="AQ9" s="190">
        <v>66566221</v>
      </c>
      <c r="AR9" s="190">
        <v>50607467</v>
      </c>
      <c r="AS9" s="190">
        <v>1731484</v>
      </c>
      <c r="AT9" s="190">
        <v>9413417</v>
      </c>
      <c r="AU9" s="190">
        <v>11488306</v>
      </c>
      <c r="AV9" s="190">
        <v>26112117</v>
      </c>
      <c r="AW9" s="190">
        <v>11591151</v>
      </c>
      <c r="AX9" s="190">
        <v>21854608</v>
      </c>
      <c r="AY9" s="190">
        <v>53230503</v>
      </c>
      <c r="AZ9" s="190">
        <v>12511556</v>
      </c>
      <c r="BA9" s="190">
        <v>5304254</v>
      </c>
      <c r="BB9" s="190">
        <v>0</v>
      </c>
    </row>
    <row r="10" spans="1:54" x14ac:dyDescent="0.25">
      <c r="A10" s="190" t="s">
        <v>114</v>
      </c>
      <c r="B10" s="190">
        <v>1076250</v>
      </c>
      <c r="C10" s="190">
        <v>20002500</v>
      </c>
      <c r="D10" s="190">
        <v>15619816</v>
      </c>
      <c r="E10" s="190">
        <v>14731875</v>
      </c>
      <c r="F10" s="190">
        <v>0</v>
      </c>
      <c r="G10" s="190">
        <v>0</v>
      </c>
      <c r="H10" s="190">
        <v>9501375</v>
      </c>
      <c r="I10" s="190">
        <v>10437375</v>
      </c>
      <c r="J10" s="190">
        <v>0</v>
      </c>
      <c r="K10" s="190">
        <v>0</v>
      </c>
      <c r="L10" s="190">
        <v>0</v>
      </c>
      <c r="M10" s="190">
        <v>9933000</v>
      </c>
      <c r="N10" s="190">
        <v>0</v>
      </c>
      <c r="O10" s="190">
        <v>0</v>
      </c>
      <c r="P10" s="190">
        <v>0</v>
      </c>
      <c r="Q10" s="190">
        <v>9780110</v>
      </c>
      <c r="R10" s="190">
        <v>0</v>
      </c>
      <c r="S10" s="190">
        <v>0</v>
      </c>
      <c r="T10" s="190">
        <v>0</v>
      </c>
      <c r="U10" s="190">
        <v>24858167</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row>
    <row r="11" spans="1:54" x14ac:dyDescent="0.25">
      <c r="A11" s="190" t="s">
        <v>115</v>
      </c>
      <c r="B11" s="190">
        <v>300000</v>
      </c>
      <c r="C11" s="190">
        <v>2950500</v>
      </c>
      <c r="D11" s="190">
        <v>1023991</v>
      </c>
      <c r="E11" s="190">
        <v>2404759034</v>
      </c>
      <c r="F11" s="190">
        <v>2403320625</v>
      </c>
      <c r="G11" s="190">
        <v>1747975</v>
      </c>
      <c r="H11" s="190">
        <v>1447975</v>
      </c>
      <c r="I11" s="190">
        <v>1249432154</v>
      </c>
      <c r="J11" s="190">
        <v>1248535248</v>
      </c>
      <c r="K11" s="190">
        <v>1248535248</v>
      </c>
      <c r="L11" s="190">
        <v>1510631590</v>
      </c>
      <c r="M11" s="190">
        <v>1510636280</v>
      </c>
      <c r="N11" s="190">
        <v>0</v>
      </c>
      <c r="O11" s="190">
        <v>757030551</v>
      </c>
      <c r="P11" s="190">
        <v>1597348164</v>
      </c>
      <c r="Q11" s="190">
        <v>1597383003</v>
      </c>
      <c r="R11" s="190">
        <v>0</v>
      </c>
      <c r="S11" s="190">
        <v>441916</v>
      </c>
      <c r="T11" s="190">
        <v>1234074499</v>
      </c>
      <c r="U11" s="190">
        <v>1234074499</v>
      </c>
      <c r="V11" s="190">
        <v>0</v>
      </c>
      <c r="W11" s="190">
        <v>0</v>
      </c>
      <c r="X11" s="190">
        <v>600000000</v>
      </c>
      <c r="Y11" s="190">
        <v>1265530685</v>
      </c>
      <c r="Z11" s="190">
        <v>0</v>
      </c>
      <c r="AA11" s="190">
        <v>0</v>
      </c>
      <c r="AB11" s="190">
        <v>1194450000</v>
      </c>
      <c r="AC11" s="190">
        <v>1194450000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row>
    <row r="12" spans="1:54" x14ac:dyDescent="0.25">
      <c r="A12" s="190" t="s">
        <v>116</v>
      </c>
      <c r="B12" s="190">
        <v>2133753754</v>
      </c>
      <c r="C12" s="190">
        <v>3135412714</v>
      </c>
      <c r="D12" s="190">
        <v>1623802385</v>
      </c>
      <c r="E12" s="190">
        <v>1074491582</v>
      </c>
      <c r="F12" s="190">
        <v>1442870465</v>
      </c>
      <c r="G12" s="190">
        <v>555324612</v>
      </c>
      <c r="H12" s="190">
        <v>1268633701</v>
      </c>
      <c r="I12" s="190">
        <v>1439043538</v>
      </c>
      <c r="J12" s="190">
        <v>1930765454</v>
      </c>
      <c r="K12" s="190">
        <v>1537712712</v>
      </c>
      <c r="L12" s="190">
        <v>1136491832</v>
      </c>
      <c r="M12" s="190">
        <v>1166270329</v>
      </c>
      <c r="N12" s="190">
        <v>1526760023</v>
      </c>
      <c r="O12" s="190">
        <v>996821728</v>
      </c>
      <c r="P12" s="190">
        <v>801344217</v>
      </c>
      <c r="Q12" s="190">
        <v>972400600</v>
      </c>
      <c r="R12" s="190">
        <v>1288460071</v>
      </c>
      <c r="S12" s="190">
        <v>1051896325</v>
      </c>
      <c r="T12" s="190">
        <v>500389614</v>
      </c>
      <c r="U12" s="190">
        <v>420614672</v>
      </c>
      <c r="V12" s="190">
        <v>608098985</v>
      </c>
      <c r="W12" s="190">
        <v>414389061</v>
      </c>
      <c r="X12" s="190">
        <v>169403235</v>
      </c>
      <c r="Y12" s="190">
        <v>671049775</v>
      </c>
      <c r="Z12" s="190">
        <v>228285150</v>
      </c>
      <c r="AA12" s="190">
        <v>352810235</v>
      </c>
      <c r="AB12" s="190">
        <v>619171917</v>
      </c>
      <c r="AC12" s="190">
        <v>532894727</v>
      </c>
      <c r="AD12" s="190">
        <v>608368475</v>
      </c>
      <c r="AE12" s="190">
        <v>708431090</v>
      </c>
      <c r="AF12" s="190">
        <v>691973709</v>
      </c>
      <c r="AG12" s="190">
        <v>786991809</v>
      </c>
      <c r="AH12" s="190">
        <v>171895103</v>
      </c>
      <c r="AI12" s="190">
        <v>32399912</v>
      </c>
      <c r="AJ12" s="190">
        <v>193635417</v>
      </c>
      <c r="AK12" s="190">
        <v>85554833</v>
      </c>
      <c r="AL12" s="190">
        <v>1255997792</v>
      </c>
      <c r="AM12" s="190">
        <v>1239210892</v>
      </c>
      <c r="AN12" s="190">
        <v>1267727942</v>
      </c>
      <c r="AO12" s="190">
        <v>1280112557</v>
      </c>
      <c r="AP12" s="190">
        <v>131693005</v>
      </c>
      <c r="AQ12" s="190">
        <v>105991460</v>
      </c>
      <c r="AR12" s="190">
        <v>96362655</v>
      </c>
      <c r="AS12" s="190">
        <v>95026956</v>
      </c>
      <c r="AT12" s="190">
        <v>677718800</v>
      </c>
      <c r="AU12" s="190">
        <v>1074175334</v>
      </c>
      <c r="AV12" s="190">
        <v>1064601708</v>
      </c>
      <c r="AW12" s="190">
        <v>941195181</v>
      </c>
      <c r="AX12" s="190">
        <v>419624496</v>
      </c>
      <c r="AY12" s="190">
        <v>413408378</v>
      </c>
      <c r="AZ12" s="190">
        <v>326429189</v>
      </c>
      <c r="BA12" s="190">
        <v>10053753</v>
      </c>
      <c r="BB12" s="190">
        <v>0</v>
      </c>
    </row>
    <row r="13" spans="1:54"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row>
    <row r="14" spans="1:54" x14ac:dyDescent="0.25">
      <c r="A14" s="190" t="s">
        <v>118</v>
      </c>
      <c r="B14" s="190">
        <v>1526614372</v>
      </c>
      <c r="C14" s="190">
        <v>1610834141</v>
      </c>
      <c r="D14" s="190">
        <v>1599602022</v>
      </c>
      <c r="E14" s="190">
        <v>1528204845</v>
      </c>
      <c r="F14" s="190">
        <v>1730611541</v>
      </c>
      <c r="G14" s="190">
        <v>1778724267</v>
      </c>
      <c r="H14" s="190">
        <v>1676413329</v>
      </c>
      <c r="I14" s="190">
        <v>1612490533</v>
      </c>
      <c r="J14" s="190">
        <v>1707199473</v>
      </c>
      <c r="K14" s="190">
        <v>1733847224</v>
      </c>
      <c r="L14" s="190">
        <v>1709012193</v>
      </c>
      <c r="M14" s="190">
        <v>1709462676</v>
      </c>
      <c r="N14" s="190">
        <v>1717963441</v>
      </c>
      <c r="O14" s="190">
        <v>1759489873</v>
      </c>
      <c r="P14" s="190">
        <v>1768481291</v>
      </c>
      <c r="Q14" s="190">
        <v>1685566127</v>
      </c>
      <c r="R14" s="190">
        <v>1827082737</v>
      </c>
      <c r="S14" s="190">
        <v>1765858972</v>
      </c>
      <c r="T14" s="190">
        <v>1710023294</v>
      </c>
      <c r="U14" s="190">
        <v>1786848822</v>
      </c>
      <c r="V14" s="190">
        <v>1615545159</v>
      </c>
      <c r="W14" s="190">
        <v>1592234256</v>
      </c>
      <c r="X14" s="190">
        <v>1691324668</v>
      </c>
      <c r="Y14" s="190">
        <v>1658125917</v>
      </c>
      <c r="Z14" s="190">
        <v>1573329713</v>
      </c>
      <c r="AA14" s="190">
        <v>1532366135</v>
      </c>
      <c r="AB14" s="190">
        <v>1418428004</v>
      </c>
      <c r="AC14" s="190">
        <v>1478370228</v>
      </c>
      <c r="AD14" s="190">
        <v>1418642292</v>
      </c>
      <c r="AE14" s="190">
        <v>1351998913</v>
      </c>
      <c r="AF14" s="190">
        <v>1260480705</v>
      </c>
      <c r="AG14" s="190">
        <v>1174006875</v>
      </c>
      <c r="AH14" s="190">
        <v>1233054728</v>
      </c>
      <c r="AI14" s="190">
        <v>849567183</v>
      </c>
      <c r="AJ14" s="190">
        <v>833835654</v>
      </c>
      <c r="AK14" s="190">
        <v>826273918</v>
      </c>
      <c r="AL14" s="190">
        <v>806989018</v>
      </c>
      <c r="AM14" s="190">
        <v>747606938</v>
      </c>
      <c r="AN14" s="190">
        <v>714898670</v>
      </c>
      <c r="AO14" s="190">
        <v>675097409</v>
      </c>
      <c r="AP14" s="190">
        <v>238918913</v>
      </c>
      <c r="AQ14" s="190">
        <v>262028843</v>
      </c>
      <c r="AR14" s="190">
        <v>195212618</v>
      </c>
      <c r="AS14" s="190">
        <v>190216238</v>
      </c>
      <c r="AT14" s="190">
        <v>165434859</v>
      </c>
      <c r="AU14" s="190">
        <v>189748621</v>
      </c>
      <c r="AV14" s="190">
        <v>164991805</v>
      </c>
      <c r="AW14" s="190">
        <v>182683997</v>
      </c>
      <c r="AX14" s="190">
        <v>163589247</v>
      </c>
      <c r="AY14" s="190">
        <v>158971704</v>
      </c>
      <c r="AZ14" s="190">
        <v>144826017</v>
      </c>
      <c r="BA14" s="190">
        <v>34371680</v>
      </c>
      <c r="BB14" s="190">
        <v>0</v>
      </c>
    </row>
    <row r="15" spans="1:54"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row>
    <row r="16" spans="1:54"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row>
    <row r="17" spans="1:54"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122197</v>
      </c>
      <c r="AX17" s="190">
        <v>112600</v>
      </c>
      <c r="AY17" s="190">
        <v>225201</v>
      </c>
      <c r="AZ17" s="190">
        <v>264436</v>
      </c>
      <c r="BA17" s="190">
        <v>89384</v>
      </c>
      <c r="BB17" s="190">
        <v>0</v>
      </c>
    </row>
    <row r="18" spans="1:54"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row>
    <row r="19" spans="1:54" x14ac:dyDescent="0.25">
      <c r="A19" s="190" t="s">
        <v>123</v>
      </c>
      <c r="B19" s="190">
        <v>223488727</v>
      </c>
      <c r="C19" s="190">
        <v>356603350</v>
      </c>
      <c r="D19" s="190">
        <v>396999508</v>
      </c>
      <c r="E19" s="190">
        <v>388974250</v>
      </c>
      <c r="F19" s="190">
        <v>130386760</v>
      </c>
      <c r="G19" s="190">
        <v>226165303</v>
      </c>
      <c r="H19" s="190">
        <v>71711130</v>
      </c>
      <c r="I19" s="190">
        <v>102800375</v>
      </c>
      <c r="J19" s="190">
        <v>0</v>
      </c>
      <c r="K19" s="190">
        <v>79430472</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17845</v>
      </c>
      <c r="AS19" s="190">
        <v>0</v>
      </c>
      <c r="AT19" s="190">
        <v>0</v>
      </c>
      <c r="AU19" s="190">
        <v>0</v>
      </c>
      <c r="AV19" s="190">
        <v>0</v>
      </c>
      <c r="AW19" s="190">
        <v>0</v>
      </c>
      <c r="AX19" s="190">
        <v>0</v>
      </c>
      <c r="AY19" s="190">
        <v>0</v>
      </c>
      <c r="AZ19" s="190">
        <v>0</v>
      </c>
      <c r="BA19" s="190">
        <v>0</v>
      </c>
      <c r="BB19" s="190">
        <v>0</v>
      </c>
    </row>
    <row r="20" spans="1:54" x14ac:dyDescent="0.25">
      <c r="A20" s="190" t="s">
        <v>124</v>
      </c>
      <c r="B20" s="190">
        <v>26898048362</v>
      </c>
      <c r="C20" s="190">
        <v>21147504363</v>
      </c>
      <c r="D20" s="190">
        <v>26148034020</v>
      </c>
      <c r="E20" s="190">
        <v>22444581382</v>
      </c>
      <c r="F20" s="190">
        <v>27731823336</v>
      </c>
      <c r="G20" s="190">
        <v>19035712659</v>
      </c>
      <c r="H20" s="190">
        <v>26004059532</v>
      </c>
      <c r="I20" s="190">
        <v>22110036803</v>
      </c>
      <c r="J20" s="190">
        <v>20161219084</v>
      </c>
      <c r="K20" s="190">
        <v>24854049081</v>
      </c>
      <c r="L20" s="190">
        <v>14522943206</v>
      </c>
      <c r="M20" s="190">
        <v>15869564177</v>
      </c>
      <c r="N20" s="190">
        <v>18025545836</v>
      </c>
      <c r="O20" s="190">
        <v>15761555511</v>
      </c>
      <c r="P20" s="190">
        <v>20242652644</v>
      </c>
      <c r="Q20" s="190">
        <v>16450233707</v>
      </c>
      <c r="R20" s="190">
        <v>20674884388</v>
      </c>
      <c r="S20" s="190">
        <v>13736060385</v>
      </c>
      <c r="T20" s="190">
        <v>17633061011</v>
      </c>
      <c r="U20" s="190">
        <v>14594246972</v>
      </c>
      <c r="V20" s="190">
        <v>13285969267</v>
      </c>
      <c r="W20" s="190">
        <v>12398373665</v>
      </c>
      <c r="X20" s="190">
        <v>15738365022</v>
      </c>
      <c r="Y20" s="190">
        <v>13509211317</v>
      </c>
      <c r="Z20" s="190">
        <v>10346915438</v>
      </c>
      <c r="AA20" s="190">
        <v>12343600959</v>
      </c>
      <c r="AB20" s="190">
        <v>10793661534</v>
      </c>
      <c r="AC20" s="190">
        <v>8995625784</v>
      </c>
      <c r="AD20" s="190">
        <v>9609016706</v>
      </c>
      <c r="AE20" s="190">
        <v>14193232736</v>
      </c>
      <c r="AF20" s="190">
        <v>12604898997</v>
      </c>
      <c r="AG20" s="190">
        <v>14253717982</v>
      </c>
      <c r="AH20" s="190">
        <v>9920453391</v>
      </c>
      <c r="AI20" s="190">
        <v>6389282089</v>
      </c>
      <c r="AJ20" s="190">
        <v>10032925863</v>
      </c>
      <c r="AK20" s="190">
        <v>12483255083</v>
      </c>
      <c r="AL20" s="190">
        <v>10748689250</v>
      </c>
      <c r="AM20" s="190">
        <v>9742480251</v>
      </c>
      <c r="AN20" s="190">
        <v>8315341476</v>
      </c>
      <c r="AO20" s="190">
        <v>7290729483</v>
      </c>
      <c r="AP20" s="190">
        <v>7167533195</v>
      </c>
      <c r="AQ20" s="190">
        <v>9896163912</v>
      </c>
      <c r="AR20" s="190">
        <v>8939015869</v>
      </c>
      <c r="AS20" s="190">
        <v>8995013438</v>
      </c>
      <c r="AT20" s="190">
        <v>8423216109</v>
      </c>
      <c r="AU20" s="190">
        <v>5840820215</v>
      </c>
      <c r="AV20" s="190">
        <v>7916243511</v>
      </c>
      <c r="AW20" s="190">
        <v>7606358278</v>
      </c>
      <c r="AX20" s="190">
        <v>6274743029</v>
      </c>
      <c r="AY20" s="190">
        <v>5588285907</v>
      </c>
      <c r="AZ20" s="190">
        <v>6310034303</v>
      </c>
      <c r="BA20" s="190">
        <v>838023150</v>
      </c>
      <c r="BB20" s="190">
        <v>0</v>
      </c>
    </row>
    <row r="21" spans="1:54" x14ac:dyDescent="0.25">
      <c r="A21" s="190" t="s">
        <v>125</v>
      </c>
    </row>
    <row r="22" spans="1:54"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row>
    <row r="23" spans="1:54" x14ac:dyDescent="0.25">
      <c r="A23" s="190" t="s">
        <v>127</v>
      </c>
      <c r="B23" s="190">
        <v>65158697</v>
      </c>
      <c r="C23" s="190">
        <v>65158697</v>
      </c>
      <c r="D23" s="190">
        <v>65158697</v>
      </c>
      <c r="E23" s="190">
        <v>65158697</v>
      </c>
      <c r="F23" s="190">
        <v>65158697</v>
      </c>
      <c r="G23" s="190">
        <v>65158697</v>
      </c>
      <c r="H23" s="190">
        <v>65158697</v>
      </c>
      <c r="I23" s="190">
        <v>65158697</v>
      </c>
      <c r="J23" s="190">
        <v>65158697</v>
      </c>
      <c r="K23" s="190">
        <v>65158697</v>
      </c>
      <c r="L23" s="190">
        <v>65158697</v>
      </c>
      <c r="M23" s="190">
        <v>65158697</v>
      </c>
      <c r="N23" s="190">
        <v>65158697</v>
      </c>
      <c r="O23" s="190">
        <v>65158697</v>
      </c>
      <c r="P23" s="190">
        <v>65158697</v>
      </c>
      <c r="Q23" s="190">
        <v>65158697</v>
      </c>
      <c r="R23" s="190">
        <v>65158697</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row>
    <row r="24" spans="1:54"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row>
    <row r="25" spans="1:54" x14ac:dyDescent="0.25">
      <c r="A25" s="190" t="s">
        <v>129</v>
      </c>
      <c r="B25" s="190">
        <v>3000000</v>
      </c>
      <c r="C25" s="190">
        <v>3000000</v>
      </c>
      <c r="D25" s="190">
        <v>3000000</v>
      </c>
      <c r="E25" s="190">
        <v>3000000</v>
      </c>
      <c r="F25" s="190">
        <v>3000000</v>
      </c>
      <c r="G25" s="190">
        <v>3000000</v>
      </c>
      <c r="H25" s="190">
        <v>3000000</v>
      </c>
      <c r="I25" s="190">
        <v>3000000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row>
    <row r="26" spans="1:54" x14ac:dyDescent="0.25">
      <c r="A26" s="190" t="s">
        <v>130</v>
      </c>
      <c r="B26" s="190">
        <v>22437941450</v>
      </c>
      <c r="C26" s="190">
        <v>21633171469</v>
      </c>
      <c r="D26" s="190">
        <v>20830073817</v>
      </c>
      <c r="E26" s="190">
        <v>20059833772</v>
      </c>
      <c r="F26" s="190">
        <v>19184215848</v>
      </c>
      <c r="G26" s="190">
        <v>20893397474</v>
      </c>
      <c r="H26" s="190">
        <v>20024763725</v>
      </c>
      <c r="I26" s="190">
        <v>19334512433</v>
      </c>
      <c r="J26" s="190">
        <v>18704541970</v>
      </c>
      <c r="K26" s="190">
        <v>18538874624</v>
      </c>
      <c r="L26" s="190">
        <v>18894075129</v>
      </c>
      <c r="M26" s="190">
        <v>18425069796</v>
      </c>
      <c r="N26" s="190">
        <v>19313319200</v>
      </c>
      <c r="O26" s="190">
        <v>18821263521</v>
      </c>
      <c r="P26" s="190">
        <v>18139127007</v>
      </c>
      <c r="Q26" s="190">
        <v>17735147007</v>
      </c>
      <c r="R26" s="190">
        <v>18595660143</v>
      </c>
      <c r="S26" s="190">
        <v>17897163535</v>
      </c>
      <c r="T26" s="190">
        <v>17217097172</v>
      </c>
      <c r="U26" s="190">
        <v>16672097172</v>
      </c>
      <c r="V26" s="190">
        <v>17039699676</v>
      </c>
      <c r="W26" s="190">
        <v>16430233698</v>
      </c>
      <c r="X26" s="190">
        <v>15590413767</v>
      </c>
      <c r="Y26" s="190">
        <v>15000413767</v>
      </c>
      <c r="Z26" s="190">
        <v>15625369901</v>
      </c>
      <c r="AA26" s="190">
        <v>15236212042</v>
      </c>
      <c r="AB26" s="190">
        <v>14642307915</v>
      </c>
      <c r="AC26" s="190">
        <v>14190036535</v>
      </c>
      <c r="AD26" s="190">
        <v>14955569385</v>
      </c>
      <c r="AE26" s="190">
        <v>14494329442</v>
      </c>
      <c r="AF26" s="190">
        <v>14065543542</v>
      </c>
      <c r="AG26" s="190">
        <v>13574856956</v>
      </c>
      <c r="AH26" s="190">
        <v>14248124999</v>
      </c>
      <c r="AI26" s="190">
        <v>65158697</v>
      </c>
      <c r="AJ26" s="190">
        <v>65158697</v>
      </c>
      <c r="AK26" s="190">
        <v>65158697</v>
      </c>
      <c r="AL26" s="190">
        <v>65158697</v>
      </c>
      <c r="AM26" s="190">
        <v>65158697</v>
      </c>
      <c r="AN26" s="190">
        <v>65158697</v>
      </c>
      <c r="AO26" s="190">
        <v>65158697</v>
      </c>
      <c r="AP26" s="190">
        <v>65158697</v>
      </c>
      <c r="AQ26" s="190">
        <v>65158697</v>
      </c>
      <c r="AR26" s="190">
        <v>65158697</v>
      </c>
      <c r="AS26" s="190">
        <v>0</v>
      </c>
      <c r="AT26" s="190">
        <v>0</v>
      </c>
      <c r="AU26" s="190">
        <v>0</v>
      </c>
      <c r="AV26" s="190">
        <v>0</v>
      </c>
      <c r="AW26" s="190">
        <v>0</v>
      </c>
      <c r="AX26" s="190">
        <v>0</v>
      </c>
      <c r="AY26" s="190">
        <v>0</v>
      </c>
      <c r="AZ26" s="190">
        <v>0</v>
      </c>
      <c r="BA26" s="190">
        <v>0</v>
      </c>
      <c r="BB26" s="190">
        <v>0</v>
      </c>
    </row>
    <row r="27" spans="1:54"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row>
    <row r="28" spans="1:54" x14ac:dyDescent="0.25">
      <c r="A28" s="190" t="s">
        <v>132</v>
      </c>
      <c r="B28" s="190">
        <v>70632529677</v>
      </c>
      <c r="C28" s="190">
        <v>71257725590</v>
      </c>
      <c r="D28" s="190">
        <v>71891562895</v>
      </c>
      <c r="E28" s="190">
        <v>73991938165</v>
      </c>
      <c r="F28" s="190">
        <v>68698816712</v>
      </c>
      <c r="G28" s="190">
        <v>68403057722</v>
      </c>
      <c r="H28" s="190">
        <v>69589444768</v>
      </c>
      <c r="I28" s="190">
        <v>70714240844</v>
      </c>
      <c r="J28" s="190">
        <v>67475233015</v>
      </c>
      <c r="K28" s="190">
        <v>68116779254</v>
      </c>
      <c r="L28" s="190">
        <v>69137648496</v>
      </c>
      <c r="M28" s="190">
        <v>69850739173</v>
      </c>
      <c r="N28" s="190">
        <v>60834509210</v>
      </c>
      <c r="O28" s="190">
        <v>60990880703</v>
      </c>
      <c r="P28" s="190">
        <v>62010659882</v>
      </c>
      <c r="Q28" s="190">
        <v>63277422372</v>
      </c>
      <c r="R28" s="190">
        <v>61276548672</v>
      </c>
      <c r="S28" s="190">
        <v>61871915948</v>
      </c>
      <c r="T28" s="190">
        <v>62933882243</v>
      </c>
      <c r="U28" s="190">
        <v>64078559186</v>
      </c>
      <c r="V28" s="190">
        <v>61874145692</v>
      </c>
      <c r="W28" s="190">
        <v>62305013693</v>
      </c>
      <c r="X28" s="190">
        <v>63221747842</v>
      </c>
      <c r="Y28" s="190">
        <v>64281842637</v>
      </c>
      <c r="Z28" s="190">
        <v>62786743080</v>
      </c>
      <c r="AA28" s="190">
        <v>63716884994</v>
      </c>
      <c r="AB28" s="190">
        <v>64614673082</v>
      </c>
      <c r="AC28" s="190">
        <v>65741380000</v>
      </c>
      <c r="AD28" s="190">
        <v>60115419853</v>
      </c>
      <c r="AE28" s="190">
        <v>60986663871</v>
      </c>
      <c r="AF28" s="190">
        <v>61887199781</v>
      </c>
      <c r="AG28" s="190">
        <v>62829156878</v>
      </c>
      <c r="AH28" s="190">
        <v>62717940497</v>
      </c>
      <c r="AI28" s="190">
        <v>49090157499</v>
      </c>
      <c r="AJ28" s="190">
        <v>48651967926</v>
      </c>
      <c r="AK28" s="190">
        <v>48289566375</v>
      </c>
      <c r="AL28" s="190">
        <v>48907137903</v>
      </c>
      <c r="AM28" s="190">
        <v>49347447509</v>
      </c>
      <c r="AN28" s="190">
        <v>46790793078</v>
      </c>
      <c r="AO28" s="190">
        <v>46452245989</v>
      </c>
      <c r="AP28" s="190">
        <v>42560073803</v>
      </c>
      <c r="AQ28" s="190">
        <v>38560629628</v>
      </c>
      <c r="AR28" s="190">
        <v>35608180031</v>
      </c>
      <c r="AS28" s="190">
        <v>34142005444</v>
      </c>
      <c r="AT28" s="190">
        <v>27077285099</v>
      </c>
      <c r="AU28" s="190">
        <v>27436073274</v>
      </c>
      <c r="AV28" s="190">
        <v>27725907430</v>
      </c>
      <c r="AW28" s="190">
        <v>26852455334</v>
      </c>
      <c r="AX28" s="190">
        <v>23907360399</v>
      </c>
      <c r="AY28" s="190">
        <v>22900042620</v>
      </c>
      <c r="AZ28" s="190">
        <v>22705302383</v>
      </c>
      <c r="BA28" s="190">
        <v>12514823657</v>
      </c>
      <c r="BB28" s="190">
        <v>0</v>
      </c>
    </row>
    <row r="29" spans="1:54" x14ac:dyDescent="0.25">
      <c r="A29" s="190" t="s">
        <v>133</v>
      </c>
      <c r="B29" s="190">
        <v>4140557918</v>
      </c>
      <c r="C29" s="190">
        <v>4248785571</v>
      </c>
      <c r="D29" s="190">
        <v>2724180803</v>
      </c>
      <c r="E29" s="190">
        <v>1798810132</v>
      </c>
      <c r="F29" s="190">
        <v>4215703231</v>
      </c>
      <c r="G29" s="190">
        <v>3851652442</v>
      </c>
      <c r="H29" s="190">
        <v>3289716242</v>
      </c>
      <c r="I29" s="190">
        <v>2356979372</v>
      </c>
      <c r="J29" s="190">
        <v>6554346607</v>
      </c>
      <c r="K29" s="190">
        <v>5021800936</v>
      </c>
      <c r="L29" s="190">
        <v>4972884287</v>
      </c>
      <c r="M29" s="190">
        <v>4839477125</v>
      </c>
      <c r="N29" s="190">
        <v>4466562550</v>
      </c>
      <c r="O29" s="190">
        <v>3846832837</v>
      </c>
      <c r="P29" s="190">
        <v>3558232199</v>
      </c>
      <c r="Q29" s="190">
        <v>3344020582</v>
      </c>
      <c r="R29" s="190">
        <v>3892608823</v>
      </c>
      <c r="S29" s="190">
        <v>3652656504</v>
      </c>
      <c r="T29" s="190">
        <v>3236233233</v>
      </c>
      <c r="U29" s="190">
        <v>2989370072</v>
      </c>
      <c r="V29" s="190">
        <v>2507566126</v>
      </c>
      <c r="W29" s="190">
        <v>2100837750</v>
      </c>
      <c r="X29" s="190">
        <v>1949902461</v>
      </c>
      <c r="Y29" s="190">
        <v>1779723164</v>
      </c>
      <c r="Z29" s="190">
        <v>2286234492</v>
      </c>
      <c r="AA29" s="190">
        <v>1461675288</v>
      </c>
      <c r="AB29" s="190">
        <v>852316278</v>
      </c>
      <c r="AC29" s="190">
        <v>659101827</v>
      </c>
      <c r="AD29" s="190">
        <v>5185258571</v>
      </c>
      <c r="AE29" s="190">
        <v>4960142521</v>
      </c>
      <c r="AF29" s="190">
        <v>4775593828</v>
      </c>
      <c r="AG29" s="190">
        <v>4696744833</v>
      </c>
      <c r="AH29" s="190">
        <v>5221872558</v>
      </c>
      <c r="AI29" s="190">
        <v>3094176095</v>
      </c>
      <c r="AJ29" s="190">
        <v>2779758912</v>
      </c>
      <c r="AK29" s="190">
        <v>2357942872</v>
      </c>
      <c r="AL29" s="190">
        <v>2228990224</v>
      </c>
      <c r="AM29" s="190">
        <v>2350371712</v>
      </c>
      <c r="AN29" s="190">
        <v>3362966459</v>
      </c>
      <c r="AO29" s="190">
        <v>3798405996</v>
      </c>
      <c r="AP29" s="190">
        <v>3741648633</v>
      </c>
      <c r="AQ29" s="190">
        <v>2333941131</v>
      </c>
      <c r="AR29" s="190">
        <v>1947207629</v>
      </c>
      <c r="AS29" s="190">
        <v>3049860372</v>
      </c>
      <c r="AT29" s="190">
        <v>1526918370</v>
      </c>
      <c r="AU29" s="190">
        <v>1052359754</v>
      </c>
      <c r="AV29" s="190">
        <v>1147497829</v>
      </c>
      <c r="AW29" s="190">
        <v>1624443852</v>
      </c>
      <c r="AX29" s="190">
        <v>3727101002</v>
      </c>
      <c r="AY29" s="190">
        <v>3529015077</v>
      </c>
      <c r="AZ29" s="190">
        <v>3773658493</v>
      </c>
      <c r="BA29" s="190">
        <v>1820072069</v>
      </c>
      <c r="BB29" s="190">
        <v>0</v>
      </c>
    </row>
    <row r="30" spans="1:54"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4707985</v>
      </c>
      <c r="AE30" s="190">
        <v>4978856</v>
      </c>
      <c r="AF30" s="190">
        <v>4707985</v>
      </c>
      <c r="AG30" s="190">
        <v>4707985</v>
      </c>
      <c r="AH30" s="190">
        <v>4707985</v>
      </c>
      <c r="AI30" s="190">
        <v>4707985</v>
      </c>
      <c r="AJ30" s="190">
        <v>4707985</v>
      </c>
      <c r="AK30" s="190">
        <v>4707985</v>
      </c>
      <c r="AL30" s="190">
        <v>12463620</v>
      </c>
      <c r="AM30" s="190">
        <v>8158660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row>
    <row r="31" spans="1:54" x14ac:dyDescent="0.25">
      <c r="A31" s="190" t="s">
        <v>135</v>
      </c>
      <c r="B31" s="190">
        <v>0</v>
      </c>
      <c r="C31" s="190">
        <v>0</v>
      </c>
      <c r="D31" s="190">
        <v>0</v>
      </c>
      <c r="E31" s="190">
        <v>0</v>
      </c>
      <c r="F31" s="190">
        <v>0</v>
      </c>
      <c r="G31" s="190">
        <v>0</v>
      </c>
      <c r="H31" s="190">
        <v>0</v>
      </c>
      <c r="I31" s="190">
        <v>0</v>
      </c>
      <c r="J31" s="190">
        <v>25870811</v>
      </c>
      <c r="K31" s="190">
        <v>17493176</v>
      </c>
      <c r="L31" s="190">
        <v>0</v>
      </c>
      <c r="M31" s="190">
        <v>0</v>
      </c>
      <c r="N31" s="190">
        <v>3720299</v>
      </c>
      <c r="O31" s="190">
        <v>1066570</v>
      </c>
      <c r="P31" s="190">
        <v>525044</v>
      </c>
      <c r="Q31" s="190">
        <v>0</v>
      </c>
      <c r="R31" s="190">
        <v>0</v>
      </c>
      <c r="S31" s="190">
        <v>0</v>
      </c>
      <c r="T31" s="190">
        <v>0</v>
      </c>
      <c r="U31" s="190">
        <v>0</v>
      </c>
      <c r="V31" s="190">
        <v>4335418</v>
      </c>
      <c r="W31" s="190">
        <v>121569</v>
      </c>
      <c r="X31" s="190">
        <v>3090198</v>
      </c>
      <c r="Y31" s="190">
        <v>0</v>
      </c>
      <c r="Z31" s="190">
        <v>20416433</v>
      </c>
      <c r="AA31" s="190">
        <v>10280545</v>
      </c>
      <c r="AB31" s="190">
        <v>0</v>
      </c>
      <c r="AC31" s="190">
        <v>0</v>
      </c>
      <c r="AD31" s="190">
        <v>1652181</v>
      </c>
      <c r="AE31" s="190">
        <v>1326882</v>
      </c>
      <c r="AF31" s="190">
        <v>0</v>
      </c>
      <c r="AG31" s="190">
        <v>0</v>
      </c>
      <c r="AH31" s="190">
        <v>0</v>
      </c>
      <c r="AI31" s="190">
        <v>-138184</v>
      </c>
      <c r="AJ31" s="190">
        <v>44724</v>
      </c>
      <c r="AK31" s="190">
        <v>0</v>
      </c>
      <c r="AL31" s="190">
        <v>-400443</v>
      </c>
      <c r="AM31" s="190">
        <v>-555926</v>
      </c>
      <c r="AN31" s="190">
        <v>-413160</v>
      </c>
      <c r="AO31" s="190">
        <v>0</v>
      </c>
      <c r="AP31" s="190">
        <v>0</v>
      </c>
      <c r="AQ31" s="190">
        <v>-22622</v>
      </c>
      <c r="AR31" s="190">
        <v>-583640</v>
      </c>
      <c r="AS31" s="190">
        <v>0</v>
      </c>
      <c r="AT31" s="190">
        <v>3860</v>
      </c>
      <c r="AU31" s="190">
        <v>-107839</v>
      </c>
      <c r="AV31" s="190">
        <v>606531</v>
      </c>
      <c r="AW31" s="190">
        <v>0</v>
      </c>
      <c r="AX31" s="190">
        <v>0</v>
      </c>
      <c r="AY31" s="190">
        <v>0</v>
      </c>
      <c r="AZ31" s="190">
        <v>0</v>
      </c>
      <c r="BA31" s="190">
        <v>0</v>
      </c>
      <c r="BB31" s="190">
        <v>0</v>
      </c>
    </row>
    <row r="32" spans="1:54"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row>
    <row r="33" spans="1:54"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row>
    <row r="34" spans="1:54"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row>
    <row r="35" spans="1:54" x14ac:dyDescent="0.25">
      <c r="A35" s="190" t="s">
        <v>139</v>
      </c>
      <c r="B35" s="190">
        <v>6486907048</v>
      </c>
      <c r="C35" s="190">
        <v>6515880429</v>
      </c>
      <c r="D35" s="190">
        <v>5807573825</v>
      </c>
      <c r="E35" s="190">
        <v>5837763475</v>
      </c>
      <c r="F35" s="190">
        <v>5585812656</v>
      </c>
      <c r="G35" s="190">
        <v>5632945435</v>
      </c>
      <c r="H35" s="190">
        <v>4473588207</v>
      </c>
      <c r="I35" s="190">
        <v>4503874335</v>
      </c>
      <c r="J35" s="190">
        <v>3934432413</v>
      </c>
      <c r="K35" s="190">
        <v>3962843096</v>
      </c>
      <c r="L35" s="190">
        <v>3991291816</v>
      </c>
      <c r="M35" s="190">
        <v>4019831595</v>
      </c>
      <c r="N35" s="190">
        <v>4048138979</v>
      </c>
      <c r="O35" s="190">
        <v>4076693491</v>
      </c>
      <c r="P35" s="190">
        <v>4105290459</v>
      </c>
      <c r="Q35" s="190">
        <v>4133699753</v>
      </c>
      <c r="R35" s="190">
        <v>4161896674</v>
      </c>
      <c r="S35" s="190">
        <v>4189340778</v>
      </c>
      <c r="T35" s="190">
        <v>4217748007</v>
      </c>
      <c r="U35" s="190">
        <v>4246232249</v>
      </c>
      <c r="V35" s="190">
        <v>4266746858</v>
      </c>
      <c r="W35" s="190">
        <v>4292030904</v>
      </c>
      <c r="X35" s="190">
        <v>4319142924</v>
      </c>
      <c r="Y35" s="190">
        <v>4346532326</v>
      </c>
      <c r="Z35" s="190">
        <v>4363407863</v>
      </c>
      <c r="AA35" s="190">
        <v>4389130052</v>
      </c>
      <c r="AB35" s="190">
        <v>4415342125</v>
      </c>
      <c r="AC35" s="190">
        <v>4441561063</v>
      </c>
      <c r="AD35" s="190">
        <v>4466275363</v>
      </c>
      <c r="AE35" s="190">
        <v>4492412980</v>
      </c>
      <c r="AF35" s="190">
        <v>4516926468</v>
      </c>
      <c r="AG35" s="190">
        <v>4542202487</v>
      </c>
      <c r="AH35" s="190">
        <v>4576665631</v>
      </c>
      <c r="AI35" s="190">
        <v>4592737917</v>
      </c>
      <c r="AJ35" s="190">
        <v>4618687283</v>
      </c>
      <c r="AK35" s="190">
        <v>4644636650</v>
      </c>
      <c r="AL35" s="190">
        <v>4648792024</v>
      </c>
      <c r="AM35" s="190">
        <v>4674741390</v>
      </c>
      <c r="AN35" s="190">
        <v>4700690757</v>
      </c>
      <c r="AO35" s="190">
        <v>4726640123</v>
      </c>
      <c r="AP35" s="190">
        <v>4752753802</v>
      </c>
      <c r="AQ35" s="190">
        <v>4778703170</v>
      </c>
      <c r="AR35" s="190">
        <v>4804652536</v>
      </c>
      <c r="AS35" s="190">
        <v>4830601903</v>
      </c>
      <c r="AT35" s="190">
        <v>4856257331</v>
      </c>
      <c r="AU35" s="190">
        <v>4882206698</v>
      </c>
      <c r="AV35" s="190">
        <v>4908156064</v>
      </c>
      <c r="AW35" s="190">
        <v>4934105431</v>
      </c>
      <c r="AX35" s="190">
        <v>4959987298</v>
      </c>
      <c r="AY35" s="190">
        <v>4985666664</v>
      </c>
      <c r="AZ35" s="190">
        <v>5037565397</v>
      </c>
      <c r="BA35" s="190">
        <v>2377012212</v>
      </c>
      <c r="BB35" s="190">
        <v>0</v>
      </c>
    </row>
    <row r="36" spans="1:54" x14ac:dyDescent="0.25">
      <c r="A36" s="190" t="s">
        <v>140</v>
      </c>
      <c r="B36" s="190">
        <v>47878302</v>
      </c>
      <c r="C36" s="190">
        <v>47878302</v>
      </c>
      <c r="D36" s="190">
        <v>47878302</v>
      </c>
      <c r="E36" s="190">
        <v>47878302</v>
      </c>
      <c r="F36" s="190">
        <v>47878302</v>
      </c>
      <c r="G36" s="190">
        <v>31669811</v>
      </c>
      <c r="H36" s="190">
        <v>20864151</v>
      </c>
      <c r="I36" s="190">
        <v>16471698</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row>
    <row r="37" spans="1:54" x14ac:dyDescent="0.25">
      <c r="A37" s="190" t="s">
        <v>141</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row>
    <row r="38" spans="1:54" x14ac:dyDescent="0.25">
      <c r="A38" s="190" t="s">
        <v>142</v>
      </c>
      <c r="B38" s="190">
        <v>64944171</v>
      </c>
      <c r="C38" s="190">
        <v>69601908</v>
      </c>
      <c r="D38" s="190">
        <v>70497107</v>
      </c>
      <c r="E38" s="190">
        <v>76079943</v>
      </c>
      <c r="F38" s="190">
        <v>58178771</v>
      </c>
      <c r="G38" s="190">
        <v>20153870</v>
      </c>
      <c r="H38" s="190">
        <v>2398348</v>
      </c>
      <c r="I38" s="190">
        <v>1811288</v>
      </c>
      <c r="J38" s="190">
        <v>4715682</v>
      </c>
      <c r="K38" s="190">
        <v>4031268</v>
      </c>
      <c r="L38" s="190">
        <v>3711716</v>
      </c>
      <c r="M38" s="190">
        <v>4074166</v>
      </c>
      <c r="N38" s="190">
        <v>6854756</v>
      </c>
      <c r="O38" s="190">
        <v>11767572</v>
      </c>
      <c r="P38" s="190">
        <v>27577459</v>
      </c>
      <c r="Q38" s="190">
        <v>35429098</v>
      </c>
      <c r="R38" s="190">
        <v>44401007</v>
      </c>
      <c r="S38" s="190">
        <v>45769243</v>
      </c>
      <c r="T38" s="190">
        <v>45617699</v>
      </c>
      <c r="U38" s="190">
        <v>59987636</v>
      </c>
      <c r="V38" s="190">
        <v>62812709</v>
      </c>
      <c r="W38" s="190">
        <v>66318280</v>
      </c>
      <c r="X38" s="190">
        <v>73447372</v>
      </c>
      <c r="Y38" s="190">
        <v>79962023</v>
      </c>
      <c r="Z38" s="190">
        <v>71692679</v>
      </c>
      <c r="AA38" s="190">
        <v>50526199</v>
      </c>
      <c r="AB38" s="190">
        <v>0</v>
      </c>
      <c r="AC38" s="190">
        <v>53015</v>
      </c>
      <c r="AD38" s="190">
        <v>95706</v>
      </c>
      <c r="AE38" s="190">
        <v>138145</v>
      </c>
      <c r="AF38" s="190">
        <v>240517</v>
      </c>
      <c r="AG38" s="190">
        <v>1727727</v>
      </c>
      <c r="AH38" s="190">
        <v>11019693</v>
      </c>
      <c r="AI38" s="190">
        <v>2697557</v>
      </c>
      <c r="AJ38" s="190">
        <v>3968654</v>
      </c>
      <c r="AK38" s="190">
        <v>5140111</v>
      </c>
      <c r="AL38" s="190">
        <v>6357611</v>
      </c>
      <c r="AM38" s="190">
        <v>7685476</v>
      </c>
      <c r="AN38" s="190">
        <v>9020239</v>
      </c>
      <c r="AO38" s="190">
        <v>10008748</v>
      </c>
      <c r="AP38" s="190">
        <v>10747480</v>
      </c>
      <c r="AQ38" s="190">
        <v>11597768</v>
      </c>
      <c r="AR38" s="190">
        <v>11643614</v>
      </c>
      <c r="AS38" s="190">
        <v>8358225</v>
      </c>
      <c r="AT38" s="190">
        <v>0</v>
      </c>
      <c r="AU38" s="190">
        <v>0</v>
      </c>
      <c r="AV38" s="190">
        <v>0</v>
      </c>
      <c r="AW38" s="190">
        <v>0</v>
      </c>
      <c r="AX38" s="190">
        <v>160566</v>
      </c>
      <c r="AY38" s="190">
        <v>20835846</v>
      </c>
      <c r="AZ38" s="190">
        <v>21210360</v>
      </c>
      <c r="BA38" s="190">
        <v>638713</v>
      </c>
      <c r="BB38" s="190">
        <v>0</v>
      </c>
    </row>
    <row r="39" spans="1:54" x14ac:dyDescent="0.25">
      <c r="A39" s="190" t="s">
        <v>143</v>
      </c>
      <c r="B39" s="190">
        <v>1385776705</v>
      </c>
      <c r="C39" s="190">
        <v>1387348788</v>
      </c>
      <c r="D39" s="190">
        <v>1366319121</v>
      </c>
      <c r="E39" s="190">
        <v>1365120150</v>
      </c>
      <c r="F39" s="190">
        <v>1355401674</v>
      </c>
      <c r="G39" s="190">
        <v>1356805200</v>
      </c>
      <c r="H39" s="190">
        <v>1291864008</v>
      </c>
      <c r="I39" s="190">
        <v>1292134859</v>
      </c>
      <c r="J39" s="190">
        <v>1262318906</v>
      </c>
      <c r="K39" s="190">
        <v>1263791968</v>
      </c>
      <c r="L39" s="190">
        <v>1244527027</v>
      </c>
      <c r="M39" s="190">
        <v>1244936576</v>
      </c>
      <c r="N39" s="190">
        <v>1328197336</v>
      </c>
      <c r="O39" s="190">
        <v>1340613814</v>
      </c>
      <c r="P39" s="190">
        <v>1413416058</v>
      </c>
      <c r="Q39" s="190">
        <v>1293233042</v>
      </c>
      <c r="R39" s="190">
        <v>1285266110</v>
      </c>
      <c r="S39" s="190">
        <v>1282702012</v>
      </c>
      <c r="T39" s="190">
        <v>1296032407</v>
      </c>
      <c r="U39" s="190">
        <v>1314823158</v>
      </c>
      <c r="V39" s="190">
        <v>1330693973</v>
      </c>
      <c r="W39" s="190">
        <v>1350458036</v>
      </c>
      <c r="X39" s="190">
        <v>1378511235</v>
      </c>
      <c r="Y39" s="190">
        <v>1389986163</v>
      </c>
      <c r="Z39" s="190">
        <v>12843820</v>
      </c>
      <c r="AA39" s="190">
        <v>12843820</v>
      </c>
      <c r="AB39" s="190">
        <v>92968322</v>
      </c>
      <c r="AC39" s="190">
        <v>92968322</v>
      </c>
      <c r="AD39" s="190">
        <v>100049930</v>
      </c>
      <c r="AE39" s="190">
        <v>100049930</v>
      </c>
      <c r="AF39" s="190">
        <v>252621076</v>
      </c>
      <c r="AG39" s="190">
        <v>243100326</v>
      </c>
      <c r="AH39" s="190">
        <v>103587576</v>
      </c>
      <c r="AI39" s="190">
        <v>103587576</v>
      </c>
      <c r="AJ39" s="190">
        <v>93703407</v>
      </c>
      <c r="AK39" s="190">
        <v>93703407</v>
      </c>
      <c r="AL39" s="190">
        <v>86030617</v>
      </c>
      <c r="AM39" s="190">
        <v>86030617</v>
      </c>
      <c r="AN39" s="190">
        <v>81149858</v>
      </c>
      <c r="AO39" s="190">
        <v>81149858</v>
      </c>
      <c r="AP39" s="190">
        <v>81749858</v>
      </c>
      <c r="AQ39" s="190">
        <v>81749858</v>
      </c>
      <c r="AR39" s="190">
        <v>81749858</v>
      </c>
      <c r="AS39" s="190">
        <v>81749858</v>
      </c>
      <c r="AT39" s="190">
        <v>69097477</v>
      </c>
      <c r="AU39" s="190">
        <v>58512361</v>
      </c>
      <c r="AV39" s="190">
        <v>58022519</v>
      </c>
      <c r="AW39" s="190">
        <v>0</v>
      </c>
      <c r="AX39" s="190">
        <v>0</v>
      </c>
      <c r="AY39" s="190">
        <v>0</v>
      </c>
      <c r="AZ39" s="190">
        <v>0</v>
      </c>
      <c r="BA39" s="190">
        <v>0</v>
      </c>
      <c r="BB39" s="190">
        <v>0</v>
      </c>
    </row>
    <row r="40" spans="1:54" x14ac:dyDescent="0.25">
      <c r="A40" s="190" t="s">
        <v>144</v>
      </c>
      <c r="B40" s="190">
        <v>762822292</v>
      </c>
      <c r="C40" s="190">
        <v>617665166</v>
      </c>
      <c r="D40" s="190">
        <v>2572439112</v>
      </c>
      <c r="E40" s="190">
        <v>1996349112</v>
      </c>
      <c r="F40" s="190">
        <v>2123538089</v>
      </c>
      <c r="G40" s="190">
        <v>1992239254</v>
      </c>
      <c r="H40" s="190">
        <v>2940782562</v>
      </c>
      <c r="I40" s="190">
        <v>3084913161</v>
      </c>
      <c r="J40" s="190">
        <v>1119838100</v>
      </c>
      <c r="K40" s="190">
        <v>442027940</v>
      </c>
      <c r="L40" s="190">
        <v>419378302</v>
      </c>
      <c r="M40" s="190">
        <v>229933758</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63448731</v>
      </c>
      <c r="AI40" s="190">
        <v>5200000000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row>
    <row r="41" spans="1:54" x14ac:dyDescent="0.25">
      <c r="A41" s="190" t="s">
        <v>145</v>
      </c>
      <c r="B41" s="190">
        <v>106027516260</v>
      </c>
      <c r="C41" s="190">
        <v>105846215920</v>
      </c>
      <c r="D41" s="190">
        <v>105378683679</v>
      </c>
      <c r="E41" s="190">
        <v>105241931748</v>
      </c>
      <c r="F41" s="190">
        <v>101337703980</v>
      </c>
      <c r="G41" s="190">
        <v>102250079905</v>
      </c>
      <c r="H41" s="190">
        <v>101701580708</v>
      </c>
      <c r="I41" s="190">
        <v>101373096687</v>
      </c>
      <c r="J41" s="190">
        <v>99146456201</v>
      </c>
      <c r="K41" s="190">
        <v>97432800959</v>
      </c>
      <c r="L41" s="190">
        <v>98728675470</v>
      </c>
      <c r="M41" s="190">
        <v>98679220886</v>
      </c>
      <c r="N41" s="190">
        <v>90066461027</v>
      </c>
      <c r="O41" s="190">
        <v>89154277205</v>
      </c>
      <c r="P41" s="190">
        <v>89319986805</v>
      </c>
      <c r="Q41" s="190">
        <v>89884110551</v>
      </c>
      <c r="R41" s="190">
        <v>89321540126</v>
      </c>
      <c r="S41" s="190">
        <v>88939548020</v>
      </c>
      <c r="T41" s="190">
        <v>88946610761</v>
      </c>
      <c r="U41" s="190">
        <v>89361069473</v>
      </c>
      <c r="V41" s="190">
        <v>87086000452</v>
      </c>
      <c r="W41" s="190">
        <v>86545013930</v>
      </c>
      <c r="X41" s="190">
        <v>86536255799</v>
      </c>
      <c r="Y41" s="190">
        <v>86878460080</v>
      </c>
      <c r="Z41" s="190">
        <v>85166708268</v>
      </c>
      <c r="AA41" s="190">
        <v>84877552940</v>
      </c>
      <c r="AB41" s="190">
        <v>84617607722</v>
      </c>
      <c r="AC41" s="190">
        <v>85125100762</v>
      </c>
      <c r="AD41" s="190">
        <v>84829028974</v>
      </c>
      <c r="AE41" s="190">
        <v>85040042627</v>
      </c>
      <c r="AF41" s="190">
        <v>85502833197</v>
      </c>
      <c r="AG41" s="190">
        <v>85892497192</v>
      </c>
      <c r="AH41" s="190">
        <v>86947367670</v>
      </c>
      <c r="AI41" s="190">
        <v>62153085142</v>
      </c>
      <c r="AJ41" s="190">
        <v>56217997588</v>
      </c>
      <c r="AK41" s="190">
        <v>55460856097</v>
      </c>
      <c r="AL41" s="190">
        <v>55954530253</v>
      </c>
      <c r="AM41" s="190">
        <v>56539038135</v>
      </c>
      <c r="AN41" s="190">
        <v>55009365928</v>
      </c>
      <c r="AO41" s="190">
        <v>55133609411</v>
      </c>
      <c r="AP41" s="190">
        <v>51212132273</v>
      </c>
      <c r="AQ41" s="190">
        <v>45831757630</v>
      </c>
      <c r="AR41" s="190">
        <v>42518008725</v>
      </c>
      <c r="AS41" s="190">
        <v>42112575802</v>
      </c>
      <c r="AT41" s="190">
        <v>33529562137</v>
      </c>
      <c r="AU41" s="190">
        <v>33429044248</v>
      </c>
      <c r="AV41" s="190">
        <v>33840190373</v>
      </c>
      <c r="AW41" s="190">
        <v>33411004617</v>
      </c>
      <c r="AX41" s="190">
        <v>32594609265</v>
      </c>
      <c r="AY41" s="190">
        <v>31435560207</v>
      </c>
      <c r="AZ41" s="190">
        <v>31537736633</v>
      </c>
      <c r="BA41" s="190">
        <v>16712546651</v>
      </c>
      <c r="BB41" s="190">
        <v>0</v>
      </c>
    </row>
    <row r="42" spans="1:54" x14ac:dyDescent="0.25">
      <c r="A42" s="190" t="s">
        <v>146</v>
      </c>
      <c r="B42" s="190">
        <v>132925564622</v>
      </c>
      <c r="C42" s="190">
        <v>126993720283</v>
      </c>
      <c r="D42" s="190">
        <v>131526717699</v>
      </c>
      <c r="E42" s="190">
        <v>127686513130</v>
      </c>
      <c r="F42" s="190">
        <v>129069527316</v>
      </c>
      <c r="G42" s="190">
        <v>121285792564</v>
      </c>
      <c r="H42" s="190">
        <v>127705640240</v>
      </c>
      <c r="I42" s="190">
        <v>123483133490</v>
      </c>
      <c r="J42" s="190">
        <v>119307675285</v>
      </c>
      <c r="K42" s="190">
        <v>122286850040</v>
      </c>
      <c r="L42" s="190">
        <v>113251618676</v>
      </c>
      <c r="M42" s="190">
        <v>114548785063</v>
      </c>
      <c r="N42" s="190">
        <v>108092006863</v>
      </c>
      <c r="O42" s="190">
        <v>104915832716</v>
      </c>
      <c r="P42" s="190">
        <v>109562639449</v>
      </c>
      <c r="Q42" s="190">
        <v>106334344258</v>
      </c>
      <c r="R42" s="190">
        <v>109996424514</v>
      </c>
      <c r="S42" s="190">
        <v>102675608405</v>
      </c>
      <c r="T42" s="190">
        <v>106579671772</v>
      </c>
      <c r="U42" s="190">
        <v>103955316445</v>
      </c>
      <c r="V42" s="190">
        <v>100371969719</v>
      </c>
      <c r="W42" s="190">
        <v>98943387595</v>
      </c>
      <c r="X42" s="190">
        <v>102274620821</v>
      </c>
      <c r="Y42" s="190">
        <v>100387671397</v>
      </c>
      <c r="Z42" s="190">
        <v>95513623706</v>
      </c>
      <c r="AA42" s="190">
        <v>97221153899</v>
      </c>
      <c r="AB42" s="190">
        <v>95411269256</v>
      </c>
      <c r="AC42" s="190">
        <v>94120726546</v>
      </c>
      <c r="AD42" s="190">
        <v>94438045680</v>
      </c>
      <c r="AE42" s="190">
        <v>99233275363</v>
      </c>
      <c r="AF42" s="190">
        <v>98107732194</v>
      </c>
      <c r="AG42" s="190">
        <v>100146215174</v>
      </c>
      <c r="AH42" s="190">
        <v>96867821061</v>
      </c>
      <c r="AI42" s="190">
        <v>68542367231</v>
      </c>
      <c r="AJ42" s="190">
        <v>66250923451</v>
      </c>
      <c r="AK42" s="190">
        <v>67944111180</v>
      </c>
      <c r="AL42" s="190">
        <v>66703219503</v>
      </c>
      <c r="AM42" s="190">
        <v>66281518386</v>
      </c>
      <c r="AN42" s="190">
        <v>63324707404</v>
      </c>
      <c r="AO42" s="190">
        <v>62424338894</v>
      </c>
      <c r="AP42" s="190">
        <v>58379665468</v>
      </c>
      <c r="AQ42" s="190">
        <v>55727921542</v>
      </c>
      <c r="AR42" s="190">
        <v>51457024594</v>
      </c>
      <c r="AS42" s="190">
        <v>51107589240</v>
      </c>
      <c r="AT42" s="190">
        <v>41952778246</v>
      </c>
      <c r="AU42" s="190">
        <v>39269864463</v>
      </c>
      <c r="AV42" s="190">
        <v>41756433884</v>
      </c>
      <c r="AW42" s="190">
        <v>41017362895</v>
      </c>
      <c r="AX42" s="190">
        <v>38869352294</v>
      </c>
      <c r="AY42" s="190">
        <v>37023846114</v>
      </c>
      <c r="AZ42" s="190">
        <v>37847770936</v>
      </c>
      <c r="BA42" s="190">
        <v>17550569801</v>
      </c>
      <c r="BB42" s="190">
        <v>0</v>
      </c>
    </row>
    <row r="43" spans="1:54" x14ac:dyDescent="0.25">
      <c r="A43" s="190" t="s">
        <v>147</v>
      </c>
    </row>
    <row r="44" spans="1:54"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1950000000</v>
      </c>
      <c r="AE44" s="190">
        <v>9450000000</v>
      </c>
      <c r="AF44" s="190">
        <v>9450000000</v>
      </c>
      <c r="AG44" s="190">
        <v>12450000000</v>
      </c>
      <c r="AH44" s="190">
        <v>12450000000</v>
      </c>
      <c r="AI44" s="190">
        <v>0</v>
      </c>
      <c r="AJ44" s="190">
        <v>0</v>
      </c>
      <c r="AK44" s="190">
        <v>3100000000</v>
      </c>
      <c r="AL44" s="190">
        <v>3500000000</v>
      </c>
      <c r="AM44" s="190">
        <v>0</v>
      </c>
      <c r="AN44" s="190">
        <v>0</v>
      </c>
      <c r="AO44" s="190">
        <v>0</v>
      </c>
      <c r="AP44" s="190">
        <v>0</v>
      </c>
      <c r="AQ44" s="190">
        <v>0</v>
      </c>
      <c r="AR44" s="190">
        <v>0</v>
      </c>
      <c r="AS44" s="190">
        <v>0</v>
      </c>
      <c r="AT44" s="190">
        <v>0</v>
      </c>
      <c r="AU44" s="190">
        <v>0</v>
      </c>
      <c r="AV44" s="190">
        <v>0</v>
      </c>
      <c r="AW44" s="190">
        <v>0</v>
      </c>
      <c r="AX44" s="190">
        <v>0</v>
      </c>
      <c r="AY44" s="190">
        <v>5000000000</v>
      </c>
      <c r="AZ44" s="190">
        <v>5000000000</v>
      </c>
      <c r="BA44" s="190">
        <v>0</v>
      </c>
      <c r="BB44" s="190">
        <v>0</v>
      </c>
    </row>
    <row r="45" spans="1:54"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row>
    <row r="46" spans="1:54" x14ac:dyDescent="0.25">
      <c r="A46" s="190" t="s">
        <v>150</v>
      </c>
      <c r="B46" s="190">
        <v>0</v>
      </c>
      <c r="C46" s="190">
        <v>1080830000</v>
      </c>
      <c r="D46" s="190">
        <v>876090000</v>
      </c>
      <c r="E46" s="190">
        <v>500000000</v>
      </c>
      <c r="F46" s="190">
        <v>0</v>
      </c>
      <c r="G46" s="190">
        <v>0</v>
      </c>
      <c r="H46" s="190">
        <v>54600000</v>
      </c>
      <c r="I46" s="190">
        <v>31400000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row>
    <row r="47" spans="1:54" x14ac:dyDescent="0.25">
      <c r="A47" s="190" t="s">
        <v>151</v>
      </c>
      <c r="B47" s="190">
        <v>0</v>
      </c>
      <c r="C47" s="190">
        <v>3248636933</v>
      </c>
      <c r="D47" s="190">
        <v>3216167136</v>
      </c>
      <c r="E47" s="190">
        <v>3277621186</v>
      </c>
      <c r="F47" s="190">
        <v>3761958429</v>
      </c>
      <c r="G47" s="190">
        <v>3381107574</v>
      </c>
      <c r="H47" s="190">
        <v>4350992013</v>
      </c>
      <c r="I47" s="190">
        <v>3228153659</v>
      </c>
      <c r="J47" s="190">
        <v>3567332225</v>
      </c>
      <c r="K47" s="190">
        <v>3090282030</v>
      </c>
      <c r="L47" s="190">
        <v>1298839920</v>
      </c>
      <c r="M47" s="190">
        <v>3122054995</v>
      </c>
      <c r="N47" s="190">
        <v>3152986272</v>
      </c>
      <c r="O47" s="190">
        <v>3844043666</v>
      </c>
      <c r="P47" s="190">
        <v>5976532038</v>
      </c>
      <c r="Q47" s="190">
        <v>3943812496</v>
      </c>
      <c r="R47" s="190">
        <v>4764935233</v>
      </c>
      <c r="S47" s="190">
        <v>4133494703</v>
      </c>
      <c r="T47" s="190">
        <v>5012673474</v>
      </c>
      <c r="U47" s="190">
        <v>3554961816</v>
      </c>
      <c r="V47" s="190">
        <v>4405586964</v>
      </c>
      <c r="W47" s="190">
        <v>3316601818</v>
      </c>
      <c r="X47" s="190">
        <v>5114626964</v>
      </c>
      <c r="Y47" s="190">
        <v>3747270059</v>
      </c>
      <c r="Z47" s="190">
        <v>3819552230</v>
      </c>
      <c r="AA47" s="190">
        <v>3494583414</v>
      </c>
      <c r="AB47" s="190">
        <v>2804163935</v>
      </c>
      <c r="AC47" s="190">
        <v>3725845561</v>
      </c>
      <c r="AD47" s="190">
        <v>3535646592</v>
      </c>
      <c r="AE47" s="190">
        <v>3179992687</v>
      </c>
      <c r="AF47" s="190">
        <v>2504322290</v>
      </c>
      <c r="AG47" s="190">
        <v>2717114275</v>
      </c>
      <c r="AH47" s="190">
        <v>3278794089</v>
      </c>
      <c r="AI47" s="190">
        <v>2078223049</v>
      </c>
      <c r="AJ47" s="190">
        <v>1394133154</v>
      </c>
      <c r="AK47" s="190">
        <v>2441597987</v>
      </c>
      <c r="AL47" s="190">
        <v>1371626959</v>
      </c>
      <c r="AM47" s="190">
        <v>1286866094</v>
      </c>
      <c r="AN47" s="190">
        <v>1320502754</v>
      </c>
      <c r="AO47" s="190">
        <v>1918297902</v>
      </c>
      <c r="AP47" s="190">
        <v>1523285306</v>
      </c>
      <c r="AQ47" s="190">
        <v>1408983077</v>
      </c>
      <c r="AR47" s="190">
        <v>1063038763</v>
      </c>
      <c r="AS47" s="190">
        <v>1187297891</v>
      </c>
      <c r="AT47" s="190">
        <v>1193631402</v>
      </c>
      <c r="AU47" s="190">
        <v>1207626784</v>
      </c>
      <c r="AV47" s="190">
        <v>978412587</v>
      </c>
      <c r="AW47" s="190">
        <v>1833782552</v>
      </c>
      <c r="AX47" s="190">
        <v>888655732</v>
      </c>
      <c r="AY47" s="190">
        <v>1110685530</v>
      </c>
      <c r="AZ47" s="190">
        <v>1511778682</v>
      </c>
      <c r="BA47" s="190">
        <v>748720576</v>
      </c>
      <c r="BB47" s="190">
        <v>0</v>
      </c>
    </row>
    <row r="48" spans="1:54" x14ac:dyDescent="0.25">
      <c r="A48" s="190" t="s">
        <v>152</v>
      </c>
      <c r="B48" s="190">
        <v>2439287289</v>
      </c>
      <c r="C48" s="190">
        <v>1164773320</v>
      </c>
      <c r="D48" s="190">
        <v>1076328532</v>
      </c>
      <c r="E48" s="190">
        <v>1402783083</v>
      </c>
      <c r="F48" s="190">
        <v>2525087537</v>
      </c>
      <c r="G48" s="190">
        <v>1002100067</v>
      </c>
      <c r="H48" s="190">
        <v>1062210133</v>
      </c>
      <c r="I48" s="190">
        <v>1274584235</v>
      </c>
      <c r="J48" s="190">
        <v>1730234168</v>
      </c>
      <c r="K48" s="190">
        <v>604606717</v>
      </c>
      <c r="L48" s="190">
        <v>660414775</v>
      </c>
      <c r="M48" s="190">
        <v>1006652758</v>
      </c>
      <c r="N48" s="190">
        <v>1584986030</v>
      </c>
      <c r="O48" s="190">
        <v>586771162</v>
      </c>
      <c r="P48" s="190">
        <v>690772758</v>
      </c>
      <c r="Q48" s="190">
        <v>1102685048</v>
      </c>
      <c r="R48" s="190">
        <v>1866825835</v>
      </c>
      <c r="S48" s="190">
        <v>632207157</v>
      </c>
      <c r="T48" s="190">
        <v>593849723</v>
      </c>
      <c r="U48" s="190">
        <v>844970022</v>
      </c>
      <c r="V48" s="190">
        <v>1608436440</v>
      </c>
      <c r="W48" s="190">
        <v>646027903</v>
      </c>
      <c r="X48" s="190">
        <v>504627263</v>
      </c>
      <c r="Y48" s="190">
        <v>1007641900</v>
      </c>
      <c r="Z48" s="190">
        <v>1072021966</v>
      </c>
      <c r="AA48" s="190">
        <v>627208550</v>
      </c>
      <c r="AB48" s="190">
        <v>756235638</v>
      </c>
      <c r="AC48" s="190">
        <v>559024715</v>
      </c>
      <c r="AD48" s="190">
        <v>948123345</v>
      </c>
      <c r="AE48" s="190">
        <v>485426136</v>
      </c>
      <c r="AF48" s="190">
        <v>523506425</v>
      </c>
      <c r="AG48" s="190">
        <v>535626014</v>
      </c>
      <c r="AH48" s="190">
        <v>373743122</v>
      </c>
      <c r="AI48" s="190">
        <v>170929107</v>
      </c>
      <c r="AJ48" s="190">
        <v>108010938</v>
      </c>
      <c r="AK48" s="190">
        <v>146487117</v>
      </c>
      <c r="AL48" s="190">
        <v>203470130</v>
      </c>
      <c r="AM48" s="190">
        <v>103128775</v>
      </c>
      <c r="AN48" s="190">
        <v>96699858</v>
      </c>
      <c r="AO48" s="190">
        <v>108506822</v>
      </c>
      <c r="AP48" s="190">
        <v>224685441</v>
      </c>
      <c r="AQ48" s="190">
        <v>177739204</v>
      </c>
      <c r="AR48" s="190">
        <v>108506553</v>
      </c>
      <c r="AS48" s="190">
        <v>167325003</v>
      </c>
      <c r="AT48" s="190">
        <v>371014172</v>
      </c>
      <c r="AU48" s="190">
        <v>166724398</v>
      </c>
      <c r="AV48" s="190">
        <v>153267220</v>
      </c>
      <c r="AW48" s="190">
        <v>198072060</v>
      </c>
      <c r="AX48" s="190">
        <v>288412809</v>
      </c>
      <c r="AY48" s="190">
        <v>113186573</v>
      </c>
      <c r="AZ48" s="190">
        <v>88331109</v>
      </c>
      <c r="BA48" s="190">
        <v>988669</v>
      </c>
      <c r="BB48" s="190">
        <v>0</v>
      </c>
    </row>
    <row r="49" spans="1:54"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row>
    <row r="50" spans="1:54" x14ac:dyDescent="0.25">
      <c r="A50" s="190" t="s">
        <v>154</v>
      </c>
      <c r="B50" s="190">
        <v>1094915361</v>
      </c>
      <c r="C50" s="190">
        <v>920694207</v>
      </c>
      <c r="D50" s="190">
        <v>876158547</v>
      </c>
      <c r="E50" s="190">
        <v>765288355</v>
      </c>
      <c r="F50" s="190">
        <v>871997590</v>
      </c>
      <c r="G50" s="190">
        <v>952136690</v>
      </c>
      <c r="H50" s="190">
        <v>789064149</v>
      </c>
      <c r="I50" s="190">
        <v>786987706</v>
      </c>
      <c r="J50" s="190">
        <v>754416528</v>
      </c>
      <c r="K50" s="190">
        <v>802530769</v>
      </c>
      <c r="L50" s="190">
        <v>778578178</v>
      </c>
      <c r="M50" s="190">
        <v>642540095</v>
      </c>
      <c r="N50" s="190">
        <v>509598009</v>
      </c>
      <c r="O50" s="190">
        <v>509272303</v>
      </c>
      <c r="P50" s="190">
        <v>395802693</v>
      </c>
      <c r="Q50" s="190">
        <v>440209425</v>
      </c>
      <c r="R50" s="190">
        <v>552193425</v>
      </c>
      <c r="S50" s="190">
        <v>619159585</v>
      </c>
      <c r="T50" s="190">
        <v>505739380</v>
      </c>
      <c r="U50" s="190">
        <v>432745632</v>
      </c>
      <c r="V50" s="190">
        <v>698832500</v>
      </c>
      <c r="W50" s="190">
        <v>453540506</v>
      </c>
      <c r="X50" s="190">
        <v>379567077</v>
      </c>
      <c r="Y50" s="190">
        <v>363905760</v>
      </c>
      <c r="Z50" s="190">
        <v>367869107</v>
      </c>
      <c r="AA50" s="190">
        <v>402705580</v>
      </c>
      <c r="AB50" s="190">
        <v>643848168</v>
      </c>
      <c r="AC50" s="190">
        <v>645730169</v>
      </c>
      <c r="AD50" s="190">
        <v>936266124</v>
      </c>
      <c r="AE50" s="190">
        <v>729312629</v>
      </c>
      <c r="AF50" s="190">
        <v>736094910</v>
      </c>
      <c r="AG50" s="190">
        <v>700093329</v>
      </c>
      <c r="AH50" s="190">
        <v>703946300</v>
      </c>
      <c r="AI50" s="190">
        <v>613602154</v>
      </c>
      <c r="AJ50" s="190">
        <v>632767454</v>
      </c>
      <c r="AK50" s="190">
        <v>591706601</v>
      </c>
      <c r="AL50" s="190">
        <v>689580475</v>
      </c>
      <c r="AM50" s="190">
        <v>630911103</v>
      </c>
      <c r="AN50" s="190">
        <v>625534250</v>
      </c>
      <c r="AO50" s="190">
        <v>604654595</v>
      </c>
      <c r="AP50" s="190">
        <v>741375266</v>
      </c>
      <c r="AQ50" s="190">
        <v>675759078</v>
      </c>
      <c r="AR50" s="190">
        <v>543621765</v>
      </c>
      <c r="AS50" s="190">
        <v>552672418</v>
      </c>
      <c r="AT50" s="190">
        <v>514619584</v>
      </c>
      <c r="AU50" s="190">
        <v>478906661</v>
      </c>
      <c r="AV50" s="190">
        <v>425075557</v>
      </c>
      <c r="AW50" s="190">
        <v>449755233</v>
      </c>
      <c r="AX50" s="190">
        <v>363544347</v>
      </c>
      <c r="AY50" s="190">
        <v>294112191</v>
      </c>
      <c r="AZ50" s="190">
        <v>252346457</v>
      </c>
      <c r="BA50" s="190">
        <v>57359873</v>
      </c>
      <c r="BB50" s="190">
        <v>0</v>
      </c>
    </row>
    <row r="51" spans="1:54" x14ac:dyDescent="0.25">
      <c r="A51" s="190" t="s">
        <v>155</v>
      </c>
      <c r="B51" s="190">
        <v>2414751804</v>
      </c>
      <c r="C51" s="190">
        <v>1836479092</v>
      </c>
      <c r="D51" s="190">
        <v>3752783498</v>
      </c>
      <c r="E51" s="190">
        <v>3312895453</v>
      </c>
      <c r="F51" s="190">
        <v>2687183553</v>
      </c>
      <c r="G51" s="190">
        <v>1697429361</v>
      </c>
      <c r="H51" s="190">
        <v>1798658097</v>
      </c>
      <c r="I51" s="190">
        <v>1477957897</v>
      </c>
      <c r="J51" s="190">
        <v>618726519</v>
      </c>
      <c r="K51" s="190">
        <v>688284050</v>
      </c>
      <c r="L51" s="190">
        <v>1185867162</v>
      </c>
      <c r="M51" s="190">
        <v>1807664810</v>
      </c>
      <c r="N51" s="190">
        <v>1943165419</v>
      </c>
      <c r="O51" s="190">
        <v>1506902947</v>
      </c>
      <c r="P51" s="190">
        <v>1125516381</v>
      </c>
      <c r="Q51" s="190">
        <v>1768637812</v>
      </c>
      <c r="R51" s="190">
        <v>1941749289</v>
      </c>
      <c r="S51" s="190">
        <v>922192957</v>
      </c>
      <c r="T51" s="190">
        <v>678854242</v>
      </c>
      <c r="U51" s="190">
        <v>2084350143</v>
      </c>
      <c r="V51" s="190">
        <v>1694337184</v>
      </c>
      <c r="W51" s="190">
        <v>1149919190</v>
      </c>
      <c r="X51" s="190">
        <v>960837996</v>
      </c>
      <c r="Y51" s="190">
        <v>2069251951</v>
      </c>
      <c r="Z51" s="190">
        <v>1508547602</v>
      </c>
      <c r="AA51" s="190">
        <v>753530353</v>
      </c>
      <c r="AB51" s="190">
        <v>1670684096</v>
      </c>
      <c r="AC51" s="190">
        <v>2280311293</v>
      </c>
      <c r="AD51" s="190">
        <v>1697964901</v>
      </c>
      <c r="AE51" s="190">
        <v>1274850669</v>
      </c>
      <c r="AF51" s="190">
        <v>1406300124</v>
      </c>
      <c r="AG51" s="190">
        <v>1691117082</v>
      </c>
      <c r="AH51" s="190">
        <v>1465237726</v>
      </c>
      <c r="AI51" s="190">
        <v>1126673821</v>
      </c>
      <c r="AJ51" s="190">
        <v>1206706974</v>
      </c>
      <c r="AK51" s="190">
        <v>888007335</v>
      </c>
      <c r="AL51" s="190">
        <v>823218823</v>
      </c>
      <c r="AM51" s="190">
        <v>775322457</v>
      </c>
      <c r="AN51" s="190">
        <v>880851311</v>
      </c>
      <c r="AO51" s="190">
        <v>887243861</v>
      </c>
      <c r="AP51" s="190">
        <v>629909847</v>
      </c>
      <c r="AQ51" s="190">
        <v>755395051</v>
      </c>
      <c r="AR51" s="190">
        <v>1028921728</v>
      </c>
      <c r="AS51" s="190">
        <v>1669170424</v>
      </c>
      <c r="AT51" s="190">
        <v>1078227423</v>
      </c>
      <c r="AU51" s="190">
        <v>935660759</v>
      </c>
      <c r="AV51" s="190">
        <v>1155606278</v>
      </c>
      <c r="AW51" s="190">
        <v>1086149418</v>
      </c>
      <c r="AX51" s="190">
        <v>607109570</v>
      </c>
      <c r="AY51" s="190">
        <v>813903278</v>
      </c>
      <c r="AZ51" s="190">
        <v>788990062</v>
      </c>
      <c r="BA51" s="190">
        <v>214981895</v>
      </c>
      <c r="BB51" s="190">
        <v>0</v>
      </c>
    </row>
    <row r="52" spans="1:54" x14ac:dyDescent="0.25">
      <c r="A52" s="190" t="s">
        <v>156</v>
      </c>
      <c r="B52" s="190">
        <v>1677930</v>
      </c>
      <c r="C52" s="190">
        <v>1677930</v>
      </c>
      <c r="D52" s="190">
        <v>3885311</v>
      </c>
      <c r="E52" s="190">
        <v>1851746</v>
      </c>
      <c r="F52" s="190">
        <v>140160730</v>
      </c>
      <c r="G52" s="190">
        <v>100840182</v>
      </c>
      <c r="H52" s="190">
        <v>229155702</v>
      </c>
      <c r="I52" s="190">
        <v>147695803</v>
      </c>
      <c r="J52" s="190">
        <v>188013334</v>
      </c>
      <c r="K52" s="190">
        <v>111175738</v>
      </c>
      <c r="L52" s="190">
        <v>43333334</v>
      </c>
      <c r="M52" s="190">
        <v>11010929</v>
      </c>
      <c r="N52" s="190">
        <v>186676712</v>
      </c>
      <c r="O52" s="190">
        <v>180570091</v>
      </c>
      <c r="P52" s="190">
        <v>101296804</v>
      </c>
      <c r="Q52" s="190">
        <v>22023516</v>
      </c>
      <c r="R52" s="190">
        <v>462019692</v>
      </c>
      <c r="S52" s="190">
        <v>320789384</v>
      </c>
      <c r="T52" s="190">
        <v>179559075</v>
      </c>
      <c r="U52" s="190">
        <v>38328767</v>
      </c>
      <c r="V52" s="190">
        <v>462019692</v>
      </c>
      <c r="W52" s="190">
        <v>511163082</v>
      </c>
      <c r="X52" s="190">
        <v>315282911</v>
      </c>
      <c r="Y52" s="190">
        <v>120003288</v>
      </c>
      <c r="Z52" s="190">
        <v>491756678</v>
      </c>
      <c r="AA52" s="190">
        <v>511589384</v>
      </c>
      <c r="AB52" s="190">
        <v>312222089</v>
      </c>
      <c r="AC52" s="190">
        <v>112854795</v>
      </c>
      <c r="AD52" s="190">
        <v>495188623</v>
      </c>
      <c r="AE52" s="190">
        <v>376171012</v>
      </c>
      <c r="AF52" s="190">
        <v>199732968</v>
      </c>
      <c r="AG52" s="190">
        <v>95433749</v>
      </c>
      <c r="AH52" s="190">
        <v>491675569</v>
      </c>
      <c r="AI52" s="190">
        <v>320615137</v>
      </c>
      <c r="AJ52" s="190">
        <v>175897705</v>
      </c>
      <c r="AK52" s="190">
        <v>35809424</v>
      </c>
      <c r="AL52" s="190">
        <v>4252500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row>
    <row r="53" spans="1:54" x14ac:dyDescent="0.25">
      <c r="A53" s="190" t="s">
        <v>157</v>
      </c>
      <c r="B53" s="190">
        <v>27488</v>
      </c>
      <c r="C53" s="190">
        <v>27488</v>
      </c>
      <c r="D53" s="190">
        <v>27488</v>
      </c>
      <c r="E53" s="190">
        <v>161796</v>
      </c>
      <c r="F53" s="190">
        <v>2276649</v>
      </c>
      <c r="G53" s="190">
        <v>5276649</v>
      </c>
      <c r="H53" s="190">
        <v>5276649</v>
      </c>
      <c r="I53" s="190">
        <v>5276649</v>
      </c>
      <c r="J53" s="190">
        <v>5276649</v>
      </c>
      <c r="K53" s="190">
        <v>6695332820</v>
      </c>
      <c r="L53" s="190">
        <v>5276649</v>
      </c>
      <c r="M53" s="190">
        <v>5276649</v>
      </c>
      <c r="N53" s="190">
        <v>5249160</v>
      </c>
      <c r="O53" s="190">
        <v>5249160</v>
      </c>
      <c r="P53" s="190">
        <v>5249160</v>
      </c>
      <c r="Q53" s="190">
        <v>5249160</v>
      </c>
      <c r="R53" s="190">
        <v>5249160</v>
      </c>
      <c r="S53" s="190">
        <v>5421678</v>
      </c>
      <c r="T53" s="190">
        <v>5421678</v>
      </c>
      <c r="U53" s="190">
        <v>5421678</v>
      </c>
      <c r="V53" s="190">
        <v>0</v>
      </c>
      <c r="W53" s="190">
        <v>0</v>
      </c>
      <c r="X53" s="190">
        <v>0</v>
      </c>
      <c r="Y53" s="190">
        <v>0</v>
      </c>
      <c r="Z53" s="190">
        <v>0</v>
      </c>
      <c r="AA53" s="190">
        <v>5798048681</v>
      </c>
      <c r="AB53" s="190">
        <v>0</v>
      </c>
      <c r="AC53" s="190">
        <v>0</v>
      </c>
      <c r="AD53" s="190">
        <v>0</v>
      </c>
      <c r="AE53" s="190">
        <v>5088402557</v>
      </c>
      <c r="AF53" s="190">
        <v>0</v>
      </c>
      <c r="AG53" s="190">
        <v>0</v>
      </c>
      <c r="AH53" s="190">
        <v>0</v>
      </c>
      <c r="AI53" s="190">
        <v>2751628061</v>
      </c>
      <c r="AJ53" s="190">
        <v>0</v>
      </c>
      <c r="AK53" s="190">
        <v>0</v>
      </c>
      <c r="AL53" s="190">
        <v>0</v>
      </c>
      <c r="AM53" s="190">
        <v>3893027138</v>
      </c>
      <c r="AN53" s="190">
        <v>0</v>
      </c>
      <c r="AO53" s="190">
        <v>0</v>
      </c>
      <c r="AP53" s="190">
        <v>0</v>
      </c>
      <c r="AQ53" s="190">
        <v>3893027138</v>
      </c>
      <c r="AR53" s="190">
        <v>0</v>
      </c>
      <c r="AS53" s="190">
        <v>0</v>
      </c>
      <c r="AT53" s="190">
        <v>0</v>
      </c>
      <c r="AU53" s="190">
        <v>0</v>
      </c>
      <c r="AV53" s="190">
        <v>0</v>
      </c>
      <c r="AW53" s="190">
        <v>0</v>
      </c>
      <c r="AX53" s="190">
        <v>0</v>
      </c>
      <c r="AY53" s="190">
        <v>1711190017</v>
      </c>
      <c r="AZ53" s="190">
        <v>767070540</v>
      </c>
      <c r="BA53" s="190">
        <v>0</v>
      </c>
      <c r="BB53" s="190">
        <v>0</v>
      </c>
    </row>
    <row r="54" spans="1:54" x14ac:dyDescent="0.25">
      <c r="A54" s="190" t="s">
        <v>158</v>
      </c>
      <c r="B54" s="190">
        <v>5782296331</v>
      </c>
      <c r="C54" s="190">
        <v>6123632843</v>
      </c>
      <c r="D54" s="190">
        <v>6205216500</v>
      </c>
      <c r="E54" s="190">
        <v>7034377723</v>
      </c>
      <c r="F54" s="190">
        <v>4645922414</v>
      </c>
      <c r="G54" s="190">
        <v>3371284664</v>
      </c>
      <c r="H54" s="190">
        <v>3292219072</v>
      </c>
      <c r="I54" s="190">
        <v>3819508337</v>
      </c>
      <c r="J54" s="190">
        <v>3322203255</v>
      </c>
      <c r="K54" s="190">
        <v>4340421720</v>
      </c>
      <c r="L54" s="190">
        <v>4236023529</v>
      </c>
      <c r="M54" s="190">
        <v>4948671916</v>
      </c>
      <c r="N54" s="190">
        <v>3853049010</v>
      </c>
      <c r="O54" s="190">
        <v>3338764077</v>
      </c>
      <c r="P54" s="190">
        <v>2856142706</v>
      </c>
      <c r="Q54" s="190">
        <v>4459536976</v>
      </c>
      <c r="R54" s="190">
        <v>3491586680</v>
      </c>
      <c r="S54" s="190">
        <v>3251616290</v>
      </c>
      <c r="T54" s="190">
        <v>4093972466</v>
      </c>
      <c r="U54" s="190">
        <v>5194734590</v>
      </c>
      <c r="V54" s="190">
        <v>3215675629</v>
      </c>
      <c r="W54" s="190">
        <v>3866919266</v>
      </c>
      <c r="X54" s="190">
        <v>3497715988</v>
      </c>
      <c r="Y54" s="190">
        <v>5033131770</v>
      </c>
      <c r="Z54" s="190">
        <v>3662333521</v>
      </c>
      <c r="AA54" s="190">
        <v>3858925444</v>
      </c>
      <c r="AB54" s="190">
        <v>4306142581</v>
      </c>
      <c r="AC54" s="190">
        <v>5302053857</v>
      </c>
      <c r="AD54" s="190">
        <v>5927231778</v>
      </c>
      <c r="AE54" s="190">
        <v>6705854005</v>
      </c>
      <c r="AF54" s="190">
        <v>8949102027</v>
      </c>
      <c r="AG54" s="190">
        <v>11039062070</v>
      </c>
      <c r="AH54" s="190">
        <v>25789504542</v>
      </c>
      <c r="AI54" s="190">
        <v>4320474793</v>
      </c>
      <c r="AJ54" s="190">
        <v>4029329401</v>
      </c>
      <c r="AK54" s="190">
        <v>4337735241</v>
      </c>
      <c r="AL54" s="190">
        <v>19086737596</v>
      </c>
      <c r="AM54" s="190">
        <v>20328814716</v>
      </c>
      <c r="AN54" s="190">
        <v>18617276192</v>
      </c>
      <c r="AO54" s="190">
        <v>18584557056</v>
      </c>
      <c r="AP54" s="190">
        <v>16049641079</v>
      </c>
      <c r="AQ54" s="190">
        <v>11453862068</v>
      </c>
      <c r="AR54" s="190">
        <v>9086938992</v>
      </c>
      <c r="AS54" s="190">
        <v>9995187143</v>
      </c>
      <c r="AT54" s="190">
        <v>2705190533</v>
      </c>
      <c r="AU54" s="190">
        <v>2098170824</v>
      </c>
      <c r="AV54" s="190">
        <v>2140186375</v>
      </c>
      <c r="AW54" s="190">
        <v>2179871002</v>
      </c>
      <c r="AX54" s="190">
        <v>2567643959</v>
      </c>
      <c r="AY54" s="190">
        <v>9527829532</v>
      </c>
      <c r="AZ54" s="190">
        <v>11187263462</v>
      </c>
      <c r="BA54" s="190">
        <v>879373230</v>
      </c>
      <c r="BB54" s="190">
        <v>0</v>
      </c>
    </row>
    <row r="55" spans="1:54"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5500000</v>
      </c>
      <c r="AX55" s="190">
        <v>2200000</v>
      </c>
      <c r="AY55" s="190">
        <v>17193025</v>
      </c>
      <c r="AZ55" s="190">
        <v>8505675</v>
      </c>
      <c r="BA55" s="190">
        <v>0</v>
      </c>
      <c r="BB55" s="190">
        <v>0</v>
      </c>
    </row>
    <row r="56" spans="1:54"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row>
    <row r="57" spans="1:54"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row>
    <row r="58" spans="1:54" x14ac:dyDescent="0.25">
      <c r="A58" s="190" t="s">
        <v>162</v>
      </c>
      <c r="B58" s="190">
        <v>109328022</v>
      </c>
      <c r="C58" s="190">
        <v>151755380</v>
      </c>
      <c r="D58" s="190">
        <v>144346000</v>
      </c>
      <c r="E58" s="190">
        <v>162377855</v>
      </c>
      <c r="F58" s="190">
        <v>48333000</v>
      </c>
      <c r="G58" s="190">
        <v>46333000</v>
      </c>
      <c r="H58" s="190">
        <v>83046000</v>
      </c>
      <c r="I58" s="190">
        <v>88246000</v>
      </c>
      <c r="J58" s="190">
        <v>63546000</v>
      </c>
      <c r="K58" s="190">
        <v>63546000</v>
      </c>
      <c r="L58" s="190">
        <v>34533000</v>
      </c>
      <c r="M58" s="190">
        <v>34533000</v>
      </c>
      <c r="N58" s="190">
        <v>5003389719</v>
      </c>
      <c r="O58" s="190">
        <v>5016579428</v>
      </c>
      <c r="P58" s="190">
        <v>4999769137</v>
      </c>
      <c r="Q58" s="190">
        <v>4997958846</v>
      </c>
      <c r="R58" s="190">
        <v>7500991757</v>
      </c>
      <c r="S58" s="190">
        <v>7499383613</v>
      </c>
      <c r="T58" s="190">
        <v>7495175469</v>
      </c>
      <c r="U58" s="190">
        <v>7493567325</v>
      </c>
      <c r="V58" s="190">
        <v>0</v>
      </c>
      <c r="W58" s="190">
        <v>3998784929</v>
      </c>
      <c r="X58" s="190">
        <v>3996481349</v>
      </c>
      <c r="Y58" s="190">
        <v>3994203084</v>
      </c>
      <c r="Z58" s="190">
        <v>9989783150</v>
      </c>
      <c r="AA58" s="190">
        <v>5995817750</v>
      </c>
      <c r="AB58" s="190">
        <v>5991635331</v>
      </c>
      <c r="AC58" s="190">
        <v>5991635331</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row>
    <row r="59" spans="1:54" x14ac:dyDescent="0.25">
      <c r="A59" s="190" t="s">
        <v>163</v>
      </c>
      <c r="B59" s="190">
        <v>0</v>
      </c>
      <c r="C59" s="190">
        <v>0</v>
      </c>
      <c r="D59" s="190">
        <v>0</v>
      </c>
      <c r="E59" s="190">
        <v>0</v>
      </c>
      <c r="F59" s="190">
        <v>5000000000</v>
      </c>
      <c r="G59" s="190">
        <v>5000000000</v>
      </c>
      <c r="H59" s="190">
        <v>11000000000</v>
      </c>
      <c r="I59" s="190">
        <v>11000000000</v>
      </c>
      <c r="J59" s="190">
        <v>10000000000</v>
      </c>
      <c r="K59" s="190">
        <v>10000000000</v>
      </c>
      <c r="L59" s="190">
        <v>4000000000</v>
      </c>
      <c r="M59" s="190">
        <v>4000000000</v>
      </c>
      <c r="N59" s="190">
        <v>0</v>
      </c>
      <c r="O59" s="190">
        <v>2000000000</v>
      </c>
      <c r="P59" s="190">
        <v>2000000000</v>
      </c>
      <c r="Q59" s="190">
        <v>2000000000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row>
    <row r="60" spans="1:54" x14ac:dyDescent="0.25">
      <c r="A60" s="190" t="s">
        <v>164</v>
      </c>
      <c r="B60" s="190">
        <v>15915256312</v>
      </c>
      <c r="C60" s="190">
        <v>14528507193</v>
      </c>
      <c r="D60" s="190">
        <v>16151003012</v>
      </c>
      <c r="E60" s="190">
        <v>16457357197</v>
      </c>
      <c r="F60" s="190">
        <v>19682919902</v>
      </c>
      <c r="G60" s="190">
        <v>15556508187</v>
      </c>
      <c r="H60" s="190">
        <v>22665221815</v>
      </c>
      <c r="I60" s="190">
        <v>21859810286</v>
      </c>
      <c r="J60" s="190">
        <v>20249748678</v>
      </c>
      <c r="K60" s="190">
        <v>26396179844</v>
      </c>
      <c r="L60" s="190">
        <v>12242866547</v>
      </c>
      <c r="M60" s="190">
        <v>15578405152</v>
      </c>
      <c r="N60" s="190">
        <v>16239100331</v>
      </c>
      <c r="O60" s="190">
        <v>16988152834</v>
      </c>
      <c r="P60" s="190">
        <v>18151081677</v>
      </c>
      <c r="Q60" s="190">
        <v>18740113279</v>
      </c>
      <c r="R60" s="190">
        <v>20585551071</v>
      </c>
      <c r="S60" s="190">
        <v>17384265367</v>
      </c>
      <c r="T60" s="190">
        <v>18565245507</v>
      </c>
      <c r="U60" s="190">
        <v>19649079973</v>
      </c>
      <c r="V60" s="190">
        <v>12084888409</v>
      </c>
      <c r="W60" s="190">
        <v>13942956694</v>
      </c>
      <c r="X60" s="190">
        <v>14769139548</v>
      </c>
      <c r="Y60" s="190">
        <v>16335407812</v>
      </c>
      <c r="Z60" s="190">
        <v>20911864254</v>
      </c>
      <c r="AA60" s="190">
        <v>21442409156</v>
      </c>
      <c r="AB60" s="190">
        <v>16484931838</v>
      </c>
      <c r="AC60" s="190">
        <v>18617455721</v>
      </c>
      <c r="AD60" s="190">
        <v>15490421363</v>
      </c>
      <c r="AE60" s="190">
        <v>27290009695</v>
      </c>
      <c r="AF60" s="190">
        <v>23769058744</v>
      </c>
      <c r="AG60" s="190">
        <v>29228446519</v>
      </c>
      <c r="AH60" s="190">
        <v>44552901348</v>
      </c>
      <c r="AI60" s="190">
        <v>11382146122</v>
      </c>
      <c r="AJ60" s="190">
        <v>7546845626</v>
      </c>
      <c r="AK60" s="190">
        <v>11541343705</v>
      </c>
      <c r="AL60" s="190">
        <v>25678886483</v>
      </c>
      <c r="AM60" s="190">
        <v>27018070283</v>
      </c>
      <c r="AN60" s="190">
        <v>21540864365</v>
      </c>
      <c r="AO60" s="190">
        <v>22103260236</v>
      </c>
      <c r="AP60" s="190">
        <v>19168896939</v>
      </c>
      <c r="AQ60" s="190">
        <v>18364765616</v>
      </c>
      <c r="AR60" s="190">
        <v>11831027801</v>
      </c>
      <c r="AS60" s="190">
        <v>13571652879</v>
      </c>
      <c r="AT60" s="190">
        <v>5862683114</v>
      </c>
      <c r="AU60" s="190">
        <v>4887089426</v>
      </c>
      <c r="AV60" s="190">
        <v>4852548017</v>
      </c>
      <c r="AW60" s="190">
        <v>5755917871</v>
      </c>
      <c r="AX60" s="190">
        <v>4720348209</v>
      </c>
      <c r="AY60" s="190">
        <v>18591558766</v>
      </c>
      <c r="AZ60" s="190">
        <v>19606707332</v>
      </c>
      <c r="BA60" s="190">
        <v>1903314336</v>
      </c>
      <c r="BB60" s="190">
        <v>0</v>
      </c>
    </row>
    <row r="61" spans="1:54" x14ac:dyDescent="0.25">
      <c r="A61" s="190" t="s">
        <v>165</v>
      </c>
    </row>
    <row r="62" spans="1:54" x14ac:dyDescent="0.25">
      <c r="A62" s="190" t="s">
        <v>166</v>
      </c>
      <c r="B62" s="190">
        <v>7657639000</v>
      </c>
      <c r="C62" s="190">
        <v>7076639000</v>
      </c>
      <c r="D62" s="190">
        <v>7112139000</v>
      </c>
      <c r="E62" s="190">
        <v>7112139000</v>
      </c>
      <c r="F62" s="190">
        <v>7247485000</v>
      </c>
      <c r="G62" s="190">
        <v>7249485000</v>
      </c>
      <c r="H62" s="190">
        <v>7258485000</v>
      </c>
      <c r="I62" s="190">
        <v>7037020000</v>
      </c>
      <c r="J62" s="190">
        <v>6918153000</v>
      </c>
      <c r="K62" s="190">
        <v>5543153000</v>
      </c>
      <c r="L62" s="190">
        <v>5590266000</v>
      </c>
      <c r="M62" s="190">
        <v>5590266000</v>
      </c>
      <c r="N62" s="190">
        <v>1122199000</v>
      </c>
      <c r="O62" s="190">
        <v>1057199000</v>
      </c>
      <c r="P62" s="190">
        <v>1065279000</v>
      </c>
      <c r="Q62" s="190">
        <v>1013279000</v>
      </c>
      <c r="R62" s="190">
        <v>960089000</v>
      </c>
      <c r="S62" s="190">
        <v>867245000</v>
      </c>
      <c r="T62" s="190">
        <v>865845000</v>
      </c>
      <c r="U62" s="190">
        <v>685845000</v>
      </c>
      <c r="V62" s="190">
        <v>394095000</v>
      </c>
      <c r="W62" s="190">
        <v>247745000</v>
      </c>
      <c r="X62" s="190">
        <v>40000000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row>
    <row r="63" spans="1:54"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4990570999</v>
      </c>
      <c r="S63" s="190">
        <v>4988847599</v>
      </c>
      <c r="T63" s="190">
        <v>4987124200</v>
      </c>
      <c r="U63" s="190">
        <v>4985400800</v>
      </c>
      <c r="V63" s="190">
        <v>12474899333</v>
      </c>
      <c r="W63" s="190">
        <v>12471725429</v>
      </c>
      <c r="X63" s="190">
        <v>12468551524</v>
      </c>
      <c r="Y63" s="190">
        <v>12465377620</v>
      </c>
      <c r="Z63" s="190">
        <v>7485088248</v>
      </c>
      <c r="AA63" s="190">
        <v>11473261477</v>
      </c>
      <c r="AB63" s="190">
        <v>11471712031</v>
      </c>
      <c r="AC63" s="190">
        <v>11465980166</v>
      </c>
      <c r="AD63" s="190">
        <v>17452268612</v>
      </c>
      <c r="AE63" s="190">
        <v>13464870494</v>
      </c>
      <c r="AF63" s="190">
        <v>13461472376</v>
      </c>
      <c r="AG63" s="190">
        <v>13458074258</v>
      </c>
      <c r="AH63" s="190">
        <v>13454179055</v>
      </c>
      <c r="AI63" s="190">
        <v>13450925347</v>
      </c>
      <c r="AJ63" s="190">
        <v>13447671639</v>
      </c>
      <c r="AK63" s="190">
        <v>13444417931</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row>
    <row r="64" spans="1:54" x14ac:dyDescent="0.25">
      <c r="A64" s="190" t="s">
        <v>168</v>
      </c>
      <c r="B64" s="190">
        <v>329067728</v>
      </c>
      <c r="C64" s="190">
        <v>178551901</v>
      </c>
      <c r="D64" s="190">
        <v>203898602</v>
      </c>
      <c r="E64" s="190">
        <v>185791919</v>
      </c>
      <c r="F64" s="190">
        <v>203749787</v>
      </c>
      <c r="G64" s="190">
        <v>203676632</v>
      </c>
      <c r="H64" s="190">
        <v>203464648</v>
      </c>
      <c r="I64" s="190">
        <v>202800000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600710</v>
      </c>
      <c r="AN64" s="190">
        <v>0</v>
      </c>
      <c r="AO64" s="190">
        <v>0</v>
      </c>
      <c r="AP64" s="190">
        <v>0</v>
      </c>
      <c r="AQ64" s="190">
        <v>1400000</v>
      </c>
      <c r="AR64" s="190">
        <v>0</v>
      </c>
      <c r="AS64" s="190">
        <v>0</v>
      </c>
      <c r="AT64" s="190">
        <v>0</v>
      </c>
      <c r="AU64" s="190">
        <v>0</v>
      </c>
      <c r="AV64" s="190">
        <v>539201</v>
      </c>
      <c r="AW64" s="190">
        <v>0</v>
      </c>
      <c r="AX64" s="190">
        <v>0</v>
      </c>
      <c r="AY64" s="190">
        <v>0</v>
      </c>
      <c r="AZ64" s="190">
        <v>0</v>
      </c>
      <c r="BA64" s="190">
        <v>0</v>
      </c>
      <c r="BB64" s="190">
        <v>0</v>
      </c>
    </row>
    <row r="65" spans="1:54" x14ac:dyDescent="0.25">
      <c r="A65" s="190" t="s">
        <v>169</v>
      </c>
      <c r="B65" s="190">
        <v>2816642738</v>
      </c>
      <c r="C65" s="190">
        <v>2806882233</v>
      </c>
      <c r="D65" s="190">
        <v>2819562966</v>
      </c>
      <c r="E65" s="190">
        <v>2799389590</v>
      </c>
      <c r="F65" s="190">
        <v>2689508117</v>
      </c>
      <c r="G65" s="190">
        <v>2686551771</v>
      </c>
      <c r="H65" s="190">
        <v>2678228648</v>
      </c>
      <c r="I65" s="190">
        <v>2668655297</v>
      </c>
      <c r="J65" s="190">
        <v>2663014555</v>
      </c>
      <c r="K65" s="190">
        <v>2647802929</v>
      </c>
      <c r="L65" s="190">
        <v>2623152184</v>
      </c>
      <c r="M65" s="190">
        <v>2629606934</v>
      </c>
      <c r="N65" s="190">
        <v>2546059054</v>
      </c>
      <c r="O65" s="190">
        <v>2531677424</v>
      </c>
      <c r="P65" s="190">
        <v>2507936692</v>
      </c>
      <c r="Q65" s="190">
        <v>2507936692</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row>
    <row r="66" spans="1:54" x14ac:dyDescent="0.25">
      <c r="A66" s="190" t="s">
        <v>170</v>
      </c>
      <c r="B66" s="190">
        <v>0</v>
      </c>
      <c r="C66" s="190">
        <v>142636764</v>
      </c>
      <c r="D66" s="190">
        <v>144610902</v>
      </c>
      <c r="E66" s="190">
        <v>145059051</v>
      </c>
      <c r="F66" s="190">
        <v>146471873</v>
      </c>
      <c r="G66" s="190">
        <v>147011268</v>
      </c>
      <c r="H66" s="190">
        <v>140213244</v>
      </c>
      <c r="I66" s="190">
        <v>140487779</v>
      </c>
      <c r="J66" s="190">
        <v>149406066</v>
      </c>
      <c r="K66" s="190">
        <v>138347412</v>
      </c>
      <c r="L66" s="190">
        <v>139528639</v>
      </c>
      <c r="M66" s="190">
        <v>139947767</v>
      </c>
      <c r="N66" s="190">
        <v>126616655</v>
      </c>
      <c r="O66" s="190">
        <v>133105846</v>
      </c>
      <c r="P66" s="190">
        <v>123509925</v>
      </c>
      <c r="Q66" s="190">
        <v>75273754</v>
      </c>
      <c r="R66" s="190">
        <v>67968023</v>
      </c>
      <c r="S66" s="190">
        <v>59365592</v>
      </c>
      <c r="T66" s="190">
        <v>53319014</v>
      </c>
      <c r="U66" s="190">
        <v>54365592</v>
      </c>
      <c r="V66" s="190">
        <v>11707646</v>
      </c>
      <c r="W66" s="190">
        <v>13041494</v>
      </c>
      <c r="X66" s="190">
        <v>1070346</v>
      </c>
      <c r="Y66" s="190">
        <v>1070346</v>
      </c>
      <c r="Z66" s="190">
        <v>2469274</v>
      </c>
      <c r="AA66" s="190">
        <v>1202900</v>
      </c>
      <c r="AB66" s="190">
        <v>516034</v>
      </c>
      <c r="AC66" s="190">
        <v>516034</v>
      </c>
      <c r="AD66" s="190">
        <v>516034</v>
      </c>
      <c r="AE66" s="190">
        <v>516034</v>
      </c>
      <c r="AF66" s="190">
        <v>516034</v>
      </c>
      <c r="AG66" s="190">
        <v>516034</v>
      </c>
      <c r="AH66" s="190">
        <v>516034</v>
      </c>
      <c r="AI66" s="190">
        <v>516034</v>
      </c>
      <c r="AJ66" s="190">
        <v>516034</v>
      </c>
      <c r="AK66" s="190">
        <v>516034</v>
      </c>
      <c r="AL66" s="190">
        <v>506874</v>
      </c>
      <c r="AM66" s="190">
        <v>0</v>
      </c>
      <c r="AN66" s="190">
        <v>592170</v>
      </c>
      <c r="AO66" s="190">
        <v>592170</v>
      </c>
      <c r="AP66" s="190">
        <v>592170</v>
      </c>
      <c r="AQ66" s="190">
        <v>592170</v>
      </c>
      <c r="AR66" s="190">
        <v>539202</v>
      </c>
      <c r="AS66" s="190">
        <v>539202</v>
      </c>
      <c r="AT66" s="190">
        <v>539201</v>
      </c>
      <c r="AU66" s="190">
        <v>539201</v>
      </c>
      <c r="AV66" s="190">
        <v>0</v>
      </c>
      <c r="AW66" s="190">
        <v>2937462</v>
      </c>
      <c r="AX66" s="190">
        <v>3086228</v>
      </c>
      <c r="AY66" s="190">
        <v>3400395</v>
      </c>
      <c r="AZ66" s="190">
        <v>5565251</v>
      </c>
      <c r="BA66" s="190">
        <v>2358569</v>
      </c>
      <c r="BB66" s="190">
        <v>0</v>
      </c>
    </row>
    <row r="67" spans="1:54"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row>
    <row r="68" spans="1:54"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row>
    <row r="69" spans="1:54" x14ac:dyDescent="0.25">
      <c r="A69" s="190" t="s">
        <v>173</v>
      </c>
      <c r="B69" s="190">
        <v>88916523</v>
      </c>
      <c r="C69" s="190">
        <v>80696358</v>
      </c>
      <c r="D69" s="190">
        <v>75847236</v>
      </c>
      <c r="E69" s="190">
        <v>75847236</v>
      </c>
      <c r="F69" s="190">
        <v>35374617</v>
      </c>
      <c r="G69" s="190">
        <v>35374617</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row>
    <row r="70" spans="1:54"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2227645181</v>
      </c>
      <c r="S70" s="190">
        <v>1312432089</v>
      </c>
      <c r="T70" s="190">
        <v>1312432089</v>
      </c>
      <c r="U70" s="190">
        <v>1312432089</v>
      </c>
      <c r="V70" s="190">
        <v>1239772815</v>
      </c>
      <c r="W70" s="190">
        <v>1238996000</v>
      </c>
      <c r="X70" s="190">
        <v>1238996000</v>
      </c>
      <c r="Y70" s="190">
        <v>1238996000</v>
      </c>
      <c r="Z70" s="190">
        <v>1199678000</v>
      </c>
      <c r="AA70" s="190">
        <v>1199678000</v>
      </c>
      <c r="AB70" s="190">
        <v>1199678000</v>
      </c>
      <c r="AC70" s="190">
        <v>1199678000</v>
      </c>
      <c r="AD70" s="190">
        <v>1154364000</v>
      </c>
      <c r="AE70" s="190">
        <v>1154364000</v>
      </c>
      <c r="AF70" s="190">
        <v>1117521000</v>
      </c>
      <c r="AG70" s="190">
        <v>1117521000</v>
      </c>
      <c r="AH70" s="190">
        <v>0</v>
      </c>
      <c r="AI70" s="190">
        <v>0</v>
      </c>
      <c r="AJ70" s="190">
        <v>0</v>
      </c>
      <c r="AK70" s="190">
        <v>0</v>
      </c>
      <c r="AL70" s="190">
        <v>0</v>
      </c>
      <c r="AM70" s="190">
        <v>0</v>
      </c>
      <c r="AN70" s="190">
        <v>0</v>
      </c>
      <c r="AO70" s="190">
        <v>0</v>
      </c>
      <c r="AP70" s="190">
        <v>1400000</v>
      </c>
      <c r="AQ70" s="190">
        <v>0</v>
      </c>
      <c r="AR70" s="190">
        <v>1400000</v>
      </c>
      <c r="AS70" s="190">
        <v>1400000</v>
      </c>
      <c r="AT70" s="190">
        <v>0</v>
      </c>
      <c r="AU70" s="190">
        <v>0</v>
      </c>
      <c r="AV70" s="190">
        <v>0</v>
      </c>
      <c r="AW70" s="190">
        <v>0</v>
      </c>
      <c r="AX70" s="190">
        <v>0</v>
      </c>
      <c r="AY70" s="190">
        <v>0</v>
      </c>
      <c r="AZ70" s="190">
        <v>0</v>
      </c>
      <c r="BA70" s="190">
        <v>0</v>
      </c>
      <c r="BB70" s="190">
        <v>0</v>
      </c>
    </row>
    <row r="71" spans="1:54" x14ac:dyDescent="0.25">
      <c r="A71" s="190" t="s">
        <v>175</v>
      </c>
      <c r="B71" s="190">
        <v>10892265989</v>
      </c>
      <c r="C71" s="190">
        <v>10285406256</v>
      </c>
      <c r="D71" s="190">
        <v>10356058706</v>
      </c>
      <c r="E71" s="190">
        <v>10318226796</v>
      </c>
      <c r="F71" s="190">
        <v>10322589394</v>
      </c>
      <c r="G71" s="190">
        <v>10322099288</v>
      </c>
      <c r="H71" s="190">
        <v>10280391540</v>
      </c>
      <c r="I71" s="190">
        <v>10048963076</v>
      </c>
      <c r="J71" s="190">
        <v>9730573621</v>
      </c>
      <c r="K71" s="190">
        <v>8329303341</v>
      </c>
      <c r="L71" s="190">
        <v>8352946823</v>
      </c>
      <c r="M71" s="190">
        <v>8359820701</v>
      </c>
      <c r="N71" s="190">
        <v>3794874709</v>
      </c>
      <c r="O71" s="190">
        <v>3721982270</v>
      </c>
      <c r="P71" s="190">
        <v>3696725617</v>
      </c>
      <c r="Q71" s="190">
        <v>3596489446</v>
      </c>
      <c r="R71" s="190">
        <v>8246273203</v>
      </c>
      <c r="S71" s="190">
        <v>7227890280</v>
      </c>
      <c r="T71" s="190">
        <v>7218720303</v>
      </c>
      <c r="U71" s="190">
        <v>7038043481</v>
      </c>
      <c r="V71" s="190">
        <v>14120474794</v>
      </c>
      <c r="W71" s="190">
        <v>13971507923</v>
      </c>
      <c r="X71" s="190">
        <v>13748617870</v>
      </c>
      <c r="Y71" s="190">
        <v>13705443966</v>
      </c>
      <c r="Z71" s="190">
        <v>8687235522</v>
      </c>
      <c r="AA71" s="190">
        <v>12674142377</v>
      </c>
      <c r="AB71" s="190">
        <v>12671906065</v>
      </c>
      <c r="AC71" s="190">
        <v>12666174200</v>
      </c>
      <c r="AD71" s="190">
        <v>18607148646</v>
      </c>
      <c r="AE71" s="190">
        <v>14619750528</v>
      </c>
      <c r="AF71" s="190">
        <v>14579509410</v>
      </c>
      <c r="AG71" s="190">
        <v>14576111292</v>
      </c>
      <c r="AH71" s="190">
        <v>14122910253</v>
      </c>
      <c r="AI71" s="190">
        <v>13451441381</v>
      </c>
      <c r="AJ71" s="190">
        <v>13448187673</v>
      </c>
      <c r="AK71" s="190">
        <v>13444933965</v>
      </c>
      <c r="AL71" s="190">
        <v>506874</v>
      </c>
      <c r="AM71" s="190">
        <v>600710</v>
      </c>
      <c r="AN71" s="190">
        <v>592170</v>
      </c>
      <c r="AO71" s="190">
        <v>592170</v>
      </c>
      <c r="AP71" s="190">
        <v>1992170</v>
      </c>
      <c r="AQ71" s="190">
        <v>1992170</v>
      </c>
      <c r="AR71" s="190">
        <v>1939202</v>
      </c>
      <c r="AS71" s="190">
        <v>1939202</v>
      </c>
      <c r="AT71" s="190">
        <v>539201</v>
      </c>
      <c r="AU71" s="190">
        <v>539201</v>
      </c>
      <c r="AV71" s="190">
        <v>539201</v>
      </c>
      <c r="AW71" s="190">
        <v>2937462</v>
      </c>
      <c r="AX71" s="190">
        <v>3086228</v>
      </c>
      <c r="AY71" s="190">
        <v>3400395</v>
      </c>
      <c r="AZ71" s="190">
        <v>5565251</v>
      </c>
      <c r="BA71" s="190">
        <v>2358569</v>
      </c>
      <c r="BB71" s="190">
        <v>0</v>
      </c>
    </row>
    <row r="72" spans="1:54" x14ac:dyDescent="0.25">
      <c r="A72" s="190" t="s">
        <v>176</v>
      </c>
      <c r="B72" s="190">
        <v>26807522301</v>
      </c>
      <c r="C72" s="190">
        <v>24813913449</v>
      </c>
      <c r="D72" s="190">
        <v>26507061718</v>
      </c>
      <c r="E72" s="190">
        <v>26775583993</v>
      </c>
      <c r="F72" s="190">
        <v>30005509296</v>
      </c>
      <c r="G72" s="190">
        <v>25878607475</v>
      </c>
      <c r="H72" s="190">
        <v>32945613355</v>
      </c>
      <c r="I72" s="190">
        <v>31908773362</v>
      </c>
      <c r="J72" s="190">
        <v>29980322299</v>
      </c>
      <c r="K72" s="190">
        <v>34725483185</v>
      </c>
      <c r="L72" s="190">
        <v>20595813370</v>
      </c>
      <c r="M72" s="190">
        <v>23938225853</v>
      </c>
      <c r="N72" s="190">
        <v>20033975040</v>
      </c>
      <c r="O72" s="190">
        <v>20710135104</v>
      </c>
      <c r="P72" s="190">
        <v>21847807294</v>
      </c>
      <c r="Q72" s="190">
        <v>22336602725</v>
      </c>
      <c r="R72" s="190">
        <v>28831824274</v>
      </c>
      <c r="S72" s="190">
        <v>24612155647</v>
      </c>
      <c r="T72" s="190">
        <v>25783965810</v>
      </c>
      <c r="U72" s="190">
        <v>26687123454</v>
      </c>
      <c r="V72" s="190">
        <v>26205363203</v>
      </c>
      <c r="W72" s="190">
        <v>27914464617</v>
      </c>
      <c r="X72" s="190">
        <v>28517757418</v>
      </c>
      <c r="Y72" s="190">
        <v>30040851778</v>
      </c>
      <c r="Z72" s="190">
        <v>29599099776</v>
      </c>
      <c r="AA72" s="190">
        <v>34116551533</v>
      </c>
      <c r="AB72" s="190">
        <v>29156837903</v>
      </c>
      <c r="AC72" s="190">
        <v>31283629921</v>
      </c>
      <c r="AD72" s="190">
        <v>34097570009</v>
      </c>
      <c r="AE72" s="190">
        <v>41909760223</v>
      </c>
      <c r="AF72" s="190">
        <v>38348568154</v>
      </c>
      <c r="AG72" s="190">
        <v>43804557811</v>
      </c>
      <c r="AH72" s="190">
        <v>58675811601</v>
      </c>
      <c r="AI72" s="190">
        <v>24833587503</v>
      </c>
      <c r="AJ72" s="190">
        <v>20995033299</v>
      </c>
      <c r="AK72" s="190">
        <v>24986277670</v>
      </c>
      <c r="AL72" s="190">
        <v>25679393357</v>
      </c>
      <c r="AM72" s="190">
        <v>27018670993</v>
      </c>
      <c r="AN72" s="190">
        <v>21541456535</v>
      </c>
      <c r="AO72" s="190">
        <v>22103852406</v>
      </c>
      <c r="AP72" s="190">
        <v>19170889109</v>
      </c>
      <c r="AQ72" s="190">
        <v>18366757786</v>
      </c>
      <c r="AR72" s="190">
        <v>11832967003</v>
      </c>
      <c r="AS72" s="190">
        <v>13573592081</v>
      </c>
      <c r="AT72" s="190">
        <v>5863222315</v>
      </c>
      <c r="AU72" s="190">
        <v>4887628627</v>
      </c>
      <c r="AV72" s="190">
        <v>4853087218</v>
      </c>
      <c r="AW72" s="190">
        <v>5758855333</v>
      </c>
      <c r="AX72" s="190">
        <v>4723434437</v>
      </c>
      <c r="AY72" s="190">
        <v>18594959161</v>
      </c>
      <c r="AZ72" s="190">
        <v>19612272583</v>
      </c>
      <c r="BA72" s="190">
        <v>1905672905</v>
      </c>
      <c r="BB72" s="190">
        <v>0</v>
      </c>
    </row>
    <row r="73" spans="1:54" x14ac:dyDescent="0.25">
      <c r="A73" s="190" t="s">
        <v>177</v>
      </c>
    </row>
    <row r="74" spans="1:54" x14ac:dyDescent="0.25">
      <c r="A74" s="190" t="s">
        <v>178</v>
      </c>
      <c r="B74" s="190">
        <v>14866791491</v>
      </c>
      <c r="C74" s="190">
        <v>14866791491</v>
      </c>
      <c r="D74" s="190">
        <v>14866791491</v>
      </c>
      <c r="E74" s="190">
        <v>14866791491</v>
      </c>
      <c r="F74" s="190">
        <v>14866791491</v>
      </c>
      <c r="G74" s="190">
        <v>14866791491</v>
      </c>
      <c r="H74" s="190">
        <v>14866791491</v>
      </c>
      <c r="I74" s="190">
        <v>14866791491</v>
      </c>
      <c r="J74" s="190">
        <v>14866791491</v>
      </c>
      <c r="K74" s="190">
        <v>14866791491</v>
      </c>
      <c r="L74" s="190">
        <v>14866791491</v>
      </c>
      <c r="M74" s="190">
        <v>14866791491</v>
      </c>
      <c r="N74" s="190">
        <v>14866791491</v>
      </c>
      <c r="O74" s="190">
        <v>14866791491</v>
      </c>
      <c r="P74" s="190">
        <v>14866791491</v>
      </c>
      <c r="Q74" s="190">
        <v>14866791491</v>
      </c>
      <c r="R74" s="190">
        <v>14866791491</v>
      </c>
      <c r="S74" s="190">
        <v>14866791491</v>
      </c>
      <c r="T74" s="190">
        <v>14866791491</v>
      </c>
      <c r="U74" s="190">
        <v>14866791491</v>
      </c>
      <c r="V74" s="190">
        <v>14866791491</v>
      </c>
      <c r="W74" s="190">
        <v>14866791491</v>
      </c>
      <c r="X74" s="190">
        <v>14866791491</v>
      </c>
      <c r="Y74" s="190">
        <v>14866791491</v>
      </c>
      <c r="Z74" s="190">
        <v>14866791491</v>
      </c>
      <c r="AA74" s="190">
        <v>14866791491</v>
      </c>
      <c r="AB74" s="190">
        <v>14866791491</v>
      </c>
      <c r="AC74" s="190">
        <v>14866791491</v>
      </c>
      <c r="AD74" s="190">
        <v>14866791491</v>
      </c>
      <c r="AE74" s="190">
        <v>14866791491</v>
      </c>
      <c r="AF74" s="190">
        <v>14866791491</v>
      </c>
      <c r="AG74" s="190">
        <v>14866791491</v>
      </c>
      <c r="AH74" s="190">
        <v>12976757127</v>
      </c>
      <c r="AI74" s="190">
        <v>12976757127</v>
      </c>
      <c r="AJ74" s="190">
        <v>12976757127</v>
      </c>
      <c r="AK74" s="190">
        <v>12976757127</v>
      </c>
      <c r="AL74" s="190">
        <v>12976757127</v>
      </c>
      <c r="AM74" s="190">
        <v>12976757127</v>
      </c>
      <c r="AN74" s="190">
        <v>12976757127</v>
      </c>
      <c r="AO74" s="190">
        <v>12976757127</v>
      </c>
      <c r="AP74" s="190">
        <v>12976757127</v>
      </c>
      <c r="AQ74" s="190">
        <v>12976757127</v>
      </c>
      <c r="AR74" s="190">
        <v>12976757127</v>
      </c>
      <c r="AS74" s="190">
        <v>12976757127</v>
      </c>
      <c r="AT74" s="190">
        <v>12976757127</v>
      </c>
      <c r="AU74" s="190">
        <v>12976757127</v>
      </c>
      <c r="AV74" s="190">
        <v>12976757127</v>
      </c>
      <c r="AW74" s="190">
        <v>12976757127</v>
      </c>
      <c r="AX74" s="190">
        <v>12976757127</v>
      </c>
      <c r="AY74" s="190">
        <v>9946454097</v>
      </c>
      <c r="AZ74" s="190">
        <v>9946454097</v>
      </c>
      <c r="BA74" s="190">
        <v>9946454097</v>
      </c>
      <c r="BB74" s="190">
        <v>0</v>
      </c>
    </row>
    <row r="75" spans="1:54" x14ac:dyDescent="0.25">
      <c r="A75" s="190" t="s">
        <v>179</v>
      </c>
      <c r="B75" s="190">
        <v>24719376750</v>
      </c>
      <c r="C75" s="190">
        <v>24719376750</v>
      </c>
      <c r="D75" s="190">
        <v>24719376750</v>
      </c>
      <c r="E75" s="190">
        <v>24737093447</v>
      </c>
      <c r="F75" s="190">
        <v>24737093446</v>
      </c>
      <c r="G75" s="190">
        <v>24737093447</v>
      </c>
      <c r="H75" s="190">
        <v>24738765944</v>
      </c>
      <c r="I75" s="190">
        <v>24738765944</v>
      </c>
      <c r="J75" s="190">
        <v>24738761211</v>
      </c>
      <c r="K75" s="190">
        <v>24738761211</v>
      </c>
      <c r="L75" s="190">
        <v>24738761211</v>
      </c>
      <c r="M75" s="190">
        <v>24738761211</v>
      </c>
      <c r="N75" s="190">
        <v>24888308681</v>
      </c>
      <c r="O75" s="190">
        <v>24888308681</v>
      </c>
      <c r="P75" s="190">
        <v>24888308681</v>
      </c>
      <c r="Q75" s="190">
        <v>24888308681</v>
      </c>
      <c r="R75" s="190">
        <v>23869531302</v>
      </c>
      <c r="S75" s="190">
        <v>24888308681</v>
      </c>
      <c r="T75" s="190">
        <v>24888308681</v>
      </c>
      <c r="U75" s="190">
        <v>24888308681</v>
      </c>
      <c r="V75" s="190">
        <v>24902657432</v>
      </c>
      <c r="W75" s="190">
        <v>24904408286</v>
      </c>
      <c r="X75" s="190">
        <v>24904408286</v>
      </c>
      <c r="Y75" s="190">
        <v>24904408286</v>
      </c>
      <c r="Z75" s="190">
        <v>23249557198</v>
      </c>
      <c r="AA75" s="190">
        <v>23249557198</v>
      </c>
      <c r="AB75" s="190">
        <v>23249557198</v>
      </c>
      <c r="AC75" s="190">
        <v>23249557198</v>
      </c>
      <c r="AD75" s="190">
        <v>23249557198</v>
      </c>
      <c r="AE75" s="190">
        <v>23249557198</v>
      </c>
      <c r="AF75" s="190">
        <v>23249557198</v>
      </c>
      <c r="AG75" s="190">
        <v>23249557198</v>
      </c>
      <c r="AH75" s="190">
        <v>8920457433</v>
      </c>
      <c r="AI75" s="190">
        <v>17130215368</v>
      </c>
      <c r="AJ75" s="190">
        <v>17130215368</v>
      </c>
      <c r="AK75" s="190">
        <v>17130215368</v>
      </c>
      <c r="AL75" s="190">
        <v>17130215368</v>
      </c>
      <c r="AM75" s="190">
        <v>17130215368</v>
      </c>
      <c r="AN75" s="190">
        <v>17130215368</v>
      </c>
      <c r="AO75" s="190">
        <v>17130215368</v>
      </c>
      <c r="AP75" s="190">
        <v>17130215368</v>
      </c>
      <c r="AQ75" s="190">
        <v>17130215368</v>
      </c>
      <c r="AR75" s="190">
        <v>17130215368</v>
      </c>
      <c r="AS75" s="190">
        <v>17130215368</v>
      </c>
      <c r="AT75" s="190">
        <v>17130215368</v>
      </c>
      <c r="AU75" s="190">
        <v>17130215368</v>
      </c>
      <c r="AV75" s="190">
        <v>17130215368</v>
      </c>
      <c r="AW75" s="190">
        <v>17130215368</v>
      </c>
      <c r="AX75" s="190">
        <v>17130215368</v>
      </c>
      <c r="AY75" s="190">
        <v>5426308075</v>
      </c>
      <c r="AZ75" s="190">
        <v>5426308075</v>
      </c>
      <c r="BA75" s="190">
        <v>5355856126</v>
      </c>
      <c r="BB75" s="190">
        <v>0</v>
      </c>
    </row>
    <row r="76" spans="1:54"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row>
    <row r="77" spans="1:54" x14ac:dyDescent="0.25">
      <c r="A77" s="190" t="s">
        <v>181</v>
      </c>
      <c r="B77" s="190">
        <v>-1368491782</v>
      </c>
      <c r="C77" s="190">
        <v>-1368491782</v>
      </c>
      <c r="D77" s="190">
        <v>-1368491782</v>
      </c>
      <c r="E77" s="190">
        <v>-1368491782</v>
      </c>
      <c r="F77" s="190">
        <v>-1278376235</v>
      </c>
      <c r="G77" s="190">
        <v>-1278376235</v>
      </c>
      <c r="H77" s="190">
        <v>-1278376235</v>
      </c>
      <c r="I77" s="190">
        <v>-1278376235</v>
      </c>
      <c r="J77" s="190">
        <v>-1255290111</v>
      </c>
      <c r="K77" s="190">
        <v>-1255290111</v>
      </c>
      <c r="L77" s="190">
        <v>-1255290111</v>
      </c>
      <c r="M77" s="190">
        <v>-1255290111</v>
      </c>
      <c r="N77" s="190">
        <v>-1206786090</v>
      </c>
      <c r="O77" s="190">
        <v>-1206786090</v>
      </c>
      <c r="P77" s="190">
        <v>-1206786090</v>
      </c>
      <c r="Q77" s="190">
        <v>-1206786090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row>
    <row r="78" spans="1:54" x14ac:dyDescent="0.25">
      <c r="A78" s="190" t="s">
        <v>182</v>
      </c>
      <c r="B78" s="190">
        <v>369352952</v>
      </c>
      <c r="C78" s="190">
        <v>369209938</v>
      </c>
      <c r="D78" s="190">
        <v>331822590</v>
      </c>
      <c r="E78" s="190">
        <v>293146938</v>
      </c>
      <c r="F78" s="190">
        <v>324215577</v>
      </c>
      <c r="G78" s="190">
        <v>248289661</v>
      </c>
      <c r="H78" s="190">
        <v>330333751</v>
      </c>
      <c r="I78" s="190">
        <v>260200677</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row>
    <row r="79" spans="1:54" x14ac:dyDescent="0.25">
      <c r="A79" s="190" t="s">
        <v>183</v>
      </c>
      <c r="B79" s="190">
        <v>12580078283</v>
      </c>
      <c r="C79" s="190">
        <v>12580078283</v>
      </c>
      <c r="D79" s="190">
        <v>12580078283</v>
      </c>
      <c r="E79" s="190">
        <v>12580078283</v>
      </c>
      <c r="F79" s="190">
        <v>11175347428</v>
      </c>
      <c r="G79" s="190">
        <v>11175347427</v>
      </c>
      <c r="H79" s="190">
        <v>11175347427</v>
      </c>
      <c r="I79" s="190">
        <v>11175347427</v>
      </c>
      <c r="J79" s="190">
        <v>10433633849</v>
      </c>
      <c r="K79" s="190">
        <v>10433633849</v>
      </c>
      <c r="L79" s="190">
        <v>10433633849</v>
      </c>
      <c r="M79" s="190">
        <v>10433633849</v>
      </c>
      <c r="N79" s="190">
        <v>9088677556</v>
      </c>
      <c r="O79" s="190">
        <v>9088677556</v>
      </c>
      <c r="P79" s="190">
        <v>9088677556</v>
      </c>
      <c r="Q79" s="190">
        <v>9088677556</v>
      </c>
      <c r="R79" s="190">
        <v>7670652161</v>
      </c>
      <c r="S79" s="190">
        <v>7670652161</v>
      </c>
      <c r="T79" s="190">
        <v>7670652161</v>
      </c>
      <c r="U79" s="190">
        <v>7670652161</v>
      </c>
      <c r="V79" s="190">
        <v>6401243057</v>
      </c>
      <c r="W79" s="190">
        <v>6401243057</v>
      </c>
      <c r="X79" s="190">
        <v>6401243057</v>
      </c>
      <c r="Y79" s="190">
        <v>6401243057</v>
      </c>
      <c r="Z79" s="190">
        <v>5251302692</v>
      </c>
      <c r="AA79" s="190">
        <v>5251302692</v>
      </c>
      <c r="AB79" s="190">
        <v>5251302692</v>
      </c>
      <c r="AC79" s="190">
        <v>5251302692</v>
      </c>
      <c r="AD79" s="190">
        <v>4081598366</v>
      </c>
      <c r="AE79" s="190">
        <v>4081598366</v>
      </c>
      <c r="AF79" s="190">
        <v>4081598366</v>
      </c>
      <c r="AG79" s="190">
        <v>4081598366</v>
      </c>
      <c r="AH79" s="190">
        <v>3155676161</v>
      </c>
      <c r="AI79" s="190">
        <v>3155676161</v>
      </c>
      <c r="AJ79" s="190">
        <v>3155676161</v>
      </c>
      <c r="AK79" s="190">
        <v>3155676161</v>
      </c>
      <c r="AL79" s="190">
        <v>2502638745</v>
      </c>
      <c r="AM79" s="190">
        <v>2502638745</v>
      </c>
      <c r="AN79" s="190">
        <v>2502638745</v>
      </c>
      <c r="AO79" s="190">
        <v>2502638745</v>
      </c>
      <c r="AP79" s="190">
        <v>1834687099</v>
      </c>
      <c r="AQ79" s="190">
        <v>1834687099</v>
      </c>
      <c r="AR79" s="190">
        <v>1834687099</v>
      </c>
      <c r="AS79" s="190">
        <v>1834687099</v>
      </c>
      <c r="AT79" s="190">
        <v>1217835425</v>
      </c>
      <c r="AU79" s="190">
        <v>1217835425</v>
      </c>
      <c r="AV79" s="190">
        <v>1217835425</v>
      </c>
      <c r="AW79" s="190">
        <v>1217835425</v>
      </c>
      <c r="AX79" s="190">
        <v>780766306</v>
      </c>
      <c r="AY79" s="190">
        <v>780766306</v>
      </c>
      <c r="AZ79" s="190">
        <v>780766306</v>
      </c>
      <c r="BA79" s="190">
        <v>68517334</v>
      </c>
      <c r="BB79" s="190">
        <v>0</v>
      </c>
    </row>
    <row r="80" spans="1:54"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row>
    <row r="81" spans="1:54" x14ac:dyDescent="0.25">
      <c r="A81" s="190" t="s">
        <v>185</v>
      </c>
      <c r="B81" s="190">
        <v>53439880527</v>
      </c>
      <c r="C81" s="190">
        <v>49498154796</v>
      </c>
      <c r="D81" s="190">
        <v>52389741188</v>
      </c>
      <c r="E81" s="190">
        <v>48293145691</v>
      </c>
      <c r="F81" s="190">
        <v>47585611362</v>
      </c>
      <c r="G81" s="190">
        <v>43970948053</v>
      </c>
      <c r="H81" s="190">
        <v>43226258930</v>
      </c>
      <c r="I81" s="190">
        <v>40065058314</v>
      </c>
      <c r="J81" s="190">
        <v>38784234269</v>
      </c>
      <c r="K81" s="190">
        <v>37318554624</v>
      </c>
      <c r="L81" s="190">
        <v>42382808118</v>
      </c>
      <c r="M81" s="190">
        <v>40328340552</v>
      </c>
      <c r="N81" s="190">
        <v>40214943442</v>
      </c>
      <c r="O81" s="190">
        <v>36366845008</v>
      </c>
      <c r="P81" s="190">
        <v>39877504840</v>
      </c>
      <c r="Q81" s="190">
        <v>36161623195</v>
      </c>
      <c r="R81" s="190">
        <v>34559902335</v>
      </c>
      <c r="S81" s="190">
        <v>30440597620</v>
      </c>
      <c r="T81" s="190">
        <v>33174331660</v>
      </c>
      <c r="U81" s="190">
        <v>29647600735</v>
      </c>
      <c r="V81" s="190">
        <v>27845914536</v>
      </c>
      <c r="W81" s="190">
        <v>24698073850</v>
      </c>
      <c r="X81" s="190">
        <v>27426007300</v>
      </c>
      <c r="Y81" s="190">
        <v>24015983396</v>
      </c>
      <c r="Z81" s="190">
        <v>22416348465</v>
      </c>
      <c r="AA81" s="190">
        <v>19728519047</v>
      </c>
      <c r="AB81" s="190">
        <v>22878569900</v>
      </c>
      <c r="AC81" s="190">
        <v>19461396515</v>
      </c>
      <c r="AD81" s="190">
        <v>18134130370</v>
      </c>
      <c r="AE81" s="190">
        <v>15117200952</v>
      </c>
      <c r="AF81" s="190">
        <v>17552924840</v>
      </c>
      <c r="AG81" s="190">
        <v>14135835336</v>
      </c>
      <c r="AH81" s="190">
        <v>13132370670</v>
      </c>
      <c r="AI81" s="190">
        <v>10446131072</v>
      </c>
      <c r="AJ81" s="190">
        <v>11993241496</v>
      </c>
      <c r="AK81" s="190">
        <v>9695184854</v>
      </c>
      <c r="AL81" s="190">
        <v>8414214906</v>
      </c>
      <c r="AM81" s="190">
        <v>6653236153</v>
      </c>
      <c r="AN81" s="190">
        <v>9173639629</v>
      </c>
      <c r="AO81" s="190">
        <v>7710875248</v>
      </c>
      <c r="AP81" s="190">
        <v>7267116765</v>
      </c>
      <c r="AQ81" s="190">
        <v>5419504162</v>
      </c>
      <c r="AR81" s="190">
        <v>7682397997</v>
      </c>
      <c r="AS81" s="190">
        <v>5592337565</v>
      </c>
      <c r="AT81" s="190">
        <v>4764748011</v>
      </c>
      <c r="AU81" s="190">
        <v>3057427916</v>
      </c>
      <c r="AV81" s="190">
        <v>5578538746</v>
      </c>
      <c r="AW81" s="190">
        <v>3933699642</v>
      </c>
      <c r="AX81" s="190">
        <v>3258179056</v>
      </c>
      <c r="AY81" s="190">
        <v>2275358475</v>
      </c>
      <c r="AZ81" s="190">
        <v>2081969875</v>
      </c>
      <c r="BA81" s="190">
        <v>274069339</v>
      </c>
      <c r="BB81" s="190">
        <v>0</v>
      </c>
    </row>
    <row r="82" spans="1:54" x14ac:dyDescent="0.25">
      <c r="A82" s="190" t="s">
        <v>186</v>
      </c>
      <c r="B82" s="190">
        <v>104606988221</v>
      </c>
      <c r="C82" s="190">
        <v>100665119476</v>
      </c>
      <c r="D82" s="190">
        <v>103519318520</v>
      </c>
      <c r="E82" s="190">
        <v>99401764068</v>
      </c>
      <c r="F82" s="190">
        <v>97410683069</v>
      </c>
      <c r="G82" s="190">
        <v>93720093844</v>
      </c>
      <c r="H82" s="190">
        <v>93059121308</v>
      </c>
      <c r="I82" s="190">
        <v>89827787618</v>
      </c>
      <c r="J82" s="190">
        <v>87568130709</v>
      </c>
      <c r="K82" s="190">
        <v>86102451064</v>
      </c>
      <c r="L82" s="190">
        <v>91166704558</v>
      </c>
      <c r="M82" s="190">
        <v>89112236992</v>
      </c>
      <c r="N82" s="190">
        <v>87851935080</v>
      </c>
      <c r="O82" s="190">
        <v>84003836646</v>
      </c>
      <c r="P82" s="190">
        <v>87514496478</v>
      </c>
      <c r="Q82" s="190">
        <v>83798614833</v>
      </c>
      <c r="R82" s="190">
        <v>80966877289</v>
      </c>
      <c r="S82" s="190">
        <v>77866349953</v>
      </c>
      <c r="T82" s="190">
        <v>80600083993</v>
      </c>
      <c r="U82" s="190">
        <v>77073353068</v>
      </c>
      <c r="V82" s="190">
        <v>74016606516</v>
      </c>
      <c r="W82" s="190">
        <v>70870516684</v>
      </c>
      <c r="X82" s="190">
        <v>73598450134</v>
      </c>
      <c r="Y82" s="190">
        <v>70188426230</v>
      </c>
      <c r="Z82" s="190">
        <v>65783999846</v>
      </c>
      <c r="AA82" s="190">
        <v>63096170428</v>
      </c>
      <c r="AB82" s="190">
        <v>66246221281</v>
      </c>
      <c r="AC82" s="190">
        <v>62829047896</v>
      </c>
      <c r="AD82" s="190">
        <v>60332077425</v>
      </c>
      <c r="AE82" s="190">
        <v>57315148007</v>
      </c>
      <c r="AF82" s="190">
        <v>59750871895</v>
      </c>
      <c r="AG82" s="190">
        <v>56333782391</v>
      </c>
      <c r="AH82" s="190">
        <v>38185261391</v>
      </c>
      <c r="AI82" s="190">
        <v>43708779728</v>
      </c>
      <c r="AJ82" s="190">
        <v>45255890152</v>
      </c>
      <c r="AK82" s="190">
        <v>42957833510</v>
      </c>
      <c r="AL82" s="190">
        <v>41023826146</v>
      </c>
      <c r="AM82" s="190">
        <v>39262847393</v>
      </c>
      <c r="AN82" s="190">
        <v>41783250869</v>
      </c>
      <c r="AO82" s="190">
        <v>40320486488</v>
      </c>
      <c r="AP82" s="190">
        <v>39208776359</v>
      </c>
      <c r="AQ82" s="190">
        <v>37361163756</v>
      </c>
      <c r="AR82" s="190">
        <v>39624057591</v>
      </c>
      <c r="AS82" s="190">
        <v>37533997159</v>
      </c>
      <c r="AT82" s="190">
        <v>36089555931</v>
      </c>
      <c r="AU82" s="190">
        <v>34382235836</v>
      </c>
      <c r="AV82" s="190">
        <v>36903346666</v>
      </c>
      <c r="AW82" s="190">
        <v>35258507562</v>
      </c>
      <c r="AX82" s="190">
        <v>34145917857</v>
      </c>
      <c r="AY82" s="190">
        <v>18428886953</v>
      </c>
      <c r="AZ82" s="190">
        <v>18235498353</v>
      </c>
      <c r="BA82" s="190">
        <v>15644896896</v>
      </c>
      <c r="BB82" s="190">
        <v>0</v>
      </c>
    </row>
    <row r="83" spans="1:54" x14ac:dyDescent="0.25">
      <c r="A83" s="190" t="s">
        <v>187</v>
      </c>
      <c r="B83" s="190">
        <v>1511054100</v>
      </c>
      <c r="C83" s="190">
        <v>1514687358</v>
      </c>
      <c r="D83" s="190">
        <v>1500337461</v>
      </c>
      <c r="E83" s="190">
        <v>1509165069</v>
      </c>
      <c r="F83" s="190">
        <v>1653334951</v>
      </c>
      <c r="G83" s="190">
        <v>1687091245</v>
      </c>
      <c r="H83" s="190">
        <v>1700905577</v>
      </c>
      <c r="I83" s="190">
        <v>1746572510</v>
      </c>
      <c r="J83" s="190">
        <v>1759222277</v>
      </c>
      <c r="K83" s="190">
        <v>1458915791</v>
      </c>
      <c r="L83" s="190">
        <v>1489100748</v>
      </c>
      <c r="M83" s="190">
        <v>1498322218</v>
      </c>
      <c r="N83" s="190">
        <v>206096743</v>
      </c>
      <c r="O83" s="190">
        <v>201860966</v>
      </c>
      <c r="P83" s="190">
        <v>200335677</v>
      </c>
      <c r="Q83" s="190">
        <v>199126700</v>
      </c>
      <c r="R83" s="190">
        <v>197722951</v>
      </c>
      <c r="S83" s="190">
        <v>197102805</v>
      </c>
      <c r="T83" s="190">
        <v>195621969</v>
      </c>
      <c r="U83" s="190">
        <v>194839923</v>
      </c>
      <c r="V83" s="190">
        <v>150000000</v>
      </c>
      <c r="W83" s="190">
        <v>158406294</v>
      </c>
      <c r="X83" s="190">
        <v>158413269</v>
      </c>
      <c r="Y83" s="190">
        <v>158393389</v>
      </c>
      <c r="Z83" s="190">
        <v>130524084</v>
      </c>
      <c r="AA83" s="190">
        <v>8431938</v>
      </c>
      <c r="AB83" s="190">
        <v>8210072</v>
      </c>
      <c r="AC83" s="190">
        <v>8048729</v>
      </c>
      <c r="AD83" s="190">
        <v>8398246</v>
      </c>
      <c r="AE83" s="190">
        <v>8367133</v>
      </c>
      <c r="AF83" s="190">
        <v>8292145</v>
      </c>
      <c r="AG83" s="190">
        <v>7874972</v>
      </c>
      <c r="AH83" s="190">
        <v>6748069</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row>
    <row r="84" spans="1:54" x14ac:dyDescent="0.25">
      <c r="A84" s="190" t="s">
        <v>188</v>
      </c>
      <c r="B84" s="190">
        <v>106118042321</v>
      </c>
      <c r="C84" s="190">
        <v>102179806834</v>
      </c>
      <c r="D84" s="190">
        <v>105019655981</v>
      </c>
      <c r="E84" s="190">
        <v>100910929137</v>
      </c>
      <c r="F84" s="190">
        <v>99064018020</v>
      </c>
      <c r="G84" s="190">
        <v>95407185089</v>
      </c>
      <c r="H84" s="190">
        <v>94760026885</v>
      </c>
      <c r="I84" s="190">
        <v>91574360128</v>
      </c>
      <c r="J84" s="190">
        <v>89327352986</v>
      </c>
      <c r="K84" s="190">
        <v>87561366855</v>
      </c>
      <c r="L84" s="190">
        <v>92655805306</v>
      </c>
      <c r="M84" s="190">
        <v>90610559210</v>
      </c>
      <c r="N84" s="190">
        <v>88058031823</v>
      </c>
      <c r="O84" s="190">
        <v>84205697612</v>
      </c>
      <c r="P84" s="190">
        <v>87714832155</v>
      </c>
      <c r="Q84" s="190">
        <v>83997741533</v>
      </c>
      <c r="R84" s="190">
        <v>81164600240</v>
      </c>
      <c r="S84" s="190">
        <v>78063452758</v>
      </c>
      <c r="T84" s="190">
        <v>80795705962</v>
      </c>
      <c r="U84" s="190">
        <v>77268192991</v>
      </c>
      <c r="V84" s="190">
        <v>74166606516</v>
      </c>
      <c r="W84" s="190">
        <v>71028922978</v>
      </c>
      <c r="X84" s="190">
        <v>73756863403</v>
      </c>
      <c r="Y84" s="190">
        <v>70346819619</v>
      </c>
      <c r="Z84" s="190">
        <v>65914523930</v>
      </c>
      <c r="AA84" s="190">
        <v>63104602366</v>
      </c>
      <c r="AB84" s="190">
        <v>66254431353</v>
      </c>
      <c r="AC84" s="190">
        <v>62837096625</v>
      </c>
      <c r="AD84" s="190">
        <v>60340475671</v>
      </c>
      <c r="AE84" s="190">
        <v>57323515140</v>
      </c>
      <c r="AF84" s="190">
        <v>59759164040</v>
      </c>
      <c r="AG84" s="190">
        <v>56341657363</v>
      </c>
      <c r="AH84" s="190">
        <v>38192009460</v>
      </c>
      <c r="AI84" s="190">
        <v>43708779728</v>
      </c>
      <c r="AJ84" s="190">
        <v>45255890152</v>
      </c>
      <c r="AK84" s="190">
        <v>42957833510</v>
      </c>
      <c r="AL84" s="190">
        <v>41023826146</v>
      </c>
      <c r="AM84" s="190">
        <v>39262847393</v>
      </c>
      <c r="AN84" s="190">
        <v>41783250869</v>
      </c>
      <c r="AO84" s="190">
        <v>40320486488</v>
      </c>
      <c r="AP84" s="190">
        <v>39208776359</v>
      </c>
      <c r="AQ84" s="190">
        <v>37361163756</v>
      </c>
      <c r="AR84" s="190">
        <v>39624057591</v>
      </c>
      <c r="AS84" s="190">
        <v>37533997159</v>
      </c>
      <c r="AT84" s="190">
        <v>36089555931</v>
      </c>
      <c r="AU84" s="190">
        <v>34382235836</v>
      </c>
      <c r="AV84" s="190">
        <v>36903346666</v>
      </c>
      <c r="AW84" s="190">
        <v>35258507562</v>
      </c>
      <c r="AX84" s="190">
        <v>34145917857</v>
      </c>
      <c r="AY84" s="190">
        <v>18428886953</v>
      </c>
      <c r="AZ84" s="190">
        <v>18235498353</v>
      </c>
      <c r="BA84" s="190">
        <v>15644896896</v>
      </c>
      <c r="BB84" s="190">
        <v>0</v>
      </c>
    </row>
    <row r="85" spans="1:54" x14ac:dyDescent="0.25">
      <c r="A85" s="190" t="s">
        <v>189</v>
      </c>
      <c r="B85" s="190">
        <v>132925564622</v>
      </c>
      <c r="C85" s="190">
        <v>126993720283</v>
      </c>
      <c r="D85" s="190">
        <v>131526717699</v>
      </c>
      <c r="E85" s="190">
        <v>127686513130</v>
      </c>
      <c r="F85" s="190">
        <v>129069527316</v>
      </c>
      <c r="G85" s="190">
        <v>121285792564</v>
      </c>
      <c r="H85" s="190">
        <v>127705640240</v>
      </c>
      <c r="I85" s="190">
        <v>123483133490</v>
      </c>
      <c r="J85" s="190">
        <v>119307675285</v>
      </c>
      <c r="K85" s="190">
        <v>122286850040</v>
      </c>
      <c r="L85" s="190">
        <v>113251618676</v>
      </c>
      <c r="M85" s="190">
        <v>114548785063</v>
      </c>
      <c r="N85" s="190">
        <v>108092006863</v>
      </c>
      <c r="O85" s="190">
        <v>104915832716</v>
      </c>
      <c r="P85" s="190">
        <v>109562639449</v>
      </c>
      <c r="Q85" s="190">
        <v>106334344258</v>
      </c>
      <c r="R85" s="190">
        <v>109996424514</v>
      </c>
      <c r="S85" s="190">
        <v>102675608405</v>
      </c>
      <c r="T85" s="190">
        <v>106579671772</v>
      </c>
      <c r="U85" s="190">
        <v>103955316445</v>
      </c>
      <c r="V85" s="190">
        <v>100371969719</v>
      </c>
      <c r="W85" s="190">
        <v>98943387595</v>
      </c>
      <c r="X85" s="190">
        <v>102274620821</v>
      </c>
      <c r="Y85" s="190">
        <v>100387671397</v>
      </c>
      <c r="Z85" s="190">
        <v>95513623706</v>
      </c>
      <c r="AA85" s="190">
        <v>97221153899</v>
      </c>
      <c r="AB85" s="190">
        <v>95411269256</v>
      </c>
      <c r="AC85" s="190">
        <v>94120726546</v>
      </c>
      <c r="AD85" s="190">
        <v>94438045680</v>
      </c>
      <c r="AE85" s="190">
        <v>99233275363</v>
      </c>
      <c r="AF85" s="190">
        <v>98107732194</v>
      </c>
      <c r="AG85" s="190">
        <v>100146215174</v>
      </c>
      <c r="AH85" s="190">
        <v>96867821061</v>
      </c>
      <c r="AI85" s="190">
        <v>68542367231</v>
      </c>
      <c r="AJ85" s="190">
        <v>66250923451</v>
      </c>
      <c r="AK85" s="190">
        <v>67944111180</v>
      </c>
      <c r="AL85" s="190">
        <v>66703219503</v>
      </c>
      <c r="AM85" s="190">
        <v>66281518386</v>
      </c>
      <c r="AN85" s="190">
        <v>63324707404</v>
      </c>
      <c r="AO85" s="190">
        <v>62424338894</v>
      </c>
      <c r="AP85" s="190">
        <v>58379665468</v>
      </c>
      <c r="AQ85" s="190">
        <v>55727921542</v>
      </c>
      <c r="AR85" s="190">
        <v>51457024594</v>
      </c>
      <c r="AS85" s="190">
        <v>51107589240</v>
      </c>
      <c r="AT85" s="190">
        <v>41952778246</v>
      </c>
      <c r="AU85" s="190">
        <v>39269864463</v>
      </c>
      <c r="AV85" s="190">
        <v>41756433884</v>
      </c>
      <c r="AW85" s="190">
        <v>41017362895</v>
      </c>
      <c r="AX85" s="190">
        <v>38869352294</v>
      </c>
      <c r="AY85" s="190">
        <v>37023846114</v>
      </c>
      <c r="AZ85" s="190">
        <v>37847770936</v>
      </c>
      <c r="BA85" s="190">
        <v>17550569801</v>
      </c>
      <c r="BB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F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5" width="12.77734375" style="190" hidden="1" customWidth="1"/>
    <col min="36" max="36" width="11.6640625" style="190" hidden="1" customWidth="1"/>
    <col min="37" max="37" width="12.77734375" style="190" bestFit="1" customWidth="1"/>
    <col min="38" max="39" width="12.77734375" style="190" hidden="1" customWidth="1"/>
    <col min="40" max="40" width="11.6640625" style="190" hidden="1" customWidth="1"/>
    <col min="41" max="41" width="12.77734375" style="190" bestFit="1" customWidth="1"/>
    <col min="42" max="43" width="12.77734375" style="190" hidden="1" customWidth="1"/>
    <col min="44" max="44" width="11.6640625" style="190" hidden="1" customWidth="1"/>
    <col min="45" max="45" width="12.77734375" style="190" bestFit="1" customWidth="1"/>
    <col min="46" max="46" width="12.77734375" style="190" hidden="1" customWidth="1"/>
    <col min="47" max="48" width="11.6640625" style="190" hidden="1" customWidth="1"/>
    <col min="49" max="49" width="12.77734375" style="190" bestFit="1" customWidth="1"/>
    <col min="50" max="50" width="12.77734375" style="190" hidden="1" customWidth="1"/>
    <col min="51" max="52" width="11.6640625" style="190" hidden="1" customWidth="1"/>
    <col min="53" max="53" width="12.77734375" style="190" bestFit="1" customWidth="1"/>
    <col min="54" max="55" width="11.6640625" style="190" hidden="1" customWidth="1"/>
    <col min="56" max="57" width="11.6640625" style="190" bestFit="1" customWidth="1"/>
    <col min="58" max="58" width="9.5546875" style="190" hidden="1" customWidth="1"/>
    <col min="59" max="16384" width="8.88671875" style="190"/>
  </cols>
  <sheetData>
    <row r="1" spans="1:58"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20031231</v>
      </c>
      <c r="BF1" s="190">
        <v>19700101</v>
      </c>
    </row>
    <row r="2" spans="1:5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row>
    <row r="3" spans="1:58" x14ac:dyDescent="0.25">
      <c r="A3" s="190" t="s">
        <v>190</v>
      </c>
      <c r="B3" s="190">
        <v>56861566344</v>
      </c>
      <c r="C3" s="190">
        <v>37233102577</v>
      </c>
      <c r="D3" s="190">
        <v>17973277434</v>
      </c>
      <c r="E3" s="190">
        <v>55636499436</v>
      </c>
      <c r="F3" s="190">
        <v>41740560803</v>
      </c>
      <c r="G3" s="190">
        <v>27356568247</v>
      </c>
      <c r="H3" s="190">
        <v>12451185731</v>
      </c>
      <c r="I3" s="190">
        <v>44624879986</v>
      </c>
      <c r="J3" s="190">
        <v>31590274924</v>
      </c>
      <c r="K3" s="190">
        <v>21225197228</v>
      </c>
      <c r="L3" s="190">
        <v>11112711644</v>
      </c>
      <c r="M3" s="190">
        <v>52531366878</v>
      </c>
      <c r="N3" s="190">
        <v>40405491363</v>
      </c>
      <c r="O3" s="190">
        <v>27568608083</v>
      </c>
      <c r="P3" s="190">
        <v>13879124264</v>
      </c>
      <c r="Q3" s="190">
        <v>53970730405</v>
      </c>
      <c r="R3" s="190">
        <v>40584960018</v>
      </c>
      <c r="S3" s="190">
        <v>26381464422</v>
      </c>
      <c r="T3" s="190">
        <v>12924921593</v>
      </c>
      <c r="U3" s="190">
        <v>51342739663</v>
      </c>
      <c r="V3" s="190">
        <v>37696880493</v>
      </c>
      <c r="W3" s="190">
        <v>24322872530</v>
      </c>
      <c r="X3" s="190">
        <v>11983767548</v>
      </c>
      <c r="Y3" s="190">
        <v>45962439573</v>
      </c>
      <c r="Z3" s="190">
        <v>33478802188</v>
      </c>
      <c r="AA3" s="190">
        <v>22255045433</v>
      </c>
      <c r="AB3" s="190">
        <v>11190000000</v>
      </c>
      <c r="AC3" s="190">
        <v>45007038465</v>
      </c>
      <c r="AD3" s="190">
        <v>33270504198</v>
      </c>
      <c r="AE3" s="190">
        <v>21852185048</v>
      </c>
      <c r="AF3" s="190">
        <v>10894379545</v>
      </c>
      <c r="AG3" s="190">
        <v>42013761549</v>
      </c>
      <c r="AH3" s="190">
        <v>30987977369</v>
      </c>
      <c r="AI3" s="190">
        <v>14020686374</v>
      </c>
      <c r="AJ3" s="190">
        <v>6584835335</v>
      </c>
      <c r="AK3" s="190">
        <v>23123142326</v>
      </c>
      <c r="AL3" s="190">
        <v>16248452158</v>
      </c>
      <c r="AM3" s="190">
        <v>10162139870</v>
      </c>
      <c r="AN3" s="190">
        <v>4859769970</v>
      </c>
      <c r="AO3" s="190">
        <v>22595317577</v>
      </c>
      <c r="AP3" s="190">
        <v>17703917791</v>
      </c>
      <c r="AQ3" s="190">
        <v>11607032225</v>
      </c>
      <c r="AR3" s="190">
        <v>5507283336</v>
      </c>
      <c r="AS3" s="190">
        <v>20860262089</v>
      </c>
      <c r="AT3" s="190">
        <v>15225187083</v>
      </c>
      <c r="AU3" s="190">
        <v>9646345314</v>
      </c>
      <c r="AV3" s="190">
        <v>4499404773</v>
      </c>
      <c r="AW3" s="190">
        <v>16160436796</v>
      </c>
      <c r="AX3" s="190">
        <v>11774465678</v>
      </c>
      <c r="AY3" s="190">
        <v>7772936196</v>
      </c>
      <c r="AZ3" s="190">
        <v>3520864128</v>
      </c>
      <c r="BA3" s="190">
        <v>13112679355</v>
      </c>
      <c r="BB3" s="190">
        <v>9644973783</v>
      </c>
      <c r="BC3" s="190">
        <v>6492134852</v>
      </c>
      <c r="BD3" s="190">
        <v>7206098555</v>
      </c>
      <c r="BE3" s="190">
        <v>5139796162</v>
      </c>
      <c r="BF3" s="190">
        <v>0</v>
      </c>
    </row>
    <row r="4" spans="1:58" x14ac:dyDescent="0.25">
      <c r="A4" s="190" t="s">
        <v>191</v>
      </c>
      <c r="B4" s="190">
        <v>56861566344</v>
      </c>
      <c r="C4" s="190">
        <v>37233102577</v>
      </c>
      <c r="D4" s="190">
        <v>17973277434</v>
      </c>
      <c r="E4" s="190">
        <v>55636499436</v>
      </c>
      <c r="F4" s="190">
        <v>41740560803</v>
      </c>
      <c r="G4" s="190">
        <v>27356568247</v>
      </c>
      <c r="H4" s="190">
        <v>12451185731</v>
      </c>
      <c r="I4" s="190">
        <v>44624879986</v>
      </c>
      <c r="J4" s="190">
        <v>31590274924</v>
      </c>
      <c r="K4" s="190">
        <v>21225197228</v>
      </c>
      <c r="L4" s="190">
        <v>11112711644</v>
      </c>
      <c r="M4" s="190">
        <v>52531366878</v>
      </c>
      <c r="N4" s="190">
        <v>40405491363</v>
      </c>
      <c r="O4" s="190">
        <v>27568608083</v>
      </c>
      <c r="P4" s="190">
        <v>13879124264</v>
      </c>
      <c r="Q4" s="190">
        <v>53970730405</v>
      </c>
      <c r="R4" s="190">
        <v>40584960018</v>
      </c>
      <c r="S4" s="190">
        <v>26381464422</v>
      </c>
      <c r="T4" s="190">
        <v>12924921593</v>
      </c>
      <c r="U4" s="190">
        <v>51342739663</v>
      </c>
      <c r="V4" s="190">
        <v>37696880493</v>
      </c>
      <c r="W4" s="190">
        <v>24322872530</v>
      </c>
      <c r="X4" s="190">
        <v>11983767548</v>
      </c>
      <c r="Y4" s="190">
        <v>45962439573</v>
      </c>
      <c r="Z4" s="190">
        <v>33478802188</v>
      </c>
      <c r="AA4" s="190">
        <v>22255045433</v>
      </c>
      <c r="AB4" s="190">
        <v>11190000000</v>
      </c>
      <c r="AC4" s="190">
        <v>45007038465</v>
      </c>
      <c r="AD4" s="190">
        <v>33270504198</v>
      </c>
      <c r="AE4" s="190">
        <v>21852185048</v>
      </c>
      <c r="AF4" s="190">
        <v>10894379545</v>
      </c>
      <c r="AG4" s="190">
        <v>42013761549</v>
      </c>
      <c r="AH4" s="190">
        <v>30987977369</v>
      </c>
      <c r="AI4" s="190">
        <v>14020686374</v>
      </c>
      <c r="AJ4" s="190">
        <v>6584835335</v>
      </c>
      <c r="AK4" s="190">
        <v>23123142326</v>
      </c>
      <c r="AL4" s="190">
        <v>16248452158</v>
      </c>
      <c r="AM4" s="190">
        <v>10162139870</v>
      </c>
      <c r="AN4" s="190">
        <v>4859769970</v>
      </c>
      <c r="AO4" s="190">
        <v>22595317577</v>
      </c>
      <c r="AP4" s="190">
        <v>17703917791</v>
      </c>
      <c r="AQ4" s="190">
        <v>11607032225</v>
      </c>
      <c r="AR4" s="190">
        <v>5507283336</v>
      </c>
      <c r="AS4" s="190">
        <v>20860262089</v>
      </c>
      <c r="AT4" s="190">
        <v>15225187083</v>
      </c>
      <c r="AU4" s="190">
        <v>9646345314</v>
      </c>
      <c r="AV4" s="190">
        <v>4499404773</v>
      </c>
      <c r="AW4" s="190">
        <v>16144984825</v>
      </c>
      <c r="AX4" s="190">
        <v>11763831167</v>
      </c>
      <c r="AY4" s="190">
        <v>7762102659</v>
      </c>
      <c r="AZ4" s="190">
        <v>3520864128</v>
      </c>
      <c r="BA4" s="190">
        <v>13104668212</v>
      </c>
      <c r="BB4" s="190">
        <v>9638307308</v>
      </c>
      <c r="BC4" s="190">
        <v>6487495242</v>
      </c>
      <c r="BD4" s="190">
        <v>7201886346</v>
      </c>
      <c r="BE4" s="190">
        <v>5138521408</v>
      </c>
      <c r="BF4" s="190">
        <v>0</v>
      </c>
    </row>
    <row r="5" spans="1:58" x14ac:dyDescent="0.25">
      <c r="A5" s="190" t="s">
        <v>192</v>
      </c>
      <c r="B5" s="190">
        <v>43652689137</v>
      </c>
      <c r="C5" s="190">
        <v>28317559763</v>
      </c>
      <c r="D5" s="190">
        <v>13544587227</v>
      </c>
      <c r="E5" s="190">
        <v>41890523303</v>
      </c>
      <c r="F5" s="190">
        <v>29667349759</v>
      </c>
      <c r="G5" s="190">
        <v>19222824063</v>
      </c>
      <c r="H5" s="190">
        <v>9148370329</v>
      </c>
      <c r="I5" s="190">
        <v>38390260543</v>
      </c>
      <c r="J5" s="190">
        <v>27356960530</v>
      </c>
      <c r="K5" s="190">
        <v>18066531956</v>
      </c>
      <c r="L5" s="190">
        <v>8979053029</v>
      </c>
      <c r="M5" s="190">
        <v>38193545584</v>
      </c>
      <c r="N5" s="190">
        <v>27266478511</v>
      </c>
      <c r="O5" s="190">
        <v>18906108922</v>
      </c>
      <c r="P5" s="190">
        <v>9443734110</v>
      </c>
      <c r="Q5" s="190">
        <v>38353394426</v>
      </c>
      <c r="R5" s="190">
        <v>27974173990</v>
      </c>
      <c r="S5" s="190">
        <v>18304336816</v>
      </c>
      <c r="T5" s="190">
        <v>8883198051</v>
      </c>
      <c r="U5" s="190">
        <v>37841387667</v>
      </c>
      <c r="V5" s="190">
        <v>27410692115</v>
      </c>
      <c r="W5" s="190">
        <v>17435611233</v>
      </c>
      <c r="X5" s="190">
        <v>8115779849</v>
      </c>
      <c r="Y5" s="190">
        <v>33243215411</v>
      </c>
      <c r="Z5" s="190">
        <v>23659426046</v>
      </c>
      <c r="AA5" s="190">
        <v>15524528825</v>
      </c>
      <c r="AB5" s="190">
        <v>7210240627</v>
      </c>
      <c r="AC5" s="190">
        <v>31450441356</v>
      </c>
      <c r="AD5" s="190">
        <v>22597383300</v>
      </c>
      <c r="AE5" s="190">
        <v>14609445325</v>
      </c>
      <c r="AF5" s="190">
        <v>6975460466</v>
      </c>
      <c r="AG5" s="190">
        <v>28876407978</v>
      </c>
      <c r="AH5" s="190">
        <v>20139539623</v>
      </c>
      <c r="AI5" s="190">
        <v>7821456147</v>
      </c>
      <c r="AJ5" s="190">
        <v>3526155441</v>
      </c>
      <c r="AK5" s="190">
        <v>14356517907</v>
      </c>
      <c r="AL5" s="190">
        <v>10104192483</v>
      </c>
      <c r="AM5" s="190">
        <v>6375151162</v>
      </c>
      <c r="AN5" s="190">
        <v>2908528937</v>
      </c>
      <c r="AO5" s="190">
        <v>13733215406</v>
      </c>
      <c r="AP5" s="190">
        <v>10199837544</v>
      </c>
      <c r="AQ5" s="190">
        <v>6595653394</v>
      </c>
      <c r="AR5" s="190">
        <v>2721718050</v>
      </c>
      <c r="AS5" s="190">
        <v>11588204639</v>
      </c>
      <c r="AT5" s="190">
        <v>8059437888</v>
      </c>
      <c r="AU5" s="190">
        <v>5193350426</v>
      </c>
      <c r="AV5" s="190">
        <v>2129847685</v>
      </c>
      <c r="AW5" s="190">
        <v>9587646981</v>
      </c>
      <c r="AX5" s="190">
        <v>6897503953</v>
      </c>
      <c r="AY5" s="190">
        <v>4426450260</v>
      </c>
      <c r="AZ5" s="190">
        <v>2287473834</v>
      </c>
      <c r="BA5" s="190">
        <v>7627469317</v>
      </c>
      <c r="BB5" s="190">
        <v>5505392931</v>
      </c>
      <c r="BC5" s="190">
        <v>3589634273</v>
      </c>
      <c r="BD5" s="190">
        <v>3492296603</v>
      </c>
      <c r="BE5" s="190">
        <v>2797788953</v>
      </c>
      <c r="BF5" s="190">
        <v>0</v>
      </c>
    </row>
    <row r="6" spans="1:58" x14ac:dyDescent="0.25">
      <c r="A6" s="190" t="s">
        <v>193</v>
      </c>
      <c r="B6" s="190">
        <v>42764026800</v>
      </c>
      <c r="C6" s="190">
        <v>27750386278</v>
      </c>
      <c r="D6" s="190">
        <v>13265614231</v>
      </c>
      <c r="E6" s="190">
        <v>40145481945</v>
      </c>
      <c r="F6" s="190">
        <v>28554442773</v>
      </c>
      <c r="G6" s="190">
        <v>18502281993</v>
      </c>
      <c r="H6" s="190">
        <v>8769816428</v>
      </c>
      <c r="I6" s="190">
        <v>36952049176</v>
      </c>
      <c r="J6" s="190">
        <v>26339402126</v>
      </c>
      <c r="K6" s="190">
        <v>17387349042</v>
      </c>
      <c r="L6" s="190">
        <v>8666420881</v>
      </c>
      <c r="M6" s="190">
        <v>36978471968</v>
      </c>
      <c r="N6" s="190">
        <v>26457911669</v>
      </c>
      <c r="O6" s="190">
        <v>18349421416</v>
      </c>
      <c r="P6" s="190">
        <v>9049763725</v>
      </c>
      <c r="Q6" s="190">
        <v>33735439375</v>
      </c>
      <c r="R6" s="190">
        <v>24600897211</v>
      </c>
      <c r="S6" s="190">
        <v>16123107208</v>
      </c>
      <c r="T6" s="190">
        <v>7850871338</v>
      </c>
      <c r="U6" s="190">
        <v>32306787587</v>
      </c>
      <c r="V6" s="190">
        <v>23418244893</v>
      </c>
      <c r="W6" s="190">
        <v>14851293435</v>
      </c>
      <c r="X6" s="190">
        <v>6889499243</v>
      </c>
      <c r="Y6" s="190">
        <v>28320619201</v>
      </c>
      <c r="Z6" s="190">
        <v>20093014059</v>
      </c>
      <c r="AA6" s="190">
        <v>13153769399</v>
      </c>
      <c r="AB6" s="190">
        <v>6067181712</v>
      </c>
      <c r="AC6" s="190">
        <v>26420323917</v>
      </c>
      <c r="AD6" s="190">
        <v>18749656390</v>
      </c>
      <c r="AE6" s="190">
        <v>12251230572</v>
      </c>
      <c r="AF6" s="190">
        <v>5816045791</v>
      </c>
      <c r="AG6" s="190">
        <v>24218767128</v>
      </c>
      <c r="AH6" s="190">
        <v>16837695232</v>
      </c>
      <c r="AI6" s="190">
        <v>6420993050</v>
      </c>
      <c r="AJ6" s="190">
        <v>2834170107</v>
      </c>
      <c r="AK6" s="190">
        <v>11932465796</v>
      </c>
      <c r="AL6" s="190">
        <v>8132230138</v>
      </c>
      <c r="AM6" s="190">
        <v>5113318889</v>
      </c>
      <c r="AN6" s="190">
        <v>2299111384</v>
      </c>
      <c r="AO6" s="190">
        <v>11708828992</v>
      </c>
      <c r="AP6" s="190">
        <v>8402508820</v>
      </c>
      <c r="AQ6" s="190">
        <v>5477138675</v>
      </c>
      <c r="AR6" s="190">
        <v>2224288390</v>
      </c>
      <c r="AS6" s="190">
        <v>10061194227</v>
      </c>
      <c r="AT6" s="190">
        <v>6984475987</v>
      </c>
      <c r="AU6" s="190">
        <v>4548348620</v>
      </c>
      <c r="AV6" s="190">
        <v>1831360245</v>
      </c>
      <c r="AW6" s="190">
        <v>7969520393</v>
      </c>
      <c r="AX6" s="190">
        <v>5632612830</v>
      </c>
      <c r="AY6" s="190">
        <v>3568647876</v>
      </c>
      <c r="AZ6" s="190">
        <v>1865040685</v>
      </c>
      <c r="BA6" s="190">
        <v>6059036676</v>
      </c>
      <c r="BB6" s="190">
        <v>4382989782</v>
      </c>
      <c r="BC6" s="190">
        <v>2853149756</v>
      </c>
      <c r="BD6" s="190">
        <v>2921890812</v>
      </c>
      <c r="BE6" s="190">
        <v>2342204700</v>
      </c>
      <c r="BF6" s="190">
        <v>0</v>
      </c>
    </row>
    <row r="7" spans="1:58" x14ac:dyDescent="0.25">
      <c r="A7" s="190" t="s">
        <v>194</v>
      </c>
      <c r="B7" s="190">
        <v>198948598</v>
      </c>
      <c r="C7" s="190">
        <v>125234018</v>
      </c>
      <c r="D7" s="190">
        <v>39864609</v>
      </c>
      <c r="E7" s="190">
        <v>224327406</v>
      </c>
      <c r="F7" s="190">
        <v>162578759</v>
      </c>
      <c r="G7" s="190">
        <v>104503004</v>
      </c>
      <c r="H7" s="190">
        <v>34269528</v>
      </c>
      <c r="I7" s="190">
        <v>185665759</v>
      </c>
      <c r="J7" s="190">
        <v>114060085</v>
      </c>
      <c r="K7" s="190">
        <v>78684006</v>
      </c>
      <c r="L7" s="190">
        <v>41480182</v>
      </c>
      <c r="M7" s="190">
        <v>199041610</v>
      </c>
      <c r="N7" s="190">
        <v>145756408</v>
      </c>
      <c r="O7" s="190">
        <v>100033097</v>
      </c>
      <c r="P7" s="190">
        <v>37583743</v>
      </c>
      <c r="Q7" s="190">
        <v>219634835</v>
      </c>
      <c r="R7" s="190">
        <v>157406161</v>
      </c>
      <c r="S7" s="190">
        <v>101605944</v>
      </c>
      <c r="T7" s="190">
        <v>51921241</v>
      </c>
      <c r="U7" s="190">
        <v>1529889334</v>
      </c>
      <c r="V7" s="190">
        <v>1122285146</v>
      </c>
      <c r="W7" s="190">
        <v>719620121</v>
      </c>
      <c r="X7" s="190">
        <v>335413523</v>
      </c>
      <c r="Y7" s="190">
        <v>1358348339</v>
      </c>
      <c r="Z7" s="190">
        <v>992581379</v>
      </c>
      <c r="AA7" s="190">
        <v>661927401</v>
      </c>
      <c r="AB7" s="190">
        <v>374444265</v>
      </c>
      <c r="AC7" s="190">
        <v>1510026935</v>
      </c>
      <c r="AD7" s="190">
        <v>1113802228</v>
      </c>
      <c r="AE7" s="190">
        <v>724648730</v>
      </c>
      <c r="AF7" s="190">
        <v>357631436</v>
      </c>
      <c r="AG7" s="190">
        <v>1370252998</v>
      </c>
      <c r="AH7" s="190">
        <v>1017955057</v>
      </c>
      <c r="AI7" s="190">
        <v>460756949</v>
      </c>
      <c r="AJ7" s="190">
        <v>216581231</v>
      </c>
      <c r="AK7" s="190">
        <v>759243213</v>
      </c>
      <c r="AL7" s="190">
        <v>534744145</v>
      </c>
      <c r="AM7" s="190">
        <v>334473596</v>
      </c>
      <c r="AN7" s="190">
        <v>159804006</v>
      </c>
      <c r="AO7" s="190">
        <v>743330934</v>
      </c>
      <c r="AP7" s="190">
        <v>582342917</v>
      </c>
      <c r="AQ7" s="190">
        <v>382218117</v>
      </c>
      <c r="AR7" s="190">
        <v>181489229</v>
      </c>
      <c r="AS7" s="190">
        <v>693033813</v>
      </c>
      <c r="AT7" s="190">
        <v>506087704</v>
      </c>
      <c r="AU7" s="190">
        <v>316784635</v>
      </c>
      <c r="AV7" s="190">
        <v>147871066</v>
      </c>
      <c r="AW7" s="190">
        <v>530362752</v>
      </c>
      <c r="AX7" s="190">
        <v>386441854</v>
      </c>
      <c r="AY7" s="190">
        <v>254985072</v>
      </c>
      <c r="AZ7" s="190">
        <v>113823473</v>
      </c>
      <c r="BA7" s="190">
        <v>428585989</v>
      </c>
      <c r="BB7" s="190">
        <v>312281157</v>
      </c>
      <c r="BC7" s="190">
        <v>210194846</v>
      </c>
      <c r="BD7" s="190">
        <v>233341136</v>
      </c>
      <c r="BE7" s="190">
        <v>166488094</v>
      </c>
      <c r="BF7" s="190">
        <v>0</v>
      </c>
    </row>
    <row r="8" spans="1:58" x14ac:dyDescent="0.25">
      <c r="A8" s="190" t="s">
        <v>195</v>
      </c>
      <c r="B8" s="190">
        <v>142045222</v>
      </c>
      <c r="C8" s="190">
        <v>90105277</v>
      </c>
      <c r="D8" s="190">
        <v>42870358</v>
      </c>
      <c r="E8" s="190">
        <v>192683970</v>
      </c>
      <c r="F8" s="190">
        <v>141390745</v>
      </c>
      <c r="G8" s="190">
        <v>93457746</v>
      </c>
      <c r="H8" s="190">
        <v>45581153</v>
      </c>
      <c r="I8" s="190">
        <v>192509572</v>
      </c>
      <c r="J8" s="190">
        <v>137543703</v>
      </c>
      <c r="K8" s="190">
        <v>96293780</v>
      </c>
      <c r="L8" s="190">
        <v>50908393</v>
      </c>
      <c r="M8" s="190">
        <v>209931685</v>
      </c>
      <c r="N8" s="190">
        <v>118329769</v>
      </c>
      <c r="O8" s="190">
        <v>80893129</v>
      </c>
      <c r="P8" s="190">
        <v>46358595</v>
      </c>
      <c r="Q8" s="190">
        <v>179688179</v>
      </c>
      <c r="R8" s="190">
        <v>139226085</v>
      </c>
      <c r="S8" s="190">
        <v>80690414</v>
      </c>
      <c r="T8" s="190">
        <v>38721807</v>
      </c>
      <c r="U8" s="190">
        <v>188873682</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row>
    <row r="9" spans="1:58" x14ac:dyDescent="0.25">
      <c r="A9" s="190" t="s">
        <v>196</v>
      </c>
      <c r="B9" s="190">
        <v>454734235</v>
      </c>
      <c r="C9" s="190">
        <v>279602430</v>
      </c>
      <c r="D9" s="190">
        <v>105561374</v>
      </c>
      <c r="E9" s="190">
        <v>557663846</v>
      </c>
      <c r="F9" s="190">
        <v>427776755</v>
      </c>
      <c r="G9" s="190">
        <v>267480500</v>
      </c>
      <c r="H9" s="190">
        <v>117236521</v>
      </c>
      <c r="I9" s="190">
        <v>521650309</v>
      </c>
      <c r="J9" s="190">
        <v>398320266</v>
      </c>
      <c r="K9" s="190">
        <v>259377080</v>
      </c>
      <c r="L9" s="190">
        <v>123777207</v>
      </c>
      <c r="M9" s="190">
        <v>586964341</v>
      </c>
      <c r="N9" s="190">
        <v>415924401</v>
      </c>
      <c r="O9" s="190">
        <v>266347735</v>
      </c>
      <c r="P9" s="190">
        <v>235454201</v>
      </c>
      <c r="Q9" s="190">
        <v>3734755280</v>
      </c>
      <c r="R9" s="190">
        <v>2732386958</v>
      </c>
      <c r="S9" s="190">
        <v>1761681617</v>
      </c>
      <c r="T9" s="190">
        <v>825470861</v>
      </c>
      <c r="U9" s="190">
        <v>3152158506</v>
      </c>
      <c r="V9" s="190">
        <v>2346986559</v>
      </c>
      <c r="W9" s="190">
        <v>1499607197</v>
      </c>
      <c r="X9" s="190">
        <v>694334478</v>
      </c>
      <c r="Y9" s="190">
        <v>2701801783</v>
      </c>
      <c r="Z9" s="190">
        <v>1952934501</v>
      </c>
      <c r="AA9" s="190">
        <v>1286130359</v>
      </c>
      <c r="AB9" s="190">
        <v>571017908</v>
      </c>
      <c r="AC9" s="190">
        <v>2401922722</v>
      </c>
      <c r="AD9" s="190">
        <v>1855355217</v>
      </c>
      <c r="AE9" s="190">
        <v>1089773527</v>
      </c>
      <c r="AF9" s="190">
        <v>530936104</v>
      </c>
      <c r="AG9" s="190">
        <v>2210950908</v>
      </c>
      <c r="AH9" s="190">
        <v>1671860140</v>
      </c>
      <c r="AI9" s="190">
        <v>633541578</v>
      </c>
      <c r="AJ9" s="190">
        <v>316239722</v>
      </c>
      <c r="AK9" s="190">
        <v>1220904093</v>
      </c>
      <c r="AL9" s="190">
        <v>881432485</v>
      </c>
      <c r="AM9" s="190">
        <v>570320112</v>
      </c>
      <c r="AN9" s="190">
        <v>270413178</v>
      </c>
      <c r="AO9" s="190">
        <v>1128531363</v>
      </c>
      <c r="AP9" s="190">
        <v>822330431</v>
      </c>
      <c r="AQ9" s="190">
        <v>528278196</v>
      </c>
      <c r="AR9" s="190">
        <v>254476398</v>
      </c>
      <c r="AS9" s="190">
        <v>882315983</v>
      </c>
      <c r="AT9" s="190">
        <v>624879667</v>
      </c>
      <c r="AU9" s="190">
        <v>370194693</v>
      </c>
      <c r="AV9" s="190">
        <v>169885039</v>
      </c>
      <c r="AW9" s="190">
        <v>866023882</v>
      </c>
      <c r="AX9" s="190">
        <v>632700365</v>
      </c>
      <c r="AY9" s="190">
        <v>389031799</v>
      </c>
      <c r="AZ9" s="190">
        <v>192065102</v>
      </c>
      <c r="BA9" s="190">
        <v>701557894</v>
      </c>
      <c r="BB9" s="190">
        <v>537425334</v>
      </c>
      <c r="BC9" s="190">
        <v>344151872</v>
      </c>
      <c r="BD9" s="190">
        <v>340513283</v>
      </c>
      <c r="BE9" s="190">
        <v>293578689</v>
      </c>
      <c r="BF9" s="190">
        <v>0</v>
      </c>
    </row>
    <row r="10" spans="1:58" x14ac:dyDescent="0.25">
      <c r="A10" s="190" t="s">
        <v>197</v>
      </c>
      <c r="B10" s="190">
        <v>98139724</v>
      </c>
      <c r="C10" s="190">
        <v>77320559</v>
      </c>
      <c r="D10" s="190">
        <v>91771196</v>
      </c>
      <c r="E10" s="190">
        <v>737715988</v>
      </c>
      <c r="F10" s="190">
        <v>382163984</v>
      </c>
      <c r="G10" s="190">
        <v>256104077</v>
      </c>
      <c r="H10" s="190">
        <v>181466699</v>
      </c>
      <c r="I10" s="190">
        <v>534960539</v>
      </c>
      <c r="J10" s="190">
        <v>363209162</v>
      </c>
      <c r="K10" s="190">
        <v>244828048</v>
      </c>
      <c r="L10" s="190">
        <v>96466366</v>
      </c>
      <c r="M10" s="190">
        <v>219135980</v>
      </c>
      <c r="N10" s="190">
        <v>128556264</v>
      </c>
      <c r="O10" s="190">
        <v>109413545</v>
      </c>
      <c r="P10" s="190">
        <v>74573846</v>
      </c>
      <c r="Q10" s="190">
        <v>478929874</v>
      </c>
      <c r="R10" s="190">
        <v>344337475</v>
      </c>
      <c r="S10" s="190">
        <v>237288033</v>
      </c>
      <c r="T10" s="190">
        <v>116212804</v>
      </c>
      <c r="U10" s="190">
        <v>663925381</v>
      </c>
      <c r="V10" s="190">
        <v>523175517</v>
      </c>
      <c r="W10" s="190">
        <v>365090480</v>
      </c>
      <c r="X10" s="190">
        <v>196532605</v>
      </c>
      <c r="Y10" s="190">
        <v>862162285</v>
      </c>
      <c r="Z10" s="190">
        <v>620896107</v>
      </c>
      <c r="AA10" s="190">
        <v>422701666</v>
      </c>
      <c r="AB10" s="190">
        <v>197596742</v>
      </c>
      <c r="AC10" s="190">
        <v>1117399550</v>
      </c>
      <c r="AD10" s="190">
        <v>877775193</v>
      </c>
      <c r="AE10" s="190">
        <v>543792496</v>
      </c>
      <c r="AF10" s="190">
        <v>270847135</v>
      </c>
      <c r="AG10" s="190">
        <v>1077091824</v>
      </c>
      <c r="AH10" s="190">
        <v>612029194</v>
      </c>
      <c r="AI10" s="190">
        <v>306164570</v>
      </c>
      <c r="AJ10" s="190">
        <v>159164381</v>
      </c>
      <c r="AK10" s="190">
        <v>443388357</v>
      </c>
      <c r="AL10" s="190">
        <v>555284267</v>
      </c>
      <c r="AM10" s="190">
        <v>356493617</v>
      </c>
      <c r="AN10" s="190">
        <v>179200369</v>
      </c>
      <c r="AO10" s="190">
        <v>152553237</v>
      </c>
      <c r="AP10" s="190">
        <v>392684496</v>
      </c>
      <c r="AQ10" s="190">
        <v>208018406</v>
      </c>
      <c r="AR10" s="190">
        <v>61464033</v>
      </c>
      <c r="AS10" s="190">
        <v>-48538798</v>
      </c>
      <c r="AT10" s="190">
        <v>-56005470</v>
      </c>
      <c r="AU10" s="190">
        <v>-41977522</v>
      </c>
      <c r="AV10" s="190">
        <v>-19268665</v>
      </c>
      <c r="AW10" s="190">
        <v>221739954</v>
      </c>
      <c r="AX10" s="190">
        <v>245748904</v>
      </c>
      <c r="AY10" s="190">
        <v>213785513</v>
      </c>
      <c r="AZ10" s="190">
        <v>116544574</v>
      </c>
      <c r="BA10" s="190">
        <v>438288758</v>
      </c>
      <c r="BB10" s="190">
        <v>272696658</v>
      </c>
      <c r="BC10" s="190">
        <v>182137799</v>
      </c>
      <c r="BD10" s="190">
        <v>-3448628</v>
      </c>
      <c r="BE10" s="190">
        <v>-4482530</v>
      </c>
      <c r="BF10" s="190">
        <v>0</v>
      </c>
    </row>
    <row r="11" spans="1:58" x14ac:dyDescent="0.25">
      <c r="A11" s="190" t="s">
        <v>198</v>
      </c>
      <c r="B11" s="190">
        <v>-5205442</v>
      </c>
      <c r="C11" s="190">
        <v>-5088799</v>
      </c>
      <c r="D11" s="190">
        <v>-1094541</v>
      </c>
      <c r="E11" s="190">
        <v>32650148</v>
      </c>
      <c r="F11" s="190">
        <v>-1003257</v>
      </c>
      <c r="G11" s="190">
        <v>-1003257</v>
      </c>
      <c r="H11" s="190">
        <v>0</v>
      </c>
      <c r="I11" s="190">
        <v>3425188</v>
      </c>
      <c r="J11" s="190">
        <v>4425188</v>
      </c>
      <c r="K11" s="190">
        <v>0</v>
      </c>
      <c r="L11" s="190">
        <v>0</v>
      </c>
      <c r="M11" s="190">
        <v>0</v>
      </c>
      <c r="N11" s="190">
        <v>0</v>
      </c>
      <c r="O11" s="190">
        <v>0</v>
      </c>
      <c r="P11" s="190">
        <v>0</v>
      </c>
      <c r="Q11" s="190">
        <v>4946883</v>
      </c>
      <c r="R11" s="190">
        <v>-79900</v>
      </c>
      <c r="S11" s="190">
        <v>-36400</v>
      </c>
      <c r="T11" s="190">
        <v>0</v>
      </c>
      <c r="U11" s="190">
        <v>-246823</v>
      </c>
      <c r="V11" s="190">
        <v>0</v>
      </c>
      <c r="W11" s="190">
        <v>0</v>
      </c>
      <c r="X11" s="190">
        <v>0</v>
      </c>
      <c r="Y11" s="190">
        <v>283803</v>
      </c>
      <c r="Z11" s="190">
        <v>0</v>
      </c>
      <c r="AA11" s="190">
        <v>0</v>
      </c>
      <c r="AB11" s="190">
        <v>0</v>
      </c>
      <c r="AC11" s="190">
        <v>768232</v>
      </c>
      <c r="AD11" s="190">
        <v>794272</v>
      </c>
      <c r="AE11" s="190">
        <v>0</v>
      </c>
      <c r="AF11" s="190">
        <v>0</v>
      </c>
      <c r="AG11" s="190">
        <v>-654880</v>
      </c>
      <c r="AH11" s="190">
        <v>0</v>
      </c>
      <c r="AI11" s="190">
        <v>0</v>
      </c>
      <c r="AJ11" s="190">
        <v>0</v>
      </c>
      <c r="AK11" s="190">
        <v>516448</v>
      </c>
      <c r="AL11" s="190">
        <v>501448</v>
      </c>
      <c r="AM11" s="190">
        <v>544948</v>
      </c>
      <c r="AN11" s="190">
        <v>0</v>
      </c>
      <c r="AO11" s="190">
        <v>-29120</v>
      </c>
      <c r="AP11" s="190">
        <v>-29120</v>
      </c>
      <c r="AQ11" s="190">
        <v>0</v>
      </c>
      <c r="AR11" s="190">
        <v>0</v>
      </c>
      <c r="AS11" s="190">
        <v>199414</v>
      </c>
      <c r="AT11" s="190">
        <v>0</v>
      </c>
      <c r="AU11" s="190">
        <v>0</v>
      </c>
      <c r="AV11" s="190">
        <v>0</v>
      </c>
      <c r="AW11" s="190">
        <v>0</v>
      </c>
      <c r="AX11" s="190">
        <v>0</v>
      </c>
      <c r="AY11" s="190">
        <v>0</v>
      </c>
      <c r="AZ11" s="190">
        <v>0</v>
      </c>
      <c r="BA11" s="190">
        <v>0</v>
      </c>
      <c r="BB11" s="190">
        <v>0</v>
      </c>
      <c r="BC11" s="190">
        <v>0</v>
      </c>
      <c r="BD11" s="190">
        <v>0</v>
      </c>
      <c r="BE11" s="190">
        <v>0</v>
      </c>
      <c r="BF11" s="190">
        <v>0</v>
      </c>
    </row>
    <row r="12" spans="1:58"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row>
    <row r="13" spans="1:58" x14ac:dyDescent="0.25">
      <c r="A13" s="190" t="s">
        <v>200</v>
      </c>
      <c r="B13" s="190">
        <v>2380758178</v>
      </c>
      <c r="C13" s="190">
        <v>1575988197</v>
      </c>
      <c r="D13" s="190">
        <v>770240045</v>
      </c>
      <c r="E13" s="190">
        <v>3129613454</v>
      </c>
      <c r="F13" s="190">
        <v>2251409146</v>
      </c>
      <c r="G13" s="190">
        <v>1559018122</v>
      </c>
      <c r="H13" s="190">
        <v>690251292</v>
      </c>
      <c r="I13" s="190">
        <v>2677654510</v>
      </c>
      <c r="J13" s="190">
        <v>2046787141</v>
      </c>
      <c r="K13" s="190">
        <v>1361707296</v>
      </c>
      <c r="L13" s="190">
        <v>469005333</v>
      </c>
      <c r="M13" s="190">
        <v>2098080307</v>
      </c>
      <c r="N13" s="190">
        <v>1479134693</v>
      </c>
      <c r="O13" s="190">
        <v>972116514</v>
      </c>
      <c r="P13" s="190">
        <v>404080000</v>
      </c>
      <c r="Q13" s="190">
        <v>2540271535</v>
      </c>
      <c r="R13" s="190">
        <v>1803401668</v>
      </c>
      <c r="S13" s="190">
        <v>1180066363</v>
      </c>
      <c r="T13" s="190">
        <v>500000000</v>
      </c>
      <c r="U13" s="190">
        <v>2692992920</v>
      </c>
      <c r="V13" s="190">
        <v>1991088409</v>
      </c>
      <c r="W13" s="190">
        <v>1370721181</v>
      </c>
      <c r="X13" s="190">
        <v>520000000</v>
      </c>
      <c r="Y13" s="190">
        <v>2065261288</v>
      </c>
      <c r="Z13" s="190">
        <v>1439386737</v>
      </c>
      <c r="AA13" s="190">
        <v>1050228878</v>
      </c>
      <c r="AB13" s="190">
        <v>452271380</v>
      </c>
      <c r="AC13" s="190">
        <v>1812636981</v>
      </c>
      <c r="AD13" s="190">
        <v>1383719831</v>
      </c>
      <c r="AE13" s="190">
        <v>922479888</v>
      </c>
      <c r="AF13" s="190">
        <v>493693988</v>
      </c>
      <c r="AG13" s="190">
        <v>582698226</v>
      </c>
      <c r="AH13" s="190">
        <v>123144806</v>
      </c>
      <c r="AI13" s="190">
        <v>0</v>
      </c>
      <c r="AJ13" s="190">
        <v>0</v>
      </c>
      <c r="AK13" s="190">
        <v>1539000</v>
      </c>
      <c r="AL13" s="190">
        <v>1539000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row>
    <row r="14" spans="1:58" x14ac:dyDescent="0.25">
      <c r="A14" s="190" t="s">
        <v>201</v>
      </c>
      <c r="B14" s="190">
        <v>2378107678</v>
      </c>
      <c r="C14" s="190">
        <v>1573337697</v>
      </c>
      <c r="D14" s="190">
        <v>770240045</v>
      </c>
      <c r="E14" s="190">
        <v>3127475954</v>
      </c>
      <c r="F14" s="190">
        <v>2251409146</v>
      </c>
      <c r="G14" s="190">
        <v>1559018122</v>
      </c>
      <c r="H14" s="190">
        <v>690251292</v>
      </c>
      <c r="I14" s="190">
        <v>2677654510</v>
      </c>
      <c r="J14" s="190">
        <v>2040374641</v>
      </c>
      <c r="K14" s="190">
        <v>1361707296</v>
      </c>
      <c r="L14" s="190">
        <v>469005333</v>
      </c>
      <c r="M14" s="190">
        <v>2083117807</v>
      </c>
      <c r="N14" s="190">
        <v>1464172193</v>
      </c>
      <c r="O14" s="190">
        <v>972116514</v>
      </c>
      <c r="P14" s="190">
        <v>404080000</v>
      </c>
      <c r="Q14" s="190">
        <v>2526591535</v>
      </c>
      <c r="R14" s="190">
        <v>1789721668</v>
      </c>
      <c r="S14" s="190">
        <v>1180066363</v>
      </c>
      <c r="T14" s="190">
        <v>500000000</v>
      </c>
      <c r="U14" s="190">
        <v>2671190420</v>
      </c>
      <c r="V14" s="190">
        <v>1969285909</v>
      </c>
      <c r="W14" s="190">
        <v>1359819931</v>
      </c>
      <c r="X14" s="190">
        <v>520000000</v>
      </c>
      <c r="Y14" s="190">
        <v>2061207917</v>
      </c>
      <c r="Z14" s="190">
        <v>1435333366</v>
      </c>
      <c r="AA14" s="190">
        <v>1046175507</v>
      </c>
      <c r="AB14" s="190">
        <v>452271380</v>
      </c>
      <c r="AC14" s="190">
        <v>1809629579</v>
      </c>
      <c r="AD14" s="190">
        <v>1380712429</v>
      </c>
      <c r="AE14" s="190">
        <v>919472486</v>
      </c>
      <c r="AF14" s="190">
        <v>490686586</v>
      </c>
      <c r="AG14" s="190">
        <v>568746763</v>
      </c>
      <c r="AH14" s="190">
        <v>123144806</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row>
    <row r="15" spans="1:58"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row>
    <row r="16" spans="1:58" x14ac:dyDescent="0.25">
      <c r="A16" s="190" t="s">
        <v>203</v>
      </c>
      <c r="B16" s="190">
        <v>15669333728</v>
      </c>
      <c r="C16" s="190">
        <v>10557223971</v>
      </c>
      <c r="D16" s="190">
        <v>5228822914</v>
      </c>
      <c r="E16" s="190">
        <v>16986709372</v>
      </c>
      <c r="F16" s="190">
        <v>14324620190</v>
      </c>
      <c r="G16" s="190">
        <v>9692762306</v>
      </c>
      <c r="H16" s="190">
        <v>3993066694</v>
      </c>
      <c r="I16" s="190">
        <v>8912273953</v>
      </c>
      <c r="J16" s="190">
        <v>6280101535</v>
      </c>
      <c r="K16" s="190">
        <v>4520372568</v>
      </c>
      <c r="L16" s="190">
        <v>2602663948</v>
      </c>
      <c r="M16" s="190">
        <v>16435901601</v>
      </c>
      <c r="N16" s="190">
        <v>14618147545</v>
      </c>
      <c r="O16" s="190">
        <v>9634615675</v>
      </c>
      <c r="P16" s="190">
        <v>4839470154</v>
      </c>
      <c r="Q16" s="190">
        <v>18157607514</v>
      </c>
      <c r="R16" s="190">
        <v>14414187696</v>
      </c>
      <c r="S16" s="190">
        <v>9257193969</v>
      </c>
      <c r="T16" s="190">
        <v>4541723542</v>
      </c>
      <c r="U16" s="190">
        <v>16194344916</v>
      </c>
      <c r="V16" s="190">
        <v>12277276787</v>
      </c>
      <c r="W16" s="190">
        <v>8257982478</v>
      </c>
      <c r="X16" s="190">
        <v>4387987699</v>
      </c>
      <c r="Y16" s="190">
        <v>14784485450</v>
      </c>
      <c r="Z16" s="190">
        <v>11258762879</v>
      </c>
      <c r="AA16" s="190">
        <v>7780745486</v>
      </c>
      <c r="AB16" s="190">
        <v>4432030753</v>
      </c>
      <c r="AC16" s="190">
        <v>15369234090</v>
      </c>
      <c r="AD16" s="190">
        <v>12056840729</v>
      </c>
      <c r="AE16" s="190">
        <v>8165219611</v>
      </c>
      <c r="AF16" s="190">
        <v>4412613067</v>
      </c>
      <c r="AG16" s="190">
        <v>13720051797</v>
      </c>
      <c r="AH16" s="190">
        <v>10971582552</v>
      </c>
      <c r="AI16" s="190">
        <v>6199230227</v>
      </c>
      <c r="AJ16" s="190">
        <v>3058679894</v>
      </c>
      <c r="AK16" s="190">
        <v>8768163419</v>
      </c>
      <c r="AL16" s="190">
        <v>6145798675</v>
      </c>
      <c r="AM16" s="190">
        <v>3786988708</v>
      </c>
      <c r="AN16" s="190">
        <v>1951241033</v>
      </c>
      <c r="AO16" s="190">
        <v>8862102171</v>
      </c>
      <c r="AP16" s="190">
        <v>7504080247</v>
      </c>
      <c r="AQ16" s="190">
        <v>5011378831</v>
      </c>
      <c r="AR16" s="190">
        <v>2785565286</v>
      </c>
      <c r="AS16" s="190">
        <v>9272057450</v>
      </c>
      <c r="AT16" s="190">
        <v>7165749195</v>
      </c>
      <c r="AU16" s="190">
        <v>4452994888</v>
      </c>
      <c r="AV16" s="190">
        <v>2369557088</v>
      </c>
      <c r="AW16" s="190">
        <v>6572789815</v>
      </c>
      <c r="AX16" s="190">
        <v>4876961725</v>
      </c>
      <c r="AY16" s="190">
        <v>3346485936</v>
      </c>
      <c r="AZ16" s="190">
        <v>1233390294</v>
      </c>
      <c r="BA16" s="190">
        <v>5485210038</v>
      </c>
      <c r="BB16" s="190">
        <v>4139580852</v>
      </c>
      <c r="BC16" s="190">
        <v>2902500579</v>
      </c>
      <c r="BD16" s="190">
        <v>3713801952</v>
      </c>
      <c r="BE16" s="190">
        <v>2342007209</v>
      </c>
      <c r="BF16" s="190">
        <v>0</v>
      </c>
    </row>
    <row r="17" spans="1:58" x14ac:dyDescent="0.25">
      <c r="A17" s="190" t="s">
        <v>204</v>
      </c>
      <c r="B17" s="190">
        <v>4208589</v>
      </c>
      <c r="C17" s="190">
        <v>2575833</v>
      </c>
      <c r="D17" s="190">
        <v>627765</v>
      </c>
      <c r="E17" s="190">
        <v>15358614</v>
      </c>
      <c r="F17" s="190">
        <v>6740732</v>
      </c>
      <c r="G17" s="190">
        <v>5478547</v>
      </c>
      <c r="H17" s="190">
        <v>1415824</v>
      </c>
      <c r="I17" s="190">
        <v>19181156</v>
      </c>
      <c r="J17" s="190">
        <v>2474396</v>
      </c>
      <c r="K17" s="190">
        <v>1609805</v>
      </c>
      <c r="L17" s="190">
        <v>543438</v>
      </c>
      <c r="M17" s="190">
        <v>20642079</v>
      </c>
      <c r="N17" s="190">
        <v>16544414</v>
      </c>
      <c r="O17" s="190">
        <v>4192922</v>
      </c>
      <c r="P17" s="190">
        <v>864919</v>
      </c>
      <c r="Q17" s="190">
        <v>43957159</v>
      </c>
      <c r="R17" s="190">
        <v>9206943</v>
      </c>
      <c r="S17" s="190">
        <v>6746814</v>
      </c>
      <c r="T17" s="190">
        <v>796287</v>
      </c>
      <c r="U17" s="190">
        <v>15881212</v>
      </c>
      <c r="V17" s="190">
        <v>5895018</v>
      </c>
      <c r="W17" s="190">
        <v>3723693</v>
      </c>
      <c r="X17" s="190">
        <v>334793</v>
      </c>
      <c r="Y17" s="190">
        <v>28052135</v>
      </c>
      <c r="Z17" s="190">
        <v>6449544</v>
      </c>
      <c r="AA17" s="190">
        <v>4724875</v>
      </c>
      <c r="AB17" s="190">
        <v>109551</v>
      </c>
      <c r="AC17" s="190">
        <v>6534225</v>
      </c>
      <c r="AD17" s="190">
        <v>3577111</v>
      </c>
      <c r="AE17" s="190">
        <v>3222042</v>
      </c>
      <c r="AF17" s="190">
        <v>1022065</v>
      </c>
      <c r="AG17" s="190">
        <v>78569927</v>
      </c>
      <c r="AH17" s="190">
        <v>29085896</v>
      </c>
      <c r="AI17" s="190">
        <v>6177123</v>
      </c>
      <c r="AJ17" s="190">
        <v>6137067</v>
      </c>
      <c r="AK17" s="190">
        <v>17072317</v>
      </c>
      <c r="AL17" s="190">
        <v>2070020</v>
      </c>
      <c r="AM17" s="190">
        <v>3159912</v>
      </c>
      <c r="AN17" s="190">
        <v>14741</v>
      </c>
      <c r="AO17" s="190">
        <v>161097584</v>
      </c>
      <c r="AP17" s="190">
        <v>3065139</v>
      </c>
      <c r="AQ17" s="190">
        <v>2321889</v>
      </c>
      <c r="AR17" s="190">
        <v>1191171</v>
      </c>
      <c r="AS17" s="190">
        <v>36417509</v>
      </c>
      <c r="AT17" s="190">
        <v>2468493</v>
      </c>
      <c r="AU17" s="190">
        <v>63589</v>
      </c>
      <c r="AV17" s="190">
        <v>41564</v>
      </c>
      <c r="AW17" s="190">
        <v>740028</v>
      </c>
      <c r="AX17" s="190">
        <v>648978</v>
      </c>
      <c r="AY17" s="190">
        <v>270306</v>
      </c>
      <c r="AZ17" s="190">
        <v>79073</v>
      </c>
      <c r="BA17" s="190">
        <v>1442552</v>
      </c>
      <c r="BB17" s="190">
        <v>631074</v>
      </c>
      <c r="BC17" s="190">
        <v>1506048</v>
      </c>
      <c r="BD17" s="190">
        <v>6157969</v>
      </c>
      <c r="BE17" s="190">
        <v>2069986</v>
      </c>
      <c r="BF17" s="190">
        <v>0</v>
      </c>
    </row>
    <row r="18" spans="1:58" x14ac:dyDescent="0.25">
      <c r="A18" s="190" t="s">
        <v>205</v>
      </c>
      <c r="B18" s="190">
        <v>114049419</v>
      </c>
      <c r="C18" s="190">
        <v>81881213</v>
      </c>
      <c r="D18" s="190">
        <v>51911639</v>
      </c>
      <c r="E18" s="190">
        <v>204285391</v>
      </c>
      <c r="F18" s="190">
        <v>65088194</v>
      </c>
      <c r="G18" s="190">
        <v>43980758</v>
      </c>
      <c r="H18" s="190">
        <v>19575730</v>
      </c>
      <c r="I18" s="190">
        <v>143522802</v>
      </c>
      <c r="J18" s="190">
        <v>68392644</v>
      </c>
      <c r="K18" s="190">
        <v>44148916</v>
      </c>
      <c r="L18" s="190">
        <v>19714323</v>
      </c>
      <c r="M18" s="190">
        <v>101100393</v>
      </c>
      <c r="N18" s="190">
        <v>58347907</v>
      </c>
      <c r="O18" s="190">
        <v>39190859</v>
      </c>
      <c r="P18" s="190">
        <v>15824103</v>
      </c>
      <c r="Q18" s="190">
        <v>132222370</v>
      </c>
      <c r="R18" s="190">
        <v>78082779</v>
      </c>
      <c r="S18" s="190">
        <v>40627728</v>
      </c>
      <c r="T18" s="190">
        <v>14200360</v>
      </c>
      <c r="U18" s="190">
        <v>139449321</v>
      </c>
      <c r="V18" s="190">
        <v>79470441</v>
      </c>
      <c r="W18" s="190">
        <v>59354649</v>
      </c>
      <c r="X18" s="190">
        <v>18936273</v>
      </c>
      <c r="Y18" s="190">
        <v>111393938</v>
      </c>
      <c r="Z18" s="190">
        <v>47983236</v>
      </c>
      <c r="AA18" s="190">
        <v>32588238</v>
      </c>
      <c r="AB18" s="190">
        <v>12646971</v>
      </c>
      <c r="AC18" s="190">
        <v>128635321</v>
      </c>
      <c r="AD18" s="190">
        <v>71523323</v>
      </c>
      <c r="AE18" s="190">
        <v>48668021</v>
      </c>
      <c r="AF18" s="190">
        <v>21201340</v>
      </c>
      <c r="AG18" s="190">
        <v>112513360</v>
      </c>
      <c r="AH18" s="190">
        <v>19971972</v>
      </c>
      <c r="AI18" s="190">
        <v>10452811</v>
      </c>
      <c r="AJ18" s="190">
        <v>163344</v>
      </c>
      <c r="AK18" s="190">
        <v>59275726</v>
      </c>
      <c r="AL18" s="190">
        <v>9608144</v>
      </c>
      <c r="AM18" s="190">
        <v>927308</v>
      </c>
      <c r="AN18" s="190">
        <v>0</v>
      </c>
      <c r="AO18" s="190">
        <v>103172784</v>
      </c>
      <c r="AP18" s="190">
        <v>64681216</v>
      </c>
      <c r="AQ18" s="190">
        <v>51682583</v>
      </c>
      <c r="AR18" s="190">
        <v>9072</v>
      </c>
      <c r="AS18" s="190">
        <v>109583492</v>
      </c>
      <c r="AT18" s="190">
        <v>103974874</v>
      </c>
      <c r="AU18" s="190">
        <v>32094860</v>
      </c>
      <c r="AV18" s="190">
        <v>207273</v>
      </c>
      <c r="AW18" s="190">
        <v>44937894</v>
      </c>
      <c r="AX18" s="190">
        <v>34125861</v>
      </c>
      <c r="AY18" s="190">
        <v>1521269</v>
      </c>
      <c r="AZ18" s="190">
        <v>96069</v>
      </c>
      <c r="BA18" s="190">
        <v>87627550</v>
      </c>
      <c r="BB18" s="190">
        <v>76395813</v>
      </c>
      <c r="BC18" s="190">
        <v>24808752</v>
      </c>
      <c r="BD18" s="190">
        <v>13690860</v>
      </c>
      <c r="BE18" s="190">
        <v>43878916</v>
      </c>
      <c r="BF18" s="190">
        <v>0</v>
      </c>
    </row>
    <row r="19" spans="1:58" x14ac:dyDescent="0.25">
      <c r="A19" s="190" t="s">
        <v>206</v>
      </c>
      <c r="B19" s="190">
        <v>0</v>
      </c>
      <c r="C19" s="190">
        <v>4013133</v>
      </c>
      <c r="D19" s="190">
        <v>0</v>
      </c>
      <c r="E19" s="190">
        <v>0</v>
      </c>
      <c r="F19" s="190">
        <v>5208445</v>
      </c>
      <c r="G19" s="190">
        <v>4390892</v>
      </c>
      <c r="H19" s="190">
        <v>15328</v>
      </c>
      <c r="I19" s="190">
        <v>48822189</v>
      </c>
      <c r="J19" s="190">
        <v>4081353</v>
      </c>
      <c r="K19" s="190">
        <v>3959571</v>
      </c>
      <c r="L19" s="190">
        <v>22996</v>
      </c>
      <c r="M19" s="190">
        <v>18250535</v>
      </c>
      <c r="N19" s="190">
        <v>7788577</v>
      </c>
      <c r="O19" s="190">
        <v>7219520</v>
      </c>
      <c r="P19" s="190">
        <v>221729</v>
      </c>
      <c r="Q19" s="190">
        <v>73089526</v>
      </c>
      <c r="R19" s="190">
        <v>14586446</v>
      </c>
      <c r="S19" s="190">
        <v>12392369</v>
      </c>
      <c r="T19" s="190">
        <v>4125670</v>
      </c>
      <c r="U19" s="190">
        <v>85774998</v>
      </c>
      <c r="V19" s="190">
        <v>31445202</v>
      </c>
      <c r="W19" s="190">
        <v>31445202</v>
      </c>
      <c r="X19" s="190">
        <v>3139369</v>
      </c>
      <c r="Y19" s="190">
        <v>15573884</v>
      </c>
      <c r="Z19" s="190">
        <v>6830338</v>
      </c>
      <c r="AA19" s="190">
        <v>6814860</v>
      </c>
      <c r="AB19" s="190">
        <v>27209</v>
      </c>
      <c r="AC19" s="190">
        <v>26801533</v>
      </c>
      <c r="AD19" s="190">
        <v>7123823</v>
      </c>
      <c r="AE19" s="190">
        <v>4708306</v>
      </c>
      <c r="AF19" s="190">
        <v>311904</v>
      </c>
      <c r="AG19" s="190">
        <v>45813177</v>
      </c>
      <c r="AH19" s="190">
        <v>-14232026</v>
      </c>
      <c r="AI19" s="190">
        <v>10443005</v>
      </c>
      <c r="AJ19" s="190">
        <v>163344</v>
      </c>
      <c r="AK19" s="190">
        <v>58227855</v>
      </c>
      <c r="AL19" s="190">
        <v>9506837</v>
      </c>
      <c r="AM19" s="190">
        <v>0</v>
      </c>
      <c r="AN19" s="190">
        <v>0</v>
      </c>
      <c r="AO19" s="190">
        <v>97878715</v>
      </c>
      <c r="AP19" s="190">
        <v>59384421</v>
      </c>
      <c r="AQ19" s="190">
        <v>0</v>
      </c>
      <c r="AR19" s="190">
        <v>0</v>
      </c>
      <c r="AS19" s="190">
        <v>109061846</v>
      </c>
      <c r="AT19" s="190">
        <v>103974874</v>
      </c>
      <c r="AU19" s="190">
        <v>32094860</v>
      </c>
      <c r="AV19" s="190">
        <v>207273</v>
      </c>
      <c r="AW19" s="190">
        <v>0</v>
      </c>
      <c r="AX19" s="190">
        <v>0</v>
      </c>
      <c r="AY19" s="190">
        <v>0</v>
      </c>
      <c r="AZ19" s="190">
        <v>0</v>
      </c>
      <c r="BA19" s="190">
        <v>0</v>
      </c>
      <c r="BB19" s="190">
        <v>0</v>
      </c>
      <c r="BC19" s="190">
        <v>0</v>
      </c>
      <c r="BD19" s="190">
        <v>0</v>
      </c>
      <c r="BE19" s="190">
        <v>0</v>
      </c>
      <c r="BF19" s="190">
        <v>0</v>
      </c>
    </row>
    <row r="20" spans="1:58" x14ac:dyDescent="0.25">
      <c r="A20" s="190" t="s">
        <v>207</v>
      </c>
      <c r="B20" s="190">
        <v>15559492898</v>
      </c>
      <c r="C20" s="190">
        <v>10477918591</v>
      </c>
      <c r="D20" s="190">
        <v>5177539040</v>
      </c>
      <c r="E20" s="190">
        <v>16797782595</v>
      </c>
      <c r="F20" s="190">
        <v>14266272728</v>
      </c>
      <c r="G20" s="190">
        <v>9654260095</v>
      </c>
      <c r="H20" s="190">
        <v>3974906788</v>
      </c>
      <c r="I20" s="190">
        <v>8787932307</v>
      </c>
      <c r="J20" s="190">
        <v>6214183287</v>
      </c>
      <c r="K20" s="190">
        <v>4477833457</v>
      </c>
      <c r="L20" s="190">
        <v>2583493063</v>
      </c>
      <c r="M20" s="190">
        <v>16355443287</v>
      </c>
      <c r="N20" s="190">
        <v>14576344052</v>
      </c>
      <c r="O20" s="190">
        <v>9599617738</v>
      </c>
      <c r="P20" s="190">
        <v>4824510970</v>
      </c>
      <c r="Q20" s="190">
        <v>18069342303</v>
      </c>
      <c r="R20" s="190">
        <v>14345311860</v>
      </c>
      <c r="S20" s="190">
        <v>9223313055</v>
      </c>
      <c r="T20" s="190">
        <v>4528319469</v>
      </c>
      <c r="U20" s="190">
        <v>16070776807</v>
      </c>
      <c r="V20" s="190">
        <v>12203701364</v>
      </c>
      <c r="W20" s="190">
        <v>8202351522</v>
      </c>
      <c r="X20" s="190">
        <v>4369386219</v>
      </c>
      <c r="Y20" s="190">
        <v>14701143647</v>
      </c>
      <c r="Z20" s="190">
        <v>11217229187</v>
      </c>
      <c r="AA20" s="190">
        <v>7752882123</v>
      </c>
      <c r="AB20" s="190">
        <v>4419493333</v>
      </c>
      <c r="AC20" s="190">
        <v>15247132994</v>
      </c>
      <c r="AD20" s="190">
        <v>11988894517</v>
      </c>
      <c r="AE20" s="190">
        <v>8119773632</v>
      </c>
      <c r="AF20" s="190">
        <v>4392433792</v>
      </c>
      <c r="AG20" s="190">
        <v>13686108364</v>
      </c>
      <c r="AH20" s="190">
        <v>10980696476</v>
      </c>
      <c r="AI20" s="190">
        <v>6194954539</v>
      </c>
      <c r="AJ20" s="190">
        <v>3064653617</v>
      </c>
      <c r="AK20" s="190">
        <v>8725960010</v>
      </c>
      <c r="AL20" s="190">
        <v>6138260551</v>
      </c>
      <c r="AM20" s="190">
        <v>3789221312</v>
      </c>
      <c r="AN20" s="190">
        <v>1951255774</v>
      </c>
      <c r="AO20" s="190">
        <v>8920026971</v>
      </c>
      <c r="AP20" s="190">
        <v>7442464170</v>
      </c>
      <c r="AQ20" s="190">
        <v>4962018137</v>
      </c>
      <c r="AR20" s="190">
        <v>2786747385</v>
      </c>
      <c r="AS20" s="190">
        <v>9198891467</v>
      </c>
      <c r="AT20" s="190">
        <v>7064242814</v>
      </c>
      <c r="AU20" s="190">
        <v>4420963617</v>
      </c>
      <c r="AV20" s="190">
        <v>2369391379</v>
      </c>
      <c r="AW20" s="190">
        <v>6528591949</v>
      </c>
      <c r="AX20" s="190">
        <v>4843484842</v>
      </c>
      <c r="AY20" s="190">
        <v>3345234973</v>
      </c>
      <c r="AZ20" s="190">
        <v>1233373298</v>
      </c>
      <c r="BA20" s="190">
        <v>5399025040</v>
      </c>
      <c r="BB20" s="190">
        <v>4063816113</v>
      </c>
      <c r="BC20" s="190">
        <v>2879197875</v>
      </c>
      <c r="BD20" s="190">
        <v>3706269061</v>
      </c>
      <c r="BE20" s="190">
        <v>2300198279</v>
      </c>
      <c r="BF20" s="190">
        <v>0</v>
      </c>
    </row>
    <row r="21" spans="1:58" x14ac:dyDescent="0.25">
      <c r="A21" s="190" t="s">
        <v>208</v>
      </c>
      <c r="B21" s="190">
        <v>3441151435</v>
      </c>
      <c r="C21" s="190">
        <v>2297738559</v>
      </c>
      <c r="D21" s="190">
        <v>1089771151</v>
      </c>
      <c r="E21" s="190">
        <v>3699392355</v>
      </c>
      <c r="F21" s="190">
        <v>3135347625</v>
      </c>
      <c r="G21" s="190">
        <v>2104226245</v>
      </c>
      <c r="H21" s="190">
        <v>859373105</v>
      </c>
      <c r="I21" s="190">
        <v>1710383167</v>
      </c>
      <c r="J21" s="190">
        <v>1141561340</v>
      </c>
      <c r="K21" s="190">
        <v>836969641</v>
      </c>
      <c r="L21" s="190">
        <v>538246967</v>
      </c>
      <c r="M21" s="190">
        <v>3700550281</v>
      </c>
      <c r="N21" s="190">
        <v>3382835846</v>
      </c>
      <c r="O21" s="190">
        <v>2255601743</v>
      </c>
      <c r="P21" s="190">
        <v>1107420348</v>
      </c>
      <c r="Q21" s="190">
        <v>3880265472</v>
      </c>
      <c r="R21" s="190">
        <v>3177435382</v>
      </c>
      <c r="S21" s="190">
        <v>2035332947</v>
      </c>
      <c r="T21" s="190">
        <v>1000806498</v>
      </c>
      <c r="U21" s="190">
        <v>3375771292</v>
      </c>
      <c r="V21" s="190">
        <v>2575708638</v>
      </c>
      <c r="W21" s="190">
        <v>1722199482</v>
      </c>
      <c r="X21" s="190">
        <v>959342435</v>
      </c>
      <c r="Y21" s="190">
        <v>3198223060</v>
      </c>
      <c r="Z21" s="190">
        <v>2463953201</v>
      </c>
      <c r="AA21" s="190">
        <v>1687327701</v>
      </c>
      <c r="AB21" s="190">
        <v>1002158605</v>
      </c>
      <c r="AC21" s="190">
        <v>3548316710</v>
      </c>
      <c r="AD21" s="190">
        <v>2786699187</v>
      </c>
      <c r="AE21" s="190">
        <v>1934538833</v>
      </c>
      <c r="AF21" s="190">
        <v>974927116</v>
      </c>
      <c r="AG21" s="190">
        <v>3275236494</v>
      </c>
      <c r="AH21" s="190">
        <v>2733136785</v>
      </c>
      <c r="AI21" s="190">
        <v>1550981183</v>
      </c>
      <c r="AJ21" s="190">
        <v>766596975</v>
      </c>
      <c r="AK21" s="190">
        <v>2195585850</v>
      </c>
      <c r="AL21" s="190">
        <v>1541893755</v>
      </c>
      <c r="AM21" s="190">
        <v>953833269</v>
      </c>
      <c r="AN21" s="190">
        <v>488491393</v>
      </c>
      <c r="AO21" s="190">
        <v>2240510504</v>
      </c>
      <c r="AP21" s="190">
        <v>1874657832</v>
      </c>
      <c r="AQ21" s="190">
        <v>1241824402</v>
      </c>
      <c r="AR21" s="190">
        <v>696686953</v>
      </c>
      <c r="AS21" s="190">
        <v>3089486251</v>
      </c>
      <c r="AT21" s="190">
        <v>2399766948</v>
      </c>
      <c r="AU21" s="190">
        <v>1463319724</v>
      </c>
      <c r="AV21" s="190">
        <v>783663794</v>
      </c>
      <c r="AW21" s="190">
        <v>2157900756</v>
      </c>
      <c r="AX21" s="190">
        <v>1585383354</v>
      </c>
      <c r="AY21" s="190">
        <v>1069954066</v>
      </c>
      <c r="AZ21" s="190">
        <v>363936725</v>
      </c>
      <c r="BA21" s="190">
        <v>1837780182</v>
      </c>
      <c r="BB21" s="190">
        <v>1402709070</v>
      </c>
      <c r="BC21" s="190">
        <v>982352856</v>
      </c>
      <c r="BD21" s="190">
        <v>1315922491</v>
      </c>
      <c r="BE21" s="190">
        <v>772865070</v>
      </c>
      <c r="BF21" s="190">
        <v>0</v>
      </c>
    </row>
    <row r="22" spans="1:58" x14ac:dyDescent="0.25">
      <c r="A22" s="190" t="s">
        <v>209</v>
      </c>
      <c r="B22" s="190">
        <v>12118341463</v>
      </c>
      <c r="C22" s="190">
        <v>8180180032</v>
      </c>
      <c r="D22" s="190">
        <v>4087767889</v>
      </c>
      <c r="E22" s="190">
        <v>13098390240</v>
      </c>
      <c r="F22" s="190">
        <v>11130925103</v>
      </c>
      <c r="G22" s="190">
        <v>7550033850</v>
      </c>
      <c r="H22" s="190">
        <v>3115533683</v>
      </c>
      <c r="I22" s="190">
        <v>7077549140</v>
      </c>
      <c r="J22" s="190">
        <v>5072621947</v>
      </c>
      <c r="K22" s="190">
        <v>3640863816</v>
      </c>
      <c r="L22" s="190">
        <v>2045246096</v>
      </c>
      <c r="M22" s="190">
        <v>12654893006</v>
      </c>
      <c r="N22" s="190">
        <v>11193508206</v>
      </c>
      <c r="O22" s="190">
        <v>7344015995</v>
      </c>
      <c r="P22" s="190">
        <v>3717090622</v>
      </c>
      <c r="Q22" s="190">
        <v>14189076831</v>
      </c>
      <c r="R22" s="190">
        <v>11167876478</v>
      </c>
      <c r="S22" s="190">
        <v>7187980108</v>
      </c>
      <c r="T22" s="190">
        <v>3527512971</v>
      </c>
      <c r="U22" s="190">
        <v>12695005515</v>
      </c>
      <c r="V22" s="190">
        <v>9627992726</v>
      </c>
      <c r="W22" s="190">
        <v>6480152040</v>
      </c>
      <c r="X22" s="190">
        <v>3410043784</v>
      </c>
      <c r="Y22" s="190">
        <v>11502920587</v>
      </c>
      <c r="Z22" s="190">
        <v>8753275986</v>
      </c>
      <c r="AA22" s="190">
        <v>6065554422</v>
      </c>
      <c r="AB22" s="190">
        <v>3417334728</v>
      </c>
      <c r="AC22" s="190">
        <v>11698816284</v>
      </c>
      <c r="AD22" s="190">
        <v>9202195330</v>
      </c>
      <c r="AE22" s="190">
        <v>6185234799</v>
      </c>
      <c r="AF22" s="190">
        <v>3417506676</v>
      </c>
      <c r="AG22" s="190">
        <v>10410871870</v>
      </c>
      <c r="AH22" s="190">
        <v>8247559691</v>
      </c>
      <c r="AI22" s="190">
        <v>4643973356</v>
      </c>
      <c r="AJ22" s="190">
        <v>2298056642</v>
      </c>
      <c r="AK22" s="190">
        <v>6530374160</v>
      </c>
      <c r="AL22" s="190">
        <v>4596366796</v>
      </c>
      <c r="AM22" s="190">
        <v>2835388043</v>
      </c>
      <c r="AN22" s="190">
        <v>1462764381</v>
      </c>
      <c r="AO22" s="190">
        <v>6679516467</v>
      </c>
      <c r="AP22" s="190">
        <v>5567806338</v>
      </c>
      <c r="AQ22" s="190">
        <v>3720193735</v>
      </c>
      <c r="AR22" s="190">
        <v>2090060432</v>
      </c>
      <c r="AS22" s="190">
        <v>6109405216</v>
      </c>
      <c r="AT22" s="190">
        <v>4664475866</v>
      </c>
      <c r="AU22" s="190">
        <v>2957643893</v>
      </c>
      <c r="AV22" s="190">
        <v>1585727585</v>
      </c>
      <c r="AW22" s="190">
        <v>4370691193</v>
      </c>
      <c r="AX22" s="190">
        <v>3258101488</v>
      </c>
      <c r="AY22" s="190">
        <v>2275280907</v>
      </c>
      <c r="AZ22" s="190">
        <v>869436573</v>
      </c>
      <c r="BA22" s="190">
        <v>3561244858</v>
      </c>
      <c r="BB22" s="190">
        <v>2661107043</v>
      </c>
      <c r="BC22" s="190">
        <v>1896845019</v>
      </c>
      <c r="BD22" s="190">
        <v>2390346570</v>
      </c>
      <c r="BE22" s="190">
        <v>1527333209</v>
      </c>
      <c r="BF22" s="190">
        <v>0</v>
      </c>
    </row>
    <row r="23" spans="1:58" x14ac:dyDescent="0.25">
      <c r="A23" s="190" t="s">
        <v>210</v>
      </c>
      <c r="B23" s="190">
        <v>12134126837</v>
      </c>
      <c r="C23" s="190">
        <v>8192401106</v>
      </c>
      <c r="D23" s="190">
        <v>4096595497</v>
      </c>
      <c r="E23" s="190">
        <v>13349516106</v>
      </c>
      <c r="F23" s="190">
        <v>11237250921</v>
      </c>
      <c r="G23" s="190">
        <v>7622587612</v>
      </c>
      <c r="H23" s="190">
        <v>3161200616</v>
      </c>
      <c r="I23" s="190">
        <v>7168487511</v>
      </c>
      <c r="J23" s="190">
        <v>5145949888</v>
      </c>
      <c r="K23" s="190">
        <v>3680270243</v>
      </c>
      <c r="L23" s="190">
        <v>2054467566</v>
      </c>
      <c r="M23" s="190">
        <v>12647733566</v>
      </c>
      <c r="N23" s="190">
        <v>11189380163</v>
      </c>
      <c r="O23" s="190">
        <v>7341281729</v>
      </c>
      <c r="P23" s="190">
        <v>3715881645</v>
      </c>
      <c r="Q23" s="190">
        <v>14184736024</v>
      </c>
      <c r="R23" s="190">
        <v>11164993450</v>
      </c>
      <c r="S23" s="190">
        <v>7185717226</v>
      </c>
      <c r="T23" s="190">
        <v>3526730925</v>
      </c>
      <c r="U23" s="190">
        <v>12691540154</v>
      </c>
      <c r="V23" s="190">
        <v>9627979821</v>
      </c>
      <c r="W23" s="190">
        <v>6480139135</v>
      </c>
      <c r="X23" s="190">
        <v>3410023904</v>
      </c>
      <c r="Y23" s="190">
        <v>11502575927</v>
      </c>
      <c r="Z23" s="190">
        <v>8753000631</v>
      </c>
      <c r="AA23" s="190">
        <v>6065171213</v>
      </c>
      <c r="AB23" s="190">
        <v>3417173385</v>
      </c>
      <c r="AC23" s="190">
        <v>11698642527</v>
      </c>
      <c r="AD23" s="190">
        <v>9201672056</v>
      </c>
      <c r="AE23" s="190">
        <v>6184742638</v>
      </c>
      <c r="AF23" s="190">
        <v>3417089503</v>
      </c>
      <c r="AG23" s="190">
        <v>10410830825</v>
      </c>
      <c r="AH23" s="190">
        <v>8247320992</v>
      </c>
      <c r="AI23" s="190">
        <v>4643973356</v>
      </c>
      <c r="AJ23" s="190">
        <v>2298056642</v>
      </c>
      <c r="AK23" s="190">
        <v>6530374160</v>
      </c>
      <c r="AL23" s="190">
        <v>4596366796</v>
      </c>
      <c r="AM23" s="190">
        <v>2835388043</v>
      </c>
      <c r="AN23" s="190">
        <v>1462764381</v>
      </c>
      <c r="AO23" s="190">
        <v>6679516467</v>
      </c>
      <c r="AP23" s="190">
        <v>5567806338</v>
      </c>
      <c r="AQ23" s="190">
        <v>3720193735</v>
      </c>
      <c r="AR23" s="190">
        <v>2090060432</v>
      </c>
      <c r="AS23" s="190">
        <v>6109405216</v>
      </c>
      <c r="AT23" s="190">
        <v>4664475866</v>
      </c>
      <c r="AU23" s="190">
        <v>2957643893</v>
      </c>
      <c r="AV23" s="190">
        <v>1585727585</v>
      </c>
      <c r="AW23" s="190">
        <v>4370691193</v>
      </c>
      <c r="AX23" s="190">
        <v>3258101488</v>
      </c>
      <c r="AY23" s="190">
        <v>2275280907</v>
      </c>
      <c r="AZ23" s="190">
        <v>869436573</v>
      </c>
      <c r="BA23" s="190">
        <v>3561244858</v>
      </c>
      <c r="BB23" s="190">
        <v>2661107043</v>
      </c>
      <c r="BC23" s="190">
        <v>1896845019</v>
      </c>
      <c r="BD23" s="190">
        <v>2390346570</v>
      </c>
      <c r="BE23" s="190">
        <v>1527333209</v>
      </c>
      <c r="BF23" s="190">
        <v>0</v>
      </c>
    </row>
    <row r="24" spans="1:58" x14ac:dyDescent="0.25">
      <c r="A24" s="190" t="s">
        <v>211</v>
      </c>
      <c r="B24" s="190">
        <v>-15785374</v>
      </c>
      <c r="C24" s="190">
        <v>-12221074</v>
      </c>
      <c r="D24" s="190">
        <v>-8827608</v>
      </c>
      <c r="E24" s="190">
        <v>-251125866</v>
      </c>
      <c r="F24" s="190">
        <v>-106325818</v>
      </c>
      <c r="G24" s="190">
        <v>-72553762</v>
      </c>
      <c r="H24" s="190">
        <v>-45666933</v>
      </c>
      <c r="I24" s="190">
        <v>-90938371</v>
      </c>
      <c r="J24" s="190">
        <v>-73327941</v>
      </c>
      <c r="K24" s="190">
        <v>-39406427</v>
      </c>
      <c r="L24" s="190">
        <v>-9221470</v>
      </c>
      <c r="M24" s="190">
        <v>7159440</v>
      </c>
      <c r="N24" s="190">
        <v>4128043</v>
      </c>
      <c r="O24" s="190">
        <v>2734266</v>
      </c>
      <c r="P24" s="190">
        <v>1208977</v>
      </c>
      <c r="Q24" s="190">
        <v>4340807</v>
      </c>
      <c r="R24" s="190">
        <v>2883028</v>
      </c>
      <c r="S24" s="190">
        <v>2262882</v>
      </c>
      <c r="T24" s="190">
        <v>782046</v>
      </c>
      <c r="U24" s="190">
        <v>3465361</v>
      </c>
      <c r="V24" s="190">
        <v>12905</v>
      </c>
      <c r="W24" s="190">
        <v>12905</v>
      </c>
      <c r="X24" s="190">
        <v>19880</v>
      </c>
      <c r="Y24" s="190">
        <v>344660</v>
      </c>
      <c r="Z24" s="190">
        <v>275355</v>
      </c>
      <c r="AA24" s="190">
        <v>383209</v>
      </c>
      <c r="AB24" s="190">
        <v>161343</v>
      </c>
      <c r="AC24" s="190">
        <v>173757</v>
      </c>
      <c r="AD24" s="190">
        <v>523274</v>
      </c>
      <c r="AE24" s="190">
        <v>492161</v>
      </c>
      <c r="AF24" s="190">
        <v>417173</v>
      </c>
      <c r="AG24" s="190">
        <v>41045</v>
      </c>
      <c r="AH24" s="190">
        <v>238699</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row>
    <row r="25" spans="1:58" x14ac:dyDescent="0.25">
      <c r="A25" s="190" t="s">
        <v>212</v>
      </c>
    </row>
    <row r="26" spans="1:58" x14ac:dyDescent="0.25">
      <c r="A26" s="190" t="s">
        <v>213</v>
      </c>
      <c r="B26" s="190">
        <v>0.82</v>
      </c>
      <c r="C26" s="190">
        <v>0.55000000000000004</v>
      </c>
      <c r="D26" s="190">
        <v>0.28000000000000003</v>
      </c>
      <c r="E26" s="190">
        <v>0.9</v>
      </c>
      <c r="F26" s="190">
        <v>0.76</v>
      </c>
      <c r="G26" s="190">
        <v>0.51</v>
      </c>
      <c r="H26" s="190">
        <v>0.21</v>
      </c>
      <c r="I26" s="190">
        <v>0.48</v>
      </c>
      <c r="J26" s="190">
        <v>0.35</v>
      </c>
      <c r="K26" s="190">
        <v>0.25</v>
      </c>
      <c r="L26" s="190">
        <v>0.14000000000000001</v>
      </c>
      <c r="M26" s="190">
        <v>0.85</v>
      </c>
      <c r="N26" s="190">
        <v>0.75</v>
      </c>
      <c r="O26" s="190">
        <v>0.49</v>
      </c>
      <c r="P26" s="190">
        <v>0.25</v>
      </c>
      <c r="Q26" s="190">
        <v>0.95</v>
      </c>
      <c r="R26" s="190">
        <v>0.75</v>
      </c>
      <c r="S26" s="190">
        <v>0.48</v>
      </c>
      <c r="T26" s="190">
        <v>0.24</v>
      </c>
      <c r="U26" s="190">
        <v>0.85</v>
      </c>
      <c r="V26" s="190">
        <v>0.65</v>
      </c>
      <c r="W26" s="190">
        <v>0.44</v>
      </c>
      <c r="X26" s="190">
        <v>0.23</v>
      </c>
      <c r="Y26" s="190">
        <v>0.77</v>
      </c>
      <c r="Z26" s="190">
        <v>0.59</v>
      </c>
      <c r="AA26" s="190">
        <v>0.41</v>
      </c>
      <c r="AB26" s="190">
        <v>0.23</v>
      </c>
      <c r="AC26" s="190">
        <v>0.79</v>
      </c>
      <c r="AD26" s="190">
        <v>0.62</v>
      </c>
      <c r="AE26" s="190">
        <v>0.42</v>
      </c>
      <c r="AF26" s="190">
        <v>0.23</v>
      </c>
      <c r="AG26" s="190">
        <v>0.7</v>
      </c>
      <c r="AH26" s="190">
        <v>0.64</v>
      </c>
      <c r="AI26" s="190">
        <v>0.36</v>
      </c>
      <c r="AJ26" s="190">
        <v>0.18</v>
      </c>
      <c r="AK26" s="190">
        <v>0.5</v>
      </c>
      <c r="AL26" s="190">
        <v>0.35</v>
      </c>
      <c r="AM26" s="190">
        <v>0.22</v>
      </c>
      <c r="AN26" s="190">
        <v>0.11</v>
      </c>
      <c r="AO26" s="190">
        <v>0.51</v>
      </c>
      <c r="AP26" s="190">
        <v>0.43</v>
      </c>
      <c r="AQ26" s="190">
        <v>0.28999999999999998</v>
      </c>
      <c r="AR26" s="190">
        <v>0.16</v>
      </c>
      <c r="AS26" s="190">
        <v>0.47</v>
      </c>
      <c r="AT26" s="190">
        <v>0.36</v>
      </c>
      <c r="AU26" s="190">
        <v>0.23</v>
      </c>
      <c r="AV26" s="190">
        <v>0.12</v>
      </c>
      <c r="AW26" s="190">
        <v>0</v>
      </c>
      <c r="AX26" s="190">
        <v>0</v>
      </c>
      <c r="AY26" s="190">
        <v>0</v>
      </c>
      <c r="AZ26" s="190">
        <v>0.09</v>
      </c>
      <c r="BA26" s="190">
        <v>0</v>
      </c>
      <c r="BB26" s="190">
        <v>0</v>
      </c>
      <c r="BC26" s="190">
        <v>0</v>
      </c>
      <c r="BD26" s="190">
        <v>0</v>
      </c>
      <c r="BE26" s="190">
        <v>0</v>
      </c>
      <c r="BF26" s="190">
        <v>0</v>
      </c>
    </row>
    <row r="27" spans="1:58" x14ac:dyDescent="0.25">
      <c r="A27" s="190" t="s">
        <v>214</v>
      </c>
      <c r="B27" s="190">
        <v>0.82</v>
      </c>
      <c r="C27" s="190">
        <v>0.55000000000000004</v>
      </c>
      <c r="D27" s="190">
        <v>0.28000000000000003</v>
      </c>
      <c r="E27" s="190">
        <v>0.9</v>
      </c>
      <c r="F27" s="190">
        <v>0.76</v>
      </c>
      <c r="G27" s="190">
        <v>0.51</v>
      </c>
      <c r="H27" s="190">
        <v>0.21</v>
      </c>
      <c r="I27" s="190">
        <v>0.48</v>
      </c>
      <c r="J27" s="190">
        <v>0.35</v>
      </c>
      <c r="K27" s="190">
        <v>0.25</v>
      </c>
      <c r="L27" s="190">
        <v>0.14000000000000001</v>
      </c>
      <c r="M27" s="190">
        <v>0.85</v>
      </c>
      <c r="N27" s="190">
        <v>0.75</v>
      </c>
      <c r="O27" s="190">
        <v>0.49</v>
      </c>
      <c r="P27" s="190">
        <v>0.25</v>
      </c>
      <c r="Q27" s="190">
        <v>0.95</v>
      </c>
      <c r="R27" s="190">
        <v>0.75</v>
      </c>
      <c r="S27" s="190">
        <v>0.48</v>
      </c>
      <c r="T27" s="190">
        <v>0.24</v>
      </c>
      <c r="U27" s="190">
        <v>0.85</v>
      </c>
      <c r="V27" s="190">
        <v>0.65</v>
      </c>
      <c r="W27" s="190">
        <v>0.44</v>
      </c>
      <c r="X27" s="190">
        <v>0.23</v>
      </c>
      <c r="Y27" s="190">
        <v>0.77</v>
      </c>
      <c r="Z27" s="190">
        <v>0.59</v>
      </c>
      <c r="AA27" s="190">
        <v>0.41</v>
      </c>
      <c r="AB27" s="190">
        <v>0.23</v>
      </c>
      <c r="AC27" s="190">
        <v>0.79</v>
      </c>
      <c r="AD27" s="190">
        <v>0.62</v>
      </c>
      <c r="AE27" s="190">
        <v>0.42</v>
      </c>
      <c r="AF27" s="190">
        <v>0.23</v>
      </c>
      <c r="AG27" s="190">
        <v>0.7</v>
      </c>
      <c r="AH27" s="190">
        <v>0.64</v>
      </c>
      <c r="AI27" s="190">
        <v>0.36</v>
      </c>
      <c r="AJ27" s="190">
        <v>0.18</v>
      </c>
      <c r="AK27" s="190">
        <v>0.5</v>
      </c>
      <c r="AL27" s="190">
        <v>0.35</v>
      </c>
      <c r="AM27" s="190">
        <v>0.22</v>
      </c>
      <c r="AN27" s="190">
        <v>0.11</v>
      </c>
      <c r="AO27" s="190">
        <v>0.51</v>
      </c>
      <c r="AP27" s="190">
        <v>0.43</v>
      </c>
      <c r="AQ27" s="190">
        <v>0.28999999999999998</v>
      </c>
      <c r="AR27" s="190">
        <v>0.16</v>
      </c>
      <c r="AS27" s="190">
        <v>0.47</v>
      </c>
      <c r="AT27" s="190">
        <v>0.36</v>
      </c>
      <c r="AU27" s="190">
        <v>0.23</v>
      </c>
      <c r="AV27" s="190">
        <v>0.12</v>
      </c>
      <c r="AW27" s="190">
        <v>0</v>
      </c>
      <c r="AX27" s="190">
        <v>0</v>
      </c>
      <c r="AY27" s="190">
        <v>0</v>
      </c>
      <c r="AZ27" s="190">
        <v>0.09</v>
      </c>
      <c r="BA27" s="190">
        <v>0</v>
      </c>
      <c r="BB27" s="190">
        <v>0</v>
      </c>
      <c r="BC27" s="190">
        <v>0</v>
      </c>
      <c r="BD27" s="190">
        <v>0</v>
      </c>
      <c r="BE27" s="190">
        <v>0</v>
      </c>
      <c r="BF27" s="190">
        <v>0</v>
      </c>
    </row>
    <row r="28" spans="1:58" x14ac:dyDescent="0.25">
      <c r="A28" s="190" t="s">
        <v>215</v>
      </c>
      <c r="B28" s="190">
        <v>0</v>
      </c>
      <c r="C28" s="190">
        <v>0</v>
      </c>
      <c r="D28" s="190">
        <v>0</v>
      </c>
      <c r="E28" s="190">
        <v>-90095932</v>
      </c>
      <c r="F28" s="190">
        <v>0</v>
      </c>
      <c r="G28" s="190">
        <v>0</v>
      </c>
      <c r="H28" s="190">
        <v>0</v>
      </c>
      <c r="I28" s="190">
        <v>-23079144</v>
      </c>
      <c r="J28" s="190">
        <v>0</v>
      </c>
      <c r="K28" s="190">
        <v>0</v>
      </c>
      <c r="L28" s="190">
        <v>0</v>
      </c>
      <c r="M28" s="190">
        <v>-48498672</v>
      </c>
      <c r="N28" s="190">
        <v>0</v>
      </c>
      <c r="O28" s="190">
        <v>0</v>
      </c>
      <c r="P28" s="190">
        <v>0</v>
      </c>
      <c r="Q28" s="190">
        <v>-451468267</v>
      </c>
      <c r="R28" s="190">
        <v>-263408888</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row>
    <row r="29" spans="1:58" x14ac:dyDescent="0.25">
      <c r="A29" s="190" t="s">
        <v>216</v>
      </c>
      <c r="B29" s="190">
        <v>12118341463</v>
      </c>
      <c r="C29" s="190">
        <v>8180180032</v>
      </c>
      <c r="D29" s="190">
        <v>4087767889</v>
      </c>
      <c r="E29" s="190">
        <v>13008294308</v>
      </c>
      <c r="F29" s="190">
        <v>11130925103</v>
      </c>
      <c r="G29" s="190">
        <v>7550033850</v>
      </c>
      <c r="H29" s="190">
        <v>3115533683</v>
      </c>
      <c r="I29" s="190">
        <v>7054469996</v>
      </c>
      <c r="J29" s="190">
        <v>5072621947</v>
      </c>
      <c r="K29" s="190">
        <v>3640863816</v>
      </c>
      <c r="L29" s="190">
        <v>2045246096</v>
      </c>
      <c r="M29" s="190">
        <v>12606394334</v>
      </c>
      <c r="N29" s="190">
        <v>11193508206</v>
      </c>
      <c r="O29" s="190">
        <v>7344015995</v>
      </c>
      <c r="P29" s="190">
        <v>3717090622</v>
      </c>
      <c r="Q29" s="190">
        <v>13737608564</v>
      </c>
      <c r="R29" s="190">
        <v>10904467590</v>
      </c>
      <c r="S29" s="190">
        <v>7187980108</v>
      </c>
      <c r="T29" s="190">
        <v>3527512971</v>
      </c>
      <c r="U29" s="190">
        <v>12695005515</v>
      </c>
      <c r="V29" s="190">
        <v>9627992726</v>
      </c>
      <c r="W29" s="190">
        <v>6480152040</v>
      </c>
      <c r="X29" s="190">
        <v>3410043784</v>
      </c>
      <c r="Y29" s="190">
        <v>11502920587</v>
      </c>
      <c r="Z29" s="190">
        <v>8753275986</v>
      </c>
      <c r="AA29" s="190">
        <v>6065554422</v>
      </c>
      <c r="AB29" s="190">
        <v>3417334728</v>
      </c>
      <c r="AC29" s="190">
        <v>11698816284</v>
      </c>
      <c r="AD29" s="190">
        <v>9202195330</v>
      </c>
      <c r="AE29" s="190">
        <v>6185234799</v>
      </c>
      <c r="AF29" s="190">
        <v>3417506676</v>
      </c>
      <c r="AG29" s="190">
        <v>10410871870</v>
      </c>
      <c r="AH29" s="190">
        <v>8247559691</v>
      </c>
      <c r="AI29" s="190">
        <v>4643973356</v>
      </c>
      <c r="AJ29" s="190">
        <v>2298056642</v>
      </c>
      <c r="AK29" s="190">
        <v>6530374160</v>
      </c>
      <c r="AL29" s="190">
        <v>4596366796</v>
      </c>
      <c r="AM29" s="190">
        <v>2835388043</v>
      </c>
      <c r="AN29" s="190">
        <v>0</v>
      </c>
      <c r="AO29" s="190">
        <v>0</v>
      </c>
      <c r="AP29" s="190">
        <v>0</v>
      </c>
      <c r="AQ29" s="190">
        <v>0</v>
      </c>
      <c r="AR29" s="190">
        <v>0</v>
      </c>
      <c r="AS29" s="190">
        <v>6109405216</v>
      </c>
      <c r="AT29" s="190">
        <v>0</v>
      </c>
      <c r="AU29" s="190">
        <v>0</v>
      </c>
      <c r="AV29" s="190">
        <v>0</v>
      </c>
      <c r="AW29" s="190">
        <v>0</v>
      </c>
      <c r="AX29" s="190">
        <v>0</v>
      </c>
      <c r="AY29" s="190">
        <v>0</v>
      </c>
      <c r="AZ29" s="190">
        <v>0</v>
      </c>
      <c r="BA29" s="190">
        <v>0</v>
      </c>
      <c r="BB29" s="190">
        <v>0</v>
      </c>
      <c r="BC29" s="190">
        <v>0</v>
      </c>
      <c r="BD29" s="190">
        <v>0</v>
      </c>
      <c r="BE29" s="190">
        <v>0</v>
      </c>
      <c r="BF29" s="190">
        <v>0</v>
      </c>
    </row>
    <row r="30" spans="1:58" x14ac:dyDescent="0.25">
      <c r="A30" s="190" t="s">
        <v>217</v>
      </c>
      <c r="B30" s="190">
        <v>12134126837</v>
      </c>
      <c r="C30" s="190">
        <v>8192401106</v>
      </c>
      <c r="D30" s="190">
        <v>4096595497</v>
      </c>
      <c r="E30" s="190">
        <v>13259400559</v>
      </c>
      <c r="F30" s="190">
        <v>11237250921</v>
      </c>
      <c r="G30" s="190">
        <v>7622587612</v>
      </c>
      <c r="H30" s="190">
        <v>3161200616</v>
      </c>
      <c r="I30" s="190">
        <v>7145401387</v>
      </c>
      <c r="J30" s="190">
        <v>5145949888</v>
      </c>
      <c r="K30" s="190">
        <v>3680270243</v>
      </c>
      <c r="L30" s="190">
        <v>2054467566</v>
      </c>
      <c r="M30" s="190">
        <v>12599229545</v>
      </c>
      <c r="N30" s="190">
        <v>11189380163</v>
      </c>
      <c r="O30" s="190">
        <v>7341281729</v>
      </c>
      <c r="P30" s="190">
        <v>3715881645</v>
      </c>
      <c r="Q30" s="190">
        <v>13733321787</v>
      </c>
      <c r="R30" s="190">
        <v>10901585487</v>
      </c>
      <c r="S30" s="190">
        <v>7185717226</v>
      </c>
      <c r="T30" s="190">
        <v>3526730925</v>
      </c>
      <c r="U30" s="190">
        <v>12691540154</v>
      </c>
      <c r="V30" s="190">
        <v>9627979821</v>
      </c>
      <c r="W30" s="190">
        <v>6480139135</v>
      </c>
      <c r="X30" s="190">
        <v>3410023904</v>
      </c>
      <c r="Y30" s="190">
        <v>11502575927</v>
      </c>
      <c r="Z30" s="190">
        <v>8753000631</v>
      </c>
      <c r="AA30" s="190">
        <v>6065171213</v>
      </c>
      <c r="AB30" s="190">
        <v>3417173385</v>
      </c>
      <c r="AC30" s="190">
        <v>11698642527</v>
      </c>
      <c r="AD30" s="190">
        <v>9201672056</v>
      </c>
      <c r="AE30" s="190">
        <v>6184742638</v>
      </c>
      <c r="AF30" s="190">
        <v>3417089503</v>
      </c>
      <c r="AG30" s="190">
        <v>10410830825</v>
      </c>
      <c r="AH30" s="190">
        <v>8247320992</v>
      </c>
      <c r="AI30" s="190">
        <v>4643973356</v>
      </c>
      <c r="AJ30" s="190">
        <v>2298056642</v>
      </c>
      <c r="AK30" s="190">
        <v>6530374160</v>
      </c>
      <c r="AL30" s="190">
        <v>4596366796</v>
      </c>
      <c r="AM30" s="190">
        <v>2835388043</v>
      </c>
      <c r="AN30" s="190">
        <v>0</v>
      </c>
      <c r="AO30" s="190">
        <v>0</v>
      </c>
      <c r="AP30" s="190">
        <v>0</v>
      </c>
      <c r="AQ30" s="190">
        <v>0</v>
      </c>
      <c r="AR30" s="190">
        <v>0</v>
      </c>
      <c r="AS30" s="190">
        <v>6109405216</v>
      </c>
      <c r="AT30" s="190">
        <v>0</v>
      </c>
      <c r="AU30" s="190">
        <v>0</v>
      </c>
      <c r="AV30" s="190">
        <v>0</v>
      </c>
      <c r="AW30" s="190">
        <v>0</v>
      </c>
      <c r="AX30" s="190">
        <v>0</v>
      </c>
      <c r="AY30" s="190">
        <v>0</v>
      </c>
      <c r="AZ30" s="190">
        <v>0</v>
      </c>
      <c r="BA30" s="190">
        <v>0</v>
      </c>
      <c r="BB30" s="190">
        <v>0</v>
      </c>
      <c r="BC30" s="190">
        <v>0</v>
      </c>
      <c r="BD30" s="190">
        <v>0</v>
      </c>
      <c r="BE30" s="190">
        <v>0</v>
      </c>
      <c r="BF30" s="190">
        <v>0</v>
      </c>
    </row>
    <row r="31" spans="1:58" x14ac:dyDescent="0.25">
      <c r="A31" s="190" t="s">
        <v>218</v>
      </c>
      <c r="B31" s="190">
        <v>-15785374</v>
      </c>
      <c r="C31" s="190">
        <v>-12221074</v>
      </c>
      <c r="D31" s="190">
        <v>-8827608</v>
      </c>
      <c r="E31" s="190">
        <v>-251106251</v>
      </c>
      <c r="F31" s="190">
        <v>-106325818</v>
      </c>
      <c r="G31" s="190">
        <v>-72553762</v>
      </c>
      <c r="H31" s="190">
        <v>-45666933</v>
      </c>
      <c r="I31" s="190">
        <v>-90931391</v>
      </c>
      <c r="J31" s="190">
        <v>-73327941</v>
      </c>
      <c r="K31" s="190">
        <v>-39406427</v>
      </c>
      <c r="L31" s="190">
        <v>-9221470</v>
      </c>
      <c r="M31" s="190">
        <v>7164789</v>
      </c>
      <c r="N31" s="190">
        <v>4128043</v>
      </c>
      <c r="O31" s="190">
        <v>2734266</v>
      </c>
      <c r="P31" s="190">
        <v>1208977</v>
      </c>
      <c r="Q31" s="190">
        <v>4286777</v>
      </c>
      <c r="R31" s="190">
        <v>2882103</v>
      </c>
      <c r="S31" s="190">
        <v>2262882</v>
      </c>
      <c r="T31" s="190">
        <v>782046</v>
      </c>
      <c r="U31" s="190">
        <v>3465361</v>
      </c>
      <c r="V31" s="190">
        <v>12905</v>
      </c>
      <c r="W31" s="190">
        <v>12905</v>
      </c>
      <c r="X31" s="190">
        <v>19880</v>
      </c>
      <c r="Y31" s="190">
        <v>344660</v>
      </c>
      <c r="Z31" s="190">
        <v>275355</v>
      </c>
      <c r="AA31" s="190">
        <v>383209</v>
      </c>
      <c r="AB31" s="190">
        <v>161343</v>
      </c>
      <c r="AC31" s="190">
        <v>173757</v>
      </c>
      <c r="AD31" s="190">
        <v>523274</v>
      </c>
      <c r="AE31" s="190">
        <v>492161</v>
      </c>
      <c r="AF31" s="190">
        <v>417173</v>
      </c>
      <c r="AG31" s="190">
        <v>41045</v>
      </c>
      <c r="AH31" s="190">
        <v>238699</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B77"/>
  <sheetViews>
    <sheetView workbookViewId="0">
      <selection activeCell="A31" sqref="A31"/>
    </sheetView>
  </sheetViews>
  <sheetFormatPr defaultRowHeight="14.4" x14ac:dyDescent="0.25"/>
  <cols>
    <col min="1" max="1" width="57.77734375" style="190" bestFit="1" customWidth="1"/>
    <col min="2" max="4" width="12.77734375" style="190" hidden="1" customWidth="1"/>
    <col min="5" max="5" width="13.88671875" style="190" bestFit="1" customWidth="1"/>
    <col min="6" max="8" width="12.77734375" style="190" hidden="1" customWidth="1"/>
    <col min="9" max="9" width="12.77734375" style="190" bestFit="1" customWidth="1"/>
    <col min="10" max="12" width="12.77734375" style="190" hidden="1" customWidth="1"/>
    <col min="13" max="13" width="13.88671875" style="190" bestFit="1" customWidth="1"/>
    <col min="14" max="16" width="12.77734375" style="190" hidden="1" customWidth="1"/>
    <col min="17" max="17" width="13.88671875" style="190" bestFit="1" customWidth="1"/>
    <col min="18" max="20" width="12.77734375" style="190" hidden="1" customWidth="1"/>
    <col min="21" max="21" width="13.88671875" style="190" bestFit="1" customWidth="1"/>
    <col min="22" max="24" width="12.77734375" style="190" hidden="1" customWidth="1"/>
    <col min="25" max="25" width="12.77734375" style="190" bestFit="1" customWidth="1"/>
    <col min="26" max="27" width="12.77734375" style="190" hidden="1" customWidth="1"/>
    <col min="28" max="28" width="11.6640625" style="190" hidden="1" customWidth="1"/>
    <col min="29" max="29" width="13.88671875" style="190" bestFit="1" customWidth="1"/>
    <col min="30" max="30" width="13.88671875" style="190" hidden="1" customWidth="1"/>
    <col min="31" max="32" width="12.77734375" style="190" hidden="1" customWidth="1"/>
    <col min="33" max="33" width="13.88671875" style="190" bestFit="1" customWidth="1"/>
    <col min="34" max="34" width="13.88671875" style="190" hidden="1" customWidth="1"/>
    <col min="35" max="36" width="12.77734375" style="190" hidden="1" customWidth="1"/>
    <col min="37" max="37" width="13.88671875" style="190" bestFit="1" customWidth="1"/>
    <col min="38" max="39" width="12.77734375" style="190" hidden="1" customWidth="1"/>
    <col min="40" max="40" width="11.664062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3.88671875" style="190" bestFit="1" customWidth="1"/>
    <col min="50" max="51" width="12.77734375" style="190" hidden="1" customWidth="1"/>
    <col min="52" max="52" width="11.6640625" style="190" hidden="1" customWidth="1"/>
    <col min="53" max="53" width="12.77734375" style="190" bestFit="1" customWidth="1"/>
    <col min="54" max="54" width="9.5546875" style="190" hidden="1" customWidth="1"/>
    <col min="55" max="16384" width="8.88671875" style="190"/>
  </cols>
  <sheetData>
    <row r="1" spans="1:54"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19700101</v>
      </c>
    </row>
    <row r="2" spans="1:5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row>
    <row r="3" spans="1:54" x14ac:dyDescent="0.25">
      <c r="A3" s="190" t="s">
        <v>219</v>
      </c>
    </row>
    <row r="4" spans="1:54" x14ac:dyDescent="0.25">
      <c r="A4" s="190" t="s">
        <v>220</v>
      </c>
      <c r="B4" s="190">
        <v>38998618818</v>
      </c>
      <c r="C4" s="190">
        <v>25190992751</v>
      </c>
      <c r="D4" s="190">
        <v>10277961614</v>
      </c>
      <c r="E4" s="190">
        <v>46474159672</v>
      </c>
      <c r="F4" s="190">
        <v>35754531190</v>
      </c>
      <c r="G4" s="190">
        <v>21750717233</v>
      </c>
      <c r="H4" s="190">
        <v>9867668110</v>
      </c>
      <c r="I4" s="190">
        <v>33299488242</v>
      </c>
      <c r="J4" s="190">
        <v>23644896543</v>
      </c>
      <c r="K4" s="190">
        <v>14215164387</v>
      </c>
      <c r="L4" s="190">
        <v>8050420519</v>
      </c>
      <c r="M4" s="190">
        <v>45757039261</v>
      </c>
      <c r="N4" s="190">
        <v>39100291805</v>
      </c>
      <c r="O4" s="190">
        <v>24535451683</v>
      </c>
      <c r="P4" s="190">
        <v>12652732761</v>
      </c>
      <c r="Q4" s="190">
        <v>49434415975</v>
      </c>
      <c r="R4" s="190">
        <v>38721410062</v>
      </c>
      <c r="S4" s="190">
        <v>24090936372</v>
      </c>
      <c r="T4" s="190">
        <v>10519320117</v>
      </c>
      <c r="U4" s="190">
        <v>43676367197</v>
      </c>
      <c r="V4" s="190">
        <v>32436915624</v>
      </c>
      <c r="W4" s="190">
        <v>20323621432</v>
      </c>
      <c r="X4" s="190">
        <v>9982920859</v>
      </c>
      <c r="Y4" s="190">
        <v>37051319075</v>
      </c>
      <c r="Z4" s="190">
        <v>28752266035</v>
      </c>
      <c r="AA4" s="190">
        <v>17874634171</v>
      </c>
      <c r="AB4" s="190">
        <v>8043501099</v>
      </c>
      <c r="AC4" s="190">
        <v>38135887748</v>
      </c>
      <c r="AD4" s="190">
        <v>27998583118</v>
      </c>
      <c r="AE4" s="190">
        <v>17814894130</v>
      </c>
      <c r="AF4" s="190">
        <v>7927037142</v>
      </c>
      <c r="AG4" s="190">
        <v>37658775143</v>
      </c>
      <c r="AH4" s="190">
        <v>27089057765</v>
      </c>
      <c r="AI4" s="190">
        <v>13716875395</v>
      </c>
      <c r="AJ4" s="190">
        <v>4639074401</v>
      </c>
      <c r="AK4" s="190">
        <v>20355170108</v>
      </c>
      <c r="AL4" s="190">
        <v>13521736110</v>
      </c>
      <c r="AM4" s="190">
        <v>8666819914</v>
      </c>
      <c r="AN4" s="190">
        <v>3607261946</v>
      </c>
      <c r="AO4" s="190">
        <v>21192248524</v>
      </c>
      <c r="AP4" s="190">
        <v>16754474916</v>
      </c>
      <c r="AQ4" s="190">
        <v>10413852650</v>
      </c>
      <c r="AR4" s="190">
        <v>5122585512</v>
      </c>
      <c r="AS4" s="190">
        <v>19746845685</v>
      </c>
      <c r="AT4" s="190">
        <v>14755708053</v>
      </c>
      <c r="AU4" s="190">
        <v>8561907766</v>
      </c>
      <c r="AV4" s="190">
        <v>4190909978</v>
      </c>
      <c r="AW4" s="190">
        <v>15839308061</v>
      </c>
      <c r="AX4" s="190">
        <v>11507216196</v>
      </c>
      <c r="AY4" s="190">
        <v>7563795630</v>
      </c>
      <c r="AZ4" s="190">
        <v>3267052377</v>
      </c>
      <c r="BA4" s="190">
        <v>16085353654</v>
      </c>
      <c r="BB4" s="190">
        <v>0</v>
      </c>
    </row>
    <row r="5" spans="1:54" x14ac:dyDescent="0.25">
      <c r="A5" s="190" t="s">
        <v>221</v>
      </c>
      <c r="B5" s="190">
        <v>0</v>
      </c>
      <c r="C5" s="190">
        <v>0</v>
      </c>
      <c r="D5" s="190">
        <v>0</v>
      </c>
      <c r="E5" s="190">
        <v>0</v>
      </c>
      <c r="F5" s="190">
        <v>0</v>
      </c>
      <c r="G5" s="190">
        <v>0</v>
      </c>
      <c r="H5" s="190">
        <v>0</v>
      </c>
      <c r="I5" s="190">
        <v>0</v>
      </c>
      <c r="J5" s="190">
        <v>0</v>
      </c>
      <c r="K5" s="190">
        <v>0</v>
      </c>
      <c r="L5" s="190">
        <v>0</v>
      </c>
      <c r="M5" s="190">
        <v>0</v>
      </c>
      <c r="N5" s="190">
        <v>7336</v>
      </c>
      <c r="O5" s="190">
        <v>0</v>
      </c>
      <c r="P5" s="190">
        <v>0</v>
      </c>
      <c r="Q5" s="190">
        <v>0</v>
      </c>
      <c r="R5" s="190">
        <v>46463</v>
      </c>
      <c r="S5" s="190">
        <v>0</v>
      </c>
      <c r="T5" s="190">
        <v>0</v>
      </c>
      <c r="U5" s="190">
        <v>0</v>
      </c>
      <c r="V5" s="190">
        <v>0</v>
      </c>
      <c r="W5" s="190">
        <v>0</v>
      </c>
      <c r="X5" s="190">
        <v>0</v>
      </c>
      <c r="Y5" s="190">
        <v>207453</v>
      </c>
      <c r="Z5" s="190">
        <v>207453</v>
      </c>
      <c r="AA5" s="190">
        <v>207453</v>
      </c>
      <c r="AB5" s="190">
        <v>0</v>
      </c>
      <c r="AC5" s="190">
        <v>0</v>
      </c>
      <c r="AD5" s="190">
        <v>0</v>
      </c>
      <c r="AE5" s="190">
        <v>0</v>
      </c>
      <c r="AF5" s="190">
        <v>0</v>
      </c>
      <c r="AG5" s="190">
        <v>0</v>
      </c>
      <c r="AH5" s="190">
        <v>26297</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row>
    <row r="6" spans="1:54" x14ac:dyDescent="0.25">
      <c r="A6" s="190" t="s">
        <v>222</v>
      </c>
      <c r="B6" s="190">
        <v>645023655</v>
      </c>
      <c r="C6" s="190">
        <v>328463140</v>
      </c>
      <c r="D6" s="190">
        <v>224440448</v>
      </c>
      <c r="E6" s="190">
        <v>291577314</v>
      </c>
      <c r="F6" s="190">
        <v>438656069</v>
      </c>
      <c r="G6" s="190">
        <v>380825894</v>
      </c>
      <c r="H6" s="190">
        <v>309803498</v>
      </c>
      <c r="I6" s="190">
        <v>300337273</v>
      </c>
      <c r="J6" s="190">
        <v>456172199</v>
      </c>
      <c r="K6" s="190">
        <v>431649258</v>
      </c>
      <c r="L6" s="190">
        <v>278920234</v>
      </c>
      <c r="M6" s="190">
        <v>257035091</v>
      </c>
      <c r="N6" s="190">
        <v>357314928</v>
      </c>
      <c r="O6" s="190">
        <v>357230084</v>
      </c>
      <c r="P6" s="190">
        <v>287532941</v>
      </c>
      <c r="Q6" s="190">
        <v>211036168</v>
      </c>
      <c r="R6" s="190">
        <v>484193845</v>
      </c>
      <c r="S6" s="190">
        <v>545268907</v>
      </c>
      <c r="T6" s="190">
        <v>404477754</v>
      </c>
      <c r="U6" s="190">
        <v>116688242</v>
      </c>
      <c r="V6" s="190">
        <v>135002458</v>
      </c>
      <c r="W6" s="190">
        <v>92583969</v>
      </c>
      <c r="X6" s="190">
        <v>373012169</v>
      </c>
      <c r="Y6" s="190">
        <v>141629447</v>
      </c>
      <c r="Z6" s="190">
        <v>634403525</v>
      </c>
      <c r="AA6" s="190">
        <v>95456997</v>
      </c>
      <c r="AB6" s="190">
        <v>411919862</v>
      </c>
      <c r="AC6" s="190">
        <v>114557581</v>
      </c>
      <c r="AD6" s="190">
        <v>226282210</v>
      </c>
      <c r="AE6" s="190">
        <v>58529346</v>
      </c>
      <c r="AF6" s="190">
        <v>106889176</v>
      </c>
      <c r="AG6" s="190">
        <v>94955470</v>
      </c>
      <c r="AH6" s="190">
        <v>1126764597</v>
      </c>
      <c r="AI6" s="190">
        <v>215925545</v>
      </c>
      <c r="AJ6" s="190">
        <v>324847204</v>
      </c>
      <c r="AK6" s="190">
        <v>92558982</v>
      </c>
      <c r="AL6" s="190">
        <v>193030131</v>
      </c>
      <c r="AM6" s="190">
        <v>115257958</v>
      </c>
      <c r="AN6" s="190">
        <v>127068880</v>
      </c>
      <c r="AO6" s="190">
        <v>122330789</v>
      </c>
      <c r="AP6" s="190">
        <v>521206639</v>
      </c>
      <c r="AQ6" s="190">
        <v>206780602</v>
      </c>
      <c r="AR6" s="190">
        <v>301829502</v>
      </c>
      <c r="AS6" s="190">
        <v>582861803</v>
      </c>
      <c r="AT6" s="190">
        <v>673365571</v>
      </c>
      <c r="AU6" s="190">
        <v>617023630</v>
      </c>
      <c r="AV6" s="190">
        <v>15500187</v>
      </c>
      <c r="AW6" s="190">
        <v>93122124</v>
      </c>
      <c r="AX6" s="190">
        <v>88770648</v>
      </c>
      <c r="AY6" s="190">
        <v>160901408</v>
      </c>
      <c r="AZ6" s="190">
        <v>0</v>
      </c>
      <c r="BA6" s="190">
        <v>16757114</v>
      </c>
      <c r="BB6" s="190">
        <v>0</v>
      </c>
    </row>
    <row r="7" spans="1:54" x14ac:dyDescent="0.25">
      <c r="A7" s="190" t="s">
        <v>223</v>
      </c>
      <c r="B7" s="190">
        <v>39643642473</v>
      </c>
      <c r="C7" s="190">
        <v>25519455891</v>
      </c>
      <c r="D7" s="190">
        <v>10502402062</v>
      </c>
      <c r="E7" s="190">
        <v>46765736986</v>
      </c>
      <c r="F7" s="190">
        <v>36193187259</v>
      </c>
      <c r="G7" s="190">
        <v>22131543127</v>
      </c>
      <c r="H7" s="190">
        <v>10177471608</v>
      </c>
      <c r="I7" s="190">
        <v>33599825515</v>
      </c>
      <c r="J7" s="190">
        <v>24101068742</v>
      </c>
      <c r="K7" s="190">
        <v>14646813645</v>
      </c>
      <c r="L7" s="190">
        <v>8329340753</v>
      </c>
      <c r="M7" s="190">
        <v>46014074352</v>
      </c>
      <c r="N7" s="190">
        <v>39457614069</v>
      </c>
      <c r="O7" s="190">
        <v>24892681767</v>
      </c>
      <c r="P7" s="190">
        <v>12940265702</v>
      </c>
      <c r="Q7" s="190">
        <v>49645452143</v>
      </c>
      <c r="R7" s="190">
        <v>39205650370</v>
      </c>
      <c r="S7" s="190">
        <v>24636205279</v>
      </c>
      <c r="T7" s="190">
        <v>10923797871</v>
      </c>
      <c r="U7" s="190">
        <v>43793055439</v>
      </c>
      <c r="V7" s="190">
        <v>32571918082</v>
      </c>
      <c r="W7" s="190">
        <v>20416205401</v>
      </c>
      <c r="X7" s="190">
        <v>10355933028</v>
      </c>
      <c r="Y7" s="190">
        <v>37193155975</v>
      </c>
      <c r="Z7" s="190">
        <v>29386877013</v>
      </c>
      <c r="AA7" s="190">
        <v>17970298621</v>
      </c>
      <c r="AB7" s="190">
        <v>8455420961</v>
      </c>
      <c r="AC7" s="190">
        <v>38250445329</v>
      </c>
      <c r="AD7" s="190">
        <v>28224865328</v>
      </c>
      <c r="AE7" s="190">
        <v>17873423476</v>
      </c>
      <c r="AF7" s="190">
        <v>8033926318</v>
      </c>
      <c r="AG7" s="190">
        <v>37753730613</v>
      </c>
      <c r="AH7" s="190">
        <v>28215848659</v>
      </c>
      <c r="AI7" s="190">
        <v>13932800940</v>
      </c>
      <c r="AJ7" s="190">
        <v>4963921605</v>
      </c>
      <c r="AK7" s="190">
        <v>20447729090</v>
      </c>
      <c r="AL7" s="190">
        <v>13714766241</v>
      </c>
      <c r="AM7" s="190">
        <v>8782077872</v>
      </c>
      <c r="AN7" s="190">
        <v>3734330826</v>
      </c>
      <c r="AO7" s="190">
        <v>21314579313</v>
      </c>
      <c r="AP7" s="190">
        <v>17275681555</v>
      </c>
      <c r="AQ7" s="190">
        <v>10620633252</v>
      </c>
      <c r="AR7" s="190">
        <v>5424415014</v>
      </c>
      <c r="AS7" s="190">
        <v>20329707488</v>
      </c>
      <c r="AT7" s="190">
        <v>15429073624</v>
      </c>
      <c r="AU7" s="190">
        <v>9178931396</v>
      </c>
      <c r="AV7" s="190">
        <v>4206410165</v>
      </c>
      <c r="AW7" s="190">
        <v>15932430185</v>
      </c>
      <c r="AX7" s="190">
        <v>11595986844</v>
      </c>
      <c r="AY7" s="190">
        <v>7724697038</v>
      </c>
      <c r="AZ7" s="190">
        <v>3267052377</v>
      </c>
      <c r="BA7" s="190">
        <v>16102110768</v>
      </c>
      <c r="BB7" s="190">
        <v>0</v>
      </c>
    </row>
    <row r="8" spans="1:54" x14ac:dyDescent="0.25">
      <c r="A8" s="190" t="s">
        <v>224</v>
      </c>
      <c r="B8" s="190">
        <v>7135466161</v>
      </c>
      <c r="C8" s="190">
        <v>4729390335</v>
      </c>
      <c r="D8" s="190">
        <v>2900104585</v>
      </c>
      <c r="E8" s="190">
        <v>8942716686</v>
      </c>
      <c r="F8" s="190">
        <v>6834210458</v>
      </c>
      <c r="G8" s="190">
        <v>4030453892</v>
      </c>
      <c r="H8" s="190">
        <v>2598307049</v>
      </c>
      <c r="I8" s="190">
        <v>7511724240</v>
      </c>
      <c r="J8" s="190">
        <v>5787961608</v>
      </c>
      <c r="K8" s="190">
        <v>3444863388</v>
      </c>
      <c r="L8" s="190">
        <v>3245730073</v>
      </c>
      <c r="M8" s="190">
        <v>10684001679</v>
      </c>
      <c r="N8" s="190">
        <v>9997258622</v>
      </c>
      <c r="O8" s="190">
        <v>5353611064</v>
      </c>
      <c r="P8" s="190">
        <v>4122724478</v>
      </c>
      <c r="Q8" s="190">
        <v>11323852793</v>
      </c>
      <c r="R8" s="190">
        <v>8052639455</v>
      </c>
      <c r="S8" s="190">
        <v>5380645136</v>
      </c>
      <c r="T8" s="190">
        <v>3319124353</v>
      </c>
      <c r="U8" s="190">
        <v>11707162459</v>
      </c>
      <c r="V8" s="190">
        <v>7691817890</v>
      </c>
      <c r="W8" s="190">
        <v>4552215166</v>
      </c>
      <c r="X8" s="190">
        <v>2840576029</v>
      </c>
      <c r="Y8" s="190">
        <v>9297494027</v>
      </c>
      <c r="Z8" s="190">
        <v>8589057900</v>
      </c>
      <c r="AA8" s="190">
        <v>5169648188</v>
      </c>
      <c r="AB8" s="190">
        <v>2920983806</v>
      </c>
      <c r="AC8" s="190">
        <v>9682466838</v>
      </c>
      <c r="AD8" s="190">
        <v>6815070675</v>
      </c>
      <c r="AE8" s="190">
        <v>4543920833</v>
      </c>
      <c r="AF8" s="190">
        <v>2324491206</v>
      </c>
      <c r="AG8" s="190">
        <v>8709320516</v>
      </c>
      <c r="AH8" s="190">
        <v>6904310263</v>
      </c>
      <c r="AI8" s="190">
        <v>2557130937</v>
      </c>
      <c r="AJ8" s="190">
        <v>1445468387</v>
      </c>
      <c r="AK8" s="190">
        <v>5362829379</v>
      </c>
      <c r="AL8" s="190">
        <v>3722156094</v>
      </c>
      <c r="AM8" s="190">
        <v>2516407041</v>
      </c>
      <c r="AN8" s="190">
        <v>1431246547</v>
      </c>
      <c r="AO8" s="190">
        <v>5287023304</v>
      </c>
      <c r="AP8" s="190">
        <v>3905718273</v>
      </c>
      <c r="AQ8" s="190">
        <v>2434261428</v>
      </c>
      <c r="AR8" s="190">
        <v>1411588559</v>
      </c>
      <c r="AS8" s="190">
        <v>5570627529</v>
      </c>
      <c r="AT8" s="190">
        <v>3889918547</v>
      </c>
      <c r="AU8" s="190">
        <v>2683188968</v>
      </c>
      <c r="AV8" s="190">
        <v>1313387851</v>
      </c>
      <c r="AW8" s="190">
        <v>4285359760</v>
      </c>
      <c r="AX8" s="190">
        <v>2772407540</v>
      </c>
      <c r="AY8" s="190">
        <v>1733804626</v>
      </c>
      <c r="AZ8" s="190">
        <v>1245290432</v>
      </c>
      <c r="BA8" s="190">
        <v>3882936146</v>
      </c>
      <c r="BB8" s="190">
        <v>0</v>
      </c>
    </row>
    <row r="9" spans="1:54" x14ac:dyDescent="0.25">
      <c r="A9" s="190" t="s">
        <v>225</v>
      </c>
      <c r="B9" s="190">
        <v>11492310398</v>
      </c>
      <c r="C9" s="190">
        <v>7624781965</v>
      </c>
      <c r="D9" s="190">
        <v>3733737156</v>
      </c>
      <c r="E9" s="190">
        <v>15814395647</v>
      </c>
      <c r="F9" s="190">
        <v>10879002896</v>
      </c>
      <c r="G9" s="190">
        <v>7224303448</v>
      </c>
      <c r="H9" s="190">
        <v>3579269339</v>
      </c>
      <c r="I9" s="190">
        <v>14443983431</v>
      </c>
      <c r="J9" s="190">
        <v>10160470490</v>
      </c>
      <c r="K9" s="190">
        <v>6825905253</v>
      </c>
      <c r="L9" s="190">
        <v>3493643395</v>
      </c>
      <c r="M9" s="190">
        <v>14051621733</v>
      </c>
      <c r="N9" s="190">
        <v>9932254624</v>
      </c>
      <c r="O9" s="190">
        <v>6768964439</v>
      </c>
      <c r="P9" s="190">
        <v>3471164896</v>
      </c>
      <c r="Q9" s="190">
        <v>13202389317</v>
      </c>
      <c r="R9" s="190">
        <v>9344332190</v>
      </c>
      <c r="S9" s="190">
        <v>6189510098</v>
      </c>
      <c r="T9" s="190">
        <v>3036447054</v>
      </c>
      <c r="U9" s="190">
        <v>11617864485</v>
      </c>
      <c r="V9" s="190">
        <v>7955861514</v>
      </c>
      <c r="W9" s="190">
        <v>5383882270</v>
      </c>
      <c r="X9" s="190">
        <v>2677842315</v>
      </c>
      <c r="Y9" s="190">
        <v>9635072418</v>
      </c>
      <c r="Z9" s="190">
        <v>7109773202</v>
      </c>
      <c r="AA9" s="190">
        <v>4773059528</v>
      </c>
      <c r="AB9" s="190">
        <v>2436964869</v>
      </c>
      <c r="AC9" s="190">
        <v>8100067769</v>
      </c>
      <c r="AD9" s="190">
        <v>5783548410</v>
      </c>
      <c r="AE9" s="190">
        <v>3738404785</v>
      </c>
      <c r="AF9" s="190">
        <v>1808053041</v>
      </c>
      <c r="AG9" s="190">
        <v>6779382327</v>
      </c>
      <c r="AH9" s="190">
        <v>4926588412</v>
      </c>
      <c r="AI9" s="190">
        <v>1344560816</v>
      </c>
      <c r="AJ9" s="190">
        <v>651753195</v>
      </c>
      <c r="AK9" s="190">
        <v>2497220314</v>
      </c>
      <c r="AL9" s="190">
        <v>1745566918</v>
      </c>
      <c r="AM9" s="190">
        <v>1204678094</v>
      </c>
      <c r="AN9" s="190">
        <v>603669765</v>
      </c>
      <c r="AO9" s="190">
        <v>2324378401</v>
      </c>
      <c r="AP9" s="190">
        <v>1694171965</v>
      </c>
      <c r="AQ9" s="190">
        <v>1139756784</v>
      </c>
      <c r="AR9" s="190">
        <v>573713399</v>
      </c>
      <c r="AS9" s="190">
        <v>2099958008</v>
      </c>
      <c r="AT9" s="190">
        <v>1522586119</v>
      </c>
      <c r="AU9" s="190">
        <v>988836945</v>
      </c>
      <c r="AV9" s="190">
        <v>497347636</v>
      </c>
      <c r="AW9" s="190">
        <v>1738257624</v>
      </c>
      <c r="AX9" s="190">
        <v>1237573718</v>
      </c>
      <c r="AY9" s="190">
        <v>842085625</v>
      </c>
      <c r="AZ9" s="190">
        <v>411497297</v>
      </c>
      <c r="BA9" s="190">
        <v>1530870707</v>
      </c>
      <c r="BB9" s="190">
        <v>0</v>
      </c>
    </row>
    <row r="10" spans="1:54" x14ac:dyDescent="0.25">
      <c r="A10" s="190" t="s">
        <v>226</v>
      </c>
      <c r="B10" s="190">
        <v>8729457587</v>
      </c>
      <c r="C10" s="190">
        <v>8087168338</v>
      </c>
      <c r="D10" s="190">
        <v>707243669</v>
      </c>
      <c r="E10" s="190">
        <v>3321499169</v>
      </c>
      <c r="F10" s="190">
        <v>3865143570</v>
      </c>
      <c r="G10" s="190">
        <v>2693483483</v>
      </c>
      <c r="H10" s="190">
        <v>708277360</v>
      </c>
      <c r="I10" s="190">
        <v>4613121925</v>
      </c>
      <c r="J10" s="190">
        <v>5460590602</v>
      </c>
      <c r="K10" s="190">
        <v>3704954707</v>
      </c>
      <c r="L10" s="190">
        <v>1529178346</v>
      </c>
      <c r="M10" s="190">
        <v>6023466024</v>
      </c>
      <c r="N10" s="190">
        <v>6362396083</v>
      </c>
      <c r="O10" s="190">
        <v>4362166829</v>
      </c>
      <c r="P10" s="190">
        <v>2310290745</v>
      </c>
      <c r="Q10" s="190">
        <v>7165881021</v>
      </c>
      <c r="R10" s="190">
        <v>6280025019</v>
      </c>
      <c r="S10" s="190">
        <v>5481830426</v>
      </c>
      <c r="T10" s="190">
        <v>1913997133</v>
      </c>
      <c r="U10" s="190">
        <v>4928584039</v>
      </c>
      <c r="V10" s="190">
        <v>4104544829</v>
      </c>
      <c r="W10" s="190">
        <v>3437708822</v>
      </c>
      <c r="X10" s="190">
        <v>2403966623</v>
      </c>
      <c r="Y10" s="190">
        <v>4464785632</v>
      </c>
      <c r="Z10" s="190">
        <v>4197690145</v>
      </c>
      <c r="AA10" s="190">
        <v>3832234157</v>
      </c>
      <c r="AB10" s="190">
        <v>1899805243</v>
      </c>
      <c r="AC10" s="190">
        <v>4395472174</v>
      </c>
      <c r="AD10" s="190">
        <v>3871375327</v>
      </c>
      <c r="AE10" s="190">
        <v>3097432646</v>
      </c>
      <c r="AF10" s="190">
        <v>1695807196</v>
      </c>
      <c r="AG10" s="190">
        <v>3727755769</v>
      </c>
      <c r="AH10" s="190">
        <v>3080093489</v>
      </c>
      <c r="AI10" s="190">
        <v>1833998244</v>
      </c>
      <c r="AJ10" s="190">
        <v>689887379</v>
      </c>
      <c r="AK10" s="190">
        <v>3062821334</v>
      </c>
      <c r="AL10" s="190">
        <v>2199576761</v>
      </c>
      <c r="AM10" s="190">
        <v>1443173481</v>
      </c>
      <c r="AN10" s="190">
        <v>669724313</v>
      </c>
      <c r="AO10" s="190">
        <v>3839646083</v>
      </c>
      <c r="AP10" s="190">
        <v>3614799571</v>
      </c>
      <c r="AQ10" s="190">
        <v>2570523724</v>
      </c>
      <c r="AR10" s="190">
        <v>1533694866</v>
      </c>
      <c r="AS10" s="190">
        <v>3285292360</v>
      </c>
      <c r="AT10" s="190">
        <v>3017651293</v>
      </c>
      <c r="AU10" s="190">
        <v>1963921231</v>
      </c>
      <c r="AV10" s="190">
        <v>883822474</v>
      </c>
      <c r="AW10" s="190">
        <v>2401030379</v>
      </c>
      <c r="AX10" s="190">
        <v>2192541930</v>
      </c>
      <c r="AY10" s="190">
        <v>1321620460</v>
      </c>
      <c r="AZ10" s="190">
        <v>735566773</v>
      </c>
      <c r="BA10" s="190">
        <v>1748036690</v>
      </c>
      <c r="BB10" s="190">
        <v>0</v>
      </c>
    </row>
    <row r="11" spans="1:54" x14ac:dyDescent="0.25">
      <c r="A11" s="190" t="s">
        <v>227</v>
      </c>
      <c r="B11" s="190">
        <v>1550483066</v>
      </c>
      <c r="C11" s="190">
        <v>538819349</v>
      </c>
      <c r="D11" s="190">
        <v>226926050</v>
      </c>
      <c r="E11" s="190">
        <v>1193525187</v>
      </c>
      <c r="F11" s="190">
        <v>616235299</v>
      </c>
      <c r="G11" s="190">
        <v>557325366</v>
      </c>
      <c r="H11" s="190">
        <v>194253505</v>
      </c>
      <c r="I11" s="190">
        <v>756355916</v>
      </c>
      <c r="J11" s="190">
        <v>360039390</v>
      </c>
      <c r="K11" s="190">
        <v>317669144</v>
      </c>
      <c r="L11" s="190">
        <v>363425999</v>
      </c>
      <c r="M11" s="190">
        <v>1137333631</v>
      </c>
      <c r="N11" s="190">
        <v>356389068</v>
      </c>
      <c r="O11" s="190">
        <v>367933474</v>
      </c>
      <c r="P11" s="190">
        <v>372626747</v>
      </c>
      <c r="Q11" s="190">
        <v>640098393</v>
      </c>
      <c r="R11" s="190">
        <v>219595810</v>
      </c>
      <c r="S11" s="190">
        <v>125150461</v>
      </c>
      <c r="T11" s="190">
        <v>385390307</v>
      </c>
      <c r="U11" s="190">
        <v>779614443</v>
      </c>
      <c r="V11" s="190">
        <v>682573467</v>
      </c>
      <c r="W11" s="190">
        <v>468434045</v>
      </c>
      <c r="X11" s="190">
        <v>344269970</v>
      </c>
      <c r="Y11" s="190">
        <v>879886107</v>
      </c>
      <c r="Z11" s="190">
        <v>279360049</v>
      </c>
      <c r="AA11" s="190">
        <v>155705712</v>
      </c>
      <c r="AB11" s="190">
        <v>78374748</v>
      </c>
      <c r="AC11" s="190">
        <v>964618291</v>
      </c>
      <c r="AD11" s="190">
        <v>455032594</v>
      </c>
      <c r="AE11" s="190">
        <v>105656973</v>
      </c>
      <c r="AF11" s="190">
        <v>604995216</v>
      </c>
      <c r="AG11" s="190">
        <v>1621476227</v>
      </c>
      <c r="AH11" s="190">
        <v>775759945</v>
      </c>
      <c r="AI11" s="190">
        <v>150918252</v>
      </c>
      <c r="AJ11" s="190">
        <v>130609642</v>
      </c>
      <c r="AK11" s="190">
        <v>889955428</v>
      </c>
      <c r="AL11" s="190">
        <v>625046172</v>
      </c>
      <c r="AM11" s="190">
        <v>412039574</v>
      </c>
      <c r="AN11" s="190">
        <v>200726611</v>
      </c>
      <c r="AO11" s="190">
        <v>1116148351</v>
      </c>
      <c r="AP11" s="190">
        <v>757813954</v>
      </c>
      <c r="AQ11" s="190">
        <v>596948662</v>
      </c>
      <c r="AR11" s="190">
        <v>73118158</v>
      </c>
      <c r="AS11" s="190">
        <v>240862538</v>
      </c>
      <c r="AT11" s="190">
        <v>172906630</v>
      </c>
      <c r="AU11" s="190">
        <v>75445172</v>
      </c>
      <c r="AV11" s="190">
        <v>13081642</v>
      </c>
      <c r="AW11" s="190">
        <v>2404890654</v>
      </c>
      <c r="AX11" s="190">
        <v>2290525767</v>
      </c>
      <c r="AY11" s="190">
        <v>2195151499</v>
      </c>
      <c r="AZ11" s="190">
        <v>7064761</v>
      </c>
      <c r="BA11" s="190">
        <v>69866268</v>
      </c>
      <c r="BB11" s="190">
        <v>0</v>
      </c>
    </row>
    <row r="12" spans="1:54" x14ac:dyDescent="0.25">
      <c r="A12" s="190" t="s">
        <v>228</v>
      </c>
      <c r="B12" s="190">
        <v>28907717212</v>
      </c>
      <c r="C12" s="190">
        <v>20980159987</v>
      </c>
      <c r="D12" s="190">
        <v>7568011460</v>
      </c>
      <c r="E12" s="190">
        <v>29272136689</v>
      </c>
      <c r="F12" s="190">
        <v>22194592223</v>
      </c>
      <c r="G12" s="190">
        <v>14505566189</v>
      </c>
      <c r="H12" s="190">
        <v>7080107253</v>
      </c>
      <c r="I12" s="190">
        <v>27325185512</v>
      </c>
      <c r="J12" s="190">
        <v>21769062090</v>
      </c>
      <c r="K12" s="190">
        <v>14293392492</v>
      </c>
      <c r="L12" s="190">
        <v>8631977813</v>
      </c>
      <c r="M12" s="190">
        <v>31896423067</v>
      </c>
      <c r="N12" s="190">
        <v>26648298397</v>
      </c>
      <c r="O12" s="190">
        <v>16852675806</v>
      </c>
      <c r="P12" s="190">
        <v>10276806866</v>
      </c>
      <c r="Q12" s="190">
        <v>32332221524</v>
      </c>
      <c r="R12" s="190">
        <v>23896592474</v>
      </c>
      <c r="S12" s="190">
        <v>17177136121</v>
      </c>
      <c r="T12" s="190">
        <v>8654958847</v>
      </c>
      <c r="U12" s="190">
        <v>29033225426</v>
      </c>
      <c r="V12" s="190">
        <v>20434797700</v>
      </c>
      <c r="W12" s="190">
        <v>13842240303</v>
      </c>
      <c r="X12" s="190">
        <v>8266654937</v>
      </c>
      <c r="Y12" s="190">
        <v>24277238184</v>
      </c>
      <c r="Z12" s="190">
        <v>20175881296</v>
      </c>
      <c r="AA12" s="190">
        <v>13930647585</v>
      </c>
      <c r="AB12" s="190">
        <v>7336128666</v>
      </c>
      <c r="AC12" s="190">
        <v>23142625072</v>
      </c>
      <c r="AD12" s="190">
        <v>16925027006</v>
      </c>
      <c r="AE12" s="190">
        <v>11485415237</v>
      </c>
      <c r="AF12" s="190">
        <v>6433346659</v>
      </c>
      <c r="AG12" s="190">
        <v>20837934839</v>
      </c>
      <c r="AH12" s="190">
        <v>15686752109</v>
      </c>
      <c r="AI12" s="190">
        <v>5886608249</v>
      </c>
      <c r="AJ12" s="190">
        <v>2917718603</v>
      </c>
      <c r="AK12" s="190">
        <v>11812826455</v>
      </c>
      <c r="AL12" s="190">
        <v>8292345945</v>
      </c>
      <c r="AM12" s="190">
        <v>5576298190</v>
      </c>
      <c r="AN12" s="190">
        <v>2905367236</v>
      </c>
      <c r="AO12" s="190">
        <v>12567196139</v>
      </c>
      <c r="AP12" s="190">
        <v>9972503763</v>
      </c>
      <c r="AQ12" s="190">
        <v>6741490598</v>
      </c>
      <c r="AR12" s="190">
        <v>3592114982</v>
      </c>
      <c r="AS12" s="190">
        <v>11196740435</v>
      </c>
      <c r="AT12" s="190">
        <v>8603062589</v>
      </c>
      <c r="AU12" s="190">
        <v>5711392316</v>
      </c>
      <c r="AV12" s="190">
        <v>2707639603</v>
      </c>
      <c r="AW12" s="190">
        <v>10829538417</v>
      </c>
      <c r="AX12" s="190">
        <v>8493048955</v>
      </c>
      <c r="AY12" s="190">
        <v>6092662210</v>
      </c>
      <c r="AZ12" s="190">
        <v>2399419263</v>
      </c>
      <c r="BA12" s="190">
        <v>7231709811</v>
      </c>
      <c r="BB12" s="190">
        <v>0</v>
      </c>
    </row>
    <row r="13" spans="1:54" x14ac:dyDescent="0.25">
      <c r="A13" s="190" t="s">
        <v>229</v>
      </c>
      <c r="B13" s="190">
        <v>10735925261</v>
      </c>
      <c r="C13" s="190">
        <v>4539295904</v>
      </c>
      <c r="D13" s="190">
        <v>2934390602</v>
      </c>
      <c r="E13" s="190">
        <v>17493600297</v>
      </c>
      <c r="F13" s="190">
        <v>13998595036</v>
      </c>
      <c r="G13" s="190">
        <v>7625976938</v>
      </c>
      <c r="H13" s="190">
        <v>3097364355</v>
      </c>
      <c r="I13" s="190">
        <v>6274640003</v>
      </c>
      <c r="J13" s="190">
        <v>2332006652</v>
      </c>
      <c r="K13" s="190">
        <v>353421153</v>
      </c>
      <c r="L13" s="190">
        <v>-302637060</v>
      </c>
      <c r="M13" s="190">
        <v>14117651285</v>
      </c>
      <c r="N13" s="190">
        <v>12809315672</v>
      </c>
      <c r="O13" s="190">
        <v>8040005961</v>
      </c>
      <c r="P13" s="190">
        <v>2663458836</v>
      </c>
      <c r="Q13" s="190">
        <v>17313230619</v>
      </c>
      <c r="R13" s="190">
        <v>15309057896</v>
      </c>
      <c r="S13" s="190">
        <v>7459069158</v>
      </c>
      <c r="T13" s="190">
        <v>2268839024</v>
      </c>
      <c r="U13" s="190">
        <v>14759830013</v>
      </c>
      <c r="V13" s="190">
        <v>12137120382</v>
      </c>
      <c r="W13" s="190">
        <v>6573965098</v>
      </c>
      <c r="X13" s="190">
        <v>2089278091</v>
      </c>
      <c r="Y13" s="190">
        <v>12915917791</v>
      </c>
      <c r="Z13" s="190">
        <v>9210995717</v>
      </c>
      <c r="AA13" s="190">
        <v>4039651036</v>
      </c>
      <c r="AB13" s="190">
        <v>1119292295</v>
      </c>
      <c r="AC13" s="190">
        <v>15107820257</v>
      </c>
      <c r="AD13" s="190">
        <v>11299838322</v>
      </c>
      <c r="AE13" s="190">
        <v>6388008239</v>
      </c>
      <c r="AF13" s="190">
        <v>1600579659</v>
      </c>
      <c r="AG13" s="190">
        <v>16915795774</v>
      </c>
      <c r="AH13" s="190">
        <v>12529096550</v>
      </c>
      <c r="AI13" s="190">
        <v>8046192691</v>
      </c>
      <c r="AJ13" s="190">
        <v>2046203002</v>
      </c>
      <c r="AK13" s="190">
        <v>8634902635</v>
      </c>
      <c r="AL13" s="190">
        <v>5422420296</v>
      </c>
      <c r="AM13" s="190">
        <v>3205779682</v>
      </c>
      <c r="AN13" s="190">
        <v>828963590</v>
      </c>
      <c r="AO13" s="190">
        <v>8747383174</v>
      </c>
      <c r="AP13" s="190">
        <v>7303177792</v>
      </c>
      <c r="AQ13" s="190">
        <v>3879142654</v>
      </c>
      <c r="AR13" s="190">
        <v>1832300032</v>
      </c>
      <c r="AS13" s="190">
        <v>9132967053</v>
      </c>
      <c r="AT13" s="190">
        <v>6826011035</v>
      </c>
      <c r="AU13" s="190">
        <v>3467539080</v>
      </c>
      <c r="AV13" s="190">
        <v>1498770562</v>
      </c>
      <c r="AW13" s="190">
        <v>5102891768</v>
      </c>
      <c r="AX13" s="190">
        <v>3102937889</v>
      </c>
      <c r="AY13" s="190">
        <v>1632034828</v>
      </c>
      <c r="AZ13" s="190">
        <v>867633114</v>
      </c>
      <c r="BA13" s="190">
        <v>8870400957</v>
      </c>
      <c r="BB13" s="190">
        <v>0</v>
      </c>
    </row>
    <row r="14" spans="1:54" x14ac:dyDescent="0.25">
      <c r="A14" s="190" t="s">
        <v>230</v>
      </c>
    </row>
    <row r="15" spans="1:54" x14ac:dyDescent="0.25">
      <c r="A15" s="190" t="s">
        <v>231</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1539000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row>
    <row r="16" spans="1:54" x14ac:dyDescent="0.25">
      <c r="A16" s="190" t="s">
        <v>232</v>
      </c>
      <c r="B16" s="190">
        <v>2407109534</v>
      </c>
      <c r="C16" s="190">
        <v>2404459034</v>
      </c>
      <c r="D16" s="190">
        <v>2403735043</v>
      </c>
      <c r="E16" s="190">
        <v>1248965236</v>
      </c>
      <c r="F16" s="190">
        <v>1248117260</v>
      </c>
      <c r="G16" s="190">
        <v>1248117260</v>
      </c>
      <c r="H16" s="190">
        <v>1247984179</v>
      </c>
      <c r="I16" s="190">
        <v>1516415999</v>
      </c>
      <c r="J16" s="190">
        <v>1516415999</v>
      </c>
      <c r="K16" s="190">
        <v>1510003500</v>
      </c>
      <c r="L16" s="190">
        <v>4690</v>
      </c>
      <c r="M16" s="190">
        <v>1612345503</v>
      </c>
      <c r="N16" s="190">
        <v>1612345502</v>
      </c>
      <c r="O16" s="190">
        <v>840352452</v>
      </c>
      <c r="P16" s="190">
        <v>0</v>
      </c>
      <c r="Q16" s="190">
        <v>1247754499</v>
      </c>
      <c r="R16" s="190">
        <v>1247312583</v>
      </c>
      <c r="S16" s="190">
        <v>1233632583</v>
      </c>
      <c r="T16" s="190">
        <v>0</v>
      </c>
      <c r="U16" s="190">
        <v>1287390483</v>
      </c>
      <c r="V16" s="190">
        <v>1287333185</v>
      </c>
      <c r="W16" s="190">
        <v>1276431935</v>
      </c>
      <c r="X16" s="190">
        <v>665530685</v>
      </c>
      <c r="Y16" s="190">
        <v>1198503371</v>
      </c>
      <c r="Z16" s="190">
        <v>1198503371</v>
      </c>
      <c r="AA16" s="190">
        <v>1198503370</v>
      </c>
      <c r="AB16" s="190">
        <v>0</v>
      </c>
      <c r="AC16" s="190">
        <v>3007402</v>
      </c>
      <c r="AD16" s="190">
        <v>3007402</v>
      </c>
      <c r="AE16" s="190">
        <v>3007402</v>
      </c>
      <c r="AF16" s="190">
        <v>3007402</v>
      </c>
      <c r="AG16" s="190">
        <v>843951463</v>
      </c>
      <c r="AH16" s="190">
        <v>0</v>
      </c>
      <c r="AI16" s="190">
        <v>0</v>
      </c>
      <c r="AJ16" s="190">
        <v>0</v>
      </c>
      <c r="AK16" s="190">
        <v>0</v>
      </c>
      <c r="AL16" s="190">
        <v>1539000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row>
    <row r="17" spans="1:54" x14ac:dyDescent="0.25">
      <c r="A17" s="190" t="s">
        <v>233</v>
      </c>
      <c r="B17" s="190">
        <v>15608821</v>
      </c>
      <c r="C17" s="190">
        <v>14468601</v>
      </c>
      <c r="D17" s="190">
        <v>14887502</v>
      </c>
      <c r="E17" s="190">
        <v>12546516</v>
      </c>
      <c r="F17" s="190">
        <v>10997364</v>
      </c>
      <c r="G17" s="190">
        <v>5734127</v>
      </c>
      <c r="H17" s="190">
        <v>4401495</v>
      </c>
      <c r="I17" s="190">
        <v>3573565</v>
      </c>
      <c r="J17" s="190">
        <v>722689</v>
      </c>
      <c r="K17" s="190">
        <v>598320</v>
      </c>
      <c r="L17" s="190">
        <v>37809</v>
      </c>
      <c r="M17" s="190">
        <v>32851440</v>
      </c>
      <c r="N17" s="190">
        <v>41997415</v>
      </c>
      <c r="O17" s="190">
        <v>44521150</v>
      </c>
      <c r="P17" s="190">
        <v>2307947</v>
      </c>
      <c r="Q17" s="190">
        <v>49966311</v>
      </c>
      <c r="R17" s="190">
        <v>27912577</v>
      </c>
      <c r="S17" s="190">
        <v>6891737</v>
      </c>
      <c r="T17" s="190">
        <v>3002142</v>
      </c>
      <c r="U17" s="190">
        <v>19056911</v>
      </c>
      <c r="V17" s="190">
        <v>34017557</v>
      </c>
      <c r="W17" s="190">
        <v>3162268</v>
      </c>
      <c r="X17" s="190">
        <v>769025</v>
      </c>
      <c r="Y17" s="190">
        <v>23795828</v>
      </c>
      <c r="Z17" s="190">
        <v>5452455</v>
      </c>
      <c r="AA17" s="190">
        <v>4611445</v>
      </c>
      <c r="AB17" s="190">
        <v>5500</v>
      </c>
      <c r="AC17" s="190">
        <v>7919882</v>
      </c>
      <c r="AD17" s="190">
        <v>544430</v>
      </c>
      <c r="AE17" s="190">
        <v>524822</v>
      </c>
      <c r="AF17" s="190">
        <v>9200</v>
      </c>
      <c r="AG17" s="190">
        <v>34158096</v>
      </c>
      <c r="AH17" s="190">
        <v>6055088</v>
      </c>
      <c r="AI17" s="190">
        <v>5589334</v>
      </c>
      <c r="AJ17" s="190">
        <v>5586392</v>
      </c>
      <c r="AK17" s="190">
        <v>42351853</v>
      </c>
      <c r="AL17" s="190">
        <v>42355503</v>
      </c>
      <c r="AM17" s="190">
        <v>42351923</v>
      </c>
      <c r="AN17" s="190">
        <v>2100</v>
      </c>
      <c r="AO17" s="190">
        <v>13761445</v>
      </c>
      <c r="AP17" s="190">
        <v>1281976</v>
      </c>
      <c r="AQ17" s="190">
        <v>1276176</v>
      </c>
      <c r="AR17" s="190">
        <v>1275376</v>
      </c>
      <c r="AS17" s="190">
        <v>28355</v>
      </c>
      <c r="AT17" s="190">
        <v>28355</v>
      </c>
      <c r="AU17" s="190">
        <v>28355</v>
      </c>
      <c r="AV17" s="190">
        <v>8600</v>
      </c>
      <c r="AW17" s="190">
        <v>1907027</v>
      </c>
      <c r="AX17" s="190">
        <v>858746</v>
      </c>
      <c r="AY17" s="190">
        <v>685876</v>
      </c>
      <c r="AZ17" s="190">
        <v>41772</v>
      </c>
      <c r="BA17" s="190">
        <v>16678841</v>
      </c>
      <c r="BB17" s="190">
        <v>0</v>
      </c>
    </row>
    <row r="18" spans="1:5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11681867</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row>
    <row r="19" spans="1:54" x14ac:dyDescent="0.25">
      <c r="A19" s="190" t="s">
        <v>235</v>
      </c>
      <c r="B19" s="190">
        <v>224509328</v>
      </c>
      <c r="C19" s="190">
        <v>119192001</v>
      </c>
      <c r="D19" s="190">
        <v>25678515</v>
      </c>
      <c r="E19" s="190">
        <v>254379166</v>
      </c>
      <c r="F19" s="190">
        <v>150927305</v>
      </c>
      <c r="G19" s="190">
        <v>134712069</v>
      </c>
      <c r="H19" s="190">
        <v>26986864</v>
      </c>
      <c r="I19" s="190">
        <v>147624544</v>
      </c>
      <c r="J19" s="190">
        <v>113132277</v>
      </c>
      <c r="K19" s="190">
        <v>62557551</v>
      </c>
      <c r="L19" s="190">
        <v>35957554</v>
      </c>
      <c r="M19" s="190">
        <v>213434420</v>
      </c>
      <c r="N19" s="190">
        <v>173505907</v>
      </c>
      <c r="O19" s="190">
        <v>115670605</v>
      </c>
      <c r="P19" s="190">
        <v>37779558</v>
      </c>
      <c r="Q19" s="190">
        <v>245307357</v>
      </c>
      <c r="R19" s="190">
        <v>150800908</v>
      </c>
      <c r="S19" s="190">
        <v>128993323</v>
      </c>
      <c r="T19" s="190">
        <v>49875671</v>
      </c>
      <c r="U19" s="190">
        <v>167165093</v>
      </c>
      <c r="V19" s="190">
        <v>122334800</v>
      </c>
      <c r="W19" s="190">
        <v>83806509</v>
      </c>
      <c r="X19" s="190">
        <v>21746361</v>
      </c>
      <c r="Y19" s="190">
        <v>93353259</v>
      </c>
      <c r="Z19" s="190">
        <v>58577596</v>
      </c>
      <c r="AA19" s="190">
        <v>29741056</v>
      </c>
      <c r="AB19" s="190">
        <v>8274205</v>
      </c>
      <c r="AC19" s="190">
        <v>75377278</v>
      </c>
      <c r="AD19" s="190">
        <v>51437216</v>
      </c>
      <c r="AE19" s="190">
        <v>39597280</v>
      </c>
      <c r="AF19" s="190">
        <v>19442892</v>
      </c>
      <c r="AG19" s="190">
        <v>64703840</v>
      </c>
      <c r="AH19" s="190">
        <v>43675442</v>
      </c>
      <c r="AI19" s="190">
        <v>31514372</v>
      </c>
      <c r="AJ19" s="190">
        <v>15926053</v>
      </c>
      <c r="AK19" s="190">
        <v>51744186</v>
      </c>
      <c r="AL19" s="190">
        <v>35152684</v>
      </c>
      <c r="AM19" s="190">
        <v>20989615</v>
      </c>
      <c r="AN19" s="190">
        <v>9837879</v>
      </c>
      <c r="AO19" s="190">
        <v>79818120</v>
      </c>
      <c r="AP19" s="190">
        <v>65984262</v>
      </c>
      <c r="AQ19" s="190">
        <v>47279275</v>
      </c>
      <c r="AR19" s="190">
        <v>20729561</v>
      </c>
      <c r="AS19" s="190">
        <v>82921173</v>
      </c>
      <c r="AT19" s="190">
        <v>50533642</v>
      </c>
      <c r="AU19" s="190">
        <v>49201984</v>
      </c>
      <c r="AV19" s="190">
        <v>0</v>
      </c>
      <c r="AW19" s="190">
        <v>49511450</v>
      </c>
      <c r="AX19" s="190">
        <v>36484697</v>
      </c>
      <c r="AY19" s="190">
        <v>20517332</v>
      </c>
      <c r="AZ19" s="190">
        <v>9197544</v>
      </c>
      <c r="BA19" s="190">
        <v>0</v>
      </c>
      <c r="BB19" s="190">
        <v>0</v>
      </c>
    </row>
    <row r="20" spans="1:54" x14ac:dyDescent="0.25">
      <c r="A20" s="190" t="s">
        <v>236</v>
      </c>
      <c r="B20" s="190">
        <v>2647227683</v>
      </c>
      <c r="C20" s="190">
        <v>2538119636</v>
      </c>
      <c r="D20" s="190">
        <v>2444301060</v>
      </c>
      <c r="E20" s="190">
        <v>1515890918</v>
      </c>
      <c r="F20" s="190">
        <v>1410041929</v>
      </c>
      <c r="G20" s="190">
        <v>1388563456</v>
      </c>
      <c r="H20" s="190">
        <v>1279372538</v>
      </c>
      <c r="I20" s="190">
        <v>1667614108</v>
      </c>
      <c r="J20" s="190">
        <v>1630270965</v>
      </c>
      <c r="K20" s="190">
        <v>1573159371</v>
      </c>
      <c r="L20" s="190">
        <v>36000053</v>
      </c>
      <c r="M20" s="190">
        <v>1858631363</v>
      </c>
      <c r="N20" s="190">
        <v>1827848824</v>
      </c>
      <c r="O20" s="190">
        <v>1000544207</v>
      </c>
      <c r="P20" s="190">
        <v>40087505</v>
      </c>
      <c r="Q20" s="190">
        <v>1543028167</v>
      </c>
      <c r="R20" s="190">
        <v>1426026068</v>
      </c>
      <c r="S20" s="190">
        <v>1369517643</v>
      </c>
      <c r="T20" s="190">
        <v>52877813</v>
      </c>
      <c r="U20" s="190">
        <v>1485294354</v>
      </c>
      <c r="V20" s="190">
        <v>1443685542</v>
      </c>
      <c r="W20" s="190">
        <v>1363400712</v>
      </c>
      <c r="X20" s="190">
        <v>688046071</v>
      </c>
      <c r="Y20" s="190">
        <v>1315652458</v>
      </c>
      <c r="Z20" s="190">
        <v>1262533422</v>
      </c>
      <c r="AA20" s="190">
        <v>1232855871</v>
      </c>
      <c r="AB20" s="190">
        <v>8279705</v>
      </c>
      <c r="AC20" s="190">
        <v>86304562</v>
      </c>
      <c r="AD20" s="190">
        <v>54989048</v>
      </c>
      <c r="AE20" s="190">
        <v>43129504</v>
      </c>
      <c r="AF20" s="190">
        <v>22459494</v>
      </c>
      <c r="AG20" s="190">
        <v>942813399</v>
      </c>
      <c r="AH20" s="190">
        <v>49730530</v>
      </c>
      <c r="AI20" s="190">
        <v>37103706</v>
      </c>
      <c r="AJ20" s="190">
        <v>21512445</v>
      </c>
      <c r="AK20" s="190">
        <v>95635039</v>
      </c>
      <c r="AL20" s="190">
        <v>79047187</v>
      </c>
      <c r="AM20" s="190">
        <v>63341538</v>
      </c>
      <c r="AN20" s="190">
        <v>9839979</v>
      </c>
      <c r="AO20" s="190">
        <v>93579565</v>
      </c>
      <c r="AP20" s="190">
        <v>67266238</v>
      </c>
      <c r="AQ20" s="190">
        <v>48555451</v>
      </c>
      <c r="AR20" s="190">
        <v>22004937</v>
      </c>
      <c r="AS20" s="190">
        <v>82949528</v>
      </c>
      <c r="AT20" s="190">
        <v>50561997</v>
      </c>
      <c r="AU20" s="190">
        <v>49230339</v>
      </c>
      <c r="AV20" s="190">
        <v>8600</v>
      </c>
      <c r="AW20" s="190">
        <v>51418477</v>
      </c>
      <c r="AX20" s="190">
        <v>37343443</v>
      </c>
      <c r="AY20" s="190">
        <v>21203208</v>
      </c>
      <c r="AZ20" s="190">
        <v>9239316</v>
      </c>
      <c r="BA20" s="190">
        <v>16678841</v>
      </c>
      <c r="BB20" s="190">
        <v>0</v>
      </c>
    </row>
    <row r="21" spans="1:54" x14ac:dyDescent="0.25">
      <c r="A21" s="190" t="s">
        <v>237</v>
      </c>
      <c r="B21" s="190">
        <v>2265529294</v>
      </c>
      <c r="C21" s="190">
        <v>2123296811</v>
      </c>
      <c r="D21" s="190">
        <v>994566214</v>
      </c>
      <c r="E21" s="190">
        <v>4367798333</v>
      </c>
      <c r="F21" s="190">
        <v>2250123750</v>
      </c>
      <c r="G21" s="190">
        <v>1649190344</v>
      </c>
      <c r="H21" s="190">
        <v>1355821001</v>
      </c>
      <c r="I21" s="190">
        <v>3075397390</v>
      </c>
      <c r="J21" s="190">
        <v>1391741195</v>
      </c>
      <c r="K21" s="190">
        <v>1364122007</v>
      </c>
      <c r="L21" s="190">
        <v>907778517</v>
      </c>
      <c r="M21" s="190">
        <v>5811680519</v>
      </c>
      <c r="N21" s="190">
        <v>3539619184</v>
      </c>
      <c r="O21" s="190">
        <v>2130766202</v>
      </c>
      <c r="P21" s="190">
        <v>1564192451</v>
      </c>
      <c r="Q21" s="190">
        <v>5515378310</v>
      </c>
      <c r="R21" s="190">
        <v>3900259552</v>
      </c>
      <c r="S21" s="190">
        <v>3088180713</v>
      </c>
      <c r="T21" s="190">
        <v>1355657894</v>
      </c>
      <c r="U21" s="190">
        <v>4738045691</v>
      </c>
      <c r="V21" s="190">
        <v>2800347105</v>
      </c>
      <c r="W21" s="190">
        <v>1918261197</v>
      </c>
      <c r="X21" s="190">
        <v>1244041759</v>
      </c>
      <c r="Y21" s="190">
        <v>3943464603</v>
      </c>
      <c r="Z21" s="190">
        <v>2703193443</v>
      </c>
      <c r="AA21" s="190">
        <v>1669048458</v>
      </c>
      <c r="AB21" s="190">
        <v>784963787</v>
      </c>
      <c r="AC21" s="190">
        <v>3987524780</v>
      </c>
      <c r="AD21" s="190">
        <v>2494385771</v>
      </c>
      <c r="AE21" s="190">
        <v>2128244580</v>
      </c>
      <c r="AF21" s="190">
        <v>1080140807</v>
      </c>
      <c r="AG21" s="190">
        <v>4190150943</v>
      </c>
      <c r="AH21" s="190">
        <v>4731124624</v>
      </c>
      <c r="AI21" s="190">
        <v>3324858679</v>
      </c>
      <c r="AJ21" s="190">
        <v>1944457652</v>
      </c>
      <c r="AK21" s="190">
        <v>17138861516</v>
      </c>
      <c r="AL21" s="190">
        <v>3327250013</v>
      </c>
      <c r="AM21" s="190">
        <v>1925741378</v>
      </c>
      <c r="AN21" s="190">
        <v>950305217</v>
      </c>
      <c r="AO21" s="190">
        <v>7935258302</v>
      </c>
      <c r="AP21" s="190">
        <v>5190338768</v>
      </c>
      <c r="AQ21" s="190">
        <v>3646442010</v>
      </c>
      <c r="AR21" s="190">
        <v>1723988932</v>
      </c>
      <c r="AS21" s="190">
        <v>3565589205</v>
      </c>
      <c r="AT21" s="190">
        <v>2124094029</v>
      </c>
      <c r="AU21" s="190">
        <v>1607912778</v>
      </c>
      <c r="AV21" s="190">
        <v>1283932811</v>
      </c>
      <c r="AW21" s="190">
        <v>7072686867</v>
      </c>
      <c r="AX21" s="190">
        <v>5830309490</v>
      </c>
      <c r="AY21" s="190">
        <v>1342933870</v>
      </c>
      <c r="AZ21" s="190">
        <v>497019701</v>
      </c>
      <c r="BA21" s="190">
        <v>6691740278</v>
      </c>
      <c r="BB21" s="190">
        <v>0</v>
      </c>
    </row>
    <row r="22" spans="1:54" x14ac:dyDescent="0.25">
      <c r="A22" s="190" t="s">
        <v>238</v>
      </c>
      <c r="B22" s="190">
        <v>0</v>
      </c>
      <c r="C22" s="190">
        <v>0</v>
      </c>
      <c r="D22" s="190">
        <v>0</v>
      </c>
      <c r="E22" s="190">
        <v>0</v>
      </c>
      <c r="F22" s="190">
        <v>0</v>
      </c>
      <c r="G22" s="190">
        <v>0</v>
      </c>
      <c r="H22" s="190">
        <v>0</v>
      </c>
      <c r="I22" s="190">
        <v>3000000</v>
      </c>
      <c r="J22" s="190">
        <v>0</v>
      </c>
      <c r="K22" s="190">
        <v>0</v>
      </c>
      <c r="L22" s="190">
        <v>789443128</v>
      </c>
      <c r="M22" s="190">
        <v>117000000</v>
      </c>
      <c r="N22" s="190">
        <v>114000000</v>
      </c>
      <c r="O22" s="190">
        <v>114000000</v>
      </c>
      <c r="P22" s="190">
        <v>0</v>
      </c>
      <c r="Q22" s="190">
        <v>199000000</v>
      </c>
      <c r="R22" s="190">
        <v>199000000</v>
      </c>
      <c r="S22" s="190">
        <v>45000000</v>
      </c>
      <c r="T22" s="190">
        <v>45000000</v>
      </c>
      <c r="U22" s="190">
        <v>245000000</v>
      </c>
      <c r="V22" s="190">
        <v>80161800</v>
      </c>
      <c r="W22" s="190">
        <v>70000000</v>
      </c>
      <c r="X22" s="190">
        <v>70000000</v>
      </c>
      <c r="Y22" s="190">
        <v>14700000</v>
      </c>
      <c r="Z22" s="190">
        <v>0</v>
      </c>
      <c r="AA22" s="190">
        <v>0</v>
      </c>
      <c r="AB22" s="190">
        <v>0</v>
      </c>
      <c r="AC22" s="190">
        <v>0</v>
      </c>
      <c r="AD22" s="190">
        <v>0</v>
      </c>
      <c r="AE22" s="190">
        <v>0</v>
      </c>
      <c r="AF22" s="190">
        <v>0</v>
      </c>
      <c r="AG22" s="190">
        <v>14059721496</v>
      </c>
      <c r="AH22" s="190">
        <v>0</v>
      </c>
      <c r="AI22" s="190">
        <v>5200000000</v>
      </c>
      <c r="AJ22" s="190">
        <v>0</v>
      </c>
      <c r="AK22" s="190">
        <v>0</v>
      </c>
      <c r="AL22" s="190">
        <v>0</v>
      </c>
      <c r="AM22" s="190">
        <v>0</v>
      </c>
      <c r="AN22" s="190">
        <v>0</v>
      </c>
      <c r="AO22" s="190">
        <v>65158697</v>
      </c>
      <c r="AP22" s="190">
        <v>65158697</v>
      </c>
      <c r="AQ22" s="190">
        <v>65158697</v>
      </c>
      <c r="AR22" s="190">
        <v>65158697</v>
      </c>
      <c r="AS22" s="190">
        <v>0</v>
      </c>
      <c r="AT22" s="190">
        <v>0</v>
      </c>
      <c r="AU22" s="190">
        <v>0</v>
      </c>
      <c r="AV22" s="190">
        <v>0</v>
      </c>
      <c r="AW22" s="190">
        <v>0</v>
      </c>
      <c r="AX22" s="190">
        <v>0</v>
      </c>
      <c r="AY22" s="190">
        <v>0</v>
      </c>
      <c r="AZ22" s="190">
        <v>0</v>
      </c>
      <c r="BA22" s="190">
        <v>0</v>
      </c>
      <c r="BB22" s="190">
        <v>0</v>
      </c>
    </row>
    <row r="23" spans="1:54" x14ac:dyDescent="0.25">
      <c r="A23" s="190" t="s">
        <v>239</v>
      </c>
      <c r="B23" s="190">
        <v>0</v>
      </c>
      <c r="C23" s="190">
        <v>0</v>
      </c>
      <c r="D23" s="190">
        <v>0</v>
      </c>
      <c r="E23" s="190">
        <v>0</v>
      </c>
      <c r="F23" s="190">
        <v>0</v>
      </c>
      <c r="G23" s="190">
        <v>0</v>
      </c>
      <c r="H23" s="190">
        <v>0</v>
      </c>
      <c r="I23" s="190">
        <v>1598361187</v>
      </c>
      <c r="J23" s="190">
        <v>1598361186</v>
      </c>
      <c r="K23" s="190">
        <v>789443128</v>
      </c>
      <c r="L23" s="190">
        <v>0</v>
      </c>
      <c r="M23" s="190">
        <v>1578886257</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1672984000</v>
      </c>
      <c r="AD23" s="190">
        <v>1649813648</v>
      </c>
      <c r="AE23" s="190">
        <v>1000000000</v>
      </c>
      <c r="AF23" s="190">
        <v>0</v>
      </c>
      <c r="AG23" s="190">
        <v>18641784419</v>
      </c>
      <c r="AH23" s="190">
        <v>16400000000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row>
    <row r="24" spans="1:5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17560800</v>
      </c>
      <c r="AO24" s="190">
        <v>0</v>
      </c>
      <c r="AP24" s="190">
        <v>0</v>
      </c>
      <c r="AQ24" s="190">
        <v>0</v>
      </c>
      <c r="AR24" s="190">
        <v>0</v>
      </c>
      <c r="AS24" s="190">
        <v>24094594</v>
      </c>
      <c r="AT24" s="190">
        <v>0</v>
      </c>
      <c r="AU24" s="190">
        <v>0</v>
      </c>
      <c r="AV24" s="190">
        <v>0</v>
      </c>
      <c r="AW24" s="190">
        <v>4121469457</v>
      </c>
      <c r="AX24" s="190">
        <v>0</v>
      </c>
      <c r="AY24" s="190">
        <v>0</v>
      </c>
      <c r="AZ24" s="190">
        <v>0</v>
      </c>
      <c r="BA24" s="190">
        <v>0</v>
      </c>
      <c r="BB24" s="190">
        <v>0</v>
      </c>
    </row>
    <row r="25" spans="1:54" x14ac:dyDescent="0.25">
      <c r="A25" s="190" t="s">
        <v>241</v>
      </c>
      <c r="B25" s="190">
        <v>2265529294</v>
      </c>
      <c r="C25" s="190">
        <v>2123296811</v>
      </c>
      <c r="D25" s="190">
        <v>994566214</v>
      </c>
      <c r="E25" s="190">
        <v>4367798333</v>
      </c>
      <c r="F25" s="190">
        <v>2250123750</v>
      </c>
      <c r="G25" s="190">
        <v>1649190344</v>
      </c>
      <c r="H25" s="190">
        <v>1355821001</v>
      </c>
      <c r="I25" s="190">
        <v>4676758577</v>
      </c>
      <c r="J25" s="190">
        <v>2990102381</v>
      </c>
      <c r="K25" s="190">
        <v>2153565135</v>
      </c>
      <c r="L25" s="190">
        <v>1697221645</v>
      </c>
      <c r="M25" s="190">
        <v>7507566776</v>
      </c>
      <c r="N25" s="190">
        <v>3653619184</v>
      </c>
      <c r="O25" s="190">
        <v>2244766202</v>
      </c>
      <c r="P25" s="190">
        <v>1564192451</v>
      </c>
      <c r="Q25" s="190">
        <v>5714378310</v>
      </c>
      <c r="R25" s="190">
        <v>4099259552</v>
      </c>
      <c r="S25" s="190">
        <v>3133180713</v>
      </c>
      <c r="T25" s="190">
        <v>1400657894</v>
      </c>
      <c r="U25" s="190">
        <v>4983045691</v>
      </c>
      <c r="V25" s="190">
        <v>2880508905</v>
      </c>
      <c r="W25" s="190">
        <v>1988261197</v>
      </c>
      <c r="X25" s="190">
        <v>1314041759</v>
      </c>
      <c r="Y25" s="190">
        <v>3958164603</v>
      </c>
      <c r="Z25" s="190">
        <v>2703193443</v>
      </c>
      <c r="AA25" s="190">
        <v>1669048458</v>
      </c>
      <c r="AB25" s="190">
        <v>784963787</v>
      </c>
      <c r="AC25" s="190">
        <v>5660508780</v>
      </c>
      <c r="AD25" s="190">
        <v>4144199419</v>
      </c>
      <c r="AE25" s="190">
        <v>3128244580</v>
      </c>
      <c r="AF25" s="190">
        <v>1080140807</v>
      </c>
      <c r="AG25" s="190">
        <v>36891656858</v>
      </c>
      <c r="AH25" s="190">
        <v>21131124624</v>
      </c>
      <c r="AI25" s="190">
        <v>8524858679</v>
      </c>
      <c r="AJ25" s="190">
        <v>1944457652</v>
      </c>
      <c r="AK25" s="190">
        <v>17138861516</v>
      </c>
      <c r="AL25" s="190">
        <v>3327250013</v>
      </c>
      <c r="AM25" s="190">
        <v>1925741378</v>
      </c>
      <c r="AN25" s="190">
        <v>967866017</v>
      </c>
      <c r="AO25" s="190">
        <v>8000416999</v>
      </c>
      <c r="AP25" s="190">
        <v>5255497465</v>
      </c>
      <c r="AQ25" s="190">
        <v>3711600707</v>
      </c>
      <c r="AR25" s="190">
        <v>1789147629</v>
      </c>
      <c r="AS25" s="190">
        <v>3589683799</v>
      </c>
      <c r="AT25" s="190">
        <v>2124094029</v>
      </c>
      <c r="AU25" s="190">
        <v>1607912778</v>
      </c>
      <c r="AV25" s="190">
        <v>1283932811</v>
      </c>
      <c r="AW25" s="190">
        <v>11194156324</v>
      </c>
      <c r="AX25" s="190">
        <v>9951778946</v>
      </c>
      <c r="AY25" s="190">
        <v>1342933870</v>
      </c>
      <c r="AZ25" s="190">
        <v>497019701</v>
      </c>
      <c r="BA25" s="190">
        <v>9534182851</v>
      </c>
      <c r="BB25" s="190">
        <v>0</v>
      </c>
    </row>
    <row r="26" spans="1:54" x14ac:dyDescent="0.25">
      <c r="A26" s="190" t="s">
        <v>242</v>
      </c>
      <c r="B26" s="190">
        <v>381698389</v>
      </c>
      <c r="C26" s="190">
        <v>414822825</v>
      </c>
      <c r="D26" s="190">
        <v>1449734846</v>
      </c>
      <c r="E26" s="190">
        <v>-2851907415</v>
      </c>
      <c r="F26" s="190">
        <v>-840081821</v>
      </c>
      <c r="G26" s="190">
        <v>-260626888</v>
      </c>
      <c r="H26" s="190">
        <v>-76448463</v>
      </c>
      <c r="I26" s="190">
        <v>-3009144469</v>
      </c>
      <c r="J26" s="190">
        <v>-1359831416</v>
      </c>
      <c r="K26" s="190">
        <v>-580405764</v>
      </c>
      <c r="L26" s="190">
        <v>-1661221592</v>
      </c>
      <c r="M26" s="190">
        <v>-5648935413</v>
      </c>
      <c r="N26" s="190">
        <v>-1825770360</v>
      </c>
      <c r="O26" s="190">
        <v>-1244221995</v>
      </c>
      <c r="P26" s="190">
        <v>-1524104946</v>
      </c>
      <c r="Q26" s="190">
        <v>-4171350143</v>
      </c>
      <c r="R26" s="190">
        <v>-2673233484</v>
      </c>
      <c r="S26" s="190">
        <v>-1763663070</v>
      </c>
      <c r="T26" s="190">
        <v>-1347780081</v>
      </c>
      <c r="U26" s="190">
        <v>-3497751337</v>
      </c>
      <c r="V26" s="190">
        <v>-1436823363</v>
      </c>
      <c r="W26" s="190">
        <v>-624860485</v>
      </c>
      <c r="X26" s="190">
        <v>-625995688</v>
      </c>
      <c r="Y26" s="190">
        <v>-2642512145</v>
      </c>
      <c r="Z26" s="190">
        <v>-1440660021</v>
      </c>
      <c r="AA26" s="190">
        <v>-436192587</v>
      </c>
      <c r="AB26" s="190">
        <v>-776684082</v>
      </c>
      <c r="AC26" s="190">
        <v>-5574204218</v>
      </c>
      <c r="AD26" s="190">
        <v>-4089210371</v>
      </c>
      <c r="AE26" s="190">
        <v>-3085115076</v>
      </c>
      <c r="AF26" s="190">
        <v>-1057681313</v>
      </c>
      <c r="AG26" s="190">
        <v>-35948843459</v>
      </c>
      <c r="AH26" s="190">
        <v>-21081394094</v>
      </c>
      <c r="AI26" s="190">
        <v>-8487754973</v>
      </c>
      <c r="AJ26" s="190">
        <v>-1922945207</v>
      </c>
      <c r="AK26" s="190">
        <v>-17043226477</v>
      </c>
      <c r="AL26" s="190">
        <v>-3248202826</v>
      </c>
      <c r="AM26" s="190">
        <v>-1862399840</v>
      </c>
      <c r="AN26" s="190">
        <v>-958026038</v>
      </c>
      <c r="AO26" s="190">
        <v>-7906837434</v>
      </c>
      <c r="AP26" s="190">
        <v>-5188231227</v>
      </c>
      <c r="AQ26" s="190">
        <v>-3663045256</v>
      </c>
      <c r="AR26" s="190">
        <v>-1767142692</v>
      </c>
      <c r="AS26" s="190">
        <v>-3506734271</v>
      </c>
      <c r="AT26" s="190">
        <v>-2073532032</v>
      </c>
      <c r="AU26" s="190">
        <v>-1558682439</v>
      </c>
      <c r="AV26" s="190">
        <v>-1283924211</v>
      </c>
      <c r="AW26" s="190">
        <v>-11142737847</v>
      </c>
      <c r="AX26" s="190">
        <v>-9914435503</v>
      </c>
      <c r="AY26" s="190">
        <v>-1321730662</v>
      </c>
      <c r="AZ26" s="190">
        <v>-487780385</v>
      </c>
      <c r="BA26" s="190">
        <v>-9517504010</v>
      </c>
      <c r="BB26" s="190">
        <v>0</v>
      </c>
    </row>
    <row r="27" spans="1:54" x14ac:dyDescent="0.25">
      <c r="A27" s="190" t="s">
        <v>243</v>
      </c>
    </row>
    <row r="28" spans="1:54" x14ac:dyDescent="0.25">
      <c r="A28" s="190" t="s">
        <v>244</v>
      </c>
      <c r="B28" s="190">
        <v>0</v>
      </c>
      <c r="C28" s="190">
        <v>0</v>
      </c>
      <c r="D28" s="190">
        <v>0</v>
      </c>
      <c r="E28" s="190">
        <v>11400000</v>
      </c>
      <c r="F28" s="190">
        <v>11400000</v>
      </c>
      <c r="G28" s="190">
        <v>11400000</v>
      </c>
      <c r="H28" s="190">
        <v>0</v>
      </c>
      <c r="I28" s="190">
        <v>4900000</v>
      </c>
      <c r="J28" s="190">
        <v>2857585</v>
      </c>
      <c r="K28" s="190">
        <v>0</v>
      </c>
      <c r="L28" s="190">
        <v>0</v>
      </c>
      <c r="M28" s="190">
        <v>2842000</v>
      </c>
      <c r="N28" s="190">
        <v>2842000</v>
      </c>
      <c r="O28" s="190">
        <v>0</v>
      </c>
      <c r="P28" s="190">
        <v>0</v>
      </c>
      <c r="Q28" s="190">
        <v>0</v>
      </c>
      <c r="R28" s="190">
        <v>0</v>
      </c>
      <c r="S28" s="190">
        <v>0</v>
      </c>
      <c r="T28" s="190">
        <v>0</v>
      </c>
      <c r="U28" s="190">
        <v>300000</v>
      </c>
      <c r="V28" s="190">
        <v>0</v>
      </c>
      <c r="W28" s="190">
        <v>0</v>
      </c>
      <c r="X28" s="190">
        <v>0</v>
      </c>
      <c r="Y28" s="190">
        <v>150000000</v>
      </c>
      <c r="Z28" s="190">
        <v>122200000</v>
      </c>
      <c r="AA28" s="190">
        <v>0</v>
      </c>
      <c r="AB28" s="190">
        <v>0</v>
      </c>
      <c r="AC28" s="190">
        <v>0</v>
      </c>
      <c r="AD28" s="190">
        <v>0</v>
      </c>
      <c r="AE28" s="190">
        <v>0</v>
      </c>
      <c r="AF28" s="190">
        <v>0</v>
      </c>
      <c r="AG28" s="190">
        <v>16235999998</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14999999999</v>
      </c>
      <c r="AX28" s="190">
        <v>14759999999</v>
      </c>
      <c r="AY28" s="190">
        <v>0</v>
      </c>
      <c r="AZ28" s="190">
        <v>0</v>
      </c>
      <c r="BA28" s="190">
        <v>0</v>
      </c>
      <c r="BB28" s="190">
        <v>0</v>
      </c>
    </row>
    <row r="29" spans="1:54" x14ac:dyDescent="0.25">
      <c r="A29" s="190" t="s">
        <v>245</v>
      </c>
      <c r="B29" s="190">
        <v>0</v>
      </c>
      <c r="C29" s="190">
        <v>0</v>
      </c>
      <c r="D29" s="190">
        <v>0</v>
      </c>
      <c r="E29" s="190">
        <v>11400000</v>
      </c>
      <c r="F29" s="190">
        <v>11400000</v>
      </c>
      <c r="G29" s="190">
        <v>11400000</v>
      </c>
      <c r="H29" s="190">
        <v>0</v>
      </c>
      <c r="I29" s="190">
        <v>4900000</v>
      </c>
      <c r="J29" s="190">
        <v>2857585</v>
      </c>
      <c r="K29" s="190">
        <v>0</v>
      </c>
      <c r="L29" s="190">
        <v>0</v>
      </c>
      <c r="M29" s="190">
        <v>2842000</v>
      </c>
      <c r="N29" s="190">
        <v>2842000</v>
      </c>
      <c r="O29" s="190">
        <v>0</v>
      </c>
      <c r="P29" s="190">
        <v>0</v>
      </c>
      <c r="Q29" s="190">
        <v>0</v>
      </c>
      <c r="R29" s="190">
        <v>0</v>
      </c>
      <c r="S29" s="190">
        <v>0</v>
      </c>
      <c r="T29" s="190">
        <v>0</v>
      </c>
      <c r="U29" s="190">
        <v>300000</v>
      </c>
      <c r="V29" s="190">
        <v>0</v>
      </c>
      <c r="W29" s="190">
        <v>0</v>
      </c>
      <c r="X29" s="190">
        <v>0</v>
      </c>
      <c r="Y29" s="190">
        <v>150000000</v>
      </c>
      <c r="Z29" s="190">
        <v>122200000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row>
    <row r="30" spans="1:54" x14ac:dyDescent="0.25">
      <c r="A30" s="190" t="s">
        <v>246</v>
      </c>
      <c r="B30" s="190">
        <v>599000000</v>
      </c>
      <c r="C30" s="190">
        <v>0</v>
      </c>
      <c r="D30" s="190">
        <v>0</v>
      </c>
      <c r="E30" s="190">
        <v>300000000</v>
      </c>
      <c r="F30" s="190">
        <v>300000000</v>
      </c>
      <c r="G30" s="190">
        <v>300000000</v>
      </c>
      <c r="H30" s="190">
        <v>300000000</v>
      </c>
      <c r="I30" s="190">
        <v>160000000</v>
      </c>
      <c r="J30" s="190">
        <v>0</v>
      </c>
      <c r="K30" s="190">
        <v>0</v>
      </c>
      <c r="L30" s="190">
        <v>0</v>
      </c>
      <c r="M30" s="190">
        <v>716520000</v>
      </c>
      <c r="N30" s="190">
        <v>111520000</v>
      </c>
      <c r="O30" s="190">
        <v>61520000</v>
      </c>
      <c r="P30" s="190">
        <v>52000000</v>
      </c>
      <c r="Q30" s="190">
        <v>332634000</v>
      </c>
      <c r="R30" s="190">
        <v>276844000</v>
      </c>
      <c r="S30" s="190">
        <v>184000000</v>
      </c>
      <c r="T30" s="190">
        <v>180000000</v>
      </c>
      <c r="U30" s="190">
        <v>685845000</v>
      </c>
      <c r="V30" s="190">
        <v>394095000</v>
      </c>
      <c r="W30" s="190">
        <v>247745000</v>
      </c>
      <c r="X30" s="190">
        <v>40000000</v>
      </c>
      <c r="Y30" s="190">
        <v>0</v>
      </c>
      <c r="Z30" s="190">
        <v>0</v>
      </c>
      <c r="AA30" s="190">
        <v>0</v>
      </c>
      <c r="AB30" s="190">
        <v>0</v>
      </c>
      <c r="AC30" s="190">
        <v>1950000000</v>
      </c>
      <c r="AD30" s="190">
        <v>1950000000</v>
      </c>
      <c r="AE30" s="190">
        <v>0</v>
      </c>
      <c r="AF30" s="190">
        <v>0</v>
      </c>
      <c r="AG30" s="190">
        <v>12450000000</v>
      </c>
      <c r="AH30" s="190">
        <v>12450000000</v>
      </c>
      <c r="AI30" s="190">
        <v>0</v>
      </c>
      <c r="AJ30" s="190">
        <v>0</v>
      </c>
      <c r="AK30" s="190">
        <v>3500000000</v>
      </c>
      <c r="AL30" s="190">
        <v>3500000000</v>
      </c>
      <c r="AM30" s="190">
        <v>0</v>
      </c>
      <c r="AN30" s="190">
        <v>0</v>
      </c>
      <c r="AO30" s="190">
        <v>0</v>
      </c>
      <c r="AP30" s="190">
        <v>0</v>
      </c>
      <c r="AQ30" s="190">
        <v>0</v>
      </c>
      <c r="AR30" s="190">
        <v>0</v>
      </c>
      <c r="AS30" s="190">
        <v>0</v>
      </c>
      <c r="AT30" s="190">
        <v>0</v>
      </c>
      <c r="AU30" s="190">
        <v>0</v>
      </c>
      <c r="AV30" s="190">
        <v>0</v>
      </c>
      <c r="AW30" s="190">
        <v>1264000000</v>
      </c>
      <c r="AX30" s="190">
        <v>1264000000</v>
      </c>
      <c r="AY30" s="190">
        <v>0</v>
      </c>
      <c r="AZ30" s="190">
        <v>0</v>
      </c>
      <c r="BA30" s="190">
        <v>9200000000</v>
      </c>
      <c r="BB30" s="190">
        <v>0</v>
      </c>
    </row>
    <row r="31" spans="1:54" x14ac:dyDescent="0.25">
      <c r="A31" s="190" t="s">
        <v>247</v>
      </c>
      <c r="B31" s="190">
        <v>0</v>
      </c>
      <c r="C31" s="190">
        <v>0</v>
      </c>
      <c r="D31" s="190">
        <v>0</v>
      </c>
      <c r="E31" s="190">
        <v>0</v>
      </c>
      <c r="F31" s="190">
        <v>0</v>
      </c>
      <c r="G31" s="190">
        <v>0</v>
      </c>
      <c r="H31" s="190">
        <v>0</v>
      </c>
      <c r="I31" s="190">
        <v>10967000000</v>
      </c>
      <c r="J31" s="190">
        <v>5982000000</v>
      </c>
      <c r="K31" s="190">
        <v>5982000000</v>
      </c>
      <c r="L31" s="190">
        <v>0</v>
      </c>
      <c r="M31" s="190">
        <v>3988000000</v>
      </c>
      <c r="N31" s="190">
        <v>0</v>
      </c>
      <c r="O31" s="190">
        <v>0</v>
      </c>
      <c r="P31" s="190">
        <v>0</v>
      </c>
      <c r="Q31" s="190">
        <v>1995500000</v>
      </c>
      <c r="R31" s="190">
        <v>0</v>
      </c>
      <c r="S31" s="190">
        <v>0</v>
      </c>
      <c r="T31" s="190">
        <v>0</v>
      </c>
      <c r="U31" s="190">
        <v>0</v>
      </c>
      <c r="V31" s="190">
        <v>0</v>
      </c>
      <c r="W31" s="190">
        <v>0</v>
      </c>
      <c r="X31" s="190">
        <v>0</v>
      </c>
      <c r="Y31" s="190">
        <v>4980000000</v>
      </c>
      <c r="Z31" s="190">
        <v>0</v>
      </c>
      <c r="AA31" s="190">
        <v>0</v>
      </c>
      <c r="AB31" s="190">
        <v>0</v>
      </c>
      <c r="AC31" s="190">
        <v>3984000000</v>
      </c>
      <c r="AD31" s="190">
        <v>3984000000</v>
      </c>
      <c r="AE31" s="190">
        <v>0</v>
      </c>
      <c r="AF31" s="190">
        <v>0</v>
      </c>
      <c r="AG31" s="190">
        <v>0</v>
      </c>
      <c r="AH31" s="190">
        <v>0</v>
      </c>
      <c r="AI31" s="190">
        <v>0</v>
      </c>
      <c r="AJ31" s="190">
        <v>0</v>
      </c>
      <c r="AK31" s="190">
        <v>13500000000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row>
    <row r="32" spans="1:54" x14ac:dyDescent="0.25">
      <c r="A32" s="190" t="s">
        <v>248</v>
      </c>
      <c r="B32" s="190">
        <v>243264777</v>
      </c>
      <c r="C32" s="190">
        <v>42659281</v>
      </c>
      <c r="D32" s="190">
        <v>150009622</v>
      </c>
      <c r="E32" s="190">
        <v>58591076</v>
      </c>
      <c r="F32" s="190">
        <v>138478716</v>
      </c>
      <c r="G32" s="190">
        <v>41977213</v>
      </c>
      <c r="H32" s="190">
        <v>45643574</v>
      </c>
      <c r="I32" s="190">
        <v>187701000</v>
      </c>
      <c r="J32" s="190">
        <v>39947546</v>
      </c>
      <c r="K32" s="190">
        <v>359998</v>
      </c>
      <c r="L32" s="190">
        <v>26173747</v>
      </c>
      <c r="M32" s="190">
        <v>0</v>
      </c>
      <c r="N32" s="190">
        <v>0</v>
      </c>
      <c r="O32" s="190">
        <v>0</v>
      </c>
      <c r="P32" s="190">
        <v>0</v>
      </c>
      <c r="Q32" s="190">
        <v>0</v>
      </c>
      <c r="R32" s="190">
        <v>0</v>
      </c>
      <c r="S32" s="190">
        <v>0</v>
      </c>
      <c r="T32" s="190">
        <v>0</v>
      </c>
      <c r="U32" s="190">
        <v>0</v>
      </c>
      <c r="V32" s="190">
        <v>0</v>
      </c>
      <c r="W32" s="190">
        <v>17483451</v>
      </c>
      <c r="X32" s="190">
        <v>0</v>
      </c>
      <c r="Y32" s="190">
        <v>319716321</v>
      </c>
      <c r="Z32" s="190">
        <v>12066117</v>
      </c>
      <c r="AA32" s="190">
        <v>174219231</v>
      </c>
      <c r="AB32" s="190">
        <v>52236127</v>
      </c>
      <c r="AC32" s="190">
        <v>0</v>
      </c>
      <c r="AD32" s="190">
        <v>0</v>
      </c>
      <c r="AE32" s="190">
        <v>0</v>
      </c>
      <c r="AF32" s="190">
        <v>42170592</v>
      </c>
      <c r="AG32" s="190">
        <v>91090427</v>
      </c>
      <c r="AH32" s="190">
        <v>0</v>
      </c>
      <c r="AI32" s="190">
        <v>3510254</v>
      </c>
      <c r="AJ32" s="190">
        <v>139449384</v>
      </c>
      <c r="AK32" s="190">
        <v>100121007</v>
      </c>
      <c r="AL32" s="190">
        <v>50366597</v>
      </c>
      <c r="AM32" s="190">
        <v>64587540</v>
      </c>
      <c r="AN32" s="190">
        <v>24651137</v>
      </c>
      <c r="AO32" s="190">
        <v>0</v>
      </c>
      <c r="AP32" s="190">
        <v>4136108</v>
      </c>
      <c r="AQ32" s="190">
        <v>0</v>
      </c>
      <c r="AR32" s="190">
        <v>0</v>
      </c>
      <c r="AS32" s="190">
        <v>0</v>
      </c>
      <c r="AT32" s="190">
        <v>0</v>
      </c>
      <c r="AU32" s="190">
        <v>0</v>
      </c>
      <c r="AV32" s="190">
        <v>0</v>
      </c>
      <c r="AW32" s="190">
        <v>0</v>
      </c>
      <c r="AX32" s="190">
        <v>0</v>
      </c>
      <c r="AY32" s="190">
        <v>82332179</v>
      </c>
      <c r="AZ32" s="190">
        <v>0</v>
      </c>
      <c r="BA32" s="190">
        <v>0</v>
      </c>
      <c r="BB32" s="190">
        <v>0</v>
      </c>
    </row>
    <row r="33" spans="1:54" x14ac:dyDescent="0.25">
      <c r="A33" s="190" t="s">
        <v>249</v>
      </c>
      <c r="B33" s="190">
        <v>842264777</v>
      </c>
      <c r="C33" s="190">
        <v>42659281</v>
      </c>
      <c r="D33" s="190">
        <v>150009622</v>
      </c>
      <c r="E33" s="190">
        <v>369991076</v>
      </c>
      <c r="F33" s="190">
        <v>449878716</v>
      </c>
      <c r="G33" s="190">
        <v>353377213</v>
      </c>
      <c r="H33" s="190">
        <v>345643574</v>
      </c>
      <c r="I33" s="190">
        <v>11319601000</v>
      </c>
      <c r="J33" s="190">
        <v>6024805131</v>
      </c>
      <c r="K33" s="190">
        <v>5982359998</v>
      </c>
      <c r="L33" s="190">
        <v>26173747</v>
      </c>
      <c r="M33" s="190">
        <v>4707362000</v>
      </c>
      <c r="N33" s="190">
        <v>114362000</v>
      </c>
      <c r="O33" s="190">
        <v>61520000</v>
      </c>
      <c r="P33" s="190">
        <v>52000000</v>
      </c>
      <c r="Q33" s="190">
        <v>2328134000</v>
      </c>
      <c r="R33" s="190">
        <v>276844000</v>
      </c>
      <c r="S33" s="190">
        <v>184000000</v>
      </c>
      <c r="T33" s="190">
        <v>180000000</v>
      </c>
      <c r="U33" s="190">
        <v>686145000</v>
      </c>
      <c r="V33" s="190">
        <v>394095000</v>
      </c>
      <c r="W33" s="190">
        <v>265228451</v>
      </c>
      <c r="X33" s="190">
        <v>40000000</v>
      </c>
      <c r="Y33" s="190">
        <v>5449716321</v>
      </c>
      <c r="Z33" s="190">
        <v>134266117</v>
      </c>
      <c r="AA33" s="190">
        <v>174219231</v>
      </c>
      <c r="AB33" s="190">
        <v>52236127</v>
      </c>
      <c r="AC33" s="190">
        <v>5934000000</v>
      </c>
      <c r="AD33" s="190">
        <v>5934000000</v>
      </c>
      <c r="AE33" s="190">
        <v>0</v>
      </c>
      <c r="AF33" s="190">
        <v>42170592</v>
      </c>
      <c r="AG33" s="190">
        <v>28777090425</v>
      </c>
      <c r="AH33" s="190">
        <v>12450000000</v>
      </c>
      <c r="AI33" s="190">
        <v>3510254</v>
      </c>
      <c r="AJ33" s="190">
        <v>139449384</v>
      </c>
      <c r="AK33" s="190">
        <v>17100121007</v>
      </c>
      <c r="AL33" s="190">
        <v>3550366597</v>
      </c>
      <c r="AM33" s="190">
        <v>64587540</v>
      </c>
      <c r="AN33" s="190">
        <v>24651137</v>
      </c>
      <c r="AO33" s="190">
        <v>0</v>
      </c>
      <c r="AP33" s="190">
        <v>4136108</v>
      </c>
      <c r="AQ33" s="190">
        <v>0</v>
      </c>
      <c r="AR33" s="190">
        <v>0</v>
      </c>
      <c r="AS33" s="190">
        <v>0</v>
      </c>
      <c r="AT33" s="190">
        <v>121234754</v>
      </c>
      <c r="AU33" s="190">
        <v>-1904646</v>
      </c>
      <c r="AV33" s="190">
        <v>0</v>
      </c>
      <c r="AW33" s="190">
        <v>16263999999</v>
      </c>
      <c r="AX33" s="190">
        <v>16023999999</v>
      </c>
      <c r="AY33" s="190">
        <v>82332179</v>
      </c>
      <c r="AZ33" s="190">
        <v>24321317</v>
      </c>
      <c r="BA33" s="190">
        <v>10489026933</v>
      </c>
      <c r="BB33" s="190">
        <v>0</v>
      </c>
    </row>
    <row r="34" spans="1:54" x14ac:dyDescent="0.25">
      <c r="A34" s="190" t="s">
        <v>250</v>
      </c>
      <c r="B34" s="190">
        <v>103513000</v>
      </c>
      <c r="C34" s="190">
        <v>53513000</v>
      </c>
      <c r="D34" s="190">
        <v>0</v>
      </c>
      <c r="E34" s="190">
        <v>11168781000</v>
      </c>
      <c r="F34" s="190">
        <v>6129448000</v>
      </c>
      <c r="G34" s="190">
        <v>6129448000</v>
      </c>
      <c r="H34" s="190">
        <v>83735000</v>
      </c>
      <c r="I34" s="190">
        <v>4034533000</v>
      </c>
      <c r="J34" s="190">
        <v>18100000</v>
      </c>
      <c r="K34" s="190">
        <v>18100000</v>
      </c>
      <c r="L34" s="190">
        <v>0</v>
      </c>
      <c r="M34" s="190">
        <v>7005200000</v>
      </c>
      <c r="N34" s="190">
        <v>2002600000</v>
      </c>
      <c r="O34" s="190">
        <v>2600000</v>
      </c>
      <c r="P34" s="190">
        <v>0</v>
      </c>
      <c r="Q34" s="190">
        <v>7500000000</v>
      </c>
      <c r="R34" s="190">
        <v>0</v>
      </c>
      <c r="S34" s="190">
        <v>0</v>
      </c>
      <c r="T34" s="190">
        <v>0</v>
      </c>
      <c r="U34" s="190">
        <v>4000000000</v>
      </c>
      <c r="V34" s="190">
        <v>4000000000</v>
      </c>
      <c r="W34" s="190">
        <v>0</v>
      </c>
      <c r="X34" s="190">
        <v>0</v>
      </c>
      <c r="Y34" s="190">
        <v>6000000000</v>
      </c>
      <c r="Z34" s="190">
        <v>0</v>
      </c>
      <c r="AA34" s="190">
        <v>0</v>
      </c>
      <c r="AB34" s="190">
        <v>0</v>
      </c>
      <c r="AC34" s="190">
        <v>14400000000</v>
      </c>
      <c r="AD34" s="190">
        <v>12450000000</v>
      </c>
      <c r="AE34" s="190">
        <v>3000000000</v>
      </c>
      <c r="AF34" s="190">
        <v>3000000000</v>
      </c>
      <c r="AG34" s="190">
        <v>3100000000</v>
      </c>
      <c r="AH34" s="190">
        <v>3100000000</v>
      </c>
      <c r="AI34" s="190">
        <v>3100000000</v>
      </c>
      <c r="AJ34" s="190">
        <v>3100000000</v>
      </c>
      <c r="AK34" s="190">
        <v>400000000</v>
      </c>
      <c r="AL34" s="190">
        <v>0</v>
      </c>
      <c r="AM34" s="190">
        <v>0</v>
      </c>
      <c r="AN34" s="190">
        <v>0</v>
      </c>
      <c r="AO34" s="190">
        <v>0</v>
      </c>
      <c r="AP34" s="190">
        <v>0</v>
      </c>
      <c r="AQ34" s="190">
        <v>0</v>
      </c>
      <c r="AR34" s="190">
        <v>0</v>
      </c>
      <c r="AS34" s="190">
        <v>0</v>
      </c>
      <c r="AT34" s="190">
        <v>0</v>
      </c>
      <c r="AU34" s="190">
        <v>0</v>
      </c>
      <c r="AV34" s="190">
        <v>0</v>
      </c>
      <c r="AW34" s="190">
        <v>6264000000</v>
      </c>
      <c r="AX34" s="190">
        <v>6264000000</v>
      </c>
      <c r="AY34" s="190">
        <v>0</v>
      </c>
      <c r="AZ34" s="190">
        <v>0</v>
      </c>
      <c r="BA34" s="190">
        <v>4200000000</v>
      </c>
      <c r="BB34" s="190">
        <v>0</v>
      </c>
    </row>
    <row r="35" spans="1:54" x14ac:dyDescent="0.25">
      <c r="A35" s="190" t="s">
        <v>551</v>
      </c>
      <c r="B35" s="190">
        <v>7220827976</v>
      </c>
      <c r="C35" s="190">
        <v>7154243467</v>
      </c>
      <c r="D35" s="190">
        <v>82039922</v>
      </c>
      <c r="E35" s="190">
        <v>4380792571</v>
      </c>
      <c r="F35" s="190">
        <v>4165879490</v>
      </c>
      <c r="G35" s="190">
        <v>4065772720</v>
      </c>
      <c r="H35" s="190">
        <v>91584139</v>
      </c>
      <c r="I35" s="190">
        <v>7121525435</v>
      </c>
      <c r="J35" s="190">
        <v>6904005720</v>
      </c>
      <c r="K35" s="190">
        <v>143249133</v>
      </c>
      <c r="L35" s="190">
        <v>71828228</v>
      </c>
      <c r="M35" s="190">
        <v>7756825197</v>
      </c>
      <c r="N35" s="190">
        <v>7251187180</v>
      </c>
      <c r="O35" s="190">
        <v>7051461712</v>
      </c>
      <c r="P35" s="190">
        <v>16676114</v>
      </c>
      <c r="Q35" s="190">
        <v>7055101989</v>
      </c>
      <c r="R35" s="190">
        <v>6391019996</v>
      </c>
      <c r="S35" s="190">
        <v>6306342649</v>
      </c>
      <c r="T35" s="190">
        <v>12926434</v>
      </c>
      <c r="U35" s="190">
        <v>6635874122</v>
      </c>
      <c r="V35" s="190">
        <v>6023778229</v>
      </c>
      <c r="W35" s="190">
        <v>5716878537</v>
      </c>
      <c r="X35" s="190">
        <v>0</v>
      </c>
      <c r="Y35" s="190">
        <v>6645930752</v>
      </c>
      <c r="Z35" s="190">
        <v>6035880753</v>
      </c>
      <c r="AA35" s="190">
        <v>0</v>
      </c>
      <c r="AB35" s="190">
        <v>0</v>
      </c>
      <c r="AC35" s="190">
        <v>6420471721</v>
      </c>
      <c r="AD35" s="190">
        <v>5803740055</v>
      </c>
      <c r="AE35" s="190">
        <v>461407387</v>
      </c>
      <c r="AF35" s="190">
        <v>378969637</v>
      </c>
      <c r="AG35" s="190">
        <v>4709331743</v>
      </c>
      <c r="AH35" s="190">
        <v>3993069938</v>
      </c>
      <c r="AI35" s="190">
        <v>1205115628</v>
      </c>
      <c r="AJ35" s="190">
        <v>63716550</v>
      </c>
      <c r="AK35" s="190">
        <v>3951833138</v>
      </c>
      <c r="AL35" s="190">
        <v>3913135388</v>
      </c>
      <c r="AM35" s="190">
        <v>0</v>
      </c>
      <c r="AN35" s="190">
        <v>0</v>
      </c>
      <c r="AO35" s="190">
        <v>3910527138</v>
      </c>
      <c r="AP35" s="190">
        <v>3852069361</v>
      </c>
      <c r="AQ35" s="190">
        <v>17500000</v>
      </c>
      <c r="AR35" s="190">
        <v>0</v>
      </c>
      <c r="AS35" s="190">
        <v>3893027138</v>
      </c>
      <c r="AT35" s="190">
        <v>3845086908</v>
      </c>
      <c r="AU35" s="190">
        <v>3845086908</v>
      </c>
      <c r="AV35" s="190">
        <v>0</v>
      </c>
      <c r="AW35" s="190">
        <v>2985698877</v>
      </c>
      <c r="AX35" s="190">
        <v>2985698877</v>
      </c>
      <c r="AY35" s="190">
        <v>1247465329</v>
      </c>
      <c r="AZ35" s="190">
        <v>50840625</v>
      </c>
      <c r="BA35" s="190">
        <v>653587616</v>
      </c>
      <c r="BB35" s="190">
        <v>0</v>
      </c>
    </row>
    <row r="36" spans="1:54" x14ac:dyDescent="0.25">
      <c r="A36" s="190" t="s">
        <v>251</v>
      </c>
      <c r="B36" s="190">
        <v>134307</v>
      </c>
      <c r="C36" s="190">
        <v>0</v>
      </c>
      <c r="D36" s="190">
        <v>0</v>
      </c>
      <c r="E36" s="190">
        <v>0</v>
      </c>
      <c r="F36" s="190">
        <v>3000000</v>
      </c>
      <c r="G36" s="190">
        <v>0</v>
      </c>
      <c r="H36" s="190">
        <v>0</v>
      </c>
      <c r="I36" s="190">
        <v>0</v>
      </c>
      <c r="J36" s="190">
        <v>0</v>
      </c>
      <c r="K36" s="190">
        <v>0</v>
      </c>
      <c r="L36" s="190">
        <v>0</v>
      </c>
      <c r="M36" s="190">
        <v>0</v>
      </c>
      <c r="N36" s="190">
        <v>0</v>
      </c>
      <c r="O36" s="190">
        <v>0</v>
      </c>
      <c r="P36" s="190">
        <v>0</v>
      </c>
      <c r="Q36" s="190">
        <v>172518</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row>
    <row r="37" spans="1:54" x14ac:dyDescent="0.25">
      <c r="A37" s="190" t="s">
        <v>252</v>
      </c>
      <c r="B37" s="190">
        <v>0</v>
      </c>
      <c r="C37" s="190">
        <v>0</v>
      </c>
      <c r="D37" s="190">
        <v>0</v>
      </c>
      <c r="E37" s="190">
        <v>0</v>
      </c>
      <c r="F37" s="190">
        <v>0</v>
      </c>
      <c r="G37" s="190">
        <v>0</v>
      </c>
      <c r="H37" s="190">
        <v>0</v>
      </c>
      <c r="I37" s="190">
        <v>28707338</v>
      </c>
      <c r="J37" s="190">
        <v>0</v>
      </c>
      <c r="K37" s="190">
        <v>0</v>
      </c>
      <c r="L37" s="190">
        <v>0</v>
      </c>
      <c r="M37" s="190">
        <v>45045800</v>
      </c>
      <c r="N37" s="190">
        <v>74927895</v>
      </c>
      <c r="O37" s="190">
        <v>66822876</v>
      </c>
      <c r="P37" s="190">
        <v>79644609</v>
      </c>
      <c r="Q37" s="190">
        <v>61520579</v>
      </c>
      <c r="R37" s="190">
        <v>162637312</v>
      </c>
      <c r="S37" s="190">
        <v>127027626</v>
      </c>
      <c r="T37" s="190">
        <v>156273655</v>
      </c>
      <c r="U37" s="190">
        <v>364621011</v>
      </c>
      <c r="V37" s="190">
        <v>319266946</v>
      </c>
      <c r="W37" s="190">
        <v>0</v>
      </c>
      <c r="X37" s="190">
        <v>24067658</v>
      </c>
      <c r="Y37" s="190">
        <v>2025000</v>
      </c>
      <c r="Z37" s="190">
        <v>0</v>
      </c>
      <c r="AA37" s="190">
        <v>0</v>
      </c>
      <c r="AB37" s="190">
        <v>0</v>
      </c>
      <c r="AC37" s="190">
        <v>121543661</v>
      </c>
      <c r="AD37" s="190">
        <v>99343256</v>
      </c>
      <c r="AE37" s="190">
        <v>189391608</v>
      </c>
      <c r="AF37" s="190">
        <v>0</v>
      </c>
      <c r="AG37" s="190">
        <v>873045870</v>
      </c>
      <c r="AH37" s="190">
        <v>35009950</v>
      </c>
      <c r="AI37" s="190">
        <v>55580000</v>
      </c>
      <c r="AJ37" s="190">
        <v>55380000</v>
      </c>
      <c r="AK37" s="190">
        <v>521017</v>
      </c>
      <c r="AL37" s="190">
        <v>0</v>
      </c>
      <c r="AM37" s="190">
        <v>0</v>
      </c>
      <c r="AN37" s="190">
        <v>0</v>
      </c>
      <c r="AO37" s="190">
        <v>41822378</v>
      </c>
      <c r="AP37" s="190">
        <v>0</v>
      </c>
      <c r="AQ37" s="190">
        <v>33595497</v>
      </c>
      <c r="AR37" s="190">
        <v>0</v>
      </c>
      <c r="AS37" s="190">
        <v>0</v>
      </c>
      <c r="AT37" s="190">
        <v>0</v>
      </c>
      <c r="AU37" s="190">
        <v>0</v>
      </c>
      <c r="AV37" s="190">
        <v>0</v>
      </c>
      <c r="AW37" s="190">
        <v>310480472</v>
      </c>
      <c r="AX37" s="190">
        <v>2660176</v>
      </c>
      <c r="AY37" s="190">
        <v>0</v>
      </c>
      <c r="AZ37" s="190">
        <v>0</v>
      </c>
      <c r="BA37" s="190">
        <v>0</v>
      </c>
      <c r="BB37" s="190">
        <v>0</v>
      </c>
    </row>
    <row r="38" spans="1:54" x14ac:dyDescent="0.25">
      <c r="A38" s="190" t="s">
        <v>253</v>
      </c>
      <c r="B38" s="190">
        <v>7324340976</v>
      </c>
      <c r="C38" s="190">
        <v>7207756467</v>
      </c>
      <c r="D38" s="190">
        <v>82039922</v>
      </c>
      <c r="E38" s="190">
        <v>15549573571</v>
      </c>
      <c r="F38" s="190">
        <v>10295327490</v>
      </c>
      <c r="G38" s="190">
        <v>10195220720</v>
      </c>
      <c r="H38" s="190">
        <v>175319139</v>
      </c>
      <c r="I38" s="190">
        <v>11184765773</v>
      </c>
      <c r="J38" s="190">
        <v>6922105720</v>
      </c>
      <c r="K38" s="190">
        <v>161349133</v>
      </c>
      <c r="L38" s="190">
        <v>71828228</v>
      </c>
      <c r="M38" s="190">
        <v>14807070997</v>
      </c>
      <c r="N38" s="190">
        <v>9328715075</v>
      </c>
      <c r="O38" s="190">
        <v>7120884588</v>
      </c>
      <c r="P38" s="190">
        <v>96320723</v>
      </c>
      <c r="Q38" s="190">
        <v>14616622568</v>
      </c>
      <c r="R38" s="190">
        <v>6553657308</v>
      </c>
      <c r="S38" s="190">
        <v>6433370275</v>
      </c>
      <c r="T38" s="190">
        <v>169200089</v>
      </c>
      <c r="U38" s="190">
        <v>11000495133</v>
      </c>
      <c r="V38" s="190">
        <v>10343045175</v>
      </c>
      <c r="W38" s="190">
        <v>5716878537</v>
      </c>
      <c r="X38" s="190">
        <v>24067658</v>
      </c>
      <c r="Y38" s="190">
        <v>12647955752</v>
      </c>
      <c r="Z38" s="190">
        <v>6035880753</v>
      </c>
      <c r="AA38" s="190">
        <v>0</v>
      </c>
      <c r="AB38" s="190">
        <v>0</v>
      </c>
      <c r="AC38" s="190">
        <v>20942015382</v>
      </c>
      <c r="AD38" s="190">
        <v>18353083311</v>
      </c>
      <c r="AE38" s="190">
        <v>3650798995</v>
      </c>
      <c r="AF38" s="190">
        <v>3378969637</v>
      </c>
      <c r="AG38" s="190">
        <v>8682377613</v>
      </c>
      <c r="AH38" s="190">
        <v>7128079888</v>
      </c>
      <c r="AI38" s="190">
        <v>4360695628</v>
      </c>
      <c r="AJ38" s="190">
        <v>3219096550</v>
      </c>
      <c r="AK38" s="190">
        <v>4352354155</v>
      </c>
      <c r="AL38" s="190">
        <v>3913135388</v>
      </c>
      <c r="AM38" s="190">
        <v>0</v>
      </c>
      <c r="AN38" s="190">
        <v>0</v>
      </c>
      <c r="AO38" s="190">
        <v>3952349516</v>
      </c>
      <c r="AP38" s="190">
        <v>3852069361</v>
      </c>
      <c r="AQ38" s="190">
        <v>51095497</v>
      </c>
      <c r="AR38" s="190">
        <v>30849204</v>
      </c>
      <c r="AS38" s="190">
        <v>4274192475</v>
      </c>
      <c r="AT38" s="190">
        <v>3845086908</v>
      </c>
      <c r="AU38" s="190">
        <v>3845086908</v>
      </c>
      <c r="AV38" s="190">
        <v>49728952</v>
      </c>
      <c r="AW38" s="190">
        <v>9560179349</v>
      </c>
      <c r="AX38" s="190">
        <v>9362516990</v>
      </c>
      <c r="AY38" s="190">
        <v>1247465329</v>
      </c>
      <c r="AZ38" s="190">
        <v>50840625</v>
      </c>
      <c r="BA38" s="190">
        <v>4853587616</v>
      </c>
      <c r="BB38" s="190">
        <v>0</v>
      </c>
    </row>
    <row r="39" spans="1:54" x14ac:dyDescent="0.25">
      <c r="A39" s="190" t="s">
        <v>254</v>
      </c>
      <c r="B39" s="190">
        <v>-6482076199</v>
      </c>
      <c r="C39" s="190">
        <v>-7165097186</v>
      </c>
      <c r="D39" s="190">
        <v>67969700</v>
      </c>
      <c r="E39" s="190">
        <v>-15179582495</v>
      </c>
      <c r="F39" s="190">
        <v>-9845448774</v>
      </c>
      <c r="G39" s="190">
        <v>-9841843507</v>
      </c>
      <c r="H39" s="190">
        <v>170324435</v>
      </c>
      <c r="I39" s="190">
        <v>134835227</v>
      </c>
      <c r="J39" s="190">
        <v>-897300589</v>
      </c>
      <c r="K39" s="190">
        <v>5821010865</v>
      </c>
      <c r="L39" s="190">
        <v>-45654481</v>
      </c>
      <c r="M39" s="190">
        <v>-10099708997</v>
      </c>
      <c r="N39" s="190">
        <v>-9214353075</v>
      </c>
      <c r="O39" s="190">
        <v>-7059364588</v>
      </c>
      <c r="P39" s="190">
        <v>-44320723</v>
      </c>
      <c r="Q39" s="190">
        <v>-12288488568</v>
      </c>
      <c r="R39" s="190">
        <v>-6276813308</v>
      </c>
      <c r="S39" s="190">
        <v>-6249370275</v>
      </c>
      <c r="T39" s="190">
        <v>10799911</v>
      </c>
      <c r="U39" s="190">
        <v>-10314350133</v>
      </c>
      <c r="V39" s="190">
        <v>-9948950175</v>
      </c>
      <c r="W39" s="190">
        <v>-5451650086</v>
      </c>
      <c r="X39" s="190">
        <v>15932342</v>
      </c>
      <c r="Y39" s="190">
        <v>-7198239431</v>
      </c>
      <c r="Z39" s="190">
        <v>-5901614636</v>
      </c>
      <c r="AA39" s="190">
        <v>174219231</v>
      </c>
      <c r="AB39" s="190">
        <v>52236127</v>
      </c>
      <c r="AC39" s="190">
        <v>-15008015382</v>
      </c>
      <c r="AD39" s="190">
        <v>-12419083311</v>
      </c>
      <c r="AE39" s="190">
        <v>-3650798995</v>
      </c>
      <c r="AF39" s="190">
        <v>-3336799045</v>
      </c>
      <c r="AG39" s="190">
        <v>20094712812</v>
      </c>
      <c r="AH39" s="190">
        <v>5321920112</v>
      </c>
      <c r="AI39" s="190">
        <v>-4357185374</v>
      </c>
      <c r="AJ39" s="190">
        <v>-3079647166</v>
      </c>
      <c r="AK39" s="190">
        <v>12747766852</v>
      </c>
      <c r="AL39" s="190">
        <v>-362768791</v>
      </c>
      <c r="AM39" s="190">
        <v>64587540</v>
      </c>
      <c r="AN39" s="190">
        <v>24651137</v>
      </c>
      <c r="AO39" s="190">
        <v>-3952349516</v>
      </c>
      <c r="AP39" s="190">
        <v>-3847933253</v>
      </c>
      <c r="AQ39" s="190">
        <v>-51095497</v>
      </c>
      <c r="AR39" s="190">
        <v>-30849204</v>
      </c>
      <c r="AS39" s="190">
        <v>-4274192475</v>
      </c>
      <c r="AT39" s="190">
        <v>-3723852154</v>
      </c>
      <c r="AU39" s="190">
        <v>-3846991554</v>
      </c>
      <c r="AV39" s="190">
        <v>-49728952</v>
      </c>
      <c r="AW39" s="190">
        <v>6703820650</v>
      </c>
      <c r="AX39" s="190">
        <v>6661483009</v>
      </c>
      <c r="AY39" s="190">
        <v>-1165133150</v>
      </c>
      <c r="AZ39" s="190">
        <v>-26519308</v>
      </c>
      <c r="BA39" s="190">
        <v>5635439317</v>
      </c>
      <c r="BB39" s="190">
        <v>0</v>
      </c>
    </row>
    <row r="40" spans="1:54" x14ac:dyDescent="0.25">
      <c r="A40" s="190" t="s">
        <v>255</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row>
    <row r="41" spans="1:54" x14ac:dyDescent="0.25">
      <c r="A41" s="190" t="s">
        <v>256</v>
      </c>
      <c r="B41" s="190">
        <v>4635547451</v>
      </c>
      <c r="C41" s="190">
        <v>-2210978457</v>
      </c>
      <c r="D41" s="190">
        <v>4452095148</v>
      </c>
      <c r="E41" s="190">
        <v>-537889613</v>
      </c>
      <c r="F41" s="190">
        <v>3313064441</v>
      </c>
      <c r="G41" s="190">
        <v>-2476493457</v>
      </c>
      <c r="H41" s="190">
        <v>3191240327</v>
      </c>
      <c r="I41" s="190">
        <v>3400330761</v>
      </c>
      <c r="J41" s="190">
        <v>74874647</v>
      </c>
      <c r="K41" s="190">
        <v>5594026254</v>
      </c>
      <c r="L41" s="190">
        <v>-2009513133</v>
      </c>
      <c r="M41" s="190">
        <v>-1630993125</v>
      </c>
      <c r="N41" s="190">
        <v>1769192237</v>
      </c>
      <c r="O41" s="190">
        <v>-263580622</v>
      </c>
      <c r="P41" s="190">
        <v>1095033167</v>
      </c>
      <c r="Q41" s="190">
        <v>853391908</v>
      </c>
      <c r="R41" s="190">
        <v>6359011104</v>
      </c>
      <c r="S41" s="190">
        <v>-553964187</v>
      </c>
      <c r="T41" s="190">
        <v>931858854</v>
      </c>
      <c r="U41" s="190">
        <v>947728543</v>
      </c>
      <c r="V41" s="190">
        <v>751346844</v>
      </c>
      <c r="W41" s="190">
        <v>497454527</v>
      </c>
      <c r="X41" s="190">
        <v>1479214745</v>
      </c>
      <c r="Y41" s="190">
        <v>3075166215</v>
      </c>
      <c r="Z41" s="190">
        <v>1868721060</v>
      </c>
      <c r="AA41" s="190">
        <v>3777677680</v>
      </c>
      <c r="AB41" s="190">
        <v>394844340</v>
      </c>
      <c r="AC41" s="190">
        <v>-5474399343</v>
      </c>
      <c r="AD41" s="190">
        <v>-5208455360</v>
      </c>
      <c r="AE41" s="190">
        <v>-347905832</v>
      </c>
      <c r="AF41" s="190">
        <v>-2793900699</v>
      </c>
      <c r="AG41" s="190">
        <v>1061665127</v>
      </c>
      <c r="AH41" s="190">
        <v>-3230377432</v>
      </c>
      <c r="AI41" s="190">
        <v>-4798747656</v>
      </c>
      <c r="AJ41" s="190">
        <v>-2956389371</v>
      </c>
      <c r="AK41" s="190">
        <v>4339443010</v>
      </c>
      <c r="AL41" s="190">
        <v>1811448679</v>
      </c>
      <c r="AM41" s="190">
        <v>1407967382</v>
      </c>
      <c r="AN41" s="190">
        <v>-104411311</v>
      </c>
      <c r="AO41" s="190">
        <v>-3111803776</v>
      </c>
      <c r="AP41" s="190">
        <v>-1732986688</v>
      </c>
      <c r="AQ41" s="190">
        <v>165001901</v>
      </c>
      <c r="AR41" s="190">
        <v>34308136</v>
      </c>
      <c r="AS41" s="190">
        <v>1352040307</v>
      </c>
      <c r="AT41" s="190">
        <v>1028626849</v>
      </c>
      <c r="AU41" s="190">
        <v>-1938134913</v>
      </c>
      <c r="AV41" s="190">
        <v>165117399</v>
      </c>
      <c r="AW41" s="190">
        <v>663974571</v>
      </c>
      <c r="AX41" s="190">
        <v>-150014605</v>
      </c>
      <c r="AY41" s="190">
        <v>-854828984</v>
      </c>
      <c r="AZ41" s="190">
        <v>353333421</v>
      </c>
      <c r="BA41" s="190">
        <v>4988336264</v>
      </c>
      <c r="BB41" s="190">
        <v>0</v>
      </c>
    </row>
    <row r="42" spans="1:54" x14ac:dyDescent="0.25">
      <c r="A42" s="190" t="s">
        <v>257</v>
      </c>
      <c r="B42" s="190">
        <v>11100350893</v>
      </c>
      <c r="C42" s="190">
        <v>11100350893</v>
      </c>
      <c r="D42" s="190">
        <v>11100350893</v>
      </c>
      <c r="E42" s="190">
        <v>11638240506</v>
      </c>
      <c r="F42" s="190">
        <v>11638240506</v>
      </c>
      <c r="G42" s="190">
        <v>11638240506</v>
      </c>
      <c r="H42" s="190">
        <v>11638240506</v>
      </c>
      <c r="I42" s="190">
        <v>8237909745</v>
      </c>
      <c r="J42" s="190">
        <v>8237909745</v>
      </c>
      <c r="K42" s="190">
        <v>8237909745</v>
      </c>
      <c r="L42" s="190">
        <v>8237909745</v>
      </c>
      <c r="M42" s="190">
        <v>9868902870</v>
      </c>
      <c r="N42" s="190">
        <v>9638517206</v>
      </c>
      <c r="O42" s="190">
        <v>9638517206</v>
      </c>
      <c r="P42" s="190">
        <v>9638517206</v>
      </c>
      <c r="Q42" s="190">
        <v>8785125298</v>
      </c>
      <c r="R42" s="190">
        <v>8785125298</v>
      </c>
      <c r="S42" s="190">
        <v>8785125298</v>
      </c>
      <c r="T42" s="190">
        <v>8785125298</v>
      </c>
      <c r="U42" s="190">
        <v>7837396755</v>
      </c>
      <c r="V42" s="190">
        <v>7753976194</v>
      </c>
      <c r="W42" s="190">
        <v>7753976194</v>
      </c>
      <c r="X42" s="190">
        <v>7753976194</v>
      </c>
      <c r="Y42" s="190">
        <v>4678809979</v>
      </c>
      <c r="Z42" s="190">
        <v>4678809979</v>
      </c>
      <c r="AA42" s="190">
        <v>4678809979</v>
      </c>
      <c r="AB42" s="190">
        <v>4678809979</v>
      </c>
      <c r="AC42" s="190">
        <v>10153209322</v>
      </c>
      <c r="AD42" s="190">
        <v>10153209322</v>
      </c>
      <c r="AE42" s="190">
        <v>10153209322</v>
      </c>
      <c r="AF42" s="190">
        <v>10153209322</v>
      </c>
      <c r="AG42" s="190">
        <v>9091544195</v>
      </c>
      <c r="AH42" s="190">
        <v>9091544195</v>
      </c>
      <c r="AI42" s="190">
        <v>9017190649</v>
      </c>
      <c r="AJ42" s="190">
        <v>9017190649</v>
      </c>
      <c r="AK42" s="190">
        <v>4677747639</v>
      </c>
      <c r="AL42" s="190">
        <v>4677747639</v>
      </c>
      <c r="AM42" s="190">
        <v>4677747639</v>
      </c>
      <c r="AN42" s="190">
        <v>4677747639</v>
      </c>
      <c r="AO42" s="190">
        <v>7789551415</v>
      </c>
      <c r="AP42" s="190">
        <v>7789551415</v>
      </c>
      <c r="AQ42" s="190">
        <v>7789551415</v>
      </c>
      <c r="AR42" s="190">
        <v>7789551415</v>
      </c>
      <c r="AS42" s="190">
        <v>6437511108</v>
      </c>
      <c r="AT42" s="190">
        <v>6437511108</v>
      </c>
      <c r="AU42" s="190">
        <v>6437511108</v>
      </c>
      <c r="AV42" s="190">
        <v>6437511108</v>
      </c>
      <c r="AW42" s="190">
        <v>5773536537</v>
      </c>
      <c r="AX42" s="190">
        <v>5773536537</v>
      </c>
      <c r="AY42" s="190">
        <v>5773536537</v>
      </c>
      <c r="AZ42" s="190">
        <v>5773536537</v>
      </c>
      <c r="BA42" s="190">
        <v>785200273</v>
      </c>
      <c r="BB42" s="190">
        <v>0</v>
      </c>
    </row>
    <row r="43" spans="1:54" x14ac:dyDescent="0.25">
      <c r="A43" s="190" t="s">
        <v>258</v>
      </c>
      <c r="B43" s="190">
        <v>15735898344</v>
      </c>
      <c r="C43" s="190">
        <v>8889372436</v>
      </c>
      <c r="D43" s="190">
        <v>15552446041</v>
      </c>
      <c r="E43" s="190">
        <v>11100350893</v>
      </c>
      <c r="F43" s="190">
        <v>14951304947</v>
      </c>
      <c r="G43" s="190">
        <v>9161747049</v>
      </c>
      <c r="H43" s="190">
        <v>14829480833</v>
      </c>
      <c r="I43" s="190">
        <v>11638240506</v>
      </c>
      <c r="J43" s="190">
        <v>8312784392</v>
      </c>
      <c r="K43" s="190">
        <v>13831935999</v>
      </c>
      <c r="L43" s="190">
        <v>6228396612</v>
      </c>
      <c r="M43" s="190">
        <v>8237909745</v>
      </c>
      <c r="N43" s="190">
        <v>11407709443</v>
      </c>
      <c r="O43" s="190">
        <v>9374936584</v>
      </c>
      <c r="P43" s="190">
        <v>10733550373</v>
      </c>
      <c r="Q43" s="190">
        <v>9638517206</v>
      </c>
      <c r="R43" s="190">
        <v>15144136402</v>
      </c>
      <c r="S43" s="190">
        <v>8231161111</v>
      </c>
      <c r="T43" s="190">
        <v>9716984152</v>
      </c>
      <c r="U43" s="190">
        <v>8785125298</v>
      </c>
      <c r="V43" s="190">
        <v>8505323038</v>
      </c>
      <c r="W43" s="190">
        <v>8251430721</v>
      </c>
      <c r="X43" s="190">
        <v>9233190939</v>
      </c>
      <c r="Y43" s="190">
        <v>7753976194</v>
      </c>
      <c r="Z43" s="190">
        <v>6547531039</v>
      </c>
      <c r="AA43" s="190">
        <v>8456487659</v>
      </c>
      <c r="AB43" s="190">
        <v>5073654319</v>
      </c>
      <c r="AC43" s="190">
        <v>4678809979</v>
      </c>
      <c r="AD43" s="190">
        <v>4944753962</v>
      </c>
      <c r="AE43" s="190">
        <v>9805303490</v>
      </c>
      <c r="AF43" s="190">
        <v>7359308623</v>
      </c>
      <c r="AG43" s="190">
        <v>10153209322</v>
      </c>
      <c r="AH43" s="190">
        <v>5861166763</v>
      </c>
      <c r="AI43" s="190">
        <v>4218442993</v>
      </c>
      <c r="AJ43" s="190">
        <v>6060801278</v>
      </c>
      <c r="AK43" s="190">
        <v>9017190649</v>
      </c>
      <c r="AL43" s="190">
        <v>6489196318</v>
      </c>
      <c r="AM43" s="190">
        <v>6085715021</v>
      </c>
      <c r="AN43" s="190">
        <v>4573336328</v>
      </c>
      <c r="AO43" s="190">
        <v>4677747639</v>
      </c>
      <c r="AP43" s="190">
        <v>6056564727</v>
      </c>
      <c r="AQ43" s="190">
        <v>7954553316</v>
      </c>
      <c r="AR43" s="190">
        <v>7823859551</v>
      </c>
      <c r="AS43" s="190">
        <v>7789551415</v>
      </c>
      <c r="AT43" s="190">
        <v>7466137957</v>
      </c>
      <c r="AU43" s="190">
        <v>4499376195</v>
      </c>
      <c r="AV43" s="190">
        <v>6602628507</v>
      </c>
      <c r="AW43" s="190">
        <v>6437511108</v>
      </c>
      <c r="AX43" s="190">
        <v>5623521932</v>
      </c>
      <c r="AY43" s="190">
        <v>4918707553</v>
      </c>
      <c r="AZ43" s="190">
        <v>6126869958</v>
      </c>
      <c r="BA43" s="190">
        <v>5773536537</v>
      </c>
      <c r="BB43" s="190">
        <v>0</v>
      </c>
    </row>
    <row r="44" spans="1:54" x14ac:dyDescent="0.25">
      <c r="A44" s="190" t="s">
        <v>259</v>
      </c>
    </row>
    <row r="45" spans="1:54" x14ac:dyDescent="0.25">
      <c r="A45" s="190" t="s">
        <v>260</v>
      </c>
      <c r="B45" s="190">
        <v>0</v>
      </c>
      <c r="C45" s="190">
        <v>8180180032</v>
      </c>
      <c r="D45" s="190">
        <v>0</v>
      </c>
      <c r="E45" s="190">
        <v>13098390240</v>
      </c>
      <c r="F45" s="190">
        <v>0</v>
      </c>
      <c r="G45" s="190">
        <v>7550033850</v>
      </c>
      <c r="H45" s="190">
        <v>0</v>
      </c>
      <c r="I45" s="190">
        <v>7077549140</v>
      </c>
      <c r="J45" s="190">
        <v>0</v>
      </c>
      <c r="K45" s="190">
        <v>3640863816</v>
      </c>
      <c r="L45" s="190">
        <v>0</v>
      </c>
      <c r="M45" s="190">
        <v>12654893006</v>
      </c>
      <c r="N45" s="190">
        <v>0</v>
      </c>
      <c r="O45" s="190">
        <v>7344015995</v>
      </c>
      <c r="P45" s="190">
        <v>0</v>
      </c>
      <c r="Q45" s="190">
        <v>14189076831</v>
      </c>
      <c r="R45" s="190">
        <v>0</v>
      </c>
      <c r="S45" s="190">
        <v>7187980108</v>
      </c>
      <c r="T45" s="190">
        <v>0</v>
      </c>
      <c r="U45" s="190">
        <v>12695005515</v>
      </c>
      <c r="V45" s="190">
        <v>0</v>
      </c>
      <c r="W45" s="190">
        <v>6480152040</v>
      </c>
      <c r="X45" s="190">
        <v>0</v>
      </c>
      <c r="Y45" s="190">
        <v>11502920587</v>
      </c>
      <c r="Z45" s="190">
        <v>0</v>
      </c>
      <c r="AA45" s="190">
        <v>6065554422</v>
      </c>
      <c r="AB45" s="190">
        <v>0</v>
      </c>
      <c r="AC45" s="190">
        <v>11698816284</v>
      </c>
      <c r="AD45" s="190">
        <v>0</v>
      </c>
      <c r="AE45" s="190">
        <v>6185234799</v>
      </c>
      <c r="AF45" s="190">
        <v>0</v>
      </c>
      <c r="AG45" s="190">
        <v>10410871870</v>
      </c>
      <c r="AH45" s="190">
        <v>0</v>
      </c>
      <c r="AI45" s="190">
        <v>4643973356</v>
      </c>
      <c r="AJ45" s="190">
        <v>0</v>
      </c>
      <c r="AK45" s="190">
        <v>6530374160</v>
      </c>
      <c r="AL45" s="190">
        <v>0</v>
      </c>
      <c r="AM45" s="190">
        <v>2835388043</v>
      </c>
      <c r="AN45" s="190">
        <v>0</v>
      </c>
      <c r="AO45" s="190">
        <v>6679516467</v>
      </c>
      <c r="AP45" s="190">
        <v>0</v>
      </c>
      <c r="AQ45" s="190">
        <v>3720193735</v>
      </c>
      <c r="AR45" s="190">
        <v>0</v>
      </c>
      <c r="AS45" s="190">
        <v>6109405216</v>
      </c>
      <c r="AT45" s="190">
        <v>0</v>
      </c>
      <c r="AU45" s="190">
        <v>2957643893</v>
      </c>
      <c r="AV45" s="190">
        <v>0</v>
      </c>
      <c r="AW45" s="190">
        <v>4370691193</v>
      </c>
      <c r="AX45" s="190">
        <v>3258101488</v>
      </c>
      <c r="AY45" s="190">
        <v>2275280907</v>
      </c>
      <c r="AZ45" s="190">
        <v>0</v>
      </c>
      <c r="BA45" s="190">
        <v>3561244858</v>
      </c>
      <c r="BB45" s="190">
        <v>0</v>
      </c>
    </row>
    <row r="46" spans="1:5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row>
    <row r="47" spans="1:5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row>
    <row r="48" spans="1:54" x14ac:dyDescent="0.25">
      <c r="A48" s="190" t="s">
        <v>262</v>
      </c>
      <c r="B48" s="190">
        <v>0</v>
      </c>
      <c r="C48" s="190">
        <v>-5088799</v>
      </c>
      <c r="D48" s="190">
        <v>0</v>
      </c>
      <c r="E48" s="190">
        <v>32650148</v>
      </c>
      <c r="F48" s="190">
        <v>0</v>
      </c>
      <c r="G48" s="190">
        <v>-1003257</v>
      </c>
      <c r="H48" s="190">
        <v>0</v>
      </c>
      <c r="I48" s="190">
        <v>3425188</v>
      </c>
      <c r="J48" s="190">
        <v>0</v>
      </c>
      <c r="K48" s="190">
        <v>0</v>
      </c>
      <c r="L48" s="190">
        <v>0</v>
      </c>
      <c r="M48" s="190">
        <v>0</v>
      </c>
      <c r="N48" s="190">
        <v>0</v>
      </c>
      <c r="O48" s="190">
        <v>0</v>
      </c>
      <c r="P48" s="190">
        <v>0</v>
      </c>
      <c r="Q48" s="190">
        <v>4946883</v>
      </c>
      <c r="R48" s="190">
        <v>0</v>
      </c>
      <c r="S48" s="190">
        <v>-36400</v>
      </c>
      <c r="T48" s="190">
        <v>0</v>
      </c>
      <c r="U48" s="190">
        <v>-246823</v>
      </c>
      <c r="V48" s="190">
        <v>0</v>
      </c>
      <c r="W48" s="190">
        <v>0</v>
      </c>
      <c r="X48" s="190">
        <v>0</v>
      </c>
      <c r="Y48" s="190">
        <v>283803</v>
      </c>
      <c r="Z48" s="190">
        <v>0</v>
      </c>
      <c r="AA48" s="190">
        <v>0</v>
      </c>
      <c r="AB48" s="190">
        <v>0</v>
      </c>
      <c r="AC48" s="190">
        <v>768232</v>
      </c>
      <c r="AD48" s="190">
        <v>0</v>
      </c>
      <c r="AE48" s="190">
        <v>0</v>
      </c>
      <c r="AF48" s="190">
        <v>0</v>
      </c>
      <c r="AG48" s="190">
        <v>-654880</v>
      </c>
      <c r="AH48" s="190">
        <v>0</v>
      </c>
      <c r="AI48" s="190">
        <v>0</v>
      </c>
      <c r="AJ48" s="190">
        <v>0</v>
      </c>
      <c r="AK48" s="190">
        <v>516448</v>
      </c>
      <c r="AL48" s="190">
        <v>0</v>
      </c>
      <c r="AM48" s="190">
        <v>544948</v>
      </c>
      <c r="AN48" s="190">
        <v>0</v>
      </c>
      <c r="AO48" s="190">
        <v>-29120</v>
      </c>
      <c r="AP48" s="190">
        <v>0</v>
      </c>
      <c r="AQ48" s="190">
        <v>0</v>
      </c>
      <c r="AR48" s="190">
        <v>0</v>
      </c>
      <c r="AS48" s="190">
        <v>199414</v>
      </c>
      <c r="AT48" s="190">
        <v>0</v>
      </c>
      <c r="AU48" s="190">
        <v>0</v>
      </c>
      <c r="AV48" s="190">
        <v>0</v>
      </c>
      <c r="AW48" s="190">
        <v>212458</v>
      </c>
      <c r="AX48" s="190">
        <v>92818</v>
      </c>
      <c r="AY48" s="190">
        <v>92818</v>
      </c>
      <c r="AZ48" s="190">
        <v>0</v>
      </c>
      <c r="BA48" s="190">
        <v>0</v>
      </c>
      <c r="BB48" s="190">
        <v>0</v>
      </c>
    </row>
    <row r="49" spans="1:54" x14ac:dyDescent="0.25">
      <c r="A49" s="190" t="s">
        <v>263</v>
      </c>
      <c r="B49" s="190">
        <v>0</v>
      </c>
      <c r="C49" s="190">
        <v>2905028843</v>
      </c>
      <c r="D49" s="190">
        <v>0</v>
      </c>
      <c r="E49" s="190">
        <v>5461019302</v>
      </c>
      <c r="F49" s="190">
        <v>0</v>
      </c>
      <c r="G49" s="190">
        <v>2589176230</v>
      </c>
      <c r="H49" s="190">
        <v>0</v>
      </c>
      <c r="I49" s="190">
        <v>5119309018</v>
      </c>
      <c r="J49" s="190">
        <v>0</v>
      </c>
      <c r="K49" s="190">
        <v>2551981274</v>
      </c>
      <c r="L49" s="190">
        <v>0</v>
      </c>
      <c r="M49" s="190">
        <v>5020579521</v>
      </c>
      <c r="N49" s="190">
        <v>0</v>
      </c>
      <c r="O49" s="190">
        <v>2410598700</v>
      </c>
      <c r="P49" s="190">
        <v>0</v>
      </c>
      <c r="Q49" s="190">
        <v>4817340897</v>
      </c>
      <c r="R49" s="190">
        <v>0</v>
      </c>
      <c r="S49" s="190">
        <v>2405687650</v>
      </c>
      <c r="T49" s="190">
        <v>0</v>
      </c>
      <c r="U49" s="190">
        <v>4710162112</v>
      </c>
      <c r="V49" s="190">
        <v>0</v>
      </c>
      <c r="W49" s="190">
        <v>2289789922</v>
      </c>
      <c r="X49" s="190">
        <v>0</v>
      </c>
      <c r="Y49" s="190">
        <v>4369515680</v>
      </c>
      <c r="Z49" s="190">
        <v>0</v>
      </c>
      <c r="AA49" s="190">
        <v>2166445663</v>
      </c>
      <c r="AB49" s="190">
        <v>0</v>
      </c>
      <c r="AC49" s="190">
        <v>3983709370</v>
      </c>
      <c r="AD49" s="190">
        <v>0</v>
      </c>
      <c r="AE49" s="190">
        <v>1996747541</v>
      </c>
      <c r="AF49" s="190">
        <v>0</v>
      </c>
      <c r="AG49" s="190">
        <v>4007101655</v>
      </c>
      <c r="AH49" s="190">
        <v>0</v>
      </c>
      <c r="AI49" s="190">
        <v>1579575258</v>
      </c>
      <c r="AJ49" s="190">
        <v>0</v>
      </c>
      <c r="AK49" s="190">
        <v>3029928146</v>
      </c>
      <c r="AL49" s="190">
        <v>0</v>
      </c>
      <c r="AM49" s="190">
        <v>1491385357</v>
      </c>
      <c r="AN49" s="190">
        <v>0</v>
      </c>
      <c r="AO49" s="190">
        <v>2505398047</v>
      </c>
      <c r="AP49" s="190">
        <v>0</v>
      </c>
      <c r="AQ49" s="190">
        <v>1146631492</v>
      </c>
      <c r="AR49" s="190">
        <v>0</v>
      </c>
      <c r="AS49" s="190">
        <v>1714239075</v>
      </c>
      <c r="AT49" s="190">
        <v>0</v>
      </c>
      <c r="AU49" s="190">
        <v>816923597</v>
      </c>
      <c r="AV49" s="190">
        <v>0</v>
      </c>
      <c r="AW49" s="190">
        <v>1798528698</v>
      </c>
      <c r="AX49" s="190">
        <v>1330599503</v>
      </c>
      <c r="AY49" s="190">
        <v>962345915</v>
      </c>
      <c r="AZ49" s="190">
        <v>0</v>
      </c>
      <c r="BA49" s="190">
        <v>1012226671</v>
      </c>
      <c r="BB49" s="190">
        <v>0</v>
      </c>
    </row>
    <row r="50" spans="1:54" x14ac:dyDescent="0.25">
      <c r="A50" s="190" t="s">
        <v>264</v>
      </c>
      <c r="B50" s="190">
        <v>0</v>
      </c>
      <c r="C50" s="190">
        <v>60827866</v>
      </c>
      <c r="D50" s="190">
        <v>0</v>
      </c>
      <c r="E50" s="190">
        <v>121652898</v>
      </c>
      <c r="F50" s="190">
        <v>0</v>
      </c>
      <c r="G50" s="190">
        <v>60681861</v>
      </c>
      <c r="H50" s="190">
        <v>0</v>
      </c>
      <c r="I50" s="190">
        <v>114966707</v>
      </c>
      <c r="J50" s="190">
        <v>0</v>
      </c>
      <c r="K50" s="190">
        <v>57069925</v>
      </c>
      <c r="L50" s="190">
        <v>0</v>
      </c>
      <c r="M50" s="190">
        <v>114262204</v>
      </c>
      <c r="N50" s="190">
        <v>0</v>
      </c>
      <c r="O50" s="190">
        <v>57123407</v>
      </c>
      <c r="P50" s="190">
        <v>0</v>
      </c>
      <c r="Q50" s="190">
        <v>114052729</v>
      </c>
      <c r="R50" s="190">
        <v>0</v>
      </c>
      <c r="S50" s="190">
        <v>56969028</v>
      </c>
      <c r="T50" s="190">
        <v>0</v>
      </c>
      <c r="U50" s="190">
        <v>110315189</v>
      </c>
      <c r="V50" s="190">
        <v>0</v>
      </c>
      <c r="W50" s="190">
        <v>54781422</v>
      </c>
      <c r="X50" s="190">
        <v>0</v>
      </c>
      <c r="Y50" s="190">
        <v>109135917</v>
      </c>
      <c r="Z50" s="190">
        <v>0</v>
      </c>
      <c r="AA50" s="190">
        <v>52435311</v>
      </c>
      <c r="AB50" s="190">
        <v>0</v>
      </c>
      <c r="AC50" s="190">
        <v>104796624</v>
      </c>
      <c r="AD50" s="190">
        <v>0</v>
      </c>
      <c r="AE50" s="190">
        <v>52322507</v>
      </c>
      <c r="AF50" s="190">
        <v>0</v>
      </c>
      <c r="AG50" s="190">
        <v>105438341</v>
      </c>
      <c r="AH50" s="190">
        <v>0</v>
      </c>
      <c r="AI50" s="190">
        <v>51898733</v>
      </c>
      <c r="AJ50" s="190">
        <v>0</v>
      </c>
      <c r="AK50" s="190">
        <v>103961778</v>
      </c>
      <c r="AL50" s="190">
        <v>0</v>
      </c>
      <c r="AM50" s="190">
        <v>51898733</v>
      </c>
      <c r="AN50" s="190">
        <v>0</v>
      </c>
      <c r="AO50" s="190">
        <v>103961780</v>
      </c>
      <c r="AP50" s="190">
        <v>0</v>
      </c>
      <c r="AQ50" s="190">
        <v>51898733</v>
      </c>
      <c r="AR50" s="190">
        <v>0</v>
      </c>
      <c r="AS50" s="190">
        <v>103916779</v>
      </c>
      <c r="AT50" s="190">
        <v>0</v>
      </c>
      <c r="AU50" s="190">
        <v>51898733</v>
      </c>
      <c r="AV50" s="190">
        <v>0</v>
      </c>
      <c r="AW50" s="190">
        <v>103864966</v>
      </c>
      <c r="AX50" s="190">
        <v>77848010</v>
      </c>
      <c r="AY50" s="190">
        <v>51898733</v>
      </c>
      <c r="AZ50" s="190">
        <v>0</v>
      </c>
      <c r="BA50" s="190">
        <v>103797467</v>
      </c>
      <c r="BB50" s="190">
        <v>0</v>
      </c>
    </row>
    <row r="51" spans="1:54" x14ac:dyDescent="0.25">
      <c r="A51" s="190" t="s">
        <v>265</v>
      </c>
      <c r="B51" s="190">
        <v>0</v>
      </c>
      <c r="C51" s="190">
        <v>13327669</v>
      </c>
      <c r="D51" s="190">
        <v>0</v>
      </c>
      <c r="E51" s="190">
        <v>23912566</v>
      </c>
      <c r="F51" s="190">
        <v>0</v>
      </c>
      <c r="G51" s="190">
        <v>3277060</v>
      </c>
      <c r="H51" s="190">
        <v>0</v>
      </c>
      <c r="I51" s="190">
        <v>4499497</v>
      </c>
      <c r="J51" s="190">
        <v>0</v>
      </c>
      <c r="K51" s="190">
        <v>810515</v>
      </c>
      <c r="L51" s="190">
        <v>0</v>
      </c>
      <c r="M51" s="190">
        <v>35127835</v>
      </c>
      <c r="N51" s="190">
        <v>0</v>
      </c>
      <c r="O51" s="190">
        <v>24580833</v>
      </c>
      <c r="P51" s="190">
        <v>0</v>
      </c>
      <c r="Q51" s="190">
        <v>35645836</v>
      </c>
      <c r="R51" s="190">
        <v>0</v>
      </c>
      <c r="S51" s="190">
        <v>14467233</v>
      </c>
      <c r="T51" s="190">
        <v>0</v>
      </c>
      <c r="U51" s="190">
        <v>31520824</v>
      </c>
      <c r="V51" s="190">
        <v>0</v>
      </c>
      <c r="W51" s="190">
        <v>15889266</v>
      </c>
      <c r="X51" s="190">
        <v>0</v>
      </c>
      <c r="Y51" s="190">
        <v>31242686</v>
      </c>
      <c r="Z51" s="190">
        <v>0</v>
      </c>
      <c r="AA51" s="190">
        <v>7265547</v>
      </c>
      <c r="AB51" s="190">
        <v>0</v>
      </c>
      <c r="AC51" s="190">
        <v>1924702</v>
      </c>
      <c r="AD51" s="190">
        <v>0</v>
      </c>
      <c r="AE51" s="190">
        <v>1839572</v>
      </c>
      <c r="AF51" s="190">
        <v>0</v>
      </c>
      <c r="AG51" s="190">
        <v>5209033</v>
      </c>
      <c r="AH51" s="190">
        <v>0</v>
      </c>
      <c r="AI51" s="190">
        <v>2442554</v>
      </c>
      <c r="AJ51" s="190">
        <v>0</v>
      </c>
      <c r="AK51" s="190">
        <v>5370017</v>
      </c>
      <c r="AL51" s="190">
        <v>0</v>
      </c>
      <c r="AM51" s="190">
        <v>2761034</v>
      </c>
      <c r="AN51" s="190">
        <v>0</v>
      </c>
      <c r="AO51" s="190">
        <v>6826343</v>
      </c>
      <c r="AP51" s="190">
        <v>0</v>
      </c>
      <c r="AQ51" s="190">
        <v>4449580</v>
      </c>
      <c r="AR51" s="190">
        <v>0</v>
      </c>
      <c r="AS51" s="190">
        <v>2684340</v>
      </c>
      <c r="AT51" s="190">
        <v>0</v>
      </c>
      <c r="AU51" s="190">
        <v>0</v>
      </c>
      <c r="AV51" s="190">
        <v>0</v>
      </c>
      <c r="AW51" s="190">
        <v>0</v>
      </c>
      <c r="AX51" s="190">
        <v>0</v>
      </c>
      <c r="AY51" s="190">
        <v>0</v>
      </c>
      <c r="AZ51" s="190">
        <v>0</v>
      </c>
      <c r="BA51" s="190">
        <v>0</v>
      </c>
      <c r="BB51" s="190">
        <v>0</v>
      </c>
    </row>
    <row r="52" spans="1:5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142239</v>
      </c>
      <c r="AX52" s="190">
        <v>151836</v>
      </c>
      <c r="AY52" s="190">
        <v>39235</v>
      </c>
      <c r="AZ52" s="190">
        <v>0</v>
      </c>
      <c r="BA52" s="190">
        <v>-175052</v>
      </c>
      <c r="BB52" s="190">
        <v>0</v>
      </c>
    </row>
    <row r="53" spans="1:5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-848800</v>
      </c>
      <c r="AX53" s="190">
        <v>-4148800</v>
      </c>
      <c r="AY53" s="190">
        <v>6838600</v>
      </c>
      <c r="AZ53" s="190">
        <v>0</v>
      </c>
      <c r="BA53" s="190">
        <v>6656458</v>
      </c>
      <c r="BB53" s="190">
        <v>0</v>
      </c>
    </row>
    <row r="54" spans="1:54" x14ac:dyDescent="0.25">
      <c r="A54" s="190" t="s">
        <v>268</v>
      </c>
      <c r="B54" s="190">
        <v>0</v>
      </c>
      <c r="C54" s="190">
        <v>-57808</v>
      </c>
      <c r="D54" s="190">
        <v>0</v>
      </c>
      <c r="E54" s="190">
        <v>17651389</v>
      </c>
      <c r="F54" s="190">
        <v>0</v>
      </c>
      <c r="G54" s="190">
        <v>4279635</v>
      </c>
      <c r="H54" s="190">
        <v>0</v>
      </c>
      <c r="I54" s="190">
        <v>46720455</v>
      </c>
      <c r="J54" s="190">
        <v>0</v>
      </c>
      <c r="K54" s="190">
        <v>3928763</v>
      </c>
      <c r="L54" s="190">
        <v>0</v>
      </c>
      <c r="M54" s="190">
        <v>147149015</v>
      </c>
      <c r="N54" s="190">
        <v>0</v>
      </c>
      <c r="O54" s="190">
        <v>137315264</v>
      </c>
      <c r="P54" s="190">
        <v>0</v>
      </c>
      <c r="Q54" s="190">
        <v>44515558</v>
      </c>
      <c r="R54" s="190">
        <v>0</v>
      </c>
      <c r="S54" s="190">
        <v>6769251</v>
      </c>
      <c r="T54" s="190">
        <v>0</v>
      </c>
      <c r="U54" s="190">
        <v>73263779</v>
      </c>
      <c r="V54" s="190">
        <v>0</v>
      </c>
      <c r="W54" s="190">
        <v>29792214</v>
      </c>
      <c r="X54" s="190">
        <v>0</v>
      </c>
      <c r="Y54" s="190">
        <v>10364189</v>
      </c>
      <c r="Z54" s="190">
        <v>0</v>
      </c>
      <c r="AA54" s="190">
        <v>2557295</v>
      </c>
      <c r="AB54" s="190">
        <v>0</v>
      </c>
      <c r="AC54" s="190">
        <v>25804111</v>
      </c>
      <c r="AD54" s="190">
        <v>0</v>
      </c>
      <c r="AE54" s="190">
        <v>4650109</v>
      </c>
      <c r="AF54" s="190">
        <v>0</v>
      </c>
      <c r="AG54" s="190">
        <v>19596898</v>
      </c>
      <c r="AH54" s="190">
        <v>0</v>
      </c>
      <c r="AI54" s="190">
        <v>4308621</v>
      </c>
      <c r="AJ54" s="190">
        <v>0</v>
      </c>
      <c r="AK54" s="190">
        <v>46231859</v>
      </c>
      <c r="AL54" s="190">
        <v>0</v>
      </c>
      <c r="AM54" s="190">
        <v>643613</v>
      </c>
      <c r="AN54" s="190">
        <v>0</v>
      </c>
      <c r="AO54" s="190">
        <v>-56435937</v>
      </c>
      <c r="AP54" s="190">
        <v>0</v>
      </c>
      <c r="AQ54" s="190">
        <v>46465788</v>
      </c>
      <c r="AR54" s="190">
        <v>0</v>
      </c>
      <c r="AS54" s="190">
        <v>76727325</v>
      </c>
      <c r="AT54" s="190">
        <v>0</v>
      </c>
      <c r="AU54" s="190">
        <v>0</v>
      </c>
      <c r="AV54" s="190">
        <v>0</v>
      </c>
      <c r="AW54" s="190">
        <v>44621365</v>
      </c>
      <c r="AX54" s="190">
        <v>34359112</v>
      </c>
      <c r="AY54" s="190">
        <v>132977</v>
      </c>
      <c r="AZ54" s="190">
        <v>0</v>
      </c>
      <c r="BA54" s="190">
        <v>79873783</v>
      </c>
      <c r="BB54" s="190">
        <v>0</v>
      </c>
    </row>
    <row r="55" spans="1:54" x14ac:dyDescent="0.25">
      <c r="A55" s="190" t="s">
        <v>269</v>
      </c>
      <c r="B55" s="190">
        <v>0</v>
      </c>
      <c r="C55" s="190">
        <v>3839927</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32094060</v>
      </c>
      <c r="AV55" s="190">
        <v>0</v>
      </c>
      <c r="AW55" s="190">
        <v>0</v>
      </c>
      <c r="AX55" s="190">
        <v>0</v>
      </c>
      <c r="AY55" s="190">
        <v>0</v>
      </c>
      <c r="AZ55" s="190">
        <v>0</v>
      </c>
      <c r="BA55" s="190">
        <v>0</v>
      </c>
      <c r="BB55" s="190">
        <v>0</v>
      </c>
    </row>
    <row r="56" spans="1:54"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row>
    <row r="57" spans="1:5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row>
    <row r="58" spans="1:5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row>
    <row r="59" spans="1:54" x14ac:dyDescent="0.25">
      <c r="A59" s="190" t="s">
        <v>197</v>
      </c>
      <c r="B59" s="190">
        <v>0</v>
      </c>
      <c r="C59" s="190">
        <v>39589350</v>
      </c>
      <c r="D59" s="190">
        <v>0</v>
      </c>
      <c r="E59" s="190">
        <v>626695267</v>
      </c>
      <c r="F59" s="190">
        <v>0</v>
      </c>
      <c r="G59" s="190">
        <v>213521164</v>
      </c>
      <c r="H59" s="190">
        <v>0</v>
      </c>
      <c r="I59" s="190">
        <v>440341007</v>
      </c>
      <c r="J59" s="190">
        <v>0</v>
      </c>
      <c r="K59" s="190">
        <v>207699932</v>
      </c>
      <c r="L59" s="190">
        <v>0</v>
      </c>
      <c r="M59" s="190">
        <v>112187957</v>
      </c>
      <c r="N59" s="190">
        <v>0</v>
      </c>
      <c r="O59" s="190">
        <v>56276663</v>
      </c>
      <c r="P59" s="190">
        <v>0</v>
      </c>
      <c r="Q59" s="190">
        <v>375006169</v>
      </c>
      <c r="R59" s="190">
        <v>0</v>
      </c>
      <c r="S59" s="190">
        <v>184988548</v>
      </c>
      <c r="T59" s="190">
        <v>0</v>
      </c>
      <c r="U59" s="190">
        <v>568139641</v>
      </c>
      <c r="V59" s="190">
        <v>0</v>
      </c>
      <c r="W59" s="190">
        <v>318282940</v>
      </c>
      <c r="X59" s="190">
        <v>0</v>
      </c>
      <c r="Y59" s="190">
        <v>770294169</v>
      </c>
      <c r="Z59" s="190">
        <v>0</v>
      </c>
      <c r="AA59" s="190">
        <v>380457263</v>
      </c>
      <c r="AB59" s="190">
        <v>0</v>
      </c>
      <c r="AC59" s="190">
        <v>1025119546</v>
      </c>
      <c r="AD59" s="190">
        <v>0</v>
      </c>
      <c r="AE59" s="190">
        <v>496043495</v>
      </c>
      <c r="AF59" s="190">
        <v>0</v>
      </c>
      <c r="AG59" s="190">
        <v>992297354</v>
      </c>
      <c r="AH59" s="190">
        <v>0</v>
      </c>
      <c r="AI59" s="190">
        <v>306164570</v>
      </c>
      <c r="AJ59" s="190">
        <v>0</v>
      </c>
      <c r="AK59" s="190">
        <v>443388357</v>
      </c>
      <c r="AL59" s="190">
        <v>0</v>
      </c>
      <c r="AM59" s="190">
        <v>356493617</v>
      </c>
      <c r="AN59" s="190">
        <v>0</v>
      </c>
      <c r="AO59" s="190">
        <v>152553237</v>
      </c>
      <c r="AP59" s="190">
        <v>0</v>
      </c>
      <c r="AQ59" s="190">
        <v>211682216</v>
      </c>
      <c r="AR59" s="190">
        <v>0</v>
      </c>
      <c r="AS59" s="190">
        <v>-48538798</v>
      </c>
      <c r="AT59" s="190">
        <v>0</v>
      </c>
      <c r="AU59" s="190">
        <v>-41977522</v>
      </c>
      <c r="AV59" s="190">
        <v>0</v>
      </c>
      <c r="AW59" s="190">
        <v>220908609</v>
      </c>
      <c r="AX59" s="190">
        <v>267055593</v>
      </c>
      <c r="AY59" s="190">
        <v>213256289</v>
      </c>
      <c r="AZ59" s="190">
        <v>0</v>
      </c>
      <c r="BA59" s="190">
        <v>454819051</v>
      </c>
      <c r="BB59" s="190">
        <v>0</v>
      </c>
    </row>
    <row r="60" spans="1:54" x14ac:dyDescent="0.25">
      <c r="A60" s="190" t="s">
        <v>273</v>
      </c>
      <c r="B60" s="190">
        <v>0</v>
      </c>
      <c r="C60" s="190">
        <v>-1575988197</v>
      </c>
      <c r="D60" s="190">
        <v>0</v>
      </c>
      <c r="E60" s="190">
        <v>-3129613454</v>
      </c>
      <c r="F60" s="190">
        <v>0</v>
      </c>
      <c r="G60" s="190">
        <v>-1559018122</v>
      </c>
      <c r="H60" s="190">
        <v>0</v>
      </c>
      <c r="I60" s="190">
        <v>-2677654510</v>
      </c>
      <c r="J60" s="190">
        <v>0</v>
      </c>
      <c r="K60" s="190">
        <v>-1361707296</v>
      </c>
      <c r="L60" s="190">
        <v>0</v>
      </c>
      <c r="M60" s="190">
        <v>-2098080307</v>
      </c>
      <c r="N60" s="190">
        <v>0</v>
      </c>
      <c r="O60" s="190">
        <v>-972116514</v>
      </c>
      <c r="P60" s="190">
        <v>0</v>
      </c>
      <c r="Q60" s="190">
        <v>-2540271535</v>
      </c>
      <c r="R60" s="190">
        <v>0</v>
      </c>
      <c r="S60" s="190">
        <v>-1180066363</v>
      </c>
      <c r="T60" s="190">
        <v>0</v>
      </c>
      <c r="U60" s="190">
        <v>-2692992920</v>
      </c>
      <c r="V60" s="190">
        <v>0</v>
      </c>
      <c r="W60" s="190">
        <v>-1370721181</v>
      </c>
      <c r="X60" s="190">
        <v>0</v>
      </c>
      <c r="Y60" s="190">
        <v>-2065261288</v>
      </c>
      <c r="Z60" s="190">
        <v>0</v>
      </c>
      <c r="AA60" s="190">
        <v>-1050228878</v>
      </c>
      <c r="AB60" s="190">
        <v>0</v>
      </c>
      <c r="AC60" s="190">
        <v>-1812636981</v>
      </c>
      <c r="AD60" s="190">
        <v>0</v>
      </c>
      <c r="AE60" s="190">
        <v>-922479888</v>
      </c>
      <c r="AF60" s="190">
        <v>0</v>
      </c>
      <c r="AG60" s="190">
        <v>-582698226</v>
      </c>
      <c r="AH60" s="190">
        <v>0</v>
      </c>
      <c r="AI60" s="190">
        <v>0</v>
      </c>
      <c r="AJ60" s="190">
        <v>0</v>
      </c>
      <c r="AK60" s="190">
        <v>-1539000</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row>
    <row r="61" spans="1:54" x14ac:dyDescent="0.25">
      <c r="A61" s="190" t="s">
        <v>274</v>
      </c>
      <c r="B61" s="190">
        <v>0</v>
      </c>
      <c r="C61" s="190">
        <v>-22228638</v>
      </c>
      <c r="D61" s="190">
        <v>0</v>
      </c>
      <c r="E61" s="190">
        <v>-72985291</v>
      </c>
      <c r="F61" s="190">
        <v>0</v>
      </c>
      <c r="G61" s="190">
        <v>-64670341</v>
      </c>
      <c r="H61" s="190">
        <v>0</v>
      </c>
      <c r="I61" s="190">
        <v>-47198283</v>
      </c>
      <c r="J61" s="190">
        <v>0</v>
      </c>
      <c r="K61" s="190">
        <v>-18855392</v>
      </c>
      <c r="L61" s="190">
        <v>0</v>
      </c>
      <c r="M61" s="190">
        <v>48296466</v>
      </c>
      <c r="N61" s="190">
        <v>0</v>
      </c>
      <c r="O61" s="190">
        <v>-47380772</v>
      </c>
      <c r="P61" s="190">
        <v>0</v>
      </c>
      <c r="Q61" s="190">
        <v>21590116</v>
      </c>
      <c r="R61" s="190">
        <v>0</v>
      </c>
      <c r="S61" s="190">
        <v>32121146</v>
      </c>
      <c r="T61" s="190">
        <v>0</v>
      </c>
      <c r="U61" s="190">
        <v>75163005</v>
      </c>
      <c r="V61" s="190">
        <v>0</v>
      </c>
      <c r="W61" s="190">
        <v>39528127</v>
      </c>
      <c r="X61" s="190">
        <v>0</v>
      </c>
      <c r="Y61" s="190">
        <v>357833247</v>
      </c>
      <c r="Z61" s="190">
        <v>0</v>
      </c>
      <c r="AA61" s="190">
        <v>80124502</v>
      </c>
      <c r="AB61" s="190">
        <v>0</v>
      </c>
      <c r="AC61" s="190">
        <v>150132004</v>
      </c>
      <c r="AD61" s="190">
        <v>0</v>
      </c>
      <c r="AE61" s="190">
        <v>143050396</v>
      </c>
      <c r="AF61" s="190">
        <v>0</v>
      </c>
      <c r="AG61" s="190">
        <v>-28427508</v>
      </c>
      <c r="AH61" s="190">
        <v>0</v>
      </c>
      <c r="AI61" s="190">
        <v>-9884169</v>
      </c>
      <c r="AJ61" s="190">
        <v>0</v>
      </c>
      <c r="AK61" s="190">
        <v>-12553549</v>
      </c>
      <c r="AL61" s="190">
        <v>0</v>
      </c>
      <c r="AM61" s="190">
        <v>0</v>
      </c>
      <c r="AN61" s="190">
        <v>0</v>
      </c>
      <c r="AO61" s="190">
        <v>600000</v>
      </c>
      <c r="AP61" s="190">
        <v>0</v>
      </c>
      <c r="AQ61" s="190">
        <v>0</v>
      </c>
      <c r="AR61" s="190">
        <v>0</v>
      </c>
      <c r="AS61" s="190">
        <v>0</v>
      </c>
      <c r="AT61" s="190">
        <v>0</v>
      </c>
      <c r="AU61" s="190">
        <v>599158</v>
      </c>
      <c r="AV61" s="190">
        <v>0</v>
      </c>
      <c r="AW61" s="190">
        <v>0</v>
      </c>
      <c r="AX61" s="190">
        <v>0</v>
      </c>
      <c r="AY61" s="190">
        <v>0</v>
      </c>
      <c r="AZ61" s="190">
        <v>0</v>
      </c>
      <c r="BA61" s="190">
        <v>0</v>
      </c>
      <c r="BB61" s="190">
        <v>0</v>
      </c>
    </row>
    <row r="62" spans="1:54"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-4880759</v>
      </c>
      <c r="AN62" s="190">
        <v>0</v>
      </c>
      <c r="AO62" s="190">
        <v>0</v>
      </c>
      <c r="AP62" s="190">
        <v>0</v>
      </c>
      <c r="AQ62" s="190">
        <v>0</v>
      </c>
      <c r="AR62" s="190">
        <v>0</v>
      </c>
      <c r="AS62" s="190">
        <v>-22638339</v>
      </c>
      <c r="AT62" s="190">
        <v>0</v>
      </c>
      <c r="AU62" s="190">
        <v>0</v>
      </c>
      <c r="AV62" s="190">
        <v>0</v>
      </c>
      <c r="AW62" s="190">
        <v>0</v>
      </c>
      <c r="AX62" s="190">
        <v>0</v>
      </c>
      <c r="AY62" s="190">
        <v>0</v>
      </c>
      <c r="AZ62" s="190">
        <v>0</v>
      </c>
      <c r="BA62" s="190">
        <v>0</v>
      </c>
      <c r="BB62" s="190">
        <v>0</v>
      </c>
    </row>
    <row r="63" spans="1:54" x14ac:dyDescent="0.25">
      <c r="A63" s="190" t="s">
        <v>276</v>
      </c>
      <c r="B63" s="190">
        <v>0</v>
      </c>
      <c r="C63" s="190">
        <v>-82629296</v>
      </c>
      <c r="D63" s="190">
        <v>0</v>
      </c>
      <c r="E63" s="190">
        <v>84285688</v>
      </c>
      <c r="F63" s="190">
        <v>0</v>
      </c>
      <c r="G63" s="190">
        <v>-166233734</v>
      </c>
      <c r="H63" s="190">
        <v>0</v>
      </c>
      <c r="I63" s="190">
        <v>96972143</v>
      </c>
      <c r="J63" s="190">
        <v>0</v>
      </c>
      <c r="K63" s="190">
        <v>-24384548</v>
      </c>
      <c r="L63" s="190">
        <v>0</v>
      </c>
      <c r="M63" s="190">
        <v>-23896549</v>
      </c>
      <c r="N63" s="190">
        <v>0</v>
      </c>
      <c r="O63" s="190">
        <v>-73923746</v>
      </c>
      <c r="P63" s="190">
        <v>0</v>
      </c>
      <c r="Q63" s="190">
        <v>101282695</v>
      </c>
      <c r="R63" s="190">
        <v>0</v>
      </c>
      <c r="S63" s="190">
        <v>20989850</v>
      </c>
      <c r="T63" s="190">
        <v>0</v>
      </c>
      <c r="U63" s="190">
        <v>-94265053</v>
      </c>
      <c r="V63" s="190">
        <v>0</v>
      </c>
      <c r="W63" s="190">
        <v>65891661</v>
      </c>
      <c r="X63" s="190">
        <v>0</v>
      </c>
      <c r="Y63" s="190">
        <v>-179755689</v>
      </c>
      <c r="Z63" s="190">
        <v>0</v>
      </c>
      <c r="AA63" s="190">
        <v>-53995907</v>
      </c>
      <c r="AB63" s="190">
        <v>0</v>
      </c>
      <c r="AC63" s="190">
        <v>-304363353</v>
      </c>
      <c r="AD63" s="190">
        <v>0</v>
      </c>
      <c r="AE63" s="190">
        <v>-177992038</v>
      </c>
      <c r="AF63" s="190">
        <v>0</v>
      </c>
      <c r="AG63" s="190">
        <v>-14118119</v>
      </c>
      <c r="AH63" s="190">
        <v>0</v>
      </c>
      <c r="AI63" s="190">
        <v>-23293265</v>
      </c>
      <c r="AJ63" s="190">
        <v>0</v>
      </c>
      <c r="AK63" s="190">
        <v>-151176509</v>
      </c>
      <c r="AL63" s="190">
        <v>0</v>
      </c>
      <c r="AM63" s="190">
        <v>-72509529</v>
      </c>
      <c r="AN63" s="190">
        <v>0</v>
      </c>
      <c r="AO63" s="190">
        <v>-484881171</v>
      </c>
      <c r="AP63" s="190">
        <v>0</v>
      </c>
      <c r="AQ63" s="190">
        <v>-71812605</v>
      </c>
      <c r="AR63" s="190">
        <v>0</v>
      </c>
      <c r="AS63" s="190">
        <v>-7532241</v>
      </c>
      <c r="AT63" s="190">
        <v>0</v>
      </c>
      <c r="AU63" s="190">
        <v>-7064624</v>
      </c>
      <c r="AV63" s="190">
        <v>0</v>
      </c>
      <c r="AW63" s="190">
        <v>-37857980</v>
      </c>
      <c r="AX63" s="190">
        <v>-18763230</v>
      </c>
      <c r="AY63" s="190">
        <v>-14145687</v>
      </c>
      <c r="AZ63" s="190">
        <v>0</v>
      </c>
      <c r="BA63" s="190">
        <v>-113454060</v>
      </c>
      <c r="BB63" s="190">
        <v>0</v>
      </c>
    </row>
    <row r="64" spans="1:54" x14ac:dyDescent="0.25">
      <c r="A64" s="190" t="s">
        <v>277</v>
      </c>
      <c r="B64" s="190">
        <v>0</v>
      </c>
      <c r="C64" s="190">
        <v>-3859960281</v>
      </c>
      <c r="D64" s="190">
        <v>0</v>
      </c>
      <c r="E64" s="190">
        <v>-837116624</v>
      </c>
      <c r="F64" s="190">
        <v>0</v>
      </c>
      <c r="G64" s="190">
        <v>-1151392088</v>
      </c>
      <c r="H64" s="190">
        <v>0</v>
      </c>
      <c r="I64" s="190">
        <v>-4083662739</v>
      </c>
      <c r="J64" s="190">
        <v>0</v>
      </c>
      <c r="K64" s="190">
        <v>-3582752001</v>
      </c>
      <c r="L64" s="190">
        <v>0</v>
      </c>
      <c r="M64" s="190">
        <v>-1346034104</v>
      </c>
      <c r="N64" s="190">
        <v>0</v>
      </c>
      <c r="O64" s="190">
        <v>-274827261</v>
      </c>
      <c r="P64" s="190">
        <v>0</v>
      </c>
      <c r="Q64" s="190">
        <v>-430991362</v>
      </c>
      <c r="R64" s="190">
        <v>0</v>
      </c>
      <c r="S64" s="190">
        <v>-937667251</v>
      </c>
      <c r="T64" s="190">
        <v>0</v>
      </c>
      <c r="U64" s="190">
        <v>179696615</v>
      </c>
      <c r="V64" s="190">
        <v>0</v>
      </c>
      <c r="W64" s="190">
        <v>368160964</v>
      </c>
      <c r="X64" s="190">
        <v>0</v>
      </c>
      <c r="Y64" s="190">
        <v>-1497750380</v>
      </c>
      <c r="Z64" s="190">
        <v>0</v>
      </c>
      <c r="AA64" s="190">
        <v>-717814262</v>
      </c>
      <c r="AB64" s="190">
        <v>0</v>
      </c>
      <c r="AC64" s="190">
        <v>760411571</v>
      </c>
      <c r="AD64" s="190">
        <v>0</v>
      </c>
      <c r="AE64" s="190">
        <v>-91428547</v>
      </c>
      <c r="AF64" s="190">
        <v>0</v>
      </c>
      <c r="AG64" s="190">
        <v>-203175527</v>
      </c>
      <c r="AH64" s="190">
        <v>0</v>
      </c>
      <c r="AI64" s="190">
        <v>1259829857</v>
      </c>
      <c r="AJ64" s="190">
        <v>0</v>
      </c>
      <c r="AK64" s="190">
        <v>-1883996425</v>
      </c>
      <c r="AL64" s="190">
        <v>0</v>
      </c>
      <c r="AM64" s="190">
        <v>-1001209307</v>
      </c>
      <c r="AN64" s="190">
        <v>0</v>
      </c>
      <c r="AO64" s="190">
        <v>258753855</v>
      </c>
      <c r="AP64" s="190">
        <v>0</v>
      </c>
      <c r="AQ64" s="190">
        <v>-664335968</v>
      </c>
      <c r="AR64" s="190">
        <v>0</v>
      </c>
      <c r="AS64" s="190">
        <v>-29204807</v>
      </c>
      <c r="AT64" s="190">
        <v>0</v>
      </c>
      <c r="AU64" s="190">
        <v>-132725704</v>
      </c>
      <c r="AV64" s="190">
        <v>0</v>
      </c>
      <c r="AW64" s="190">
        <v>-77255577</v>
      </c>
      <c r="AX64" s="190">
        <v>-96111938</v>
      </c>
      <c r="AY64" s="190">
        <v>-119066954</v>
      </c>
      <c r="AZ64" s="190">
        <v>0</v>
      </c>
      <c r="BA64" s="190">
        <v>834430649</v>
      </c>
      <c r="BB64" s="190">
        <v>0</v>
      </c>
    </row>
    <row r="65" spans="1:54" x14ac:dyDescent="0.25">
      <c r="A65" s="190" t="s">
        <v>278</v>
      </c>
      <c r="B65" s="190">
        <v>0</v>
      </c>
      <c r="C65" s="190">
        <v>-1117544764</v>
      </c>
      <c r="D65" s="190">
        <v>0</v>
      </c>
      <c r="E65" s="190">
        <v>1791726094</v>
      </c>
      <c r="F65" s="190">
        <v>0</v>
      </c>
      <c r="G65" s="190">
        <v>147324680</v>
      </c>
      <c r="H65" s="190">
        <v>0</v>
      </c>
      <c r="I65" s="190">
        <v>179372380</v>
      </c>
      <c r="J65" s="190">
        <v>0</v>
      </c>
      <c r="K65" s="190">
        <v>-1121233835</v>
      </c>
      <c r="L65" s="190">
        <v>0</v>
      </c>
      <c r="M65" s="190">
        <v>-546833759</v>
      </c>
      <c r="N65" s="190">
        <v>0</v>
      </c>
      <c r="O65" s="190">
        <v>-621656608</v>
      </c>
      <c r="P65" s="190">
        <v>0</v>
      </c>
      <c r="Q65" s="190">
        <v>581035802</v>
      </c>
      <c r="R65" s="190">
        <v>0</v>
      </c>
      <c r="S65" s="190">
        <v>-333133642</v>
      </c>
      <c r="T65" s="190">
        <v>0</v>
      </c>
      <c r="U65" s="190">
        <v>-895931871</v>
      </c>
      <c r="V65" s="190">
        <v>0</v>
      </c>
      <c r="W65" s="190">
        <v>-1717582277</v>
      </c>
      <c r="X65" s="190">
        <v>0</v>
      </c>
      <c r="Y65" s="190">
        <v>-492905130</v>
      </c>
      <c r="Z65" s="190">
        <v>0</v>
      </c>
      <c r="AA65" s="190">
        <v>-2893149920</v>
      </c>
      <c r="AB65" s="190">
        <v>0</v>
      </c>
      <c r="AC65" s="190">
        <v>-526661853</v>
      </c>
      <c r="AD65" s="190">
        <v>0</v>
      </c>
      <c r="AE65" s="190">
        <v>-1299979707</v>
      </c>
      <c r="AF65" s="190">
        <v>0</v>
      </c>
      <c r="AG65" s="190">
        <v>2204354883</v>
      </c>
      <c r="AH65" s="190">
        <v>0</v>
      </c>
      <c r="AI65" s="190">
        <v>231177176</v>
      </c>
      <c r="AJ65" s="190">
        <v>0</v>
      </c>
      <c r="AK65" s="190">
        <v>524397353</v>
      </c>
      <c r="AL65" s="190">
        <v>0</v>
      </c>
      <c r="AM65" s="190">
        <v>-454736068</v>
      </c>
      <c r="AN65" s="190">
        <v>0</v>
      </c>
      <c r="AO65" s="190">
        <v>-418880327</v>
      </c>
      <c r="AP65" s="190">
        <v>0</v>
      </c>
      <c r="AQ65" s="190">
        <v>-566030317</v>
      </c>
      <c r="AR65" s="190">
        <v>0</v>
      </c>
      <c r="AS65" s="190">
        <v>1233709089</v>
      </c>
      <c r="AT65" s="190">
        <v>0</v>
      </c>
      <c r="AU65" s="190">
        <v>-209852511</v>
      </c>
      <c r="AV65" s="190">
        <v>0</v>
      </c>
      <c r="AW65" s="190">
        <v>-1321035808</v>
      </c>
      <c r="AX65" s="190">
        <v>-1746246503</v>
      </c>
      <c r="AY65" s="190">
        <v>-1744638005</v>
      </c>
      <c r="AZ65" s="190">
        <v>0</v>
      </c>
      <c r="BA65" s="190">
        <v>2930977279</v>
      </c>
      <c r="BB65" s="190">
        <v>0</v>
      </c>
    </row>
    <row r="66" spans="1:5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row>
    <row r="67" spans="1:5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row>
    <row r="68" spans="1:54" x14ac:dyDescent="0.25">
      <c r="A68" s="190" t="s">
        <v>281</v>
      </c>
      <c r="B68" s="190">
        <v>0</v>
      </c>
      <c r="C68" s="190">
        <v>0</v>
      </c>
      <c r="D68" s="190">
        <v>0</v>
      </c>
      <c r="E68" s="190">
        <v>275332074</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row>
    <row r="69" spans="1:54" x14ac:dyDescent="0.25">
      <c r="A69" s="190" t="s">
        <v>282</v>
      </c>
      <c r="B69" s="190">
        <v>0</v>
      </c>
      <c r="C69" s="190">
        <v>4539295904</v>
      </c>
      <c r="D69" s="190">
        <v>0</v>
      </c>
      <c r="E69" s="190">
        <v>17493600297</v>
      </c>
      <c r="F69" s="190">
        <v>0</v>
      </c>
      <c r="G69" s="190">
        <v>7625976938</v>
      </c>
      <c r="H69" s="190">
        <v>0</v>
      </c>
      <c r="I69" s="190">
        <v>6274640003</v>
      </c>
      <c r="J69" s="190">
        <v>0</v>
      </c>
      <c r="K69" s="190">
        <v>353421153</v>
      </c>
      <c r="L69" s="190">
        <v>0</v>
      </c>
      <c r="M69" s="190">
        <v>14117651285</v>
      </c>
      <c r="N69" s="190">
        <v>0</v>
      </c>
      <c r="O69" s="190">
        <v>8040005961</v>
      </c>
      <c r="P69" s="190">
        <v>0</v>
      </c>
      <c r="Q69" s="190">
        <v>17313230619</v>
      </c>
      <c r="R69" s="190">
        <v>0</v>
      </c>
      <c r="S69" s="190">
        <v>7459069158</v>
      </c>
      <c r="T69" s="190">
        <v>0</v>
      </c>
      <c r="U69" s="190">
        <v>14759830013</v>
      </c>
      <c r="V69" s="190">
        <v>0</v>
      </c>
      <c r="W69" s="190">
        <v>6573965098</v>
      </c>
      <c r="X69" s="190">
        <v>0</v>
      </c>
      <c r="Y69" s="190">
        <v>12915917791</v>
      </c>
      <c r="Z69" s="190">
        <v>0</v>
      </c>
      <c r="AA69" s="190">
        <v>4039651036</v>
      </c>
      <c r="AB69" s="190">
        <v>0</v>
      </c>
      <c r="AC69" s="190">
        <v>15107820257</v>
      </c>
      <c r="AD69" s="190">
        <v>0</v>
      </c>
      <c r="AE69" s="190">
        <v>6388008239</v>
      </c>
      <c r="AF69" s="190">
        <v>0</v>
      </c>
      <c r="AG69" s="190">
        <v>16915795774</v>
      </c>
      <c r="AH69" s="190">
        <v>0</v>
      </c>
      <c r="AI69" s="190">
        <v>8046192691</v>
      </c>
      <c r="AJ69" s="190">
        <v>0</v>
      </c>
      <c r="AK69" s="190">
        <v>8634902635</v>
      </c>
      <c r="AL69" s="190">
        <v>0</v>
      </c>
      <c r="AM69" s="190">
        <v>3205779682</v>
      </c>
      <c r="AN69" s="190">
        <v>0</v>
      </c>
      <c r="AO69" s="190">
        <v>8747383174</v>
      </c>
      <c r="AP69" s="190">
        <v>0</v>
      </c>
      <c r="AQ69" s="190">
        <v>3879142654</v>
      </c>
      <c r="AR69" s="190">
        <v>0</v>
      </c>
      <c r="AS69" s="190">
        <v>9132967053</v>
      </c>
      <c r="AT69" s="190">
        <v>0</v>
      </c>
      <c r="AU69" s="190">
        <v>3467539080</v>
      </c>
      <c r="AV69" s="190">
        <v>0</v>
      </c>
      <c r="AW69" s="190">
        <v>5102891768</v>
      </c>
      <c r="AX69" s="190">
        <v>3102937889</v>
      </c>
      <c r="AY69" s="190">
        <v>1632034828</v>
      </c>
      <c r="AZ69" s="190">
        <v>0</v>
      </c>
      <c r="BA69" s="190">
        <v>8870400957</v>
      </c>
      <c r="BB69" s="190">
        <v>0</v>
      </c>
    </row>
    <row r="70" spans="1:5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row>
    <row r="71" spans="1:5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row>
    <row r="72" spans="1:5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row>
    <row r="73" spans="1:54" x14ac:dyDescent="0.25">
      <c r="A73" s="190" t="s">
        <v>286</v>
      </c>
      <c r="B73" s="190">
        <v>0</v>
      </c>
      <c r="C73" s="190">
        <v>8889372436</v>
      </c>
      <c r="D73" s="190">
        <v>0</v>
      </c>
      <c r="E73" s="190">
        <v>11100350893</v>
      </c>
      <c r="F73" s="190">
        <v>0</v>
      </c>
      <c r="G73" s="190">
        <v>9161747049</v>
      </c>
      <c r="H73" s="190">
        <v>0</v>
      </c>
      <c r="I73" s="190">
        <v>11638240506</v>
      </c>
      <c r="J73" s="190">
        <v>0</v>
      </c>
      <c r="K73" s="190">
        <v>13831935999</v>
      </c>
      <c r="L73" s="190">
        <v>0</v>
      </c>
      <c r="M73" s="190">
        <v>8237909745</v>
      </c>
      <c r="N73" s="190">
        <v>0</v>
      </c>
      <c r="O73" s="190">
        <v>9374936584</v>
      </c>
      <c r="P73" s="190">
        <v>0</v>
      </c>
      <c r="Q73" s="190">
        <v>9638517206</v>
      </c>
      <c r="R73" s="190">
        <v>0</v>
      </c>
      <c r="S73" s="190">
        <v>8231161111</v>
      </c>
      <c r="T73" s="190">
        <v>0</v>
      </c>
      <c r="U73" s="190">
        <v>8785125298</v>
      </c>
      <c r="V73" s="190">
        <v>0</v>
      </c>
      <c r="W73" s="190">
        <v>8251430721</v>
      </c>
      <c r="X73" s="190">
        <v>0</v>
      </c>
      <c r="Y73" s="190">
        <v>7753976194</v>
      </c>
      <c r="Z73" s="190">
        <v>0</v>
      </c>
      <c r="AA73" s="190">
        <v>8456487659</v>
      </c>
      <c r="AB73" s="190">
        <v>0</v>
      </c>
      <c r="AC73" s="190">
        <v>4678809979</v>
      </c>
      <c r="AD73" s="190">
        <v>0</v>
      </c>
      <c r="AE73" s="190">
        <v>9805303490</v>
      </c>
      <c r="AF73" s="190">
        <v>7359308623</v>
      </c>
      <c r="AG73" s="190">
        <v>10153209322</v>
      </c>
      <c r="AH73" s="190">
        <v>5861166763</v>
      </c>
      <c r="AI73" s="190">
        <v>4218442993</v>
      </c>
      <c r="AJ73" s="190">
        <v>6060801278</v>
      </c>
      <c r="AK73" s="190">
        <v>9017190649</v>
      </c>
      <c r="AL73" s="190">
        <v>6489196318</v>
      </c>
      <c r="AM73" s="190">
        <v>6085715021</v>
      </c>
      <c r="AN73" s="190">
        <v>4573336328</v>
      </c>
      <c r="AO73" s="190">
        <v>4677747639</v>
      </c>
      <c r="AP73" s="190">
        <v>6056564727</v>
      </c>
      <c r="AQ73" s="190">
        <v>7954553316</v>
      </c>
      <c r="AR73" s="190">
        <v>7823859551</v>
      </c>
      <c r="AS73" s="190">
        <v>7789551415</v>
      </c>
      <c r="AT73" s="190">
        <v>7466137957</v>
      </c>
      <c r="AU73" s="190">
        <v>4499376195</v>
      </c>
      <c r="AV73" s="190">
        <v>6602628507</v>
      </c>
      <c r="AW73" s="190">
        <v>6437511108</v>
      </c>
      <c r="AX73" s="190">
        <v>5623521932</v>
      </c>
      <c r="AY73" s="190">
        <v>4918707553</v>
      </c>
      <c r="AZ73" s="190">
        <v>6126869958</v>
      </c>
      <c r="BA73" s="190">
        <v>5773536537</v>
      </c>
      <c r="BB73" s="190">
        <v>0</v>
      </c>
    </row>
    <row r="74" spans="1:54" x14ac:dyDescent="0.25">
      <c r="A74" s="190" t="s">
        <v>287</v>
      </c>
      <c r="B74" s="190">
        <v>0</v>
      </c>
      <c r="C74" s="190">
        <v>11100350893</v>
      </c>
      <c r="D74" s="190">
        <v>0</v>
      </c>
      <c r="E74" s="190">
        <v>11638240506</v>
      </c>
      <c r="F74" s="190">
        <v>0</v>
      </c>
      <c r="G74" s="190">
        <v>11638240506</v>
      </c>
      <c r="H74" s="190">
        <v>0</v>
      </c>
      <c r="I74" s="190">
        <v>8237909745</v>
      </c>
      <c r="J74" s="190">
        <v>0</v>
      </c>
      <c r="K74" s="190">
        <v>8237909745</v>
      </c>
      <c r="L74" s="190">
        <v>0</v>
      </c>
      <c r="M74" s="190">
        <v>9868902870</v>
      </c>
      <c r="N74" s="190">
        <v>0</v>
      </c>
      <c r="O74" s="190">
        <v>9638517206</v>
      </c>
      <c r="P74" s="190">
        <v>0</v>
      </c>
      <c r="Q74" s="190">
        <v>8785125298</v>
      </c>
      <c r="R74" s="190">
        <v>0</v>
      </c>
      <c r="S74" s="190">
        <v>8785125298</v>
      </c>
      <c r="T74" s="190">
        <v>0</v>
      </c>
      <c r="U74" s="190">
        <v>7837396755</v>
      </c>
      <c r="V74" s="190">
        <v>0</v>
      </c>
      <c r="W74" s="190">
        <v>7753976194</v>
      </c>
      <c r="X74" s="190">
        <v>0</v>
      </c>
      <c r="Y74" s="190">
        <v>4678809979</v>
      </c>
      <c r="Z74" s="190">
        <v>0</v>
      </c>
      <c r="AA74" s="190">
        <v>4678809979</v>
      </c>
      <c r="AB74" s="190">
        <v>0</v>
      </c>
      <c r="AC74" s="190">
        <v>10153209322</v>
      </c>
      <c r="AD74" s="190">
        <v>0</v>
      </c>
      <c r="AE74" s="190">
        <v>10153209322</v>
      </c>
      <c r="AF74" s="190">
        <v>10153209322</v>
      </c>
      <c r="AG74" s="190">
        <v>9091544195</v>
      </c>
      <c r="AH74" s="190">
        <v>9091544195</v>
      </c>
      <c r="AI74" s="190">
        <v>9017190649</v>
      </c>
      <c r="AJ74" s="190">
        <v>9017190649</v>
      </c>
      <c r="AK74" s="190">
        <v>4677747639</v>
      </c>
      <c r="AL74" s="190">
        <v>4677747639</v>
      </c>
      <c r="AM74" s="190">
        <v>4677747639</v>
      </c>
      <c r="AN74" s="190">
        <v>4677747639</v>
      </c>
      <c r="AO74" s="190">
        <v>7789551415</v>
      </c>
      <c r="AP74" s="190">
        <v>7789551415</v>
      </c>
      <c r="AQ74" s="190">
        <v>7789551415</v>
      </c>
      <c r="AR74" s="190">
        <v>7789551415</v>
      </c>
      <c r="AS74" s="190">
        <v>6437511108</v>
      </c>
      <c r="AT74" s="190">
        <v>6437511108</v>
      </c>
      <c r="AU74" s="190">
        <v>6437511108</v>
      </c>
      <c r="AV74" s="190">
        <v>6437511108</v>
      </c>
      <c r="AW74" s="190">
        <v>5773536537</v>
      </c>
      <c r="AX74" s="190">
        <v>5773536537</v>
      </c>
      <c r="AY74" s="190">
        <v>5773536537</v>
      </c>
      <c r="AZ74" s="190">
        <v>5773536537</v>
      </c>
      <c r="BA74" s="190">
        <v>785200273</v>
      </c>
      <c r="BB74" s="190">
        <v>0</v>
      </c>
    </row>
    <row r="75" spans="1:5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row>
    <row r="76" spans="1:5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row>
    <row r="77" spans="1:54" x14ac:dyDescent="0.25">
      <c r="A77" s="190" t="s">
        <v>290</v>
      </c>
      <c r="B77" s="190">
        <v>0</v>
      </c>
      <c r="C77" s="190">
        <v>-2210978457</v>
      </c>
      <c r="D77" s="190">
        <v>0</v>
      </c>
      <c r="E77" s="190">
        <v>-537889613</v>
      </c>
      <c r="F77" s="190">
        <v>0</v>
      </c>
      <c r="G77" s="190">
        <v>-2476493457</v>
      </c>
      <c r="H77" s="190">
        <v>0</v>
      </c>
      <c r="I77" s="190">
        <v>3400330761</v>
      </c>
      <c r="J77" s="190">
        <v>0</v>
      </c>
      <c r="K77" s="190">
        <v>5594026254</v>
      </c>
      <c r="L77" s="190">
        <v>0</v>
      </c>
      <c r="M77" s="190">
        <v>-1630993125</v>
      </c>
      <c r="N77" s="190">
        <v>0</v>
      </c>
      <c r="O77" s="190">
        <v>-263580622</v>
      </c>
      <c r="P77" s="190">
        <v>0</v>
      </c>
      <c r="Q77" s="190">
        <v>853391908</v>
      </c>
      <c r="R77" s="190">
        <v>0</v>
      </c>
      <c r="S77" s="190">
        <v>-553964187</v>
      </c>
      <c r="T77" s="190">
        <v>0</v>
      </c>
      <c r="U77" s="190">
        <v>947728543</v>
      </c>
      <c r="V77" s="190">
        <v>0</v>
      </c>
      <c r="W77" s="190">
        <v>497454527</v>
      </c>
      <c r="X77" s="190">
        <v>0</v>
      </c>
      <c r="Y77" s="190">
        <v>3075166215</v>
      </c>
      <c r="Z77" s="190">
        <v>0</v>
      </c>
      <c r="AA77" s="190">
        <v>3777677680</v>
      </c>
      <c r="AB77" s="190">
        <v>0</v>
      </c>
      <c r="AC77" s="190">
        <v>-5474399343</v>
      </c>
      <c r="AD77" s="190">
        <v>0</v>
      </c>
      <c r="AE77" s="190">
        <v>-347905832</v>
      </c>
      <c r="AF77" s="190">
        <v>-2793900699</v>
      </c>
      <c r="AG77" s="190">
        <v>1061665127</v>
      </c>
      <c r="AH77" s="190">
        <v>-3230377432</v>
      </c>
      <c r="AI77" s="190">
        <v>-4798747656</v>
      </c>
      <c r="AJ77" s="190">
        <v>-2956389371</v>
      </c>
      <c r="AK77" s="190">
        <v>4339443010</v>
      </c>
      <c r="AL77" s="190">
        <v>1811448679</v>
      </c>
      <c r="AM77" s="190">
        <v>1407967382</v>
      </c>
      <c r="AN77" s="190">
        <v>-104411311</v>
      </c>
      <c r="AO77" s="190">
        <v>-3111803776</v>
      </c>
      <c r="AP77" s="190">
        <v>-1732986688</v>
      </c>
      <c r="AQ77" s="190">
        <v>165001901</v>
      </c>
      <c r="AR77" s="190">
        <v>34308136</v>
      </c>
      <c r="AS77" s="190">
        <v>1352040307</v>
      </c>
      <c r="AT77" s="190">
        <v>1028626849</v>
      </c>
      <c r="AU77" s="190">
        <v>-1938134913</v>
      </c>
      <c r="AV77" s="190">
        <v>165117399</v>
      </c>
      <c r="AW77" s="190">
        <v>663974571</v>
      </c>
      <c r="AX77" s="190">
        <v>-150014605</v>
      </c>
      <c r="AY77" s="190">
        <v>-854828984</v>
      </c>
      <c r="AZ77" s="190">
        <v>353333421</v>
      </c>
      <c r="BA77" s="190">
        <v>4988336264</v>
      </c>
      <c r="BB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1.5546875" bestFit="1" customWidth="1"/>
    <col min="6" max="8" width="21.5546875" hidden="1" customWidth="1"/>
    <col min="9" max="9" width="21.5546875" bestFit="1" customWidth="1"/>
    <col min="10" max="11" width="21.5546875" hidden="1" customWidth="1"/>
    <col min="12" max="12" width="21.44140625" hidden="1" customWidth="1"/>
    <col min="13" max="13" width="21.5546875" bestFit="1" customWidth="1"/>
    <col min="14" max="16" width="21.44140625" hidden="1" customWidth="1"/>
    <col min="17" max="17" width="21.5546875" bestFit="1" customWidth="1"/>
    <col min="18" max="20" width="21.44140625" hidden="1" customWidth="1"/>
    <col min="21" max="21" width="21.441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1.5546875" hidden="1" customWidth="1"/>
    <col min="41" max="41" width="21.5546875" bestFit="1" customWidth="1"/>
    <col min="42" max="44" width="21.5546875" hidden="1" customWidth="1"/>
    <col min="45" max="45" width="21.5546875" bestFit="1" customWidth="1"/>
    <col min="46" max="48" width="20.44140625" hidden="1" customWidth="1"/>
    <col min="49" max="49" width="20.44140625" bestFit="1" customWidth="1"/>
    <col min="50" max="50" width="20.44140625" hidden="1" customWidth="1"/>
    <col min="51" max="51" width="21.5546875" hidden="1" customWidth="1"/>
    <col min="52" max="52" width="21.5546875" bestFit="1" customWidth="1"/>
    <col min="53" max="53" width="20.44140625" bestFit="1" customWidth="1"/>
    <col min="54" max="54" width="9.5546875" hidden="1" customWidth="1"/>
    <col min="5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20051231</v>
      </c>
      <c r="BA1" s="190">
        <v>20041231</v>
      </c>
      <c r="BB1" s="190">
        <v>19700101</v>
      </c>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15735898344</v>
      </c>
      <c r="C4" s="190">
        <v>8889372436</v>
      </c>
      <c r="D4" s="190">
        <v>15552446041</v>
      </c>
      <c r="E4" s="190">
        <v>11100350893</v>
      </c>
      <c r="F4" s="190">
        <v>14951304947</v>
      </c>
      <c r="G4" s="190">
        <v>9161747049</v>
      </c>
      <c r="H4" s="190">
        <v>14829480833</v>
      </c>
      <c r="I4" s="190">
        <v>11638240506</v>
      </c>
      <c r="J4" s="190">
        <v>8312784392</v>
      </c>
      <c r="K4" s="190">
        <v>13831935999</v>
      </c>
      <c r="L4" s="190">
        <v>6228396612</v>
      </c>
      <c r="M4" s="190">
        <v>8237909745</v>
      </c>
      <c r="N4" s="190">
        <v>11407709443</v>
      </c>
      <c r="O4" s="190">
        <v>9374936584</v>
      </c>
      <c r="P4" s="190">
        <v>10733550373</v>
      </c>
      <c r="Q4" s="190">
        <v>9638517206</v>
      </c>
      <c r="R4" s="190">
        <v>15144451676</v>
      </c>
      <c r="S4" s="190">
        <v>8231476385</v>
      </c>
      <c r="T4" s="190">
        <v>9717299426</v>
      </c>
      <c r="U4" s="190">
        <v>8785439966</v>
      </c>
      <c r="V4" s="190">
        <v>8505323038</v>
      </c>
      <c r="W4" s="190">
        <v>8251430721</v>
      </c>
      <c r="X4" s="190">
        <v>9233190939</v>
      </c>
      <c r="Y4" s="190">
        <v>7753976194</v>
      </c>
      <c r="Z4" s="190">
        <v>6547531039</v>
      </c>
      <c r="AA4" s="190">
        <v>8456487659</v>
      </c>
      <c r="AB4" s="190">
        <v>5073654319</v>
      </c>
      <c r="AC4" s="190">
        <v>4678809979</v>
      </c>
      <c r="AD4" s="190">
        <v>4944753962</v>
      </c>
      <c r="AE4" s="190">
        <v>9805303490</v>
      </c>
      <c r="AF4" s="190">
        <v>7359308623</v>
      </c>
      <c r="AG4" s="190">
        <v>10153209322</v>
      </c>
      <c r="AH4" s="190">
        <v>5861166763</v>
      </c>
      <c r="AI4" s="190">
        <v>4218442993</v>
      </c>
      <c r="AJ4" s="190">
        <v>6060801278</v>
      </c>
      <c r="AK4" s="190">
        <v>9017190649</v>
      </c>
      <c r="AL4" s="190">
        <v>6489196318</v>
      </c>
      <c r="AM4" s="190">
        <v>6085715021</v>
      </c>
      <c r="AN4" s="190">
        <v>4573336328</v>
      </c>
      <c r="AO4" s="190">
        <v>4677747639</v>
      </c>
      <c r="AP4" s="190">
        <v>6056564727</v>
      </c>
      <c r="AQ4" s="190">
        <v>7954553316</v>
      </c>
      <c r="AR4" s="190">
        <v>7823859551</v>
      </c>
      <c r="AS4" s="190">
        <v>7789551415</v>
      </c>
      <c r="AT4" s="190">
        <v>7466137957</v>
      </c>
      <c r="AU4" s="190">
        <v>4499376195</v>
      </c>
      <c r="AV4" s="190">
        <v>6602628507</v>
      </c>
      <c r="AW4" s="190">
        <v>6437511108</v>
      </c>
      <c r="AX4" s="190">
        <v>5623521932</v>
      </c>
      <c r="AY4" s="190">
        <v>4918707553</v>
      </c>
      <c r="AZ4" s="190">
        <v>5773536537</v>
      </c>
      <c r="BA4" s="190">
        <v>785200273</v>
      </c>
      <c r="BB4" s="190">
        <v>0</v>
      </c>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65158697</v>
      </c>
      <c r="C8" s="190">
        <v>65158697</v>
      </c>
      <c r="D8" s="190">
        <v>65158697</v>
      </c>
      <c r="E8" s="190">
        <v>65158697</v>
      </c>
      <c r="F8" s="190">
        <v>65158697</v>
      </c>
      <c r="G8" s="190">
        <v>65158697</v>
      </c>
      <c r="H8" s="190">
        <v>65158697</v>
      </c>
      <c r="I8" s="190">
        <v>65158697</v>
      </c>
      <c r="J8" s="190">
        <v>65158697</v>
      </c>
      <c r="K8" s="190">
        <v>65158697</v>
      </c>
      <c r="L8" s="190">
        <v>65158697</v>
      </c>
      <c r="M8" s="190">
        <v>65158697</v>
      </c>
      <c r="N8" s="190">
        <v>65158697</v>
      </c>
      <c r="O8" s="190">
        <v>65158697</v>
      </c>
      <c r="P8" s="190">
        <v>65158697</v>
      </c>
      <c r="Q8" s="190">
        <v>65158697</v>
      </c>
      <c r="R8" s="190">
        <v>65158697</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300000</v>
      </c>
      <c r="C11" s="190">
        <v>2950500</v>
      </c>
      <c r="D11" s="190">
        <v>1023991</v>
      </c>
      <c r="E11" s="190">
        <v>2404759034</v>
      </c>
      <c r="F11" s="190">
        <v>2403320625</v>
      </c>
      <c r="G11" s="190">
        <v>1747975</v>
      </c>
      <c r="H11" s="190">
        <v>1447975</v>
      </c>
      <c r="I11" s="190">
        <v>1249432154</v>
      </c>
      <c r="J11" s="190">
        <v>1248535248</v>
      </c>
      <c r="K11" s="190">
        <v>1248535248</v>
      </c>
      <c r="L11" s="190">
        <v>1510631590</v>
      </c>
      <c r="M11" s="190">
        <v>1510636280</v>
      </c>
      <c r="N11" s="190">
        <v>0</v>
      </c>
      <c r="O11" s="190">
        <v>757030551</v>
      </c>
      <c r="P11" s="190">
        <v>1597348164</v>
      </c>
      <c r="Q11" s="190">
        <v>1597383003</v>
      </c>
      <c r="R11" s="190">
        <v>0</v>
      </c>
      <c r="S11" s="190">
        <v>441916</v>
      </c>
      <c r="T11" s="190">
        <v>1234074499</v>
      </c>
      <c r="U11" s="190">
        <v>1234074499</v>
      </c>
      <c r="V11" s="190">
        <v>0</v>
      </c>
      <c r="W11" s="190">
        <v>0</v>
      </c>
      <c r="X11" s="190">
        <v>600000000</v>
      </c>
      <c r="Y11" s="190">
        <v>1265530685</v>
      </c>
      <c r="Z11" s="190">
        <v>0</v>
      </c>
      <c r="AA11" s="190">
        <v>0</v>
      </c>
      <c r="AB11" s="190">
        <v>1194450000</v>
      </c>
      <c r="AC11" s="190">
        <v>1194450000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1076250</v>
      </c>
      <c r="C13" s="190">
        <v>20002500</v>
      </c>
      <c r="D13" s="190">
        <v>15619816</v>
      </c>
      <c r="E13" s="190">
        <v>14731875</v>
      </c>
      <c r="F13" s="190">
        <v>0</v>
      </c>
      <c r="G13" s="190">
        <v>0</v>
      </c>
      <c r="H13" s="190">
        <v>9501375</v>
      </c>
      <c r="I13" s="190">
        <v>10437375</v>
      </c>
      <c r="J13" s="190">
        <v>0</v>
      </c>
      <c r="K13" s="190">
        <v>0</v>
      </c>
      <c r="L13" s="190">
        <v>0</v>
      </c>
      <c r="M13" s="190">
        <v>9933000</v>
      </c>
      <c r="N13" s="190">
        <v>0</v>
      </c>
      <c r="O13" s="190">
        <v>0</v>
      </c>
      <c r="P13" s="190">
        <v>0</v>
      </c>
      <c r="Q13" s="190">
        <v>9780110</v>
      </c>
      <c r="R13" s="190">
        <v>0</v>
      </c>
      <c r="S13" s="190">
        <v>0</v>
      </c>
      <c r="T13" s="190">
        <v>0</v>
      </c>
      <c r="U13" s="190">
        <v>24858167</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15802433291</v>
      </c>
      <c r="C17" s="33">
        <f t="shared" ref="C17:BN17" si="0">SUM(C4:C13)</f>
        <v>8977484133</v>
      </c>
      <c r="D17" s="33">
        <f t="shared" si="0"/>
        <v>15634248545</v>
      </c>
      <c r="E17" s="33">
        <f t="shared" si="0"/>
        <v>13585000499</v>
      </c>
      <c r="F17" s="33">
        <f t="shared" si="0"/>
        <v>17419784269</v>
      </c>
      <c r="G17" s="33">
        <f t="shared" si="0"/>
        <v>9228653721</v>
      </c>
      <c r="H17" s="33">
        <f t="shared" si="0"/>
        <v>14905588880</v>
      </c>
      <c r="I17" s="33">
        <f t="shared" si="0"/>
        <v>12963268732</v>
      </c>
      <c r="J17" s="33">
        <f t="shared" si="0"/>
        <v>9626478337</v>
      </c>
      <c r="K17" s="33">
        <f t="shared" si="0"/>
        <v>15145629944</v>
      </c>
      <c r="L17" s="33">
        <f t="shared" si="0"/>
        <v>7804186899</v>
      </c>
      <c r="M17" s="33">
        <f t="shared" si="0"/>
        <v>9823637722</v>
      </c>
      <c r="N17" s="33">
        <f t="shared" si="0"/>
        <v>11472868140</v>
      </c>
      <c r="O17" s="33">
        <f t="shared" si="0"/>
        <v>10197125832</v>
      </c>
      <c r="P17" s="33">
        <f t="shared" si="0"/>
        <v>12396057234</v>
      </c>
      <c r="Q17" s="33">
        <f t="shared" si="0"/>
        <v>11310839016</v>
      </c>
      <c r="R17" s="33">
        <f t="shared" si="0"/>
        <v>15209610373</v>
      </c>
      <c r="S17" s="33">
        <f t="shared" si="0"/>
        <v>8231918301</v>
      </c>
      <c r="T17" s="33">
        <f t="shared" si="0"/>
        <v>10951373925</v>
      </c>
      <c r="U17" s="33">
        <f t="shared" si="0"/>
        <v>10044372632</v>
      </c>
      <c r="V17" s="33">
        <f t="shared" si="0"/>
        <v>8505323038</v>
      </c>
      <c r="W17" s="33">
        <f t="shared" si="0"/>
        <v>8251430721</v>
      </c>
      <c r="X17" s="33">
        <f t="shared" si="0"/>
        <v>9833190939</v>
      </c>
      <c r="Y17" s="33">
        <f t="shared" si="0"/>
        <v>9019506879</v>
      </c>
      <c r="Z17" s="33">
        <f t="shared" si="0"/>
        <v>6547531039</v>
      </c>
      <c r="AA17" s="33">
        <f t="shared" si="0"/>
        <v>8456487659</v>
      </c>
      <c r="AB17" s="33">
        <f t="shared" si="0"/>
        <v>6268104319</v>
      </c>
      <c r="AC17" s="33">
        <f t="shared" si="0"/>
        <v>5873259979</v>
      </c>
      <c r="AD17" s="33">
        <f t="shared" si="0"/>
        <v>4944753962</v>
      </c>
      <c r="AE17" s="33">
        <f t="shared" si="0"/>
        <v>9805303490</v>
      </c>
      <c r="AF17" s="33">
        <f t="shared" si="0"/>
        <v>7359308623</v>
      </c>
      <c r="AG17" s="33">
        <f t="shared" si="0"/>
        <v>10153209322</v>
      </c>
      <c r="AH17" s="33">
        <f t="shared" si="0"/>
        <v>5861166763</v>
      </c>
      <c r="AI17" s="33">
        <f t="shared" si="0"/>
        <v>4218442993</v>
      </c>
      <c r="AJ17" s="33">
        <f t="shared" si="0"/>
        <v>6060801278</v>
      </c>
      <c r="AK17" s="33">
        <f t="shared" si="0"/>
        <v>9017190649</v>
      </c>
      <c r="AL17" s="33">
        <f t="shared" si="0"/>
        <v>6489196318</v>
      </c>
      <c r="AM17" s="33">
        <f t="shared" si="0"/>
        <v>6085715021</v>
      </c>
      <c r="AN17" s="33">
        <f t="shared" si="0"/>
        <v>4573336328</v>
      </c>
      <c r="AO17" s="33">
        <f t="shared" si="0"/>
        <v>4677747639</v>
      </c>
      <c r="AP17" s="33">
        <f t="shared" si="0"/>
        <v>6056564727</v>
      </c>
      <c r="AQ17" s="33">
        <f t="shared" si="0"/>
        <v>7954553316</v>
      </c>
      <c r="AR17" s="33">
        <f t="shared" si="0"/>
        <v>7823859551</v>
      </c>
      <c r="AS17" s="33">
        <f t="shared" si="0"/>
        <v>7789551415</v>
      </c>
      <c r="AT17" s="33">
        <f t="shared" si="0"/>
        <v>7466137957</v>
      </c>
      <c r="AU17" s="33">
        <f t="shared" si="0"/>
        <v>4499376195</v>
      </c>
      <c r="AV17" s="33">
        <f t="shared" si="0"/>
        <v>6602628507</v>
      </c>
      <c r="AW17" s="33">
        <f t="shared" si="0"/>
        <v>6437511108</v>
      </c>
      <c r="AX17" s="33">
        <f t="shared" si="0"/>
        <v>5623521932</v>
      </c>
      <c r="AY17" s="33">
        <f t="shared" si="0"/>
        <v>4918707553</v>
      </c>
      <c r="AZ17" s="33">
        <f t="shared" si="0"/>
        <v>5773536537</v>
      </c>
      <c r="BA17" s="33">
        <f t="shared" si="0"/>
        <v>785200273</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22437941450</v>
      </c>
      <c r="C19" s="190">
        <v>21633171469</v>
      </c>
      <c r="D19" s="190">
        <v>20830073817</v>
      </c>
      <c r="E19" s="190">
        <v>20059833772</v>
      </c>
      <c r="F19" s="190">
        <v>19184215848</v>
      </c>
      <c r="G19" s="190">
        <v>20893397474</v>
      </c>
      <c r="H19" s="190">
        <v>20024763725</v>
      </c>
      <c r="I19" s="190">
        <v>19334512433</v>
      </c>
      <c r="J19" s="190">
        <v>18704541970</v>
      </c>
      <c r="K19" s="190">
        <v>18538874624</v>
      </c>
      <c r="L19" s="190">
        <v>18894075129</v>
      </c>
      <c r="M19" s="190">
        <v>18425069796</v>
      </c>
      <c r="N19" s="190">
        <v>19313319200</v>
      </c>
      <c r="O19" s="190">
        <v>18821263521</v>
      </c>
      <c r="P19" s="190">
        <v>18139127007</v>
      </c>
      <c r="Q19" s="190">
        <v>17735147007</v>
      </c>
      <c r="R19" s="190">
        <v>18595660143</v>
      </c>
      <c r="S19" s="190">
        <v>17897163535</v>
      </c>
      <c r="T19" s="190">
        <v>17217097172</v>
      </c>
      <c r="U19" s="190">
        <v>16672097172</v>
      </c>
      <c r="V19" s="190">
        <v>17039699676</v>
      </c>
      <c r="W19" s="190">
        <v>16430233698</v>
      </c>
      <c r="X19" s="190">
        <v>15590413767</v>
      </c>
      <c r="Y19" s="190">
        <v>15000413767</v>
      </c>
      <c r="Z19" s="190">
        <v>15625369901</v>
      </c>
      <c r="AA19" s="190">
        <v>15236212042</v>
      </c>
      <c r="AB19" s="190">
        <v>14642307915</v>
      </c>
      <c r="AC19" s="190">
        <v>14190036535</v>
      </c>
      <c r="AD19" s="190">
        <v>14955569385</v>
      </c>
      <c r="AE19" s="190">
        <v>14494329442</v>
      </c>
      <c r="AF19" s="190">
        <v>14065543542</v>
      </c>
      <c r="AG19" s="190">
        <v>13574856956</v>
      </c>
      <c r="AH19" s="190">
        <v>14248124999</v>
      </c>
      <c r="AI19" s="190">
        <v>65158697</v>
      </c>
      <c r="AJ19" s="190">
        <v>65158697</v>
      </c>
      <c r="AK19" s="190">
        <v>65158697</v>
      </c>
      <c r="AL19" s="190">
        <v>65158697</v>
      </c>
      <c r="AM19" s="190">
        <v>65158697</v>
      </c>
      <c r="AN19" s="190">
        <v>65158697</v>
      </c>
      <c r="AO19" s="190">
        <v>65158697</v>
      </c>
      <c r="AP19" s="190">
        <v>65158697</v>
      </c>
      <c r="AQ19" s="190">
        <v>65158697</v>
      </c>
      <c r="AR19" s="190">
        <v>65158697</v>
      </c>
      <c r="AS19" s="190">
        <v>0</v>
      </c>
      <c r="AT19" s="190">
        <v>0</v>
      </c>
      <c r="AU19" s="190">
        <v>0</v>
      </c>
      <c r="AV19" s="190">
        <v>0</v>
      </c>
      <c r="AW19" s="190">
        <v>0</v>
      </c>
      <c r="AX19" s="190">
        <v>0</v>
      </c>
      <c r="AY19" s="190">
        <v>0</v>
      </c>
      <c r="AZ19" s="190">
        <v>0</v>
      </c>
      <c r="BA19" s="190">
        <v>0</v>
      </c>
      <c r="BB19" s="190">
        <v>0</v>
      </c>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315334657</v>
      </c>
      <c r="C22" s="190">
        <v>750022876</v>
      </c>
      <c r="D22" s="190">
        <v>447945357</v>
      </c>
      <c r="E22" s="190">
        <v>416217765</v>
      </c>
      <c r="F22" s="190">
        <v>589814728</v>
      </c>
      <c r="G22" s="190">
        <v>1425377256</v>
      </c>
      <c r="H22" s="190">
        <v>1678542586</v>
      </c>
      <c r="I22" s="190">
        <v>1428986763</v>
      </c>
      <c r="J22" s="190">
        <v>1906895393</v>
      </c>
      <c r="K22" s="190">
        <v>2154522861</v>
      </c>
      <c r="L22" s="190">
        <v>1748344294</v>
      </c>
      <c r="M22" s="190">
        <v>414536669</v>
      </c>
      <c r="N22" s="190">
        <v>389549703</v>
      </c>
      <c r="O22" s="190">
        <v>26243726</v>
      </c>
      <c r="P22" s="190">
        <v>32516000</v>
      </c>
      <c r="Q22" s="190">
        <v>39300300</v>
      </c>
      <c r="R22" s="190">
        <v>26399790</v>
      </c>
      <c r="S22" s="190">
        <v>15145410</v>
      </c>
      <c r="T22" s="190">
        <v>13874000</v>
      </c>
      <c r="U22" s="190">
        <v>11097357</v>
      </c>
      <c r="V22" s="190">
        <v>2815005</v>
      </c>
      <c r="W22" s="190">
        <v>15468325</v>
      </c>
      <c r="X22" s="190">
        <v>17201920</v>
      </c>
      <c r="Y22" s="190">
        <v>7664296</v>
      </c>
      <c r="Z22" s="190">
        <v>11200000</v>
      </c>
      <c r="AA22" s="190">
        <v>5350000</v>
      </c>
      <c r="AB22" s="190">
        <v>7223000</v>
      </c>
      <c r="AC22" s="190">
        <v>11050000</v>
      </c>
      <c r="AD22" s="190">
        <v>4700000</v>
      </c>
      <c r="AE22" s="190">
        <v>4300000</v>
      </c>
      <c r="AF22" s="190">
        <v>1000000</v>
      </c>
      <c r="AG22" s="190">
        <v>1000000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6026815209</v>
      </c>
      <c r="C23" s="190">
        <v>6302553449</v>
      </c>
      <c r="D23" s="190">
        <v>6329829504</v>
      </c>
      <c r="E23" s="190">
        <v>5344344049</v>
      </c>
      <c r="F23" s="190">
        <v>6329555160</v>
      </c>
      <c r="G23" s="190">
        <v>5815805168</v>
      </c>
      <c r="H23" s="190">
        <v>6056238676</v>
      </c>
      <c r="I23" s="190">
        <v>4509622064</v>
      </c>
      <c r="J23" s="190">
        <v>4917731232</v>
      </c>
      <c r="K23" s="190">
        <v>4155552126</v>
      </c>
      <c r="L23" s="190">
        <v>2117328938</v>
      </c>
      <c r="M23" s="190">
        <v>2710223049</v>
      </c>
      <c r="N23" s="190">
        <v>2825155672</v>
      </c>
      <c r="O23" s="190">
        <v>2581542274</v>
      </c>
      <c r="P23" s="190">
        <v>5210755133</v>
      </c>
      <c r="Q23" s="190">
        <v>2316828381</v>
      </c>
      <c r="R23" s="190">
        <v>2148037046</v>
      </c>
      <c r="S23" s="190">
        <v>2452681300</v>
      </c>
      <c r="T23" s="190">
        <v>4234097421</v>
      </c>
      <c r="U23" s="190">
        <v>2080795737</v>
      </c>
      <c r="V23" s="190">
        <v>2183370257</v>
      </c>
      <c r="W23" s="190">
        <v>1919471215</v>
      </c>
      <c r="X23" s="190">
        <v>3906882777</v>
      </c>
      <c r="Y23" s="190">
        <v>2041066447</v>
      </c>
      <c r="Z23" s="190">
        <v>1874426063</v>
      </c>
      <c r="AA23" s="190">
        <v>1898369847</v>
      </c>
      <c r="AB23" s="190">
        <v>2373865301</v>
      </c>
      <c r="AC23" s="190">
        <v>1021196084</v>
      </c>
      <c r="AD23" s="190">
        <v>2421140491</v>
      </c>
      <c r="AE23" s="190">
        <v>2121679796</v>
      </c>
      <c r="AF23" s="190">
        <v>3161153497</v>
      </c>
      <c r="AG23" s="190">
        <v>2023840830</v>
      </c>
      <c r="AH23" s="190">
        <v>2613440904</v>
      </c>
      <c r="AI23" s="190">
        <v>1256618567</v>
      </c>
      <c r="AJ23" s="190">
        <v>2912709211</v>
      </c>
      <c r="AK23" s="190">
        <v>2530041043</v>
      </c>
      <c r="AL23" s="190">
        <v>2138005617</v>
      </c>
      <c r="AM23" s="190">
        <v>1621060517</v>
      </c>
      <c r="AN23" s="190">
        <v>1557168629</v>
      </c>
      <c r="AO23" s="190">
        <v>656208338</v>
      </c>
      <c r="AP23" s="190">
        <v>701352638</v>
      </c>
      <c r="AQ23" s="190">
        <v>1507024072</v>
      </c>
      <c r="AR23" s="190">
        <v>772955733</v>
      </c>
      <c r="AS23" s="190">
        <v>918487345</v>
      </c>
      <c r="AT23" s="190">
        <v>104511076</v>
      </c>
      <c r="AU23" s="190">
        <v>66031759</v>
      </c>
      <c r="AV23" s="190">
        <v>57909374</v>
      </c>
      <c r="AW23" s="190">
        <v>33254644</v>
      </c>
      <c r="AX23" s="190">
        <v>46040146</v>
      </c>
      <c r="AY23" s="190">
        <v>43742568</v>
      </c>
      <c r="AZ23" s="190">
        <v>52466568</v>
      </c>
      <c r="BA23" s="190">
        <v>3003806</v>
      </c>
      <c r="BB23" s="190">
        <v>0</v>
      </c>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936143299</v>
      </c>
      <c r="C24" s="190">
        <v>79752397</v>
      </c>
      <c r="D24" s="190">
        <v>180765396</v>
      </c>
      <c r="E24" s="190">
        <v>172507089</v>
      </c>
      <c r="F24" s="190">
        <v>153959110</v>
      </c>
      <c r="G24" s="190">
        <v>70821029</v>
      </c>
      <c r="H24" s="190">
        <v>412089927</v>
      </c>
      <c r="I24" s="190">
        <v>118983495</v>
      </c>
      <c r="J24" s="190">
        <v>137307892</v>
      </c>
      <c r="K24" s="190">
        <v>112512439</v>
      </c>
      <c r="L24" s="190">
        <v>72737747</v>
      </c>
      <c r="M24" s="190">
        <v>110592429</v>
      </c>
      <c r="N24" s="190">
        <v>158407554</v>
      </c>
      <c r="O24" s="190">
        <v>265490775</v>
      </c>
      <c r="P24" s="190">
        <v>98657466</v>
      </c>
      <c r="Q24" s="190">
        <v>190457980</v>
      </c>
      <c r="R24" s="190">
        <v>240453068</v>
      </c>
      <c r="S24" s="190">
        <v>218560077</v>
      </c>
      <c r="T24" s="190">
        <v>223302757</v>
      </c>
      <c r="U24" s="190">
        <v>250517752</v>
      </c>
      <c r="V24" s="190">
        <v>370816823</v>
      </c>
      <c r="W24" s="190">
        <v>205380087</v>
      </c>
      <c r="X24" s="190">
        <v>120361483</v>
      </c>
      <c r="Y24" s="190">
        <v>111798003</v>
      </c>
      <c r="Z24" s="190">
        <v>112143473</v>
      </c>
      <c r="AA24" s="190">
        <v>98217083</v>
      </c>
      <c r="AB24" s="190">
        <v>106868993</v>
      </c>
      <c r="AC24" s="190">
        <v>78854766</v>
      </c>
      <c r="AD24" s="190">
        <v>211411486</v>
      </c>
      <c r="AE24" s="190">
        <v>201519447</v>
      </c>
      <c r="AF24" s="190">
        <v>130982463</v>
      </c>
      <c r="AG24" s="190">
        <v>114669146</v>
      </c>
      <c r="AH24" s="190">
        <v>40895893</v>
      </c>
      <c r="AI24" s="190">
        <v>32253434</v>
      </c>
      <c r="AJ24" s="190">
        <v>31944303</v>
      </c>
      <c r="AK24" s="190">
        <v>24194640</v>
      </c>
      <c r="AL24" s="190">
        <v>58500505</v>
      </c>
      <c r="AM24" s="190">
        <v>48886883</v>
      </c>
      <c r="AN24" s="190">
        <v>202209907</v>
      </c>
      <c r="AO24" s="190">
        <v>1563540</v>
      </c>
      <c r="AP24" s="190">
        <v>39003912</v>
      </c>
      <c r="AQ24" s="190">
        <v>66566221</v>
      </c>
      <c r="AR24" s="190">
        <v>50607467</v>
      </c>
      <c r="AS24" s="190">
        <v>1731484</v>
      </c>
      <c r="AT24" s="190">
        <v>9413417</v>
      </c>
      <c r="AU24" s="190">
        <v>11488306</v>
      </c>
      <c r="AV24" s="190">
        <v>26112117</v>
      </c>
      <c r="AW24" s="190">
        <v>11591151</v>
      </c>
      <c r="AX24" s="190">
        <v>21854608</v>
      </c>
      <c r="AY24" s="190">
        <v>53230503</v>
      </c>
      <c r="AZ24" s="190">
        <v>12511556</v>
      </c>
      <c r="BA24" s="190">
        <v>5304254</v>
      </c>
      <c r="BB24" s="190">
        <v>0</v>
      </c>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2133753754</v>
      </c>
      <c r="C25" s="190">
        <v>3135412714</v>
      </c>
      <c r="D25" s="190">
        <v>1623802385</v>
      </c>
      <c r="E25" s="190">
        <v>1074491582</v>
      </c>
      <c r="F25" s="190">
        <v>1442870465</v>
      </c>
      <c r="G25" s="190">
        <v>555324612</v>
      </c>
      <c r="H25" s="190">
        <v>1268633701</v>
      </c>
      <c r="I25" s="190">
        <v>1439043538</v>
      </c>
      <c r="J25" s="190">
        <v>1930765454</v>
      </c>
      <c r="K25" s="190">
        <v>1537712712</v>
      </c>
      <c r="L25" s="190">
        <v>1136491832</v>
      </c>
      <c r="M25" s="190">
        <v>1166270329</v>
      </c>
      <c r="N25" s="190">
        <v>1526760023</v>
      </c>
      <c r="O25" s="190">
        <v>996821728</v>
      </c>
      <c r="P25" s="190">
        <v>801344217</v>
      </c>
      <c r="Q25" s="190">
        <v>972400600</v>
      </c>
      <c r="R25" s="190">
        <v>1288460071</v>
      </c>
      <c r="S25" s="190">
        <v>1051896325</v>
      </c>
      <c r="T25" s="190">
        <v>500389614</v>
      </c>
      <c r="U25" s="190">
        <v>420614672</v>
      </c>
      <c r="V25" s="190">
        <v>608098985</v>
      </c>
      <c r="W25" s="190">
        <v>414389061</v>
      </c>
      <c r="X25" s="190">
        <v>169403235</v>
      </c>
      <c r="Y25" s="190">
        <v>671049775</v>
      </c>
      <c r="Z25" s="190">
        <v>228285150</v>
      </c>
      <c r="AA25" s="190">
        <v>352810235</v>
      </c>
      <c r="AB25" s="190">
        <v>619171917</v>
      </c>
      <c r="AC25" s="190">
        <v>532894727</v>
      </c>
      <c r="AD25" s="190">
        <v>608368475</v>
      </c>
      <c r="AE25" s="190">
        <v>708431090</v>
      </c>
      <c r="AF25" s="190">
        <v>691973709</v>
      </c>
      <c r="AG25" s="190">
        <v>786991809</v>
      </c>
      <c r="AH25" s="190">
        <v>171895103</v>
      </c>
      <c r="AI25" s="190">
        <v>32399912</v>
      </c>
      <c r="AJ25" s="190">
        <v>193635417</v>
      </c>
      <c r="AK25" s="190">
        <v>85554833</v>
      </c>
      <c r="AL25" s="190">
        <v>1255997792</v>
      </c>
      <c r="AM25" s="190">
        <v>1239210892</v>
      </c>
      <c r="AN25" s="190">
        <v>1267727942</v>
      </c>
      <c r="AO25" s="190">
        <v>1280112557</v>
      </c>
      <c r="AP25" s="190">
        <v>131693005</v>
      </c>
      <c r="AQ25" s="190">
        <v>105991460</v>
      </c>
      <c r="AR25" s="190">
        <v>96362655</v>
      </c>
      <c r="AS25" s="190">
        <v>95026956</v>
      </c>
      <c r="AT25" s="190">
        <v>677718800</v>
      </c>
      <c r="AU25" s="190">
        <v>1074175334</v>
      </c>
      <c r="AV25" s="190">
        <v>1064601708</v>
      </c>
      <c r="AW25" s="190">
        <v>941195181</v>
      </c>
      <c r="AX25" s="190">
        <v>419624496</v>
      </c>
      <c r="AY25" s="190">
        <v>413408378</v>
      </c>
      <c r="AZ25" s="190">
        <v>326429189</v>
      </c>
      <c r="BA25" s="190">
        <v>10053753</v>
      </c>
      <c r="BB25" s="190">
        <v>0</v>
      </c>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1526614372</v>
      </c>
      <c r="C26" s="190">
        <v>1610834141</v>
      </c>
      <c r="D26" s="190">
        <v>1599602022</v>
      </c>
      <c r="E26" s="190">
        <v>1528204845</v>
      </c>
      <c r="F26" s="190">
        <v>1730611541</v>
      </c>
      <c r="G26" s="190">
        <v>1778724267</v>
      </c>
      <c r="H26" s="190">
        <v>1676413329</v>
      </c>
      <c r="I26" s="190">
        <v>1612490533</v>
      </c>
      <c r="J26" s="190">
        <v>1707199473</v>
      </c>
      <c r="K26" s="190">
        <v>1733847224</v>
      </c>
      <c r="L26" s="190">
        <v>1709012193</v>
      </c>
      <c r="M26" s="190">
        <v>1709462676</v>
      </c>
      <c r="N26" s="190">
        <v>1717963441</v>
      </c>
      <c r="O26" s="190">
        <v>1759489873</v>
      </c>
      <c r="P26" s="190">
        <v>1768481291</v>
      </c>
      <c r="Q26" s="190">
        <v>1685566127</v>
      </c>
      <c r="R26" s="190">
        <v>1827082737</v>
      </c>
      <c r="S26" s="190">
        <v>1765858972</v>
      </c>
      <c r="T26" s="190">
        <v>1710023294</v>
      </c>
      <c r="U26" s="190">
        <v>1786848822</v>
      </c>
      <c r="V26" s="190">
        <v>1615545159</v>
      </c>
      <c r="W26" s="190">
        <v>1592234256</v>
      </c>
      <c r="X26" s="190">
        <v>1691324668</v>
      </c>
      <c r="Y26" s="190">
        <v>1658125917</v>
      </c>
      <c r="Z26" s="190">
        <v>1573329713</v>
      </c>
      <c r="AA26" s="190">
        <v>1532366135</v>
      </c>
      <c r="AB26" s="190">
        <v>1418428004</v>
      </c>
      <c r="AC26" s="190">
        <v>1478370228</v>
      </c>
      <c r="AD26" s="190">
        <v>1418642292</v>
      </c>
      <c r="AE26" s="190">
        <v>1351998913</v>
      </c>
      <c r="AF26" s="190">
        <v>1260480705</v>
      </c>
      <c r="AG26" s="190">
        <v>1174006875</v>
      </c>
      <c r="AH26" s="190">
        <v>1233054728</v>
      </c>
      <c r="AI26" s="190">
        <v>849567183</v>
      </c>
      <c r="AJ26" s="190">
        <v>833835654</v>
      </c>
      <c r="AK26" s="190">
        <v>826273918</v>
      </c>
      <c r="AL26" s="190">
        <v>806989018</v>
      </c>
      <c r="AM26" s="190">
        <v>747606938</v>
      </c>
      <c r="AN26" s="190">
        <v>714898670</v>
      </c>
      <c r="AO26" s="190">
        <v>675097409</v>
      </c>
      <c r="AP26" s="190">
        <v>238918913</v>
      </c>
      <c r="AQ26" s="190">
        <v>262028843</v>
      </c>
      <c r="AR26" s="190">
        <v>195212618</v>
      </c>
      <c r="AS26" s="190">
        <v>190216238</v>
      </c>
      <c r="AT26" s="190">
        <v>165434859</v>
      </c>
      <c r="AU26" s="190">
        <v>189748621</v>
      </c>
      <c r="AV26" s="190">
        <v>164991805</v>
      </c>
      <c r="AW26" s="190">
        <v>182683997</v>
      </c>
      <c r="AX26" s="190">
        <v>163589247</v>
      </c>
      <c r="AY26" s="190">
        <v>158971704</v>
      </c>
      <c r="AZ26" s="190">
        <v>144826017</v>
      </c>
      <c r="BA26" s="190">
        <v>34371680</v>
      </c>
      <c r="BB26" s="190">
        <v>0</v>
      </c>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223488727</v>
      </c>
      <c r="C27" s="190">
        <v>356603350</v>
      </c>
      <c r="D27" s="190">
        <v>396999508</v>
      </c>
      <c r="E27" s="190">
        <v>388974250</v>
      </c>
      <c r="F27" s="190">
        <v>130386760</v>
      </c>
      <c r="G27" s="190">
        <v>226165303</v>
      </c>
      <c r="H27" s="190">
        <v>71711130</v>
      </c>
      <c r="I27" s="190">
        <v>102800375</v>
      </c>
      <c r="J27" s="190">
        <v>0</v>
      </c>
      <c r="K27" s="190">
        <v>79430472</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17845</v>
      </c>
      <c r="AS27" s="190">
        <v>0</v>
      </c>
      <c r="AT27" s="190">
        <v>0</v>
      </c>
      <c r="AU27" s="190">
        <v>0</v>
      </c>
      <c r="AV27" s="190">
        <v>0</v>
      </c>
      <c r="AW27" s="190">
        <v>0</v>
      </c>
      <c r="AX27" s="190">
        <v>0</v>
      </c>
      <c r="AY27" s="190">
        <v>0</v>
      </c>
      <c r="AZ27" s="190">
        <v>0</v>
      </c>
      <c r="BA27" s="190">
        <v>0</v>
      </c>
      <c r="BB27" s="190">
        <v>0</v>
      </c>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3000000</v>
      </c>
      <c r="C28" s="190">
        <v>3000000</v>
      </c>
      <c r="D28" s="190">
        <v>3000000</v>
      </c>
      <c r="E28" s="190">
        <v>3000000</v>
      </c>
      <c r="F28" s="190">
        <v>3000000</v>
      </c>
      <c r="G28" s="190">
        <v>3000000</v>
      </c>
      <c r="H28" s="190">
        <v>3000000</v>
      </c>
      <c r="I28" s="190">
        <v>3000000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11165150018</v>
      </c>
      <c r="C33" s="35">
        <f t="shared" ref="C33:BN33" si="2">SUM(C22:C29)</f>
        <v>12238178927</v>
      </c>
      <c r="D33" s="35">
        <f t="shared" si="2"/>
        <v>10581944172</v>
      </c>
      <c r="E33" s="35">
        <f t="shared" si="2"/>
        <v>8927739580</v>
      </c>
      <c r="F33" s="35">
        <f t="shared" si="2"/>
        <v>10380197764</v>
      </c>
      <c r="G33" s="35">
        <f t="shared" si="2"/>
        <v>9875217635</v>
      </c>
      <c r="H33" s="35">
        <f t="shared" si="2"/>
        <v>11166629349</v>
      </c>
      <c r="I33" s="35">
        <f t="shared" si="2"/>
        <v>9214926768</v>
      </c>
      <c r="J33" s="35">
        <f t="shared" si="2"/>
        <v>10599899444</v>
      </c>
      <c r="K33" s="35">
        <f t="shared" si="2"/>
        <v>9773577834</v>
      </c>
      <c r="L33" s="35">
        <f t="shared" si="2"/>
        <v>6783915004</v>
      </c>
      <c r="M33" s="35">
        <f t="shared" si="2"/>
        <v>6111085152</v>
      </c>
      <c r="N33" s="35">
        <f t="shared" si="2"/>
        <v>6617836393</v>
      </c>
      <c r="O33" s="35">
        <f t="shared" si="2"/>
        <v>5629588376</v>
      </c>
      <c r="P33" s="35">
        <f t="shared" si="2"/>
        <v>7911754107</v>
      </c>
      <c r="Q33" s="35">
        <f t="shared" si="2"/>
        <v>5204553388</v>
      </c>
      <c r="R33" s="35">
        <f t="shared" si="2"/>
        <v>5530432712</v>
      </c>
      <c r="S33" s="35">
        <f t="shared" si="2"/>
        <v>5504142084</v>
      </c>
      <c r="T33" s="35">
        <f t="shared" si="2"/>
        <v>6681687086</v>
      </c>
      <c r="U33" s="35">
        <f t="shared" si="2"/>
        <v>4549874340</v>
      </c>
      <c r="V33" s="35">
        <f t="shared" si="2"/>
        <v>4780646229</v>
      </c>
      <c r="W33" s="35">
        <f t="shared" si="2"/>
        <v>4146942944</v>
      </c>
      <c r="X33" s="35">
        <f t="shared" si="2"/>
        <v>5905174083</v>
      </c>
      <c r="Y33" s="35">
        <f t="shared" si="2"/>
        <v>4489704438</v>
      </c>
      <c r="Z33" s="35">
        <f t="shared" si="2"/>
        <v>3799384399</v>
      </c>
      <c r="AA33" s="35">
        <f t="shared" si="2"/>
        <v>3887113300</v>
      </c>
      <c r="AB33" s="35">
        <f t="shared" si="2"/>
        <v>4525557215</v>
      </c>
      <c r="AC33" s="35">
        <f t="shared" si="2"/>
        <v>3122365805</v>
      </c>
      <c r="AD33" s="35">
        <f t="shared" si="2"/>
        <v>4664262744</v>
      </c>
      <c r="AE33" s="35">
        <f t="shared" si="2"/>
        <v>4387929246</v>
      </c>
      <c r="AF33" s="35">
        <f t="shared" si="2"/>
        <v>5245590374</v>
      </c>
      <c r="AG33" s="35">
        <f t="shared" si="2"/>
        <v>4100508660</v>
      </c>
      <c r="AH33" s="35">
        <f t="shared" si="2"/>
        <v>4059286628</v>
      </c>
      <c r="AI33" s="35">
        <f t="shared" si="2"/>
        <v>2170839096</v>
      </c>
      <c r="AJ33" s="35">
        <f t="shared" si="2"/>
        <v>3972124585</v>
      </c>
      <c r="AK33" s="35">
        <f t="shared" si="2"/>
        <v>3466064434</v>
      </c>
      <c r="AL33" s="35">
        <f t="shared" si="2"/>
        <v>4259492932</v>
      </c>
      <c r="AM33" s="35">
        <f t="shared" si="2"/>
        <v>3656765230</v>
      </c>
      <c r="AN33" s="35">
        <f t="shared" si="2"/>
        <v>3742005148</v>
      </c>
      <c r="AO33" s="35">
        <f t="shared" si="2"/>
        <v>2612981844</v>
      </c>
      <c r="AP33" s="35">
        <f t="shared" si="2"/>
        <v>1110968468</v>
      </c>
      <c r="AQ33" s="35">
        <f t="shared" si="2"/>
        <v>1941610596</v>
      </c>
      <c r="AR33" s="35">
        <f t="shared" si="2"/>
        <v>1115156318</v>
      </c>
      <c r="AS33" s="35">
        <f t="shared" si="2"/>
        <v>1205462023</v>
      </c>
      <c r="AT33" s="35">
        <f t="shared" si="2"/>
        <v>957078152</v>
      </c>
      <c r="AU33" s="35">
        <f t="shared" si="2"/>
        <v>1341444020</v>
      </c>
      <c r="AV33" s="35">
        <f t="shared" si="2"/>
        <v>1313615004</v>
      </c>
      <c r="AW33" s="35">
        <f t="shared" si="2"/>
        <v>1168724973</v>
      </c>
      <c r="AX33" s="35">
        <f t="shared" si="2"/>
        <v>651108497</v>
      </c>
      <c r="AY33" s="35">
        <f t="shared" si="2"/>
        <v>669353153</v>
      </c>
      <c r="AZ33" s="35">
        <f t="shared" si="2"/>
        <v>536233330</v>
      </c>
      <c r="BA33" s="35">
        <f t="shared" si="2"/>
        <v>52733493</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1080830000</v>
      </c>
      <c r="D35" s="190">
        <v>876090000</v>
      </c>
      <c r="E35" s="190">
        <v>500000000</v>
      </c>
      <c r="F35" s="190">
        <v>0</v>
      </c>
      <c r="G35" s="190">
        <v>0</v>
      </c>
      <c r="H35" s="190">
        <v>54600000</v>
      </c>
      <c r="I35" s="190">
        <v>31400000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90">
        <v>0</v>
      </c>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3248636933</v>
      </c>
      <c r="D36" s="190">
        <v>3216167136</v>
      </c>
      <c r="E36" s="190">
        <v>3277621186</v>
      </c>
      <c r="F36" s="190">
        <v>3761958429</v>
      </c>
      <c r="G36" s="190">
        <v>3381107574</v>
      </c>
      <c r="H36" s="190">
        <v>4350992013</v>
      </c>
      <c r="I36" s="190">
        <v>3228153659</v>
      </c>
      <c r="J36" s="190">
        <v>3567332225</v>
      </c>
      <c r="K36" s="190">
        <v>3090282030</v>
      </c>
      <c r="L36" s="190">
        <v>1298839920</v>
      </c>
      <c r="M36" s="190">
        <v>3122054995</v>
      </c>
      <c r="N36" s="190">
        <v>3152986272</v>
      </c>
      <c r="O36" s="190">
        <v>3844043666</v>
      </c>
      <c r="P36" s="190">
        <v>5976532038</v>
      </c>
      <c r="Q36" s="190">
        <v>3943812496</v>
      </c>
      <c r="R36" s="190">
        <v>4764935233</v>
      </c>
      <c r="S36" s="190">
        <v>4133494703</v>
      </c>
      <c r="T36" s="190">
        <v>5012673474</v>
      </c>
      <c r="U36" s="190">
        <v>3554961816</v>
      </c>
      <c r="V36" s="190">
        <v>4405586964</v>
      </c>
      <c r="W36" s="190">
        <v>3316601818</v>
      </c>
      <c r="X36" s="190">
        <v>5114626964</v>
      </c>
      <c r="Y36" s="190">
        <v>3747270059</v>
      </c>
      <c r="Z36" s="190">
        <v>3819552230</v>
      </c>
      <c r="AA36" s="190">
        <v>3494583414</v>
      </c>
      <c r="AB36" s="190">
        <v>2804163935</v>
      </c>
      <c r="AC36" s="190">
        <v>3725845561</v>
      </c>
      <c r="AD36" s="190">
        <v>3535646592</v>
      </c>
      <c r="AE36" s="190">
        <v>3179992687</v>
      </c>
      <c r="AF36" s="190">
        <v>2504322290</v>
      </c>
      <c r="AG36" s="190">
        <v>2717114275</v>
      </c>
      <c r="AH36" s="190">
        <v>3278794089</v>
      </c>
      <c r="AI36" s="190">
        <v>2078223049</v>
      </c>
      <c r="AJ36" s="190">
        <v>1394133154</v>
      </c>
      <c r="AK36" s="190">
        <v>2441597987</v>
      </c>
      <c r="AL36" s="190">
        <v>1371626959</v>
      </c>
      <c r="AM36" s="190">
        <v>1286866094</v>
      </c>
      <c r="AN36" s="190">
        <v>1320502754</v>
      </c>
      <c r="AO36" s="190">
        <v>1918297902</v>
      </c>
      <c r="AP36" s="190">
        <v>1523285306</v>
      </c>
      <c r="AQ36" s="190">
        <v>1408983077</v>
      </c>
      <c r="AR36" s="190">
        <v>1063038763</v>
      </c>
      <c r="AS36" s="190">
        <v>1187297891</v>
      </c>
      <c r="AT36" s="190">
        <v>1193631402</v>
      </c>
      <c r="AU36" s="190">
        <v>1207626784</v>
      </c>
      <c r="AV36" s="190">
        <v>978412587</v>
      </c>
      <c r="AW36" s="190">
        <v>1833782552</v>
      </c>
      <c r="AX36" s="190">
        <v>888655732</v>
      </c>
      <c r="AY36" s="190">
        <v>1110685530</v>
      </c>
      <c r="AZ36" s="190">
        <v>1511778682</v>
      </c>
      <c r="BA36" s="190">
        <v>748720576</v>
      </c>
      <c r="BB36" s="190">
        <v>0</v>
      </c>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2439287289</v>
      </c>
      <c r="C37" s="190">
        <v>1164773320</v>
      </c>
      <c r="D37" s="190">
        <v>1076328532</v>
      </c>
      <c r="E37" s="190">
        <v>1402783083</v>
      </c>
      <c r="F37" s="190">
        <v>2525087537</v>
      </c>
      <c r="G37" s="190">
        <v>1002100067</v>
      </c>
      <c r="H37" s="190">
        <v>1062210133</v>
      </c>
      <c r="I37" s="190">
        <v>1274584235</v>
      </c>
      <c r="J37" s="190">
        <v>1730234168</v>
      </c>
      <c r="K37" s="190">
        <v>604606717</v>
      </c>
      <c r="L37" s="190">
        <v>660414775</v>
      </c>
      <c r="M37" s="190">
        <v>1006652758</v>
      </c>
      <c r="N37" s="190">
        <v>1584986030</v>
      </c>
      <c r="O37" s="190">
        <v>586771162</v>
      </c>
      <c r="P37" s="190">
        <v>690772758</v>
      </c>
      <c r="Q37" s="190">
        <v>1102685048</v>
      </c>
      <c r="R37" s="190">
        <v>1866825835</v>
      </c>
      <c r="S37" s="190">
        <v>632207157</v>
      </c>
      <c r="T37" s="190">
        <v>593849723</v>
      </c>
      <c r="U37" s="190">
        <v>844970022</v>
      </c>
      <c r="V37" s="190">
        <v>1608436440</v>
      </c>
      <c r="W37" s="190">
        <v>646027903</v>
      </c>
      <c r="X37" s="190">
        <v>504627263</v>
      </c>
      <c r="Y37" s="190">
        <v>1007641900</v>
      </c>
      <c r="Z37" s="190">
        <v>1072021966</v>
      </c>
      <c r="AA37" s="190">
        <v>627208550</v>
      </c>
      <c r="AB37" s="190">
        <v>756235638</v>
      </c>
      <c r="AC37" s="190">
        <v>559024715</v>
      </c>
      <c r="AD37" s="190">
        <v>948123345</v>
      </c>
      <c r="AE37" s="190">
        <v>485426136</v>
      </c>
      <c r="AF37" s="190">
        <v>523506425</v>
      </c>
      <c r="AG37" s="190">
        <v>535626014</v>
      </c>
      <c r="AH37" s="190">
        <v>373743122</v>
      </c>
      <c r="AI37" s="190">
        <v>170929107</v>
      </c>
      <c r="AJ37" s="190">
        <v>108010938</v>
      </c>
      <c r="AK37" s="190">
        <v>146487117</v>
      </c>
      <c r="AL37" s="190">
        <v>203470130</v>
      </c>
      <c r="AM37" s="190">
        <v>103128775</v>
      </c>
      <c r="AN37" s="190">
        <v>96699858</v>
      </c>
      <c r="AO37" s="190">
        <v>108506822</v>
      </c>
      <c r="AP37" s="190">
        <v>224685441</v>
      </c>
      <c r="AQ37" s="190">
        <v>177739204</v>
      </c>
      <c r="AR37" s="190">
        <v>108506553</v>
      </c>
      <c r="AS37" s="190">
        <v>167325003</v>
      </c>
      <c r="AT37" s="190">
        <v>371014172</v>
      </c>
      <c r="AU37" s="190">
        <v>166724398</v>
      </c>
      <c r="AV37" s="190">
        <v>153267220</v>
      </c>
      <c r="AW37" s="190">
        <v>198072060</v>
      </c>
      <c r="AX37" s="190">
        <v>288412809</v>
      </c>
      <c r="AY37" s="190">
        <v>113186573</v>
      </c>
      <c r="AZ37" s="190">
        <v>88331109</v>
      </c>
      <c r="BA37" s="190">
        <v>988669</v>
      </c>
      <c r="BB37" s="190">
        <v>0</v>
      </c>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1094915361</v>
      </c>
      <c r="C39" s="190">
        <v>920694207</v>
      </c>
      <c r="D39" s="190">
        <v>876158547</v>
      </c>
      <c r="E39" s="190">
        <v>765288355</v>
      </c>
      <c r="F39" s="190">
        <v>871997590</v>
      </c>
      <c r="G39" s="190">
        <v>952136690</v>
      </c>
      <c r="H39" s="190">
        <v>789064149</v>
      </c>
      <c r="I39" s="190">
        <v>786987706</v>
      </c>
      <c r="J39" s="190">
        <v>754416528</v>
      </c>
      <c r="K39" s="190">
        <v>802530769</v>
      </c>
      <c r="L39" s="190">
        <v>778578178</v>
      </c>
      <c r="M39" s="190">
        <v>642540095</v>
      </c>
      <c r="N39" s="190">
        <v>509598009</v>
      </c>
      <c r="O39" s="190">
        <v>509272303</v>
      </c>
      <c r="P39" s="190">
        <v>395802693</v>
      </c>
      <c r="Q39" s="190">
        <v>440209425</v>
      </c>
      <c r="R39" s="190">
        <v>552193425</v>
      </c>
      <c r="S39" s="190">
        <v>619159585</v>
      </c>
      <c r="T39" s="190">
        <v>505739380</v>
      </c>
      <c r="U39" s="190">
        <v>432745632</v>
      </c>
      <c r="V39" s="190">
        <v>698832500</v>
      </c>
      <c r="W39" s="190">
        <v>453540506</v>
      </c>
      <c r="X39" s="190">
        <v>379567077</v>
      </c>
      <c r="Y39" s="190">
        <v>363905760</v>
      </c>
      <c r="Z39" s="190">
        <v>367869107</v>
      </c>
      <c r="AA39" s="190">
        <v>402705580</v>
      </c>
      <c r="AB39" s="190">
        <v>643848168</v>
      </c>
      <c r="AC39" s="190">
        <v>645730169</v>
      </c>
      <c r="AD39" s="190">
        <v>936266124</v>
      </c>
      <c r="AE39" s="190">
        <v>729312629</v>
      </c>
      <c r="AF39" s="190">
        <v>736094910</v>
      </c>
      <c r="AG39" s="190">
        <v>700093329</v>
      </c>
      <c r="AH39" s="190">
        <v>703946300</v>
      </c>
      <c r="AI39" s="190">
        <v>613602154</v>
      </c>
      <c r="AJ39" s="190">
        <v>632767454</v>
      </c>
      <c r="AK39" s="190">
        <v>591706601</v>
      </c>
      <c r="AL39" s="190">
        <v>689580475</v>
      </c>
      <c r="AM39" s="190">
        <v>630911103</v>
      </c>
      <c r="AN39" s="190">
        <v>625534250</v>
      </c>
      <c r="AO39" s="190">
        <v>604654595</v>
      </c>
      <c r="AP39" s="190">
        <v>741375266</v>
      </c>
      <c r="AQ39" s="190">
        <v>675759078</v>
      </c>
      <c r="AR39" s="190">
        <v>543621765</v>
      </c>
      <c r="AS39" s="190">
        <v>552672418</v>
      </c>
      <c r="AT39" s="190">
        <v>514619584</v>
      </c>
      <c r="AU39" s="190">
        <v>478906661</v>
      </c>
      <c r="AV39" s="190">
        <v>425075557</v>
      </c>
      <c r="AW39" s="190">
        <v>449755233</v>
      </c>
      <c r="AX39" s="190">
        <v>363544347</v>
      </c>
      <c r="AY39" s="190">
        <v>294112191</v>
      </c>
      <c r="AZ39" s="190">
        <v>252346457</v>
      </c>
      <c r="BA39" s="190">
        <v>57359873</v>
      </c>
      <c r="BB39" s="190">
        <v>0</v>
      </c>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2414751804</v>
      </c>
      <c r="C40" s="190">
        <v>1836479092</v>
      </c>
      <c r="D40" s="190">
        <v>3752783498</v>
      </c>
      <c r="E40" s="190">
        <v>3312895453</v>
      </c>
      <c r="F40" s="190">
        <v>2687183553</v>
      </c>
      <c r="G40" s="190">
        <v>1697429361</v>
      </c>
      <c r="H40" s="190">
        <v>1798658097</v>
      </c>
      <c r="I40" s="190">
        <v>1477957897</v>
      </c>
      <c r="J40" s="190">
        <v>618726519</v>
      </c>
      <c r="K40" s="190">
        <v>688284050</v>
      </c>
      <c r="L40" s="190">
        <v>1185867162</v>
      </c>
      <c r="M40" s="190">
        <v>1807664810</v>
      </c>
      <c r="N40" s="190">
        <v>1943165419</v>
      </c>
      <c r="O40" s="190">
        <v>1506902947</v>
      </c>
      <c r="P40" s="190">
        <v>1125516381</v>
      </c>
      <c r="Q40" s="190">
        <v>1768637812</v>
      </c>
      <c r="R40" s="190">
        <v>1941749289</v>
      </c>
      <c r="S40" s="190">
        <v>922192957</v>
      </c>
      <c r="T40" s="190">
        <v>678854242</v>
      </c>
      <c r="U40" s="190">
        <v>2084350143</v>
      </c>
      <c r="V40" s="190">
        <v>1694337184</v>
      </c>
      <c r="W40" s="190">
        <v>1149919190</v>
      </c>
      <c r="X40" s="190">
        <v>960837996</v>
      </c>
      <c r="Y40" s="190">
        <v>2069251951</v>
      </c>
      <c r="Z40" s="190">
        <v>1508547602</v>
      </c>
      <c r="AA40" s="190">
        <v>753530353</v>
      </c>
      <c r="AB40" s="190">
        <v>1670684096</v>
      </c>
      <c r="AC40" s="190">
        <v>2280311293</v>
      </c>
      <c r="AD40" s="190">
        <v>1697964901</v>
      </c>
      <c r="AE40" s="190">
        <v>1274850669</v>
      </c>
      <c r="AF40" s="190">
        <v>1406300124</v>
      </c>
      <c r="AG40" s="190">
        <v>1691117082</v>
      </c>
      <c r="AH40" s="190">
        <v>1465237726</v>
      </c>
      <c r="AI40" s="190">
        <v>1126673821</v>
      </c>
      <c r="AJ40" s="190">
        <v>1206706974</v>
      </c>
      <c r="AK40" s="190">
        <v>888007335</v>
      </c>
      <c r="AL40" s="190">
        <v>823218823</v>
      </c>
      <c r="AM40" s="190">
        <v>775322457</v>
      </c>
      <c r="AN40" s="190">
        <v>880851311</v>
      </c>
      <c r="AO40" s="190">
        <v>887243861</v>
      </c>
      <c r="AP40" s="190">
        <v>629909847</v>
      </c>
      <c r="AQ40" s="190">
        <v>755395051</v>
      </c>
      <c r="AR40" s="190">
        <v>1028921728</v>
      </c>
      <c r="AS40" s="190">
        <v>1669170424</v>
      </c>
      <c r="AT40" s="190">
        <v>1078227423</v>
      </c>
      <c r="AU40" s="190">
        <v>935660759</v>
      </c>
      <c r="AV40" s="190">
        <v>1155606278</v>
      </c>
      <c r="AW40" s="190">
        <v>1086149418</v>
      </c>
      <c r="AX40" s="190">
        <v>607109570</v>
      </c>
      <c r="AY40" s="190">
        <v>813903278</v>
      </c>
      <c r="AZ40" s="190">
        <v>788990062</v>
      </c>
      <c r="BA40" s="190">
        <v>214981895</v>
      </c>
      <c r="BB40" s="190">
        <v>0</v>
      </c>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5782296331</v>
      </c>
      <c r="C41" s="190">
        <v>6123632843</v>
      </c>
      <c r="D41" s="190">
        <v>6205216500</v>
      </c>
      <c r="E41" s="190">
        <v>7034377723</v>
      </c>
      <c r="F41" s="190">
        <v>4645922414</v>
      </c>
      <c r="G41" s="190">
        <v>3371284664</v>
      </c>
      <c r="H41" s="190">
        <v>3292219072</v>
      </c>
      <c r="I41" s="190">
        <v>3819508337</v>
      </c>
      <c r="J41" s="190">
        <v>3322203255</v>
      </c>
      <c r="K41" s="190">
        <v>4340421720</v>
      </c>
      <c r="L41" s="190">
        <v>4236023529</v>
      </c>
      <c r="M41" s="190">
        <v>4948671916</v>
      </c>
      <c r="N41" s="190">
        <v>3853049010</v>
      </c>
      <c r="O41" s="190">
        <v>3338764077</v>
      </c>
      <c r="P41" s="190">
        <v>2856142706</v>
      </c>
      <c r="Q41" s="190">
        <v>4459536976</v>
      </c>
      <c r="R41" s="190">
        <v>3491586680</v>
      </c>
      <c r="S41" s="190">
        <v>3251616290</v>
      </c>
      <c r="T41" s="190">
        <v>4093972466</v>
      </c>
      <c r="U41" s="190">
        <v>5194734590</v>
      </c>
      <c r="V41" s="190">
        <v>3215675629</v>
      </c>
      <c r="W41" s="190">
        <v>3866919266</v>
      </c>
      <c r="X41" s="190">
        <v>3497715988</v>
      </c>
      <c r="Y41" s="190">
        <v>5033131770</v>
      </c>
      <c r="Z41" s="190">
        <v>3662333521</v>
      </c>
      <c r="AA41" s="190">
        <v>3858925444</v>
      </c>
      <c r="AB41" s="190">
        <v>4306142581</v>
      </c>
      <c r="AC41" s="190">
        <v>5302053857</v>
      </c>
      <c r="AD41" s="190">
        <v>5927231778</v>
      </c>
      <c r="AE41" s="190">
        <v>6705854005</v>
      </c>
      <c r="AF41" s="190">
        <v>8949102027</v>
      </c>
      <c r="AG41" s="190">
        <v>11039062070</v>
      </c>
      <c r="AH41" s="190">
        <v>25789504542</v>
      </c>
      <c r="AI41" s="190">
        <v>4320474793</v>
      </c>
      <c r="AJ41" s="190">
        <v>4029329401</v>
      </c>
      <c r="AK41" s="190">
        <v>4337735241</v>
      </c>
      <c r="AL41" s="190">
        <v>19086737596</v>
      </c>
      <c r="AM41" s="190">
        <v>20328814716</v>
      </c>
      <c r="AN41" s="190">
        <v>18617276192</v>
      </c>
      <c r="AO41" s="190">
        <v>18584557056</v>
      </c>
      <c r="AP41" s="190">
        <v>16049641079</v>
      </c>
      <c r="AQ41" s="190">
        <v>11453862068</v>
      </c>
      <c r="AR41" s="190">
        <v>9086938992</v>
      </c>
      <c r="AS41" s="190">
        <v>9995187143</v>
      </c>
      <c r="AT41" s="190">
        <v>2705190533</v>
      </c>
      <c r="AU41" s="190">
        <v>2098170824</v>
      </c>
      <c r="AV41" s="190">
        <v>2140186375</v>
      </c>
      <c r="AW41" s="190">
        <v>2179871002</v>
      </c>
      <c r="AX41" s="190">
        <v>2567643959</v>
      </c>
      <c r="AY41" s="190">
        <v>9527829532</v>
      </c>
      <c r="AZ41" s="190">
        <v>11187263462</v>
      </c>
      <c r="BA41" s="190">
        <v>879373230</v>
      </c>
      <c r="BB41" s="190">
        <v>0</v>
      </c>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2816642738</v>
      </c>
      <c r="C42" s="190">
        <v>2806882233</v>
      </c>
      <c r="D42" s="190">
        <v>2819562966</v>
      </c>
      <c r="E42" s="190">
        <v>2799389590</v>
      </c>
      <c r="F42" s="190">
        <v>2689508117</v>
      </c>
      <c r="G42" s="190">
        <v>2686551771</v>
      </c>
      <c r="H42" s="190">
        <v>2678228648</v>
      </c>
      <c r="I42" s="190">
        <v>2668655297</v>
      </c>
      <c r="J42" s="190">
        <v>2663014555</v>
      </c>
      <c r="K42" s="190">
        <v>2647802929</v>
      </c>
      <c r="L42" s="190">
        <v>2623152184</v>
      </c>
      <c r="M42" s="190">
        <v>2629606934</v>
      </c>
      <c r="N42" s="190">
        <v>2546059054</v>
      </c>
      <c r="O42" s="190">
        <v>2531677424</v>
      </c>
      <c r="P42" s="190">
        <v>2507936692</v>
      </c>
      <c r="Q42" s="190">
        <v>2507936692</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88916523</v>
      </c>
      <c r="C43" s="190">
        <v>80696358</v>
      </c>
      <c r="D43" s="190">
        <v>75847236</v>
      </c>
      <c r="E43" s="190">
        <v>75847236</v>
      </c>
      <c r="F43" s="190">
        <v>35374617</v>
      </c>
      <c r="G43" s="190">
        <v>35374617</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142636764</v>
      </c>
      <c r="D44" s="190">
        <v>144610902</v>
      </c>
      <c r="E44" s="190">
        <v>145059051</v>
      </c>
      <c r="F44" s="190">
        <v>146471873</v>
      </c>
      <c r="G44" s="190">
        <v>147011268</v>
      </c>
      <c r="H44" s="190">
        <v>140213244</v>
      </c>
      <c r="I44" s="190">
        <v>140487779</v>
      </c>
      <c r="J44" s="190">
        <v>149406066</v>
      </c>
      <c r="K44" s="190">
        <v>138347412</v>
      </c>
      <c r="L44" s="190">
        <v>139528639</v>
      </c>
      <c r="M44" s="190">
        <v>139947767</v>
      </c>
      <c r="N44" s="190">
        <v>126616655</v>
      </c>
      <c r="O44" s="190">
        <v>133105846</v>
      </c>
      <c r="P44" s="190">
        <v>123509925</v>
      </c>
      <c r="Q44" s="190">
        <v>75273754</v>
      </c>
      <c r="R44" s="190">
        <v>67968023</v>
      </c>
      <c r="S44" s="190">
        <v>59365592</v>
      </c>
      <c r="T44" s="190">
        <v>53319014</v>
      </c>
      <c r="U44" s="190">
        <v>54365592</v>
      </c>
      <c r="V44" s="190">
        <v>11707646</v>
      </c>
      <c r="W44" s="190">
        <v>13041494</v>
      </c>
      <c r="X44" s="190">
        <v>1070346</v>
      </c>
      <c r="Y44" s="190">
        <v>1070346</v>
      </c>
      <c r="Z44" s="190">
        <v>2469274</v>
      </c>
      <c r="AA44" s="190">
        <v>1202900</v>
      </c>
      <c r="AB44" s="190">
        <v>516034</v>
      </c>
      <c r="AC44" s="190">
        <v>516034</v>
      </c>
      <c r="AD44" s="190">
        <v>516034</v>
      </c>
      <c r="AE44" s="190">
        <v>516034</v>
      </c>
      <c r="AF44" s="190">
        <v>516034</v>
      </c>
      <c r="AG44" s="190">
        <v>516034</v>
      </c>
      <c r="AH44" s="190">
        <v>516034</v>
      </c>
      <c r="AI44" s="190">
        <v>516034</v>
      </c>
      <c r="AJ44" s="190">
        <v>516034</v>
      </c>
      <c r="AK44" s="190">
        <v>516034</v>
      </c>
      <c r="AL44" s="190">
        <v>506874</v>
      </c>
      <c r="AM44" s="190">
        <v>0</v>
      </c>
      <c r="AN44" s="190">
        <v>592170</v>
      </c>
      <c r="AO44" s="190">
        <v>592170</v>
      </c>
      <c r="AP44" s="190">
        <v>592170</v>
      </c>
      <c r="AQ44" s="190">
        <v>592170</v>
      </c>
      <c r="AR44" s="190">
        <v>539202</v>
      </c>
      <c r="AS44" s="190">
        <v>539202</v>
      </c>
      <c r="AT44" s="190">
        <v>539201</v>
      </c>
      <c r="AU44" s="190">
        <v>539201</v>
      </c>
      <c r="AV44" s="190">
        <v>0</v>
      </c>
      <c r="AW44" s="190">
        <v>2937462</v>
      </c>
      <c r="AX44" s="190">
        <v>3086228</v>
      </c>
      <c r="AY44" s="190">
        <v>3400395</v>
      </c>
      <c r="AZ44" s="190">
        <v>5565251</v>
      </c>
      <c r="BA44" s="190">
        <v>2358569</v>
      </c>
      <c r="BB44" s="190">
        <v>0</v>
      </c>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5000000000</v>
      </c>
      <c r="G45" s="190">
        <v>5000000000</v>
      </c>
      <c r="H45" s="190">
        <v>11000000000</v>
      </c>
      <c r="I45" s="190">
        <v>11000000000</v>
      </c>
      <c r="J45" s="190">
        <v>10000000000</v>
      </c>
      <c r="K45" s="190">
        <v>10000000000</v>
      </c>
      <c r="L45" s="190">
        <v>4000000000</v>
      </c>
      <c r="M45" s="190">
        <v>4000000000</v>
      </c>
      <c r="N45" s="190">
        <v>0</v>
      </c>
      <c r="O45" s="190">
        <v>2000000000</v>
      </c>
      <c r="P45" s="190">
        <v>2000000000</v>
      </c>
      <c r="Q45" s="190">
        <v>2000000000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11820167308</v>
      </c>
      <c r="C49" s="35">
        <f>SUM(C35:C41)+SUM(C43:C45)</f>
        <v>14598379517</v>
      </c>
      <c r="D49" s="35">
        <f>SUM(D35:D41)+SUM(D43:D45)</f>
        <v>16223202351</v>
      </c>
      <c r="E49" s="35">
        <f>SUM(E35:E45)</f>
        <v>19313261677</v>
      </c>
      <c r="F49" s="35">
        <f t="shared" ref="F49:BQ49" si="4">SUM(F35:F45)</f>
        <v>22363504130</v>
      </c>
      <c r="G49" s="35">
        <f t="shared" si="4"/>
        <v>18272996012</v>
      </c>
      <c r="H49" s="35">
        <f t="shared" si="4"/>
        <v>25166185356</v>
      </c>
      <c r="I49" s="35">
        <f t="shared" si="4"/>
        <v>24427734910</v>
      </c>
      <c r="J49" s="35">
        <f t="shared" si="4"/>
        <v>22805333316</v>
      </c>
      <c r="K49" s="35">
        <f t="shared" si="4"/>
        <v>22312275627</v>
      </c>
      <c r="L49" s="35">
        <f t="shared" si="4"/>
        <v>14922404387</v>
      </c>
      <c r="M49" s="35">
        <f t="shared" si="4"/>
        <v>18297139275</v>
      </c>
      <c r="N49" s="35">
        <f t="shared" si="4"/>
        <v>13716460449</v>
      </c>
      <c r="O49" s="35">
        <f t="shared" si="4"/>
        <v>14450537425</v>
      </c>
      <c r="P49" s="35">
        <f t="shared" si="4"/>
        <v>15676213193</v>
      </c>
      <c r="Q49" s="35">
        <f t="shared" si="4"/>
        <v>16298092203</v>
      </c>
      <c r="R49" s="35">
        <f t="shared" si="4"/>
        <v>12685258485</v>
      </c>
      <c r="S49" s="35">
        <f t="shared" si="4"/>
        <v>9618036284</v>
      </c>
      <c r="T49" s="35">
        <f t="shared" si="4"/>
        <v>10938408299</v>
      </c>
      <c r="U49" s="35">
        <f t="shared" si="4"/>
        <v>12166127795</v>
      </c>
      <c r="V49" s="35">
        <f t="shared" si="4"/>
        <v>11634576363</v>
      </c>
      <c r="W49" s="35">
        <f t="shared" si="4"/>
        <v>9446050177</v>
      </c>
      <c r="X49" s="35">
        <f t="shared" si="4"/>
        <v>10458445634</v>
      </c>
      <c r="Y49" s="35">
        <f t="shared" si="4"/>
        <v>12222271786</v>
      </c>
      <c r="Z49" s="35">
        <f t="shared" si="4"/>
        <v>10432793700</v>
      </c>
      <c r="AA49" s="35">
        <f t="shared" si="4"/>
        <v>9138156241</v>
      </c>
      <c r="AB49" s="35">
        <f t="shared" si="4"/>
        <v>10181590452</v>
      </c>
      <c r="AC49" s="35">
        <f t="shared" si="4"/>
        <v>12513481629</v>
      </c>
      <c r="AD49" s="35">
        <f t="shared" si="4"/>
        <v>13045748774</v>
      </c>
      <c r="AE49" s="35">
        <f t="shared" si="4"/>
        <v>12375952160</v>
      </c>
      <c r="AF49" s="35">
        <f t="shared" si="4"/>
        <v>14119841810</v>
      </c>
      <c r="AG49" s="35">
        <f t="shared" si="4"/>
        <v>16683528804</v>
      </c>
      <c r="AH49" s="35">
        <f t="shared" si="4"/>
        <v>31611741813</v>
      </c>
      <c r="AI49" s="35">
        <f t="shared" si="4"/>
        <v>8310418958</v>
      </c>
      <c r="AJ49" s="35">
        <f t="shared" si="4"/>
        <v>7371463955</v>
      </c>
      <c r="AK49" s="35">
        <f t="shared" si="4"/>
        <v>8406050315</v>
      </c>
      <c r="AL49" s="35">
        <f t="shared" si="4"/>
        <v>22175140857</v>
      </c>
      <c r="AM49" s="35">
        <f t="shared" si="4"/>
        <v>23125043145</v>
      </c>
      <c r="AN49" s="35">
        <f t="shared" si="4"/>
        <v>21541456535</v>
      </c>
      <c r="AO49" s="35">
        <f t="shared" si="4"/>
        <v>22103852406</v>
      </c>
      <c r="AP49" s="35">
        <f t="shared" si="4"/>
        <v>19169489109</v>
      </c>
      <c r="AQ49" s="35">
        <f t="shared" si="4"/>
        <v>14472330648</v>
      </c>
      <c r="AR49" s="35">
        <f t="shared" si="4"/>
        <v>11831567003</v>
      </c>
      <c r="AS49" s="35">
        <f t="shared" si="4"/>
        <v>13572192081</v>
      </c>
      <c r="AT49" s="35">
        <f t="shared" si="4"/>
        <v>5863222315</v>
      </c>
      <c r="AU49" s="35">
        <f t="shared" si="4"/>
        <v>4887628627</v>
      </c>
      <c r="AV49" s="35">
        <f t="shared" si="4"/>
        <v>4852548017</v>
      </c>
      <c r="AW49" s="35">
        <f t="shared" si="4"/>
        <v>5750567727</v>
      </c>
      <c r="AX49" s="35">
        <f t="shared" si="4"/>
        <v>4718452645</v>
      </c>
      <c r="AY49" s="35">
        <f t="shared" si="4"/>
        <v>11863117499</v>
      </c>
      <c r="AZ49" s="35">
        <f t="shared" si="4"/>
        <v>13834275023</v>
      </c>
      <c r="BA49" s="35">
        <f t="shared" si="4"/>
        <v>1903782812</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-655017290</v>
      </c>
      <c r="C50" s="36">
        <f t="shared" ref="C50:BN50" si="6">C33-C49</f>
        <v>-2360200590</v>
      </c>
      <c r="D50" s="36">
        <f t="shared" si="6"/>
        <v>-5641258179</v>
      </c>
      <c r="E50" s="36">
        <f t="shared" si="6"/>
        <v>-10385522097</v>
      </c>
      <c r="F50" s="36">
        <f t="shared" si="6"/>
        <v>-11983306366</v>
      </c>
      <c r="G50" s="36">
        <f t="shared" si="6"/>
        <v>-8397778377</v>
      </c>
      <c r="H50" s="36">
        <f t="shared" si="6"/>
        <v>-13999556007</v>
      </c>
      <c r="I50" s="36">
        <f t="shared" si="6"/>
        <v>-15212808142</v>
      </c>
      <c r="J50" s="36">
        <f t="shared" si="6"/>
        <v>-12205433872</v>
      </c>
      <c r="K50" s="36">
        <f t="shared" si="6"/>
        <v>-12538697793</v>
      </c>
      <c r="L50" s="36">
        <f t="shared" si="6"/>
        <v>-8138489383</v>
      </c>
      <c r="M50" s="36">
        <f t="shared" si="6"/>
        <v>-12186054123</v>
      </c>
      <c r="N50" s="36">
        <f t="shared" si="6"/>
        <v>-7098624056</v>
      </c>
      <c r="O50" s="36">
        <f t="shared" si="6"/>
        <v>-8820949049</v>
      </c>
      <c r="P50" s="36">
        <f t="shared" si="6"/>
        <v>-7764459086</v>
      </c>
      <c r="Q50" s="36">
        <f t="shared" si="6"/>
        <v>-11093538815</v>
      </c>
      <c r="R50" s="36">
        <f t="shared" si="6"/>
        <v>-7154825773</v>
      </c>
      <c r="S50" s="36">
        <f t="shared" si="6"/>
        <v>-4113894200</v>
      </c>
      <c r="T50" s="36">
        <f t="shared" si="6"/>
        <v>-4256721213</v>
      </c>
      <c r="U50" s="36">
        <f t="shared" si="6"/>
        <v>-7616253455</v>
      </c>
      <c r="V50" s="36">
        <f t="shared" si="6"/>
        <v>-6853930134</v>
      </c>
      <c r="W50" s="36">
        <f t="shared" si="6"/>
        <v>-5299107233</v>
      </c>
      <c r="X50" s="36">
        <f t="shared" si="6"/>
        <v>-4553271551</v>
      </c>
      <c r="Y50" s="36">
        <f t="shared" si="6"/>
        <v>-7732567348</v>
      </c>
      <c r="Z50" s="36">
        <f t="shared" si="6"/>
        <v>-6633409301</v>
      </c>
      <c r="AA50" s="36">
        <f t="shared" si="6"/>
        <v>-5251042941</v>
      </c>
      <c r="AB50" s="36">
        <f t="shared" si="6"/>
        <v>-5656033237</v>
      </c>
      <c r="AC50" s="36">
        <f t="shared" si="6"/>
        <v>-9391115824</v>
      </c>
      <c r="AD50" s="36">
        <f t="shared" si="6"/>
        <v>-8381486030</v>
      </c>
      <c r="AE50" s="36">
        <f t="shared" si="6"/>
        <v>-7988022914</v>
      </c>
      <c r="AF50" s="36">
        <f t="shared" si="6"/>
        <v>-8874251436</v>
      </c>
      <c r="AG50" s="36">
        <f t="shared" si="6"/>
        <v>-12583020144</v>
      </c>
      <c r="AH50" s="36">
        <f t="shared" si="6"/>
        <v>-27552455185</v>
      </c>
      <c r="AI50" s="36">
        <f t="shared" si="6"/>
        <v>-6139579862</v>
      </c>
      <c r="AJ50" s="36">
        <f t="shared" si="6"/>
        <v>-3399339370</v>
      </c>
      <c r="AK50" s="36">
        <f t="shared" si="6"/>
        <v>-4939985881</v>
      </c>
      <c r="AL50" s="36">
        <f t="shared" si="6"/>
        <v>-17915647925</v>
      </c>
      <c r="AM50" s="36">
        <f t="shared" si="6"/>
        <v>-19468277915</v>
      </c>
      <c r="AN50" s="36">
        <f t="shared" si="6"/>
        <v>-17799451387</v>
      </c>
      <c r="AO50" s="36">
        <f t="shared" si="6"/>
        <v>-19490870562</v>
      </c>
      <c r="AP50" s="36">
        <f t="shared" si="6"/>
        <v>-18058520641</v>
      </c>
      <c r="AQ50" s="36">
        <f t="shared" si="6"/>
        <v>-12530720052</v>
      </c>
      <c r="AR50" s="36">
        <f t="shared" si="6"/>
        <v>-10716410685</v>
      </c>
      <c r="AS50" s="36">
        <f t="shared" si="6"/>
        <v>-12366730058</v>
      </c>
      <c r="AT50" s="36">
        <f t="shared" si="6"/>
        <v>-4906144163</v>
      </c>
      <c r="AU50" s="36">
        <f t="shared" si="6"/>
        <v>-3546184607</v>
      </c>
      <c r="AV50" s="36">
        <f t="shared" si="6"/>
        <v>-3538933013</v>
      </c>
      <c r="AW50" s="36">
        <f t="shared" si="6"/>
        <v>-4581842754</v>
      </c>
      <c r="AX50" s="36">
        <f t="shared" si="6"/>
        <v>-4067344148</v>
      </c>
      <c r="AY50" s="36">
        <f t="shared" si="6"/>
        <v>-11193764346</v>
      </c>
      <c r="AZ50" s="36">
        <f t="shared" si="6"/>
        <v>-13298041693</v>
      </c>
      <c r="BA50" s="36">
        <f t="shared" si="6"/>
        <v>-1851049319</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70632529677</v>
      </c>
      <c r="C52" s="190">
        <v>71257725590</v>
      </c>
      <c r="D52" s="190">
        <v>71891562895</v>
      </c>
      <c r="E52" s="190">
        <v>73991938165</v>
      </c>
      <c r="F52" s="190">
        <v>68698816712</v>
      </c>
      <c r="G52" s="190">
        <v>68403057722</v>
      </c>
      <c r="H52" s="190">
        <v>69589444768</v>
      </c>
      <c r="I52" s="190">
        <v>70714240844</v>
      </c>
      <c r="J52" s="190">
        <v>67475233015</v>
      </c>
      <c r="K52" s="190">
        <v>68116779254</v>
      </c>
      <c r="L52" s="190">
        <v>69137648496</v>
      </c>
      <c r="M52" s="190">
        <v>69850739173</v>
      </c>
      <c r="N52" s="190">
        <v>60834509210</v>
      </c>
      <c r="O52" s="190">
        <v>60990880703</v>
      </c>
      <c r="P52" s="190">
        <v>62010659882</v>
      </c>
      <c r="Q52" s="190">
        <v>63277422372</v>
      </c>
      <c r="R52" s="190">
        <v>61276548672</v>
      </c>
      <c r="S52" s="190">
        <v>61871915948</v>
      </c>
      <c r="T52" s="190">
        <v>62933882243</v>
      </c>
      <c r="U52" s="190">
        <v>64078559186</v>
      </c>
      <c r="V52" s="190">
        <v>61874145692</v>
      </c>
      <c r="W52" s="190">
        <v>62305013693</v>
      </c>
      <c r="X52" s="190">
        <v>63221747842</v>
      </c>
      <c r="Y52" s="190">
        <v>64281842637</v>
      </c>
      <c r="Z52" s="190">
        <v>62786743080</v>
      </c>
      <c r="AA52" s="190">
        <v>63716884994</v>
      </c>
      <c r="AB52" s="190">
        <v>64614673082</v>
      </c>
      <c r="AC52" s="190">
        <v>65741380000</v>
      </c>
      <c r="AD52" s="190">
        <v>60115419853</v>
      </c>
      <c r="AE52" s="190">
        <v>60986663871</v>
      </c>
      <c r="AF52" s="190">
        <v>61887199781</v>
      </c>
      <c r="AG52" s="190">
        <v>62829156878</v>
      </c>
      <c r="AH52" s="190">
        <v>62717940497</v>
      </c>
      <c r="AI52" s="190">
        <v>49090157499</v>
      </c>
      <c r="AJ52" s="190">
        <v>48651967926</v>
      </c>
      <c r="AK52" s="190">
        <v>48289566375</v>
      </c>
      <c r="AL52" s="190">
        <v>48907137903</v>
      </c>
      <c r="AM52" s="190">
        <v>49347447509</v>
      </c>
      <c r="AN52" s="190">
        <v>46790793078</v>
      </c>
      <c r="AO52" s="190">
        <v>46452245989</v>
      </c>
      <c r="AP52" s="190">
        <v>42560073803</v>
      </c>
      <c r="AQ52" s="190">
        <v>38560629628</v>
      </c>
      <c r="AR52" s="190">
        <v>35608180031</v>
      </c>
      <c r="AS52" s="190">
        <v>34142005444</v>
      </c>
      <c r="AT52" s="190">
        <v>27077285099</v>
      </c>
      <c r="AU52" s="190">
        <v>27436073274</v>
      </c>
      <c r="AV52" s="190">
        <v>27725907430</v>
      </c>
      <c r="AW52" s="190">
        <v>26852455334</v>
      </c>
      <c r="AX52" s="190">
        <v>23907360399</v>
      </c>
      <c r="AY52" s="190">
        <v>22900042620</v>
      </c>
      <c r="AZ52" s="190">
        <v>22705302383</v>
      </c>
      <c r="BA52" s="190">
        <v>12514823657</v>
      </c>
      <c r="BB52" s="190">
        <v>0</v>
      </c>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4140557918</v>
      </c>
      <c r="C53" s="190">
        <v>4248785571</v>
      </c>
      <c r="D53" s="190">
        <v>2724180803</v>
      </c>
      <c r="E53" s="190">
        <v>1798810132</v>
      </c>
      <c r="F53" s="190">
        <v>4215703231</v>
      </c>
      <c r="G53" s="190">
        <v>3851652442</v>
      </c>
      <c r="H53" s="190">
        <v>3289716242</v>
      </c>
      <c r="I53" s="190">
        <v>2356979372</v>
      </c>
      <c r="J53" s="190">
        <v>6554346607</v>
      </c>
      <c r="K53" s="190">
        <v>5021800936</v>
      </c>
      <c r="L53" s="190">
        <v>4972884287</v>
      </c>
      <c r="M53" s="190">
        <v>4839477125</v>
      </c>
      <c r="N53" s="190">
        <v>4466562550</v>
      </c>
      <c r="O53" s="190">
        <v>3846832837</v>
      </c>
      <c r="P53" s="190">
        <v>3558232199</v>
      </c>
      <c r="Q53" s="190">
        <v>3344020582</v>
      </c>
      <c r="R53" s="190">
        <v>3892608823</v>
      </c>
      <c r="S53" s="190">
        <v>3652656504</v>
      </c>
      <c r="T53" s="190">
        <v>3236233233</v>
      </c>
      <c r="U53" s="190">
        <v>2989370072</v>
      </c>
      <c r="V53" s="190">
        <v>2507566126</v>
      </c>
      <c r="W53" s="190">
        <v>2100837750</v>
      </c>
      <c r="X53" s="190">
        <v>1949902461</v>
      </c>
      <c r="Y53" s="190">
        <v>1779723164</v>
      </c>
      <c r="Z53" s="190">
        <v>2286234492</v>
      </c>
      <c r="AA53" s="190">
        <v>1461675288</v>
      </c>
      <c r="AB53" s="190">
        <v>852316278</v>
      </c>
      <c r="AC53" s="190">
        <v>659101827</v>
      </c>
      <c r="AD53" s="190">
        <v>5185258571</v>
      </c>
      <c r="AE53" s="190">
        <v>4960142521</v>
      </c>
      <c r="AF53" s="190">
        <v>4775593828</v>
      </c>
      <c r="AG53" s="190">
        <v>4696744833</v>
      </c>
      <c r="AH53" s="190">
        <v>5221872558</v>
      </c>
      <c r="AI53" s="190">
        <v>3094176095</v>
      </c>
      <c r="AJ53" s="190">
        <v>2779758912</v>
      </c>
      <c r="AK53" s="190">
        <v>2357942872</v>
      </c>
      <c r="AL53" s="190">
        <v>2228990224</v>
      </c>
      <c r="AM53" s="190">
        <v>2350371712</v>
      </c>
      <c r="AN53" s="190">
        <v>3362966459</v>
      </c>
      <c r="AO53" s="190">
        <v>3798405996</v>
      </c>
      <c r="AP53" s="190">
        <v>3741648633</v>
      </c>
      <c r="AQ53" s="190">
        <v>2333941131</v>
      </c>
      <c r="AR53" s="190">
        <v>1947207629</v>
      </c>
      <c r="AS53" s="190">
        <v>3049860372</v>
      </c>
      <c r="AT53" s="190">
        <v>1526918370</v>
      </c>
      <c r="AU53" s="190">
        <v>1052359754</v>
      </c>
      <c r="AV53" s="190">
        <v>1147497829</v>
      </c>
      <c r="AW53" s="190">
        <v>1624443852</v>
      </c>
      <c r="AX53" s="190">
        <v>3727101002</v>
      </c>
      <c r="AY53" s="190">
        <v>3529015077</v>
      </c>
      <c r="AZ53" s="190">
        <v>3773658493</v>
      </c>
      <c r="BA53" s="190">
        <v>1820072069</v>
      </c>
      <c r="BB53" s="190">
        <v>0</v>
      </c>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4707985</v>
      </c>
      <c r="AE54" s="190">
        <v>4978856</v>
      </c>
      <c r="AF54" s="190">
        <v>4707985</v>
      </c>
      <c r="AG54" s="190">
        <v>4707985</v>
      </c>
      <c r="AH54" s="190">
        <v>4707985</v>
      </c>
      <c r="AI54" s="190">
        <v>4707985</v>
      </c>
      <c r="AJ54" s="190">
        <v>4707985</v>
      </c>
      <c r="AK54" s="190">
        <v>4707985</v>
      </c>
      <c r="AL54" s="190">
        <v>12463620</v>
      </c>
      <c r="AM54" s="190">
        <v>8158660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25870811</v>
      </c>
      <c r="K55" s="190">
        <v>17493176</v>
      </c>
      <c r="L55" s="190">
        <v>0</v>
      </c>
      <c r="M55" s="190">
        <v>0</v>
      </c>
      <c r="N55" s="190">
        <v>3720299</v>
      </c>
      <c r="O55" s="190">
        <v>1066570</v>
      </c>
      <c r="P55" s="190">
        <v>525044</v>
      </c>
      <c r="Q55" s="190">
        <v>0</v>
      </c>
      <c r="R55" s="190">
        <v>0</v>
      </c>
      <c r="S55" s="190">
        <v>0</v>
      </c>
      <c r="T55" s="190">
        <v>0</v>
      </c>
      <c r="U55" s="190">
        <v>0</v>
      </c>
      <c r="V55" s="190">
        <v>4335418</v>
      </c>
      <c r="W55" s="190">
        <v>121569</v>
      </c>
      <c r="X55" s="190">
        <v>3090198</v>
      </c>
      <c r="Y55" s="190">
        <v>0</v>
      </c>
      <c r="Z55" s="190">
        <v>20416433</v>
      </c>
      <c r="AA55" s="190">
        <v>10280545</v>
      </c>
      <c r="AB55" s="190">
        <v>0</v>
      </c>
      <c r="AC55" s="190">
        <v>0</v>
      </c>
      <c r="AD55" s="190">
        <v>1652181</v>
      </c>
      <c r="AE55" s="190">
        <v>1326882</v>
      </c>
      <c r="AF55" s="190">
        <v>0</v>
      </c>
      <c r="AG55" s="190">
        <v>0</v>
      </c>
      <c r="AH55" s="190">
        <v>0</v>
      </c>
      <c r="AI55" s="190">
        <v>-138184</v>
      </c>
      <c r="AJ55" s="190">
        <v>44724</v>
      </c>
      <c r="AK55" s="190">
        <v>0</v>
      </c>
      <c r="AL55" s="190">
        <v>-400443</v>
      </c>
      <c r="AM55" s="190">
        <v>-555926</v>
      </c>
      <c r="AN55" s="190">
        <v>-413160</v>
      </c>
      <c r="AO55" s="190">
        <v>0</v>
      </c>
      <c r="AP55" s="190">
        <v>0</v>
      </c>
      <c r="AQ55" s="190">
        <v>-22622</v>
      </c>
      <c r="AR55" s="190">
        <v>-583640</v>
      </c>
      <c r="AS55" s="190">
        <v>0</v>
      </c>
      <c r="AT55" s="190">
        <v>3860</v>
      </c>
      <c r="AU55" s="190">
        <v>-107839</v>
      </c>
      <c r="AV55" s="190">
        <v>606531</v>
      </c>
      <c r="AW55" s="190">
        <v>0</v>
      </c>
      <c r="AX55" s="190">
        <v>0</v>
      </c>
      <c r="AY55" s="190">
        <v>0</v>
      </c>
      <c r="AZ55" s="190">
        <v>0</v>
      </c>
      <c r="BA55" s="190">
        <v>0</v>
      </c>
      <c r="BB55" s="190">
        <v>0</v>
      </c>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6486907048</v>
      </c>
      <c r="C58" s="190">
        <v>6515880429</v>
      </c>
      <c r="D58" s="190">
        <v>5807573825</v>
      </c>
      <c r="E58" s="190">
        <v>5837763475</v>
      </c>
      <c r="F58" s="190">
        <v>5585812656</v>
      </c>
      <c r="G58" s="190">
        <v>5632945435</v>
      </c>
      <c r="H58" s="190">
        <v>4473588207</v>
      </c>
      <c r="I58" s="190">
        <v>4503874335</v>
      </c>
      <c r="J58" s="190">
        <v>3934432413</v>
      </c>
      <c r="K58" s="190">
        <v>3962843096</v>
      </c>
      <c r="L58" s="190">
        <v>3991291816</v>
      </c>
      <c r="M58" s="190">
        <v>4019831595</v>
      </c>
      <c r="N58" s="190">
        <v>4048138979</v>
      </c>
      <c r="O58" s="190">
        <v>4076693491</v>
      </c>
      <c r="P58" s="190">
        <v>4105290459</v>
      </c>
      <c r="Q58" s="190">
        <v>4133699753</v>
      </c>
      <c r="R58" s="190">
        <v>4161896674</v>
      </c>
      <c r="S58" s="190">
        <v>4189340778</v>
      </c>
      <c r="T58" s="190">
        <v>4217748007</v>
      </c>
      <c r="U58" s="190">
        <v>4246232249</v>
      </c>
      <c r="V58" s="190">
        <v>4266746858</v>
      </c>
      <c r="W58" s="190">
        <v>4292030904</v>
      </c>
      <c r="X58" s="190">
        <v>4319142924</v>
      </c>
      <c r="Y58" s="190">
        <v>4346532326</v>
      </c>
      <c r="Z58" s="190">
        <v>4363407863</v>
      </c>
      <c r="AA58" s="190">
        <v>4389130052</v>
      </c>
      <c r="AB58" s="190">
        <v>4415342125</v>
      </c>
      <c r="AC58" s="190">
        <v>4441561063</v>
      </c>
      <c r="AD58" s="190">
        <v>4466275363</v>
      </c>
      <c r="AE58" s="190">
        <v>4492412980</v>
      </c>
      <c r="AF58" s="190">
        <v>4516926468</v>
      </c>
      <c r="AG58" s="190">
        <v>4542202487</v>
      </c>
      <c r="AH58" s="190">
        <v>4576665631</v>
      </c>
      <c r="AI58" s="190">
        <v>4592737917</v>
      </c>
      <c r="AJ58" s="190">
        <v>4618687283</v>
      </c>
      <c r="AK58" s="190">
        <v>4644636650</v>
      </c>
      <c r="AL58" s="190">
        <v>4648792024</v>
      </c>
      <c r="AM58" s="190">
        <v>4674741390</v>
      </c>
      <c r="AN58" s="190">
        <v>4700690757</v>
      </c>
      <c r="AO58" s="190">
        <v>4726640123</v>
      </c>
      <c r="AP58" s="190">
        <v>4752753802</v>
      </c>
      <c r="AQ58" s="190">
        <v>4778703170</v>
      </c>
      <c r="AR58" s="190">
        <v>4804652536</v>
      </c>
      <c r="AS58" s="190">
        <v>4830601903</v>
      </c>
      <c r="AT58" s="190">
        <v>4856257331</v>
      </c>
      <c r="AU58" s="190">
        <v>4882206698</v>
      </c>
      <c r="AV58" s="190">
        <v>4908156064</v>
      </c>
      <c r="AW58" s="190">
        <v>4934105431</v>
      </c>
      <c r="AX58" s="190">
        <v>4959987298</v>
      </c>
      <c r="AY58" s="190">
        <v>4985666664</v>
      </c>
      <c r="AZ58" s="190">
        <v>5037565397</v>
      </c>
      <c r="BA58" s="190">
        <v>2377012212</v>
      </c>
      <c r="BB58" s="190">
        <v>0</v>
      </c>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47878302</v>
      </c>
      <c r="C59" s="190">
        <v>47878302</v>
      </c>
      <c r="D59" s="190">
        <v>47878302</v>
      </c>
      <c r="E59" s="190">
        <v>47878302</v>
      </c>
      <c r="F59" s="190">
        <v>47878302</v>
      </c>
      <c r="G59" s="190">
        <v>31669811</v>
      </c>
      <c r="H59" s="190">
        <v>20864151</v>
      </c>
      <c r="I59" s="190">
        <v>16471698</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0</v>
      </c>
      <c r="C60" s="190">
        <v>0</v>
      </c>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64944171</v>
      </c>
      <c r="C61" s="190">
        <v>69601908</v>
      </c>
      <c r="D61" s="190">
        <v>70497107</v>
      </c>
      <c r="E61" s="190">
        <v>76079943</v>
      </c>
      <c r="F61" s="190">
        <v>58178771</v>
      </c>
      <c r="G61" s="190">
        <v>20153870</v>
      </c>
      <c r="H61" s="190">
        <v>2398348</v>
      </c>
      <c r="I61" s="190">
        <v>1811288</v>
      </c>
      <c r="J61" s="190">
        <v>4715682</v>
      </c>
      <c r="K61" s="190">
        <v>4031268</v>
      </c>
      <c r="L61" s="190">
        <v>3711716</v>
      </c>
      <c r="M61" s="190">
        <v>4074166</v>
      </c>
      <c r="N61" s="190">
        <v>6854756</v>
      </c>
      <c r="O61" s="190">
        <v>11767572</v>
      </c>
      <c r="P61" s="190">
        <v>27577459</v>
      </c>
      <c r="Q61" s="190">
        <v>35429098</v>
      </c>
      <c r="R61" s="190">
        <v>44401007</v>
      </c>
      <c r="S61" s="190">
        <v>45769243</v>
      </c>
      <c r="T61" s="190">
        <v>45617699</v>
      </c>
      <c r="U61" s="190">
        <v>59987636</v>
      </c>
      <c r="V61" s="190">
        <v>62812709</v>
      </c>
      <c r="W61" s="190">
        <v>66318280</v>
      </c>
      <c r="X61" s="190">
        <v>73447372</v>
      </c>
      <c r="Y61" s="190">
        <v>79962023</v>
      </c>
      <c r="Z61" s="190">
        <v>71692679</v>
      </c>
      <c r="AA61" s="190">
        <v>50526199</v>
      </c>
      <c r="AB61" s="190">
        <v>0</v>
      </c>
      <c r="AC61" s="190">
        <v>53015</v>
      </c>
      <c r="AD61" s="190">
        <v>95706</v>
      </c>
      <c r="AE61" s="190">
        <v>138145</v>
      </c>
      <c r="AF61" s="190">
        <v>240517</v>
      </c>
      <c r="AG61" s="190">
        <v>1727727</v>
      </c>
      <c r="AH61" s="190">
        <v>11019693</v>
      </c>
      <c r="AI61" s="190">
        <v>2697557</v>
      </c>
      <c r="AJ61" s="190">
        <v>3968654</v>
      </c>
      <c r="AK61" s="190">
        <v>5140111</v>
      </c>
      <c r="AL61" s="190">
        <v>6357611</v>
      </c>
      <c r="AM61" s="190">
        <v>7685476</v>
      </c>
      <c r="AN61" s="190">
        <v>9020239</v>
      </c>
      <c r="AO61" s="190">
        <v>10008748</v>
      </c>
      <c r="AP61" s="190">
        <v>10747480</v>
      </c>
      <c r="AQ61" s="190">
        <v>11597768</v>
      </c>
      <c r="AR61" s="190">
        <v>11643614</v>
      </c>
      <c r="AS61" s="190">
        <v>8358225</v>
      </c>
      <c r="AT61" s="190">
        <v>0</v>
      </c>
      <c r="AU61" s="190">
        <v>0</v>
      </c>
      <c r="AV61" s="190">
        <v>0</v>
      </c>
      <c r="AW61" s="190">
        <v>0</v>
      </c>
      <c r="AX61" s="190">
        <v>160566</v>
      </c>
      <c r="AY61" s="190">
        <v>20835846</v>
      </c>
      <c r="AZ61" s="190">
        <v>21210360</v>
      </c>
      <c r="BA61" s="190">
        <v>638713</v>
      </c>
      <c r="BB61" s="190">
        <v>0</v>
      </c>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1385776705</v>
      </c>
      <c r="C62" s="190">
        <v>1387348788</v>
      </c>
      <c r="D62" s="190">
        <v>1366319121</v>
      </c>
      <c r="E62" s="190">
        <v>1365120150</v>
      </c>
      <c r="F62" s="190">
        <v>1355401674</v>
      </c>
      <c r="G62" s="190">
        <v>1356805200</v>
      </c>
      <c r="H62" s="190">
        <v>1291864008</v>
      </c>
      <c r="I62" s="190">
        <v>1292134859</v>
      </c>
      <c r="J62" s="190">
        <v>1262318906</v>
      </c>
      <c r="K62" s="190">
        <v>1263791968</v>
      </c>
      <c r="L62" s="190">
        <v>1244527027</v>
      </c>
      <c r="M62" s="190">
        <v>1244936576</v>
      </c>
      <c r="N62" s="190">
        <v>1328197336</v>
      </c>
      <c r="O62" s="190">
        <v>1340613814</v>
      </c>
      <c r="P62" s="190">
        <v>1413416058</v>
      </c>
      <c r="Q62" s="190">
        <v>1293233042</v>
      </c>
      <c r="R62" s="190">
        <v>1285266110</v>
      </c>
      <c r="S62" s="190">
        <v>1282702012</v>
      </c>
      <c r="T62" s="190">
        <v>1296032407</v>
      </c>
      <c r="U62" s="190">
        <v>1314823158</v>
      </c>
      <c r="V62" s="190">
        <v>1330693973</v>
      </c>
      <c r="W62" s="190">
        <v>1350458036</v>
      </c>
      <c r="X62" s="190">
        <v>1378511235</v>
      </c>
      <c r="Y62" s="190">
        <v>1389986163</v>
      </c>
      <c r="Z62" s="190">
        <v>12843820</v>
      </c>
      <c r="AA62" s="190">
        <v>12843820</v>
      </c>
      <c r="AB62" s="190">
        <v>92968322</v>
      </c>
      <c r="AC62" s="190">
        <v>92968322</v>
      </c>
      <c r="AD62" s="190">
        <v>100049930</v>
      </c>
      <c r="AE62" s="190">
        <v>100049930</v>
      </c>
      <c r="AF62" s="190">
        <v>252621076</v>
      </c>
      <c r="AG62" s="190">
        <v>243100326</v>
      </c>
      <c r="AH62" s="190">
        <v>103587576</v>
      </c>
      <c r="AI62" s="190">
        <v>103587576</v>
      </c>
      <c r="AJ62" s="190">
        <v>93703407</v>
      </c>
      <c r="AK62" s="190">
        <v>93703407</v>
      </c>
      <c r="AL62" s="190">
        <v>86030617</v>
      </c>
      <c r="AM62" s="190">
        <v>86030617</v>
      </c>
      <c r="AN62" s="190">
        <v>81149858</v>
      </c>
      <c r="AO62" s="190">
        <v>81149858</v>
      </c>
      <c r="AP62" s="190">
        <v>81749858</v>
      </c>
      <c r="AQ62" s="190">
        <v>81749858</v>
      </c>
      <c r="AR62" s="190">
        <v>81749858</v>
      </c>
      <c r="AS62" s="190">
        <v>81749858</v>
      </c>
      <c r="AT62" s="190">
        <v>69097477</v>
      </c>
      <c r="AU62" s="190">
        <v>58512361</v>
      </c>
      <c r="AV62" s="190">
        <v>58022519</v>
      </c>
      <c r="AW62" s="190">
        <v>0</v>
      </c>
      <c r="AX62" s="190">
        <v>0</v>
      </c>
      <c r="AY62" s="190">
        <v>0</v>
      </c>
      <c r="AZ62" s="190">
        <v>0</v>
      </c>
      <c r="BA62" s="190">
        <v>0</v>
      </c>
      <c r="BB62" s="190">
        <v>0</v>
      </c>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762822292</v>
      </c>
      <c r="C64" s="190">
        <v>617665166</v>
      </c>
      <c r="D64" s="190">
        <v>2572439112</v>
      </c>
      <c r="E64" s="190">
        <v>1996349112</v>
      </c>
      <c r="F64" s="190">
        <v>2123538089</v>
      </c>
      <c r="G64" s="190">
        <v>1992239254</v>
      </c>
      <c r="H64" s="190">
        <v>2940782562</v>
      </c>
      <c r="I64" s="190">
        <v>3084913161</v>
      </c>
      <c r="J64" s="190">
        <v>1119838100</v>
      </c>
      <c r="K64" s="190">
        <v>442027940</v>
      </c>
      <c r="L64" s="190">
        <v>419378302</v>
      </c>
      <c r="M64" s="190">
        <v>229933758</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63448731</v>
      </c>
      <c r="AI64" s="190">
        <v>5200000000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83521416113</v>
      </c>
      <c r="C68" s="36">
        <f t="shared" ref="C68:BN68" si="8">SUM(C52:C64)-2*C63</f>
        <v>84144885754</v>
      </c>
      <c r="D68" s="36">
        <f t="shared" si="8"/>
        <v>84480451165</v>
      </c>
      <c r="E68" s="36">
        <f t="shared" si="8"/>
        <v>85113939279</v>
      </c>
      <c r="F68" s="36">
        <f t="shared" si="8"/>
        <v>82085329435</v>
      </c>
      <c r="G68" s="36">
        <f t="shared" si="8"/>
        <v>81288523734</v>
      </c>
      <c r="H68" s="36">
        <f t="shared" si="8"/>
        <v>81608658286</v>
      </c>
      <c r="I68" s="36">
        <f t="shared" si="8"/>
        <v>81970425557</v>
      </c>
      <c r="J68" s="36">
        <f t="shared" si="8"/>
        <v>80376755534</v>
      </c>
      <c r="K68" s="36">
        <f t="shared" si="8"/>
        <v>78828767638</v>
      </c>
      <c r="L68" s="36">
        <f t="shared" si="8"/>
        <v>79769441644</v>
      </c>
      <c r="M68" s="36">
        <f t="shared" si="8"/>
        <v>80188992393</v>
      </c>
      <c r="N68" s="36">
        <f t="shared" si="8"/>
        <v>70687983130</v>
      </c>
      <c r="O68" s="36">
        <f t="shared" si="8"/>
        <v>70267854987</v>
      </c>
      <c r="P68" s="36">
        <f t="shared" si="8"/>
        <v>71115701101</v>
      </c>
      <c r="Q68" s="36">
        <f t="shared" si="8"/>
        <v>72083804847</v>
      </c>
      <c r="R68" s="36">
        <f t="shared" si="8"/>
        <v>70660721286</v>
      </c>
      <c r="S68" s="36">
        <f t="shared" si="8"/>
        <v>71042384485</v>
      </c>
      <c r="T68" s="36">
        <f t="shared" si="8"/>
        <v>71729513589</v>
      </c>
      <c r="U68" s="36">
        <f t="shared" si="8"/>
        <v>72688972301</v>
      </c>
      <c r="V68" s="36">
        <f t="shared" si="8"/>
        <v>70046300776</v>
      </c>
      <c r="W68" s="36">
        <f t="shared" si="8"/>
        <v>70114780232</v>
      </c>
      <c r="X68" s="36">
        <f t="shared" si="8"/>
        <v>70945842032</v>
      </c>
      <c r="Y68" s="36">
        <f t="shared" si="8"/>
        <v>71878046313</v>
      </c>
      <c r="Z68" s="36">
        <f t="shared" si="8"/>
        <v>69541338367</v>
      </c>
      <c r="AA68" s="36">
        <f t="shared" si="8"/>
        <v>69641340898</v>
      </c>
      <c r="AB68" s="36">
        <f t="shared" si="8"/>
        <v>69975299807</v>
      </c>
      <c r="AC68" s="36">
        <f t="shared" si="8"/>
        <v>70935064227</v>
      </c>
      <c r="AD68" s="36">
        <f t="shared" si="8"/>
        <v>69873459589</v>
      </c>
      <c r="AE68" s="36">
        <f t="shared" si="8"/>
        <v>70545713185</v>
      </c>
      <c r="AF68" s="36">
        <f t="shared" si="8"/>
        <v>71437289655</v>
      </c>
      <c r="AG68" s="36">
        <f t="shared" si="8"/>
        <v>72317640236</v>
      </c>
      <c r="AH68" s="36">
        <f t="shared" si="8"/>
        <v>72699242671</v>
      </c>
      <c r="AI68" s="36">
        <f t="shared" si="8"/>
        <v>62087926445</v>
      </c>
      <c r="AJ68" s="36">
        <f t="shared" si="8"/>
        <v>56152838891</v>
      </c>
      <c r="AK68" s="36">
        <f t="shared" si="8"/>
        <v>55395697400</v>
      </c>
      <c r="AL68" s="36">
        <f t="shared" si="8"/>
        <v>55889371556</v>
      </c>
      <c r="AM68" s="36">
        <f t="shared" si="8"/>
        <v>56473879438</v>
      </c>
      <c r="AN68" s="36">
        <f t="shared" si="8"/>
        <v>54944207231</v>
      </c>
      <c r="AO68" s="36">
        <f t="shared" si="8"/>
        <v>55068450714</v>
      </c>
      <c r="AP68" s="36">
        <f t="shared" si="8"/>
        <v>51146973576</v>
      </c>
      <c r="AQ68" s="36">
        <f t="shared" si="8"/>
        <v>45766598933</v>
      </c>
      <c r="AR68" s="36">
        <f t="shared" si="8"/>
        <v>42452850028</v>
      </c>
      <c r="AS68" s="36">
        <f t="shared" si="8"/>
        <v>42112575802</v>
      </c>
      <c r="AT68" s="36">
        <f t="shared" si="8"/>
        <v>33529562137</v>
      </c>
      <c r="AU68" s="36">
        <f t="shared" si="8"/>
        <v>33429044248</v>
      </c>
      <c r="AV68" s="36">
        <f t="shared" si="8"/>
        <v>33840190373</v>
      </c>
      <c r="AW68" s="36">
        <f t="shared" si="8"/>
        <v>33411004617</v>
      </c>
      <c r="AX68" s="36">
        <f t="shared" si="8"/>
        <v>32594609265</v>
      </c>
      <c r="AY68" s="36">
        <f t="shared" si="8"/>
        <v>31435560207</v>
      </c>
      <c r="AZ68" s="36">
        <f t="shared" si="8"/>
        <v>31537736633</v>
      </c>
      <c r="BA68" s="36">
        <f t="shared" si="8"/>
        <v>16712546651</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82866398823</v>
      </c>
      <c r="C69" s="33">
        <f t="shared" ref="C69:BN69" si="10">C50+C68</f>
        <v>81784685164</v>
      </c>
      <c r="D69" s="33">
        <f t="shared" si="10"/>
        <v>78839192986</v>
      </c>
      <c r="E69" s="33">
        <f t="shared" si="10"/>
        <v>74728417182</v>
      </c>
      <c r="F69" s="33">
        <f t="shared" si="10"/>
        <v>70102023069</v>
      </c>
      <c r="G69" s="33">
        <f t="shared" si="10"/>
        <v>72890745357</v>
      </c>
      <c r="H69" s="33">
        <f t="shared" si="10"/>
        <v>67609102279</v>
      </c>
      <c r="I69" s="33">
        <f t="shared" si="10"/>
        <v>66757617415</v>
      </c>
      <c r="J69" s="33">
        <f t="shared" si="10"/>
        <v>68171321662</v>
      </c>
      <c r="K69" s="33">
        <f t="shared" si="10"/>
        <v>66290069845</v>
      </c>
      <c r="L69" s="33">
        <f t="shared" si="10"/>
        <v>71630952261</v>
      </c>
      <c r="M69" s="33">
        <f t="shared" si="10"/>
        <v>68002938270</v>
      </c>
      <c r="N69" s="33">
        <f t="shared" si="10"/>
        <v>63589359074</v>
      </c>
      <c r="O69" s="33">
        <f t="shared" si="10"/>
        <v>61446905938</v>
      </c>
      <c r="P69" s="33">
        <f t="shared" si="10"/>
        <v>63351242015</v>
      </c>
      <c r="Q69" s="33">
        <f t="shared" si="10"/>
        <v>60990266032</v>
      </c>
      <c r="R69" s="33">
        <f t="shared" si="10"/>
        <v>63505895513</v>
      </c>
      <c r="S69" s="33">
        <f t="shared" si="10"/>
        <v>66928490285</v>
      </c>
      <c r="T69" s="33">
        <f t="shared" si="10"/>
        <v>67472792376</v>
      </c>
      <c r="U69" s="33">
        <f t="shared" si="10"/>
        <v>65072718846</v>
      </c>
      <c r="V69" s="33">
        <f t="shared" si="10"/>
        <v>63192370642</v>
      </c>
      <c r="W69" s="33">
        <f t="shared" si="10"/>
        <v>64815672999</v>
      </c>
      <c r="X69" s="33">
        <f t="shared" si="10"/>
        <v>66392570481</v>
      </c>
      <c r="Y69" s="33">
        <f t="shared" si="10"/>
        <v>64145478965</v>
      </c>
      <c r="Z69" s="33">
        <f t="shared" si="10"/>
        <v>62907929066</v>
      </c>
      <c r="AA69" s="33">
        <f t="shared" si="10"/>
        <v>64390297957</v>
      </c>
      <c r="AB69" s="33">
        <f t="shared" si="10"/>
        <v>64319266570</v>
      </c>
      <c r="AC69" s="33">
        <f t="shared" si="10"/>
        <v>61543948403</v>
      </c>
      <c r="AD69" s="33">
        <f t="shared" si="10"/>
        <v>61491973559</v>
      </c>
      <c r="AE69" s="33">
        <f t="shared" si="10"/>
        <v>62557690271</v>
      </c>
      <c r="AF69" s="33">
        <f t="shared" si="10"/>
        <v>62563038219</v>
      </c>
      <c r="AG69" s="33">
        <f t="shared" si="10"/>
        <v>59734620092</v>
      </c>
      <c r="AH69" s="33">
        <f t="shared" si="10"/>
        <v>45146787486</v>
      </c>
      <c r="AI69" s="33">
        <f t="shared" si="10"/>
        <v>55948346583</v>
      </c>
      <c r="AJ69" s="33">
        <f t="shared" si="10"/>
        <v>52753499521</v>
      </c>
      <c r="AK69" s="33">
        <f t="shared" si="10"/>
        <v>50455711519</v>
      </c>
      <c r="AL69" s="33">
        <f t="shared" si="10"/>
        <v>37973723631</v>
      </c>
      <c r="AM69" s="33">
        <f t="shared" si="10"/>
        <v>37005601523</v>
      </c>
      <c r="AN69" s="33">
        <f t="shared" si="10"/>
        <v>37144755844</v>
      </c>
      <c r="AO69" s="33">
        <f t="shared" si="10"/>
        <v>35577580152</v>
      </c>
      <c r="AP69" s="33">
        <f t="shared" si="10"/>
        <v>33088452935</v>
      </c>
      <c r="AQ69" s="33">
        <f t="shared" si="10"/>
        <v>33235878881</v>
      </c>
      <c r="AR69" s="33">
        <f t="shared" si="10"/>
        <v>31736439343</v>
      </c>
      <c r="AS69" s="33">
        <f t="shared" si="10"/>
        <v>29745845744</v>
      </c>
      <c r="AT69" s="33">
        <f t="shared" si="10"/>
        <v>28623417974</v>
      </c>
      <c r="AU69" s="33">
        <f t="shared" si="10"/>
        <v>29882859641</v>
      </c>
      <c r="AV69" s="33">
        <f t="shared" si="10"/>
        <v>30301257360</v>
      </c>
      <c r="AW69" s="33">
        <f t="shared" si="10"/>
        <v>28829161863</v>
      </c>
      <c r="AX69" s="33">
        <f t="shared" si="10"/>
        <v>28527265117</v>
      </c>
      <c r="AY69" s="33">
        <f t="shared" si="10"/>
        <v>20241795861</v>
      </c>
      <c r="AZ69" s="33">
        <f t="shared" si="10"/>
        <v>18239694940</v>
      </c>
      <c r="BA69" s="33">
        <f t="shared" si="10"/>
        <v>14861497332</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121106773564</v>
      </c>
      <c r="C70" s="37">
        <f t="shared" ref="C70:BN70" si="12">C17+C19+C69</f>
        <v>112395340766</v>
      </c>
      <c r="D70" s="37">
        <f t="shared" si="12"/>
        <v>115303515348</v>
      </c>
      <c r="E70" s="37">
        <f t="shared" si="12"/>
        <v>108373251453</v>
      </c>
      <c r="F70" s="37">
        <f t="shared" si="12"/>
        <v>106706023186</v>
      </c>
      <c r="G70" s="37">
        <f t="shared" si="12"/>
        <v>103012796552</v>
      </c>
      <c r="H70" s="37">
        <f t="shared" si="12"/>
        <v>102539454884</v>
      </c>
      <c r="I70" s="37">
        <f t="shared" si="12"/>
        <v>99055398580</v>
      </c>
      <c r="J70" s="37">
        <f t="shared" si="12"/>
        <v>96502341969</v>
      </c>
      <c r="K70" s="37">
        <f t="shared" si="12"/>
        <v>99974574413</v>
      </c>
      <c r="L70" s="37">
        <f t="shared" si="12"/>
        <v>98329214289</v>
      </c>
      <c r="M70" s="37">
        <f t="shared" si="12"/>
        <v>96251645788</v>
      </c>
      <c r="N70" s="37">
        <f t="shared" si="12"/>
        <v>94375546414</v>
      </c>
      <c r="O70" s="37">
        <f t="shared" si="12"/>
        <v>90465295291</v>
      </c>
      <c r="P70" s="37">
        <f t="shared" si="12"/>
        <v>93886426256</v>
      </c>
      <c r="Q70" s="37">
        <f t="shared" si="12"/>
        <v>90036252055</v>
      </c>
      <c r="R70" s="37">
        <f t="shared" si="12"/>
        <v>97311166029</v>
      </c>
      <c r="S70" s="37">
        <f t="shared" si="12"/>
        <v>93057572121</v>
      </c>
      <c r="T70" s="37">
        <f t="shared" si="12"/>
        <v>95641263473</v>
      </c>
      <c r="U70" s="37">
        <f t="shared" si="12"/>
        <v>91789188650</v>
      </c>
      <c r="V70" s="37">
        <f t="shared" si="12"/>
        <v>88737393356</v>
      </c>
      <c r="W70" s="37">
        <f t="shared" si="12"/>
        <v>89497337418</v>
      </c>
      <c r="X70" s="37">
        <f t="shared" si="12"/>
        <v>91816175187</v>
      </c>
      <c r="Y70" s="37">
        <f t="shared" si="12"/>
        <v>88165399611</v>
      </c>
      <c r="Z70" s="37">
        <f t="shared" si="12"/>
        <v>85080830006</v>
      </c>
      <c r="AA70" s="37">
        <f t="shared" si="12"/>
        <v>88082997658</v>
      </c>
      <c r="AB70" s="37">
        <f t="shared" si="12"/>
        <v>85229678804</v>
      </c>
      <c r="AC70" s="37">
        <f t="shared" si="12"/>
        <v>81607244917</v>
      </c>
      <c r="AD70" s="37">
        <f t="shared" si="12"/>
        <v>81392296906</v>
      </c>
      <c r="AE70" s="37">
        <f t="shared" si="12"/>
        <v>86857323203</v>
      </c>
      <c r="AF70" s="37">
        <f t="shared" si="12"/>
        <v>83987890384</v>
      </c>
      <c r="AG70" s="37">
        <f t="shared" si="12"/>
        <v>83462686370</v>
      </c>
      <c r="AH70" s="37">
        <f t="shared" si="12"/>
        <v>65256079248</v>
      </c>
      <c r="AI70" s="37">
        <f t="shared" si="12"/>
        <v>60231948273</v>
      </c>
      <c r="AJ70" s="37">
        <f t="shared" si="12"/>
        <v>58879459496</v>
      </c>
      <c r="AK70" s="37">
        <f t="shared" si="12"/>
        <v>59538060865</v>
      </c>
      <c r="AL70" s="37">
        <f t="shared" si="12"/>
        <v>44528078646</v>
      </c>
      <c r="AM70" s="37">
        <f t="shared" si="12"/>
        <v>43156475241</v>
      </c>
      <c r="AN70" s="37">
        <f t="shared" si="12"/>
        <v>41783250869</v>
      </c>
      <c r="AO70" s="37">
        <f t="shared" si="12"/>
        <v>40320486488</v>
      </c>
      <c r="AP70" s="37">
        <f t="shared" si="12"/>
        <v>39210176359</v>
      </c>
      <c r="AQ70" s="37">
        <f t="shared" si="12"/>
        <v>41255590894</v>
      </c>
      <c r="AR70" s="37">
        <f t="shared" si="12"/>
        <v>39625457591</v>
      </c>
      <c r="AS70" s="37">
        <f t="shared" si="12"/>
        <v>37535397159</v>
      </c>
      <c r="AT70" s="37">
        <f t="shared" si="12"/>
        <v>36089555931</v>
      </c>
      <c r="AU70" s="37">
        <f t="shared" si="12"/>
        <v>34382235836</v>
      </c>
      <c r="AV70" s="37">
        <f t="shared" si="12"/>
        <v>36903885867</v>
      </c>
      <c r="AW70" s="37">
        <f t="shared" si="12"/>
        <v>35266672971</v>
      </c>
      <c r="AX70" s="37">
        <f t="shared" si="12"/>
        <v>34150787049</v>
      </c>
      <c r="AY70" s="37">
        <f t="shared" si="12"/>
        <v>25160503414</v>
      </c>
      <c r="AZ70" s="37">
        <f t="shared" si="12"/>
        <v>24013231477</v>
      </c>
      <c r="BA70" s="37">
        <f t="shared" si="12"/>
        <v>15646697605</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164229601</v>
      </c>
      <c r="F72" s="28">
        <f t="shared" ref="F72:BQ72" si="14">SUM(F73:F77)</f>
        <v>188493730</v>
      </c>
      <c r="G72" s="28">
        <f t="shared" si="14"/>
        <v>147173182</v>
      </c>
      <c r="H72" s="28">
        <f t="shared" si="14"/>
        <v>312201702</v>
      </c>
      <c r="I72" s="28">
        <f t="shared" si="14"/>
        <v>235941803</v>
      </c>
      <c r="J72" s="28">
        <f t="shared" si="14"/>
        <v>251559334</v>
      </c>
      <c r="K72" s="28">
        <f t="shared" si="14"/>
        <v>174721738</v>
      </c>
      <c r="L72" s="28">
        <f t="shared" si="14"/>
        <v>77866334</v>
      </c>
      <c r="M72" s="28">
        <f t="shared" si="14"/>
        <v>45543929</v>
      </c>
      <c r="N72" s="28">
        <f t="shared" si="14"/>
        <v>5190066431</v>
      </c>
      <c r="O72" s="28">
        <f t="shared" si="14"/>
        <v>5197149519</v>
      </c>
      <c r="P72" s="28">
        <f t="shared" si="14"/>
        <v>5101065941</v>
      </c>
      <c r="Q72" s="28">
        <f t="shared" si="14"/>
        <v>5019982362</v>
      </c>
      <c r="R72" s="28">
        <f t="shared" si="14"/>
        <v>7963011449</v>
      </c>
      <c r="S72" s="28">
        <f t="shared" si="14"/>
        <v>7820172997</v>
      </c>
      <c r="T72" s="28">
        <f t="shared" si="14"/>
        <v>7674734544</v>
      </c>
      <c r="U72" s="28">
        <f t="shared" si="14"/>
        <v>7531896092</v>
      </c>
      <c r="V72" s="28">
        <f t="shared" si="14"/>
        <v>462019692</v>
      </c>
      <c r="W72" s="28">
        <f t="shared" si="14"/>
        <v>4509948011</v>
      </c>
      <c r="X72" s="28">
        <f t="shared" si="14"/>
        <v>4311764260</v>
      </c>
      <c r="Y72" s="28">
        <f t="shared" si="14"/>
        <v>4114206372</v>
      </c>
      <c r="Z72" s="28">
        <f t="shared" si="14"/>
        <v>10481539828</v>
      </c>
      <c r="AA72" s="28">
        <f t="shared" si="14"/>
        <v>6507407134</v>
      </c>
      <c r="AB72" s="28">
        <f t="shared" si="14"/>
        <v>6303857420</v>
      </c>
      <c r="AC72" s="28">
        <f t="shared" si="14"/>
        <v>6104490126</v>
      </c>
      <c r="AD72" s="28">
        <f t="shared" si="14"/>
        <v>2445188623</v>
      </c>
      <c r="AE72" s="28">
        <f t="shared" si="14"/>
        <v>9826171012</v>
      </c>
      <c r="AF72" s="28">
        <f t="shared" si="14"/>
        <v>9649732968</v>
      </c>
      <c r="AG72" s="28">
        <f t="shared" si="14"/>
        <v>12545433749</v>
      </c>
      <c r="AH72" s="28">
        <f t="shared" si="14"/>
        <v>12941675569</v>
      </c>
      <c r="AI72" s="28">
        <f t="shared" si="14"/>
        <v>320615137</v>
      </c>
      <c r="AJ72" s="28">
        <f t="shared" si="14"/>
        <v>175897705</v>
      </c>
      <c r="AK72" s="28">
        <f t="shared" si="14"/>
        <v>3135809424</v>
      </c>
      <c r="AL72" s="28">
        <f t="shared" si="14"/>
        <v>3504252500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5000000000</v>
      </c>
      <c r="AZ72" s="28">
        <f t="shared" si="14"/>
        <v>5000000000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1950000000</v>
      </c>
      <c r="AE73" s="190">
        <v>9450000000</v>
      </c>
      <c r="AF73" s="190">
        <v>9450000000</v>
      </c>
      <c r="AG73" s="190">
        <v>12450000000</v>
      </c>
      <c r="AH73" s="190">
        <v>12450000000</v>
      </c>
      <c r="AI73" s="190">
        <v>0</v>
      </c>
      <c r="AJ73" s="190">
        <v>0</v>
      </c>
      <c r="AK73" s="190">
        <v>3100000000</v>
      </c>
      <c r="AL73" s="190">
        <v>3500000000</v>
      </c>
      <c r="AM73" s="190">
        <v>0</v>
      </c>
      <c r="AN73" s="190">
        <v>0</v>
      </c>
      <c r="AO73" s="190">
        <v>0</v>
      </c>
      <c r="AP73" s="190">
        <v>0</v>
      </c>
      <c r="AQ73" s="190">
        <v>0</v>
      </c>
      <c r="AR73" s="190">
        <v>0</v>
      </c>
      <c r="AS73" s="190">
        <v>0</v>
      </c>
      <c r="AT73" s="190">
        <v>0</v>
      </c>
      <c r="AU73" s="190">
        <v>0</v>
      </c>
      <c r="AV73" s="190">
        <v>0</v>
      </c>
      <c r="AW73" s="190">
        <v>0</v>
      </c>
      <c r="AX73" s="190">
        <v>0</v>
      </c>
      <c r="AY73" s="190">
        <v>5000000000</v>
      </c>
      <c r="AZ73" s="190">
        <v>5000000000</v>
      </c>
      <c r="BA73" s="190">
        <v>0</v>
      </c>
      <c r="BB73" s="190">
        <v>0</v>
      </c>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1677930</v>
      </c>
      <c r="C74" s="190">
        <v>1677930</v>
      </c>
      <c r="D74" s="190">
        <v>3885311</v>
      </c>
      <c r="E74" s="190">
        <v>1851746</v>
      </c>
      <c r="F74" s="190">
        <v>140160730</v>
      </c>
      <c r="G74" s="190">
        <v>100840182</v>
      </c>
      <c r="H74" s="190">
        <v>229155702</v>
      </c>
      <c r="I74" s="190">
        <v>147695803</v>
      </c>
      <c r="J74" s="190">
        <v>188013334</v>
      </c>
      <c r="K74" s="190">
        <v>111175738</v>
      </c>
      <c r="L74" s="190">
        <v>43333334</v>
      </c>
      <c r="M74" s="190">
        <v>11010929</v>
      </c>
      <c r="N74" s="190">
        <v>186676712</v>
      </c>
      <c r="O74" s="190">
        <v>180570091</v>
      </c>
      <c r="P74" s="190">
        <v>101296804</v>
      </c>
      <c r="Q74" s="190">
        <v>22023516</v>
      </c>
      <c r="R74" s="190">
        <v>462019692</v>
      </c>
      <c r="S74" s="190">
        <v>320789384</v>
      </c>
      <c r="T74" s="190">
        <v>179559075</v>
      </c>
      <c r="U74" s="190">
        <v>38328767</v>
      </c>
      <c r="V74" s="190">
        <v>462019692</v>
      </c>
      <c r="W74" s="190">
        <v>511163082</v>
      </c>
      <c r="X74" s="190">
        <v>315282911</v>
      </c>
      <c r="Y74" s="190">
        <v>120003288</v>
      </c>
      <c r="Z74" s="190">
        <v>491756678</v>
      </c>
      <c r="AA74" s="190">
        <v>511589384</v>
      </c>
      <c r="AB74" s="190">
        <v>312222089</v>
      </c>
      <c r="AC74" s="190">
        <v>112854795</v>
      </c>
      <c r="AD74" s="190">
        <v>495188623</v>
      </c>
      <c r="AE74" s="190">
        <v>376171012</v>
      </c>
      <c r="AF74" s="190">
        <v>199732968</v>
      </c>
      <c r="AG74" s="190">
        <v>95433749</v>
      </c>
      <c r="AH74" s="190">
        <v>491675569</v>
      </c>
      <c r="AI74" s="190">
        <v>320615137</v>
      </c>
      <c r="AJ74" s="190">
        <v>175897705</v>
      </c>
      <c r="AK74" s="190">
        <v>35809424</v>
      </c>
      <c r="AL74" s="190">
        <v>4252500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109328022</v>
      </c>
      <c r="C76" s="190">
        <v>151755380</v>
      </c>
      <c r="D76" s="190">
        <v>144346000</v>
      </c>
      <c r="E76" s="190">
        <v>162377855</v>
      </c>
      <c r="F76" s="190">
        <v>48333000</v>
      </c>
      <c r="G76" s="190">
        <v>46333000</v>
      </c>
      <c r="H76" s="190">
        <v>83046000</v>
      </c>
      <c r="I76" s="190">
        <v>88246000</v>
      </c>
      <c r="J76" s="190">
        <v>63546000</v>
      </c>
      <c r="K76" s="190">
        <v>63546000</v>
      </c>
      <c r="L76" s="190">
        <v>34533000</v>
      </c>
      <c r="M76" s="190">
        <v>34533000</v>
      </c>
      <c r="N76" s="190">
        <v>5003389719</v>
      </c>
      <c r="O76" s="190">
        <v>5016579428</v>
      </c>
      <c r="P76" s="190">
        <v>4999769137</v>
      </c>
      <c r="Q76" s="190">
        <v>4997958846</v>
      </c>
      <c r="R76" s="190">
        <v>7500991757</v>
      </c>
      <c r="S76" s="190">
        <v>7499383613</v>
      </c>
      <c r="T76" s="190">
        <v>7495175469</v>
      </c>
      <c r="U76" s="190">
        <v>7493567325</v>
      </c>
      <c r="V76" s="190">
        <v>0</v>
      </c>
      <c r="W76" s="190">
        <v>3998784929</v>
      </c>
      <c r="X76" s="190">
        <v>3996481349</v>
      </c>
      <c r="Y76" s="190">
        <v>3994203084</v>
      </c>
      <c r="Z76" s="190">
        <v>9989783150</v>
      </c>
      <c r="AA76" s="190">
        <v>5995817750</v>
      </c>
      <c r="AB76" s="190">
        <v>5991635331</v>
      </c>
      <c r="AC76" s="190">
        <v>5991635331</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7297930919</v>
      </c>
      <c r="F81" s="28">
        <f t="shared" ref="F81:BQ81" si="16">SUM(F82:F85)</f>
        <v>7451234787</v>
      </c>
      <c r="G81" s="28">
        <f t="shared" si="16"/>
        <v>7453161632</v>
      </c>
      <c r="H81" s="28">
        <f t="shared" si="16"/>
        <v>7461949648</v>
      </c>
      <c r="I81" s="28">
        <f t="shared" si="16"/>
        <v>7239820000</v>
      </c>
      <c r="J81" s="28">
        <f t="shared" si="16"/>
        <v>6918153000</v>
      </c>
      <c r="K81" s="28">
        <f t="shared" si="16"/>
        <v>5543153000</v>
      </c>
      <c r="L81" s="28">
        <f t="shared" si="16"/>
        <v>5590266000</v>
      </c>
      <c r="M81" s="28">
        <f t="shared" si="16"/>
        <v>5590266000</v>
      </c>
      <c r="N81" s="28">
        <f t="shared" si="16"/>
        <v>1122199000</v>
      </c>
      <c r="O81" s="28">
        <f t="shared" si="16"/>
        <v>1057199000</v>
      </c>
      <c r="P81" s="28">
        <f t="shared" si="16"/>
        <v>1065279000</v>
      </c>
      <c r="Q81" s="28">
        <f t="shared" si="16"/>
        <v>1013279000</v>
      </c>
      <c r="R81" s="28">
        <f t="shared" si="16"/>
        <v>8178305180</v>
      </c>
      <c r="S81" s="28">
        <f t="shared" si="16"/>
        <v>7168524688</v>
      </c>
      <c r="T81" s="28">
        <f t="shared" si="16"/>
        <v>7165401289</v>
      </c>
      <c r="U81" s="28">
        <f t="shared" si="16"/>
        <v>6983677889</v>
      </c>
      <c r="V81" s="28">
        <f t="shared" si="16"/>
        <v>14108767148</v>
      </c>
      <c r="W81" s="28">
        <f t="shared" si="16"/>
        <v>13958466429</v>
      </c>
      <c r="X81" s="28">
        <f t="shared" si="16"/>
        <v>13747547524</v>
      </c>
      <c r="Y81" s="28">
        <f t="shared" si="16"/>
        <v>13704373620</v>
      </c>
      <c r="Z81" s="28">
        <f t="shared" si="16"/>
        <v>8684766248</v>
      </c>
      <c r="AA81" s="28">
        <f t="shared" si="16"/>
        <v>12672939477</v>
      </c>
      <c r="AB81" s="28">
        <f t="shared" si="16"/>
        <v>12671390031</v>
      </c>
      <c r="AC81" s="28">
        <f t="shared" si="16"/>
        <v>12665658166</v>
      </c>
      <c r="AD81" s="28">
        <f t="shared" si="16"/>
        <v>18606632612</v>
      </c>
      <c r="AE81" s="28">
        <f t="shared" si="16"/>
        <v>14619234494</v>
      </c>
      <c r="AF81" s="28">
        <f t="shared" si="16"/>
        <v>14578993376</v>
      </c>
      <c r="AG81" s="28">
        <f t="shared" si="16"/>
        <v>14575595258</v>
      </c>
      <c r="AH81" s="28">
        <f t="shared" si="16"/>
        <v>13454179055</v>
      </c>
      <c r="AI81" s="28">
        <f t="shared" si="16"/>
        <v>13450925347</v>
      </c>
      <c r="AJ81" s="28">
        <f t="shared" si="16"/>
        <v>13447671639</v>
      </c>
      <c r="AK81" s="28">
        <f t="shared" si="16"/>
        <v>13444417931</v>
      </c>
      <c r="AL81" s="28">
        <f t="shared" si="16"/>
        <v>0</v>
      </c>
      <c r="AM81" s="28">
        <f t="shared" si="16"/>
        <v>600710</v>
      </c>
      <c r="AN81" s="28">
        <f t="shared" si="16"/>
        <v>0</v>
      </c>
      <c r="AO81" s="28">
        <f t="shared" si="16"/>
        <v>0</v>
      </c>
      <c r="AP81" s="28">
        <f t="shared" si="16"/>
        <v>1400000</v>
      </c>
      <c r="AQ81" s="28">
        <f t="shared" si="16"/>
        <v>1400000</v>
      </c>
      <c r="AR81" s="28">
        <f t="shared" si="16"/>
        <v>1400000</v>
      </c>
      <c r="AS81" s="28">
        <f t="shared" si="16"/>
        <v>1400000</v>
      </c>
      <c r="AT81" s="28">
        <f t="shared" si="16"/>
        <v>0</v>
      </c>
      <c r="AU81" s="28">
        <f t="shared" si="16"/>
        <v>0</v>
      </c>
      <c r="AV81" s="28">
        <f t="shared" si="16"/>
        <v>539201</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7657639000</v>
      </c>
      <c r="C82" s="190">
        <v>7076639000</v>
      </c>
      <c r="D82" s="190">
        <v>7112139000</v>
      </c>
      <c r="E82" s="190">
        <v>7112139000</v>
      </c>
      <c r="F82" s="190">
        <v>7247485000</v>
      </c>
      <c r="G82" s="190">
        <v>7249485000</v>
      </c>
      <c r="H82" s="190">
        <v>7258485000</v>
      </c>
      <c r="I82" s="190">
        <v>7037020000</v>
      </c>
      <c r="J82" s="190">
        <v>6918153000</v>
      </c>
      <c r="K82" s="190">
        <v>5543153000</v>
      </c>
      <c r="L82" s="190">
        <v>5590266000</v>
      </c>
      <c r="M82" s="190">
        <v>5590266000</v>
      </c>
      <c r="N82" s="190">
        <v>1122199000</v>
      </c>
      <c r="O82" s="190">
        <v>1057199000</v>
      </c>
      <c r="P82" s="190">
        <v>1065279000</v>
      </c>
      <c r="Q82" s="190">
        <v>1013279000</v>
      </c>
      <c r="R82" s="190">
        <v>960089000</v>
      </c>
      <c r="S82" s="190">
        <v>867245000</v>
      </c>
      <c r="T82" s="190">
        <v>865845000</v>
      </c>
      <c r="U82" s="190">
        <v>685845000</v>
      </c>
      <c r="V82" s="190">
        <v>394095000</v>
      </c>
      <c r="W82" s="190">
        <v>247745000</v>
      </c>
      <c r="X82" s="190">
        <v>40000000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4990570999</v>
      </c>
      <c r="S83" s="190">
        <v>4988847599</v>
      </c>
      <c r="T83" s="190">
        <v>4987124200</v>
      </c>
      <c r="U83" s="190">
        <v>4985400800</v>
      </c>
      <c r="V83" s="190">
        <v>12474899333</v>
      </c>
      <c r="W83" s="190">
        <v>12471725429</v>
      </c>
      <c r="X83" s="190">
        <v>12468551524</v>
      </c>
      <c r="Y83" s="190">
        <v>12465377620</v>
      </c>
      <c r="Z83" s="190">
        <v>7485088248</v>
      </c>
      <c r="AA83" s="190">
        <v>11473261477</v>
      </c>
      <c r="AB83" s="190">
        <v>11471712031</v>
      </c>
      <c r="AC83" s="190">
        <v>11465980166</v>
      </c>
      <c r="AD83" s="190">
        <v>17452268612</v>
      </c>
      <c r="AE83" s="190">
        <v>13464870494</v>
      </c>
      <c r="AF83" s="190">
        <v>13461472376</v>
      </c>
      <c r="AG83" s="190">
        <v>13458074258</v>
      </c>
      <c r="AH83" s="190">
        <v>13454179055</v>
      </c>
      <c r="AI83" s="190">
        <v>13450925347</v>
      </c>
      <c r="AJ83" s="190">
        <v>13447671639</v>
      </c>
      <c r="AK83" s="190">
        <v>13444417931</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329067728</v>
      </c>
      <c r="C84" s="190">
        <v>178551901</v>
      </c>
      <c r="D84" s="190">
        <v>203898602</v>
      </c>
      <c r="E84" s="190">
        <v>185791919</v>
      </c>
      <c r="F84" s="190">
        <v>203749787</v>
      </c>
      <c r="G84" s="190">
        <v>203676632</v>
      </c>
      <c r="H84" s="190">
        <v>203464648</v>
      </c>
      <c r="I84" s="190">
        <v>202800000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600710</v>
      </c>
      <c r="AN84" s="190">
        <v>0</v>
      </c>
      <c r="AO84" s="190">
        <v>0</v>
      </c>
      <c r="AP84" s="190">
        <v>0</v>
      </c>
      <c r="AQ84" s="190">
        <v>1400000</v>
      </c>
      <c r="AR84" s="190">
        <v>0</v>
      </c>
      <c r="AS84" s="190">
        <v>0</v>
      </c>
      <c r="AT84" s="190">
        <v>0</v>
      </c>
      <c r="AU84" s="190">
        <v>0</v>
      </c>
      <c r="AV84" s="190">
        <v>539201</v>
      </c>
      <c r="AW84" s="190">
        <v>0</v>
      </c>
      <c r="AX84" s="190">
        <v>0</v>
      </c>
      <c r="AY84" s="190">
        <v>0</v>
      </c>
      <c r="AZ84" s="190">
        <v>0</v>
      </c>
      <c r="BA84" s="190">
        <v>0</v>
      </c>
      <c r="BB84" s="190">
        <v>0</v>
      </c>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2227645181</v>
      </c>
      <c r="S85" s="190">
        <v>1312432089</v>
      </c>
      <c r="T85" s="190">
        <v>1312432089</v>
      </c>
      <c r="U85" s="190">
        <v>1312432089</v>
      </c>
      <c r="V85" s="190">
        <v>1239772815</v>
      </c>
      <c r="W85" s="190">
        <v>1238996000</v>
      </c>
      <c r="X85" s="190">
        <v>1238996000</v>
      </c>
      <c r="Y85" s="190">
        <v>1238996000</v>
      </c>
      <c r="Z85" s="190">
        <v>1199678000</v>
      </c>
      <c r="AA85" s="190">
        <v>1199678000</v>
      </c>
      <c r="AB85" s="190">
        <v>1199678000</v>
      </c>
      <c r="AC85" s="190">
        <v>1199678000</v>
      </c>
      <c r="AD85" s="190">
        <v>1154364000</v>
      </c>
      <c r="AE85" s="190">
        <v>1154364000</v>
      </c>
      <c r="AF85" s="190">
        <v>1117521000</v>
      </c>
      <c r="AG85" s="190">
        <v>1117521000</v>
      </c>
      <c r="AH85" s="190">
        <v>0</v>
      </c>
      <c r="AI85" s="190">
        <v>0</v>
      </c>
      <c r="AJ85" s="190">
        <v>0</v>
      </c>
      <c r="AK85" s="190">
        <v>0</v>
      </c>
      <c r="AL85" s="190">
        <v>0</v>
      </c>
      <c r="AM85" s="190">
        <v>0</v>
      </c>
      <c r="AN85" s="190">
        <v>0</v>
      </c>
      <c r="AO85" s="190">
        <v>0</v>
      </c>
      <c r="AP85" s="190">
        <v>1400000</v>
      </c>
      <c r="AQ85" s="190">
        <v>0</v>
      </c>
      <c r="AR85" s="190">
        <v>1400000</v>
      </c>
      <c r="AS85" s="190">
        <v>1400000</v>
      </c>
      <c r="AT85" s="190">
        <v>0</v>
      </c>
      <c r="AU85" s="190">
        <v>0</v>
      </c>
      <c r="AV85" s="190">
        <v>0</v>
      </c>
      <c r="AW85" s="190">
        <v>0</v>
      </c>
      <c r="AX85" s="190">
        <v>0</v>
      </c>
      <c r="AY85" s="190">
        <v>0</v>
      </c>
      <c r="AZ85" s="190">
        <v>0</v>
      </c>
      <c r="BA85" s="190">
        <v>0</v>
      </c>
      <c r="BB85" s="190">
        <v>0</v>
      </c>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8097712680</v>
      </c>
      <c r="C89" s="33">
        <f>SUM(C73:C85)</f>
        <v>7408624211</v>
      </c>
      <c r="D89" s="33">
        <f>SUM(D73:D85)</f>
        <v>7464268913</v>
      </c>
      <c r="E89" s="33">
        <f>E72+E81</f>
        <v>7462160520</v>
      </c>
      <c r="F89" s="33">
        <f t="shared" ref="F89:BQ89" si="18">F72+F81</f>
        <v>7639728517</v>
      </c>
      <c r="G89" s="33">
        <f t="shared" si="18"/>
        <v>7600334814</v>
      </c>
      <c r="H89" s="33">
        <f t="shared" si="18"/>
        <v>7774151350</v>
      </c>
      <c r="I89" s="33">
        <f t="shared" si="18"/>
        <v>7475761803</v>
      </c>
      <c r="J89" s="33">
        <f t="shared" si="18"/>
        <v>7169712334</v>
      </c>
      <c r="K89" s="33">
        <f t="shared" si="18"/>
        <v>5717874738</v>
      </c>
      <c r="L89" s="33">
        <f t="shared" si="18"/>
        <v>5668132334</v>
      </c>
      <c r="M89" s="33">
        <f t="shared" si="18"/>
        <v>5635809929</v>
      </c>
      <c r="N89" s="33">
        <f t="shared" si="18"/>
        <v>6312265431</v>
      </c>
      <c r="O89" s="33">
        <f t="shared" si="18"/>
        <v>6254348519</v>
      </c>
      <c r="P89" s="33">
        <f t="shared" si="18"/>
        <v>6166344941</v>
      </c>
      <c r="Q89" s="33">
        <f t="shared" si="18"/>
        <v>6033261362</v>
      </c>
      <c r="R89" s="33">
        <f t="shared" si="18"/>
        <v>16141316629</v>
      </c>
      <c r="S89" s="33">
        <f t="shared" si="18"/>
        <v>14988697685</v>
      </c>
      <c r="T89" s="33">
        <f t="shared" si="18"/>
        <v>14840135833</v>
      </c>
      <c r="U89" s="33">
        <f t="shared" si="18"/>
        <v>14515573981</v>
      </c>
      <c r="V89" s="33">
        <f t="shared" si="18"/>
        <v>14570786840</v>
      </c>
      <c r="W89" s="33">
        <f t="shared" si="18"/>
        <v>18468414440</v>
      </c>
      <c r="X89" s="33">
        <f t="shared" si="18"/>
        <v>18059311784</v>
      </c>
      <c r="Y89" s="33">
        <f t="shared" si="18"/>
        <v>17818579992</v>
      </c>
      <c r="Z89" s="33">
        <f t="shared" si="18"/>
        <v>19166306076</v>
      </c>
      <c r="AA89" s="33">
        <f t="shared" si="18"/>
        <v>19180346611</v>
      </c>
      <c r="AB89" s="33">
        <f t="shared" si="18"/>
        <v>18975247451</v>
      </c>
      <c r="AC89" s="33">
        <f t="shared" si="18"/>
        <v>18770148292</v>
      </c>
      <c r="AD89" s="33">
        <f t="shared" si="18"/>
        <v>21051821235</v>
      </c>
      <c r="AE89" s="33">
        <f t="shared" si="18"/>
        <v>24445405506</v>
      </c>
      <c r="AF89" s="33">
        <f t="shared" si="18"/>
        <v>24228726344</v>
      </c>
      <c r="AG89" s="33">
        <f t="shared" si="18"/>
        <v>27121029007</v>
      </c>
      <c r="AH89" s="33">
        <f t="shared" si="18"/>
        <v>26395854624</v>
      </c>
      <c r="AI89" s="33">
        <f t="shared" si="18"/>
        <v>13771540484</v>
      </c>
      <c r="AJ89" s="33">
        <f t="shared" si="18"/>
        <v>13623569344</v>
      </c>
      <c r="AK89" s="33">
        <f t="shared" si="18"/>
        <v>16580227355</v>
      </c>
      <c r="AL89" s="33">
        <f t="shared" si="18"/>
        <v>3504252500</v>
      </c>
      <c r="AM89" s="33">
        <f t="shared" si="18"/>
        <v>600710</v>
      </c>
      <c r="AN89" s="33">
        <f t="shared" si="18"/>
        <v>0</v>
      </c>
      <c r="AO89" s="33">
        <f t="shared" si="18"/>
        <v>0</v>
      </c>
      <c r="AP89" s="33">
        <f t="shared" si="18"/>
        <v>1400000</v>
      </c>
      <c r="AQ89" s="33">
        <f t="shared" si="18"/>
        <v>1400000</v>
      </c>
      <c r="AR89" s="33">
        <f t="shared" si="18"/>
        <v>1400000</v>
      </c>
      <c r="AS89" s="33">
        <f t="shared" si="18"/>
        <v>1400000</v>
      </c>
      <c r="AT89" s="33">
        <f t="shared" si="18"/>
        <v>0</v>
      </c>
      <c r="AU89" s="33">
        <f t="shared" si="18"/>
        <v>0</v>
      </c>
      <c r="AV89" s="33">
        <f t="shared" si="18"/>
        <v>539201</v>
      </c>
      <c r="AW89" s="33">
        <f t="shared" si="18"/>
        <v>0</v>
      </c>
      <c r="AX89" s="33">
        <f t="shared" si="18"/>
        <v>0</v>
      </c>
      <c r="AY89" s="33">
        <f t="shared" si="18"/>
        <v>5000000000</v>
      </c>
      <c r="AZ89" s="33">
        <f t="shared" si="18"/>
        <v>5000000000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14866791491</v>
      </c>
      <c r="C91" s="190">
        <v>14866791491</v>
      </c>
      <c r="D91" s="190">
        <v>14866791491</v>
      </c>
      <c r="E91" s="190">
        <v>14866791491</v>
      </c>
      <c r="F91" s="190">
        <v>14866791491</v>
      </c>
      <c r="G91" s="190">
        <v>14866791491</v>
      </c>
      <c r="H91" s="190">
        <v>14866791491</v>
      </c>
      <c r="I91" s="190">
        <v>14866791491</v>
      </c>
      <c r="J91" s="190">
        <v>14866791491</v>
      </c>
      <c r="K91" s="190">
        <v>14866791491</v>
      </c>
      <c r="L91" s="190">
        <v>14866791491</v>
      </c>
      <c r="M91" s="190">
        <v>14866791491</v>
      </c>
      <c r="N91" s="190">
        <v>14866791491</v>
      </c>
      <c r="O91" s="190">
        <v>14866791491</v>
      </c>
      <c r="P91" s="190">
        <v>14866791491</v>
      </c>
      <c r="Q91" s="190">
        <v>14866791491</v>
      </c>
      <c r="R91" s="190">
        <v>14866791491</v>
      </c>
      <c r="S91" s="190">
        <v>14866791491</v>
      </c>
      <c r="T91" s="190">
        <v>14866791491</v>
      </c>
      <c r="U91" s="190">
        <v>14866791491</v>
      </c>
      <c r="V91" s="190">
        <v>14866791491</v>
      </c>
      <c r="W91" s="190">
        <v>14866791491</v>
      </c>
      <c r="X91" s="190">
        <v>14866791491</v>
      </c>
      <c r="Y91" s="190">
        <v>14866791491</v>
      </c>
      <c r="Z91" s="190">
        <v>14866791491</v>
      </c>
      <c r="AA91" s="190">
        <v>14866791491</v>
      </c>
      <c r="AB91" s="190">
        <v>14866791491</v>
      </c>
      <c r="AC91" s="190">
        <v>14866791491</v>
      </c>
      <c r="AD91" s="190">
        <v>14866791491</v>
      </c>
      <c r="AE91" s="190">
        <v>14866791491</v>
      </c>
      <c r="AF91" s="190">
        <v>14866791491</v>
      </c>
      <c r="AG91" s="190">
        <v>14866791491</v>
      </c>
      <c r="AH91" s="190">
        <v>12976757127</v>
      </c>
      <c r="AI91" s="190">
        <v>12976757127</v>
      </c>
      <c r="AJ91" s="190">
        <v>12976757127</v>
      </c>
      <c r="AK91" s="190">
        <v>12976757127</v>
      </c>
      <c r="AL91" s="190">
        <v>12976757127</v>
      </c>
      <c r="AM91" s="190">
        <v>12976757127</v>
      </c>
      <c r="AN91" s="190">
        <v>12976757127</v>
      </c>
      <c r="AO91" s="190">
        <v>12976757127</v>
      </c>
      <c r="AP91" s="190">
        <v>12976757127</v>
      </c>
      <c r="AQ91" s="190">
        <v>12976757127</v>
      </c>
      <c r="AR91" s="190">
        <v>12976757127</v>
      </c>
      <c r="AS91" s="190">
        <v>12976757127</v>
      </c>
      <c r="AT91" s="190">
        <v>12976757127</v>
      </c>
      <c r="AU91" s="190">
        <v>12976757127</v>
      </c>
      <c r="AV91" s="190">
        <v>12976757127</v>
      </c>
      <c r="AW91" s="190">
        <v>12976757127</v>
      </c>
      <c r="AX91" s="190">
        <v>12976757127</v>
      </c>
      <c r="AY91" s="190">
        <v>9946454097</v>
      </c>
      <c r="AZ91" s="190">
        <v>9946454097</v>
      </c>
      <c r="BA91" s="190">
        <v>9946454097</v>
      </c>
      <c r="BB91" s="190">
        <v>0</v>
      </c>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24719376750</v>
      </c>
      <c r="C92" s="190">
        <v>24719376750</v>
      </c>
      <c r="D92" s="190">
        <v>24719376750</v>
      </c>
      <c r="E92" s="190">
        <v>24737093447</v>
      </c>
      <c r="F92" s="190">
        <v>24737093446</v>
      </c>
      <c r="G92" s="190">
        <v>24737093447</v>
      </c>
      <c r="H92" s="190">
        <v>24738765944</v>
      </c>
      <c r="I92" s="190">
        <v>24738765944</v>
      </c>
      <c r="J92" s="190">
        <v>24738761211</v>
      </c>
      <c r="K92" s="190">
        <v>24738761211</v>
      </c>
      <c r="L92" s="190">
        <v>24738761211</v>
      </c>
      <c r="M92" s="190">
        <v>24738761211</v>
      </c>
      <c r="N92" s="190">
        <v>24888308681</v>
      </c>
      <c r="O92" s="190">
        <v>24888308681</v>
      </c>
      <c r="P92" s="190">
        <v>24888308681</v>
      </c>
      <c r="Q92" s="190">
        <v>24888308681</v>
      </c>
      <c r="R92" s="190">
        <v>23869531302</v>
      </c>
      <c r="S92" s="190">
        <v>24888308681</v>
      </c>
      <c r="T92" s="190">
        <v>24888308681</v>
      </c>
      <c r="U92" s="190">
        <v>24888308681</v>
      </c>
      <c r="V92" s="190">
        <v>24902657432</v>
      </c>
      <c r="W92" s="190">
        <v>24904408286</v>
      </c>
      <c r="X92" s="190">
        <v>24904408286</v>
      </c>
      <c r="Y92" s="190">
        <v>24904408286</v>
      </c>
      <c r="Z92" s="190">
        <v>23249557198</v>
      </c>
      <c r="AA92" s="190">
        <v>23249557198</v>
      </c>
      <c r="AB92" s="190">
        <v>23249557198</v>
      </c>
      <c r="AC92" s="190">
        <v>23249557198</v>
      </c>
      <c r="AD92" s="190">
        <v>23249557198</v>
      </c>
      <c r="AE92" s="190">
        <v>23249557198</v>
      </c>
      <c r="AF92" s="190">
        <v>23249557198</v>
      </c>
      <c r="AG92" s="190">
        <v>23249557198</v>
      </c>
      <c r="AH92" s="190">
        <v>8920457433</v>
      </c>
      <c r="AI92" s="190">
        <v>17130215368</v>
      </c>
      <c r="AJ92" s="190">
        <v>17130215368</v>
      </c>
      <c r="AK92" s="190">
        <v>17130215368</v>
      </c>
      <c r="AL92" s="190">
        <v>17130215368</v>
      </c>
      <c r="AM92" s="190">
        <v>17130215368</v>
      </c>
      <c r="AN92" s="190">
        <v>17130215368</v>
      </c>
      <c r="AO92" s="190">
        <v>17130215368</v>
      </c>
      <c r="AP92" s="190">
        <v>17130215368</v>
      </c>
      <c r="AQ92" s="190">
        <v>17130215368</v>
      </c>
      <c r="AR92" s="190">
        <v>17130215368</v>
      </c>
      <c r="AS92" s="190">
        <v>17130215368</v>
      </c>
      <c r="AT92" s="190">
        <v>17130215368</v>
      </c>
      <c r="AU92" s="190">
        <v>17130215368</v>
      </c>
      <c r="AV92" s="190">
        <v>17130215368</v>
      </c>
      <c r="AW92" s="190">
        <v>17130215368</v>
      </c>
      <c r="AX92" s="190">
        <v>17130215368</v>
      </c>
      <c r="AY92" s="190">
        <v>5426308075</v>
      </c>
      <c r="AZ92" s="190">
        <v>5426308075</v>
      </c>
      <c r="BA92" s="190">
        <v>5355856126</v>
      </c>
      <c r="BB92" s="190">
        <v>0</v>
      </c>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-1368491782</v>
      </c>
      <c r="C94" s="190">
        <v>-1368491782</v>
      </c>
      <c r="D94" s="190">
        <v>-1368491782</v>
      </c>
      <c r="E94" s="190">
        <v>-1368491782</v>
      </c>
      <c r="F94" s="190">
        <v>-1278376235</v>
      </c>
      <c r="G94" s="190">
        <v>-1278376235</v>
      </c>
      <c r="H94" s="190">
        <v>-1278376235</v>
      </c>
      <c r="I94" s="190">
        <v>-1278376235</v>
      </c>
      <c r="J94" s="190">
        <v>-1255290111</v>
      </c>
      <c r="K94" s="190">
        <v>-1255290111</v>
      </c>
      <c r="L94" s="190">
        <v>-1255290111</v>
      </c>
      <c r="M94" s="190">
        <v>-1255290111</v>
      </c>
      <c r="N94" s="190">
        <v>-1206786090</v>
      </c>
      <c r="O94" s="190">
        <v>-1206786090</v>
      </c>
      <c r="P94" s="190">
        <v>-1206786090</v>
      </c>
      <c r="Q94" s="190">
        <v>-1206786090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369352952</v>
      </c>
      <c r="C95" s="190">
        <v>369209938</v>
      </c>
      <c r="D95" s="190">
        <v>331822590</v>
      </c>
      <c r="E95" s="190">
        <v>293146938</v>
      </c>
      <c r="F95" s="190">
        <v>324215577</v>
      </c>
      <c r="G95" s="190">
        <v>248289661</v>
      </c>
      <c r="H95" s="190">
        <v>330333751</v>
      </c>
      <c r="I95" s="190">
        <v>260200677</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12580078283</v>
      </c>
      <c r="C96" s="190">
        <v>12580078283</v>
      </c>
      <c r="D96" s="190">
        <v>12580078283</v>
      </c>
      <c r="E96" s="190">
        <v>12580078283</v>
      </c>
      <c r="F96" s="190">
        <v>11175347428</v>
      </c>
      <c r="G96" s="190">
        <v>11175347427</v>
      </c>
      <c r="H96" s="190">
        <v>11175347427</v>
      </c>
      <c r="I96" s="190">
        <v>11175347427</v>
      </c>
      <c r="J96" s="190">
        <v>10433633849</v>
      </c>
      <c r="K96" s="190">
        <v>10433633849</v>
      </c>
      <c r="L96" s="190">
        <v>10433633849</v>
      </c>
      <c r="M96" s="190">
        <v>10433633849</v>
      </c>
      <c r="N96" s="190">
        <v>9088677556</v>
      </c>
      <c r="O96" s="190">
        <v>9088677556</v>
      </c>
      <c r="P96" s="190">
        <v>9088677556</v>
      </c>
      <c r="Q96" s="190">
        <v>9088677556</v>
      </c>
      <c r="R96" s="190">
        <v>7670652161</v>
      </c>
      <c r="S96" s="190">
        <v>7670652161</v>
      </c>
      <c r="T96" s="190">
        <v>7670652161</v>
      </c>
      <c r="U96" s="190">
        <v>7670652161</v>
      </c>
      <c r="V96" s="190">
        <v>6401243057</v>
      </c>
      <c r="W96" s="190">
        <v>6401243057</v>
      </c>
      <c r="X96" s="190">
        <v>6401243057</v>
      </c>
      <c r="Y96" s="190">
        <v>6401243057</v>
      </c>
      <c r="Z96" s="190">
        <v>5251302692</v>
      </c>
      <c r="AA96" s="190">
        <v>5251302692</v>
      </c>
      <c r="AB96" s="190">
        <v>5251302692</v>
      </c>
      <c r="AC96" s="190">
        <v>5251302692</v>
      </c>
      <c r="AD96" s="190">
        <v>4081598366</v>
      </c>
      <c r="AE96" s="190">
        <v>4081598366</v>
      </c>
      <c r="AF96" s="190">
        <v>4081598366</v>
      </c>
      <c r="AG96" s="190">
        <v>4081598366</v>
      </c>
      <c r="AH96" s="190">
        <v>3155676161</v>
      </c>
      <c r="AI96" s="190">
        <v>3155676161</v>
      </c>
      <c r="AJ96" s="190">
        <v>3155676161</v>
      </c>
      <c r="AK96" s="190">
        <v>3155676161</v>
      </c>
      <c r="AL96" s="190">
        <v>2502638745</v>
      </c>
      <c r="AM96" s="190">
        <v>2502638745</v>
      </c>
      <c r="AN96" s="190">
        <v>2502638745</v>
      </c>
      <c r="AO96" s="190">
        <v>2502638745</v>
      </c>
      <c r="AP96" s="190">
        <v>1834687099</v>
      </c>
      <c r="AQ96" s="190">
        <v>1834687099</v>
      </c>
      <c r="AR96" s="190">
        <v>1834687099</v>
      </c>
      <c r="AS96" s="190">
        <v>1834687099</v>
      </c>
      <c r="AT96" s="190">
        <v>1217835425</v>
      </c>
      <c r="AU96" s="190">
        <v>1217835425</v>
      </c>
      <c r="AV96" s="190">
        <v>1217835425</v>
      </c>
      <c r="AW96" s="190">
        <v>1217835425</v>
      </c>
      <c r="AX96" s="190">
        <v>780766306</v>
      </c>
      <c r="AY96" s="190">
        <v>780766306</v>
      </c>
      <c r="AZ96" s="190">
        <v>780766306</v>
      </c>
      <c r="BA96" s="190">
        <v>68517334</v>
      </c>
      <c r="BB96" s="190">
        <v>0</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53439880527</v>
      </c>
      <c r="C98" s="190">
        <v>49498154796</v>
      </c>
      <c r="D98" s="190">
        <v>52389741188</v>
      </c>
      <c r="E98" s="190">
        <v>48293145691</v>
      </c>
      <c r="F98" s="190">
        <v>47585611362</v>
      </c>
      <c r="G98" s="190">
        <v>43970948053</v>
      </c>
      <c r="H98" s="190">
        <v>43226258930</v>
      </c>
      <c r="I98" s="190">
        <v>40065058314</v>
      </c>
      <c r="J98" s="190">
        <v>38784234269</v>
      </c>
      <c r="K98" s="190">
        <v>37318554624</v>
      </c>
      <c r="L98" s="190">
        <v>42382808118</v>
      </c>
      <c r="M98" s="190">
        <v>40328340552</v>
      </c>
      <c r="N98" s="190">
        <v>40214943442</v>
      </c>
      <c r="O98" s="190">
        <v>36366845008</v>
      </c>
      <c r="P98" s="190">
        <v>39877504840</v>
      </c>
      <c r="Q98" s="190">
        <v>36161623195</v>
      </c>
      <c r="R98" s="190">
        <v>34559902335</v>
      </c>
      <c r="S98" s="190">
        <v>30440597620</v>
      </c>
      <c r="T98" s="190">
        <v>33174331660</v>
      </c>
      <c r="U98" s="190">
        <v>29647600735</v>
      </c>
      <c r="V98" s="190">
        <v>27845914536</v>
      </c>
      <c r="W98" s="190">
        <v>24698073850</v>
      </c>
      <c r="X98" s="190">
        <v>27426007300</v>
      </c>
      <c r="Y98" s="190">
        <v>24015983396</v>
      </c>
      <c r="Z98" s="190">
        <v>22416348465</v>
      </c>
      <c r="AA98" s="190">
        <v>19728519047</v>
      </c>
      <c r="AB98" s="190">
        <v>22878569900</v>
      </c>
      <c r="AC98" s="190">
        <v>19461396515</v>
      </c>
      <c r="AD98" s="190">
        <v>18134130370</v>
      </c>
      <c r="AE98" s="190">
        <v>15117200952</v>
      </c>
      <c r="AF98" s="190">
        <v>17552924840</v>
      </c>
      <c r="AG98" s="190">
        <v>14135835336</v>
      </c>
      <c r="AH98" s="190">
        <v>13132370670</v>
      </c>
      <c r="AI98" s="190">
        <v>10446131072</v>
      </c>
      <c r="AJ98" s="190">
        <v>11993241496</v>
      </c>
      <c r="AK98" s="190">
        <v>9695184854</v>
      </c>
      <c r="AL98" s="190">
        <v>8414214906</v>
      </c>
      <c r="AM98" s="190">
        <v>6653236153</v>
      </c>
      <c r="AN98" s="190">
        <v>9173639629</v>
      </c>
      <c r="AO98" s="190">
        <v>7710875248</v>
      </c>
      <c r="AP98" s="190">
        <v>7267116765</v>
      </c>
      <c r="AQ98" s="190">
        <v>5419504162</v>
      </c>
      <c r="AR98" s="190">
        <v>7682397997</v>
      </c>
      <c r="AS98" s="190">
        <v>5592337565</v>
      </c>
      <c r="AT98" s="190">
        <v>4764748011</v>
      </c>
      <c r="AU98" s="190">
        <v>3057427916</v>
      </c>
      <c r="AV98" s="190">
        <v>5578538746</v>
      </c>
      <c r="AW98" s="190">
        <v>3933699642</v>
      </c>
      <c r="AX98" s="190">
        <v>3258179056</v>
      </c>
      <c r="AY98" s="190">
        <v>2275358475</v>
      </c>
      <c r="AZ98" s="190">
        <v>2081969875</v>
      </c>
      <c r="BA98" s="190">
        <v>274069339</v>
      </c>
      <c r="BB98" s="190">
        <v>0</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27488</v>
      </c>
      <c r="C99" s="190">
        <v>27488</v>
      </c>
      <c r="D99" s="190">
        <v>27488</v>
      </c>
      <c r="E99" s="190">
        <v>161796</v>
      </c>
      <c r="F99" s="190">
        <v>2276649</v>
      </c>
      <c r="G99" s="190">
        <v>5276649</v>
      </c>
      <c r="H99" s="190">
        <v>5276649</v>
      </c>
      <c r="I99" s="190">
        <v>5276649</v>
      </c>
      <c r="J99" s="190">
        <v>5276649</v>
      </c>
      <c r="K99" s="190">
        <v>6695332820</v>
      </c>
      <c r="L99" s="190">
        <v>5276649</v>
      </c>
      <c r="M99" s="190">
        <v>5276649</v>
      </c>
      <c r="N99" s="190">
        <v>5249160</v>
      </c>
      <c r="O99" s="190">
        <v>5249160</v>
      </c>
      <c r="P99" s="190">
        <v>5249160</v>
      </c>
      <c r="Q99" s="190">
        <v>5249160</v>
      </c>
      <c r="R99" s="190">
        <v>5249160</v>
      </c>
      <c r="S99" s="190">
        <v>5421678</v>
      </c>
      <c r="T99" s="190">
        <v>5421678</v>
      </c>
      <c r="U99" s="190">
        <v>5421678</v>
      </c>
      <c r="V99" s="190">
        <v>0</v>
      </c>
      <c r="W99" s="190">
        <v>0</v>
      </c>
      <c r="X99" s="190">
        <v>0</v>
      </c>
      <c r="Y99" s="190">
        <v>0</v>
      </c>
      <c r="Z99" s="190">
        <v>0</v>
      </c>
      <c r="AA99" s="190">
        <v>5798048681</v>
      </c>
      <c r="AB99" s="190">
        <v>0</v>
      </c>
      <c r="AC99" s="190">
        <v>0</v>
      </c>
      <c r="AD99" s="190">
        <v>0</v>
      </c>
      <c r="AE99" s="190">
        <v>5088402557</v>
      </c>
      <c r="AF99" s="190">
        <v>0</v>
      </c>
      <c r="AG99" s="190">
        <v>0</v>
      </c>
      <c r="AH99" s="190">
        <v>0</v>
      </c>
      <c r="AI99" s="190">
        <v>2751628061</v>
      </c>
      <c r="AJ99" s="190">
        <v>0</v>
      </c>
      <c r="AK99" s="190">
        <v>0</v>
      </c>
      <c r="AL99" s="190">
        <v>0</v>
      </c>
      <c r="AM99" s="190">
        <v>3893027138</v>
      </c>
      <c r="AN99" s="190">
        <v>0</v>
      </c>
      <c r="AO99" s="190">
        <v>0</v>
      </c>
      <c r="AP99" s="190">
        <v>0</v>
      </c>
      <c r="AQ99" s="190">
        <v>3893027138</v>
      </c>
      <c r="AR99" s="190">
        <v>0</v>
      </c>
      <c r="AS99" s="190">
        <v>0</v>
      </c>
      <c r="AT99" s="190">
        <v>0</v>
      </c>
      <c r="AU99" s="190">
        <v>0</v>
      </c>
      <c r="AV99" s="190">
        <v>0</v>
      </c>
      <c r="AW99" s="190">
        <v>0</v>
      </c>
      <c r="AX99" s="190">
        <v>0</v>
      </c>
      <c r="AY99" s="190">
        <v>1711190017</v>
      </c>
      <c r="AZ99" s="190">
        <v>767070540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104606988221</v>
      </c>
      <c r="C102" s="190">
        <v>100665119476</v>
      </c>
      <c r="D102" s="190">
        <v>103519318520</v>
      </c>
      <c r="E102" s="190">
        <v>99401764068</v>
      </c>
      <c r="F102" s="190">
        <v>97410683069</v>
      </c>
      <c r="G102" s="190">
        <v>93720093844</v>
      </c>
      <c r="H102" s="190">
        <v>93059121308</v>
      </c>
      <c r="I102" s="190">
        <v>89827787618</v>
      </c>
      <c r="J102" s="190">
        <v>87568130709</v>
      </c>
      <c r="K102" s="190">
        <v>86102451064</v>
      </c>
      <c r="L102" s="190">
        <v>91166704558</v>
      </c>
      <c r="M102" s="190">
        <v>89112236992</v>
      </c>
      <c r="N102" s="190">
        <v>87851935080</v>
      </c>
      <c r="O102" s="190">
        <v>84003836646</v>
      </c>
      <c r="P102" s="190">
        <v>87514496478</v>
      </c>
      <c r="Q102" s="190">
        <v>83798614833</v>
      </c>
      <c r="R102" s="190">
        <v>80966877289</v>
      </c>
      <c r="S102" s="190">
        <v>77866349953</v>
      </c>
      <c r="T102" s="190">
        <v>80600083993</v>
      </c>
      <c r="U102" s="190">
        <v>77073353068</v>
      </c>
      <c r="V102" s="190">
        <v>74016606516</v>
      </c>
      <c r="W102" s="190">
        <v>70870516684</v>
      </c>
      <c r="X102" s="190">
        <v>73598450134</v>
      </c>
      <c r="Y102" s="190">
        <v>70188426230</v>
      </c>
      <c r="Z102" s="190">
        <v>65783999846</v>
      </c>
      <c r="AA102" s="190">
        <v>63096170428</v>
      </c>
      <c r="AB102" s="190">
        <v>66246221281</v>
      </c>
      <c r="AC102" s="190">
        <v>62829047896</v>
      </c>
      <c r="AD102" s="190">
        <v>60332077425</v>
      </c>
      <c r="AE102" s="190">
        <v>57315148007</v>
      </c>
      <c r="AF102" s="190">
        <v>59750871895</v>
      </c>
      <c r="AG102" s="190">
        <v>56333782391</v>
      </c>
      <c r="AH102" s="190">
        <v>38185261391</v>
      </c>
      <c r="AI102" s="190">
        <v>43708779728</v>
      </c>
      <c r="AJ102" s="190">
        <v>45255890152</v>
      </c>
      <c r="AK102" s="190">
        <v>42957833510</v>
      </c>
      <c r="AL102" s="190">
        <v>41023826146</v>
      </c>
      <c r="AM102" s="190">
        <v>39262847393</v>
      </c>
      <c r="AN102" s="190">
        <v>41783250869</v>
      </c>
      <c r="AO102" s="190">
        <v>40320486488</v>
      </c>
      <c r="AP102" s="190">
        <v>39208776359</v>
      </c>
      <c r="AQ102" s="190">
        <v>37361163756</v>
      </c>
      <c r="AR102" s="190">
        <v>39624057591</v>
      </c>
      <c r="AS102" s="190">
        <v>37533997159</v>
      </c>
      <c r="AT102" s="190">
        <v>36089555931</v>
      </c>
      <c r="AU102" s="190">
        <v>34382235836</v>
      </c>
      <c r="AV102" s="190">
        <v>36903346666</v>
      </c>
      <c r="AW102" s="190">
        <v>35258507562</v>
      </c>
      <c r="AX102" s="190">
        <v>34145917857</v>
      </c>
      <c r="AY102" s="190">
        <v>18428886953</v>
      </c>
      <c r="AZ102" s="190">
        <v>18235498353</v>
      </c>
      <c r="BA102" s="190">
        <v>15644896896</v>
      </c>
      <c r="BB102" s="190">
        <v>0</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1511054100</v>
      </c>
      <c r="C103" s="190">
        <v>1514687358</v>
      </c>
      <c r="D103" s="190">
        <v>1500337461</v>
      </c>
      <c r="E103" s="190">
        <v>1509165069</v>
      </c>
      <c r="F103" s="190">
        <v>1653334951</v>
      </c>
      <c r="G103" s="190">
        <v>1687091245</v>
      </c>
      <c r="H103" s="190">
        <v>1700905577</v>
      </c>
      <c r="I103" s="190">
        <v>1746572510</v>
      </c>
      <c r="J103" s="190">
        <v>1759222277</v>
      </c>
      <c r="K103" s="190">
        <v>1458915791</v>
      </c>
      <c r="L103" s="190">
        <v>1489100748</v>
      </c>
      <c r="M103" s="190">
        <v>1498322218</v>
      </c>
      <c r="N103" s="190">
        <v>206096743</v>
      </c>
      <c r="O103" s="190">
        <v>201860966</v>
      </c>
      <c r="P103" s="190">
        <v>200335677</v>
      </c>
      <c r="Q103" s="190">
        <v>199126700</v>
      </c>
      <c r="R103" s="190">
        <v>197722951</v>
      </c>
      <c r="S103" s="190">
        <v>197102805</v>
      </c>
      <c r="T103" s="190">
        <v>195621969</v>
      </c>
      <c r="U103" s="190">
        <v>194839923</v>
      </c>
      <c r="V103" s="190">
        <v>150000000</v>
      </c>
      <c r="W103" s="190">
        <v>158406294</v>
      </c>
      <c r="X103" s="190">
        <v>158413269</v>
      </c>
      <c r="Y103" s="190">
        <v>158393389</v>
      </c>
      <c r="Z103" s="190">
        <v>130524084</v>
      </c>
      <c r="AA103" s="190">
        <v>8431938</v>
      </c>
      <c r="AB103" s="190">
        <v>8210072</v>
      </c>
      <c r="AC103" s="190">
        <v>8048729</v>
      </c>
      <c r="AD103" s="190">
        <v>8398246</v>
      </c>
      <c r="AE103" s="190">
        <v>8367133</v>
      </c>
      <c r="AF103" s="190">
        <v>8292145</v>
      </c>
      <c r="AG103" s="190">
        <v>7874972</v>
      </c>
      <c r="AH103" s="190">
        <v>6748069</v>
      </c>
      <c r="AI103" s="190">
        <v>0</v>
      </c>
      <c r="AJ103" s="190">
        <v>0</v>
      </c>
      <c r="AK103" s="190">
        <v>0</v>
      </c>
      <c r="AL103" s="190">
        <v>0</v>
      </c>
      <c r="AM103" s="190">
        <v>0</v>
      </c>
      <c r="AN103" s="190">
        <v>0</v>
      </c>
      <c r="AO103" s="190">
        <v>0</v>
      </c>
      <c r="AP103" s="190">
        <v>0</v>
      </c>
      <c r="AQ103" s="190">
        <v>0</v>
      </c>
      <c r="AR103" s="190">
        <v>0</v>
      </c>
      <c r="AS103" s="190">
        <v>0</v>
      </c>
      <c r="AT103" s="190">
        <v>0</v>
      </c>
      <c r="AU103" s="190">
        <v>0</v>
      </c>
      <c r="AV103" s="190">
        <v>0</v>
      </c>
      <c r="AW103" s="190">
        <v>0</v>
      </c>
      <c r="AX103" s="190">
        <v>0</v>
      </c>
      <c r="AY103" s="190">
        <v>0</v>
      </c>
      <c r="AZ103" s="190">
        <v>0</v>
      </c>
      <c r="BA103" s="190">
        <v>0</v>
      </c>
      <c r="BB103" s="190">
        <v>0</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106118042321</v>
      </c>
      <c r="C107" s="33">
        <f>C102+C103</f>
        <v>102179806834</v>
      </c>
      <c r="D107" s="33">
        <f>D102+D103</f>
        <v>105019655981</v>
      </c>
      <c r="E107" s="33">
        <f>E102+E103</f>
        <v>100910929137</v>
      </c>
      <c r="F107" s="33">
        <f t="shared" ref="F107:BQ107" si="20">F102+F103</f>
        <v>99064018020</v>
      </c>
      <c r="G107" s="33">
        <f t="shared" si="20"/>
        <v>95407185089</v>
      </c>
      <c r="H107" s="33">
        <f t="shared" si="20"/>
        <v>94760026885</v>
      </c>
      <c r="I107" s="33">
        <f t="shared" si="20"/>
        <v>91574360128</v>
      </c>
      <c r="J107" s="33">
        <f t="shared" si="20"/>
        <v>89327352986</v>
      </c>
      <c r="K107" s="33">
        <f t="shared" si="20"/>
        <v>87561366855</v>
      </c>
      <c r="L107" s="33">
        <f t="shared" si="20"/>
        <v>92655805306</v>
      </c>
      <c r="M107" s="33">
        <f t="shared" si="20"/>
        <v>90610559210</v>
      </c>
      <c r="N107" s="33">
        <f t="shared" si="20"/>
        <v>88058031823</v>
      </c>
      <c r="O107" s="33">
        <f t="shared" si="20"/>
        <v>84205697612</v>
      </c>
      <c r="P107" s="33">
        <f t="shared" si="20"/>
        <v>87714832155</v>
      </c>
      <c r="Q107" s="33">
        <f t="shared" si="20"/>
        <v>83997741533</v>
      </c>
      <c r="R107" s="33">
        <f t="shared" si="20"/>
        <v>81164600240</v>
      </c>
      <c r="S107" s="33">
        <f t="shared" si="20"/>
        <v>78063452758</v>
      </c>
      <c r="T107" s="33">
        <f t="shared" si="20"/>
        <v>80795705962</v>
      </c>
      <c r="U107" s="33">
        <f t="shared" si="20"/>
        <v>77268192991</v>
      </c>
      <c r="V107" s="33">
        <f t="shared" si="20"/>
        <v>74166606516</v>
      </c>
      <c r="W107" s="33">
        <f t="shared" si="20"/>
        <v>71028922978</v>
      </c>
      <c r="X107" s="33">
        <f t="shared" si="20"/>
        <v>73756863403</v>
      </c>
      <c r="Y107" s="33">
        <f t="shared" si="20"/>
        <v>70346819619</v>
      </c>
      <c r="Z107" s="33">
        <f t="shared" si="20"/>
        <v>65914523930</v>
      </c>
      <c r="AA107" s="33">
        <f t="shared" si="20"/>
        <v>63104602366</v>
      </c>
      <c r="AB107" s="33">
        <f t="shared" si="20"/>
        <v>66254431353</v>
      </c>
      <c r="AC107" s="33">
        <f t="shared" si="20"/>
        <v>62837096625</v>
      </c>
      <c r="AD107" s="33">
        <f t="shared" si="20"/>
        <v>60340475671</v>
      </c>
      <c r="AE107" s="33">
        <f t="shared" si="20"/>
        <v>57323515140</v>
      </c>
      <c r="AF107" s="33">
        <f t="shared" si="20"/>
        <v>59759164040</v>
      </c>
      <c r="AG107" s="33">
        <f t="shared" si="20"/>
        <v>56341657363</v>
      </c>
      <c r="AH107" s="33">
        <f t="shared" si="20"/>
        <v>38192009460</v>
      </c>
      <c r="AI107" s="33">
        <f t="shared" si="20"/>
        <v>43708779728</v>
      </c>
      <c r="AJ107" s="33">
        <f t="shared" si="20"/>
        <v>45255890152</v>
      </c>
      <c r="AK107" s="33">
        <f t="shared" si="20"/>
        <v>42957833510</v>
      </c>
      <c r="AL107" s="33">
        <f t="shared" si="20"/>
        <v>41023826146</v>
      </c>
      <c r="AM107" s="33">
        <f t="shared" si="20"/>
        <v>39262847393</v>
      </c>
      <c r="AN107" s="33">
        <f t="shared" si="20"/>
        <v>41783250869</v>
      </c>
      <c r="AO107" s="33">
        <f t="shared" si="20"/>
        <v>40320486488</v>
      </c>
      <c r="AP107" s="33">
        <f t="shared" si="20"/>
        <v>39208776359</v>
      </c>
      <c r="AQ107" s="33">
        <f t="shared" si="20"/>
        <v>37361163756</v>
      </c>
      <c r="AR107" s="33">
        <f t="shared" si="20"/>
        <v>39624057591</v>
      </c>
      <c r="AS107" s="33">
        <f t="shared" si="20"/>
        <v>37533997159</v>
      </c>
      <c r="AT107" s="33">
        <f t="shared" si="20"/>
        <v>36089555931</v>
      </c>
      <c r="AU107" s="33">
        <f t="shared" si="20"/>
        <v>34382235836</v>
      </c>
      <c r="AV107" s="33">
        <f t="shared" si="20"/>
        <v>36903346666</v>
      </c>
      <c r="AW107" s="33">
        <f t="shared" si="20"/>
        <v>35258507562</v>
      </c>
      <c r="AX107" s="33">
        <f t="shared" si="20"/>
        <v>34145917857</v>
      </c>
      <c r="AY107" s="33">
        <f t="shared" si="20"/>
        <v>18428886953</v>
      </c>
      <c r="AZ107" s="33">
        <f t="shared" si="20"/>
        <v>18235498353</v>
      </c>
      <c r="BA107" s="33">
        <f t="shared" si="20"/>
        <v>15644896896</v>
      </c>
      <c r="BB107" s="33">
        <f t="shared" si="20"/>
        <v>0</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114215755001</v>
      </c>
      <c r="C108" s="38">
        <f t="shared" ref="C108:BN108" si="22">SUM(C89+C107)</f>
        <v>109588431045</v>
      </c>
      <c r="D108" s="38">
        <f t="shared" si="22"/>
        <v>112483924894</v>
      </c>
      <c r="E108" s="38">
        <f>SUM(E107+E89)</f>
        <v>108373089657</v>
      </c>
      <c r="F108" s="38">
        <f t="shared" si="22"/>
        <v>106703746537</v>
      </c>
      <c r="G108" s="38">
        <f t="shared" si="22"/>
        <v>103007519903</v>
      </c>
      <c r="H108" s="38">
        <f t="shared" si="22"/>
        <v>102534178235</v>
      </c>
      <c r="I108" s="38">
        <f t="shared" si="22"/>
        <v>99050121931</v>
      </c>
      <c r="J108" s="38">
        <f t="shared" si="22"/>
        <v>96497065320</v>
      </c>
      <c r="K108" s="38">
        <f t="shared" si="22"/>
        <v>93279241593</v>
      </c>
      <c r="L108" s="38">
        <f t="shared" si="22"/>
        <v>98323937640</v>
      </c>
      <c r="M108" s="38">
        <f t="shared" si="22"/>
        <v>96246369139</v>
      </c>
      <c r="N108" s="38">
        <f t="shared" si="22"/>
        <v>94370297254</v>
      </c>
      <c r="O108" s="38">
        <f t="shared" si="22"/>
        <v>90460046131</v>
      </c>
      <c r="P108" s="38">
        <f t="shared" si="22"/>
        <v>93881177096</v>
      </c>
      <c r="Q108" s="38">
        <f t="shared" si="22"/>
        <v>90031002895</v>
      </c>
      <c r="R108" s="38">
        <f t="shared" si="22"/>
        <v>97305916869</v>
      </c>
      <c r="S108" s="38">
        <f t="shared" si="22"/>
        <v>93052150443</v>
      </c>
      <c r="T108" s="38">
        <f t="shared" si="22"/>
        <v>95635841795</v>
      </c>
      <c r="U108" s="38">
        <f t="shared" si="22"/>
        <v>91783766972</v>
      </c>
      <c r="V108" s="38">
        <f t="shared" si="22"/>
        <v>88737393356</v>
      </c>
      <c r="W108" s="38">
        <f t="shared" si="22"/>
        <v>89497337418</v>
      </c>
      <c r="X108" s="38">
        <f t="shared" si="22"/>
        <v>91816175187</v>
      </c>
      <c r="Y108" s="38">
        <f t="shared" si="22"/>
        <v>88165399611</v>
      </c>
      <c r="Z108" s="38">
        <f t="shared" si="22"/>
        <v>85080830006</v>
      </c>
      <c r="AA108" s="38">
        <f t="shared" si="22"/>
        <v>82284948977</v>
      </c>
      <c r="AB108" s="38">
        <f t="shared" si="22"/>
        <v>85229678804</v>
      </c>
      <c r="AC108" s="38">
        <f t="shared" si="22"/>
        <v>81607244917</v>
      </c>
      <c r="AD108" s="38">
        <f t="shared" si="22"/>
        <v>81392296906</v>
      </c>
      <c r="AE108" s="38">
        <f t="shared" si="22"/>
        <v>81768920646</v>
      </c>
      <c r="AF108" s="38">
        <f t="shared" si="22"/>
        <v>83987890384</v>
      </c>
      <c r="AG108" s="38">
        <f t="shared" si="22"/>
        <v>83462686370</v>
      </c>
      <c r="AH108" s="38">
        <f t="shared" si="22"/>
        <v>64587864084</v>
      </c>
      <c r="AI108" s="38">
        <f t="shared" si="22"/>
        <v>57480320212</v>
      </c>
      <c r="AJ108" s="38">
        <f t="shared" si="22"/>
        <v>58879459496</v>
      </c>
      <c r="AK108" s="38">
        <f t="shared" si="22"/>
        <v>59538060865</v>
      </c>
      <c r="AL108" s="38">
        <f t="shared" si="22"/>
        <v>44528078646</v>
      </c>
      <c r="AM108" s="38">
        <f t="shared" si="22"/>
        <v>39263448103</v>
      </c>
      <c r="AN108" s="38">
        <f t="shared" si="22"/>
        <v>41783250869</v>
      </c>
      <c r="AO108" s="38">
        <f t="shared" si="22"/>
        <v>40320486488</v>
      </c>
      <c r="AP108" s="38">
        <f t="shared" si="22"/>
        <v>39210176359</v>
      </c>
      <c r="AQ108" s="38">
        <f t="shared" si="22"/>
        <v>37362563756</v>
      </c>
      <c r="AR108" s="38">
        <f t="shared" si="22"/>
        <v>39625457591</v>
      </c>
      <c r="AS108" s="38">
        <f t="shared" si="22"/>
        <v>37535397159</v>
      </c>
      <c r="AT108" s="38">
        <f t="shared" si="22"/>
        <v>36089555931</v>
      </c>
      <c r="AU108" s="38">
        <f t="shared" si="22"/>
        <v>34382235836</v>
      </c>
      <c r="AV108" s="38">
        <f t="shared" si="22"/>
        <v>36903885867</v>
      </c>
      <c r="AW108" s="38">
        <f t="shared" si="22"/>
        <v>35258507562</v>
      </c>
      <c r="AX108" s="38">
        <f t="shared" si="22"/>
        <v>34145917857</v>
      </c>
      <c r="AY108" s="38">
        <f t="shared" si="22"/>
        <v>23428886953</v>
      </c>
      <c r="AZ108" s="38">
        <f t="shared" si="22"/>
        <v>23235498353</v>
      </c>
      <c r="BA108" s="38">
        <f t="shared" si="22"/>
        <v>15644896896</v>
      </c>
      <c r="BB108" s="38">
        <f t="shared" si="22"/>
        <v>0</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U41" workbookViewId="0">
      <selection activeCell="AW58" sqref="AW58"/>
    </sheetView>
  </sheetViews>
  <sheetFormatPr defaultRowHeight="14.4" x14ac:dyDescent="0.25"/>
  <cols>
    <col min="1" max="1" width="57.21875" style="17" bestFit="1" customWidth="1"/>
    <col min="2" max="4" width="22.6640625" hidden="1" customWidth="1"/>
    <col min="5" max="5" width="22.6640625" bestFit="1" customWidth="1"/>
    <col min="6" max="6" width="22.6640625" hidden="1" customWidth="1"/>
    <col min="7" max="7" width="21.44140625" hidden="1" customWidth="1"/>
    <col min="8" max="8" width="22.6640625" hidden="1" customWidth="1"/>
    <col min="9" max="9" width="21.44140625" bestFit="1" customWidth="1"/>
    <col min="10" max="12" width="22.6640625" hidden="1" customWidth="1"/>
    <col min="13" max="13" width="22.6640625" bestFit="1" customWidth="1"/>
    <col min="14" max="14" width="22.6640625" hidden="1" customWidth="1"/>
    <col min="15" max="15" width="21.44140625" hidden="1" customWidth="1"/>
    <col min="16" max="16" width="22.6640625" hidden="1" customWidth="1"/>
    <col min="17" max="17" width="22.6640625" bestFit="1" customWidth="1"/>
    <col min="18" max="18" width="22.6640625" hidden="1" customWidth="1"/>
    <col min="19" max="19" width="21.44140625" hidden="1" customWidth="1"/>
    <col min="20" max="20" width="22.6640625" hidden="1" customWidth="1"/>
    <col min="21" max="21" width="22.6640625" bestFit="1" customWidth="1"/>
    <col min="22" max="22" width="22.6640625" hidden="1" customWidth="1"/>
    <col min="23" max="23" width="21.44140625" hidden="1" customWidth="1"/>
    <col min="24" max="24" width="22.6640625" hidden="1" customWidth="1"/>
    <col min="25" max="25" width="22.6640625" bestFit="1" customWidth="1"/>
    <col min="26" max="26" width="22.6640625" hidden="1" customWidth="1"/>
    <col min="27" max="27" width="21.44140625" hidden="1" customWidth="1"/>
    <col min="28" max="28" width="22.6640625" hidden="1" customWidth="1"/>
    <col min="29" max="29" width="22.6640625" bestFit="1" customWidth="1"/>
    <col min="30" max="30" width="22.6640625" hidden="1" customWidth="1"/>
    <col min="31" max="31" width="21.44140625" hidden="1" customWidth="1"/>
    <col min="32" max="32" width="22.6640625" hidden="1" customWidth="1"/>
    <col min="33" max="33" width="22.6640625" bestFit="1" customWidth="1"/>
    <col min="34" max="34" width="22.6640625" hidden="1" customWidth="1"/>
    <col min="35" max="35" width="21.44140625" hidden="1" customWidth="1"/>
    <col min="36" max="36" width="22.6640625" hidden="1" customWidth="1"/>
    <col min="37" max="37" width="21.44140625" bestFit="1" customWidth="1"/>
    <col min="38" max="39" width="21.44140625" hidden="1" customWidth="1"/>
    <col min="40" max="40" width="22.6640625" hidden="1" customWidth="1"/>
    <col min="41" max="41" width="21.44140625" bestFit="1" customWidth="1"/>
    <col min="42" max="43" width="21.44140625" hidden="1" customWidth="1"/>
    <col min="44" max="44" width="22.6640625" hidden="1" customWidth="1"/>
    <col min="45" max="45" width="21.44140625" bestFit="1" customWidth="1"/>
    <col min="46" max="47" width="21.44140625" hidden="1" customWidth="1"/>
    <col min="48" max="48" width="22.6640625" hidden="1" customWidth="1"/>
    <col min="49" max="49" width="21.44140625" bestFit="1" customWidth="1"/>
    <col min="50" max="52" width="21.44140625" hidden="1" customWidth="1"/>
    <col min="53" max="53" width="21.44140625" bestFit="1" customWidth="1"/>
    <col min="54" max="55" width="21.44140625" hidden="1" customWidth="1"/>
    <col min="56" max="57" width="21.44140625" bestFit="1" customWidth="1"/>
    <col min="58" max="58" width="9.5546875" hidden="1" customWidth="1"/>
    <col min="59"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56861566344</v>
      </c>
      <c r="C4" s="190">
        <v>37233102577</v>
      </c>
      <c r="D4" s="190">
        <v>17973277434</v>
      </c>
      <c r="E4" s="190">
        <v>55636499436</v>
      </c>
      <c r="F4" s="190">
        <v>41740560803</v>
      </c>
      <c r="G4" s="190">
        <v>27356568247</v>
      </c>
      <c r="H4" s="190">
        <v>12451185731</v>
      </c>
      <c r="I4" s="190">
        <v>44624879986</v>
      </c>
      <c r="J4" s="190">
        <v>31590274924</v>
      </c>
      <c r="K4" s="190">
        <v>21225197228</v>
      </c>
      <c r="L4" s="190">
        <v>11112711644</v>
      </c>
      <c r="M4" s="190">
        <v>52531366878</v>
      </c>
      <c r="N4" s="190">
        <v>40405491363</v>
      </c>
      <c r="O4" s="190">
        <v>27568608083</v>
      </c>
      <c r="P4" s="190">
        <v>13879124264</v>
      </c>
      <c r="Q4" s="190">
        <v>53970730405</v>
      </c>
      <c r="R4" s="190">
        <v>40584960018</v>
      </c>
      <c r="S4" s="190">
        <v>26381464422</v>
      </c>
      <c r="T4" s="190">
        <v>12924921593</v>
      </c>
      <c r="U4" s="190">
        <v>51342739663</v>
      </c>
      <c r="V4" s="190">
        <v>37696880493</v>
      </c>
      <c r="W4" s="190">
        <v>24322872530</v>
      </c>
      <c r="X4" s="190">
        <v>11983767548</v>
      </c>
      <c r="Y4" s="190">
        <v>45962439573</v>
      </c>
      <c r="Z4" s="190">
        <v>33478802188</v>
      </c>
      <c r="AA4" s="190">
        <v>22255045433</v>
      </c>
      <c r="AB4" s="190">
        <v>11190000000</v>
      </c>
      <c r="AC4" s="190">
        <v>45007038465</v>
      </c>
      <c r="AD4" s="190">
        <v>33270504198</v>
      </c>
      <c r="AE4" s="190">
        <v>21852185048</v>
      </c>
      <c r="AF4" s="190">
        <v>10894379545</v>
      </c>
      <c r="AG4" s="190">
        <v>42013761549</v>
      </c>
      <c r="AH4" s="190">
        <v>30987977369</v>
      </c>
      <c r="AI4" s="190">
        <v>14020686374</v>
      </c>
      <c r="AJ4" s="190">
        <v>6584835335</v>
      </c>
      <c r="AK4" s="190">
        <v>23123142326</v>
      </c>
      <c r="AL4" s="190">
        <v>16248452158</v>
      </c>
      <c r="AM4" s="190">
        <v>10162139870</v>
      </c>
      <c r="AN4" s="190">
        <v>4859769970</v>
      </c>
      <c r="AO4" s="190">
        <v>22595317577</v>
      </c>
      <c r="AP4" s="190">
        <v>17703917791</v>
      </c>
      <c r="AQ4" s="190">
        <v>11607032225</v>
      </c>
      <c r="AR4" s="190">
        <v>5507283336</v>
      </c>
      <c r="AS4" s="190">
        <v>20860262089</v>
      </c>
      <c r="AT4" s="190">
        <v>15225187083</v>
      </c>
      <c r="AU4" s="190">
        <v>9646345314</v>
      </c>
      <c r="AV4" s="190">
        <v>4499404773</v>
      </c>
      <c r="AW4" s="190">
        <v>16144984825</v>
      </c>
      <c r="AX4" s="190">
        <v>11763831167</v>
      </c>
      <c r="AY4" s="190">
        <v>7762102659</v>
      </c>
      <c r="AZ4" s="190">
        <v>3520864128</v>
      </c>
      <c r="BA4" s="190">
        <v>13104668212</v>
      </c>
      <c r="BB4" s="190">
        <v>9638307308</v>
      </c>
      <c r="BC4" s="190">
        <v>6487495242</v>
      </c>
      <c r="BD4" s="190">
        <v>7201886346</v>
      </c>
      <c r="BE4" s="190">
        <v>5138521408</v>
      </c>
      <c r="BF4" s="190">
        <v>0</v>
      </c>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42764026800</v>
      </c>
      <c r="C5" s="190">
        <v>27750386278</v>
      </c>
      <c r="D5" s="190">
        <v>13265614231</v>
      </c>
      <c r="E5" s="190">
        <v>40145481945</v>
      </c>
      <c r="F5" s="190">
        <v>28554442773</v>
      </c>
      <c r="G5" s="190">
        <v>18502281993</v>
      </c>
      <c r="H5" s="190">
        <v>8769816428</v>
      </c>
      <c r="I5" s="190">
        <v>36952049176</v>
      </c>
      <c r="J5" s="190">
        <v>26339402126</v>
      </c>
      <c r="K5" s="190">
        <v>17387349042</v>
      </c>
      <c r="L5" s="190">
        <v>8666420881</v>
      </c>
      <c r="M5" s="190">
        <v>36978471968</v>
      </c>
      <c r="N5" s="190">
        <v>26457911669</v>
      </c>
      <c r="O5" s="190">
        <v>18349421416</v>
      </c>
      <c r="P5" s="190">
        <v>9049763725</v>
      </c>
      <c r="Q5" s="190">
        <v>33735439375</v>
      </c>
      <c r="R5" s="190">
        <v>24600897211</v>
      </c>
      <c r="S5" s="190">
        <v>16123107208</v>
      </c>
      <c r="T5" s="190">
        <v>7850871338</v>
      </c>
      <c r="U5" s="190">
        <v>32306787587</v>
      </c>
      <c r="V5" s="190">
        <v>23418244893</v>
      </c>
      <c r="W5" s="190">
        <v>14851293435</v>
      </c>
      <c r="X5" s="190">
        <v>6889499243</v>
      </c>
      <c r="Y5" s="190">
        <v>28320619201</v>
      </c>
      <c r="Z5" s="190">
        <v>20093014059</v>
      </c>
      <c r="AA5" s="190">
        <v>13153769399</v>
      </c>
      <c r="AB5" s="190">
        <v>6067181712</v>
      </c>
      <c r="AC5" s="190">
        <v>26420323917</v>
      </c>
      <c r="AD5" s="190">
        <v>18749656390</v>
      </c>
      <c r="AE5" s="190">
        <v>12251230572</v>
      </c>
      <c r="AF5" s="190">
        <v>5816045791</v>
      </c>
      <c r="AG5" s="190">
        <v>24218767128</v>
      </c>
      <c r="AH5" s="190">
        <v>16837695232</v>
      </c>
      <c r="AI5" s="190">
        <v>6420993050</v>
      </c>
      <c r="AJ5" s="190">
        <v>2834170107</v>
      </c>
      <c r="AK5" s="190">
        <v>11932465796</v>
      </c>
      <c r="AL5" s="190">
        <v>8132230138</v>
      </c>
      <c r="AM5" s="190">
        <v>5113318889</v>
      </c>
      <c r="AN5" s="190">
        <v>2299111384</v>
      </c>
      <c r="AO5" s="190">
        <v>11708828992</v>
      </c>
      <c r="AP5" s="190">
        <v>8402508820</v>
      </c>
      <c r="AQ5" s="190">
        <v>5477138675</v>
      </c>
      <c r="AR5" s="190">
        <v>2224288390</v>
      </c>
      <c r="AS5" s="190">
        <v>10061194227</v>
      </c>
      <c r="AT5" s="190">
        <v>6984475987</v>
      </c>
      <c r="AU5" s="190">
        <v>4548348620</v>
      </c>
      <c r="AV5" s="190">
        <v>1831360245</v>
      </c>
      <c r="AW5" s="190">
        <v>7969520393</v>
      </c>
      <c r="AX5" s="190">
        <v>5632612830</v>
      </c>
      <c r="AY5" s="190">
        <v>3568647876</v>
      </c>
      <c r="AZ5" s="190">
        <v>1865040685</v>
      </c>
      <c r="BA5" s="190">
        <v>6059036676</v>
      </c>
      <c r="BB5" s="190">
        <v>4382989782</v>
      </c>
      <c r="BC5" s="190">
        <v>2853149756</v>
      </c>
      <c r="BD5" s="190">
        <v>2921890812</v>
      </c>
      <c r="BE5" s="190">
        <v>2342204700</v>
      </c>
      <c r="BF5" s="190">
        <v>0</v>
      </c>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14097539544</v>
      </c>
      <c r="C6" s="27">
        <f t="shared" ref="C6:BN6" si="0">C4-C5</f>
        <v>9482716299</v>
      </c>
      <c r="D6" s="27">
        <f t="shared" si="0"/>
        <v>4707663203</v>
      </c>
      <c r="E6" s="27">
        <f t="shared" si="0"/>
        <v>15491017491</v>
      </c>
      <c r="F6" s="27">
        <f t="shared" si="0"/>
        <v>13186118030</v>
      </c>
      <c r="G6" s="27">
        <f t="shared" si="0"/>
        <v>8854286254</v>
      </c>
      <c r="H6" s="27">
        <f t="shared" si="0"/>
        <v>3681369303</v>
      </c>
      <c r="I6" s="27">
        <f t="shared" si="0"/>
        <v>7672830810</v>
      </c>
      <c r="J6" s="27">
        <f t="shared" si="0"/>
        <v>5250872798</v>
      </c>
      <c r="K6" s="27">
        <f t="shared" si="0"/>
        <v>3837848186</v>
      </c>
      <c r="L6" s="27">
        <f t="shared" si="0"/>
        <v>2446290763</v>
      </c>
      <c r="M6" s="27">
        <f t="shared" si="0"/>
        <v>15552894910</v>
      </c>
      <c r="N6" s="27">
        <f t="shared" si="0"/>
        <v>13947579694</v>
      </c>
      <c r="O6" s="27">
        <f t="shared" si="0"/>
        <v>9219186667</v>
      </c>
      <c r="P6" s="27">
        <f t="shared" si="0"/>
        <v>4829360539</v>
      </c>
      <c r="Q6" s="27">
        <f t="shared" si="0"/>
        <v>20235291030</v>
      </c>
      <c r="R6" s="27">
        <f t="shared" si="0"/>
        <v>15984062807</v>
      </c>
      <c r="S6" s="27">
        <f t="shared" si="0"/>
        <v>10258357214</v>
      </c>
      <c r="T6" s="27">
        <f t="shared" si="0"/>
        <v>5074050255</v>
      </c>
      <c r="U6" s="27">
        <f t="shared" si="0"/>
        <v>19035952076</v>
      </c>
      <c r="V6" s="27">
        <f t="shared" si="0"/>
        <v>14278635600</v>
      </c>
      <c r="W6" s="27">
        <f t="shared" si="0"/>
        <v>9471579095</v>
      </c>
      <c r="X6" s="27">
        <f t="shared" si="0"/>
        <v>5094268305</v>
      </c>
      <c r="Y6" s="27">
        <f t="shared" si="0"/>
        <v>17641820372</v>
      </c>
      <c r="Z6" s="27">
        <f t="shared" si="0"/>
        <v>13385788129</v>
      </c>
      <c r="AA6" s="27">
        <f t="shared" si="0"/>
        <v>9101276034</v>
      </c>
      <c r="AB6" s="27">
        <f t="shared" si="0"/>
        <v>5122818288</v>
      </c>
      <c r="AC6" s="27">
        <f t="shared" si="0"/>
        <v>18586714548</v>
      </c>
      <c r="AD6" s="27">
        <f t="shared" si="0"/>
        <v>14520847808</v>
      </c>
      <c r="AE6" s="27">
        <f t="shared" si="0"/>
        <v>9600954476</v>
      </c>
      <c r="AF6" s="27">
        <f t="shared" si="0"/>
        <v>5078333754</v>
      </c>
      <c r="AG6" s="27">
        <f t="shared" si="0"/>
        <v>17794994421</v>
      </c>
      <c r="AH6" s="27">
        <f t="shared" si="0"/>
        <v>14150282137</v>
      </c>
      <c r="AI6" s="27">
        <f t="shared" si="0"/>
        <v>7599693324</v>
      </c>
      <c r="AJ6" s="27">
        <f t="shared" si="0"/>
        <v>3750665228</v>
      </c>
      <c r="AK6" s="27">
        <f t="shared" si="0"/>
        <v>11190676530</v>
      </c>
      <c r="AL6" s="27">
        <f t="shared" si="0"/>
        <v>8116222020</v>
      </c>
      <c r="AM6" s="27">
        <f t="shared" si="0"/>
        <v>5048820981</v>
      </c>
      <c r="AN6" s="27">
        <f t="shared" si="0"/>
        <v>2560658586</v>
      </c>
      <c r="AO6" s="27">
        <f t="shared" si="0"/>
        <v>10886488585</v>
      </c>
      <c r="AP6" s="27">
        <f t="shared" si="0"/>
        <v>9301408971</v>
      </c>
      <c r="AQ6" s="27">
        <f t="shared" si="0"/>
        <v>6129893550</v>
      </c>
      <c r="AR6" s="27">
        <f t="shared" si="0"/>
        <v>3282994946</v>
      </c>
      <c r="AS6" s="27">
        <f t="shared" si="0"/>
        <v>10799067862</v>
      </c>
      <c r="AT6" s="27">
        <f t="shared" si="0"/>
        <v>8240711096</v>
      </c>
      <c r="AU6" s="27">
        <f t="shared" si="0"/>
        <v>5097996694</v>
      </c>
      <c r="AV6" s="27">
        <f t="shared" si="0"/>
        <v>2668044528</v>
      </c>
      <c r="AW6" s="27">
        <f t="shared" si="0"/>
        <v>8175464432</v>
      </c>
      <c r="AX6" s="27">
        <f t="shared" si="0"/>
        <v>6131218337</v>
      </c>
      <c r="AY6" s="27">
        <f t="shared" si="0"/>
        <v>4193454783</v>
      </c>
      <c r="AZ6" s="27">
        <f t="shared" si="0"/>
        <v>1655823443</v>
      </c>
      <c r="BA6" s="27">
        <f t="shared" si="0"/>
        <v>7045631536</v>
      </c>
      <c r="BB6" s="27">
        <f t="shared" si="0"/>
        <v>5255317526</v>
      </c>
      <c r="BC6" s="27">
        <f t="shared" si="0"/>
        <v>3634345486</v>
      </c>
      <c r="BD6" s="27">
        <f t="shared" si="0"/>
        <v>4279995534</v>
      </c>
      <c r="BE6" s="27">
        <f t="shared" si="0"/>
        <v>2796316708</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24.792738664132077</v>
      </c>
      <c r="C7" s="57">
        <f t="shared" ref="C7:D7" si="2">C6/C4*100</f>
        <v>25.468509586031001</v>
      </c>
      <c r="D7" s="57">
        <f t="shared" si="2"/>
        <v>26.192569609449894</v>
      </c>
      <c r="E7" s="57">
        <f>E6/E4</f>
        <v>0.27843264130626494</v>
      </c>
      <c r="F7" s="57">
        <f t="shared" ref="F7:BQ7" si="3">F6/F4</f>
        <v>0.3159065852572896</v>
      </c>
      <c r="G7" s="57">
        <f t="shared" si="3"/>
        <v>0.32366217041755546</v>
      </c>
      <c r="H7" s="57">
        <f t="shared" si="3"/>
        <v>0.2956641546061281</v>
      </c>
      <c r="I7" s="57">
        <f t="shared" si="3"/>
        <v>0.17194064863383765</v>
      </c>
      <c r="J7" s="57">
        <f t="shared" si="3"/>
        <v>0.16621801521615653</v>
      </c>
      <c r="K7" s="57">
        <f t="shared" si="3"/>
        <v>0.18081566662368448</v>
      </c>
      <c r="L7" s="57">
        <f t="shared" si="3"/>
        <v>0.22013445875029131</v>
      </c>
      <c r="M7" s="57">
        <f t="shared" si="3"/>
        <v>0.2960687268260197</v>
      </c>
      <c r="N7" s="57">
        <f t="shared" si="3"/>
        <v>0.34519020122032318</v>
      </c>
      <c r="O7" s="57">
        <f t="shared" si="3"/>
        <v>0.33440885514582619</v>
      </c>
      <c r="P7" s="57">
        <f t="shared" si="3"/>
        <v>0.34795859213729424</v>
      </c>
      <c r="Q7" s="57">
        <f t="shared" si="3"/>
        <v>0.37493083525372017</v>
      </c>
      <c r="R7" s="57">
        <f t="shared" si="3"/>
        <v>0.39384202423535331</v>
      </c>
      <c r="S7" s="57">
        <f t="shared" si="3"/>
        <v>0.38884714850951801</v>
      </c>
      <c r="T7" s="57">
        <f t="shared" si="3"/>
        <v>0.39257880355328822</v>
      </c>
      <c r="U7" s="57">
        <f t="shared" si="3"/>
        <v>0.37076229669368821</v>
      </c>
      <c r="V7" s="57">
        <f t="shared" si="3"/>
        <v>0.37877499181003649</v>
      </c>
      <c r="W7" s="57">
        <f t="shared" si="3"/>
        <v>0.38941038248330612</v>
      </c>
      <c r="X7" s="57">
        <f t="shared" si="3"/>
        <v>0.42509738983131351</v>
      </c>
      <c r="Y7" s="57">
        <f t="shared" si="3"/>
        <v>0.38383124429199017</v>
      </c>
      <c r="Z7" s="57">
        <f t="shared" si="3"/>
        <v>0.39982876489523705</v>
      </c>
      <c r="AA7" s="57">
        <f t="shared" si="3"/>
        <v>0.40895337919663549</v>
      </c>
      <c r="AB7" s="57">
        <f t="shared" si="3"/>
        <v>0.45780324289544239</v>
      </c>
      <c r="AC7" s="57">
        <f t="shared" si="3"/>
        <v>0.41297350774266278</v>
      </c>
      <c r="AD7" s="57">
        <f t="shared" si="3"/>
        <v>0.43644808391190226</v>
      </c>
      <c r="AE7" s="57">
        <f t="shared" si="3"/>
        <v>0.43935901398010163</v>
      </c>
      <c r="AF7" s="57">
        <f t="shared" si="3"/>
        <v>0.46614254010736322</v>
      </c>
      <c r="AG7" s="57">
        <f t="shared" si="3"/>
        <v>0.42355156417608486</v>
      </c>
      <c r="AH7" s="57">
        <f t="shared" si="3"/>
        <v>0.45663781048051794</v>
      </c>
      <c r="AI7" s="57">
        <f t="shared" si="3"/>
        <v>0.54203432851139821</v>
      </c>
      <c r="AJ7" s="57">
        <f t="shared" si="3"/>
        <v>0.56959134696418345</v>
      </c>
      <c r="AK7" s="57">
        <f t="shared" si="3"/>
        <v>0.48396002464669513</v>
      </c>
      <c r="AL7" s="57">
        <f t="shared" si="3"/>
        <v>0.49950739560161372</v>
      </c>
      <c r="AM7" s="57">
        <f t="shared" si="3"/>
        <v>0.49682655873540932</v>
      </c>
      <c r="AN7" s="57">
        <f t="shared" si="3"/>
        <v>0.52690942201118218</v>
      </c>
      <c r="AO7" s="57">
        <f t="shared" si="3"/>
        <v>0.48180285795502453</v>
      </c>
      <c r="AP7" s="57">
        <f t="shared" si="3"/>
        <v>0.52538704036055139</v>
      </c>
      <c r="AQ7" s="57">
        <f t="shared" si="3"/>
        <v>0.5281189395508894</v>
      </c>
      <c r="AR7" s="57">
        <f t="shared" si="3"/>
        <v>0.59611876595121305</v>
      </c>
      <c r="AS7" s="57">
        <f t="shared" si="3"/>
        <v>0.51768610652761393</v>
      </c>
      <c r="AT7" s="57">
        <f t="shared" si="3"/>
        <v>0.54125516166572019</v>
      </c>
      <c r="AU7" s="57">
        <f t="shared" si="3"/>
        <v>0.52848996465025366</v>
      </c>
      <c r="AV7" s="57">
        <f t="shared" si="3"/>
        <v>0.59297721867798714</v>
      </c>
      <c r="AW7" s="57">
        <f t="shared" si="3"/>
        <v>0.50637795703223898</v>
      </c>
      <c r="AX7" s="57">
        <f t="shared" si="3"/>
        <v>0.52119230971278696</v>
      </c>
      <c r="AY7" s="57">
        <f t="shared" si="3"/>
        <v>0.54024727154797092</v>
      </c>
      <c r="AZ7" s="57">
        <f t="shared" si="3"/>
        <v>0.47028893555758366</v>
      </c>
      <c r="BA7" s="57">
        <f t="shared" si="3"/>
        <v>0.53764287824916357</v>
      </c>
      <c r="BB7" s="57">
        <f t="shared" si="3"/>
        <v>0.54525316096094745</v>
      </c>
      <c r="BC7" s="57">
        <f t="shared" si="3"/>
        <v>0.56020780754816935</v>
      </c>
      <c r="BD7" s="57">
        <f t="shared" si="3"/>
        <v>0.59428812513504226</v>
      </c>
      <c r="BE7" s="57">
        <f t="shared" si="3"/>
        <v>0.54418703085414877</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198948598</v>
      </c>
      <c r="C8" s="190">
        <v>125234018</v>
      </c>
      <c r="D8" s="190">
        <v>39864609</v>
      </c>
      <c r="E8" s="190">
        <v>224327406</v>
      </c>
      <c r="F8" s="190">
        <v>162578759</v>
      </c>
      <c r="G8" s="190">
        <v>104503004</v>
      </c>
      <c r="H8" s="190">
        <v>34269528</v>
      </c>
      <c r="I8" s="190">
        <v>185665759</v>
      </c>
      <c r="J8" s="190">
        <v>114060085</v>
      </c>
      <c r="K8" s="190">
        <v>78684006</v>
      </c>
      <c r="L8" s="190">
        <v>41480182</v>
      </c>
      <c r="M8" s="190">
        <v>199041610</v>
      </c>
      <c r="N8" s="190">
        <v>145756408</v>
      </c>
      <c r="O8" s="190">
        <v>100033097</v>
      </c>
      <c r="P8" s="190">
        <v>37583743</v>
      </c>
      <c r="Q8" s="190">
        <v>219634835</v>
      </c>
      <c r="R8" s="190">
        <v>157406161</v>
      </c>
      <c r="S8" s="190">
        <v>101605944</v>
      </c>
      <c r="T8" s="190">
        <v>51921241</v>
      </c>
      <c r="U8" s="190">
        <v>1529889334</v>
      </c>
      <c r="V8" s="190">
        <v>1122285146</v>
      </c>
      <c r="W8" s="190">
        <v>719620121</v>
      </c>
      <c r="X8" s="190">
        <v>335413523</v>
      </c>
      <c r="Y8" s="190">
        <v>1358348339</v>
      </c>
      <c r="Z8" s="190">
        <v>992581379</v>
      </c>
      <c r="AA8" s="190">
        <v>661927401</v>
      </c>
      <c r="AB8" s="190">
        <v>374444265</v>
      </c>
      <c r="AC8" s="190">
        <v>1510026935</v>
      </c>
      <c r="AD8" s="190">
        <v>1113802228</v>
      </c>
      <c r="AE8" s="190">
        <v>724648730</v>
      </c>
      <c r="AF8" s="190">
        <v>357631436</v>
      </c>
      <c r="AG8" s="190">
        <v>1370252998</v>
      </c>
      <c r="AH8" s="190">
        <v>1017955057</v>
      </c>
      <c r="AI8" s="190">
        <v>460756949</v>
      </c>
      <c r="AJ8" s="190">
        <v>216581231</v>
      </c>
      <c r="AK8" s="190">
        <v>759243213</v>
      </c>
      <c r="AL8" s="190">
        <v>534744145</v>
      </c>
      <c r="AM8" s="190">
        <v>334473596</v>
      </c>
      <c r="AN8" s="190">
        <v>159804006</v>
      </c>
      <c r="AO8" s="190">
        <v>743330934</v>
      </c>
      <c r="AP8" s="190">
        <v>582342917</v>
      </c>
      <c r="AQ8" s="190">
        <v>382218117</v>
      </c>
      <c r="AR8" s="190">
        <v>181489229</v>
      </c>
      <c r="AS8" s="190">
        <v>693033813</v>
      </c>
      <c r="AT8" s="190">
        <v>506087704</v>
      </c>
      <c r="AU8" s="190">
        <v>316784635</v>
      </c>
      <c r="AV8" s="190">
        <v>147871066</v>
      </c>
      <c r="AW8" s="190">
        <v>530362752</v>
      </c>
      <c r="AX8" s="190">
        <v>386441854</v>
      </c>
      <c r="AY8" s="190">
        <v>254985072</v>
      </c>
      <c r="AZ8" s="190">
        <v>113823473</v>
      </c>
      <c r="BA8" s="190">
        <v>428585989</v>
      </c>
      <c r="BB8" s="190">
        <v>312281157</v>
      </c>
      <c r="BC8" s="190">
        <v>210194846</v>
      </c>
      <c r="BD8" s="190">
        <v>233341136</v>
      </c>
      <c r="BE8" s="190">
        <v>166488094</v>
      </c>
      <c r="BF8" s="190">
        <v>0</v>
      </c>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142045222</v>
      </c>
      <c r="C9" s="190">
        <v>90105277</v>
      </c>
      <c r="D9" s="190">
        <v>42870358</v>
      </c>
      <c r="E9" s="190">
        <v>192683970</v>
      </c>
      <c r="F9" s="190">
        <v>141390745</v>
      </c>
      <c r="G9" s="190">
        <v>93457746</v>
      </c>
      <c r="H9" s="190">
        <v>45581153</v>
      </c>
      <c r="I9" s="190">
        <v>192509572</v>
      </c>
      <c r="J9" s="190">
        <v>137543703</v>
      </c>
      <c r="K9" s="190">
        <v>96293780</v>
      </c>
      <c r="L9" s="190">
        <v>50908393</v>
      </c>
      <c r="M9" s="190">
        <v>209931685</v>
      </c>
      <c r="N9" s="190">
        <v>118329769</v>
      </c>
      <c r="O9" s="190">
        <v>80893129</v>
      </c>
      <c r="P9" s="190">
        <v>46358595</v>
      </c>
      <c r="Q9" s="190">
        <v>179688179</v>
      </c>
      <c r="R9" s="190">
        <v>139226085</v>
      </c>
      <c r="S9" s="190">
        <v>80690414</v>
      </c>
      <c r="T9" s="190">
        <v>38721807</v>
      </c>
      <c r="U9" s="190">
        <v>188873682</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454734235</v>
      </c>
      <c r="C10" s="190">
        <v>279602430</v>
      </c>
      <c r="D10" s="190">
        <v>105561374</v>
      </c>
      <c r="E10" s="190">
        <v>557663846</v>
      </c>
      <c r="F10" s="190">
        <v>427776755</v>
      </c>
      <c r="G10" s="190">
        <v>267480500</v>
      </c>
      <c r="H10" s="190">
        <v>117236521</v>
      </c>
      <c r="I10" s="190">
        <v>521650309</v>
      </c>
      <c r="J10" s="190">
        <v>398320266</v>
      </c>
      <c r="K10" s="190">
        <v>259377080</v>
      </c>
      <c r="L10" s="190">
        <v>123777207</v>
      </c>
      <c r="M10" s="190">
        <v>586964341</v>
      </c>
      <c r="N10" s="190">
        <v>415924401</v>
      </c>
      <c r="O10" s="190">
        <v>266347735</v>
      </c>
      <c r="P10" s="190">
        <v>235454201</v>
      </c>
      <c r="Q10" s="190">
        <v>3734755280</v>
      </c>
      <c r="R10" s="190">
        <v>2732386958</v>
      </c>
      <c r="S10" s="190">
        <v>1761681617</v>
      </c>
      <c r="T10" s="190">
        <v>825470861</v>
      </c>
      <c r="U10" s="190">
        <v>3152158506</v>
      </c>
      <c r="V10" s="190">
        <v>2346986559</v>
      </c>
      <c r="W10" s="190">
        <v>1499607197</v>
      </c>
      <c r="X10" s="190">
        <v>694334478</v>
      </c>
      <c r="Y10" s="190">
        <v>2701801783</v>
      </c>
      <c r="Z10" s="190">
        <v>1952934501</v>
      </c>
      <c r="AA10" s="190">
        <v>1286130359</v>
      </c>
      <c r="AB10" s="190">
        <v>571017908</v>
      </c>
      <c r="AC10" s="190">
        <v>2401922722</v>
      </c>
      <c r="AD10" s="190">
        <v>1855355217</v>
      </c>
      <c r="AE10" s="190">
        <v>1089773527</v>
      </c>
      <c r="AF10" s="190">
        <v>530936104</v>
      </c>
      <c r="AG10" s="190">
        <v>2210950908</v>
      </c>
      <c r="AH10" s="190">
        <v>1671860140</v>
      </c>
      <c r="AI10" s="190">
        <v>633541578</v>
      </c>
      <c r="AJ10" s="190">
        <v>316239722</v>
      </c>
      <c r="AK10" s="190">
        <v>1220904093</v>
      </c>
      <c r="AL10" s="190">
        <v>881432485</v>
      </c>
      <c r="AM10" s="190">
        <v>570320112</v>
      </c>
      <c r="AN10" s="190">
        <v>270413178</v>
      </c>
      <c r="AO10" s="190">
        <v>1128531363</v>
      </c>
      <c r="AP10" s="190">
        <v>822330431</v>
      </c>
      <c r="AQ10" s="190">
        <v>528278196</v>
      </c>
      <c r="AR10" s="190">
        <v>254476398</v>
      </c>
      <c r="AS10" s="190">
        <v>882315983</v>
      </c>
      <c r="AT10" s="190">
        <v>624879667</v>
      </c>
      <c r="AU10" s="190">
        <v>370194693</v>
      </c>
      <c r="AV10" s="190">
        <v>169885039</v>
      </c>
      <c r="AW10" s="190">
        <v>866023882</v>
      </c>
      <c r="AX10" s="190">
        <v>632700365</v>
      </c>
      <c r="AY10" s="190">
        <v>389031799</v>
      </c>
      <c r="AZ10" s="190">
        <v>192065102</v>
      </c>
      <c r="BA10" s="190">
        <v>701557894</v>
      </c>
      <c r="BB10" s="190">
        <v>537425334</v>
      </c>
      <c r="BC10" s="190">
        <v>344151872</v>
      </c>
      <c r="BD10" s="190">
        <v>340513283</v>
      </c>
      <c r="BE10" s="190">
        <v>293578689</v>
      </c>
      <c r="BF10" s="190">
        <v>0</v>
      </c>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-5205442</v>
      </c>
      <c r="C11" s="190">
        <v>-5088799</v>
      </c>
      <c r="D11" s="190">
        <v>-1094541</v>
      </c>
      <c r="E11" s="190">
        <v>32650148</v>
      </c>
      <c r="F11" s="190">
        <v>-1003257</v>
      </c>
      <c r="G11" s="190">
        <v>-1003257</v>
      </c>
      <c r="H11" s="190">
        <v>0</v>
      </c>
      <c r="I11" s="190">
        <v>3425188</v>
      </c>
      <c r="J11" s="190">
        <v>4425188</v>
      </c>
      <c r="K11" s="190">
        <v>0</v>
      </c>
      <c r="L11" s="190">
        <v>0</v>
      </c>
      <c r="M11" s="190">
        <v>0</v>
      </c>
      <c r="N11" s="190">
        <v>0</v>
      </c>
      <c r="O11" s="190">
        <v>0</v>
      </c>
      <c r="P11" s="190">
        <v>0</v>
      </c>
      <c r="Q11" s="190">
        <v>4946883</v>
      </c>
      <c r="R11" s="190">
        <v>-79900</v>
      </c>
      <c r="S11" s="190">
        <v>-36400</v>
      </c>
      <c r="T11" s="190">
        <v>0</v>
      </c>
      <c r="U11" s="190">
        <v>-246823</v>
      </c>
      <c r="V11" s="190">
        <v>0</v>
      </c>
      <c r="W11" s="190">
        <v>0</v>
      </c>
      <c r="X11" s="190">
        <v>0</v>
      </c>
      <c r="Y11" s="190">
        <v>283803</v>
      </c>
      <c r="Z11" s="190">
        <v>0</v>
      </c>
      <c r="AA11" s="190">
        <v>0</v>
      </c>
      <c r="AB11" s="190">
        <v>0</v>
      </c>
      <c r="AC11" s="190">
        <v>768232</v>
      </c>
      <c r="AD11" s="190">
        <v>794272</v>
      </c>
      <c r="AE11" s="190">
        <v>0</v>
      </c>
      <c r="AF11" s="190">
        <v>0</v>
      </c>
      <c r="AG11" s="190">
        <v>-654880</v>
      </c>
      <c r="AH11" s="190">
        <v>0</v>
      </c>
      <c r="AI11" s="190">
        <v>0</v>
      </c>
      <c r="AJ11" s="190">
        <v>0</v>
      </c>
      <c r="AK11" s="190">
        <v>516448</v>
      </c>
      <c r="AL11" s="190">
        <v>501448</v>
      </c>
      <c r="AM11" s="190">
        <v>544948</v>
      </c>
      <c r="AN11" s="190">
        <v>0</v>
      </c>
      <c r="AO11" s="190">
        <v>-29120</v>
      </c>
      <c r="AP11" s="190">
        <v>-29120</v>
      </c>
      <c r="AQ11" s="190">
        <v>0</v>
      </c>
      <c r="AR11" s="190">
        <v>0</v>
      </c>
      <c r="AS11" s="190">
        <v>199414</v>
      </c>
      <c r="AT11" s="190">
        <v>0</v>
      </c>
      <c r="AU11" s="190">
        <v>0</v>
      </c>
      <c r="AV11" s="190">
        <v>0</v>
      </c>
      <c r="AW11" s="190">
        <v>0</v>
      </c>
      <c r="AX11" s="190">
        <v>0</v>
      </c>
      <c r="AY11" s="190">
        <v>0</v>
      </c>
      <c r="AZ11" s="190">
        <v>0</v>
      </c>
      <c r="BA11" s="190">
        <v>0</v>
      </c>
      <c r="BB11" s="190">
        <v>0</v>
      </c>
      <c r="BC11" s="190">
        <v>0</v>
      </c>
      <c r="BD11" s="190">
        <v>0</v>
      </c>
      <c r="BE11" s="190">
        <v>0</v>
      </c>
      <c r="BF11" s="190">
        <v>0</v>
      </c>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12377320</v>
      </c>
      <c r="F12" s="29">
        <f t="shared" si="5"/>
        <v>1204</v>
      </c>
      <c r="G12" s="29">
        <f t="shared" si="5"/>
        <v>868</v>
      </c>
      <c r="H12" s="29">
        <f t="shared" si="5"/>
        <v>644</v>
      </c>
      <c r="I12" s="29">
        <f t="shared" si="5"/>
        <v>35861355</v>
      </c>
      <c r="J12" s="29">
        <f t="shared" si="5"/>
        <v>0</v>
      </c>
      <c r="K12" s="29">
        <f t="shared" si="5"/>
        <v>0</v>
      </c>
      <c r="L12" s="29">
        <f t="shared" si="5"/>
        <v>0</v>
      </c>
      <c r="M12" s="29">
        <f t="shared" si="5"/>
        <v>15352379</v>
      </c>
      <c r="N12" s="29">
        <f t="shared" si="5"/>
        <v>0</v>
      </c>
      <c r="O12" s="29">
        <f t="shared" si="5"/>
        <v>0</v>
      </c>
      <c r="P12" s="29">
        <f t="shared" si="5"/>
        <v>0</v>
      </c>
      <c r="Q12" s="29">
        <f t="shared" si="5"/>
        <v>7475421</v>
      </c>
      <c r="R12" s="29">
        <f t="shared" si="5"/>
        <v>0</v>
      </c>
      <c r="S12" s="29">
        <f t="shared" si="5"/>
        <v>0</v>
      </c>
      <c r="T12" s="29">
        <f t="shared" si="5"/>
        <v>0</v>
      </c>
      <c r="U12" s="29">
        <f t="shared" si="5"/>
        <v>4985740</v>
      </c>
      <c r="V12" s="29">
        <f t="shared" si="5"/>
        <v>0</v>
      </c>
      <c r="W12" s="29">
        <f t="shared" si="5"/>
        <v>0</v>
      </c>
      <c r="X12" s="29">
        <f t="shared" si="5"/>
        <v>0</v>
      </c>
      <c r="Y12" s="29">
        <f t="shared" si="5"/>
        <v>4284635</v>
      </c>
      <c r="Z12" s="29">
        <f t="shared" si="5"/>
        <v>0</v>
      </c>
      <c r="AA12" s="29">
        <f t="shared" si="5"/>
        <v>0</v>
      </c>
      <c r="AB12" s="29">
        <f t="shared" si="5"/>
        <v>0</v>
      </c>
      <c r="AC12" s="29">
        <f t="shared" si="5"/>
        <v>3306457</v>
      </c>
      <c r="AD12" s="29">
        <f t="shared" si="5"/>
        <v>0</v>
      </c>
      <c r="AE12" s="29">
        <f t="shared" si="5"/>
        <v>0</v>
      </c>
      <c r="AF12" s="29">
        <f t="shared" si="5"/>
        <v>0</v>
      </c>
      <c r="AG12" s="29">
        <f t="shared" si="5"/>
        <v>3868470</v>
      </c>
      <c r="AH12" s="29">
        <f t="shared" si="5"/>
        <v>0</v>
      </c>
      <c r="AI12" s="29">
        <f t="shared" si="5"/>
        <v>0</v>
      </c>
      <c r="AJ12" s="29">
        <f t="shared" si="5"/>
        <v>0</v>
      </c>
      <c r="AK12" s="29">
        <f t="shared" si="5"/>
        <v>1663826</v>
      </c>
      <c r="AL12" s="29">
        <f t="shared" si="5"/>
        <v>0</v>
      </c>
      <c r="AM12" s="29">
        <f t="shared" si="5"/>
        <v>0</v>
      </c>
      <c r="AN12" s="29">
        <f t="shared" si="5"/>
        <v>0</v>
      </c>
      <c r="AO12" s="29">
        <f t="shared" si="5"/>
        <v>1423677</v>
      </c>
      <c r="AP12" s="29">
        <f t="shared" si="5"/>
        <v>0</v>
      </c>
      <c r="AQ12" s="29">
        <f t="shared" si="5"/>
        <v>0</v>
      </c>
      <c r="AR12" s="29">
        <f t="shared" si="5"/>
        <v>0</v>
      </c>
      <c r="AS12" s="29">
        <f t="shared" si="5"/>
        <v>942116</v>
      </c>
      <c r="AT12" s="29">
        <f t="shared" si="5"/>
        <v>0</v>
      </c>
      <c r="AU12" s="29">
        <f t="shared" si="5"/>
        <v>0</v>
      </c>
      <c r="AV12" s="29">
        <f t="shared" si="5"/>
        <v>0</v>
      </c>
      <c r="AW12" s="29">
        <f t="shared" si="5"/>
        <v>831345</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4208589</v>
      </c>
      <c r="C13" s="190">
        <v>2575833</v>
      </c>
      <c r="D13" s="190">
        <v>627765</v>
      </c>
      <c r="E13" s="190">
        <v>15358614</v>
      </c>
      <c r="F13" s="190">
        <v>6740732</v>
      </c>
      <c r="G13" s="190">
        <v>5478547</v>
      </c>
      <c r="H13" s="190">
        <v>1415824</v>
      </c>
      <c r="I13" s="190">
        <v>19181156</v>
      </c>
      <c r="J13" s="190">
        <v>2474396</v>
      </c>
      <c r="K13" s="190">
        <v>1609805</v>
      </c>
      <c r="L13" s="190">
        <v>543438</v>
      </c>
      <c r="M13" s="190">
        <v>20642079</v>
      </c>
      <c r="N13" s="190">
        <v>16544414</v>
      </c>
      <c r="O13" s="190">
        <v>4192922</v>
      </c>
      <c r="P13" s="190">
        <v>864919</v>
      </c>
      <c r="Q13" s="190">
        <v>43957159</v>
      </c>
      <c r="R13" s="190">
        <v>9206943</v>
      </c>
      <c r="S13" s="190">
        <v>6746814</v>
      </c>
      <c r="T13" s="190">
        <v>796287</v>
      </c>
      <c r="U13" s="190">
        <v>15881212</v>
      </c>
      <c r="V13" s="190">
        <v>5895018</v>
      </c>
      <c r="W13" s="190">
        <v>3723693</v>
      </c>
      <c r="X13" s="190">
        <v>334793</v>
      </c>
      <c r="Y13" s="190">
        <v>28052135</v>
      </c>
      <c r="Z13" s="190">
        <v>6449544</v>
      </c>
      <c r="AA13" s="190">
        <v>4724875</v>
      </c>
      <c r="AB13" s="190">
        <v>109551</v>
      </c>
      <c r="AC13" s="190">
        <v>6534225</v>
      </c>
      <c r="AD13" s="190">
        <v>3577111</v>
      </c>
      <c r="AE13" s="190">
        <v>3222042</v>
      </c>
      <c r="AF13" s="190">
        <v>1022065</v>
      </c>
      <c r="AG13" s="190">
        <v>78569927</v>
      </c>
      <c r="AH13" s="190">
        <v>29085896</v>
      </c>
      <c r="AI13" s="190">
        <v>6177123</v>
      </c>
      <c r="AJ13" s="190">
        <v>6137067</v>
      </c>
      <c r="AK13" s="190">
        <v>17072317</v>
      </c>
      <c r="AL13" s="190">
        <v>2070020</v>
      </c>
      <c r="AM13" s="190">
        <v>3159912</v>
      </c>
      <c r="AN13" s="190">
        <v>14741</v>
      </c>
      <c r="AO13" s="190">
        <v>161097584</v>
      </c>
      <c r="AP13" s="190">
        <v>3065139</v>
      </c>
      <c r="AQ13" s="190">
        <v>2321889</v>
      </c>
      <c r="AR13" s="190">
        <v>1191171</v>
      </c>
      <c r="AS13" s="190">
        <v>36417509</v>
      </c>
      <c r="AT13" s="190">
        <v>2468493</v>
      </c>
      <c r="AU13" s="190">
        <v>63589</v>
      </c>
      <c r="AV13" s="190">
        <v>41564</v>
      </c>
      <c r="AW13" s="190">
        <v>740028</v>
      </c>
      <c r="AX13" s="190">
        <v>648978</v>
      </c>
      <c r="AY13" s="190">
        <v>270306</v>
      </c>
      <c r="AZ13" s="190">
        <v>79073</v>
      </c>
      <c r="BA13" s="190">
        <v>1442552</v>
      </c>
      <c r="BB13" s="190">
        <v>631074</v>
      </c>
      <c r="BC13" s="190">
        <v>1506048</v>
      </c>
      <c r="BD13" s="190">
        <v>6157969</v>
      </c>
      <c r="BE13" s="190">
        <v>2069986</v>
      </c>
      <c r="BF13" s="190">
        <v>0</v>
      </c>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114049419</v>
      </c>
      <c r="C14" s="190">
        <v>81881213</v>
      </c>
      <c r="D14" s="190">
        <v>51911639</v>
      </c>
      <c r="E14" s="190">
        <v>204285391</v>
      </c>
      <c r="F14" s="190">
        <v>65088194</v>
      </c>
      <c r="G14" s="190">
        <v>43980758</v>
      </c>
      <c r="H14" s="190">
        <v>19575730</v>
      </c>
      <c r="I14" s="190">
        <v>143522802</v>
      </c>
      <c r="J14" s="190">
        <v>68392644</v>
      </c>
      <c r="K14" s="190">
        <v>44148916</v>
      </c>
      <c r="L14" s="190">
        <v>19714323</v>
      </c>
      <c r="M14" s="190">
        <v>101100393</v>
      </c>
      <c r="N14" s="190">
        <v>58347907</v>
      </c>
      <c r="O14" s="190">
        <v>39190859</v>
      </c>
      <c r="P14" s="190">
        <v>15824103</v>
      </c>
      <c r="Q14" s="190">
        <v>132222370</v>
      </c>
      <c r="R14" s="190">
        <v>78082779</v>
      </c>
      <c r="S14" s="190">
        <v>40627728</v>
      </c>
      <c r="T14" s="190">
        <v>14200360</v>
      </c>
      <c r="U14" s="190">
        <v>139449321</v>
      </c>
      <c r="V14" s="190">
        <v>79470441</v>
      </c>
      <c r="W14" s="190">
        <v>59354649</v>
      </c>
      <c r="X14" s="190">
        <v>18936273</v>
      </c>
      <c r="Y14" s="190">
        <v>111393938</v>
      </c>
      <c r="Z14" s="190">
        <v>47983236</v>
      </c>
      <c r="AA14" s="190">
        <v>32588238</v>
      </c>
      <c r="AB14" s="190">
        <v>12646971</v>
      </c>
      <c r="AC14" s="190">
        <v>128635321</v>
      </c>
      <c r="AD14" s="190">
        <v>71523323</v>
      </c>
      <c r="AE14" s="190">
        <v>48668021</v>
      </c>
      <c r="AF14" s="190">
        <v>21201340</v>
      </c>
      <c r="AG14" s="190">
        <v>112513360</v>
      </c>
      <c r="AH14" s="190">
        <v>19971972</v>
      </c>
      <c r="AI14" s="190">
        <v>10452811</v>
      </c>
      <c r="AJ14" s="190">
        <v>163344</v>
      </c>
      <c r="AK14" s="190">
        <v>59275726</v>
      </c>
      <c r="AL14" s="190">
        <v>9608144</v>
      </c>
      <c r="AM14" s="190">
        <v>927308</v>
      </c>
      <c r="AN14" s="190">
        <v>0</v>
      </c>
      <c r="AO14" s="190">
        <v>103172784</v>
      </c>
      <c r="AP14" s="190">
        <v>64681216</v>
      </c>
      <c r="AQ14" s="190">
        <v>51682583</v>
      </c>
      <c r="AR14" s="190">
        <v>9072</v>
      </c>
      <c r="AS14" s="190">
        <v>109583492</v>
      </c>
      <c r="AT14" s="190">
        <v>103974874</v>
      </c>
      <c r="AU14" s="190">
        <v>32094860</v>
      </c>
      <c r="AV14" s="190">
        <v>207273</v>
      </c>
      <c r="AW14" s="190">
        <v>44937894</v>
      </c>
      <c r="AX14" s="190">
        <v>34125861</v>
      </c>
      <c r="AY14" s="190">
        <v>1521269</v>
      </c>
      <c r="AZ14" s="190">
        <v>96069</v>
      </c>
      <c r="BA14" s="190">
        <v>87627550</v>
      </c>
      <c r="BB14" s="190">
        <v>76395813</v>
      </c>
      <c r="BC14" s="190">
        <v>24808752</v>
      </c>
      <c r="BD14" s="190">
        <v>13690860</v>
      </c>
      <c r="BE14" s="190">
        <v>43878916</v>
      </c>
      <c r="BF14" s="190">
        <v>0</v>
      </c>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13197175638</v>
      </c>
      <c r="C15" s="28">
        <f t="shared" ref="C15:BN15" si="7">C6-(C8+C9+C10+C11+C12)+C13-C14</f>
        <v>8913557390</v>
      </c>
      <c r="D15" s="28">
        <f t="shared" si="7"/>
        <v>4469176876</v>
      </c>
      <c r="E15" s="28">
        <f t="shared" si="7"/>
        <v>14282388024</v>
      </c>
      <c r="F15" s="28">
        <f t="shared" si="7"/>
        <v>12397026362</v>
      </c>
      <c r="G15" s="28">
        <f t="shared" si="7"/>
        <v>8351345182</v>
      </c>
      <c r="H15" s="28">
        <f t="shared" si="7"/>
        <v>3466121551</v>
      </c>
      <c r="I15" s="28">
        <f t="shared" si="7"/>
        <v>6609376981</v>
      </c>
      <c r="J15" s="28">
        <f t="shared" si="7"/>
        <v>4530605308</v>
      </c>
      <c r="K15" s="28">
        <f t="shared" si="7"/>
        <v>3360954209</v>
      </c>
      <c r="L15" s="28">
        <f t="shared" si="7"/>
        <v>2210954096</v>
      </c>
      <c r="M15" s="28">
        <f t="shared" si="7"/>
        <v>14461146581</v>
      </c>
      <c r="N15" s="28">
        <f t="shared" si="7"/>
        <v>13225765623</v>
      </c>
      <c r="O15" s="28">
        <f t="shared" si="7"/>
        <v>8736914769</v>
      </c>
      <c r="P15" s="28">
        <f t="shared" si="7"/>
        <v>4495004816</v>
      </c>
      <c r="Q15" s="28">
        <f t="shared" si="7"/>
        <v>16000525221</v>
      </c>
      <c r="R15" s="28">
        <f t="shared" si="7"/>
        <v>12886247667</v>
      </c>
      <c r="S15" s="28">
        <f t="shared" si="7"/>
        <v>8280534725</v>
      </c>
      <c r="T15" s="28">
        <f t="shared" si="7"/>
        <v>4144532273</v>
      </c>
      <c r="U15" s="28">
        <f t="shared" si="7"/>
        <v>14036723528</v>
      </c>
      <c r="V15" s="28">
        <f t="shared" si="7"/>
        <v>10735788472</v>
      </c>
      <c r="W15" s="28">
        <f t="shared" si="7"/>
        <v>7196720821</v>
      </c>
      <c r="X15" s="28">
        <f t="shared" si="7"/>
        <v>4045918824</v>
      </c>
      <c r="Y15" s="28">
        <f t="shared" si="7"/>
        <v>13493760009</v>
      </c>
      <c r="Z15" s="28">
        <f t="shared" si="7"/>
        <v>10398738557</v>
      </c>
      <c r="AA15" s="28">
        <f t="shared" si="7"/>
        <v>7125354911</v>
      </c>
      <c r="AB15" s="28">
        <f t="shared" si="7"/>
        <v>4164818695</v>
      </c>
      <c r="AC15" s="28">
        <f t="shared" si="7"/>
        <v>14548589106</v>
      </c>
      <c r="AD15" s="28">
        <f t="shared" si="7"/>
        <v>11482949879</v>
      </c>
      <c r="AE15" s="28">
        <f t="shared" si="7"/>
        <v>7741086240</v>
      </c>
      <c r="AF15" s="28">
        <f t="shared" si="7"/>
        <v>4169586939</v>
      </c>
      <c r="AG15" s="28">
        <f t="shared" si="7"/>
        <v>14176633492</v>
      </c>
      <c r="AH15" s="28">
        <f t="shared" si="7"/>
        <v>11469580864</v>
      </c>
      <c r="AI15" s="28">
        <f t="shared" si="7"/>
        <v>6501119109</v>
      </c>
      <c r="AJ15" s="28">
        <f t="shared" si="7"/>
        <v>3223817998</v>
      </c>
      <c r="AK15" s="28">
        <f t="shared" si="7"/>
        <v>9166145541</v>
      </c>
      <c r="AL15" s="28">
        <f t="shared" si="7"/>
        <v>6692005818</v>
      </c>
      <c r="AM15" s="28">
        <f t="shared" si="7"/>
        <v>4145714929</v>
      </c>
      <c r="AN15" s="28">
        <f t="shared" si="7"/>
        <v>2130456143</v>
      </c>
      <c r="AO15" s="28">
        <f t="shared" si="7"/>
        <v>9071156531</v>
      </c>
      <c r="AP15" s="28">
        <f t="shared" si="7"/>
        <v>7835148666</v>
      </c>
      <c r="AQ15" s="28">
        <f t="shared" si="7"/>
        <v>5170036543</v>
      </c>
      <c r="AR15" s="28">
        <f t="shared" si="7"/>
        <v>2848211418</v>
      </c>
      <c r="AS15" s="28">
        <f t="shared" si="7"/>
        <v>9149410553</v>
      </c>
      <c r="AT15" s="28">
        <f t="shared" si="7"/>
        <v>7008237344</v>
      </c>
      <c r="AU15" s="28">
        <f t="shared" si="7"/>
        <v>4378986095</v>
      </c>
      <c r="AV15" s="28">
        <f t="shared" si="7"/>
        <v>2350122714</v>
      </c>
      <c r="AW15" s="28">
        <f t="shared" si="7"/>
        <v>6734048587</v>
      </c>
      <c r="AX15" s="28">
        <f t="shared" si="7"/>
        <v>5078599235</v>
      </c>
      <c r="AY15" s="28">
        <f t="shared" si="7"/>
        <v>3548186949</v>
      </c>
      <c r="AZ15" s="28">
        <f t="shared" si="7"/>
        <v>1349917872</v>
      </c>
      <c r="BA15" s="28">
        <f t="shared" si="7"/>
        <v>5829302655</v>
      </c>
      <c r="BB15" s="28">
        <f t="shared" si="7"/>
        <v>4329846296</v>
      </c>
      <c r="BC15" s="28">
        <f t="shared" si="7"/>
        <v>3056696064</v>
      </c>
      <c r="BD15" s="28">
        <f t="shared" si="7"/>
        <v>3698608224</v>
      </c>
      <c r="BE15" s="28">
        <f t="shared" si="7"/>
        <v>2294440995</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2933726942.4280639</v>
      </c>
      <c r="C16" s="26">
        <f t="shared" ref="C16:BN16" si="9">C15*C41</f>
        <v>1967016815.0183065</v>
      </c>
      <c r="D16" s="26">
        <f t="shared" si="9"/>
        <v>946137315.32474828</v>
      </c>
      <c r="E16" s="26">
        <f t="shared" si="9"/>
        <v>3204998885.9297915</v>
      </c>
      <c r="F16" s="26">
        <f t="shared" si="9"/>
        <v>2724537690.7644963</v>
      </c>
      <c r="G16" s="26">
        <f t="shared" si="9"/>
        <v>1820245200.9616272</v>
      </c>
      <c r="H16" s="26">
        <f t="shared" si="9"/>
        <v>749374271.25312054</v>
      </c>
      <c r="I16" s="26">
        <f t="shared" si="9"/>
        <v>1308689386.4032989</v>
      </c>
      <c r="J16" s="26">
        <f t="shared" si="9"/>
        <v>832283765.6287483</v>
      </c>
      <c r="K16" s="26">
        <f t="shared" si="9"/>
        <v>628209303.61460936</v>
      </c>
      <c r="L16" s="26">
        <f t="shared" si="9"/>
        <v>460631907.00668305</v>
      </c>
      <c r="M16" s="26">
        <f t="shared" si="9"/>
        <v>3305795114.2853651</v>
      </c>
      <c r="N16" s="26">
        <f t="shared" si="9"/>
        <v>3069397503.2882218</v>
      </c>
      <c r="O16" s="26">
        <f t="shared" si="9"/>
        <v>2052894263.0068343</v>
      </c>
      <c r="P16" s="26">
        <f t="shared" si="9"/>
        <v>1031785361.9879729</v>
      </c>
      <c r="Q16" s="26">
        <f t="shared" si="9"/>
        <v>3545872907.2145348</v>
      </c>
      <c r="R16" s="26">
        <f t="shared" si="9"/>
        <v>2907648160.8881202</v>
      </c>
      <c r="S16" s="26">
        <f t="shared" si="9"/>
        <v>1827287553.1893222</v>
      </c>
      <c r="T16" s="26">
        <f t="shared" si="9"/>
        <v>915985468.42480075</v>
      </c>
      <c r="U16" s="26">
        <f t="shared" si="9"/>
        <v>2966184339.0602851</v>
      </c>
      <c r="V16" s="26">
        <f t="shared" si="9"/>
        <v>2265891492.9402742</v>
      </c>
      <c r="W16" s="26">
        <f t="shared" si="9"/>
        <v>1511053121.3861837</v>
      </c>
      <c r="X16" s="26">
        <f t="shared" si="9"/>
        <v>888321933.99392796</v>
      </c>
      <c r="Y16" s="26">
        <f t="shared" si="9"/>
        <v>2954014695.1327634</v>
      </c>
      <c r="Z16" s="26">
        <f t="shared" si="9"/>
        <v>2284165253.8914351</v>
      </c>
      <c r="AA16" s="26">
        <f t="shared" si="9"/>
        <v>1550753452.7217124</v>
      </c>
      <c r="AB16" s="26">
        <f t="shared" si="9"/>
        <v>944408912.7352283</v>
      </c>
      <c r="AC16" s="26">
        <f t="shared" si="9"/>
        <v>3406367707.1501412</v>
      </c>
      <c r="AD16" s="26">
        <f t="shared" si="9"/>
        <v>2669097392.323904</v>
      </c>
      <c r="AE16" s="26">
        <f t="shared" si="9"/>
        <v>1844316432.8946109</v>
      </c>
      <c r="AF16" s="26">
        <f t="shared" si="9"/>
        <v>925464915.77272201</v>
      </c>
      <c r="AG16" s="26">
        <f t="shared" si="9"/>
        <v>3413775149.733417</v>
      </c>
      <c r="AH16" s="26">
        <f t="shared" si="9"/>
        <v>2854821953.8210721</v>
      </c>
      <c r="AI16" s="26">
        <f t="shared" si="9"/>
        <v>1627633155.8243134</v>
      </c>
      <c r="AJ16" s="26">
        <f t="shared" si="9"/>
        <v>806410587.97261</v>
      </c>
      <c r="AK16" s="26">
        <f t="shared" si="9"/>
        <v>2306783151.8339238</v>
      </c>
      <c r="AL16" s="26">
        <f t="shared" si="9"/>
        <v>1680991201.5736892</v>
      </c>
      <c r="AM16" s="26">
        <f t="shared" si="9"/>
        <v>1043570828.2721105</v>
      </c>
      <c r="AN16" s="26">
        <f t="shared" si="9"/>
        <v>533353701.1839624</v>
      </c>
      <c r="AO16" s="26">
        <f t="shared" si="9"/>
        <v>2278834568.7274499</v>
      </c>
      <c r="AP16" s="26">
        <f t="shared" si="9"/>
        <v>1973569838.7112627</v>
      </c>
      <c r="AQ16" s="26">
        <f t="shared" si="9"/>
        <v>1293884335.1771331</v>
      </c>
      <c r="AR16" s="26">
        <f t="shared" si="9"/>
        <v>712052963.60446012</v>
      </c>
      <c r="AS16" s="26">
        <f t="shared" si="9"/>
        <v>3073182622.5129871</v>
      </c>
      <c r="AT16" s="26">
        <f t="shared" si="9"/>
        <v>2380741543.671195</v>
      </c>
      <c r="AU16" s="26">
        <f t="shared" si="9"/>
        <v>1449425346.839546</v>
      </c>
      <c r="AV16" s="26">
        <f t="shared" si="9"/>
        <v>777290783.92954552</v>
      </c>
      <c r="AW16" s="26">
        <f t="shared" si="9"/>
        <v>2231375899.9677362</v>
      </c>
      <c r="AX16" s="26">
        <f t="shared" si="9"/>
        <v>1665999593.8959968</v>
      </c>
      <c r="AY16" s="26">
        <f t="shared" si="9"/>
        <v>1138554288.0418448</v>
      </c>
      <c r="AZ16" s="26">
        <f t="shared" si="9"/>
        <v>398326030.04402745</v>
      </c>
      <c r="BA16" s="26">
        <f t="shared" si="9"/>
        <v>1987191481.7731333</v>
      </c>
      <c r="BB16" s="26">
        <f t="shared" si="9"/>
        <v>1496990550.7599385</v>
      </c>
      <c r="BC16" s="26">
        <f t="shared" si="9"/>
        <v>1044596710.720824</v>
      </c>
      <c r="BD16" s="26">
        <f t="shared" si="9"/>
        <v>1314696651.6005211</v>
      </c>
      <c r="BE16" s="26">
        <f t="shared" si="9"/>
        <v>771358107.79592788</v>
      </c>
      <c r="BF16" s="26" t="e">
        <f t="shared" si="9"/>
        <v>#DIV/0!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10263448695.571936</v>
      </c>
      <c r="C17" s="27">
        <f t="shared" ref="C17:BN17" si="11">C15-C16</f>
        <v>6946540574.9816933</v>
      </c>
      <c r="D17" s="27">
        <f t="shared" si="11"/>
        <v>3523039560.675252</v>
      </c>
      <c r="E17" s="27">
        <f t="shared" si="11"/>
        <v>11077389138.07021</v>
      </c>
      <c r="F17" s="27">
        <f t="shared" si="11"/>
        <v>9672488671.2355042</v>
      </c>
      <c r="G17" s="27">
        <f t="shared" si="11"/>
        <v>6531099981.038373</v>
      </c>
      <c r="H17" s="27">
        <f t="shared" si="11"/>
        <v>2716747279.7468796</v>
      </c>
      <c r="I17" s="27">
        <f t="shared" si="11"/>
        <v>5300687594.5967007</v>
      </c>
      <c r="J17" s="27">
        <f t="shared" si="11"/>
        <v>3698321542.3712516</v>
      </c>
      <c r="K17" s="27">
        <f t="shared" si="11"/>
        <v>2732744905.3853908</v>
      </c>
      <c r="L17" s="27">
        <f t="shared" si="11"/>
        <v>1750322188.9933169</v>
      </c>
      <c r="M17" s="27">
        <f t="shared" si="11"/>
        <v>11155351466.714634</v>
      </c>
      <c r="N17" s="27">
        <f t="shared" si="11"/>
        <v>10156368119.711779</v>
      </c>
      <c r="O17" s="27">
        <f t="shared" si="11"/>
        <v>6684020505.993166</v>
      </c>
      <c r="P17" s="27">
        <f t="shared" si="11"/>
        <v>3463219454.0120273</v>
      </c>
      <c r="Q17" s="27">
        <f t="shared" si="11"/>
        <v>12454652313.785465</v>
      </c>
      <c r="R17" s="27">
        <f t="shared" si="11"/>
        <v>9978599506.1118793</v>
      </c>
      <c r="S17" s="27">
        <f t="shared" si="11"/>
        <v>6453247171.8106775</v>
      </c>
      <c r="T17" s="27">
        <f t="shared" si="11"/>
        <v>3228546804.5751991</v>
      </c>
      <c r="U17" s="27">
        <f t="shared" si="11"/>
        <v>11070539188.939714</v>
      </c>
      <c r="V17" s="27">
        <f t="shared" si="11"/>
        <v>8469896979.0597258</v>
      </c>
      <c r="W17" s="27">
        <f t="shared" si="11"/>
        <v>5685667699.6138163</v>
      </c>
      <c r="X17" s="27">
        <f t="shared" si="11"/>
        <v>3157596890.006072</v>
      </c>
      <c r="Y17" s="27">
        <f t="shared" si="11"/>
        <v>10539745313.867237</v>
      </c>
      <c r="Z17" s="27">
        <f t="shared" si="11"/>
        <v>8114573303.1085644</v>
      </c>
      <c r="AA17" s="27">
        <f t="shared" si="11"/>
        <v>5574601458.2782879</v>
      </c>
      <c r="AB17" s="27">
        <f t="shared" si="11"/>
        <v>3220409782.2647715</v>
      </c>
      <c r="AC17" s="27">
        <f t="shared" si="11"/>
        <v>11142221398.849859</v>
      </c>
      <c r="AD17" s="27">
        <f t="shared" si="11"/>
        <v>8813852486.676096</v>
      </c>
      <c r="AE17" s="27">
        <f t="shared" si="11"/>
        <v>5896769807.1053886</v>
      </c>
      <c r="AF17" s="27">
        <f t="shared" si="11"/>
        <v>3244122023.2272778</v>
      </c>
      <c r="AG17" s="27">
        <f t="shared" si="11"/>
        <v>10762858342.266582</v>
      </c>
      <c r="AH17" s="27">
        <f t="shared" si="11"/>
        <v>8614758910.1789284</v>
      </c>
      <c r="AI17" s="27">
        <f t="shared" si="11"/>
        <v>4873485953.1756868</v>
      </c>
      <c r="AJ17" s="27">
        <f t="shared" si="11"/>
        <v>2417407410.02739</v>
      </c>
      <c r="AK17" s="27">
        <f t="shared" si="11"/>
        <v>6859362389.1660767</v>
      </c>
      <c r="AL17" s="27">
        <f t="shared" si="11"/>
        <v>5011014616.4263105</v>
      </c>
      <c r="AM17" s="27">
        <f t="shared" si="11"/>
        <v>3102144100.7278895</v>
      </c>
      <c r="AN17" s="27">
        <f t="shared" si="11"/>
        <v>1597102441.8160377</v>
      </c>
      <c r="AO17" s="27">
        <f t="shared" si="11"/>
        <v>6792321962.2725506</v>
      </c>
      <c r="AP17" s="27">
        <f t="shared" si="11"/>
        <v>5861578827.2887373</v>
      </c>
      <c r="AQ17" s="27">
        <f t="shared" si="11"/>
        <v>3876152207.8228669</v>
      </c>
      <c r="AR17" s="27">
        <f t="shared" si="11"/>
        <v>2136158454.3955398</v>
      </c>
      <c r="AS17" s="27">
        <f t="shared" si="11"/>
        <v>6076227930.4870129</v>
      </c>
      <c r="AT17" s="27">
        <f t="shared" si="11"/>
        <v>4627495800.328805</v>
      </c>
      <c r="AU17" s="27">
        <f t="shared" si="11"/>
        <v>2929560748.1604538</v>
      </c>
      <c r="AV17" s="27">
        <f t="shared" si="11"/>
        <v>1572831930.0704546</v>
      </c>
      <c r="AW17" s="27">
        <f t="shared" si="11"/>
        <v>4502672687.0322638</v>
      </c>
      <c r="AX17" s="27">
        <f t="shared" si="11"/>
        <v>3412599641.104003</v>
      </c>
      <c r="AY17" s="27">
        <f t="shared" si="11"/>
        <v>2409632660.9581552</v>
      </c>
      <c r="AZ17" s="27">
        <f t="shared" si="11"/>
        <v>951591841.95597255</v>
      </c>
      <c r="BA17" s="27">
        <f t="shared" si="11"/>
        <v>3842111173.2268667</v>
      </c>
      <c r="BB17" s="27">
        <f t="shared" si="11"/>
        <v>2832855745.2400618</v>
      </c>
      <c r="BC17" s="27">
        <f t="shared" si="11"/>
        <v>2012099353.279176</v>
      </c>
      <c r="BD17" s="27">
        <f t="shared" si="11"/>
        <v>2383911572.3994789</v>
      </c>
      <c r="BE17" s="27">
        <f t="shared" si="11"/>
        <v>1523082887.204072</v>
      </c>
      <c r="BF17" s="27" t="e">
        <f t="shared" si="11"/>
        <v>#DIV/0!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18.049887394026964</v>
      </c>
      <c r="C18" s="57">
        <f t="shared" ref="C18:D18" si="13">C17/C4*100</f>
        <v>18.656894253214286</v>
      </c>
      <c r="D18" s="57">
        <f t="shared" si="13"/>
        <v>19.601542198479212</v>
      </c>
      <c r="E18" s="57">
        <f>E17/E4</f>
        <v>0.19910291356149745</v>
      </c>
      <c r="F18" s="57">
        <f t="shared" ref="F18:BQ18" si="14">F17/F4</f>
        <v>0.23172876657997171</v>
      </c>
      <c r="G18" s="57">
        <f t="shared" si="14"/>
        <v>0.2387397396511747</v>
      </c>
      <c r="H18" s="57">
        <f t="shared" si="14"/>
        <v>0.21819185244204753</v>
      </c>
      <c r="I18" s="57">
        <f t="shared" si="14"/>
        <v>0.11878323473944728</v>
      </c>
      <c r="J18" s="57">
        <f t="shared" si="14"/>
        <v>0.11707152125990315</v>
      </c>
      <c r="K18" s="57">
        <f t="shared" si="14"/>
        <v>0.12875003591393674</v>
      </c>
      <c r="L18" s="57">
        <f t="shared" si="14"/>
        <v>0.15750630854696521</v>
      </c>
      <c r="M18" s="57">
        <f t="shared" si="14"/>
        <v>0.21235600993635034</v>
      </c>
      <c r="N18" s="57">
        <f t="shared" si="14"/>
        <v>0.25136108427608778</v>
      </c>
      <c r="O18" s="57">
        <f t="shared" si="14"/>
        <v>0.2424504162803498</v>
      </c>
      <c r="P18" s="57">
        <f t="shared" si="14"/>
        <v>0.24952723155559661</v>
      </c>
      <c r="Q18" s="57">
        <f t="shared" si="14"/>
        <v>0.23076679193194005</v>
      </c>
      <c r="R18" s="57">
        <f t="shared" si="14"/>
        <v>0.24586939353115614</v>
      </c>
      <c r="S18" s="57">
        <f t="shared" si="14"/>
        <v>0.24461292476353941</v>
      </c>
      <c r="T18" s="57">
        <f t="shared" si="14"/>
        <v>0.24979237060314127</v>
      </c>
      <c r="U18" s="57">
        <f t="shared" si="14"/>
        <v>0.21562034401755284</v>
      </c>
      <c r="V18" s="57">
        <f t="shared" si="14"/>
        <v>0.22468429398640866</v>
      </c>
      <c r="W18" s="57">
        <f t="shared" si="14"/>
        <v>0.23375806836141882</v>
      </c>
      <c r="X18" s="57">
        <f t="shared" si="14"/>
        <v>0.2634894975522995</v>
      </c>
      <c r="Y18" s="57">
        <f t="shared" si="14"/>
        <v>0.22931213860237881</v>
      </c>
      <c r="Z18" s="57">
        <f t="shared" si="14"/>
        <v>0.2423794393103203</v>
      </c>
      <c r="AA18" s="57">
        <f t="shared" si="14"/>
        <v>0.2504870850549788</v>
      </c>
      <c r="AB18" s="57">
        <f t="shared" si="14"/>
        <v>0.28779354622562747</v>
      </c>
      <c r="AC18" s="57">
        <f t="shared" si="14"/>
        <v>0.24756619806288024</v>
      </c>
      <c r="AD18" s="57">
        <f t="shared" si="14"/>
        <v>0.26491490583439747</v>
      </c>
      <c r="AE18" s="57">
        <f t="shared" si="14"/>
        <v>0.26984806298101</v>
      </c>
      <c r="AF18" s="57">
        <f t="shared" si="14"/>
        <v>0.29777942009705133</v>
      </c>
      <c r="AG18" s="57">
        <f t="shared" si="14"/>
        <v>0.25617459483398142</v>
      </c>
      <c r="AH18" s="57">
        <f t="shared" si="14"/>
        <v>0.27800326583422091</v>
      </c>
      <c r="AI18" s="57">
        <f t="shared" si="14"/>
        <v>0.34759253742477919</v>
      </c>
      <c r="AJ18" s="57">
        <f t="shared" si="14"/>
        <v>0.36711736695651026</v>
      </c>
      <c r="AK18" s="57">
        <f t="shared" si="14"/>
        <v>0.29664490632197982</v>
      </c>
      <c r="AL18" s="57">
        <f t="shared" si="14"/>
        <v>0.30839950585441545</v>
      </c>
      <c r="AM18" s="57">
        <f t="shared" si="14"/>
        <v>0.3052648497671081</v>
      </c>
      <c r="AN18" s="57">
        <f t="shared" si="14"/>
        <v>0.32863745643830083</v>
      </c>
      <c r="AO18" s="57">
        <f t="shared" si="14"/>
        <v>0.30060750149342991</v>
      </c>
      <c r="AP18" s="57">
        <f t="shared" si="14"/>
        <v>0.33108936092487629</v>
      </c>
      <c r="AQ18" s="57">
        <f t="shared" si="14"/>
        <v>0.33394860397424864</v>
      </c>
      <c r="AR18" s="57">
        <f t="shared" si="14"/>
        <v>0.38787880050258228</v>
      </c>
      <c r="AS18" s="57">
        <f t="shared" si="14"/>
        <v>0.29128243473465848</v>
      </c>
      <c r="AT18" s="57">
        <f t="shared" si="14"/>
        <v>0.30393687611863451</v>
      </c>
      <c r="AU18" s="57">
        <f t="shared" si="14"/>
        <v>0.30369644179217842</v>
      </c>
      <c r="AV18" s="57">
        <f t="shared" si="14"/>
        <v>0.3495644445035696</v>
      </c>
      <c r="AW18" s="57">
        <f t="shared" si="14"/>
        <v>0.27888986802019267</v>
      </c>
      <c r="AX18" s="57">
        <f t="shared" si="14"/>
        <v>0.29009253810757302</v>
      </c>
      <c r="AY18" s="57">
        <f t="shared" si="14"/>
        <v>0.31043555680936985</v>
      </c>
      <c r="AZ18" s="57">
        <f t="shared" si="14"/>
        <v>0.27027224208635309</v>
      </c>
      <c r="BA18" s="57">
        <f t="shared" si="14"/>
        <v>0.29318645165763368</v>
      </c>
      <c r="BB18" s="57">
        <f t="shared" si="14"/>
        <v>0.29391631276258762</v>
      </c>
      <c r="BC18" s="57">
        <f t="shared" si="14"/>
        <v>0.31015041679766614</v>
      </c>
      <c r="BD18" s="57">
        <f t="shared" si="14"/>
        <v>0.33101210681053406</v>
      </c>
      <c r="BE18" s="57">
        <f t="shared" si="14"/>
        <v>0.29640489282244359</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2378107678</v>
      </c>
      <c r="C20" s="190">
        <v>1573337697</v>
      </c>
      <c r="D20" s="190">
        <v>770240045</v>
      </c>
      <c r="E20" s="190">
        <v>3127475954</v>
      </c>
      <c r="F20" s="190">
        <v>2251409146</v>
      </c>
      <c r="G20" s="190">
        <v>1559018122</v>
      </c>
      <c r="H20" s="190">
        <v>690251292</v>
      </c>
      <c r="I20" s="190">
        <v>2677654510</v>
      </c>
      <c r="J20" s="190">
        <v>2040374641</v>
      </c>
      <c r="K20" s="190">
        <v>1361707296</v>
      </c>
      <c r="L20" s="190">
        <v>469005333</v>
      </c>
      <c r="M20" s="190">
        <v>2083117807</v>
      </c>
      <c r="N20" s="190">
        <v>1464172193</v>
      </c>
      <c r="O20" s="190">
        <v>972116514</v>
      </c>
      <c r="P20" s="190">
        <v>404080000</v>
      </c>
      <c r="Q20" s="190">
        <v>2526591535</v>
      </c>
      <c r="R20" s="190">
        <v>1789721668</v>
      </c>
      <c r="S20" s="190">
        <v>1180066363</v>
      </c>
      <c r="T20" s="190">
        <v>500000000</v>
      </c>
      <c r="U20" s="190">
        <v>2671190420</v>
      </c>
      <c r="V20" s="190">
        <v>1969285909</v>
      </c>
      <c r="W20" s="190">
        <v>1359819931</v>
      </c>
      <c r="X20" s="190">
        <v>520000000</v>
      </c>
      <c r="Y20" s="190">
        <v>2061207917</v>
      </c>
      <c r="Z20" s="190">
        <v>1435333366</v>
      </c>
      <c r="AA20" s="190">
        <v>1046175507</v>
      </c>
      <c r="AB20" s="190">
        <v>452271380</v>
      </c>
      <c r="AC20" s="190">
        <v>1809629579</v>
      </c>
      <c r="AD20" s="190">
        <v>1380712429</v>
      </c>
      <c r="AE20" s="190">
        <v>919472486</v>
      </c>
      <c r="AF20" s="190">
        <v>490686586</v>
      </c>
      <c r="AG20" s="190">
        <v>568746763</v>
      </c>
      <c r="AH20" s="190">
        <v>123144806</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193673666</v>
      </c>
      <c r="F23" s="29">
        <f t="shared" si="16"/>
        <v>34414</v>
      </c>
      <c r="G23" s="29">
        <f t="shared" si="16"/>
        <v>23309</v>
      </c>
      <c r="H23" s="29">
        <f t="shared" si="16"/>
        <v>16814</v>
      </c>
      <c r="I23" s="29">
        <f t="shared" si="16"/>
        <v>27412393</v>
      </c>
      <c r="J23" s="29">
        <f t="shared" si="16"/>
        <v>0</v>
      </c>
      <c r="K23" s="29">
        <f t="shared" si="16"/>
        <v>0</v>
      </c>
      <c r="L23" s="29">
        <f t="shared" si="16"/>
        <v>0</v>
      </c>
      <c r="M23" s="29">
        <f t="shared" si="16"/>
        <v>213587310</v>
      </c>
      <c r="N23" s="29">
        <f t="shared" si="16"/>
        <v>0</v>
      </c>
      <c r="O23" s="29">
        <f t="shared" si="16"/>
        <v>0</v>
      </c>
      <c r="P23" s="29">
        <f t="shared" si="16"/>
        <v>0</v>
      </c>
      <c r="Q23" s="29">
        <f t="shared" si="16"/>
        <v>230229300</v>
      </c>
      <c r="R23" s="29">
        <f t="shared" si="16"/>
        <v>0</v>
      </c>
      <c r="S23" s="29">
        <f t="shared" si="16"/>
        <v>0</v>
      </c>
      <c r="T23" s="29">
        <f t="shared" si="16"/>
        <v>0</v>
      </c>
      <c r="U23" s="29">
        <f t="shared" si="16"/>
        <v>192023260</v>
      </c>
      <c r="V23" s="29">
        <f t="shared" si="16"/>
        <v>0</v>
      </c>
      <c r="W23" s="29">
        <f t="shared" si="16"/>
        <v>0</v>
      </c>
      <c r="X23" s="29">
        <f t="shared" si="16"/>
        <v>0</v>
      </c>
      <c r="Y23" s="29">
        <f t="shared" si="16"/>
        <v>91226140</v>
      </c>
      <c r="Z23" s="29">
        <f t="shared" si="16"/>
        <v>0</v>
      </c>
      <c r="AA23" s="29">
        <f t="shared" si="16"/>
        <v>0</v>
      </c>
      <c r="AB23" s="29">
        <f t="shared" si="16"/>
        <v>0</v>
      </c>
      <c r="AC23" s="29">
        <f t="shared" si="16"/>
        <v>75377278</v>
      </c>
      <c r="AD23" s="29">
        <f t="shared" si="16"/>
        <v>0</v>
      </c>
      <c r="AE23" s="29">
        <f t="shared" si="16"/>
        <v>0</v>
      </c>
      <c r="AF23" s="29">
        <f t="shared" si="16"/>
        <v>0</v>
      </c>
      <c r="AG23" s="29">
        <f t="shared" si="16"/>
        <v>64703840</v>
      </c>
      <c r="AH23" s="29">
        <f t="shared" si="16"/>
        <v>0</v>
      </c>
      <c r="AI23" s="29">
        <f t="shared" si="16"/>
        <v>0</v>
      </c>
      <c r="AJ23" s="29">
        <f t="shared" si="16"/>
        <v>0</v>
      </c>
      <c r="AK23" s="29">
        <f t="shared" si="16"/>
        <v>116595211</v>
      </c>
      <c r="AL23" s="29">
        <f t="shared" si="16"/>
        <v>0</v>
      </c>
      <c r="AM23" s="29">
        <f t="shared" si="16"/>
        <v>0</v>
      </c>
      <c r="AN23" s="29">
        <f t="shared" si="16"/>
        <v>0</v>
      </c>
      <c r="AO23" s="29">
        <f t="shared" si="16"/>
        <v>87924193</v>
      </c>
      <c r="AP23" s="29">
        <f t="shared" si="16"/>
        <v>0</v>
      </c>
      <c r="AQ23" s="29">
        <f t="shared" si="16"/>
        <v>0</v>
      </c>
      <c r="AR23" s="29">
        <f t="shared" si="16"/>
        <v>0</v>
      </c>
      <c r="AS23" s="29">
        <f t="shared" si="16"/>
        <v>81480914</v>
      </c>
      <c r="AT23" s="29">
        <f t="shared" si="16"/>
        <v>0</v>
      </c>
      <c r="AU23" s="29">
        <f t="shared" si="16"/>
        <v>0</v>
      </c>
      <c r="AV23" s="29">
        <f t="shared" si="16"/>
        <v>0</v>
      </c>
      <c r="AW23" s="29">
        <f t="shared" si="16"/>
        <v>52299919</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2650500</v>
      </c>
      <c r="C24" s="26">
        <f t="shared" ref="C24:BN24" si="18">C67</f>
        <v>2650500</v>
      </c>
      <c r="D24" s="26">
        <f t="shared" si="18"/>
        <v>0</v>
      </c>
      <c r="E24" s="26">
        <f>E67</f>
        <v>2137500</v>
      </c>
      <c r="F24" s="26">
        <f t="shared" si="18"/>
        <v>0</v>
      </c>
      <c r="G24" s="26">
        <f t="shared" si="18"/>
        <v>0</v>
      </c>
      <c r="H24" s="26">
        <f t="shared" si="18"/>
        <v>0</v>
      </c>
      <c r="I24" s="26">
        <f t="shared" si="18"/>
        <v>0</v>
      </c>
      <c r="J24" s="26">
        <f t="shared" si="18"/>
        <v>6412500</v>
      </c>
      <c r="K24" s="26">
        <f t="shared" si="18"/>
        <v>0</v>
      </c>
      <c r="L24" s="26">
        <f t="shared" si="18"/>
        <v>0</v>
      </c>
      <c r="M24" s="26">
        <f t="shared" si="18"/>
        <v>14962500</v>
      </c>
      <c r="N24" s="26">
        <f t="shared" si="18"/>
        <v>14962500</v>
      </c>
      <c r="O24" s="26">
        <f t="shared" si="18"/>
        <v>0</v>
      </c>
      <c r="P24" s="26">
        <f t="shared" si="18"/>
        <v>0</v>
      </c>
      <c r="Q24" s="26">
        <f t="shared" si="18"/>
        <v>13680000</v>
      </c>
      <c r="R24" s="26">
        <f t="shared" si="18"/>
        <v>13680000</v>
      </c>
      <c r="S24" s="26">
        <f t="shared" si="18"/>
        <v>0</v>
      </c>
      <c r="T24" s="26">
        <f t="shared" si="18"/>
        <v>0</v>
      </c>
      <c r="U24" s="26">
        <f t="shared" si="18"/>
        <v>21802500</v>
      </c>
      <c r="V24" s="26">
        <f t="shared" si="18"/>
        <v>21802500</v>
      </c>
      <c r="W24" s="26">
        <f t="shared" si="18"/>
        <v>10901250</v>
      </c>
      <c r="X24" s="26">
        <f t="shared" si="18"/>
        <v>0</v>
      </c>
      <c r="Y24" s="26">
        <f t="shared" si="18"/>
        <v>4053371</v>
      </c>
      <c r="Z24" s="26">
        <f t="shared" si="18"/>
        <v>4053371</v>
      </c>
      <c r="AA24" s="26">
        <f t="shared" si="18"/>
        <v>4053371</v>
      </c>
      <c r="AB24" s="26">
        <f t="shared" si="18"/>
        <v>0</v>
      </c>
      <c r="AC24" s="26">
        <f t="shared" si="18"/>
        <v>3007402</v>
      </c>
      <c r="AD24" s="26">
        <f t="shared" si="18"/>
        <v>3007402</v>
      </c>
      <c r="AE24" s="26">
        <f t="shared" si="18"/>
        <v>3007402</v>
      </c>
      <c r="AF24" s="26">
        <f t="shared" si="18"/>
        <v>3007402</v>
      </c>
      <c r="AG24" s="26">
        <f t="shared" si="18"/>
        <v>13951463</v>
      </c>
      <c r="AH24" s="26">
        <f t="shared" si="18"/>
        <v>0</v>
      </c>
      <c r="AI24" s="26">
        <f t="shared" si="18"/>
        <v>0</v>
      </c>
      <c r="AJ24" s="26">
        <f t="shared" si="18"/>
        <v>0</v>
      </c>
      <c r="AK24" s="26">
        <f t="shared" si="18"/>
        <v>1539000</v>
      </c>
      <c r="AL24" s="26">
        <f t="shared" si="18"/>
        <v>1539000</v>
      </c>
      <c r="AM24" s="26">
        <f t="shared" si="18"/>
        <v>0</v>
      </c>
      <c r="AN24" s="26">
        <f t="shared" si="18"/>
        <v>0</v>
      </c>
      <c r="AO24" s="26">
        <f t="shared" si="18"/>
        <v>0</v>
      </c>
      <c r="AP24" s="26">
        <f t="shared" si="18"/>
        <v>0</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0</v>
      </c>
      <c r="BA24" s="26">
        <f t="shared" si="18"/>
        <v>0</v>
      </c>
      <c r="BB24" s="26">
        <f t="shared" si="18"/>
        <v>0</v>
      </c>
      <c r="BC24" s="26">
        <f t="shared" si="18"/>
        <v>0</v>
      </c>
      <c r="BD24" s="26">
        <f t="shared" si="18"/>
        <v>0</v>
      </c>
      <c r="BE24" s="26">
        <f t="shared" si="18"/>
        <v>0</v>
      </c>
      <c r="BF24" s="26">
        <f t="shared" si="18"/>
        <v>0</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-98643401</v>
      </c>
      <c r="F25" s="29">
        <f t="shared" si="20"/>
        <v>-2684</v>
      </c>
      <c r="G25" s="29">
        <f t="shared" si="20"/>
        <v>377</v>
      </c>
      <c r="H25" s="29">
        <f t="shared" si="20"/>
        <v>-1008</v>
      </c>
      <c r="I25" s="29">
        <f t="shared" si="20"/>
        <v>-90909120</v>
      </c>
      <c r="J25" s="29">
        <f t="shared" si="20"/>
        <v>0</v>
      </c>
      <c r="K25" s="29">
        <f t="shared" si="20"/>
        <v>0</v>
      </c>
      <c r="L25" s="29">
        <f t="shared" si="20"/>
        <v>0</v>
      </c>
      <c r="M25" s="29">
        <f t="shared" si="20"/>
        <v>-103595644</v>
      </c>
      <c r="N25" s="29">
        <f t="shared" si="20"/>
        <v>0</v>
      </c>
      <c r="O25" s="29">
        <f t="shared" si="20"/>
        <v>0</v>
      </c>
      <c r="P25" s="29">
        <f t="shared" si="20"/>
        <v>0</v>
      </c>
      <c r="Q25" s="29">
        <f t="shared" si="20"/>
        <v>-100948284</v>
      </c>
      <c r="R25" s="29">
        <f t="shared" si="20"/>
        <v>0</v>
      </c>
      <c r="S25" s="29">
        <f t="shared" si="20"/>
        <v>0</v>
      </c>
      <c r="T25" s="29">
        <f t="shared" si="20"/>
        <v>0</v>
      </c>
      <c r="U25" s="29">
        <f t="shared" si="20"/>
        <v>-90800000</v>
      </c>
      <c r="V25" s="29">
        <f t="shared" si="20"/>
        <v>0</v>
      </c>
      <c r="W25" s="29">
        <f t="shared" si="20"/>
        <v>0</v>
      </c>
      <c r="X25" s="29">
        <f t="shared" si="20"/>
        <v>0</v>
      </c>
      <c r="Y25" s="29">
        <f t="shared" si="20"/>
        <v>-87570000</v>
      </c>
      <c r="Z25" s="29">
        <f t="shared" si="20"/>
        <v>0</v>
      </c>
      <c r="AA25" s="29">
        <f t="shared" si="20"/>
        <v>0</v>
      </c>
      <c r="AB25" s="29">
        <f t="shared" si="20"/>
        <v>0</v>
      </c>
      <c r="AC25" s="29">
        <f t="shared" si="20"/>
        <v>-88973547</v>
      </c>
      <c r="AD25" s="29">
        <f t="shared" si="20"/>
        <v>0</v>
      </c>
      <c r="AE25" s="29">
        <f t="shared" si="20"/>
        <v>0</v>
      </c>
      <c r="AF25" s="29">
        <f t="shared" si="20"/>
        <v>0</v>
      </c>
      <c r="AG25" s="29">
        <f t="shared" si="20"/>
        <v>-80926000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0</v>
      </c>
      <c r="C26" s="190">
        <v>0</v>
      </c>
      <c r="D26" s="190">
        <v>0</v>
      </c>
      <c r="E26" s="190">
        <v>-90095932</v>
      </c>
      <c r="F26" s="190">
        <v>0</v>
      </c>
      <c r="G26" s="190">
        <v>0</v>
      </c>
      <c r="H26" s="190">
        <v>0</v>
      </c>
      <c r="I26" s="190">
        <v>-23079144</v>
      </c>
      <c r="J26" s="190">
        <v>0</v>
      </c>
      <c r="K26" s="190">
        <v>0</v>
      </c>
      <c r="L26" s="190">
        <v>0</v>
      </c>
      <c r="M26" s="190">
        <v>-48498672</v>
      </c>
      <c r="N26" s="190">
        <v>0</v>
      </c>
      <c r="O26" s="190">
        <v>0</v>
      </c>
      <c r="P26" s="190">
        <v>0</v>
      </c>
      <c r="Q26" s="190">
        <v>-451468267</v>
      </c>
      <c r="R26" s="190">
        <v>-263408888</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2673032</v>
      </c>
      <c r="C27" s="26">
        <f t="shared" ref="C27:BN27" si="22">SUM(C22:C26)</f>
        <v>2679642</v>
      </c>
      <c r="D27" s="26">
        <f t="shared" si="22"/>
        <v>35657</v>
      </c>
      <c r="E27" s="26">
        <f t="shared" si="22"/>
        <v>7071833</v>
      </c>
      <c r="F27" s="26">
        <f t="shared" si="22"/>
        <v>31730</v>
      </c>
      <c r="G27" s="26">
        <f t="shared" si="22"/>
        <v>23686</v>
      </c>
      <c r="H27" s="26">
        <f t="shared" si="22"/>
        <v>15806</v>
      </c>
      <c r="I27" s="26">
        <f t="shared" si="22"/>
        <v>-86575871</v>
      </c>
      <c r="J27" s="26">
        <f t="shared" si="22"/>
        <v>6412500</v>
      </c>
      <c r="K27" s="26">
        <f t="shared" si="22"/>
        <v>0</v>
      </c>
      <c r="L27" s="26">
        <f t="shared" si="22"/>
        <v>0</v>
      </c>
      <c r="M27" s="26">
        <f t="shared" si="22"/>
        <v>76455494</v>
      </c>
      <c r="N27" s="26">
        <f t="shared" si="22"/>
        <v>14962500</v>
      </c>
      <c r="O27" s="26">
        <f t="shared" si="22"/>
        <v>0</v>
      </c>
      <c r="P27" s="26">
        <f t="shared" si="22"/>
        <v>0</v>
      </c>
      <c r="Q27" s="26">
        <f t="shared" si="22"/>
        <v>-308507251</v>
      </c>
      <c r="R27" s="26">
        <f t="shared" si="22"/>
        <v>-249728888</v>
      </c>
      <c r="S27" s="26">
        <f t="shared" si="22"/>
        <v>0</v>
      </c>
      <c r="T27" s="26">
        <f t="shared" si="22"/>
        <v>0</v>
      </c>
      <c r="U27" s="26">
        <f t="shared" si="22"/>
        <v>123025760</v>
      </c>
      <c r="V27" s="26">
        <f t="shared" si="22"/>
        <v>21802500</v>
      </c>
      <c r="W27" s="26">
        <f t="shared" si="22"/>
        <v>10901250</v>
      </c>
      <c r="X27" s="26">
        <f t="shared" si="22"/>
        <v>0</v>
      </c>
      <c r="Y27" s="26">
        <f t="shared" si="22"/>
        <v>7709511</v>
      </c>
      <c r="Z27" s="26">
        <f t="shared" si="22"/>
        <v>4053371</v>
      </c>
      <c r="AA27" s="26">
        <f t="shared" si="22"/>
        <v>4053371</v>
      </c>
      <c r="AB27" s="26">
        <f t="shared" si="22"/>
        <v>0</v>
      </c>
      <c r="AC27" s="26">
        <f t="shared" si="22"/>
        <v>-10588867</v>
      </c>
      <c r="AD27" s="26">
        <f t="shared" si="22"/>
        <v>3007402</v>
      </c>
      <c r="AE27" s="26">
        <f t="shared" si="22"/>
        <v>3007402</v>
      </c>
      <c r="AF27" s="26">
        <f t="shared" si="22"/>
        <v>3007402</v>
      </c>
      <c r="AG27" s="26">
        <f t="shared" si="22"/>
        <v>-2270697</v>
      </c>
      <c r="AH27" s="26">
        <f t="shared" si="22"/>
        <v>0</v>
      </c>
      <c r="AI27" s="26">
        <f t="shared" si="22"/>
        <v>0</v>
      </c>
      <c r="AJ27" s="26">
        <f t="shared" si="22"/>
        <v>0</v>
      </c>
      <c r="AK27" s="26">
        <f t="shared" si="22"/>
        <v>118134211</v>
      </c>
      <c r="AL27" s="26">
        <f t="shared" si="22"/>
        <v>1539000</v>
      </c>
      <c r="AM27" s="26">
        <f t="shared" si="22"/>
        <v>0</v>
      </c>
      <c r="AN27" s="26">
        <f t="shared" si="22"/>
        <v>0</v>
      </c>
      <c r="AO27" s="26">
        <f t="shared" si="22"/>
        <v>87924193</v>
      </c>
      <c r="AP27" s="26">
        <f t="shared" si="22"/>
        <v>0</v>
      </c>
      <c r="AQ27" s="26">
        <f t="shared" si="22"/>
        <v>0</v>
      </c>
      <c r="AR27" s="26">
        <f t="shared" si="22"/>
        <v>0</v>
      </c>
      <c r="AS27" s="26">
        <f t="shared" si="22"/>
        <v>81480914</v>
      </c>
      <c r="AT27" s="26">
        <f t="shared" si="22"/>
        <v>0</v>
      </c>
      <c r="AU27" s="26">
        <f t="shared" si="22"/>
        <v>0</v>
      </c>
      <c r="AV27" s="26">
        <f t="shared" si="22"/>
        <v>0</v>
      </c>
      <c r="AW27" s="26">
        <f t="shared" si="22"/>
        <v>52299919</v>
      </c>
      <c r="AX27" s="26">
        <f t="shared" si="22"/>
        <v>0</v>
      </c>
      <c r="AY27" s="26">
        <f t="shared" si="22"/>
        <v>0</v>
      </c>
      <c r="AZ27" s="26">
        <f t="shared" si="22"/>
        <v>0</v>
      </c>
      <c r="BA27" s="26">
        <f t="shared" si="22"/>
        <v>0</v>
      </c>
      <c r="BB27" s="26">
        <f t="shared" si="22"/>
        <v>0</v>
      </c>
      <c r="BC27" s="26">
        <f t="shared" si="22"/>
        <v>0</v>
      </c>
      <c r="BD27" s="26">
        <f t="shared" si="22"/>
        <v>0</v>
      </c>
      <c r="BE27" s="26">
        <f t="shared" si="22"/>
        <v>0</v>
      </c>
      <c r="BF27" s="26">
        <f t="shared" si="22"/>
        <v>0</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594213.95997733355</v>
      </c>
      <c r="C28" s="26">
        <f t="shared" ref="C28:BN28" si="24">SUM(C22:C25)*C41</f>
        <v>591335.27071275015</v>
      </c>
      <c r="D28" s="26">
        <f t="shared" si="24"/>
        <v>7548.6871942131093</v>
      </c>
      <c r="E28" s="26">
        <f t="shared" si="24"/>
        <v>21804657.459941294</v>
      </c>
      <c r="F28" s="26">
        <f t="shared" si="24"/>
        <v>6973.4126881384354</v>
      </c>
      <c r="G28" s="26">
        <f t="shared" si="24"/>
        <v>5162.5608677872879</v>
      </c>
      <c r="H28" s="26">
        <f t="shared" si="24"/>
        <v>3417.2516910174636</v>
      </c>
      <c r="I28" s="26">
        <f t="shared" si="24"/>
        <v>-12572666.521387484</v>
      </c>
      <c r="J28" s="26">
        <f t="shared" si="24"/>
        <v>1177992.6266519858</v>
      </c>
      <c r="K28" s="26">
        <f t="shared" si="24"/>
        <v>0</v>
      </c>
      <c r="L28" s="26">
        <f t="shared" si="24"/>
        <v>0</v>
      </c>
      <c r="M28" s="26">
        <f t="shared" si="24"/>
        <v>28564323.662628844</v>
      </c>
      <c r="N28" s="26">
        <f t="shared" si="24"/>
        <v>3472453.8035880192</v>
      </c>
      <c r="O28" s="26">
        <f t="shared" si="24"/>
        <v>0</v>
      </c>
      <c r="P28" s="26">
        <f t="shared" si="24"/>
        <v>0</v>
      </c>
      <c r="Q28" s="26">
        <f t="shared" si="24"/>
        <v>31681559.600115556</v>
      </c>
      <c r="R28" s="26">
        <f t="shared" si="24"/>
        <v>3086750.1439392818</v>
      </c>
      <c r="S28" s="26">
        <f t="shared" si="24"/>
        <v>0</v>
      </c>
      <c r="T28" s="26">
        <f t="shared" si="24"/>
        <v>0</v>
      </c>
      <c r="U28" s="26">
        <f t="shared" si="24"/>
        <v>25997312.113832302</v>
      </c>
      <c r="V28" s="26">
        <f t="shared" si="24"/>
        <v>4601627.4821058465</v>
      </c>
      <c r="W28" s="26">
        <f t="shared" si="24"/>
        <v>2288871.3136467426</v>
      </c>
      <c r="X28" s="26">
        <f t="shared" si="24"/>
        <v>0</v>
      </c>
      <c r="Y28" s="26">
        <f t="shared" si="24"/>
        <v>1687743.7253291886</v>
      </c>
      <c r="Z28" s="26">
        <f t="shared" si="24"/>
        <v>890355.03187054303</v>
      </c>
      <c r="AA28" s="26">
        <f t="shared" si="24"/>
        <v>882170.66404765088</v>
      </c>
      <c r="AB28" s="26">
        <f t="shared" si="24"/>
        <v>0</v>
      </c>
      <c r="AC28" s="26">
        <f t="shared" si="24"/>
        <v>-2479248.9733064426</v>
      </c>
      <c r="AD28" s="26">
        <f t="shared" si="24"/>
        <v>699040.65771022369</v>
      </c>
      <c r="AE28" s="26">
        <f t="shared" si="24"/>
        <v>716514.55066596938</v>
      </c>
      <c r="AF28" s="26">
        <f t="shared" si="24"/>
        <v>667510.97395086975</v>
      </c>
      <c r="AG28" s="26">
        <f t="shared" si="24"/>
        <v>-546790.53355992772</v>
      </c>
      <c r="AH28" s="26">
        <f t="shared" si="24"/>
        <v>0</v>
      </c>
      <c r="AI28" s="26">
        <f t="shared" si="24"/>
        <v>0</v>
      </c>
      <c r="AJ28" s="26">
        <f t="shared" si="24"/>
        <v>0</v>
      </c>
      <c r="AK28" s="26">
        <f t="shared" si="24"/>
        <v>29730054.620130301</v>
      </c>
      <c r="AL28" s="26">
        <f t="shared" si="24"/>
        <v>386587.44920145371</v>
      </c>
      <c r="AM28" s="26">
        <f t="shared" si="24"/>
        <v>0</v>
      </c>
      <c r="AN28" s="26">
        <f t="shared" si="24"/>
        <v>0</v>
      </c>
      <c r="AO28" s="26">
        <f t="shared" si="24"/>
        <v>22088108.583633486</v>
      </c>
      <c r="AP28" s="26">
        <f t="shared" si="24"/>
        <v>0</v>
      </c>
      <c r="AQ28" s="26">
        <f t="shared" si="24"/>
        <v>0</v>
      </c>
      <c r="AR28" s="26">
        <f t="shared" si="24"/>
        <v>0</v>
      </c>
      <c r="AS28" s="26">
        <f t="shared" si="24"/>
        <v>27368509.427000154</v>
      </c>
      <c r="AT28" s="26">
        <f t="shared" si="24"/>
        <v>0</v>
      </c>
      <c r="AU28" s="26">
        <f t="shared" si="24"/>
        <v>0</v>
      </c>
      <c r="AV28" s="26">
        <f t="shared" si="24"/>
        <v>0</v>
      </c>
      <c r="AW28" s="26">
        <f t="shared" si="24"/>
        <v>17329957.94716334</v>
      </c>
      <c r="AX28" s="26">
        <f t="shared" si="24"/>
        <v>0</v>
      </c>
      <c r="AY28" s="26">
        <f t="shared" si="24"/>
        <v>0</v>
      </c>
      <c r="AZ28" s="26">
        <f t="shared" si="24"/>
        <v>0</v>
      </c>
      <c r="BA28" s="26">
        <f t="shared" si="24"/>
        <v>0</v>
      </c>
      <c r="BB28" s="26">
        <f t="shared" si="24"/>
        <v>0</v>
      </c>
      <c r="BC28" s="26">
        <f t="shared" si="24"/>
        <v>0</v>
      </c>
      <c r="BD28" s="26">
        <f t="shared" si="24"/>
        <v>0</v>
      </c>
      <c r="BE28" s="26">
        <f t="shared" si="24"/>
        <v>0</v>
      </c>
      <c r="BF28" s="26" t="e">
        <f t="shared" si="24"/>
        <v>#DIV/0!</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2078818.0400226666</v>
      </c>
      <c r="C29" s="28">
        <f t="shared" ref="C29:BN29" si="26">C27-C28</f>
        <v>2088306.72928725</v>
      </c>
      <c r="D29" s="28">
        <f t="shared" si="26"/>
        <v>28108.312805786889</v>
      </c>
      <c r="E29" s="28">
        <f t="shared" si="26"/>
        <v>-14732824.459941294</v>
      </c>
      <c r="F29" s="28">
        <f t="shared" si="26"/>
        <v>24756.587311861564</v>
      </c>
      <c r="G29" s="28">
        <f t="shared" si="26"/>
        <v>18523.439132212712</v>
      </c>
      <c r="H29" s="28">
        <f t="shared" si="26"/>
        <v>12388.748308982536</v>
      </c>
      <c r="I29" s="28">
        <f t="shared" si="26"/>
        <v>-74003204.478612512</v>
      </c>
      <c r="J29" s="28">
        <f t="shared" si="26"/>
        <v>5234507.3733480144</v>
      </c>
      <c r="K29" s="28">
        <f t="shared" si="26"/>
        <v>0</v>
      </c>
      <c r="L29" s="28">
        <f t="shared" si="26"/>
        <v>0</v>
      </c>
      <c r="M29" s="28">
        <f t="shared" si="26"/>
        <v>47891170.337371156</v>
      </c>
      <c r="N29" s="28">
        <f t="shared" si="26"/>
        <v>11490046.19641198</v>
      </c>
      <c r="O29" s="28">
        <f t="shared" si="26"/>
        <v>0</v>
      </c>
      <c r="P29" s="28">
        <f t="shared" si="26"/>
        <v>0</v>
      </c>
      <c r="Q29" s="28">
        <f t="shared" si="26"/>
        <v>-340188810.60011554</v>
      </c>
      <c r="R29" s="28">
        <f t="shared" si="26"/>
        <v>-252815638.14393929</v>
      </c>
      <c r="S29" s="28">
        <f t="shared" si="26"/>
        <v>0</v>
      </c>
      <c r="T29" s="28">
        <f t="shared" si="26"/>
        <v>0</v>
      </c>
      <c r="U29" s="28">
        <f t="shared" si="26"/>
        <v>97028447.886167705</v>
      </c>
      <c r="V29" s="28">
        <f t="shared" si="26"/>
        <v>17200872.517894153</v>
      </c>
      <c r="W29" s="28">
        <f t="shared" si="26"/>
        <v>8612378.6863532569</v>
      </c>
      <c r="X29" s="28">
        <f t="shared" si="26"/>
        <v>0</v>
      </c>
      <c r="Y29" s="28">
        <f t="shared" si="26"/>
        <v>6021767.2746708114</v>
      </c>
      <c r="Z29" s="28">
        <f t="shared" si="26"/>
        <v>3163015.968129457</v>
      </c>
      <c r="AA29" s="28">
        <f t="shared" si="26"/>
        <v>3171200.335952349</v>
      </c>
      <c r="AB29" s="28">
        <f t="shared" si="26"/>
        <v>0</v>
      </c>
      <c r="AC29" s="28">
        <f t="shared" si="26"/>
        <v>-8109618.0266935574</v>
      </c>
      <c r="AD29" s="28">
        <f t="shared" si="26"/>
        <v>2308361.3422897765</v>
      </c>
      <c r="AE29" s="28">
        <f t="shared" si="26"/>
        <v>2290887.4493340305</v>
      </c>
      <c r="AF29" s="28">
        <f t="shared" si="26"/>
        <v>2339891.0260491301</v>
      </c>
      <c r="AG29" s="28">
        <f t="shared" si="26"/>
        <v>-1723906.4664400723</v>
      </c>
      <c r="AH29" s="28">
        <f t="shared" si="26"/>
        <v>0</v>
      </c>
      <c r="AI29" s="28">
        <f t="shared" si="26"/>
        <v>0</v>
      </c>
      <c r="AJ29" s="28">
        <f t="shared" si="26"/>
        <v>0</v>
      </c>
      <c r="AK29" s="28">
        <f t="shared" si="26"/>
        <v>88404156.379869699</v>
      </c>
      <c r="AL29" s="28">
        <f t="shared" si="26"/>
        <v>1152412.5507985463</v>
      </c>
      <c r="AM29" s="28">
        <f t="shared" si="26"/>
        <v>0</v>
      </c>
      <c r="AN29" s="28">
        <f t="shared" si="26"/>
        <v>0</v>
      </c>
      <c r="AO29" s="28">
        <f t="shared" si="26"/>
        <v>65836084.416366518</v>
      </c>
      <c r="AP29" s="28">
        <f t="shared" si="26"/>
        <v>0</v>
      </c>
      <c r="AQ29" s="28">
        <f t="shared" si="26"/>
        <v>0</v>
      </c>
      <c r="AR29" s="28">
        <f t="shared" si="26"/>
        <v>0</v>
      </c>
      <c r="AS29" s="28">
        <f t="shared" si="26"/>
        <v>54112404.57299985</v>
      </c>
      <c r="AT29" s="28">
        <f t="shared" si="26"/>
        <v>0</v>
      </c>
      <c r="AU29" s="28">
        <f t="shared" si="26"/>
        <v>0</v>
      </c>
      <c r="AV29" s="28">
        <f t="shared" si="26"/>
        <v>0</v>
      </c>
      <c r="AW29" s="28">
        <f t="shared" si="26"/>
        <v>34969961.052836657</v>
      </c>
      <c r="AX29" s="28">
        <f t="shared" si="26"/>
        <v>0</v>
      </c>
      <c r="AY29" s="28">
        <f t="shared" si="26"/>
        <v>0</v>
      </c>
      <c r="AZ29" s="28">
        <f t="shared" si="26"/>
        <v>0</v>
      </c>
      <c r="BA29" s="28">
        <f t="shared" si="26"/>
        <v>0</v>
      </c>
      <c r="BB29" s="28">
        <f t="shared" si="26"/>
        <v>0</v>
      </c>
      <c r="BC29" s="28">
        <f t="shared" si="26"/>
        <v>0</v>
      </c>
      <c r="BD29" s="28">
        <f t="shared" si="26"/>
        <v>0</v>
      </c>
      <c r="BE29" s="28">
        <f t="shared" si="26"/>
        <v>0</v>
      </c>
      <c r="BF29" s="28" t="e">
        <f t="shared" si="26"/>
        <v>#DIV/0!</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15577956348</v>
      </c>
      <c r="C31" s="26">
        <f t="shared" ref="C31:BN31" si="28">C15+C20+C27</f>
        <v>10489574729</v>
      </c>
      <c r="D31" s="26">
        <f t="shared" si="28"/>
        <v>5239452578</v>
      </c>
      <c r="E31" s="26">
        <f t="shared" si="28"/>
        <v>17416935811</v>
      </c>
      <c r="F31" s="26">
        <f t="shared" si="28"/>
        <v>14648467238</v>
      </c>
      <c r="G31" s="26">
        <f t="shared" si="28"/>
        <v>9910386990</v>
      </c>
      <c r="H31" s="26">
        <f t="shared" si="28"/>
        <v>4156388649</v>
      </c>
      <c r="I31" s="26">
        <f t="shared" si="28"/>
        <v>9200455620</v>
      </c>
      <c r="J31" s="26">
        <f t="shared" si="28"/>
        <v>6577392449</v>
      </c>
      <c r="K31" s="26">
        <f t="shared" si="28"/>
        <v>4722661505</v>
      </c>
      <c r="L31" s="26">
        <f t="shared" si="28"/>
        <v>2679959429</v>
      </c>
      <c r="M31" s="26">
        <f t="shared" si="28"/>
        <v>16620719882</v>
      </c>
      <c r="N31" s="26">
        <f t="shared" si="28"/>
        <v>14704900316</v>
      </c>
      <c r="O31" s="26">
        <f t="shared" si="28"/>
        <v>9709031283</v>
      </c>
      <c r="P31" s="26">
        <f t="shared" si="28"/>
        <v>4899084816</v>
      </c>
      <c r="Q31" s="26">
        <f t="shared" si="28"/>
        <v>18218609505</v>
      </c>
      <c r="R31" s="26">
        <f t="shared" si="28"/>
        <v>14426240447</v>
      </c>
      <c r="S31" s="26">
        <f t="shared" si="28"/>
        <v>9460601088</v>
      </c>
      <c r="T31" s="26">
        <f t="shared" si="28"/>
        <v>4644532273</v>
      </c>
      <c r="U31" s="26">
        <f t="shared" si="28"/>
        <v>16830939708</v>
      </c>
      <c r="V31" s="26">
        <f t="shared" si="28"/>
        <v>12726876881</v>
      </c>
      <c r="W31" s="26">
        <f t="shared" si="28"/>
        <v>8567442002</v>
      </c>
      <c r="X31" s="26">
        <f t="shared" si="28"/>
        <v>4565918824</v>
      </c>
      <c r="Y31" s="26">
        <f t="shared" si="28"/>
        <v>15562677437</v>
      </c>
      <c r="Z31" s="26">
        <f t="shared" si="28"/>
        <v>11838125294</v>
      </c>
      <c r="AA31" s="26">
        <f t="shared" si="28"/>
        <v>8175583789</v>
      </c>
      <c r="AB31" s="26">
        <f t="shared" si="28"/>
        <v>4617090075</v>
      </c>
      <c r="AC31" s="26">
        <f t="shared" si="28"/>
        <v>16347629818</v>
      </c>
      <c r="AD31" s="26">
        <f t="shared" si="28"/>
        <v>12866669710</v>
      </c>
      <c r="AE31" s="26">
        <f t="shared" si="28"/>
        <v>8663566128</v>
      </c>
      <c r="AF31" s="26">
        <f t="shared" si="28"/>
        <v>4663280927</v>
      </c>
      <c r="AG31" s="26">
        <f t="shared" si="28"/>
        <v>14743109558</v>
      </c>
      <c r="AH31" s="26">
        <f t="shared" si="28"/>
        <v>11592725670</v>
      </c>
      <c r="AI31" s="26">
        <f t="shared" si="28"/>
        <v>6501119109</v>
      </c>
      <c r="AJ31" s="26">
        <f t="shared" si="28"/>
        <v>3223817998</v>
      </c>
      <c r="AK31" s="26">
        <f t="shared" si="28"/>
        <v>9284279752</v>
      </c>
      <c r="AL31" s="26">
        <f t="shared" si="28"/>
        <v>6693544818</v>
      </c>
      <c r="AM31" s="26">
        <f t="shared" si="28"/>
        <v>4145714929</v>
      </c>
      <c r="AN31" s="26">
        <f t="shared" si="28"/>
        <v>2130456143</v>
      </c>
      <c r="AO31" s="26">
        <f t="shared" si="28"/>
        <v>9159080724</v>
      </c>
      <c r="AP31" s="26">
        <f t="shared" si="28"/>
        <v>7835148666</v>
      </c>
      <c r="AQ31" s="26">
        <f t="shared" si="28"/>
        <v>5170036543</v>
      </c>
      <c r="AR31" s="26">
        <f t="shared" si="28"/>
        <v>2848211418</v>
      </c>
      <c r="AS31" s="26">
        <f t="shared" si="28"/>
        <v>9230891467</v>
      </c>
      <c r="AT31" s="26">
        <f t="shared" si="28"/>
        <v>7008237344</v>
      </c>
      <c r="AU31" s="26">
        <f t="shared" si="28"/>
        <v>4378986095</v>
      </c>
      <c r="AV31" s="26">
        <f t="shared" si="28"/>
        <v>2350122714</v>
      </c>
      <c r="AW31" s="26">
        <f t="shared" si="28"/>
        <v>6786348506</v>
      </c>
      <c r="AX31" s="26">
        <f t="shared" si="28"/>
        <v>5078599235</v>
      </c>
      <c r="AY31" s="26">
        <f t="shared" si="28"/>
        <v>3548186949</v>
      </c>
      <c r="AZ31" s="26">
        <f t="shared" si="28"/>
        <v>1349917872</v>
      </c>
      <c r="BA31" s="26">
        <f t="shared" si="28"/>
        <v>5829302655</v>
      </c>
      <c r="BB31" s="26">
        <f t="shared" si="28"/>
        <v>4329846296</v>
      </c>
      <c r="BC31" s="26">
        <f t="shared" si="28"/>
        <v>3056696064</v>
      </c>
      <c r="BD31" s="26">
        <f t="shared" si="28"/>
        <v>3698608224</v>
      </c>
      <c r="BE31" s="26">
        <f t="shared" si="28"/>
        <v>2294440995</v>
      </c>
      <c r="BF31" s="26">
        <f t="shared" si="28"/>
        <v>0</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27.396284255971391</v>
      </c>
      <c r="C32" s="57">
        <f t="shared" ref="C32:D32" si="30">C31/C4*100</f>
        <v>28.172711922964282</v>
      </c>
      <c r="D32" s="57">
        <f t="shared" si="30"/>
        <v>29.151347589441546</v>
      </c>
      <c r="E32" s="57">
        <f>E31/E4</f>
        <v>0.3130487357680567</v>
      </c>
      <c r="F32" s="57">
        <f t="shared" ref="F32:BQ32" si="31">F31/F4</f>
        <v>0.35094083443524737</v>
      </c>
      <c r="G32" s="57">
        <f t="shared" si="31"/>
        <v>0.36226718572739114</v>
      </c>
      <c r="H32" s="57">
        <f t="shared" si="31"/>
        <v>0.33381468550836446</v>
      </c>
      <c r="I32" s="57">
        <f t="shared" si="31"/>
        <v>0.20617322943807187</v>
      </c>
      <c r="J32" s="57">
        <f t="shared" si="31"/>
        <v>0.20820940826959927</v>
      </c>
      <c r="K32" s="57">
        <f t="shared" si="31"/>
        <v>0.22250259699683389</v>
      </c>
      <c r="L32" s="57">
        <f t="shared" si="31"/>
        <v>0.24116160977208201</v>
      </c>
      <c r="M32" s="57">
        <f t="shared" si="31"/>
        <v>0.31639610521843692</v>
      </c>
      <c r="N32" s="57">
        <f t="shared" si="31"/>
        <v>0.36393321353011754</v>
      </c>
      <c r="O32" s="57">
        <f t="shared" si="31"/>
        <v>0.35217705782494729</v>
      </c>
      <c r="P32" s="57">
        <f t="shared" si="31"/>
        <v>0.35298227199444865</v>
      </c>
      <c r="Q32" s="57">
        <f t="shared" si="31"/>
        <v>0.33756462749876326</v>
      </c>
      <c r="R32" s="57">
        <f t="shared" si="31"/>
        <v>0.35545779620336598</v>
      </c>
      <c r="S32" s="57">
        <f t="shared" si="31"/>
        <v>0.35860788228687662</v>
      </c>
      <c r="T32" s="57">
        <f t="shared" si="31"/>
        <v>0.3593470366207428</v>
      </c>
      <c r="U32" s="57">
        <f t="shared" si="31"/>
        <v>0.32781537990519755</v>
      </c>
      <c r="V32" s="57">
        <f t="shared" si="31"/>
        <v>0.33761087693617714</v>
      </c>
      <c r="W32" s="57">
        <f t="shared" si="31"/>
        <v>0.35223808336917678</v>
      </c>
      <c r="X32" s="57">
        <f t="shared" si="31"/>
        <v>0.38100862735459329</v>
      </c>
      <c r="Y32" s="57">
        <f t="shared" si="31"/>
        <v>0.33859554848655338</v>
      </c>
      <c r="Z32" s="57">
        <f t="shared" si="31"/>
        <v>0.35360062249309526</v>
      </c>
      <c r="AA32" s="57">
        <f t="shared" si="31"/>
        <v>0.36735866541423295</v>
      </c>
      <c r="AB32" s="57">
        <f t="shared" si="31"/>
        <v>0.41260858579088472</v>
      </c>
      <c r="AC32" s="57">
        <f t="shared" si="31"/>
        <v>0.36322385065866608</v>
      </c>
      <c r="AD32" s="57">
        <f t="shared" si="31"/>
        <v>0.38672902681088489</v>
      </c>
      <c r="AE32" s="57">
        <f t="shared" si="31"/>
        <v>0.39646223519386337</v>
      </c>
      <c r="AF32" s="57">
        <f t="shared" si="31"/>
        <v>0.42804465437779093</v>
      </c>
      <c r="AG32" s="57">
        <f t="shared" si="31"/>
        <v>0.3509114398339539</v>
      </c>
      <c r="AH32" s="57">
        <f t="shared" si="31"/>
        <v>0.37410398013254081</v>
      </c>
      <c r="AI32" s="57">
        <f t="shared" si="31"/>
        <v>0.46368051717180503</v>
      </c>
      <c r="AJ32" s="57">
        <f t="shared" si="31"/>
        <v>0.48958217388742037</v>
      </c>
      <c r="AK32" s="57">
        <f t="shared" si="31"/>
        <v>0.40151462206590405</v>
      </c>
      <c r="AL32" s="57">
        <f t="shared" si="31"/>
        <v>0.41194968929421394</v>
      </c>
      <c r="AM32" s="57">
        <f t="shared" si="31"/>
        <v>0.40795688526574081</v>
      </c>
      <c r="AN32" s="57">
        <f t="shared" si="31"/>
        <v>0.43838621090125385</v>
      </c>
      <c r="AO32" s="57">
        <f t="shared" si="31"/>
        <v>0.40535304240747294</v>
      </c>
      <c r="AP32" s="57">
        <f t="shared" si="31"/>
        <v>0.44256580709966314</v>
      </c>
      <c r="AQ32" s="57">
        <f t="shared" si="31"/>
        <v>0.44542277843120232</v>
      </c>
      <c r="AR32" s="57">
        <f t="shared" si="31"/>
        <v>0.51717176041802981</v>
      </c>
      <c r="AS32" s="57">
        <f t="shared" si="31"/>
        <v>0.44251080967326961</v>
      </c>
      <c r="AT32" s="57">
        <f t="shared" si="31"/>
        <v>0.46030549941978666</v>
      </c>
      <c r="AU32" s="57">
        <f t="shared" si="31"/>
        <v>0.45395286530378087</v>
      </c>
      <c r="AV32" s="57">
        <f t="shared" si="31"/>
        <v>0.52231858047148849</v>
      </c>
      <c r="AW32" s="57">
        <f t="shared" si="31"/>
        <v>0.42033786835720982</v>
      </c>
      <c r="AX32" s="57">
        <f t="shared" si="31"/>
        <v>0.43171303318654641</v>
      </c>
      <c r="AY32" s="57">
        <f t="shared" si="31"/>
        <v>0.45711672530972641</v>
      </c>
      <c r="AZ32" s="57">
        <f t="shared" si="31"/>
        <v>0.38340527294553983</v>
      </c>
      <c r="BA32" s="57">
        <f t="shared" si="31"/>
        <v>0.44482642068435452</v>
      </c>
      <c r="BB32" s="57">
        <f t="shared" si="31"/>
        <v>0.44923306112123396</v>
      </c>
      <c r="BC32" s="57">
        <f t="shared" si="31"/>
        <v>0.47116736891165184</v>
      </c>
      <c r="BD32" s="57">
        <f t="shared" si="31"/>
        <v>0.51356103752654247</v>
      </c>
      <c r="BE32" s="57">
        <f t="shared" si="31"/>
        <v>0.44651774563551649</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12643635191.611958</v>
      </c>
      <c r="C33" s="26">
        <f t="shared" ref="C33:BN33" si="33">C17+C20+C29</f>
        <v>8521966578.7109804</v>
      </c>
      <c r="D33" s="26">
        <f t="shared" si="33"/>
        <v>4293307713.9880576</v>
      </c>
      <c r="E33" s="26">
        <f t="shared" si="33"/>
        <v>14190132267.610268</v>
      </c>
      <c r="F33" s="26">
        <f t="shared" si="33"/>
        <v>11923922573.822817</v>
      </c>
      <c r="G33" s="26">
        <f t="shared" si="33"/>
        <v>8090136626.4775047</v>
      </c>
      <c r="H33" s="26">
        <f t="shared" si="33"/>
        <v>3407010960.4951887</v>
      </c>
      <c r="I33" s="26">
        <f t="shared" si="33"/>
        <v>7904338900.1180878</v>
      </c>
      <c r="J33" s="26">
        <f t="shared" si="33"/>
        <v>5743930690.7446003</v>
      </c>
      <c r="K33" s="26">
        <f t="shared" si="33"/>
        <v>4094452201.3853908</v>
      </c>
      <c r="L33" s="26">
        <f t="shared" si="33"/>
        <v>2219327521.9933167</v>
      </c>
      <c r="M33" s="26">
        <f t="shared" si="33"/>
        <v>13286360444.052006</v>
      </c>
      <c r="N33" s="26">
        <f t="shared" si="33"/>
        <v>11632030358.90819</v>
      </c>
      <c r="O33" s="26">
        <f t="shared" si="33"/>
        <v>7656137019.993166</v>
      </c>
      <c r="P33" s="26">
        <f t="shared" si="33"/>
        <v>3867299454.0120273</v>
      </c>
      <c r="Q33" s="26">
        <f t="shared" si="33"/>
        <v>14641055038.18535</v>
      </c>
      <c r="R33" s="26">
        <f t="shared" si="33"/>
        <v>11515505535.967939</v>
      </c>
      <c r="S33" s="26">
        <f t="shared" si="33"/>
        <v>7633313534.8106775</v>
      </c>
      <c r="T33" s="26">
        <f t="shared" si="33"/>
        <v>3728546804.5751991</v>
      </c>
      <c r="U33" s="26">
        <f t="shared" si="33"/>
        <v>13838758056.825882</v>
      </c>
      <c r="V33" s="26">
        <f t="shared" si="33"/>
        <v>10456383760.577621</v>
      </c>
      <c r="W33" s="26">
        <f t="shared" si="33"/>
        <v>7054100009.3001699</v>
      </c>
      <c r="X33" s="26">
        <f t="shared" si="33"/>
        <v>3677596890.006072</v>
      </c>
      <c r="Y33" s="26">
        <f t="shared" si="33"/>
        <v>12606974998.141909</v>
      </c>
      <c r="Z33" s="26">
        <f t="shared" si="33"/>
        <v>9553069685.0766945</v>
      </c>
      <c r="AA33" s="26">
        <f t="shared" si="33"/>
        <v>6623948165.6142406</v>
      </c>
      <c r="AB33" s="26">
        <f t="shared" si="33"/>
        <v>3672681162.2647715</v>
      </c>
      <c r="AC33" s="26">
        <f t="shared" si="33"/>
        <v>12943741359.823166</v>
      </c>
      <c r="AD33" s="26">
        <f t="shared" si="33"/>
        <v>10196873277.018385</v>
      </c>
      <c r="AE33" s="26">
        <f t="shared" si="33"/>
        <v>6818533180.5547228</v>
      </c>
      <c r="AF33" s="26">
        <f t="shared" si="33"/>
        <v>3737148500.2533269</v>
      </c>
      <c r="AG33" s="26">
        <f t="shared" si="33"/>
        <v>11329881198.800142</v>
      </c>
      <c r="AH33" s="26">
        <f t="shared" si="33"/>
        <v>8737903716.1789284</v>
      </c>
      <c r="AI33" s="26">
        <f t="shared" si="33"/>
        <v>4873485953.1756868</v>
      </c>
      <c r="AJ33" s="26">
        <f t="shared" si="33"/>
        <v>2417407410.02739</v>
      </c>
      <c r="AK33" s="26">
        <f t="shared" si="33"/>
        <v>6947766545.5459461</v>
      </c>
      <c r="AL33" s="26">
        <f t="shared" si="33"/>
        <v>5012167028.977109</v>
      </c>
      <c r="AM33" s="26">
        <f t="shared" si="33"/>
        <v>3102144100.7278895</v>
      </c>
      <c r="AN33" s="26">
        <f t="shared" si="33"/>
        <v>1597102441.8160377</v>
      </c>
      <c r="AO33" s="26">
        <f t="shared" si="33"/>
        <v>6858158046.6889172</v>
      </c>
      <c r="AP33" s="26">
        <f t="shared" si="33"/>
        <v>5861578827.2887373</v>
      </c>
      <c r="AQ33" s="26">
        <f t="shared" si="33"/>
        <v>3876152207.8228669</v>
      </c>
      <c r="AR33" s="26">
        <f t="shared" si="33"/>
        <v>2136158454.3955398</v>
      </c>
      <c r="AS33" s="26">
        <f t="shared" si="33"/>
        <v>6130340335.0600128</v>
      </c>
      <c r="AT33" s="26">
        <f t="shared" si="33"/>
        <v>4627495800.328805</v>
      </c>
      <c r="AU33" s="26">
        <f t="shared" si="33"/>
        <v>2929560748.1604538</v>
      </c>
      <c r="AV33" s="26">
        <f t="shared" si="33"/>
        <v>1572831930.0704546</v>
      </c>
      <c r="AW33" s="26">
        <f t="shared" si="33"/>
        <v>4537642648.0851002</v>
      </c>
      <c r="AX33" s="26">
        <f t="shared" si="33"/>
        <v>3412599641.104003</v>
      </c>
      <c r="AY33" s="26">
        <f t="shared" si="33"/>
        <v>2409632660.9581552</v>
      </c>
      <c r="AZ33" s="26">
        <f t="shared" si="33"/>
        <v>951591841.95597255</v>
      </c>
      <c r="BA33" s="26">
        <f t="shared" si="33"/>
        <v>3842111173.2268667</v>
      </c>
      <c r="BB33" s="26">
        <f t="shared" si="33"/>
        <v>2832855745.2400618</v>
      </c>
      <c r="BC33" s="26">
        <f t="shared" si="33"/>
        <v>2012099353.279176</v>
      </c>
      <c r="BD33" s="26">
        <f t="shared" si="33"/>
        <v>2383911572.3994789</v>
      </c>
      <c r="BE33" s="26">
        <f t="shared" si="33"/>
        <v>1523082887.204072</v>
      </c>
      <c r="BF33" s="26" t="e">
        <f t="shared" si="33"/>
        <v>#DIV/0!</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22.235819384785742</v>
      </c>
      <c r="C34" s="57">
        <f t="shared" ref="C34:D34" si="35">C33/C4*100</f>
        <v>22.888145195762586</v>
      </c>
      <c r="D34" s="57">
        <f t="shared" si="35"/>
        <v>23.887172107333186</v>
      </c>
      <c r="E34" s="57">
        <f>E33/E4</f>
        <v>0.25505077442791879</v>
      </c>
      <c r="F34" s="57">
        <f t="shared" ref="F34:BQ34" si="36">F33/F4</f>
        <v>0.28566752205604806</v>
      </c>
      <c r="G34" s="57">
        <f t="shared" si="36"/>
        <v>0.29572922134941731</v>
      </c>
      <c r="H34" s="57">
        <f t="shared" si="36"/>
        <v>0.27362943852107807</v>
      </c>
      <c r="I34" s="57">
        <f t="shared" si="36"/>
        <v>0.1771285189472305</v>
      </c>
      <c r="J34" s="57">
        <f t="shared" si="36"/>
        <v>0.18182591650637325</v>
      </c>
      <c r="K34" s="57">
        <f t="shared" si="36"/>
        <v>0.19290526054495472</v>
      </c>
      <c r="L34" s="57">
        <f t="shared" si="36"/>
        <v>0.19971070905916838</v>
      </c>
      <c r="M34" s="57">
        <f t="shared" si="36"/>
        <v>0.2529224201401144</v>
      </c>
      <c r="N34" s="57">
        <f t="shared" si="36"/>
        <v>0.28788241317020191</v>
      </c>
      <c r="O34" s="57">
        <f t="shared" si="36"/>
        <v>0.27771213537306849</v>
      </c>
      <c r="P34" s="57">
        <f t="shared" si="36"/>
        <v>0.27864146040129634</v>
      </c>
      <c r="Q34" s="57">
        <f t="shared" si="36"/>
        <v>0.27127768937566504</v>
      </c>
      <c r="R34" s="57">
        <f t="shared" si="36"/>
        <v>0.28373825010202425</v>
      </c>
      <c r="S34" s="57">
        <f t="shared" si="36"/>
        <v>0.28934381400166376</v>
      </c>
      <c r="T34" s="57">
        <f t="shared" si="36"/>
        <v>0.28847732481367938</v>
      </c>
      <c r="U34" s="57">
        <f t="shared" si="36"/>
        <v>0.26953680593711565</v>
      </c>
      <c r="V34" s="57">
        <f t="shared" si="36"/>
        <v>0.27738061144129117</v>
      </c>
      <c r="W34" s="57">
        <f t="shared" si="36"/>
        <v>0.29001919903167661</v>
      </c>
      <c r="X34" s="57">
        <f t="shared" si="36"/>
        <v>0.30688152747253805</v>
      </c>
      <c r="Y34" s="57">
        <f t="shared" si="36"/>
        <v>0.2742886390553495</v>
      </c>
      <c r="Z34" s="57">
        <f t="shared" si="36"/>
        <v>0.28534681830704373</v>
      </c>
      <c r="AA34" s="57">
        <f t="shared" si="36"/>
        <v>0.29763804282296297</v>
      </c>
      <c r="AB34" s="57">
        <f t="shared" si="36"/>
        <v>0.32821100645797779</v>
      </c>
      <c r="AC34" s="57">
        <f t="shared" si="36"/>
        <v>0.28759371425624786</v>
      </c>
      <c r="AD34" s="57">
        <f t="shared" si="36"/>
        <v>0.30648388182921954</v>
      </c>
      <c r="AE34" s="57">
        <f t="shared" si="36"/>
        <v>0.31202981146175046</v>
      </c>
      <c r="AF34" s="57">
        <f t="shared" si="36"/>
        <v>0.34303454224417024</v>
      </c>
      <c r="AG34" s="57">
        <f t="shared" si="36"/>
        <v>0.26967071695273648</v>
      </c>
      <c r="AH34" s="57">
        <f t="shared" si="36"/>
        <v>0.28197722013700133</v>
      </c>
      <c r="AI34" s="57">
        <f t="shared" si="36"/>
        <v>0.34759253742477919</v>
      </c>
      <c r="AJ34" s="57">
        <f t="shared" si="36"/>
        <v>0.36711736695651026</v>
      </c>
      <c r="AK34" s="57">
        <f t="shared" si="36"/>
        <v>0.30046809588391349</v>
      </c>
      <c r="AL34" s="57">
        <f t="shared" si="36"/>
        <v>0.30847043030553195</v>
      </c>
      <c r="AM34" s="57">
        <f t="shared" si="36"/>
        <v>0.3052648497671081</v>
      </c>
      <c r="AN34" s="57">
        <f t="shared" si="36"/>
        <v>0.32863745643830083</v>
      </c>
      <c r="AO34" s="57">
        <f t="shared" si="36"/>
        <v>0.30352120625513601</v>
      </c>
      <c r="AP34" s="57">
        <f t="shared" si="36"/>
        <v>0.33108936092487629</v>
      </c>
      <c r="AQ34" s="57">
        <f t="shared" si="36"/>
        <v>0.33394860397424864</v>
      </c>
      <c r="AR34" s="57">
        <f t="shared" si="36"/>
        <v>0.38787880050258228</v>
      </c>
      <c r="AS34" s="57">
        <f t="shared" si="36"/>
        <v>0.2938764771461167</v>
      </c>
      <c r="AT34" s="57">
        <f t="shared" si="36"/>
        <v>0.30393687611863451</v>
      </c>
      <c r="AU34" s="57">
        <f t="shared" si="36"/>
        <v>0.30369644179217842</v>
      </c>
      <c r="AV34" s="57">
        <f t="shared" si="36"/>
        <v>0.3495644445035696</v>
      </c>
      <c r="AW34" s="57">
        <f t="shared" si="36"/>
        <v>0.2810558633080103</v>
      </c>
      <c r="AX34" s="57">
        <f t="shared" si="36"/>
        <v>0.29009253810757302</v>
      </c>
      <c r="AY34" s="57">
        <f t="shared" si="36"/>
        <v>0.31043555680936985</v>
      </c>
      <c r="AZ34" s="57">
        <f t="shared" si="36"/>
        <v>0.27027224208635309</v>
      </c>
      <c r="BA34" s="57">
        <f t="shared" si="36"/>
        <v>0.29318645165763368</v>
      </c>
      <c r="BB34" s="57">
        <f t="shared" si="36"/>
        <v>0.29391631276258762</v>
      </c>
      <c r="BC34" s="57">
        <f t="shared" si="36"/>
        <v>0.31015041679766614</v>
      </c>
      <c r="BD34" s="57">
        <f t="shared" si="36"/>
        <v>0.33101210681053406</v>
      </c>
      <c r="BE34" s="57">
        <f t="shared" si="36"/>
        <v>0.29640489282244359</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98165360</v>
      </c>
      <c r="C35" s="26">
        <f t="shared" ref="C35:BN35" si="38">C23+C68</f>
        <v>77348277</v>
      </c>
      <c r="D35" s="26">
        <f t="shared" si="38"/>
        <v>91806513</v>
      </c>
      <c r="E35" s="26">
        <f t="shared" si="38"/>
        <v>931389654</v>
      </c>
      <c r="F35" s="26">
        <f t="shared" si="38"/>
        <v>382198398</v>
      </c>
      <c r="G35" s="26">
        <f t="shared" si="38"/>
        <v>256127386</v>
      </c>
      <c r="H35" s="26">
        <f t="shared" si="38"/>
        <v>181483513</v>
      </c>
      <c r="I35" s="26">
        <f t="shared" si="38"/>
        <v>562372932</v>
      </c>
      <c r="J35" s="26">
        <f t="shared" si="38"/>
        <v>363209162</v>
      </c>
      <c r="K35" s="26">
        <f t="shared" si="38"/>
        <v>244828048</v>
      </c>
      <c r="L35" s="26">
        <f t="shared" si="38"/>
        <v>96466366</v>
      </c>
      <c r="M35" s="26">
        <f t="shared" si="38"/>
        <v>432723290</v>
      </c>
      <c r="N35" s="26">
        <f t="shared" si="38"/>
        <v>128556264</v>
      </c>
      <c r="O35" s="26">
        <f t="shared" si="38"/>
        <v>109413545</v>
      </c>
      <c r="P35" s="26">
        <f t="shared" si="38"/>
        <v>74573846</v>
      </c>
      <c r="Q35" s="26">
        <f t="shared" si="38"/>
        <v>709159174</v>
      </c>
      <c r="R35" s="26">
        <f t="shared" si="38"/>
        <v>344337475</v>
      </c>
      <c r="S35" s="26">
        <f t="shared" si="38"/>
        <v>237288033</v>
      </c>
      <c r="T35" s="26">
        <f t="shared" si="38"/>
        <v>116212804</v>
      </c>
      <c r="U35" s="26">
        <f t="shared" si="38"/>
        <v>855948641</v>
      </c>
      <c r="V35" s="26">
        <f t="shared" si="38"/>
        <v>523175517</v>
      </c>
      <c r="W35" s="26">
        <f t="shared" si="38"/>
        <v>365090480</v>
      </c>
      <c r="X35" s="26">
        <f t="shared" si="38"/>
        <v>196532605</v>
      </c>
      <c r="Y35" s="26">
        <f t="shared" si="38"/>
        <v>953388425</v>
      </c>
      <c r="Z35" s="26">
        <f t="shared" si="38"/>
        <v>620896107</v>
      </c>
      <c r="AA35" s="26">
        <f t="shared" si="38"/>
        <v>422701666</v>
      </c>
      <c r="AB35" s="26">
        <f t="shared" si="38"/>
        <v>197596742</v>
      </c>
      <c r="AC35" s="26">
        <f t="shared" si="38"/>
        <v>1192776828</v>
      </c>
      <c r="AD35" s="26">
        <f t="shared" si="38"/>
        <v>877775193</v>
      </c>
      <c r="AE35" s="26">
        <f t="shared" si="38"/>
        <v>543792496</v>
      </c>
      <c r="AF35" s="26">
        <f t="shared" si="38"/>
        <v>270847135</v>
      </c>
      <c r="AG35" s="26">
        <f t="shared" si="38"/>
        <v>1141795664</v>
      </c>
      <c r="AH35" s="26">
        <f t="shared" si="38"/>
        <v>612029194</v>
      </c>
      <c r="AI35" s="26">
        <f t="shared" si="38"/>
        <v>306164570</v>
      </c>
      <c r="AJ35" s="26">
        <f t="shared" si="38"/>
        <v>159164381</v>
      </c>
      <c r="AK35" s="26">
        <f t="shared" si="38"/>
        <v>559983568</v>
      </c>
      <c r="AL35" s="26">
        <f t="shared" si="38"/>
        <v>555284267</v>
      </c>
      <c r="AM35" s="26">
        <f t="shared" si="38"/>
        <v>356493617</v>
      </c>
      <c r="AN35" s="26">
        <f t="shared" si="38"/>
        <v>179200369</v>
      </c>
      <c r="AO35" s="26">
        <f t="shared" si="38"/>
        <v>240477430</v>
      </c>
      <c r="AP35" s="26">
        <f t="shared" si="38"/>
        <v>392684496</v>
      </c>
      <c r="AQ35" s="26">
        <f t="shared" si="38"/>
        <v>208018406</v>
      </c>
      <c r="AR35" s="26">
        <f t="shared" si="38"/>
        <v>61464033</v>
      </c>
      <c r="AS35" s="26">
        <f t="shared" si="38"/>
        <v>32942116</v>
      </c>
      <c r="AT35" s="26">
        <f t="shared" si="38"/>
        <v>-56005470</v>
      </c>
      <c r="AU35" s="26">
        <f t="shared" si="38"/>
        <v>-41977522</v>
      </c>
      <c r="AV35" s="26">
        <f t="shared" si="38"/>
        <v>-19268665</v>
      </c>
      <c r="AW35" s="26">
        <f t="shared" si="38"/>
        <v>274039873</v>
      </c>
      <c r="AX35" s="26">
        <f t="shared" si="38"/>
        <v>245748904</v>
      </c>
      <c r="AY35" s="26">
        <f t="shared" si="38"/>
        <v>213785513</v>
      </c>
      <c r="AZ35" s="26">
        <f t="shared" si="38"/>
        <v>116544574</v>
      </c>
      <c r="BA35" s="26">
        <f t="shared" si="38"/>
        <v>438288758</v>
      </c>
      <c r="BB35" s="26">
        <f t="shared" si="38"/>
        <v>272696658</v>
      </c>
      <c r="BC35" s="26">
        <f t="shared" si="38"/>
        <v>182137799</v>
      </c>
      <c r="BD35" s="26">
        <f t="shared" si="38"/>
        <v>-3448628</v>
      </c>
      <c r="BE35" s="26">
        <f t="shared" si="38"/>
        <v>-4482530</v>
      </c>
      <c r="BF35" s="26">
        <f t="shared" si="38"/>
        <v>0</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21822120.834393505</v>
      </c>
      <c r="C36" s="26">
        <f t="shared" ref="C36:BN36" si="40">C35*C41</f>
        <v>17068983.214533802</v>
      </c>
      <c r="D36" s="26">
        <f t="shared" si="40"/>
        <v>19435697.030834321</v>
      </c>
      <c r="E36" s="26">
        <f t="shared" si="40"/>
        <v>209005860.81405947</v>
      </c>
      <c r="F36" s="26">
        <f t="shared" si="40"/>
        <v>83997073.999350265</v>
      </c>
      <c r="G36" s="26">
        <f t="shared" si="40"/>
        <v>55825095.842786863</v>
      </c>
      <c r="H36" s="26">
        <f t="shared" si="40"/>
        <v>39236672.256803736</v>
      </c>
      <c r="I36" s="26">
        <f t="shared" si="40"/>
        <v>111352626.64311689</v>
      </c>
      <c r="J36" s="26">
        <f t="shared" si="40"/>
        <v>66722450.646151513</v>
      </c>
      <c r="K36" s="26">
        <f t="shared" si="40"/>
        <v>45761783.105389565</v>
      </c>
      <c r="L36" s="26">
        <f t="shared" si="40"/>
        <v>20097878.202435847</v>
      </c>
      <c r="M36" s="26">
        <f t="shared" si="40"/>
        <v>98919856.036793545</v>
      </c>
      <c r="N36" s="26">
        <f t="shared" si="40"/>
        <v>29834966.609982662</v>
      </c>
      <c r="O36" s="26">
        <f t="shared" si="40"/>
        <v>25708667.735057779</v>
      </c>
      <c r="P36" s="26">
        <f t="shared" si="40"/>
        <v>17117713.070309054</v>
      </c>
      <c r="Q36" s="26">
        <f t="shared" si="40"/>
        <v>157156610.00233603</v>
      </c>
      <c r="R36" s="26">
        <f t="shared" si="40"/>
        <v>77696180.593562782</v>
      </c>
      <c r="S36" s="26">
        <f t="shared" si="40"/>
        <v>52362979.399458669</v>
      </c>
      <c r="T36" s="26">
        <f t="shared" si="40"/>
        <v>25684258.849273425</v>
      </c>
      <c r="U36" s="26">
        <f t="shared" si="40"/>
        <v>180875647.29116565</v>
      </c>
      <c r="V36" s="26">
        <f t="shared" si="40"/>
        <v>110421228.62021028</v>
      </c>
      <c r="W36" s="26">
        <f t="shared" si="40"/>
        <v>76655899.69567892</v>
      </c>
      <c r="X36" s="26">
        <f t="shared" si="40"/>
        <v>43150698.607902847</v>
      </c>
      <c r="Y36" s="26">
        <f t="shared" si="40"/>
        <v>208713021.11057729</v>
      </c>
      <c r="Z36" s="26">
        <f t="shared" si="40"/>
        <v>136384745.71813956</v>
      </c>
      <c r="AA36" s="26">
        <f t="shared" si="40"/>
        <v>91996269.127417237</v>
      </c>
      <c r="AB36" s="26">
        <f t="shared" si="40"/>
        <v>44806782.224704608</v>
      </c>
      <c r="AC36" s="26">
        <f t="shared" si="40"/>
        <v>279273573.48078084</v>
      </c>
      <c r="AD36" s="26">
        <f t="shared" si="40"/>
        <v>204030105.79777446</v>
      </c>
      <c r="AE36" s="26">
        <f t="shared" si="40"/>
        <v>129558747.35966989</v>
      </c>
      <c r="AF36" s="26">
        <f t="shared" si="40"/>
        <v>60116151.706906065</v>
      </c>
      <c r="AG36" s="26">
        <f t="shared" si="40"/>
        <v>274947762.88292623</v>
      </c>
      <c r="AH36" s="26">
        <f t="shared" si="40"/>
        <v>152336375.68175885</v>
      </c>
      <c r="AI36" s="26">
        <f t="shared" si="40"/>
        <v>76651972.824313611</v>
      </c>
      <c r="AJ36" s="26">
        <f t="shared" si="40"/>
        <v>39813612.972610041</v>
      </c>
      <c r="AK36" s="26">
        <f t="shared" si="40"/>
        <v>140927356.45405421</v>
      </c>
      <c r="AL36" s="26">
        <f t="shared" si="40"/>
        <v>139484034.02289081</v>
      </c>
      <c r="AM36" s="26">
        <f t="shared" si="40"/>
        <v>89737559.272110417</v>
      </c>
      <c r="AN36" s="26">
        <f t="shared" si="40"/>
        <v>44862308.183962367</v>
      </c>
      <c r="AO36" s="26">
        <f t="shared" si="40"/>
        <v>60412173.311083116</v>
      </c>
      <c r="AP36" s="26">
        <f t="shared" si="40"/>
        <v>98912006.711262763</v>
      </c>
      <c r="AQ36" s="26">
        <f t="shared" si="40"/>
        <v>52059933.177133247</v>
      </c>
      <c r="AR36" s="26">
        <f t="shared" si="40"/>
        <v>15366010.604460098</v>
      </c>
      <c r="AS36" s="26">
        <f t="shared" si="40"/>
        <v>11064880.939987155</v>
      </c>
      <c r="AT36" s="26">
        <f t="shared" si="40"/>
        <v>-19025404.328805048</v>
      </c>
      <c r="AU36" s="26">
        <f t="shared" si="40"/>
        <v>-13894377.160454232</v>
      </c>
      <c r="AV36" s="26">
        <f t="shared" si="40"/>
        <v>-6373010.0704544727</v>
      </c>
      <c r="AW36" s="26">
        <f t="shared" si="40"/>
        <v>90805101.914899364</v>
      </c>
      <c r="AX36" s="26">
        <f t="shared" si="40"/>
        <v>80616239.895996898</v>
      </c>
      <c r="AY36" s="26">
        <f t="shared" si="40"/>
        <v>68600222.041844711</v>
      </c>
      <c r="AZ36" s="26">
        <f t="shared" si="40"/>
        <v>34389305.044027433</v>
      </c>
      <c r="BA36" s="26">
        <f t="shared" si="40"/>
        <v>149411299.77313319</v>
      </c>
      <c r="BB36" s="26">
        <f t="shared" si="40"/>
        <v>94281480.759938404</v>
      </c>
      <c r="BC36" s="26">
        <f t="shared" si="40"/>
        <v>62243854.720824018</v>
      </c>
      <c r="BD36" s="26">
        <f t="shared" si="40"/>
        <v>-1225839.3994788786</v>
      </c>
      <c r="BE36" s="26">
        <f t="shared" si="40"/>
        <v>-1506962.2040720559</v>
      </c>
      <c r="BF36" s="26" t="e">
        <f t="shared" si="40"/>
        <v>#DIV/0!</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76343239.165606499</v>
      </c>
      <c r="C37" s="26">
        <f t="shared" ref="C37:BN37" si="42">C35-C36</f>
        <v>60279293.785466194</v>
      </c>
      <c r="D37" s="26">
        <f t="shared" si="42"/>
        <v>72370815.969165683</v>
      </c>
      <c r="E37" s="26">
        <f t="shared" si="42"/>
        <v>722383793.1859405</v>
      </c>
      <c r="F37" s="26">
        <f t="shared" si="42"/>
        <v>298201324.00064975</v>
      </c>
      <c r="G37" s="26">
        <f t="shared" si="42"/>
        <v>200302290.15721315</v>
      </c>
      <c r="H37" s="26">
        <f t="shared" si="42"/>
        <v>142246840.74319625</v>
      </c>
      <c r="I37" s="26">
        <f t="shared" si="42"/>
        <v>451020305.35688311</v>
      </c>
      <c r="J37" s="26">
        <f t="shared" si="42"/>
        <v>296486711.35384846</v>
      </c>
      <c r="K37" s="26">
        <f t="shared" si="42"/>
        <v>199066264.89461043</v>
      </c>
      <c r="L37" s="26">
        <f t="shared" si="42"/>
        <v>76368487.797564149</v>
      </c>
      <c r="M37" s="26">
        <f t="shared" si="42"/>
        <v>333803433.96320647</v>
      </c>
      <c r="N37" s="26">
        <f t="shared" si="42"/>
        <v>98721297.390017331</v>
      </c>
      <c r="O37" s="26">
        <f t="shared" si="42"/>
        <v>83704877.264942229</v>
      </c>
      <c r="P37" s="26">
        <f t="shared" si="42"/>
        <v>57456132.929690942</v>
      </c>
      <c r="Q37" s="26">
        <f t="shared" si="42"/>
        <v>552002563.99766397</v>
      </c>
      <c r="R37" s="26">
        <f t="shared" si="42"/>
        <v>266641294.40643722</v>
      </c>
      <c r="S37" s="26">
        <f t="shared" si="42"/>
        <v>184925053.60054132</v>
      </c>
      <c r="T37" s="26">
        <f t="shared" si="42"/>
        <v>90528545.150726572</v>
      </c>
      <c r="U37" s="26">
        <f t="shared" si="42"/>
        <v>675072993.70883441</v>
      </c>
      <c r="V37" s="26">
        <f t="shared" si="42"/>
        <v>412754288.37978971</v>
      </c>
      <c r="W37" s="26">
        <f t="shared" si="42"/>
        <v>288434580.30432105</v>
      </c>
      <c r="X37" s="26">
        <f t="shared" si="42"/>
        <v>153381906.39209715</v>
      </c>
      <c r="Y37" s="26">
        <f t="shared" si="42"/>
        <v>744675403.88942266</v>
      </c>
      <c r="Z37" s="26">
        <f t="shared" si="42"/>
        <v>484511361.28186047</v>
      </c>
      <c r="AA37" s="26">
        <f t="shared" si="42"/>
        <v>330705396.87258279</v>
      </c>
      <c r="AB37" s="26">
        <f t="shared" si="42"/>
        <v>152789959.77529538</v>
      </c>
      <c r="AC37" s="26">
        <f t="shared" si="42"/>
        <v>913503254.51921916</v>
      </c>
      <c r="AD37" s="26">
        <f t="shared" si="42"/>
        <v>673745087.20222557</v>
      </c>
      <c r="AE37" s="26">
        <f t="shared" si="42"/>
        <v>414233748.64033008</v>
      </c>
      <c r="AF37" s="26">
        <f t="shared" si="42"/>
        <v>210730983.29309392</v>
      </c>
      <c r="AG37" s="26">
        <f t="shared" si="42"/>
        <v>866847901.11707377</v>
      </c>
      <c r="AH37" s="26">
        <f t="shared" si="42"/>
        <v>459692818.31824112</v>
      </c>
      <c r="AI37" s="26">
        <f t="shared" si="42"/>
        <v>229512597.17568639</v>
      </c>
      <c r="AJ37" s="26">
        <f t="shared" si="42"/>
        <v>119350768.02738996</v>
      </c>
      <c r="AK37" s="26">
        <f t="shared" si="42"/>
        <v>419056211.54594576</v>
      </c>
      <c r="AL37" s="26">
        <f t="shared" si="42"/>
        <v>415800232.97710919</v>
      </c>
      <c r="AM37" s="26">
        <f t="shared" si="42"/>
        <v>266756057.7278896</v>
      </c>
      <c r="AN37" s="26">
        <f t="shared" si="42"/>
        <v>134338060.81603763</v>
      </c>
      <c r="AO37" s="26">
        <f t="shared" si="42"/>
        <v>180065256.68891689</v>
      </c>
      <c r="AP37" s="26">
        <f t="shared" si="42"/>
        <v>293772489.28873724</v>
      </c>
      <c r="AQ37" s="26">
        <f t="shared" si="42"/>
        <v>155958472.82286674</v>
      </c>
      <c r="AR37" s="26">
        <f t="shared" si="42"/>
        <v>46098022.395539902</v>
      </c>
      <c r="AS37" s="26">
        <f t="shared" si="42"/>
        <v>21877235.060012847</v>
      </c>
      <c r="AT37" s="26">
        <f t="shared" si="42"/>
        <v>-36980065.671194956</v>
      </c>
      <c r="AU37" s="26">
        <f t="shared" si="42"/>
        <v>-28083144.839545768</v>
      </c>
      <c r="AV37" s="26">
        <f t="shared" si="42"/>
        <v>-12895654.929545527</v>
      </c>
      <c r="AW37" s="26">
        <f t="shared" si="42"/>
        <v>183234771.08510065</v>
      </c>
      <c r="AX37" s="26">
        <f t="shared" si="42"/>
        <v>165132664.1040031</v>
      </c>
      <c r="AY37" s="26">
        <f t="shared" si="42"/>
        <v>145185290.95815527</v>
      </c>
      <c r="AZ37" s="26">
        <f t="shared" si="42"/>
        <v>82155268.955972567</v>
      </c>
      <c r="BA37" s="26">
        <f t="shared" si="42"/>
        <v>288877458.22686684</v>
      </c>
      <c r="BB37" s="26">
        <f t="shared" si="42"/>
        <v>178415177.24006158</v>
      </c>
      <c r="BC37" s="26">
        <f t="shared" si="42"/>
        <v>119893944.27917598</v>
      </c>
      <c r="BD37" s="26">
        <f t="shared" si="42"/>
        <v>-2222788.6005211212</v>
      </c>
      <c r="BE37" s="26">
        <f t="shared" si="42"/>
        <v>-2975567.7959279441</v>
      </c>
      <c r="BF37" s="26" t="e">
        <f t="shared" si="42"/>
        <v>#DIV/0!</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15479790988</v>
      </c>
      <c r="C38" s="28">
        <f t="shared" ref="C38:BN38" si="44">C31-C35</f>
        <v>10412226452</v>
      </c>
      <c r="D38" s="28">
        <f t="shared" si="44"/>
        <v>5147646065</v>
      </c>
      <c r="E38" s="28">
        <f t="shared" si="44"/>
        <v>16485546157</v>
      </c>
      <c r="F38" s="28">
        <f t="shared" si="44"/>
        <v>14266268840</v>
      </c>
      <c r="G38" s="28">
        <f t="shared" si="44"/>
        <v>9654259604</v>
      </c>
      <c r="H38" s="28">
        <f t="shared" si="44"/>
        <v>3974905136</v>
      </c>
      <c r="I38" s="28">
        <f t="shared" si="44"/>
        <v>8638082688</v>
      </c>
      <c r="J38" s="28">
        <f t="shared" si="44"/>
        <v>6214183287</v>
      </c>
      <c r="K38" s="28">
        <f t="shared" si="44"/>
        <v>4477833457</v>
      </c>
      <c r="L38" s="28">
        <f t="shared" si="44"/>
        <v>2583493063</v>
      </c>
      <c r="M38" s="28">
        <f t="shared" si="44"/>
        <v>16187996592</v>
      </c>
      <c r="N38" s="28">
        <f t="shared" si="44"/>
        <v>14576344052</v>
      </c>
      <c r="O38" s="28">
        <f t="shared" si="44"/>
        <v>9599617738</v>
      </c>
      <c r="P38" s="28">
        <f t="shared" si="44"/>
        <v>4824510970</v>
      </c>
      <c r="Q38" s="28">
        <f t="shared" si="44"/>
        <v>17509450331</v>
      </c>
      <c r="R38" s="28">
        <f t="shared" si="44"/>
        <v>14081902972</v>
      </c>
      <c r="S38" s="28">
        <f t="shared" si="44"/>
        <v>9223313055</v>
      </c>
      <c r="T38" s="28">
        <f t="shared" si="44"/>
        <v>4528319469</v>
      </c>
      <c r="U38" s="28">
        <f t="shared" si="44"/>
        <v>15974991067</v>
      </c>
      <c r="V38" s="28">
        <f t="shared" si="44"/>
        <v>12203701364</v>
      </c>
      <c r="W38" s="28">
        <f t="shared" si="44"/>
        <v>8202351522</v>
      </c>
      <c r="X38" s="28">
        <f t="shared" si="44"/>
        <v>4369386219</v>
      </c>
      <c r="Y38" s="28">
        <f t="shared" si="44"/>
        <v>14609289012</v>
      </c>
      <c r="Z38" s="28">
        <f t="shared" si="44"/>
        <v>11217229187</v>
      </c>
      <c r="AA38" s="28">
        <f t="shared" si="44"/>
        <v>7752882123</v>
      </c>
      <c r="AB38" s="28">
        <f t="shared" si="44"/>
        <v>4419493333</v>
      </c>
      <c r="AC38" s="28">
        <f t="shared" si="44"/>
        <v>15154852990</v>
      </c>
      <c r="AD38" s="28">
        <f t="shared" si="44"/>
        <v>11988894517</v>
      </c>
      <c r="AE38" s="28">
        <f t="shared" si="44"/>
        <v>8119773632</v>
      </c>
      <c r="AF38" s="28">
        <f t="shared" si="44"/>
        <v>4392433792</v>
      </c>
      <c r="AG38" s="28">
        <f t="shared" si="44"/>
        <v>13601313894</v>
      </c>
      <c r="AH38" s="28">
        <f t="shared" si="44"/>
        <v>10980696476</v>
      </c>
      <c r="AI38" s="28">
        <f t="shared" si="44"/>
        <v>6194954539</v>
      </c>
      <c r="AJ38" s="28">
        <f t="shared" si="44"/>
        <v>3064653617</v>
      </c>
      <c r="AK38" s="28">
        <f t="shared" si="44"/>
        <v>8724296184</v>
      </c>
      <c r="AL38" s="28">
        <f t="shared" si="44"/>
        <v>6138260551</v>
      </c>
      <c r="AM38" s="28">
        <f t="shared" si="44"/>
        <v>3789221312</v>
      </c>
      <c r="AN38" s="28">
        <f t="shared" si="44"/>
        <v>1951255774</v>
      </c>
      <c r="AO38" s="28">
        <f t="shared" si="44"/>
        <v>8918603294</v>
      </c>
      <c r="AP38" s="28">
        <f t="shared" si="44"/>
        <v>7442464170</v>
      </c>
      <c r="AQ38" s="28">
        <f t="shared" si="44"/>
        <v>4962018137</v>
      </c>
      <c r="AR38" s="28">
        <f t="shared" si="44"/>
        <v>2786747385</v>
      </c>
      <c r="AS38" s="28">
        <f t="shared" si="44"/>
        <v>9197949351</v>
      </c>
      <c r="AT38" s="28">
        <f t="shared" si="44"/>
        <v>7064242814</v>
      </c>
      <c r="AU38" s="28">
        <f t="shared" si="44"/>
        <v>4420963617</v>
      </c>
      <c r="AV38" s="28">
        <f t="shared" si="44"/>
        <v>2369391379</v>
      </c>
      <c r="AW38" s="28">
        <f t="shared" si="44"/>
        <v>6512308633</v>
      </c>
      <c r="AX38" s="28">
        <f t="shared" si="44"/>
        <v>4832850331</v>
      </c>
      <c r="AY38" s="28">
        <f t="shared" si="44"/>
        <v>3334401436</v>
      </c>
      <c r="AZ38" s="28">
        <f t="shared" si="44"/>
        <v>1233373298</v>
      </c>
      <c r="BA38" s="28">
        <f t="shared" si="44"/>
        <v>5391013897</v>
      </c>
      <c r="BB38" s="28">
        <f t="shared" si="44"/>
        <v>4057149638</v>
      </c>
      <c r="BC38" s="28">
        <f t="shared" si="44"/>
        <v>2874558265</v>
      </c>
      <c r="BD38" s="28">
        <f t="shared" si="44"/>
        <v>3702056852</v>
      </c>
      <c r="BE38" s="28">
        <f t="shared" si="44"/>
        <v>2298923525</v>
      </c>
      <c r="BF38" s="28">
        <f t="shared" si="44"/>
        <v>0</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27.223645044089466</v>
      </c>
      <c r="C39" s="57">
        <f t="shared" ref="C39:D39" si="46">C38/C4*100</f>
        <v>27.964971306022569</v>
      </c>
      <c r="D39" s="57">
        <f t="shared" si="46"/>
        <v>28.640553087230558</v>
      </c>
      <c r="E39" s="57">
        <f>E38/E4</f>
        <v>0.29630811291360482</v>
      </c>
      <c r="F39" s="57">
        <f t="shared" ref="F39:BQ39" si="47">F38/F4</f>
        <v>0.34178431160356254</v>
      </c>
      <c r="G39" s="57">
        <f t="shared" si="47"/>
        <v>0.35290463031885272</v>
      </c>
      <c r="H39" s="57">
        <f t="shared" si="47"/>
        <v>0.31923908468440787</v>
      </c>
      <c r="I39" s="57">
        <f t="shared" si="47"/>
        <v>0.19357100099115099</v>
      </c>
      <c r="J39" s="57">
        <f t="shared" si="47"/>
        <v>0.19671190902738597</v>
      </c>
      <c r="K39" s="57">
        <f t="shared" si="47"/>
        <v>0.21096781381578406</v>
      </c>
      <c r="L39" s="57">
        <f t="shared" si="47"/>
        <v>0.23248088727244942</v>
      </c>
      <c r="M39" s="57">
        <f t="shared" si="47"/>
        <v>0.30815867840628169</v>
      </c>
      <c r="N39" s="57">
        <f t="shared" si="47"/>
        <v>0.3607515602532137</v>
      </c>
      <c r="O39" s="57">
        <f t="shared" si="47"/>
        <v>0.34820828491227096</v>
      </c>
      <c r="P39" s="57">
        <f t="shared" si="47"/>
        <v>0.3476091775122967</v>
      </c>
      <c r="Q39" s="57">
        <f t="shared" si="47"/>
        <v>0.32442492809728357</v>
      </c>
      <c r="R39" s="57">
        <f t="shared" si="47"/>
        <v>0.34697343463574876</v>
      </c>
      <c r="S39" s="57">
        <f t="shared" si="47"/>
        <v>0.34961338413452536</v>
      </c>
      <c r="T39" s="57">
        <f t="shared" si="47"/>
        <v>0.35035566261790629</v>
      </c>
      <c r="U39" s="57">
        <f t="shared" si="47"/>
        <v>0.31114411057640406</v>
      </c>
      <c r="V39" s="57">
        <f t="shared" si="47"/>
        <v>0.32373239388511543</v>
      </c>
      <c r="W39" s="57">
        <f t="shared" si="47"/>
        <v>0.33722791220005627</v>
      </c>
      <c r="X39" s="57">
        <f t="shared" si="47"/>
        <v>0.36460872605370398</v>
      </c>
      <c r="Y39" s="57">
        <f t="shared" si="47"/>
        <v>0.3178527760432896</v>
      </c>
      <c r="Z39" s="57">
        <f t="shared" si="47"/>
        <v>0.33505467501524461</v>
      </c>
      <c r="AA39" s="57">
        <f t="shared" si="47"/>
        <v>0.34836514471922625</v>
      </c>
      <c r="AB39" s="57">
        <f t="shared" si="47"/>
        <v>0.39495025317247545</v>
      </c>
      <c r="AC39" s="57">
        <f t="shared" si="47"/>
        <v>0.33672184411301054</v>
      </c>
      <c r="AD39" s="57">
        <f t="shared" si="47"/>
        <v>0.3603460424179773</v>
      </c>
      <c r="AE39" s="57">
        <f t="shared" si="47"/>
        <v>0.37157719533146433</v>
      </c>
      <c r="AF39" s="57">
        <f t="shared" si="47"/>
        <v>0.40318347399746296</v>
      </c>
      <c r="AG39" s="57">
        <f t="shared" si="47"/>
        <v>0.32373473339531855</v>
      </c>
      <c r="AH39" s="57">
        <f t="shared" si="47"/>
        <v>0.35435344311903871</v>
      </c>
      <c r="AI39" s="57">
        <f t="shared" si="47"/>
        <v>0.44184388508168482</v>
      </c>
      <c r="AJ39" s="57">
        <f t="shared" si="47"/>
        <v>0.4654108206336795</v>
      </c>
      <c r="AK39" s="57">
        <f t="shared" si="47"/>
        <v>0.37729717099004634</v>
      </c>
      <c r="AL39" s="57">
        <f t="shared" si="47"/>
        <v>0.37777509459433645</v>
      </c>
      <c r="AM39" s="57">
        <f t="shared" si="47"/>
        <v>0.3728763194045665</v>
      </c>
      <c r="AN39" s="57">
        <f t="shared" si="47"/>
        <v>0.40151196168653225</v>
      </c>
      <c r="AO39" s="57">
        <f t="shared" si="47"/>
        <v>0.39471024311153458</v>
      </c>
      <c r="AP39" s="57">
        <f t="shared" si="47"/>
        <v>0.42038515191159925</v>
      </c>
      <c r="AQ39" s="57">
        <f t="shared" si="47"/>
        <v>0.42750102186435518</v>
      </c>
      <c r="AR39" s="57">
        <f t="shared" si="47"/>
        <v>0.50601126090310167</v>
      </c>
      <c r="AS39" s="57">
        <f t="shared" si="47"/>
        <v>0.44093162932263674</v>
      </c>
      <c r="AT39" s="57">
        <f t="shared" si="47"/>
        <v>0.46398397441616512</v>
      </c>
      <c r="AU39" s="57">
        <f t="shared" si="47"/>
        <v>0.45830451565773173</v>
      </c>
      <c r="AV39" s="57">
        <f t="shared" si="47"/>
        <v>0.52660107248368249</v>
      </c>
      <c r="AW39" s="57">
        <f t="shared" si="47"/>
        <v>0.40336418420882597</v>
      </c>
      <c r="AX39" s="57">
        <f t="shared" si="47"/>
        <v>0.41082282314261304</v>
      </c>
      <c r="AY39" s="57">
        <f t="shared" si="47"/>
        <v>0.42957450867180036</v>
      </c>
      <c r="AZ39" s="57">
        <f t="shared" si="47"/>
        <v>0.35030414499425977</v>
      </c>
      <c r="BA39" s="57">
        <f t="shared" si="47"/>
        <v>0.41138118186490413</v>
      </c>
      <c r="BB39" s="57">
        <f t="shared" si="47"/>
        <v>0.42094005807767504</v>
      </c>
      <c r="BC39" s="57">
        <f t="shared" si="47"/>
        <v>0.44309215772369731</v>
      </c>
      <c r="BD39" s="57">
        <f t="shared" si="47"/>
        <v>0.51403988818237312</v>
      </c>
      <c r="BE39" s="57">
        <f t="shared" si="47"/>
        <v>0.44739008412437076</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3441151435</v>
      </c>
      <c r="C40" s="26">
        <f t="shared" ref="C40:BN40" si="49">C60</f>
        <v>2297738559</v>
      </c>
      <c r="D40" s="26">
        <f t="shared" si="49"/>
        <v>1089771151</v>
      </c>
      <c r="E40" s="26">
        <f t="shared" si="49"/>
        <v>3699392355</v>
      </c>
      <c r="F40" s="26">
        <f t="shared" si="49"/>
        <v>3135347625</v>
      </c>
      <c r="G40" s="26">
        <f t="shared" si="49"/>
        <v>2104226245</v>
      </c>
      <c r="H40" s="26">
        <f t="shared" si="49"/>
        <v>859373105</v>
      </c>
      <c r="I40" s="26">
        <f t="shared" si="49"/>
        <v>1710383167</v>
      </c>
      <c r="J40" s="26">
        <f t="shared" si="49"/>
        <v>1141561340</v>
      </c>
      <c r="K40" s="26">
        <f t="shared" si="49"/>
        <v>836969641</v>
      </c>
      <c r="L40" s="26">
        <f t="shared" si="49"/>
        <v>538246967</v>
      </c>
      <c r="M40" s="26">
        <f t="shared" si="49"/>
        <v>3700550281</v>
      </c>
      <c r="N40" s="26">
        <f t="shared" si="49"/>
        <v>3382835846</v>
      </c>
      <c r="O40" s="26">
        <f t="shared" si="49"/>
        <v>2255601743</v>
      </c>
      <c r="P40" s="26">
        <f t="shared" si="49"/>
        <v>1107420348</v>
      </c>
      <c r="Q40" s="26">
        <f t="shared" si="49"/>
        <v>3880265472</v>
      </c>
      <c r="R40" s="26">
        <f t="shared" si="49"/>
        <v>3177435382</v>
      </c>
      <c r="S40" s="26">
        <f t="shared" si="49"/>
        <v>2035332947</v>
      </c>
      <c r="T40" s="26">
        <f t="shared" si="49"/>
        <v>1000806498</v>
      </c>
      <c r="U40" s="26">
        <f t="shared" si="49"/>
        <v>3375771292</v>
      </c>
      <c r="V40" s="26">
        <f t="shared" si="49"/>
        <v>2575708638</v>
      </c>
      <c r="W40" s="26">
        <f t="shared" si="49"/>
        <v>1722199482</v>
      </c>
      <c r="X40" s="26">
        <f t="shared" si="49"/>
        <v>959342435</v>
      </c>
      <c r="Y40" s="26">
        <f t="shared" si="49"/>
        <v>3198223060</v>
      </c>
      <c r="Z40" s="26">
        <f t="shared" si="49"/>
        <v>2463953201</v>
      </c>
      <c r="AA40" s="26">
        <f t="shared" si="49"/>
        <v>1687327701</v>
      </c>
      <c r="AB40" s="26">
        <f t="shared" si="49"/>
        <v>1002158605</v>
      </c>
      <c r="AC40" s="26">
        <f t="shared" si="49"/>
        <v>3548316710</v>
      </c>
      <c r="AD40" s="26">
        <f t="shared" si="49"/>
        <v>2786699187</v>
      </c>
      <c r="AE40" s="26">
        <f t="shared" si="49"/>
        <v>1934538833</v>
      </c>
      <c r="AF40" s="26">
        <f t="shared" si="49"/>
        <v>974927116</v>
      </c>
      <c r="AG40" s="26">
        <f t="shared" si="49"/>
        <v>3275236494</v>
      </c>
      <c r="AH40" s="26">
        <f t="shared" si="49"/>
        <v>2733136785</v>
      </c>
      <c r="AI40" s="26">
        <f t="shared" si="49"/>
        <v>1550981183</v>
      </c>
      <c r="AJ40" s="26">
        <f t="shared" si="49"/>
        <v>766596975</v>
      </c>
      <c r="AK40" s="26">
        <f t="shared" si="49"/>
        <v>2195585850</v>
      </c>
      <c r="AL40" s="26">
        <f t="shared" si="49"/>
        <v>1541893755</v>
      </c>
      <c r="AM40" s="26">
        <f t="shared" si="49"/>
        <v>953833269</v>
      </c>
      <c r="AN40" s="26">
        <f t="shared" si="49"/>
        <v>488491393</v>
      </c>
      <c r="AO40" s="26">
        <f t="shared" si="49"/>
        <v>2240510504</v>
      </c>
      <c r="AP40" s="26">
        <f t="shared" si="49"/>
        <v>1874657832</v>
      </c>
      <c r="AQ40" s="26">
        <f t="shared" si="49"/>
        <v>1241824402</v>
      </c>
      <c r="AR40" s="26">
        <f t="shared" si="49"/>
        <v>696686953</v>
      </c>
      <c r="AS40" s="26">
        <f t="shared" si="49"/>
        <v>3089486251</v>
      </c>
      <c r="AT40" s="26">
        <f t="shared" si="49"/>
        <v>2399766948</v>
      </c>
      <c r="AU40" s="26">
        <f t="shared" si="49"/>
        <v>1463319724</v>
      </c>
      <c r="AV40" s="26">
        <f t="shared" si="49"/>
        <v>783663794</v>
      </c>
      <c r="AW40" s="26">
        <f t="shared" si="49"/>
        <v>2157900756</v>
      </c>
      <c r="AX40" s="26">
        <f t="shared" si="49"/>
        <v>1585383354</v>
      </c>
      <c r="AY40" s="26">
        <f t="shared" si="49"/>
        <v>1069954066</v>
      </c>
      <c r="AZ40" s="26">
        <f t="shared" si="49"/>
        <v>363936725</v>
      </c>
      <c r="BA40" s="26">
        <f t="shared" si="49"/>
        <v>1837780182</v>
      </c>
      <c r="BB40" s="26">
        <f t="shared" si="49"/>
        <v>1402709070</v>
      </c>
      <c r="BC40" s="26">
        <f t="shared" si="49"/>
        <v>982352856</v>
      </c>
      <c r="BD40" s="26">
        <f t="shared" si="49"/>
        <v>1315922491</v>
      </c>
      <c r="BE40" s="26">
        <f t="shared" si="49"/>
        <v>772865070</v>
      </c>
      <c r="BF40" s="26">
        <f t="shared" si="49"/>
        <v>0</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0.22229960583237818</v>
      </c>
      <c r="C41" s="57">
        <f t="shared" ref="C41:BN41" si="51">C40/C38</f>
        <v>0.22067696756236474</v>
      </c>
      <c r="D41" s="57">
        <f t="shared" si="51"/>
        <v>0.21170281274961744</v>
      </c>
      <c r="E41" s="57">
        <f t="shared" si="51"/>
        <v>0.22440217143968777</v>
      </c>
      <c r="F41" s="57">
        <f t="shared" si="51"/>
        <v>0.21977348528643037</v>
      </c>
      <c r="G41" s="57">
        <f t="shared" si="51"/>
        <v>0.21795832423318787</v>
      </c>
      <c r="H41" s="57">
        <f t="shared" si="51"/>
        <v>0.21619965146257519</v>
      </c>
      <c r="I41" s="57">
        <f t="shared" si="51"/>
        <v>0.19800495419846575</v>
      </c>
      <c r="J41" s="57">
        <f t="shared" si="51"/>
        <v>0.18370255386385742</v>
      </c>
      <c r="K41" s="57">
        <f t="shared" si="51"/>
        <v>0.18691397280343292</v>
      </c>
      <c r="L41" s="57">
        <f t="shared" si="51"/>
        <v>0.20834078275982582</v>
      </c>
      <c r="M41" s="57">
        <f t="shared" si="51"/>
        <v>0.22859840993719924</v>
      </c>
      <c r="N41" s="57">
        <f t="shared" si="51"/>
        <v>0.23207711302175568</v>
      </c>
      <c r="O41" s="57">
        <f t="shared" si="51"/>
        <v>0.23496787107170122</v>
      </c>
      <c r="P41" s="57">
        <f t="shared" si="51"/>
        <v>0.22954043526612605</v>
      </c>
      <c r="Q41" s="57">
        <f t="shared" si="51"/>
        <v>0.22160978206894918</v>
      </c>
      <c r="R41" s="57">
        <f t="shared" si="51"/>
        <v>0.22563963040491825</v>
      </c>
      <c r="S41" s="57">
        <f t="shared" si="51"/>
        <v>0.22067265144997292</v>
      </c>
      <c r="T41" s="57">
        <f t="shared" si="51"/>
        <v>0.22101057684894537</v>
      </c>
      <c r="U41" s="57">
        <f t="shared" si="51"/>
        <v>0.21131600498816103</v>
      </c>
      <c r="V41" s="57">
        <f t="shared" si="51"/>
        <v>0.21105962536891854</v>
      </c>
      <c r="W41" s="57">
        <f t="shared" si="51"/>
        <v>0.20996411545893753</v>
      </c>
      <c r="X41" s="57">
        <f t="shared" si="51"/>
        <v>0.21955999925764402</v>
      </c>
      <c r="Y41" s="57">
        <f t="shared" si="51"/>
        <v>0.21891709154175779</v>
      </c>
      <c r="Z41" s="57">
        <f t="shared" si="51"/>
        <v>0.21965791729169204</v>
      </c>
      <c r="AA41" s="57">
        <f t="shared" si="51"/>
        <v>0.21763876636203566</v>
      </c>
      <c r="AB41" s="57">
        <f t="shared" si="51"/>
        <v>0.22675870953734958</v>
      </c>
      <c r="AC41" s="57">
        <f t="shared" si="51"/>
        <v>0.23413732303054166</v>
      </c>
      <c r="AD41" s="57">
        <f t="shared" si="51"/>
        <v>0.23244004549781627</v>
      </c>
      <c r="AE41" s="57">
        <f t="shared" si="51"/>
        <v>0.23825034054841002</v>
      </c>
      <c r="AF41" s="57">
        <f t="shared" si="51"/>
        <v>0.22195601850064267</v>
      </c>
      <c r="AG41" s="57">
        <f t="shared" si="51"/>
        <v>0.2408029488566408</v>
      </c>
      <c r="AH41" s="57">
        <f t="shared" si="51"/>
        <v>0.24890377317811221</v>
      </c>
      <c r="AI41" s="57">
        <f t="shared" si="51"/>
        <v>0.25036199591714225</v>
      </c>
      <c r="AJ41" s="57">
        <f t="shared" si="51"/>
        <v>0.25014147463439096</v>
      </c>
      <c r="AK41" s="57">
        <f t="shared" si="51"/>
        <v>0.25166337819050827</v>
      </c>
      <c r="AL41" s="57">
        <f t="shared" si="51"/>
        <v>0.25119392410750729</v>
      </c>
      <c r="AM41" s="57">
        <f t="shared" si="51"/>
        <v>0.25172276583036385</v>
      </c>
      <c r="AN41" s="57">
        <f t="shared" si="51"/>
        <v>0.25034718641657688</v>
      </c>
      <c r="AO41" s="57">
        <f t="shared" si="51"/>
        <v>0.25121764363118448</v>
      </c>
      <c r="AP41" s="57">
        <f t="shared" si="51"/>
        <v>0.25188671240858657</v>
      </c>
      <c r="AQ41" s="57">
        <f t="shared" si="51"/>
        <v>0.25026599414060141</v>
      </c>
      <c r="AR41" s="57">
        <f t="shared" si="51"/>
        <v>0.25000003830630668</v>
      </c>
      <c r="AS41" s="57">
        <f t="shared" si="51"/>
        <v>0.33588859137000049</v>
      </c>
      <c r="AT41" s="57">
        <f t="shared" si="51"/>
        <v>0.33970618099991035</v>
      </c>
      <c r="AU41" s="57">
        <f t="shared" si="51"/>
        <v>0.33099564953963295</v>
      </c>
      <c r="AV41" s="57">
        <f t="shared" si="51"/>
        <v>0.33074476464531782</v>
      </c>
      <c r="AW41" s="57">
        <f t="shared" si="51"/>
        <v>0.33135726170366225</v>
      </c>
      <c r="AX41" s="57">
        <f t="shared" si="51"/>
        <v>0.32804313095124482</v>
      </c>
      <c r="AY41" s="57">
        <f t="shared" si="51"/>
        <v>0.32088339887579154</v>
      </c>
      <c r="AZ41" s="57">
        <f t="shared" si="51"/>
        <v>0.29507426955825017</v>
      </c>
      <c r="BA41" s="57">
        <f t="shared" si="51"/>
        <v>0.34089694760807254</v>
      </c>
      <c r="BB41" s="57">
        <f t="shared" si="51"/>
        <v>0.34573757321198417</v>
      </c>
      <c r="BC41" s="57">
        <f t="shared" si="51"/>
        <v>0.34174045729422708</v>
      </c>
      <c r="BD41" s="57">
        <f t="shared" si="51"/>
        <v>0.35545712656710976</v>
      </c>
      <c r="BE41" s="57">
        <f t="shared" si="51"/>
        <v>0.33618563714510685</v>
      </c>
      <c r="BF41" s="57" t="e">
        <f t="shared" si="51"/>
        <v>#DIV/0!</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12038639553</v>
      </c>
      <c r="C42" s="28">
        <f t="shared" ref="C42:BN42" si="53">C38-C40</f>
        <v>8114487893</v>
      </c>
      <c r="D42" s="28">
        <f t="shared" si="53"/>
        <v>4057874914</v>
      </c>
      <c r="E42" s="28">
        <f t="shared" si="53"/>
        <v>12786153802</v>
      </c>
      <c r="F42" s="28">
        <f t="shared" si="53"/>
        <v>11130921215</v>
      </c>
      <c r="G42" s="28">
        <f t="shared" si="53"/>
        <v>7550033359</v>
      </c>
      <c r="H42" s="28">
        <f t="shared" si="53"/>
        <v>3115532031</v>
      </c>
      <c r="I42" s="28">
        <f t="shared" si="53"/>
        <v>6927699521</v>
      </c>
      <c r="J42" s="28">
        <f t="shared" si="53"/>
        <v>5072621947</v>
      </c>
      <c r="K42" s="28">
        <f t="shared" si="53"/>
        <v>3640863816</v>
      </c>
      <c r="L42" s="28">
        <f t="shared" si="53"/>
        <v>2045246096</v>
      </c>
      <c r="M42" s="28">
        <f t="shared" si="53"/>
        <v>12487446311</v>
      </c>
      <c r="N42" s="28">
        <f t="shared" si="53"/>
        <v>11193508206</v>
      </c>
      <c r="O42" s="28">
        <f t="shared" si="53"/>
        <v>7344015995</v>
      </c>
      <c r="P42" s="28">
        <f t="shared" si="53"/>
        <v>3717090622</v>
      </c>
      <c r="Q42" s="28">
        <f t="shared" si="53"/>
        <v>13629184859</v>
      </c>
      <c r="R42" s="28">
        <f t="shared" si="53"/>
        <v>10904467590</v>
      </c>
      <c r="S42" s="28">
        <f t="shared" si="53"/>
        <v>7187980108</v>
      </c>
      <c r="T42" s="28">
        <f t="shared" si="53"/>
        <v>3527512971</v>
      </c>
      <c r="U42" s="28">
        <f t="shared" si="53"/>
        <v>12599219775</v>
      </c>
      <c r="V42" s="28">
        <f t="shared" si="53"/>
        <v>9627992726</v>
      </c>
      <c r="W42" s="28">
        <f t="shared" si="53"/>
        <v>6480152040</v>
      </c>
      <c r="X42" s="28">
        <f t="shared" si="53"/>
        <v>3410043784</v>
      </c>
      <c r="Y42" s="28">
        <f t="shared" si="53"/>
        <v>11411065952</v>
      </c>
      <c r="Z42" s="28">
        <f t="shared" si="53"/>
        <v>8753275986</v>
      </c>
      <c r="AA42" s="28">
        <f t="shared" si="53"/>
        <v>6065554422</v>
      </c>
      <c r="AB42" s="28">
        <f t="shared" si="53"/>
        <v>3417334728</v>
      </c>
      <c r="AC42" s="28">
        <f t="shared" si="53"/>
        <v>11606536280</v>
      </c>
      <c r="AD42" s="28">
        <f t="shared" si="53"/>
        <v>9202195330</v>
      </c>
      <c r="AE42" s="28">
        <f t="shared" si="53"/>
        <v>6185234799</v>
      </c>
      <c r="AF42" s="28">
        <f t="shared" si="53"/>
        <v>3417506676</v>
      </c>
      <c r="AG42" s="28">
        <f t="shared" si="53"/>
        <v>10326077400</v>
      </c>
      <c r="AH42" s="28">
        <f t="shared" si="53"/>
        <v>8247559691</v>
      </c>
      <c r="AI42" s="28">
        <f t="shared" si="53"/>
        <v>4643973356</v>
      </c>
      <c r="AJ42" s="28">
        <f t="shared" si="53"/>
        <v>2298056642</v>
      </c>
      <c r="AK42" s="28">
        <f t="shared" si="53"/>
        <v>6528710334</v>
      </c>
      <c r="AL42" s="28">
        <f t="shared" si="53"/>
        <v>4596366796</v>
      </c>
      <c r="AM42" s="28">
        <f t="shared" si="53"/>
        <v>2835388043</v>
      </c>
      <c r="AN42" s="28">
        <f t="shared" si="53"/>
        <v>1462764381</v>
      </c>
      <c r="AO42" s="28">
        <f t="shared" si="53"/>
        <v>6678092790</v>
      </c>
      <c r="AP42" s="28">
        <f t="shared" si="53"/>
        <v>5567806338</v>
      </c>
      <c r="AQ42" s="28">
        <f t="shared" si="53"/>
        <v>3720193735</v>
      </c>
      <c r="AR42" s="28">
        <f t="shared" si="53"/>
        <v>2090060432</v>
      </c>
      <c r="AS42" s="28">
        <f t="shared" si="53"/>
        <v>6108463100</v>
      </c>
      <c r="AT42" s="28">
        <f t="shared" si="53"/>
        <v>4664475866</v>
      </c>
      <c r="AU42" s="28">
        <f t="shared" si="53"/>
        <v>2957643893</v>
      </c>
      <c r="AV42" s="28">
        <f t="shared" si="53"/>
        <v>1585727585</v>
      </c>
      <c r="AW42" s="28">
        <f t="shared" si="53"/>
        <v>4354407877</v>
      </c>
      <c r="AX42" s="28">
        <f t="shared" si="53"/>
        <v>3247466977</v>
      </c>
      <c r="AY42" s="28">
        <f t="shared" si="53"/>
        <v>2264447370</v>
      </c>
      <c r="AZ42" s="28">
        <f t="shared" si="53"/>
        <v>869436573</v>
      </c>
      <c r="BA42" s="28">
        <f t="shared" si="53"/>
        <v>3553233715</v>
      </c>
      <c r="BB42" s="28">
        <f t="shared" si="53"/>
        <v>2654440568</v>
      </c>
      <c r="BC42" s="28">
        <f t="shared" si="53"/>
        <v>1892205409</v>
      </c>
      <c r="BD42" s="28">
        <f t="shared" si="53"/>
        <v>2386134361</v>
      </c>
      <c r="BE42" s="28">
        <f t="shared" si="53"/>
        <v>1526058455</v>
      </c>
      <c r="BF42" s="28">
        <f t="shared" si="53"/>
        <v>0</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21.171839481467803</v>
      </c>
      <c r="C43" s="57">
        <f t="shared" ref="C43:D43" si="55">C42/C4*100</f>
        <v>21.793746240240967</v>
      </c>
      <c r="D43" s="57">
        <f t="shared" si="55"/>
        <v>22.577267439959108</v>
      </c>
      <c r="E43" s="57">
        <f>E42/E4</f>
        <v>0.22981592896059572</v>
      </c>
      <c r="F43" s="57">
        <f t="shared" ref="F43:BQ43" si="56">F42/F4</f>
        <v>0.26666918222622427</v>
      </c>
      <c r="G43" s="57">
        <f t="shared" si="56"/>
        <v>0.27598612848042292</v>
      </c>
      <c r="H43" s="57">
        <f t="shared" si="56"/>
        <v>0.25021970584240738</v>
      </c>
      <c r="I43" s="57">
        <f t="shared" si="56"/>
        <v>0.15524298380574697</v>
      </c>
      <c r="J43" s="57">
        <f t="shared" si="56"/>
        <v>0.16057542896362037</v>
      </c>
      <c r="K43" s="57">
        <f t="shared" si="56"/>
        <v>0.1715349816018209</v>
      </c>
      <c r="L43" s="57">
        <f t="shared" si="56"/>
        <v>0.18404563724140849</v>
      </c>
      <c r="M43" s="57">
        <f t="shared" si="56"/>
        <v>0.23771409451425696</v>
      </c>
      <c r="N43" s="57">
        <f t="shared" si="56"/>
        <v>0.27702937963155394</v>
      </c>
      <c r="O43" s="57">
        <f t="shared" si="56"/>
        <v>0.26639052551690628</v>
      </c>
      <c r="P43" s="57">
        <f t="shared" si="56"/>
        <v>0.26781881560362403</v>
      </c>
      <c r="Q43" s="57">
        <f t="shared" si="56"/>
        <v>0.25252919048391004</v>
      </c>
      <c r="R43" s="57">
        <f t="shared" si="56"/>
        <v>0.26868247708421333</v>
      </c>
      <c r="S43" s="57">
        <f t="shared" si="56"/>
        <v>0.27246327167516177</v>
      </c>
      <c r="T43" s="57">
        <f t="shared" si="56"/>
        <v>0.27292335552042835</v>
      </c>
      <c r="U43" s="57">
        <f t="shared" si="56"/>
        <v>0.24539438015380374</v>
      </c>
      <c r="V43" s="57">
        <f t="shared" si="56"/>
        <v>0.25540555611193977</v>
      </c>
      <c r="W43" s="57">
        <f t="shared" si="56"/>
        <v>0.26642215190690721</v>
      </c>
      <c r="X43" s="57">
        <f t="shared" si="56"/>
        <v>0.28455523443202219</v>
      </c>
      <c r="Y43" s="57">
        <f t="shared" si="56"/>
        <v>0.24826937077341893</v>
      </c>
      <c r="Z43" s="57">
        <f t="shared" si="56"/>
        <v>0.26145726292255123</v>
      </c>
      <c r="AA43" s="57">
        <f t="shared" si="56"/>
        <v>0.27254738437900183</v>
      </c>
      <c r="AB43" s="57">
        <f t="shared" si="56"/>
        <v>0.30539184343163539</v>
      </c>
      <c r="AC43" s="57">
        <f t="shared" si="56"/>
        <v>0.25788269292648291</v>
      </c>
      <c r="AD43" s="57">
        <f t="shared" si="56"/>
        <v>0.27658719192338466</v>
      </c>
      <c r="AE43" s="57">
        <f t="shared" si="56"/>
        <v>0.2830488020037199</v>
      </c>
      <c r="AF43" s="57">
        <f t="shared" si="56"/>
        <v>0.31369447538372869</v>
      </c>
      <c r="AG43" s="57">
        <f t="shared" si="56"/>
        <v>0.2457784549464074</v>
      </c>
      <c r="AH43" s="57">
        <f t="shared" si="56"/>
        <v>0.26615353408805442</v>
      </c>
      <c r="AI43" s="57">
        <f t="shared" si="56"/>
        <v>0.33122296812884977</v>
      </c>
      <c r="AJ43" s="57">
        <f t="shared" si="56"/>
        <v>0.34899227164956892</v>
      </c>
      <c r="AK43" s="57">
        <f t="shared" si="56"/>
        <v>0.28234529035696943</v>
      </c>
      <c r="AL43" s="57">
        <f t="shared" si="56"/>
        <v>0.28288028615310029</v>
      </c>
      <c r="AM43" s="57">
        <f t="shared" si="56"/>
        <v>0.27901486097140288</v>
      </c>
      <c r="AN43" s="57">
        <f t="shared" si="56"/>
        <v>0.30099457176570849</v>
      </c>
      <c r="AO43" s="57">
        <f t="shared" si="56"/>
        <v>0.29555206591996286</v>
      </c>
      <c r="AP43" s="57">
        <f t="shared" si="56"/>
        <v>0.3144957180512023</v>
      </c>
      <c r="AQ43" s="57">
        <f t="shared" si="56"/>
        <v>0.32051205363134933</v>
      </c>
      <c r="AR43" s="57">
        <f t="shared" si="56"/>
        <v>0.37950842629390369</v>
      </c>
      <c r="AS43" s="57">
        <f t="shared" si="56"/>
        <v>0.29282772545897712</v>
      </c>
      <c r="AT43" s="57">
        <f t="shared" si="56"/>
        <v>0.30636575042208958</v>
      </c>
      <c r="AU43" s="57">
        <f t="shared" si="56"/>
        <v>0.30660771481065396</v>
      </c>
      <c r="AV43" s="57">
        <f t="shared" si="56"/>
        <v>0.35243052470309499</v>
      </c>
      <c r="AW43" s="57">
        <f t="shared" si="56"/>
        <v>0.26970653266005779</v>
      </c>
      <c r="AX43" s="57">
        <f t="shared" si="56"/>
        <v>0.27605521797268073</v>
      </c>
      <c r="AY43" s="57">
        <f t="shared" si="56"/>
        <v>0.29173118025879485</v>
      </c>
      <c r="AZ43" s="57">
        <f t="shared" si="56"/>
        <v>0.24693840528685121</v>
      </c>
      <c r="BA43" s="57">
        <f t="shared" si="56"/>
        <v>0.27114259266375695</v>
      </c>
      <c r="BB43" s="57">
        <f t="shared" si="56"/>
        <v>0.27540526393018799</v>
      </c>
      <c r="BC43" s="57">
        <f t="shared" si="56"/>
        <v>0.29166964111971522</v>
      </c>
      <c r="BD43" s="57">
        <f t="shared" si="56"/>
        <v>0.33132074658818839</v>
      </c>
      <c r="BE43" s="57">
        <f t="shared" si="56"/>
        <v>0.29698396364061619</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8489443385.6800003</v>
      </c>
      <c r="C45" s="26">
        <f t="shared" ref="C45:BN45" si="58">C70*C69</f>
        <v>8174384546.7200003</v>
      </c>
      <c r="D45" s="26">
        <f t="shared" si="58"/>
        <v>8401572478.4800005</v>
      </c>
      <c r="E45" s="26">
        <f t="shared" si="58"/>
        <v>8072874330.96</v>
      </c>
      <c r="F45" s="26">
        <f t="shared" si="58"/>
        <v>7925121441.6000004</v>
      </c>
      <c r="G45" s="26">
        <f t="shared" si="58"/>
        <v>7632574807.1199999</v>
      </c>
      <c r="H45" s="26">
        <f t="shared" si="58"/>
        <v>7580802150.8000002</v>
      </c>
      <c r="I45" s="26">
        <f t="shared" si="58"/>
        <v>7325948810.2399998</v>
      </c>
      <c r="J45" s="26">
        <f t="shared" si="58"/>
        <v>7146188238.8800001</v>
      </c>
      <c r="K45" s="26">
        <f t="shared" si="58"/>
        <v>7004909348.4000006</v>
      </c>
      <c r="L45" s="26">
        <f t="shared" si="58"/>
        <v>7412464424.4800005</v>
      </c>
      <c r="M45" s="26">
        <f t="shared" si="58"/>
        <v>7248844736.8000002</v>
      </c>
      <c r="N45" s="26">
        <f t="shared" si="58"/>
        <v>7044642545.8400002</v>
      </c>
      <c r="O45" s="26">
        <f t="shared" si="58"/>
        <v>6736455808.96</v>
      </c>
      <c r="P45" s="26">
        <f t="shared" si="58"/>
        <v>7017186572.4000006</v>
      </c>
      <c r="Q45" s="26">
        <f t="shared" si="58"/>
        <v>6719819322.6400003</v>
      </c>
      <c r="R45" s="26">
        <f t="shared" si="58"/>
        <v>6493168019.1999998</v>
      </c>
      <c r="S45" s="26">
        <f t="shared" si="58"/>
        <v>6245076220.6400003</v>
      </c>
      <c r="T45" s="26">
        <f t="shared" si="58"/>
        <v>6463656476.96</v>
      </c>
      <c r="U45" s="26">
        <f t="shared" si="58"/>
        <v>6181455439.2799997</v>
      </c>
      <c r="V45" s="26">
        <f t="shared" si="58"/>
        <v>5933328521.2799997</v>
      </c>
      <c r="W45" s="26">
        <f t="shared" si="58"/>
        <v>5682313838.2399998</v>
      </c>
      <c r="X45" s="26">
        <f t="shared" si="58"/>
        <v>5900549072.2399998</v>
      </c>
      <c r="Y45" s="26">
        <f t="shared" si="58"/>
        <v>5627745569.5200005</v>
      </c>
      <c r="Z45" s="26">
        <f t="shared" si="58"/>
        <v>5273161914.4000006</v>
      </c>
      <c r="AA45" s="26">
        <f t="shared" si="58"/>
        <v>5048368189.2799997</v>
      </c>
      <c r="AB45" s="26">
        <f t="shared" si="58"/>
        <v>5300354508.2399998</v>
      </c>
      <c r="AC45" s="26">
        <f t="shared" si="58"/>
        <v>5026967730</v>
      </c>
      <c r="AD45" s="26">
        <f t="shared" si="58"/>
        <v>4827238053.6800003</v>
      </c>
      <c r="AE45" s="26">
        <f t="shared" si="58"/>
        <v>4585881211.1999998</v>
      </c>
      <c r="AF45" s="26">
        <f t="shared" si="58"/>
        <v>4780733123.1999998</v>
      </c>
      <c r="AG45" s="26">
        <f t="shared" si="58"/>
        <v>4507332589.04</v>
      </c>
      <c r="AH45" s="26">
        <f t="shared" si="58"/>
        <v>3055360756.8000002</v>
      </c>
      <c r="AI45" s="26">
        <f t="shared" si="58"/>
        <v>3496702378.2400002</v>
      </c>
      <c r="AJ45" s="26">
        <f t="shared" si="58"/>
        <v>3620471212.1599998</v>
      </c>
      <c r="AK45" s="26">
        <f t="shared" si="58"/>
        <v>3436626680.8000002</v>
      </c>
      <c r="AL45" s="26">
        <f t="shared" si="58"/>
        <v>3281906091.6800003</v>
      </c>
      <c r="AM45" s="26">
        <f t="shared" si="58"/>
        <v>3141027791.4400001</v>
      </c>
      <c r="AN45" s="26">
        <f t="shared" si="58"/>
        <v>3342660069.52</v>
      </c>
      <c r="AO45" s="26">
        <f t="shared" si="58"/>
        <v>3225638919.04</v>
      </c>
      <c r="AP45" s="26">
        <f t="shared" si="58"/>
        <v>3136702108.7200003</v>
      </c>
      <c r="AQ45" s="26">
        <f t="shared" si="58"/>
        <v>2988893100.48</v>
      </c>
      <c r="AR45" s="26">
        <f t="shared" si="58"/>
        <v>3169924607.2800002</v>
      </c>
      <c r="AS45" s="26">
        <f t="shared" si="58"/>
        <v>3002719772.7200003</v>
      </c>
      <c r="AT45" s="26">
        <f t="shared" si="58"/>
        <v>2887164474.48</v>
      </c>
      <c r="AU45" s="26">
        <f t="shared" si="58"/>
        <v>2750578866.8800001</v>
      </c>
      <c r="AV45" s="26">
        <f t="shared" si="58"/>
        <v>2952267733.2800002</v>
      </c>
      <c r="AW45" s="26">
        <f t="shared" si="58"/>
        <v>2820680604.96</v>
      </c>
      <c r="AX45" s="26">
        <f t="shared" si="58"/>
        <v>2731673428.5599999</v>
      </c>
      <c r="AY45" s="26">
        <f t="shared" si="58"/>
        <v>1474310956.24</v>
      </c>
      <c r="AZ45" s="26">
        <f t="shared" si="58"/>
        <v>1458839868.24</v>
      </c>
      <c r="BA45" s="26">
        <f t="shared" si="58"/>
        <v>1251591751.6800001</v>
      </c>
      <c r="BB45" s="26">
        <f t="shared" si="58"/>
        <v>0</v>
      </c>
      <c r="BC45" s="26">
        <f t="shared" si="58"/>
        <v>0</v>
      </c>
      <c r="BD45" s="26">
        <f t="shared" si="58"/>
        <v>0</v>
      </c>
      <c r="BE45" s="26">
        <f t="shared" si="58"/>
        <v>0</v>
      </c>
      <c r="BF45" s="26">
        <f t="shared" si="58"/>
        <v>0</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3549196167.3199997</v>
      </c>
      <c r="C47" s="28">
        <f t="shared" ref="C47:BN47" si="62">C42-C45</f>
        <v>-59896653.720000267</v>
      </c>
      <c r="D47" s="28">
        <f t="shared" si="62"/>
        <v>-4343697564.4800005</v>
      </c>
      <c r="E47" s="28">
        <f t="shared" si="62"/>
        <v>4713279471.04</v>
      </c>
      <c r="F47" s="28">
        <f t="shared" si="62"/>
        <v>3205799773.3999996</v>
      </c>
      <c r="G47" s="28">
        <f t="shared" si="62"/>
        <v>-82541448.119999886</v>
      </c>
      <c r="H47" s="28">
        <f t="shared" si="62"/>
        <v>-4465270119.8000002</v>
      </c>
      <c r="I47" s="28">
        <f t="shared" si="62"/>
        <v>-398249289.23999977</v>
      </c>
      <c r="J47" s="28">
        <f t="shared" si="62"/>
        <v>-2073566291.8800001</v>
      </c>
      <c r="K47" s="28">
        <f t="shared" si="62"/>
        <v>-3364045532.4000006</v>
      </c>
      <c r="L47" s="28">
        <f t="shared" si="62"/>
        <v>-5367218328.4800005</v>
      </c>
      <c r="M47" s="28">
        <f t="shared" si="62"/>
        <v>5238601574.1999998</v>
      </c>
      <c r="N47" s="28">
        <f t="shared" si="62"/>
        <v>4148865660.1599998</v>
      </c>
      <c r="O47" s="28">
        <f t="shared" si="62"/>
        <v>607560186.03999996</v>
      </c>
      <c r="P47" s="28">
        <f t="shared" si="62"/>
        <v>-3300095950.4000006</v>
      </c>
      <c r="Q47" s="28">
        <f t="shared" si="62"/>
        <v>6909365536.3599997</v>
      </c>
      <c r="R47" s="28">
        <f t="shared" si="62"/>
        <v>4411299570.8000002</v>
      </c>
      <c r="S47" s="28">
        <f t="shared" si="62"/>
        <v>942903887.35999966</v>
      </c>
      <c r="T47" s="28">
        <f t="shared" si="62"/>
        <v>-2936143505.96</v>
      </c>
      <c r="U47" s="28">
        <f t="shared" si="62"/>
        <v>6417764335.7200003</v>
      </c>
      <c r="V47" s="28">
        <f t="shared" si="62"/>
        <v>3694664204.7200003</v>
      </c>
      <c r="W47" s="28">
        <f t="shared" si="62"/>
        <v>797838201.76000023</v>
      </c>
      <c r="X47" s="28">
        <f t="shared" si="62"/>
        <v>-2490505288.2399998</v>
      </c>
      <c r="Y47" s="28">
        <f t="shared" si="62"/>
        <v>5783320382.4799995</v>
      </c>
      <c r="Z47" s="28">
        <f t="shared" si="62"/>
        <v>3480114071.5999994</v>
      </c>
      <c r="AA47" s="28">
        <f t="shared" si="62"/>
        <v>1017186232.7200003</v>
      </c>
      <c r="AB47" s="28">
        <f t="shared" si="62"/>
        <v>-1883019780.2399998</v>
      </c>
      <c r="AC47" s="28">
        <f t="shared" si="62"/>
        <v>6579568550</v>
      </c>
      <c r="AD47" s="28">
        <f t="shared" si="62"/>
        <v>4374957276.3199997</v>
      </c>
      <c r="AE47" s="28">
        <f t="shared" si="62"/>
        <v>1599353587.8000002</v>
      </c>
      <c r="AF47" s="28">
        <f t="shared" si="62"/>
        <v>-1363226447.1999998</v>
      </c>
      <c r="AG47" s="28">
        <f t="shared" si="62"/>
        <v>5818744810.96</v>
      </c>
      <c r="AH47" s="28">
        <f t="shared" si="62"/>
        <v>5192198934.1999998</v>
      </c>
      <c r="AI47" s="28">
        <f t="shared" si="62"/>
        <v>1147270977.7599998</v>
      </c>
      <c r="AJ47" s="28">
        <f t="shared" si="62"/>
        <v>-1322414570.1599998</v>
      </c>
      <c r="AK47" s="28">
        <f t="shared" si="62"/>
        <v>3092083653.1999998</v>
      </c>
      <c r="AL47" s="28">
        <f t="shared" si="62"/>
        <v>1314460704.3199997</v>
      </c>
      <c r="AM47" s="28">
        <f t="shared" si="62"/>
        <v>-305639748.44000006</v>
      </c>
      <c r="AN47" s="28">
        <f t="shared" si="62"/>
        <v>-1879895688.52</v>
      </c>
      <c r="AO47" s="28">
        <f t="shared" si="62"/>
        <v>3452453870.96</v>
      </c>
      <c r="AP47" s="28">
        <f t="shared" si="62"/>
        <v>2431104229.2799997</v>
      </c>
      <c r="AQ47" s="28">
        <f t="shared" si="62"/>
        <v>731300634.51999998</v>
      </c>
      <c r="AR47" s="28">
        <f t="shared" si="62"/>
        <v>-1079864175.2800002</v>
      </c>
      <c r="AS47" s="28">
        <f t="shared" si="62"/>
        <v>3105743327.2799997</v>
      </c>
      <c r="AT47" s="28">
        <f t="shared" si="62"/>
        <v>1777311391.52</v>
      </c>
      <c r="AU47" s="28">
        <f t="shared" si="62"/>
        <v>207065026.11999989</v>
      </c>
      <c r="AV47" s="28">
        <f t="shared" si="62"/>
        <v>-1366540148.2800002</v>
      </c>
      <c r="AW47" s="28">
        <f t="shared" si="62"/>
        <v>1533727272.04</v>
      </c>
      <c r="AX47" s="28">
        <f t="shared" si="62"/>
        <v>515793548.44000006</v>
      </c>
      <c r="AY47" s="28">
        <f t="shared" si="62"/>
        <v>790136413.75999999</v>
      </c>
      <c r="AZ47" s="28">
        <f t="shared" si="62"/>
        <v>-589403295.24000001</v>
      </c>
      <c r="BA47" s="28">
        <f t="shared" si="62"/>
        <v>2301641963.3199997</v>
      </c>
      <c r="BB47" s="28">
        <f t="shared" si="62"/>
        <v>2654440568</v>
      </c>
      <c r="BC47" s="28">
        <f t="shared" si="62"/>
        <v>1892205409</v>
      </c>
      <c r="BD47" s="28">
        <f t="shared" si="62"/>
        <v>2386134361</v>
      </c>
      <c r="BE47" s="28">
        <f t="shared" si="62"/>
        <v>1526058455</v>
      </c>
      <c r="BF47" s="28">
        <f t="shared" si="62"/>
        <v>0</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20041231</v>
      </c>
      <c r="BE51" s="190">
        <v>20031231</v>
      </c>
      <c r="BF51" s="190">
        <v>19700101</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-193673666</v>
      </c>
      <c r="F52" s="42">
        <v>-34414</v>
      </c>
      <c r="G52" s="42">
        <v>-23309</v>
      </c>
      <c r="H52" s="42">
        <v>-16814</v>
      </c>
      <c r="I52" s="42">
        <v>-27412393</v>
      </c>
      <c r="J52" s="42"/>
      <c r="K52" s="42"/>
      <c r="M52" s="43">
        <v>-213587310</v>
      </c>
      <c r="Q52" s="43">
        <v>-230229300</v>
      </c>
      <c r="U52" s="43">
        <v>-192023260</v>
      </c>
      <c r="Y52" s="43">
        <v>-91226140</v>
      </c>
      <c r="AC52" s="43">
        <v>-75377278</v>
      </c>
      <c r="AG52" s="43">
        <v>-64703840</v>
      </c>
      <c r="AK52" s="43">
        <v>-116595211</v>
      </c>
      <c r="AO52" s="43">
        <v>-87924193</v>
      </c>
      <c r="AS52" s="43">
        <v>-81480914</v>
      </c>
      <c r="AW52" s="43">
        <v>-52299919</v>
      </c>
    </row>
    <row r="53" spans="1:89" s="43" customFormat="1" x14ac:dyDescent="0.25">
      <c r="A53" s="132" t="s">
        <v>90</v>
      </c>
      <c r="B53" s="42">
        <v>217</v>
      </c>
      <c r="C53" s="42">
        <v>189</v>
      </c>
      <c r="D53" s="42"/>
      <c r="E53" s="42">
        <v>820368933</v>
      </c>
      <c r="F53" s="42"/>
      <c r="G53" s="42"/>
      <c r="H53" s="42"/>
      <c r="I53" s="42">
        <v>583731376</v>
      </c>
      <c r="J53" s="42"/>
      <c r="K53" s="42"/>
      <c r="M53" s="43">
        <v>616993849</v>
      </c>
      <c r="Q53" s="43">
        <v>849303919</v>
      </c>
      <c r="U53" s="43">
        <v>775538341</v>
      </c>
      <c r="Y53" s="43">
        <v>861517428</v>
      </c>
      <c r="AC53" s="43">
        <v>1100496824</v>
      </c>
      <c r="AD53" s="42"/>
      <c r="AE53" s="42"/>
      <c r="AF53" s="42"/>
      <c r="AG53" s="42">
        <v>1057001194</v>
      </c>
      <c r="AH53" s="42"/>
      <c r="AI53" s="42"/>
      <c r="AJ53" s="42"/>
      <c r="AK53" s="43">
        <v>558319742</v>
      </c>
      <c r="AL53" s="42"/>
      <c r="AM53" s="42"/>
      <c r="AN53" s="42"/>
      <c r="AO53" s="43">
        <v>500678945</v>
      </c>
      <c r="AP53" s="42"/>
      <c r="AQ53" s="42"/>
      <c r="AR53" s="42"/>
      <c r="AS53" s="42">
        <v>32000000</v>
      </c>
      <c r="AT53" s="42"/>
      <c r="AU53" s="42"/>
      <c r="AV53" s="42"/>
      <c r="AW53" s="42">
        <v>273208528</v>
      </c>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98643401</v>
      </c>
      <c r="F54" s="42">
        <v>2684</v>
      </c>
      <c r="G54" s="42">
        <v>-377</v>
      </c>
      <c r="H54" s="42">
        <v>1008</v>
      </c>
      <c r="I54" s="42">
        <v>90909120</v>
      </c>
      <c r="J54" s="42"/>
      <c r="K54" s="42"/>
      <c r="M54" s="43">
        <v>103595644</v>
      </c>
      <c r="Q54" s="43">
        <v>100948284</v>
      </c>
      <c r="U54" s="43">
        <v>90800000</v>
      </c>
      <c r="Y54" s="43">
        <v>87570000</v>
      </c>
      <c r="AC54" s="43">
        <v>88973547</v>
      </c>
      <c r="AG54" s="43">
        <v>80926000</v>
      </c>
    </row>
    <row r="55" spans="1:89" s="43" customFormat="1" x14ac:dyDescent="0.25">
      <c r="A55" s="132" t="s">
        <v>92</v>
      </c>
      <c r="B55" s="42">
        <v>463</v>
      </c>
      <c r="C55" s="42">
        <v>603</v>
      </c>
      <c r="D55" s="42">
        <v>653</v>
      </c>
      <c r="E55" s="42">
        <v>12377320</v>
      </c>
      <c r="F55" s="42">
        <v>1204</v>
      </c>
      <c r="G55" s="42">
        <v>868</v>
      </c>
      <c r="H55" s="42">
        <v>644</v>
      </c>
      <c r="I55" s="42">
        <v>35861355</v>
      </c>
      <c r="J55" s="42"/>
      <c r="K55" s="42"/>
      <c r="M55" s="43">
        <v>15352379</v>
      </c>
      <c r="Q55" s="43">
        <v>7475421</v>
      </c>
      <c r="U55" s="43">
        <v>4985740</v>
      </c>
      <c r="Y55" s="43">
        <v>4284635</v>
      </c>
      <c r="AC55" s="43">
        <v>3306457</v>
      </c>
      <c r="AG55" s="43">
        <v>3868470</v>
      </c>
      <c r="AK55" s="43">
        <v>1663826</v>
      </c>
      <c r="AO55" s="43">
        <v>1423677</v>
      </c>
      <c r="AS55" s="43">
        <v>942116</v>
      </c>
      <c r="AW55" s="43">
        <v>831345</v>
      </c>
    </row>
    <row r="56" spans="1:89" s="26" customFormat="1" x14ac:dyDescent="0.25">
      <c r="A56" s="133" t="s">
        <v>93</v>
      </c>
      <c r="B56" s="44">
        <f>SUM(B52:B55)</f>
        <v>-21852</v>
      </c>
      <c r="C56" s="44">
        <f t="shared" ref="C56:D56" si="64">SUM(C52:C55)</f>
        <v>-28350</v>
      </c>
      <c r="D56" s="44">
        <f t="shared" si="64"/>
        <v>-35004</v>
      </c>
      <c r="E56" s="44">
        <f>SUM(E52:E55)</f>
        <v>737715988</v>
      </c>
      <c r="F56" s="44">
        <f t="shared" ref="F56:BQ56" si="65">SUM(F52:F55)</f>
        <v>-30526</v>
      </c>
      <c r="G56" s="44">
        <f t="shared" si="65"/>
        <v>-22818</v>
      </c>
      <c r="H56" s="44">
        <f t="shared" si="65"/>
        <v>-15162</v>
      </c>
      <c r="I56" s="44">
        <f t="shared" si="65"/>
        <v>683089458</v>
      </c>
      <c r="J56" s="44">
        <f t="shared" si="65"/>
        <v>0</v>
      </c>
      <c r="K56" s="44">
        <f t="shared" si="65"/>
        <v>0</v>
      </c>
      <c r="L56" s="44">
        <f t="shared" si="65"/>
        <v>0</v>
      </c>
      <c r="M56" s="44">
        <f t="shared" si="65"/>
        <v>522354562</v>
      </c>
      <c r="N56" s="44">
        <f t="shared" si="65"/>
        <v>0</v>
      </c>
      <c r="O56" s="44">
        <f t="shared" si="65"/>
        <v>0</v>
      </c>
      <c r="P56" s="44">
        <f t="shared" si="65"/>
        <v>0</v>
      </c>
      <c r="Q56" s="44">
        <f t="shared" si="65"/>
        <v>727498324</v>
      </c>
      <c r="R56" s="44">
        <f t="shared" si="65"/>
        <v>0</v>
      </c>
      <c r="S56" s="44">
        <f t="shared" si="65"/>
        <v>0</v>
      </c>
      <c r="T56" s="44">
        <f t="shared" si="65"/>
        <v>0</v>
      </c>
      <c r="U56" s="44">
        <f t="shared" si="65"/>
        <v>679300821</v>
      </c>
      <c r="V56" s="44">
        <f t="shared" si="65"/>
        <v>0</v>
      </c>
      <c r="W56" s="44">
        <f t="shared" si="65"/>
        <v>0</v>
      </c>
      <c r="X56" s="44">
        <f t="shared" si="65"/>
        <v>0</v>
      </c>
      <c r="Y56" s="44">
        <f t="shared" si="65"/>
        <v>862145923</v>
      </c>
      <c r="Z56" s="44">
        <f t="shared" si="65"/>
        <v>0</v>
      </c>
      <c r="AA56" s="44">
        <f t="shared" si="65"/>
        <v>0</v>
      </c>
      <c r="AB56" s="44">
        <f t="shared" si="65"/>
        <v>0</v>
      </c>
      <c r="AC56" s="44">
        <f t="shared" si="65"/>
        <v>1117399550</v>
      </c>
      <c r="AD56" s="44">
        <f t="shared" si="65"/>
        <v>0</v>
      </c>
      <c r="AE56" s="44">
        <f t="shared" si="65"/>
        <v>0</v>
      </c>
      <c r="AF56" s="44">
        <f t="shared" si="65"/>
        <v>0</v>
      </c>
      <c r="AG56" s="44">
        <f t="shared" si="65"/>
        <v>1077091824</v>
      </c>
      <c r="AH56" s="44">
        <f t="shared" si="65"/>
        <v>0</v>
      </c>
      <c r="AI56" s="44">
        <f t="shared" si="65"/>
        <v>0</v>
      </c>
      <c r="AJ56" s="44">
        <f t="shared" si="65"/>
        <v>0</v>
      </c>
      <c r="AK56" s="44">
        <f t="shared" si="65"/>
        <v>443388357</v>
      </c>
      <c r="AL56" s="44">
        <f t="shared" si="65"/>
        <v>0</v>
      </c>
      <c r="AM56" s="44">
        <f t="shared" si="65"/>
        <v>0</v>
      </c>
      <c r="AN56" s="44">
        <f t="shared" si="65"/>
        <v>0</v>
      </c>
      <c r="AO56" s="44">
        <f t="shared" si="65"/>
        <v>414178429</v>
      </c>
      <c r="AP56" s="44">
        <f t="shared" si="65"/>
        <v>0</v>
      </c>
      <c r="AQ56" s="44">
        <f t="shared" si="65"/>
        <v>0</v>
      </c>
      <c r="AR56" s="44">
        <f t="shared" si="65"/>
        <v>0</v>
      </c>
      <c r="AS56" s="44">
        <f t="shared" si="65"/>
        <v>-48538798</v>
      </c>
      <c r="AT56" s="44">
        <f t="shared" si="65"/>
        <v>0</v>
      </c>
      <c r="AU56" s="44">
        <f t="shared" si="65"/>
        <v>0</v>
      </c>
      <c r="AV56" s="44">
        <f t="shared" si="65"/>
        <v>0</v>
      </c>
      <c r="AW56" s="44">
        <f t="shared" si="65"/>
        <v>221739954</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12118341463</v>
      </c>
      <c r="C59" s="190">
        <v>8180180032</v>
      </c>
      <c r="D59" s="190">
        <v>4087767889</v>
      </c>
      <c r="E59" s="190">
        <v>13098390240</v>
      </c>
      <c r="F59" s="190">
        <v>11130925103</v>
      </c>
      <c r="G59" s="190">
        <v>7550033850</v>
      </c>
      <c r="H59" s="190">
        <v>3115533683</v>
      </c>
      <c r="I59" s="190">
        <v>7077549140</v>
      </c>
      <c r="J59" s="190">
        <v>5072621947</v>
      </c>
      <c r="K59" s="190">
        <v>3640863816</v>
      </c>
      <c r="L59" s="190">
        <v>2045246096</v>
      </c>
      <c r="M59" s="190">
        <v>12654893006</v>
      </c>
      <c r="N59" s="190">
        <v>11193508206</v>
      </c>
      <c r="O59" s="190">
        <v>7344015995</v>
      </c>
      <c r="P59" s="190">
        <v>3717090622</v>
      </c>
      <c r="Q59" s="190">
        <v>14189076831</v>
      </c>
      <c r="R59" s="190">
        <v>11167876478</v>
      </c>
      <c r="S59" s="190">
        <v>7187980108</v>
      </c>
      <c r="T59" s="190">
        <v>3527512971</v>
      </c>
      <c r="U59" s="190">
        <v>12695005515</v>
      </c>
      <c r="V59" s="190">
        <v>9627992726</v>
      </c>
      <c r="W59" s="190">
        <v>6480152040</v>
      </c>
      <c r="X59" s="190">
        <v>3410043784</v>
      </c>
      <c r="Y59" s="190">
        <v>11502920587</v>
      </c>
      <c r="Z59" s="190">
        <v>8753275986</v>
      </c>
      <c r="AA59" s="190">
        <v>6065554422</v>
      </c>
      <c r="AB59" s="190">
        <v>3417334728</v>
      </c>
      <c r="AC59" s="190">
        <v>11698816284</v>
      </c>
      <c r="AD59" s="190">
        <v>9202195330</v>
      </c>
      <c r="AE59" s="190">
        <v>6185234799</v>
      </c>
      <c r="AF59" s="190">
        <v>3417506676</v>
      </c>
      <c r="AG59" s="190">
        <v>10410871870</v>
      </c>
      <c r="AH59" s="190">
        <v>8247559691</v>
      </c>
      <c r="AI59" s="190">
        <v>4643973356</v>
      </c>
      <c r="AJ59" s="190">
        <v>2298056642</v>
      </c>
      <c r="AK59" s="190">
        <v>6530374160</v>
      </c>
      <c r="AL59" s="190">
        <v>4596366796</v>
      </c>
      <c r="AM59" s="190">
        <v>2835388043</v>
      </c>
      <c r="AN59" s="190">
        <v>1462764381</v>
      </c>
      <c r="AO59" s="190">
        <v>6679516467</v>
      </c>
      <c r="AP59" s="190">
        <v>5567806338</v>
      </c>
      <c r="AQ59" s="190">
        <v>3720193735</v>
      </c>
      <c r="AR59" s="190">
        <v>2090060432</v>
      </c>
      <c r="AS59" s="190">
        <v>6109405216</v>
      </c>
      <c r="AT59" s="190">
        <v>4664475866</v>
      </c>
      <c r="AU59" s="190">
        <v>2957643893</v>
      </c>
      <c r="AV59" s="190">
        <v>1585727585</v>
      </c>
      <c r="AW59" s="190">
        <v>4370691193</v>
      </c>
      <c r="AX59" s="190">
        <v>3258101488</v>
      </c>
      <c r="AY59" s="190">
        <v>2275280907</v>
      </c>
      <c r="AZ59" s="190">
        <v>869436573</v>
      </c>
      <c r="BA59" s="190">
        <v>3561244858</v>
      </c>
      <c r="BB59" s="190">
        <v>2661107043</v>
      </c>
      <c r="BC59" s="190">
        <v>1896845019</v>
      </c>
      <c r="BD59" s="190">
        <v>2390346570</v>
      </c>
      <c r="BE59" s="190">
        <v>1527333209</v>
      </c>
      <c r="BF59" s="190">
        <v>0</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3441151435</v>
      </c>
      <c r="C60" s="190">
        <v>2297738559</v>
      </c>
      <c r="D60" s="190">
        <v>1089771151</v>
      </c>
      <c r="E60" s="190">
        <v>3699392355</v>
      </c>
      <c r="F60" s="190">
        <v>3135347625</v>
      </c>
      <c r="G60" s="190">
        <v>2104226245</v>
      </c>
      <c r="H60" s="190">
        <v>859373105</v>
      </c>
      <c r="I60" s="190">
        <v>1710383167</v>
      </c>
      <c r="J60" s="190">
        <v>1141561340</v>
      </c>
      <c r="K60" s="190">
        <v>836969641</v>
      </c>
      <c r="L60" s="190">
        <v>538246967</v>
      </c>
      <c r="M60" s="190">
        <v>3700550281</v>
      </c>
      <c r="N60" s="190">
        <v>3382835846</v>
      </c>
      <c r="O60" s="190">
        <v>2255601743</v>
      </c>
      <c r="P60" s="190">
        <v>1107420348</v>
      </c>
      <c r="Q60" s="190">
        <v>3880265472</v>
      </c>
      <c r="R60" s="190">
        <v>3177435382</v>
      </c>
      <c r="S60" s="190">
        <v>2035332947</v>
      </c>
      <c r="T60" s="190">
        <v>1000806498</v>
      </c>
      <c r="U60" s="190">
        <v>3375771292</v>
      </c>
      <c r="V60" s="190">
        <v>2575708638</v>
      </c>
      <c r="W60" s="190">
        <v>1722199482</v>
      </c>
      <c r="X60" s="190">
        <v>959342435</v>
      </c>
      <c r="Y60" s="190">
        <v>3198223060</v>
      </c>
      <c r="Z60" s="190">
        <v>2463953201</v>
      </c>
      <c r="AA60" s="190">
        <v>1687327701</v>
      </c>
      <c r="AB60" s="190">
        <v>1002158605</v>
      </c>
      <c r="AC60" s="190">
        <v>3548316710</v>
      </c>
      <c r="AD60" s="190">
        <v>2786699187</v>
      </c>
      <c r="AE60" s="190">
        <v>1934538833</v>
      </c>
      <c r="AF60" s="190">
        <v>974927116</v>
      </c>
      <c r="AG60" s="190">
        <v>3275236494</v>
      </c>
      <c r="AH60" s="190">
        <v>2733136785</v>
      </c>
      <c r="AI60" s="190">
        <v>1550981183</v>
      </c>
      <c r="AJ60" s="190">
        <v>766596975</v>
      </c>
      <c r="AK60" s="190">
        <v>2195585850</v>
      </c>
      <c r="AL60" s="190">
        <v>1541893755</v>
      </c>
      <c r="AM60" s="190">
        <v>953833269</v>
      </c>
      <c r="AN60" s="190">
        <v>488491393</v>
      </c>
      <c r="AO60" s="190">
        <v>2240510504</v>
      </c>
      <c r="AP60" s="190">
        <v>1874657832</v>
      </c>
      <c r="AQ60" s="190">
        <v>1241824402</v>
      </c>
      <c r="AR60" s="190">
        <v>696686953</v>
      </c>
      <c r="AS60" s="190">
        <v>3089486251</v>
      </c>
      <c r="AT60" s="190">
        <v>2399766948</v>
      </c>
      <c r="AU60" s="190">
        <v>1463319724</v>
      </c>
      <c r="AV60" s="190">
        <v>783663794</v>
      </c>
      <c r="AW60" s="190">
        <v>2157900756</v>
      </c>
      <c r="AX60" s="190">
        <v>1585383354</v>
      </c>
      <c r="AY60" s="190">
        <v>1069954066</v>
      </c>
      <c r="AZ60" s="190">
        <v>363936725</v>
      </c>
      <c r="BA60" s="190">
        <v>1837780182</v>
      </c>
      <c r="BB60" s="190">
        <v>1402709070</v>
      </c>
      <c r="BC60" s="190">
        <v>982352856</v>
      </c>
      <c r="BD60" s="190">
        <v>1315922491</v>
      </c>
      <c r="BE60" s="190">
        <v>772865070</v>
      </c>
      <c r="BF60" s="190">
        <v>0</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15559492898</v>
      </c>
      <c r="C61" s="190">
        <v>10477918591</v>
      </c>
      <c r="D61" s="190">
        <v>5177539040</v>
      </c>
      <c r="E61" s="190">
        <v>16797782595</v>
      </c>
      <c r="F61" s="190">
        <v>14266272728</v>
      </c>
      <c r="G61" s="190">
        <v>9654260095</v>
      </c>
      <c r="H61" s="190">
        <v>3974906788</v>
      </c>
      <c r="I61" s="190">
        <v>8787932307</v>
      </c>
      <c r="J61" s="190">
        <v>6214183287</v>
      </c>
      <c r="K61" s="190">
        <v>4477833457</v>
      </c>
      <c r="L61" s="190">
        <v>2583493063</v>
      </c>
      <c r="M61" s="190">
        <v>16355443287</v>
      </c>
      <c r="N61" s="190">
        <v>14576344052</v>
      </c>
      <c r="O61" s="190">
        <v>9599617738</v>
      </c>
      <c r="P61" s="190">
        <v>4824510970</v>
      </c>
      <c r="Q61" s="190">
        <v>18069342303</v>
      </c>
      <c r="R61" s="190">
        <v>14345311860</v>
      </c>
      <c r="S61" s="190">
        <v>9223313055</v>
      </c>
      <c r="T61" s="190">
        <v>4528319469</v>
      </c>
      <c r="U61" s="190">
        <v>16070776807</v>
      </c>
      <c r="V61" s="190">
        <v>12203701364</v>
      </c>
      <c r="W61" s="190">
        <v>8202351522</v>
      </c>
      <c r="X61" s="190">
        <v>4369386219</v>
      </c>
      <c r="Y61" s="190">
        <v>14701143647</v>
      </c>
      <c r="Z61" s="190">
        <v>11217229187</v>
      </c>
      <c r="AA61" s="190">
        <v>7752882123</v>
      </c>
      <c r="AB61" s="190">
        <v>4419493333</v>
      </c>
      <c r="AC61" s="190">
        <v>15247132994</v>
      </c>
      <c r="AD61" s="190">
        <v>11988894517</v>
      </c>
      <c r="AE61" s="190">
        <v>8119773632</v>
      </c>
      <c r="AF61" s="190">
        <v>4392433792</v>
      </c>
      <c r="AG61" s="190">
        <v>13686108364</v>
      </c>
      <c r="AH61" s="190">
        <v>10980696476</v>
      </c>
      <c r="AI61" s="190">
        <v>6194954539</v>
      </c>
      <c r="AJ61" s="190">
        <v>3064653617</v>
      </c>
      <c r="AK61" s="190">
        <v>8725960010</v>
      </c>
      <c r="AL61" s="190">
        <v>6138260551</v>
      </c>
      <c r="AM61" s="190">
        <v>3789221312</v>
      </c>
      <c r="AN61" s="190">
        <v>1951255774</v>
      </c>
      <c r="AO61" s="190">
        <v>8920026971</v>
      </c>
      <c r="AP61" s="190">
        <v>7442464170</v>
      </c>
      <c r="AQ61" s="190">
        <v>4962018137</v>
      </c>
      <c r="AR61" s="190">
        <v>2786747385</v>
      </c>
      <c r="AS61" s="190">
        <v>9198891467</v>
      </c>
      <c r="AT61" s="190">
        <v>7064242814</v>
      </c>
      <c r="AU61" s="190">
        <v>4420963617</v>
      </c>
      <c r="AV61" s="190">
        <v>2369391379</v>
      </c>
      <c r="AW61" s="190">
        <v>6528591949</v>
      </c>
      <c r="AX61" s="190">
        <v>4843484842</v>
      </c>
      <c r="AY61" s="190">
        <v>3345234973</v>
      </c>
      <c r="AZ61" s="190">
        <v>1233373298</v>
      </c>
      <c r="BA61" s="190">
        <v>5399025040</v>
      </c>
      <c r="BB61" s="190">
        <v>4063816113</v>
      </c>
      <c r="BC61" s="190">
        <v>2879197875</v>
      </c>
      <c r="BD61" s="190">
        <v>3706269061</v>
      </c>
      <c r="BE61" s="190">
        <v>2300198279</v>
      </c>
      <c r="BF61" s="190">
        <v>0</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2380758178</v>
      </c>
      <c r="C65" s="190">
        <v>1575988197</v>
      </c>
      <c r="D65" s="190">
        <v>770240045</v>
      </c>
      <c r="E65" s="190">
        <v>3129613454</v>
      </c>
      <c r="F65" s="190">
        <v>2251409146</v>
      </c>
      <c r="G65" s="190">
        <v>1559018122</v>
      </c>
      <c r="H65" s="190">
        <v>690251292</v>
      </c>
      <c r="I65" s="190">
        <v>2677654510</v>
      </c>
      <c r="J65" s="190">
        <v>2046787141</v>
      </c>
      <c r="K65" s="190">
        <v>1361707296</v>
      </c>
      <c r="L65" s="190">
        <v>469005333</v>
      </c>
      <c r="M65" s="190">
        <v>2098080307</v>
      </c>
      <c r="N65" s="190">
        <v>1479134693</v>
      </c>
      <c r="O65" s="190">
        <v>972116514</v>
      </c>
      <c r="P65" s="190">
        <v>404080000</v>
      </c>
      <c r="Q65" s="190">
        <v>2540271535</v>
      </c>
      <c r="R65" s="190">
        <v>1803401668</v>
      </c>
      <c r="S65" s="190">
        <v>1180066363</v>
      </c>
      <c r="T65" s="190">
        <v>500000000</v>
      </c>
      <c r="U65" s="190">
        <v>2692992920</v>
      </c>
      <c r="V65" s="190">
        <v>1991088409</v>
      </c>
      <c r="W65" s="190">
        <v>1370721181</v>
      </c>
      <c r="X65" s="190">
        <v>520000000</v>
      </c>
      <c r="Y65" s="190">
        <v>2065261288</v>
      </c>
      <c r="Z65" s="190">
        <v>1439386737</v>
      </c>
      <c r="AA65" s="190">
        <v>1050228878</v>
      </c>
      <c r="AB65" s="190">
        <v>452271380</v>
      </c>
      <c r="AC65" s="190">
        <v>1812636981</v>
      </c>
      <c r="AD65" s="190">
        <v>1383719831</v>
      </c>
      <c r="AE65" s="190">
        <v>922479888</v>
      </c>
      <c r="AF65" s="190">
        <v>493693988</v>
      </c>
      <c r="AG65" s="190">
        <v>582698226</v>
      </c>
      <c r="AH65" s="190">
        <v>123144806</v>
      </c>
      <c r="AI65" s="190">
        <v>0</v>
      </c>
      <c r="AJ65" s="190">
        <v>0</v>
      </c>
      <c r="AK65" s="190">
        <v>1539000</v>
      </c>
      <c r="AL65" s="190">
        <v>1539000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2378107678</v>
      </c>
      <c r="C66" s="190">
        <v>1573337697</v>
      </c>
      <c r="D66" s="190">
        <v>770240045</v>
      </c>
      <c r="E66" s="190">
        <v>3127475954</v>
      </c>
      <c r="F66" s="190">
        <v>2251409146</v>
      </c>
      <c r="G66" s="190">
        <v>1559018122</v>
      </c>
      <c r="H66" s="190">
        <v>690251292</v>
      </c>
      <c r="I66" s="190">
        <v>2677654510</v>
      </c>
      <c r="J66" s="190">
        <v>2040374641</v>
      </c>
      <c r="K66" s="190">
        <v>1361707296</v>
      </c>
      <c r="L66" s="190">
        <v>469005333</v>
      </c>
      <c r="M66" s="190">
        <v>2083117807</v>
      </c>
      <c r="N66" s="190">
        <v>1464172193</v>
      </c>
      <c r="O66" s="190">
        <v>972116514</v>
      </c>
      <c r="P66" s="190">
        <v>404080000</v>
      </c>
      <c r="Q66" s="190">
        <v>2526591535</v>
      </c>
      <c r="R66" s="190">
        <v>1789721668</v>
      </c>
      <c r="S66" s="190">
        <v>1180066363</v>
      </c>
      <c r="T66" s="190">
        <v>500000000</v>
      </c>
      <c r="U66" s="190">
        <v>2671190420</v>
      </c>
      <c r="V66" s="190">
        <v>1969285909</v>
      </c>
      <c r="W66" s="190">
        <v>1359819931</v>
      </c>
      <c r="X66" s="190">
        <v>520000000</v>
      </c>
      <c r="Y66" s="190">
        <v>2061207917</v>
      </c>
      <c r="Z66" s="190">
        <v>1435333366</v>
      </c>
      <c r="AA66" s="190">
        <v>1046175507</v>
      </c>
      <c r="AB66" s="190">
        <v>452271380</v>
      </c>
      <c r="AC66" s="190">
        <v>1809629579</v>
      </c>
      <c r="AD66" s="190">
        <v>1380712429</v>
      </c>
      <c r="AE66" s="190">
        <v>919472486</v>
      </c>
      <c r="AF66" s="190">
        <v>490686586</v>
      </c>
      <c r="AG66" s="190">
        <v>568746763</v>
      </c>
      <c r="AH66" s="190">
        <v>123144806</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2650500</v>
      </c>
      <c r="C67" s="4">
        <f t="shared" ref="C67:BN67" si="67">C65-C66</f>
        <v>2650500</v>
      </c>
      <c r="D67" s="4">
        <f t="shared" si="67"/>
        <v>0</v>
      </c>
      <c r="E67" s="4">
        <f t="shared" si="67"/>
        <v>2137500</v>
      </c>
      <c r="F67" s="4">
        <f t="shared" si="67"/>
        <v>0</v>
      </c>
      <c r="G67" s="4">
        <f t="shared" si="67"/>
        <v>0</v>
      </c>
      <c r="H67" s="4">
        <f t="shared" si="67"/>
        <v>0</v>
      </c>
      <c r="I67" s="4">
        <f t="shared" si="67"/>
        <v>0</v>
      </c>
      <c r="J67" s="4">
        <f t="shared" si="67"/>
        <v>6412500</v>
      </c>
      <c r="K67" s="4">
        <f t="shared" si="67"/>
        <v>0</v>
      </c>
      <c r="L67" s="4">
        <f t="shared" si="67"/>
        <v>0</v>
      </c>
      <c r="M67" s="4">
        <f t="shared" si="67"/>
        <v>14962500</v>
      </c>
      <c r="N67" s="4">
        <f t="shared" si="67"/>
        <v>14962500</v>
      </c>
      <c r="O67" s="4">
        <f t="shared" si="67"/>
        <v>0</v>
      </c>
      <c r="P67" s="4">
        <f t="shared" si="67"/>
        <v>0</v>
      </c>
      <c r="Q67" s="4">
        <f t="shared" si="67"/>
        <v>13680000</v>
      </c>
      <c r="R67" s="4">
        <f t="shared" si="67"/>
        <v>13680000</v>
      </c>
      <c r="S67" s="4">
        <f t="shared" si="67"/>
        <v>0</v>
      </c>
      <c r="T67" s="4">
        <f t="shared" si="67"/>
        <v>0</v>
      </c>
      <c r="U67" s="4">
        <f t="shared" si="67"/>
        <v>21802500</v>
      </c>
      <c r="V67" s="4">
        <f t="shared" si="67"/>
        <v>21802500</v>
      </c>
      <c r="W67" s="4">
        <f t="shared" si="67"/>
        <v>10901250</v>
      </c>
      <c r="X67" s="4">
        <f t="shared" si="67"/>
        <v>0</v>
      </c>
      <c r="Y67" s="4">
        <f t="shared" si="67"/>
        <v>4053371</v>
      </c>
      <c r="Z67" s="4">
        <f t="shared" si="67"/>
        <v>4053371</v>
      </c>
      <c r="AA67" s="4">
        <f t="shared" si="67"/>
        <v>4053371</v>
      </c>
      <c r="AB67" s="4">
        <f t="shared" si="67"/>
        <v>0</v>
      </c>
      <c r="AC67" s="4">
        <f t="shared" si="67"/>
        <v>3007402</v>
      </c>
      <c r="AD67" s="4">
        <f t="shared" si="67"/>
        <v>3007402</v>
      </c>
      <c r="AE67" s="4">
        <f t="shared" si="67"/>
        <v>3007402</v>
      </c>
      <c r="AF67" s="4">
        <f t="shared" si="67"/>
        <v>3007402</v>
      </c>
      <c r="AG67" s="4">
        <f t="shared" si="67"/>
        <v>13951463</v>
      </c>
      <c r="AH67" s="4">
        <f t="shared" si="67"/>
        <v>0</v>
      </c>
      <c r="AI67" s="4">
        <f t="shared" si="67"/>
        <v>0</v>
      </c>
      <c r="AJ67" s="4">
        <f t="shared" si="67"/>
        <v>0</v>
      </c>
      <c r="AK67" s="4">
        <f t="shared" si="67"/>
        <v>1539000</v>
      </c>
      <c r="AL67" s="4">
        <f t="shared" si="67"/>
        <v>1539000</v>
      </c>
      <c r="AM67" s="4">
        <f t="shared" si="67"/>
        <v>0</v>
      </c>
      <c r="AN67" s="4">
        <f t="shared" si="67"/>
        <v>0</v>
      </c>
      <c r="AO67" s="4">
        <f t="shared" si="67"/>
        <v>0</v>
      </c>
      <c r="AP67" s="4">
        <f t="shared" si="67"/>
        <v>0</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0</v>
      </c>
      <c r="BA67" s="4">
        <f t="shared" si="67"/>
        <v>0</v>
      </c>
      <c r="BB67" s="4">
        <f t="shared" si="67"/>
        <v>0</v>
      </c>
      <c r="BC67" s="4">
        <f t="shared" si="67"/>
        <v>0</v>
      </c>
      <c r="BD67" s="4">
        <f t="shared" si="67"/>
        <v>0</v>
      </c>
      <c r="BE67" s="4">
        <f t="shared" si="67"/>
        <v>0</v>
      </c>
      <c r="BF67" s="4">
        <f t="shared" si="67"/>
        <v>0</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98139724</v>
      </c>
      <c r="C68" s="190">
        <v>77320559</v>
      </c>
      <c r="D68" s="190">
        <v>91771196</v>
      </c>
      <c r="E68" s="190">
        <v>737715988</v>
      </c>
      <c r="F68" s="190">
        <v>382163984</v>
      </c>
      <c r="G68" s="190">
        <v>256104077</v>
      </c>
      <c r="H68" s="190">
        <v>181466699</v>
      </c>
      <c r="I68" s="190">
        <v>534960539</v>
      </c>
      <c r="J68" s="190">
        <v>363209162</v>
      </c>
      <c r="K68" s="190">
        <v>244828048</v>
      </c>
      <c r="L68" s="190">
        <v>96466366</v>
      </c>
      <c r="M68" s="190">
        <v>219135980</v>
      </c>
      <c r="N68" s="190">
        <v>128556264</v>
      </c>
      <c r="O68" s="190">
        <v>109413545</v>
      </c>
      <c r="P68" s="190">
        <v>74573846</v>
      </c>
      <c r="Q68" s="190">
        <v>478929874</v>
      </c>
      <c r="R68" s="190">
        <v>344337475</v>
      </c>
      <c r="S68" s="190">
        <v>237288033</v>
      </c>
      <c r="T68" s="190">
        <v>116212804</v>
      </c>
      <c r="U68" s="190">
        <v>663925381</v>
      </c>
      <c r="V68" s="190">
        <v>523175517</v>
      </c>
      <c r="W68" s="190">
        <v>365090480</v>
      </c>
      <c r="X68" s="190">
        <v>196532605</v>
      </c>
      <c r="Y68" s="190">
        <v>862162285</v>
      </c>
      <c r="Z68" s="190">
        <v>620896107</v>
      </c>
      <c r="AA68" s="190">
        <v>422701666</v>
      </c>
      <c r="AB68" s="190">
        <v>197596742</v>
      </c>
      <c r="AC68" s="190">
        <v>1117399550</v>
      </c>
      <c r="AD68" s="190">
        <v>877775193</v>
      </c>
      <c r="AE68" s="190">
        <v>543792496</v>
      </c>
      <c r="AF68" s="190">
        <v>270847135</v>
      </c>
      <c r="AG68" s="190">
        <v>1077091824</v>
      </c>
      <c r="AH68" s="190">
        <v>612029194</v>
      </c>
      <c r="AI68" s="190">
        <v>306164570</v>
      </c>
      <c r="AJ68" s="190">
        <v>159164381</v>
      </c>
      <c r="AK68" s="190">
        <v>443388357</v>
      </c>
      <c r="AL68" s="190">
        <v>555284267</v>
      </c>
      <c r="AM68" s="190">
        <v>356493617</v>
      </c>
      <c r="AN68" s="190">
        <v>179200369</v>
      </c>
      <c r="AO68" s="190">
        <v>152553237</v>
      </c>
      <c r="AP68" s="190">
        <v>392684496</v>
      </c>
      <c r="AQ68" s="190">
        <v>208018406</v>
      </c>
      <c r="AR68" s="190">
        <v>61464033</v>
      </c>
      <c r="AS68" s="190">
        <v>-48538798</v>
      </c>
      <c r="AT68" s="190">
        <v>-56005470</v>
      </c>
      <c r="AU68" s="190">
        <v>-41977522</v>
      </c>
      <c r="AV68" s="190">
        <v>-19268665</v>
      </c>
      <c r="AW68" s="190">
        <v>221739954</v>
      </c>
      <c r="AX68" s="190">
        <v>245748904</v>
      </c>
      <c r="AY68" s="190">
        <v>213785513</v>
      </c>
      <c r="AZ68" s="190">
        <v>116544574</v>
      </c>
      <c r="BA68" s="190">
        <v>438288758</v>
      </c>
      <c r="BB68" s="190">
        <v>272696658</v>
      </c>
      <c r="BC68" s="190">
        <v>182137799</v>
      </c>
      <c r="BD68" s="190">
        <v>-3448628</v>
      </c>
      <c r="BE68" s="190">
        <v>-4482530</v>
      </c>
      <c r="BF68" s="190">
        <v>0</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106118042321</v>
      </c>
      <c r="C70" s="190">
        <v>102179806834</v>
      </c>
      <c r="D70" s="190">
        <v>105019655981</v>
      </c>
      <c r="E70" s="190">
        <v>100910929137</v>
      </c>
      <c r="F70" s="190">
        <v>99064018020</v>
      </c>
      <c r="G70" s="190">
        <v>95407185089</v>
      </c>
      <c r="H70" s="190">
        <v>94760026885</v>
      </c>
      <c r="I70" s="190">
        <v>91574360128</v>
      </c>
      <c r="J70" s="190">
        <v>89327352986</v>
      </c>
      <c r="K70" s="190">
        <v>87561366855</v>
      </c>
      <c r="L70" s="190">
        <v>92655805306</v>
      </c>
      <c r="M70" s="190">
        <v>90610559210</v>
      </c>
      <c r="N70" s="190">
        <v>88058031823</v>
      </c>
      <c r="O70" s="190">
        <v>84205697612</v>
      </c>
      <c r="P70" s="190">
        <v>87714832155</v>
      </c>
      <c r="Q70" s="190">
        <v>83997741533</v>
      </c>
      <c r="R70" s="190">
        <v>81164600240</v>
      </c>
      <c r="S70" s="190">
        <v>78063452758</v>
      </c>
      <c r="T70" s="190">
        <v>80795705962</v>
      </c>
      <c r="U70" s="190">
        <v>77268192991</v>
      </c>
      <c r="V70" s="190">
        <v>74166606516</v>
      </c>
      <c r="W70" s="190">
        <v>71028922978</v>
      </c>
      <c r="X70" s="190">
        <v>73756863403</v>
      </c>
      <c r="Y70" s="190">
        <v>70346819619</v>
      </c>
      <c r="Z70" s="190">
        <v>65914523930</v>
      </c>
      <c r="AA70" s="190">
        <v>63104602366</v>
      </c>
      <c r="AB70" s="190">
        <v>66254431353</v>
      </c>
      <c r="AC70" s="190">
        <v>62837096625</v>
      </c>
      <c r="AD70" s="190">
        <v>60340475671</v>
      </c>
      <c r="AE70" s="190">
        <v>57323515140</v>
      </c>
      <c r="AF70" s="190">
        <v>59759164040</v>
      </c>
      <c r="AG70" s="190">
        <v>56341657363</v>
      </c>
      <c r="AH70" s="190">
        <v>38192009460</v>
      </c>
      <c r="AI70" s="190">
        <v>43708779728</v>
      </c>
      <c r="AJ70" s="190">
        <v>45255890152</v>
      </c>
      <c r="AK70" s="190">
        <v>42957833510</v>
      </c>
      <c r="AL70" s="190">
        <v>41023826146</v>
      </c>
      <c r="AM70" s="190">
        <v>39262847393</v>
      </c>
      <c r="AN70" s="190">
        <v>41783250869</v>
      </c>
      <c r="AO70" s="190">
        <v>40320486488</v>
      </c>
      <c r="AP70" s="190">
        <v>39208776359</v>
      </c>
      <c r="AQ70" s="190">
        <v>37361163756</v>
      </c>
      <c r="AR70" s="190">
        <v>39624057591</v>
      </c>
      <c r="AS70" s="190">
        <v>37533997159</v>
      </c>
      <c r="AT70" s="190">
        <v>36089555931</v>
      </c>
      <c r="AU70" s="190">
        <v>34382235836</v>
      </c>
      <c r="AV70" s="190">
        <v>36903346666</v>
      </c>
      <c r="AW70" s="190">
        <v>35258507562</v>
      </c>
      <c r="AX70" s="190">
        <v>34145917857</v>
      </c>
      <c r="AY70" s="190">
        <v>18428886953</v>
      </c>
      <c r="AZ70" s="190">
        <v>18235498353</v>
      </c>
      <c r="BA70" s="190">
        <v>15644896896</v>
      </c>
      <c r="BB70" s="190">
        <v>0</v>
      </c>
      <c r="BC70" s="190"/>
      <c r="BD70" s="190"/>
      <c r="BE70" s="190"/>
      <c r="BF70" s="190"/>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3" width="21.5546875" hidden="1" customWidth="1"/>
    <col min="4" max="4" width="22.6640625" hidden="1" customWidth="1"/>
    <col min="5" max="5" width="22.6640625" bestFit="1" customWidth="1"/>
    <col min="6" max="8" width="22.6640625" hidden="1" customWidth="1"/>
    <col min="9" max="9" width="22.664062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1.5546875" bestFit="1" customWidth="1"/>
    <col min="66" max="66" width="21.5546875" hidden="1" customWidth="1"/>
    <col min="67" max="67" width="20.33203125" bestFit="1" customWidth="1"/>
    <col min="68" max="68" width="20.33203125" hidden="1" customWidth="1"/>
    <col min="69" max="69" width="21.5546875" bestFit="1" customWidth="1"/>
    <col min="70" max="70" width="21.5546875" hidden="1" customWidth="1"/>
    <col min="71" max="71" width="21.5546875" bestFit="1" customWidth="1"/>
    <col min="72" max="72" width="14.6640625" hidden="1" customWidth="1"/>
    <col min="73" max="73" width="20.33203125" bestFit="1" customWidth="1"/>
    <col min="74" max="74" width="12.21875" hidden="1" customWidth="1"/>
  </cols>
  <sheetData>
    <row r="1" spans="1:74" s="6" customFormat="1" x14ac:dyDescent="0.25">
      <c r="A1" s="104">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15608821</v>
      </c>
      <c r="C3" s="190">
        <v>14468601</v>
      </c>
      <c r="D3" s="190">
        <v>14887502</v>
      </c>
      <c r="E3" s="190">
        <v>12546516</v>
      </c>
      <c r="F3" s="190">
        <v>10997364</v>
      </c>
      <c r="G3" s="190">
        <v>5734127</v>
      </c>
      <c r="H3" s="190">
        <v>4401495</v>
      </c>
      <c r="I3" s="190">
        <v>3573565</v>
      </c>
      <c r="J3" s="190">
        <v>722689</v>
      </c>
      <c r="K3" s="190">
        <v>598320</v>
      </c>
      <c r="L3" s="190">
        <v>37809</v>
      </c>
      <c r="M3" s="190">
        <v>32851440</v>
      </c>
      <c r="N3" s="190">
        <v>41997415</v>
      </c>
      <c r="O3" s="190">
        <v>44521150</v>
      </c>
      <c r="P3" s="190">
        <v>2307947</v>
      </c>
      <c r="Q3" s="190">
        <v>49966311</v>
      </c>
      <c r="R3" s="190">
        <v>27912577</v>
      </c>
      <c r="S3" s="190">
        <v>6891737</v>
      </c>
      <c r="T3" s="190">
        <v>3002142</v>
      </c>
      <c r="U3" s="190">
        <v>19056911</v>
      </c>
      <c r="V3" s="190">
        <v>34017557</v>
      </c>
      <c r="W3" s="190">
        <v>3162268</v>
      </c>
      <c r="X3" s="190">
        <v>769025</v>
      </c>
      <c r="Y3" s="190">
        <v>23795828</v>
      </c>
      <c r="Z3" s="190">
        <v>5452455</v>
      </c>
      <c r="AA3" s="190">
        <v>4611445</v>
      </c>
      <c r="AB3" s="190">
        <v>5500</v>
      </c>
      <c r="AC3" s="190">
        <v>7919882</v>
      </c>
      <c r="AD3" s="190">
        <v>544430</v>
      </c>
      <c r="AE3" s="190">
        <v>524822</v>
      </c>
      <c r="AF3" s="190">
        <v>9200</v>
      </c>
      <c r="AG3" s="190">
        <v>34158096</v>
      </c>
      <c r="AH3" s="190">
        <v>6055088</v>
      </c>
      <c r="AI3" s="190">
        <v>5589334</v>
      </c>
      <c r="AJ3" s="190">
        <v>5586392</v>
      </c>
      <c r="AK3" s="190">
        <v>42351853</v>
      </c>
      <c r="AL3" s="190">
        <v>42355503</v>
      </c>
      <c r="AM3" s="190">
        <v>42351923</v>
      </c>
      <c r="AN3" s="190">
        <v>2100</v>
      </c>
      <c r="AO3" s="190">
        <v>13761445</v>
      </c>
      <c r="AP3" s="190">
        <v>1281976</v>
      </c>
      <c r="AQ3" s="190">
        <v>1276176</v>
      </c>
      <c r="AR3" s="190">
        <v>1275376</v>
      </c>
      <c r="AS3" s="190">
        <v>28355</v>
      </c>
      <c r="AT3" s="190">
        <v>28355</v>
      </c>
      <c r="AU3" s="190">
        <v>28355</v>
      </c>
      <c r="AV3" s="190">
        <v>8600</v>
      </c>
      <c r="AW3" s="190">
        <v>1907027</v>
      </c>
      <c r="AX3" s="190">
        <v>858746</v>
      </c>
      <c r="AY3" s="190">
        <v>685876</v>
      </c>
      <c r="AZ3" s="190">
        <v>41772</v>
      </c>
      <c r="BA3" s="190">
        <v>16678841</v>
      </c>
      <c r="BB3" s="190">
        <v>0</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2265529294</v>
      </c>
      <c r="C4" s="190">
        <v>2123296811</v>
      </c>
      <c r="D4" s="190">
        <v>994566214</v>
      </c>
      <c r="E4" s="190">
        <v>4367798333</v>
      </c>
      <c r="F4" s="190">
        <v>2250123750</v>
      </c>
      <c r="G4" s="190">
        <v>1649190344</v>
      </c>
      <c r="H4" s="190">
        <v>1355821001</v>
      </c>
      <c r="I4" s="190">
        <v>3075397390</v>
      </c>
      <c r="J4" s="190">
        <v>1391741195</v>
      </c>
      <c r="K4" s="190">
        <v>1364122007</v>
      </c>
      <c r="L4" s="190">
        <v>907778517</v>
      </c>
      <c r="M4" s="190">
        <v>5811680519</v>
      </c>
      <c r="N4" s="190">
        <v>3539619184</v>
      </c>
      <c r="O4" s="190">
        <v>2130766202</v>
      </c>
      <c r="P4" s="190">
        <v>1564192451</v>
      </c>
      <c r="Q4" s="190">
        <v>5515378310</v>
      </c>
      <c r="R4" s="190">
        <v>3900259552</v>
      </c>
      <c r="S4" s="190">
        <v>3088180713</v>
      </c>
      <c r="T4" s="190">
        <v>1355657894</v>
      </c>
      <c r="U4" s="190">
        <v>4738045691</v>
      </c>
      <c r="V4" s="190">
        <v>2800347105</v>
      </c>
      <c r="W4" s="190">
        <v>1918261197</v>
      </c>
      <c r="X4" s="190">
        <v>1244041759</v>
      </c>
      <c r="Y4" s="190">
        <v>3943464603</v>
      </c>
      <c r="Z4" s="190">
        <v>2703193443</v>
      </c>
      <c r="AA4" s="190">
        <v>1669048458</v>
      </c>
      <c r="AB4" s="190">
        <v>784963787</v>
      </c>
      <c r="AC4" s="190">
        <v>3987524780</v>
      </c>
      <c r="AD4" s="190">
        <v>2494385771</v>
      </c>
      <c r="AE4" s="190">
        <v>2128244580</v>
      </c>
      <c r="AF4" s="190">
        <v>1080140807</v>
      </c>
      <c r="AG4" s="190">
        <v>4190150943</v>
      </c>
      <c r="AH4" s="190">
        <v>4731124624</v>
      </c>
      <c r="AI4" s="190">
        <v>3324858679</v>
      </c>
      <c r="AJ4" s="190">
        <v>1944457652</v>
      </c>
      <c r="AK4" s="190">
        <v>17138861516</v>
      </c>
      <c r="AL4" s="190">
        <v>3327250013</v>
      </c>
      <c r="AM4" s="190">
        <v>1925741378</v>
      </c>
      <c r="AN4" s="190">
        <v>950305217</v>
      </c>
      <c r="AO4" s="190">
        <v>7935258302</v>
      </c>
      <c r="AP4" s="190">
        <v>5190338768</v>
      </c>
      <c r="AQ4" s="190">
        <v>3646442010</v>
      </c>
      <c r="AR4" s="190">
        <v>1723988932</v>
      </c>
      <c r="AS4" s="190">
        <v>3565589205</v>
      </c>
      <c r="AT4" s="190">
        <v>2124094029</v>
      </c>
      <c r="AU4" s="190">
        <v>1607912778</v>
      </c>
      <c r="AV4" s="190">
        <v>1283932811</v>
      </c>
      <c r="AW4" s="190">
        <v>7072686867</v>
      </c>
      <c r="AX4" s="190">
        <v>5830309490</v>
      </c>
      <c r="AY4" s="190">
        <v>1342933870</v>
      </c>
      <c r="AZ4" s="190">
        <v>497019701</v>
      </c>
      <c r="BA4" s="190">
        <v>6691740278</v>
      </c>
      <c r="BB4" s="190">
        <v>0</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4355251817</v>
      </c>
      <c r="F5" s="47">
        <f t="shared" ref="F5:AR5" si="0">F4-F3</f>
        <v>2239126386</v>
      </c>
      <c r="G5" s="47">
        <f t="shared" si="0"/>
        <v>1643456217</v>
      </c>
      <c r="H5" s="47">
        <f t="shared" si="0"/>
        <v>1351419506</v>
      </c>
      <c r="I5" s="47">
        <f t="shared" si="0"/>
        <v>3071823825</v>
      </c>
      <c r="J5" s="47">
        <f t="shared" si="0"/>
        <v>1391018506</v>
      </c>
      <c r="K5" s="47">
        <f t="shared" si="0"/>
        <v>1363523687</v>
      </c>
      <c r="L5" s="47">
        <f t="shared" si="0"/>
        <v>907740708</v>
      </c>
      <c r="M5" s="47">
        <f t="shared" si="0"/>
        <v>5778829079</v>
      </c>
      <c r="N5" s="47">
        <f t="shared" si="0"/>
        <v>3497621769</v>
      </c>
      <c r="O5" s="47">
        <f t="shared" si="0"/>
        <v>2086245052</v>
      </c>
      <c r="P5" s="47">
        <f t="shared" si="0"/>
        <v>1561884504</v>
      </c>
      <c r="Q5" s="47">
        <f t="shared" si="0"/>
        <v>5465411999</v>
      </c>
      <c r="R5" s="47">
        <f t="shared" si="0"/>
        <v>3872346975</v>
      </c>
      <c r="S5" s="47">
        <f t="shared" si="0"/>
        <v>3081288976</v>
      </c>
      <c r="T5" s="47">
        <f t="shared" si="0"/>
        <v>1352655752</v>
      </c>
      <c r="U5" s="47">
        <f t="shared" si="0"/>
        <v>4718988780</v>
      </c>
      <c r="V5" s="47">
        <f t="shared" si="0"/>
        <v>2766329548</v>
      </c>
      <c r="W5" s="47">
        <f t="shared" si="0"/>
        <v>1915098929</v>
      </c>
      <c r="X5" s="47">
        <f t="shared" si="0"/>
        <v>1243272734</v>
      </c>
      <c r="Y5" s="47">
        <f t="shared" si="0"/>
        <v>3919668775</v>
      </c>
      <c r="Z5" s="47">
        <f t="shared" si="0"/>
        <v>2697740988</v>
      </c>
      <c r="AA5" s="47">
        <f t="shared" si="0"/>
        <v>1664437013</v>
      </c>
      <c r="AB5" s="47">
        <f t="shared" si="0"/>
        <v>784958287</v>
      </c>
      <c r="AC5" s="47">
        <f t="shared" si="0"/>
        <v>3979604898</v>
      </c>
      <c r="AD5" s="47">
        <f t="shared" si="0"/>
        <v>2493841341</v>
      </c>
      <c r="AE5" s="47">
        <f t="shared" si="0"/>
        <v>2127719758</v>
      </c>
      <c r="AF5" s="47">
        <f t="shared" si="0"/>
        <v>1080131607</v>
      </c>
      <c r="AG5" s="47">
        <f t="shared" si="0"/>
        <v>4155992847</v>
      </c>
      <c r="AH5" s="47">
        <f t="shared" si="0"/>
        <v>4725069536</v>
      </c>
      <c r="AI5" s="47">
        <f t="shared" si="0"/>
        <v>3319269345</v>
      </c>
      <c r="AJ5" s="47">
        <f t="shared" si="0"/>
        <v>1938871260</v>
      </c>
      <c r="AK5" s="47">
        <f t="shared" si="0"/>
        <v>17096509663</v>
      </c>
      <c r="AL5" s="47">
        <f t="shared" si="0"/>
        <v>3284894510</v>
      </c>
      <c r="AM5" s="47">
        <f t="shared" si="0"/>
        <v>1883389455</v>
      </c>
      <c r="AN5" s="47">
        <f t="shared" si="0"/>
        <v>950303117</v>
      </c>
      <c r="AO5" s="47">
        <f t="shared" si="0"/>
        <v>7921496857</v>
      </c>
      <c r="AP5" s="47">
        <f t="shared" si="0"/>
        <v>5189056792</v>
      </c>
      <c r="AQ5" s="47">
        <f t="shared" si="0"/>
        <v>3645165834</v>
      </c>
      <c r="AR5" s="47">
        <f t="shared" si="0"/>
        <v>1722713556</v>
      </c>
    </row>
    <row r="6" spans="1:74" s="105" customFormat="1" x14ac:dyDescent="0.25">
      <c r="A6" s="136" t="s">
        <v>305</v>
      </c>
      <c r="B6" s="190">
        <v>0</v>
      </c>
      <c r="C6" s="190">
        <v>2905028843</v>
      </c>
      <c r="D6" s="190">
        <v>0</v>
      </c>
      <c r="E6" s="190">
        <v>5461019302</v>
      </c>
      <c r="F6" s="190">
        <v>0</v>
      </c>
      <c r="G6" s="190">
        <v>2589176230</v>
      </c>
      <c r="H6" s="190">
        <v>0</v>
      </c>
      <c r="I6" s="190">
        <v>5119309018</v>
      </c>
      <c r="J6" s="190">
        <v>0</v>
      </c>
      <c r="K6" s="190">
        <v>2551981274</v>
      </c>
      <c r="L6" s="190">
        <v>0</v>
      </c>
      <c r="M6" s="190">
        <v>5020579521</v>
      </c>
      <c r="N6" s="190">
        <v>0</v>
      </c>
      <c r="O6" s="190">
        <v>2410598700</v>
      </c>
      <c r="P6" s="190">
        <v>0</v>
      </c>
      <c r="Q6" s="190">
        <v>4817340897</v>
      </c>
      <c r="R6" s="190">
        <v>0</v>
      </c>
      <c r="S6" s="190">
        <v>2405687650</v>
      </c>
      <c r="T6" s="190">
        <v>0</v>
      </c>
      <c r="U6" s="190">
        <v>4710162112</v>
      </c>
      <c r="V6" s="190">
        <v>0</v>
      </c>
      <c r="W6" s="190">
        <v>2289789922</v>
      </c>
      <c r="X6" s="190">
        <v>0</v>
      </c>
      <c r="Y6" s="190">
        <v>4369515680</v>
      </c>
      <c r="Z6" s="190">
        <v>0</v>
      </c>
      <c r="AA6" s="190">
        <v>2166445663</v>
      </c>
      <c r="AB6" s="190">
        <v>0</v>
      </c>
      <c r="AC6" s="190">
        <v>3983709370</v>
      </c>
      <c r="AD6" s="190">
        <v>0</v>
      </c>
      <c r="AE6" s="190">
        <v>1996747541</v>
      </c>
      <c r="AF6" s="190">
        <v>0</v>
      </c>
      <c r="AG6" s="190">
        <v>4007101655</v>
      </c>
      <c r="AH6" s="190">
        <v>0</v>
      </c>
      <c r="AI6" s="190">
        <v>1579575258</v>
      </c>
      <c r="AJ6" s="190">
        <v>0</v>
      </c>
      <c r="AK6" s="190">
        <v>3029928146</v>
      </c>
      <c r="AL6" s="190">
        <v>0</v>
      </c>
      <c r="AM6" s="190">
        <v>1491385357</v>
      </c>
      <c r="AN6" s="190">
        <v>0</v>
      </c>
      <c r="AO6" s="190">
        <v>2505398047</v>
      </c>
      <c r="AP6" s="190">
        <v>0</v>
      </c>
      <c r="AQ6" s="190">
        <v>1146631492</v>
      </c>
      <c r="AR6" s="190">
        <v>0</v>
      </c>
      <c r="AS6" s="190">
        <v>1714239075</v>
      </c>
      <c r="AT6" s="190">
        <v>0</v>
      </c>
      <c r="AU6" s="190">
        <v>816923597</v>
      </c>
      <c r="AV6" s="190">
        <v>0</v>
      </c>
      <c r="AW6" s="190">
        <v>1798528698</v>
      </c>
      <c r="AX6" s="190">
        <v>1330599503</v>
      </c>
      <c r="AY6" s="190">
        <v>962345915</v>
      </c>
      <c r="AZ6" s="190">
        <v>0</v>
      </c>
      <c r="BA6" s="190">
        <v>1012226671</v>
      </c>
      <c r="BB6" s="190">
        <v>0</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60827866</v>
      </c>
      <c r="D7" s="190">
        <v>0</v>
      </c>
      <c r="E7" s="190">
        <v>121652898</v>
      </c>
      <c r="F7" s="190">
        <v>0</v>
      </c>
      <c r="G7" s="190">
        <v>60681861</v>
      </c>
      <c r="H7" s="190">
        <v>0</v>
      </c>
      <c r="I7" s="190">
        <v>114966707</v>
      </c>
      <c r="J7" s="190">
        <v>0</v>
      </c>
      <c r="K7" s="190">
        <v>57069925</v>
      </c>
      <c r="L7" s="190">
        <v>0</v>
      </c>
      <c r="M7" s="190">
        <v>114262204</v>
      </c>
      <c r="N7" s="190">
        <v>0</v>
      </c>
      <c r="O7" s="190">
        <v>57123407</v>
      </c>
      <c r="P7" s="190">
        <v>0</v>
      </c>
      <c r="Q7" s="190">
        <v>114052729</v>
      </c>
      <c r="R7" s="190">
        <v>0</v>
      </c>
      <c r="S7" s="190">
        <v>56969028</v>
      </c>
      <c r="T7" s="190">
        <v>0</v>
      </c>
      <c r="U7" s="190">
        <v>110315189</v>
      </c>
      <c r="V7" s="190">
        <v>0</v>
      </c>
      <c r="W7" s="190">
        <v>54781422</v>
      </c>
      <c r="X7" s="190">
        <v>0</v>
      </c>
      <c r="Y7" s="190">
        <v>109135917</v>
      </c>
      <c r="Z7" s="190">
        <v>0</v>
      </c>
      <c r="AA7" s="190">
        <v>52435311</v>
      </c>
      <c r="AB7" s="190">
        <v>0</v>
      </c>
      <c r="AC7" s="190">
        <v>104796624</v>
      </c>
      <c r="AD7" s="190">
        <v>0</v>
      </c>
      <c r="AE7" s="190">
        <v>52322507</v>
      </c>
      <c r="AF7" s="190">
        <v>0</v>
      </c>
      <c r="AG7" s="190">
        <v>105438341</v>
      </c>
      <c r="AH7" s="190">
        <v>0</v>
      </c>
      <c r="AI7" s="190">
        <v>51898733</v>
      </c>
      <c r="AJ7" s="190">
        <v>0</v>
      </c>
      <c r="AK7" s="190">
        <v>103961778</v>
      </c>
      <c r="AL7" s="190">
        <v>0</v>
      </c>
      <c r="AM7" s="190">
        <v>51898733</v>
      </c>
      <c r="AN7" s="190">
        <v>0</v>
      </c>
      <c r="AO7" s="190">
        <v>103961780</v>
      </c>
      <c r="AP7" s="190">
        <v>0</v>
      </c>
      <c r="AQ7" s="190">
        <v>51898733</v>
      </c>
      <c r="AR7" s="190">
        <v>0</v>
      </c>
      <c r="AS7" s="190">
        <v>103916779</v>
      </c>
      <c r="AT7" s="190">
        <v>0</v>
      </c>
      <c r="AU7" s="190">
        <v>51898733</v>
      </c>
      <c r="AV7" s="190">
        <v>0</v>
      </c>
      <c r="AW7" s="190">
        <v>103864966</v>
      </c>
      <c r="AX7" s="190">
        <v>77848010</v>
      </c>
      <c r="AY7" s="190">
        <v>51898733</v>
      </c>
      <c r="AZ7" s="190">
        <v>0</v>
      </c>
      <c r="BA7" s="190">
        <v>103797467</v>
      </c>
      <c r="BB7" s="190">
        <v>0</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13327669</v>
      </c>
      <c r="D8" s="190">
        <v>0</v>
      </c>
      <c r="E8" s="190">
        <v>23912566</v>
      </c>
      <c r="F8" s="190">
        <v>0</v>
      </c>
      <c r="G8" s="190">
        <v>3277060</v>
      </c>
      <c r="H8" s="190">
        <v>0</v>
      </c>
      <c r="I8" s="190">
        <v>4499497</v>
      </c>
      <c r="J8" s="190">
        <v>0</v>
      </c>
      <c r="K8" s="190">
        <v>810515</v>
      </c>
      <c r="L8" s="190">
        <v>0</v>
      </c>
      <c r="M8" s="190">
        <v>35127835</v>
      </c>
      <c r="N8" s="190">
        <v>0</v>
      </c>
      <c r="O8" s="190">
        <v>24580833</v>
      </c>
      <c r="P8" s="190">
        <v>0</v>
      </c>
      <c r="Q8" s="190">
        <v>35645836</v>
      </c>
      <c r="R8" s="190">
        <v>0</v>
      </c>
      <c r="S8" s="190">
        <v>14467233</v>
      </c>
      <c r="T8" s="190">
        <v>0</v>
      </c>
      <c r="U8" s="190">
        <v>31520824</v>
      </c>
      <c r="V8" s="190">
        <v>0</v>
      </c>
      <c r="W8" s="190">
        <v>15889266</v>
      </c>
      <c r="X8" s="190">
        <v>0</v>
      </c>
      <c r="Y8" s="190">
        <v>31242686</v>
      </c>
      <c r="Z8" s="190">
        <v>0</v>
      </c>
      <c r="AA8" s="190">
        <v>7265547</v>
      </c>
      <c r="AB8" s="190">
        <v>0</v>
      </c>
      <c r="AC8" s="190">
        <v>1924702</v>
      </c>
      <c r="AD8" s="190">
        <v>0</v>
      </c>
      <c r="AE8" s="190">
        <v>1839572</v>
      </c>
      <c r="AF8" s="190">
        <v>0</v>
      </c>
      <c r="AG8" s="190">
        <v>5209033</v>
      </c>
      <c r="AH8" s="190">
        <v>0</v>
      </c>
      <c r="AI8" s="190">
        <v>2442554</v>
      </c>
      <c r="AJ8" s="190">
        <v>0</v>
      </c>
      <c r="AK8" s="190">
        <v>5370017</v>
      </c>
      <c r="AL8" s="190">
        <v>0</v>
      </c>
      <c r="AM8" s="190">
        <v>2761034</v>
      </c>
      <c r="AN8" s="190">
        <v>0</v>
      </c>
      <c r="AO8" s="190">
        <v>6826343</v>
      </c>
      <c r="AP8" s="190">
        <v>0</v>
      </c>
      <c r="AQ8" s="190">
        <v>4449580</v>
      </c>
      <c r="AR8" s="190">
        <v>0</v>
      </c>
      <c r="AS8" s="190">
        <v>2684340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-57808</v>
      </c>
      <c r="D9" s="190">
        <v>0</v>
      </c>
      <c r="E9" s="190">
        <v>17651389</v>
      </c>
      <c r="F9" s="190">
        <v>0</v>
      </c>
      <c r="G9" s="190">
        <v>4279635</v>
      </c>
      <c r="H9" s="190">
        <v>0</v>
      </c>
      <c r="I9" s="190">
        <v>46720455</v>
      </c>
      <c r="J9" s="190">
        <v>0</v>
      </c>
      <c r="K9" s="190">
        <v>3928763</v>
      </c>
      <c r="L9" s="190">
        <v>0</v>
      </c>
      <c r="M9" s="190">
        <v>147149015</v>
      </c>
      <c r="N9" s="190">
        <v>0</v>
      </c>
      <c r="O9" s="190">
        <v>137315264</v>
      </c>
      <c r="P9" s="190">
        <v>0</v>
      </c>
      <c r="Q9" s="190">
        <v>44515558</v>
      </c>
      <c r="R9" s="190">
        <v>0</v>
      </c>
      <c r="S9" s="190">
        <v>6769251</v>
      </c>
      <c r="T9" s="190">
        <v>0</v>
      </c>
      <c r="U9" s="190">
        <v>73263779</v>
      </c>
      <c r="V9" s="190">
        <v>0</v>
      </c>
      <c r="W9" s="190">
        <v>29792214</v>
      </c>
      <c r="X9" s="190">
        <v>0</v>
      </c>
      <c r="Y9" s="190">
        <v>10364189</v>
      </c>
      <c r="Z9" s="190">
        <v>0</v>
      </c>
      <c r="AA9" s="190">
        <v>2557295</v>
      </c>
      <c r="AB9" s="190">
        <v>0</v>
      </c>
      <c r="AC9" s="190">
        <v>25804111</v>
      </c>
      <c r="AD9" s="190">
        <v>0</v>
      </c>
      <c r="AE9" s="190">
        <v>4650109</v>
      </c>
      <c r="AF9" s="190">
        <v>0</v>
      </c>
      <c r="AG9" s="190">
        <v>19596898</v>
      </c>
      <c r="AH9" s="190">
        <v>0</v>
      </c>
      <c r="AI9" s="190">
        <v>4308621</v>
      </c>
      <c r="AJ9" s="190">
        <v>0</v>
      </c>
      <c r="AK9" s="190">
        <v>46231859</v>
      </c>
      <c r="AL9" s="190">
        <v>0</v>
      </c>
      <c r="AM9" s="190">
        <v>643613</v>
      </c>
      <c r="AN9" s="190">
        <v>0</v>
      </c>
      <c r="AO9" s="190">
        <v>-56435937</v>
      </c>
      <c r="AP9" s="190">
        <v>0</v>
      </c>
      <c r="AQ9" s="190">
        <v>46465788</v>
      </c>
      <c r="AR9" s="190">
        <v>0</v>
      </c>
      <c r="AS9" s="190">
        <v>76727325</v>
      </c>
      <c r="AT9" s="190">
        <v>0</v>
      </c>
      <c r="AU9" s="190">
        <v>0</v>
      </c>
      <c r="AV9" s="190">
        <v>0</v>
      </c>
      <c r="AW9" s="190">
        <v>44621365</v>
      </c>
      <c r="AX9" s="190">
        <v>34359112</v>
      </c>
      <c r="AY9" s="190">
        <v>132977</v>
      </c>
      <c r="AZ9" s="190">
        <v>0</v>
      </c>
      <c r="BA9" s="190">
        <v>79873783</v>
      </c>
      <c r="BB9" s="190">
        <v>0</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3839927</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32094060</v>
      </c>
      <c r="AV10" s="190">
        <v>0</v>
      </c>
      <c r="AW10" s="190">
        <v>0</v>
      </c>
      <c r="AX10" s="190">
        <v>0</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-1268984338</v>
      </c>
      <c r="F11" s="47">
        <f t="shared" ref="F11:BQ11" si="1">F5-F6-F7-F8-F9-F10</f>
        <v>2239126386</v>
      </c>
      <c r="G11" s="47">
        <f t="shared" si="1"/>
        <v>-1013958569</v>
      </c>
      <c r="H11" s="47">
        <f t="shared" si="1"/>
        <v>1351419506</v>
      </c>
      <c r="I11" s="47">
        <f t="shared" si="1"/>
        <v>-2213671852</v>
      </c>
      <c r="J11" s="47">
        <f t="shared" si="1"/>
        <v>1391018506</v>
      </c>
      <c r="K11" s="47">
        <f t="shared" si="1"/>
        <v>-1250266790</v>
      </c>
      <c r="L11" s="47">
        <f t="shared" si="1"/>
        <v>907740708</v>
      </c>
      <c r="M11" s="47">
        <f t="shared" si="1"/>
        <v>461710504</v>
      </c>
      <c r="N11" s="47">
        <f t="shared" si="1"/>
        <v>3497621769</v>
      </c>
      <c r="O11" s="47">
        <f t="shared" si="1"/>
        <v>-543373152</v>
      </c>
      <c r="P11" s="47">
        <f t="shared" si="1"/>
        <v>1561884504</v>
      </c>
      <c r="Q11" s="47">
        <f t="shared" si="1"/>
        <v>453856979</v>
      </c>
      <c r="R11" s="47">
        <f t="shared" si="1"/>
        <v>3872346975</v>
      </c>
      <c r="S11" s="47">
        <f t="shared" si="1"/>
        <v>597395814</v>
      </c>
      <c r="T11" s="47">
        <f t="shared" si="1"/>
        <v>1352655752</v>
      </c>
      <c r="U11" s="47">
        <f t="shared" si="1"/>
        <v>-206273124</v>
      </c>
      <c r="V11" s="47">
        <f t="shared" si="1"/>
        <v>2766329548</v>
      </c>
      <c r="W11" s="47">
        <f t="shared" si="1"/>
        <v>-475153895</v>
      </c>
      <c r="X11" s="47">
        <f t="shared" si="1"/>
        <v>1243272734</v>
      </c>
      <c r="Y11" s="47">
        <f t="shared" si="1"/>
        <v>-600589697</v>
      </c>
      <c r="Z11" s="47">
        <f t="shared" si="1"/>
        <v>2697740988</v>
      </c>
      <c r="AA11" s="47">
        <f t="shared" si="1"/>
        <v>-564266803</v>
      </c>
      <c r="AB11" s="47">
        <f t="shared" si="1"/>
        <v>784958287</v>
      </c>
      <c r="AC11" s="47">
        <f t="shared" si="1"/>
        <v>-136629909</v>
      </c>
      <c r="AD11" s="47">
        <f t="shared" si="1"/>
        <v>2493841341</v>
      </c>
      <c r="AE11" s="47">
        <f t="shared" si="1"/>
        <v>72160029</v>
      </c>
      <c r="AF11" s="47">
        <f t="shared" si="1"/>
        <v>1080131607</v>
      </c>
      <c r="AG11" s="47">
        <f t="shared" si="1"/>
        <v>18646920</v>
      </c>
      <c r="AH11" s="47">
        <f t="shared" si="1"/>
        <v>4725069536</v>
      </c>
      <c r="AI11" s="47">
        <f t="shared" si="1"/>
        <v>1681044179</v>
      </c>
      <c r="AJ11" s="47">
        <f t="shared" si="1"/>
        <v>1938871260</v>
      </c>
      <c r="AK11" s="47">
        <f t="shared" si="1"/>
        <v>13911017863</v>
      </c>
      <c r="AL11" s="47">
        <f t="shared" si="1"/>
        <v>3284894510</v>
      </c>
      <c r="AM11" s="47">
        <f t="shared" si="1"/>
        <v>336700718</v>
      </c>
      <c r="AN11" s="47">
        <f t="shared" si="1"/>
        <v>950303117</v>
      </c>
      <c r="AO11" s="47">
        <f t="shared" si="1"/>
        <v>5361746624</v>
      </c>
      <c r="AP11" s="47">
        <f t="shared" si="1"/>
        <v>5189056792</v>
      </c>
      <c r="AQ11" s="47">
        <f t="shared" si="1"/>
        <v>2395720241</v>
      </c>
      <c r="AR11" s="47">
        <f t="shared" si="1"/>
        <v>1722713556</v>
      </c>
      <c r="AS11" s="47">
        <f t="shared" si="1"/>
        <v>-1897567519</v>
      </c>
      <c r="AT11" s="47">
        <f t="shared" si="1"/>
        <v>0</v>
      </c>
      <c r="AU11" s="47">
        <f t="shared" si="1"/>
        <v>-900916390</v>
      </c>
      <c r="AV11" s="47">
        <f t="shared" si="1"/>
        <v>0</v>
      </c>
      <c r="AW11" s="47">
        <f t="shared" si="1"/>
        <v>-1947015029</v>
      </c>
      <c r="AX11" s="47">
        <f t="shared" si="1"/>
        <v>-1442806625</v>
      </c>
      <c r="AY11" s="47">
        <f t="shared" si="1"/>
        <v>-1014377625</v>
      </c>
      <c r="AZ11" s="47">
        <f t="shared" si="1"/>
        <v>0</v>
      </c>
      <c r="BA11" s="47">
        <f t="shared" si="1"/>
        <v>-1195897921</v>
      </c>
      <c r="BB11" s="47">
        <f t="shared" si="1"/>
        <v>0</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101307937990</v>
      </c>
      <c r="F12" s="26">
        <f t="shared" si="3"/>
        <v>99081297504</v>
      </c>
      <c r="G12" s="26">
        <f t="shared" si="3"/>
        <v>97367642262</v>
      </c>
      <c r="H12" s="26">
        <f t="shared" si="3"/>
        <v>98663516773</v>
      </c>
      <c r="I12" s="26">
        <f t="shared" si="3"/>
        <v>98614062189</v>
      </c>
      <c r="J12" s="26">
        <f t="shared" si="3"/>
        <v>90001302330</v>
      </c>
      <c r="K12" s="26">
        <f t="shared" si="3"/>
        <v>89089118508</v>
      </c>
      <c r="L12" s="26">
        <f t="shared" si="3"/>
        <v>89254828108</v>
      </c>
      <c r="M12" s="26">
        <f t="shared" si="3"/>
        <v>89818951854</v>
      </c>
      <c r="N12" s="26">
        <f t="shared" si="3"/>
        <v>89256381429</v>
      </c>
      <c r="O12" s="26">
        <f t="shared" si="3"/>
        <v>88939548020</v>
      </c>
      <c r="P12" s="26">
        <f t="shared" si="3"/>
        <v>88946610761</v>
      </c>
      <c r="Q12" s="26">
        <f t="shared" si="3"/>
        <v>89361069473</v>
      </c>
      <c r="R12" s="193">
        <f t="shared" ref="R12" si="4">V34</f>
        <v>87086000452</v>
      </c>
      <c r="S12" s="193">
        <f t="shared" ref="S12" si="5">W34</f>
        <v>86545013930</v>
      </c>
      <c r="T12" s="193">
        <f t="shared" ref="T12" si="6">X34</f>
        <v>86536255799</v>
      </c>
      <c r="U12" s="193">
        <f t="shared" ref="U12" si="7">Y34</f>
        <v>86878460080</v>
      </c>
      <c r="V12" s="193">
        <f t="shared" ref="V12" si="8">Z34</f>
        <v>85166708268</v>
      </c>
      <c r="W12" s="193">
        <f t="shared" ref="W12" si="9">AA34</f>
        <v>84877552940</v>
      </c>
      <c r="X12" s="193">
        <f t="shared" ref="X12" si="10">AB34</f>
        <v>84617607722</v>
      </c>
      <c r="Y12" s="193">
        <f t="shared" ref="Y12" si="11">AC34</f>
        <v>85125100762</v>
      </c>
      <c r="Z12" s="193">
        <f t="shared" ref="Z12" si="12">AD34</f>
        <v>84829028974</v>
      </c>
      <c r="AA12" s="193">
        <f t="shared" ref="AA12" si="13">AE34</f>
        <v>85040042627</v>
      </c>
      <c r="AB12" s="193">
        <f t="shared" ref="AB12" si="14">AF34</f>
        <v>85502833197</v>
      </c>
      <c r="AC12" s="193">
        <f t="shared" ref="AC12" si="15">AG34</f>
        <v>85892497192</v>
      </c>
      <c r="AD12" s="193">
        <f t="shared" ref="AD12" si="16">AH34</f>
        <v>86947367670</v>
      </c>
      <c r="AE12" s="193">
        <f t="shared" ref="AE12" si="17">AI34</f>
        <v>62153085142</v>
      </c>
      <c r="AF12" s="193">
        <f t="shared" ref="AF12" si="18">AJ34</f>
        <v>56217997588</v>
      </c>
      <c r="AG12" s="193">
        <f t="shared" ref="AG12" si="19">AK34</f>
        <v>55460856097</v>
      </c>
      <c r="AH12" s="193">
        <f t="shared" ref="AH12" si="20">AL34</f>
        <v>55954530253</v>
      </c>
      <c r="AI12" s="193">
        <f t="shared" ref="AI12" si="21">AM34</f>
        <v>56539038135</v>
      </c>
      <c r="AJ12" s="193">
        <f t="shared" ref="AJ12" si="22">AN34</f>
        <v>55009365928</v>
      </c>
      <c r="AK12" s="193">
        <f t="shared" ref="AK12" si="23">AO34</f>
        <v>55133609411</v>
      </c>
      <c r="AL12" s="193">
        <f t="shared" ref="AL12" si="24">AP34</f>
        <v>51212132273</v>
      </c>
      <c r="AM12" s="193">
        <f t="shared" ref="AM12" si="25">AQ34</f>
        <v>45831757630</v>
      </c>
      <c r="AN12" s="193">
        <f t="shared" ref="AN12" si="26">AR34</f>
        <v>42518008725</v>
      </c>
      <c r="AO12" s="193">
        <f t="shared" ref="AO12" si="27">AS34</f>
        <v>42112575802</v>
      </c>
      <c r="AP12" s="193">
        <f t="shared" ref="AP12" si="28">AT34</f>
        <v>33529562137</v>
      </c>
      <c r="AQ12" s="193">
        <f t="shared" ref="AQ12" si="29">AU34</f>
        <v>33429044248</v>
      </c>
      <c r="AR12" s="193">
        <f t="shared" ref="AR12" si="30">AV34</f>
        <v>33840190373</v>
      </c>
      <c r="AS12" s="193">
        <f t="shared" ref="AS12" si="31">AW34</f>
        <v>33411004617</v>
      </c>
      <c r="AT12" s="193">
        <f t="shared" ref="AT12" si="32">AX34</f>
        <v>32594609265</v>
      </c>
      <c r="AU12" s="193">
        <f t="shared" ref="AU12" si="33">AY34</f>
        <v>31435560207</v>
      </c>
      <c r="AV12" s="193">
        <f t="shared" ref="AV12" si="34">AZ34</f>
        <v>31537736633</v>
      </c>
      <c r="AW12" s="193">
        <f t="shared" ref="AW12" si="35">BA34</f>
        <v>16712546651</v>
      </c>
      <c r="AX12" s="193">
        <f t="shared" ref="AX12" si="36">BB34</f>
        <v>0</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51212132273</v>
      </c>
      <c r="BN12" s="193">
        <f t="shared" ref="BN12" si="52">BR34</f>
        <v>45831757630</v>
      </c>
    </row>
    <row r="13" spans="1:74" s="220" customFormat="1" x14ac:dyDescent="0.25">
      <c r="A13" s="220" t="s">
        <v>351</v>
      </c>
      <c r="E13" s="220">
        <f>E11/E12</f>
        <v>-1.2526010924487083E-2</v>
      </c>
      <c r="F13" s="220">
        <f t="shared" ref="F13:AR13" si="53">F11/F12</f>
        <v>2.2598880337730786E-2</v>
      </c>
      <c r="G13" s="220">
        <f t="shared" si="53"/>
        <v>-1.0413711839417941E-2</v>
      </c>
      <c r="H13" s="220">
        <f t="shared" si="53"/>
        <v>1.3697256596977759E-2</v>
      </c>
      <c r="I13" s="220">
        <f t="shared" si="53"/>
        <v>-2.2447831504571424E-2</v>
      </c>
      <c r="J13" s="220">
        <f t="shared" si="53"/>
        <v>1.5455537530997859E-2</v>
      </c>
      <c r="K13" s="220">
        <f t="shared" si="53"/>
        <v>-1.4033888884956571E-2</v>
      </c>
      <c r="L13" s="220">
        <f t="shared" si="53"/>
        <v>1.0170214062836096E-2</v>
      </c>
      <c r="M13" s="220">
        <f t="shared" si="53"/>
        <v>5.1404574922061744E-3</v>
      </c>
      <c r="N13" s="220">
        <f t="shared" si="53"/>
        <v>3.9186237588874503E-2</v>
      </c>
      <c r="O13" s="220">
        <f t="shared" si="53"/>
        <v>-6.1094660822630974E-3</v>
      </c>
      <c r="P13" s="220">
        <f t="shared" si="53"/>
        <v>1.7559797845437774E-2</v>
      </c>
      <c r="Q13" s="220">
        <f t="shared" si="53"/>
        <v>5.0789116745870036E-3</v>
      </c>
      <c r="R13" s="220">
        <f t="shared" si="53"/>
        <v>4.4465780434300203E-2</v>
      </c>
      <c r="S13" s="220">
        <f t="shared" si="53"/>
        <v>6.9027178675271838E-3</v>
      </c>
      <c r="T13" s="220">
        <f t="shared" si="53"/>
        <v>1.5631087103443075E-2</v>
      </c>
      <c r="U13" s="220">
        <f t="shared" si="53"/>
        <v>-2.3742723318306773E-3</v>
      </c>
      <c r="V13" s="220">
        <f t="shared" si="53"/>
        <v>3.2481348689619403E-2</v>
      </c>
      <c r="W13" s="220">
        <f t="shared" si="53"/>
        <v>-5.5981102015969595E-3</v>
      </c>
      <c r="X13" s="220">
        <f t="shared" si="53"/>
        <v>1.4692837193939691E-2</v>
      </c>
      <c r="Y13" s="220">
        <f t="shared" si="53"/>
        <v>-7.0553772227439681E-3</v>
      </c>
      <c r="Z13" s="220">
        <f t="shared" si="53"/>
        <v>3.1802096766035771E-2</v>
      </c>
      <c r="AA13" s="220">
        <f t="shared" si="53"/>
        <v>-6.6353071514200614E-3</v>
      </c>
      <c r="AB13" s="220">
        <f t="shared" si="53"/>
        <v>9.1804944660891247E-3</v>
      </c>
      <c r="AC13" s="220">
        <f t="shared" si="53"/>
        <v>-1.590708309418272E-3</v>
      </c>
      <c r="AD13" s="220">
        <f t="shared" si="53"/>
        <v>2.868219484763615E-2</v>
      </c>
      <c r="AE13" s="220">
        <f t="shared" si="53"/>
        <v>1.1610047809394711E-3</v>
      </c>
      <c r="AF13" s="220">
        <f t="shared" si="53"/>
        <v>1.9213270720096928E-2</v>
      </c>
      <c r="AG13" s="220">
        <f t="shared" si="53"/>
        <v>3.3621767336924777E-4</v>
      </c>
      <c r="AH13" s="220">
        <f t="shared" si="53"/>
        <v>8.4444807500580629E-2</v>
      </c>
      <c r="AI13" s="220">
        <f t="shared" si="53"/>
        <v>2.9732450965757839E-2</v>
      </c>
      <c r="AJ13" s="220">
        <f t="shared" si="53"/>
        <v>3.5246202665519297E-2</v>
      </c>
      <c r="AK13" s="220">
        <f t="shared" si="53"/>
        <v>0.25231465909113032</v>
      </c>
      <c r="AL13" s="220">
        <f t="shared" si="53"/>
        <v>6.4142896696606763E-2</v>
      </c>
      <c r="AM13" s="220">
        <f t="shared" si="53"/>
        <v>7.3464500471089617E-3</v>
      </c>
      <c r="AN13" s="220">
        <f t="shared" si="53"/>
        <v>2.2350602615151045E-2</v>
      </c>
      <c r="AO13" s="220">
        <f t="shared" si="53"/>
        <v>0.12731937009052202</v>
      </c>
      <c r="AP13" s="220">
        <f t="shared" si="53"/>
        <v>0.15476064885064084</v>
      </c>
      <c r="AQ13" s="220">
        <f t="shared" si="53"/>
        <v>7.1665831162472785E-2</v>
      </c>
      <c r="AR13" s="220">
        <f t="shared" si="53"/>
        <v>5.0907324604606771E-2</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11681867</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1598361187</v>
      </c>
      <c r="J16" s="190">
        <v>1598361186</v>
      </c>
      <c r="K16" s="190">
        <v>789443128</v>
      </c>
      <c r="L16" s="190">
        <v>0</v>
      </c>
      <c r="M16" s="190">
        <v>1578886257</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1672984000</v>
      </c>
      <c r="AD16" s="190">
        <v>1649813648</v>
      </c>
      <c r="AE16" s="190">
        <v>1000000000</v>
      </c>
      <c r="AF16" s="190">
        <v>0</v>
      </c>
      <c r="AG16" s="190">
        <v>18641784419</v>
      </c>
      <c r="AH16" s="190">
        <v>16400000000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1598361187</v>
      </c>
      <c r="J17" s="47">
        <f t="shared" si="54"/>
        <v>1598361186</v>
      </c>
      <c r="K17" s="47">
        <f t="shared" si="54"/>
        <v>789443128</v>
      </c>
      <c r="L17" s="47">
        <f t="shared" si="54"/>
        <v>0</v>
      </c>
      <c r="M17" s="47">
        <f t="shared" si="54"/>
        <v>1578886257</v>
      </c>
      <c r="N17" s="47">
        <f t="shared" si="54"/>
        <v>0</v>
      </c>
      <c r="O17" s="47">
        <f t="shared" si="54"/>
        <v>0</v>
      </c>
      <c r="P17" s="47">
        <f t="shared" si="54"/>
        <v>0</v>
      </c>
      <c r="Q17" s="47">
        <f t="shared" si="54"/>
        <v>0</v>
      </c>
      <c r="R17" s="47">
        <f t="shared" si="54"/>
        <v>0</v>
      </c>
      <c r="S17" s="47">
        <f t="shared" si="54"/>
        <v>0</v>
      </c>
      <c r="T17" s="47">
        <f t="shared" si="54"/>
        <v>0</v>
      </c>
      <c r="U17" s="47">
        <f t="shared" si="54"/>
        <v>-11681867</v>
      </c>
      <c r="V17" s="47">
        <f t="shared" si="54"/>
        <v>0</v>
      </c>
      <c r="W17" s="47">
        <f t="shared" si="54"/>
        <v>0</v>
      </c>
      <c r="X17" s="47">
        <f t="shared" si="54"/>
        <v>0</v>
      </c>
      <c r="Y17" s="47">
        <f t="shared" si="54"/>
        <v>0</v>
      </c>
      <c r="Z17" s="47">
        <f t="shared" si="54"/>
        <v>0</v>
      </c>
      <c r="AA17" s="47">
        <f t="shared" si="54"/>
        <v>0</v>
      </c>
      <c r="AB17" s="47">
        <f t="shared" si="54"/>
        <v>0</v>
      </c>
      <c r="AC17" s="47">
        <f t="shared" si="54"/>
        <v>1672984000</v>
      </c>
      <c r="AD17" s="47">
        <f t="shared" si="54"/>
        <v>1649813648</v>
      </c>
      <c r="AE17" s="47">
        <f t="shared" si="54"/>
        <v>1000000000</v>
      </c>
      <c r="AF17" s="47">
        <f t="shared" si="54"/>
        <v>0</v>
      </c>
      <c r="AG17" s="47">
        <f t="shared" si="54"/>
        <v>18641784419</v>
      </c>
      <c r="AH17" s="47">
        <f t="shared" si="54"/>
        <v>16400000000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4355251817</v>
      </c>
      <c r="F19" s="193">
        <f t="shared" ref="F19:AS19" si="55">F5+F17</f>
        <v>2239126386</v>
      </c>
      <c r="G19" s="193">
        <f t="shared" si="55"/>
        <v>1643456217</v>
      </c>
      <c r="H19" s="193">
        <f t="shared" si="55"/>
        <v>1351419506</v>
      </c>
      <c r="I19" s="193">
        <f t="shared" si="55"/>
        <v>4670185012</v>
      </c>
      <c r="J19" s="193">
        <f t="shared" si="55"/>
        <v>2989379692</v>
      </c>
      <c r="K19" s="193">
        <f t="shared" si="55"/>
        <v>2152966815</v>
      </c>
      <c r="L19" s="193">
        <f t="shared" si="55"/>
        <v>907740708</v>
      </c>
      <c r="M19" s="193">
        <f t="shared" si="55"/>
        <v>7357715336</v>
      </c>
      <c r="N19" s="193">
        <f t="shared" si="55"/>
        <v>3497621769</v>
      </c>
      <c r="O19" s="193">
        <f t="shared" si="55"/>
        <v>2086245052</v>
      </c>
      <c r="P19" s="193">
        <f t="shared" si="55"/>
        <v>1561884504</v>
      </c>
      <c r="Q19" s="193">
        <f t="shared" si="55"/>
        <v>5465411999</v>
      </c>
      <c r="R19" s="193">
        <f t="shared" si="55"/>
        <v>3872346975</v>
      </c>
      <c r="S19" s="193">
        <f t="shared" si="55"/>
        <v>3081288976</v>
      </c>
      <c r="T19" s="193">
        <f t="shared" si="55"/>
        <v>1352655752</v>
      </c>
      <c r="U19" s="193">
        <f t="shared" si="55"/>
        <v>4707306913</v>
      </c>
      <c r="V19" s="193">
        <f t="shared" si="55"/>
        <v>2766329548</v>
      </c>
      <c r="W19" s="193">
        <f t="shared" si="55"/>
        <v>1915098929</v>
      </c>
      <c r="X19" s="193">
        <f t="shared" si="55"/>
        <v>1243272734</v>
      </c>
      <c r="Y19" s="193">
        <f t="shared" si="55"/>
        <v>3919668775</v>
      </c>
      <c r="Z19" s="193">
        <f t="shared" si="55"/>
        <v>2697740988</v>
      </c>
      <c r="AA19" s="193">
        <f t="shared" si="55"/>
        <v>1664437013</v>
      </c>
      <c r="AB19" s="193">
        <f t="shared" si="55"/>
        <v>784958287</v>
      </c>
      <c r="AC19" s="193">
        <f t="shared" si="55"/>
        <v>5652588898</v>
      </c>
      <c r="AD19" s="193">
        <f t="shared" si="55"/>
        <v>4143654989</v>
      </c>
      <c r="AE19" s="193">
        <f t="shared" si="55"/>
        <v>3127719758</v>
      </c>
      <c r="AF19" s="193">
        <f t="shared" si="55"/>
        <v>1080131607</v>
      </c>
      <c r="AG19" s="193">
        <f t="shared" si="55"/>
        <v>22797777266</v>
      </c>
      <c r="AH19" s="193">
        <f t="shared" si="55"/>
        <v>21125069536</v>
      </c>
      <c r="AI19" s="193">
        <f t="shared" si="55"/>
        <v>3319269345</v>
      </c>
      <c r="AJ19" s="193">
        <f t="shared" si="55"/>
        <v>1938871260</v>
      </c>
      <c r="AK19" s="193">
        <f t="shared" si="55"/>
        <v>17096509663</v>
      </c>
      <c r="AL19" s="193">
        <f t="shared" si="55"/>
        <v>3284894510</v>
      </c>
      <c r="AM19" s="193">
        <f t="shared" si="55"/>
        <v>1883389455</v>
      </c>
      <c r="AN19" s="193">
        <f t="shared" si="55"/>
        <v>950303117</v>
      </c>
      <c r="AO19" s="193">
        <f t="shared" si="55"/>
        <v>7921496857</v>
      </c>
      <c r="AP19" s="193">
        <f t="shared" si="55"/>
        <v>5189056792</v>
      </c>
      <c r="AQ19" s="193">
        <f t="shared" si="55"/>
        <v>3645165834</v>
      </c>
      <c r="AR19" s="193">
        <f t="shared" si="55"/>
        <v>1722713556</v>
      </c>
      <c r="AS19" s="193">
        <f t="shared" si="55"/>
        <v>0</v>
      </c>
    </row>
    <row r="20" spans="1:74" s="193" customFormat="1" x14ac:dyDescent="0.25">
      <c r="A20" s="193" t="s">
        <v>300</v>
      </c>
      <c r="B20" s="190">
        <v>10735925261</v>
      </c>
      <c r="C20" s="190">
        <v>4539295904</v>
      </c>
      <c r="D20" s="190">
        <v>2934390602</v>
      </c>
      <c r="E20" s="190">
        <v>17493600297</v>
      </c>
      <c r="F20" s="190">
        <v>13998595036</v>
      </c>
      <c r="G20" s="190">
        <v>7625976938</v>
      </c>
      <c r="H20" s="190">
        <v>3097364355</v>
      </c>
      <c r="I20" s="190">
        <v>6274640003</v>
      </c>
      <c r="J20" s="190">
        <v>2332006652</v>
      </c>
      <c r="K20" s="190">
        <v>353421153</v>
      </c>
      <c r="L20" s="190">
        <v>-302637060</v>
      </c>
      <c r="M20" s="190">
        <v>14117651285</v>
      </c>
      <c r="N20" s="190">
        <v>12809315672</v>
      </c>
      <c r="O20" s="190">
        <v>8040005961</v>
      </c>
      <c r="P20" s="190">
        <v>2663458836</v>
      </c>
      <c r="Q20" s="190">
        <v>17313230619</v>
      </c>
      <c r="R20" s="190">
        <v>15309057896</v>
      </c>
      <c r="S20" s="190">
        <v>7459069158</v>
      </c>
      <c r="T20" s="190">
        <v>2268839024</v>
      </c>
      <c r="U20" s="190">
        <v>14759830013</v>
      </c>
      <c r="V20" s="190">
        <v>12137120382</v>
      </c>
      <c r="W20" s="190">
        <v>6573965098</v>
      </c>
      <c r="X20" s="190">
        <v>2089278091</v>
      </c>
      <c r="Y20" s="190">
        <v>12915917791</v>
      </c>
      <c r="Z20" s="190">
        <v>9210995717</v>
      </c>
      <c r="AA20" s="190">
        <v>4039651036</v>
      </c>
      <c r="AB20" s="190">
        <v>1119292295</v>
      </c>
      <c r="AC20" s="190">
        <v>15107820257</v>
      </c>
      <c r="AD20" s="190">
        <v>11299838322</v>
      </c>
      <c r="AE20" s="190">
        <v>6388008239</v>
      </c>
      <c r="AF20" s="190">
        <v>1600579659</v>
      </c>
      <c r="AG20" s="190">
        <v>16915795774</v>
      </c>
      <c r="AH20" s="190">
        <v>12529096550</v>
      </c>
      <c r="AI20" s="190">
        <v>8046192691</v>
      </c>
      <c r="AJ20" s="190">
        <v>2046203002</v>
      </c>
      <c r="AK20" s="190">
        <v>8634902635</v>
      </c>
      <c r="AL20" s="190">
        <v>5422420296</v>
      </c>
      <c r="AM20" s="190">
        <v>3205779682</v>
      </c>
      <c r="AN20" s="190">
        <v>828963590</v>
      </c>
      <c r="AO20" s="190">
        <v>8747383174</v>
      </c>
      <c r="AP20" s="190">
        <v>7303177792</v>
      </c>
      <c r="AQ20" s="190">
        <v>3879142654</v>
      </c>
      <c r="AR20" s="190">
        <v>1832300032</v>
      </c>
      <c r="AS20" s="190">
        <v>9132967053</v>
      </c>
      <c r="AT20" s="190">
        <v>6826011035</v>
      </c>
      <c r="AU20" s="190">
        <v>3467539080</v>
      </c>
      <c r="AV20" s="190">
        <v>1498770562</v>
      </c>
      <c r="AW20" s="190">
        <v>5102891768</v>
      </c>
      <c r="AX20" s="190">
        <v>3102937889</v>
      </c>
      <c r="AY20" s="190">
        <v>1632034828</v>
      </c>
      <c r="AZ20" s="190">
        <v>867633114</v>
      </c>
      <c r="BA20" s="190">
        <v>8870400957</v>
      </c>
      <c r="BB20" s="190">
        <v>0</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4.0166679292151706</v>
      </c>
      <c r="F21" s="221">
        <f t="shared" ref="F21:AS21" si="56">F20/F19</f>
        <v>6.2518110293038189</v>
      </c>
      <c r="G21" s="221">
        <f t="shared" si="56"/>
        <v>4.6402069365258907</v>
      </c>
      <c r="H21" s="221">
        <f t="shared" si="56"/>
        <v>2.2919340302906654</v>
      </c>
      <c r="I21" s="221">
        <f t="shared" si="56"/>
        <v>1.343552768654211</v>
      </c>
      <c r="J21" s="221">
        <f t="shared" si="56"/>
        <v>0.78009717475527696</v>
      </c>
      <c r="K21" s="221">
        <f t="shared" si="56"/>
        <v>0.16415541128533373</v>
      </c>
      <c r="L21" s="221">
        <f t="shared" si="56"/>
        <v>-0.3333959327072506</v>
      </c>
      <c r="M21" s="221">
        <f t="shared" si="56"/>
        <v>1.918754754743613</v>
      </c>
      <c r="N21" s="221">
        <f t="shared" si="56"/>
        <v>3.6622929859171975</v>
      </c>
      <c r="O21" s="221">
        <f t="shared" si="56"/>
        <v>3.853816670909473</v>
      </c>
      <c r="P21" s="221">
        <f t="shared" si="56"/>
        <v>1.7052853966979367</v>
      </c>
      <c r="Q21" s="221">
        <f t="shared" si="56"/>
        <v>3.1677814265727418</v>
      </c>
      <c r="R21" s="221">
        <f t="shared" si="56"/>
        <v>3.9534313414670184</v>
      </c>
      <c r="S21" s="221">
        <f t="shared" si="56"/>
        <v>2.4207626146389716</v>
      </c>
      <c r="T21" s="221">
        <f t="shared" si="56"/>
        <v>1.6773218319926237</v>
      </c>
      <c r="U21" s="221">
        <f t="shared" si="56"/>
        <v>3.1355146978494877</v>
      </c>
      <c r="V21" s="221">
        <f t="shared" si="56"/>
        <v>4.3874455922198035</v>
      </c>
      <c r="W21" s="221">
        <f t="shared" si="56"/>
        <v>3.4327026131400444</v>
      </c>
      <c r="X21" s="221">
        <f t="shared" si="56"/>
        <v>1.6804664285350603</v>
      </c>
      <c r="Y21" s="221">
        <f t="shared" si="56"/>
        <v>3.2951554155235985</v>
      </c>
      <c r="Z21" s="221">
        <f t="shared" si="56"/>
        <v>3.414336571958553</v>
      </c>
      <c r="AA21" s="221">
        <f t="shared" si="56"/>
        <v>2.4270374934278154</v>
      </c>
      <c r="AB21" s="221">
        <f t="shared" si="56"/>
        <v>1.4259258275720326</v>
      </c>
      <c r="AC21" s="221">
        <f t="shared" si="56"/>
        <v>2.6727258128298437</v>
      </c>
      <c r="AD21" s="221">
        <f t="shared" si="56"/>
        <v>2.727022001589718</v>
      </c>
      <c r="AE21" s="221">
        <f t="shared" si="56"/>
        <v>2.0423851026489568</v>
      </c>
      <c r="AF21" s="221">
        <f t="shared" si="56"/>
        <v>1.4818376285140964</v>
      </c>
      <c r="AG21" s="221">
        <f t="shared" si="56"/>
        <v>0.74199320296140314</v>
      </c>
      <c r="AH21" s="221">
        <f t="shared" si="56"/>
        <v>0.5930913755644075</v>
      </c>
      <c r="AI21" s="221">
        <f t="shared" si="56"/>
        <v>2.4240855003588146</v>
      </c>
      <c r="AJ21" s="221">
        <f t="shared" si="56"/>
        <v>1.0553578487722801</v>
      </c>
      <c r="AK21" s="221">
        <f t="shared" si="56"/>
        <v>0.50506815748991862</v>
      </c>
      <c r="AL21" s="221">
        <f t="shared" si="56"/>
        <v>1.6507136772559554</v>
      </c>
      <c r="AM21" s="221">
        <f t="shared" si="56"/>
        <v>1.7021331798844546</v>
      </c>
      <c r="AN21" s="221">
        <f t="shared" si="56"/>
        <v>0.87231492265009591</v>
      </c>
      <c r="AO21" s="221">
        <f t="shared" si="56"/>
        <v>1.1042588707549872</v>
      </c>
      <c r="AP21" s="221">
        <f t="shared" si="56"/>
        <v>1.4074191292836404</v>
      </c>
      <c r="AQ21" s="221">
        <f t="shared" si="56"/>
        <v>1.0641882511400715</v>
      </c>
      <c r="AR21" s="221">
        <f t="shared" si="56"/>
        <v>1.0636127089255922</v>
      </c>
      <c r="AS21" s="221" t="e">
        <f t="shared" si="56"/>
        <v>#DIV/0!</v>
      </c>
    </row>
    <row r="22" spans="1:74" s="193" customFormat="1" x14ac:dyDescent="0.25">
      <c r="A22" s="193" t="s">
        <v>301</v>
      </c>
      <c r="E22" s="193">
        <f>I35</f>
        <v>12963268732</v>
      </c>
      <c r="F22" s="193">
        <f t="shared" ref="F22:Y22" si="57">J35</f>
        <v>9626478337</v>
      </c>
      <c r="G22" s="193">
        <f t="shared" si="57"/>
        <v>15145629944</v>
      </c>
      <c r="H22" s="193">
        <f t="shared" si="57"/>
        <v>7804186899</v>
      </c>
      <c r="I22" s="193">
        <f t="shared" si="57"/>
        <v>9823637722</v>
      </c>
      <c r="J22" s="193">
        <f t="shared" si="57"/>
        <v>11472868140</v>
      </c>
      <c r="K22" s="193">
        <f t="shared" si="57"/>
        <v>10197125832</v>
      </c>
      <c r="L22" s="193">
        <f t="shared" si="57"/>
        <v>12396057234</v>
      </c>
      <c r="M22" s="193">
        <f t="shared" si="57"/>
        <v>11310839016</v>
      </c>
      <c r="N22" s="193">
        <f t="shared" si="57"/>
        <v>15209610373</v>
      </c>
      <c r="O22" s="193">
        <f t="shared" si="57"/>
        <v>8231918301</v>
      </c>
      <c r="P22" s="193">
        <f t="shared" si="57"/>
        <v>10951373925</v>
      </c>
      <c r="Q22" s="193">
        <f t="shared" si="57"/>
        <v>10044372632</v>
      </c>
      <c r="R22" s="193">
        <f t="shared" si="57"/>
        <v>8505323038</v>
      </c>
      <c r="S22" s="193">
        <f t="shared" si="57"/>
        <v>8251430721</v>
      </c>
      <c r="T22" s="193">
        <f t="shared" si="57"/>
        <v>9833190939</v>
      </c>
      <c r="U22" s="193">
        <f t="shared" si="57"/>
        <v>9019506879</v>
      </c>
      <c r="V22" s="193">
        <f t="shared" si="57"/>
        <v>6547531039</v>
      </c>
      <c r="W22" s="193">
        <f t="shared" si="57"/>
        <v>8456487659</v>
      </c>
      <c r="X22" s="193">
        <f t="shared" si="57"/>
        <v>6268104319</v>
      </c>
      <c r="Y22" s="193">
        <f t="shared" si="57"/>
        <v>5873259979</v>
      </c>
      <c r="Z22" s="193">
        <f t="shared" ref="Z22" si="58">AD35</f>
        <v>4944753962</v>
      </c>
      <c r="AA22" s="193">
        <f t="shared" ref="AA22" si="59">AE35</f>
        <v>9805303490</v>
      </c>
      <c r="AB22" s="193">
        <f t="shared" ref="AB22" si="60">AF35</f>
        <v>7359308623</v>
      </c>
      <c r="AC22" s="193">
        <f t="shared" ref="AC22" si="61">AG35</f>
        <v>10153209322</v>
      </c>
      <c r="AD22" s="193">
        <f t="shared" ref="AD22" si="62">AH35</f>
        <v>5861166763</v>
      </c>
      <c r="AE22" s="193">
        <f t="shared" ref="AE22" si="63">AI35</f>
        <v>4218442993</v>
      </c>
      <c r="AF22" s="193">
        <f t="shared" ref="AF22" si="64">AJ35</f>
        <v>6060801278</v>
      </c>
      <c r="AG22" s="193">
        <f t="shared" ref="AG22" si="65">AK35</f>
        <v>9017190649</v>
      </c>
      <c r="AH22" s="193">
        <f t="shared" ref="AH22" si="66">AL35</f>
        <v>6489196318</v>
      </c>
      <c r="AI22" s="193">
        <f t="shared" ref="AI22" si="67">AM35</f>
        <v>6085715021</v>
      </c>
      <c r="AJ22" s="193">
        <f t="shared" ref="AJ22" si="68">AN35</f>
        <v>4573336328</v>
      </c>
      <c r="AK22" s="193">
        <f t="shared" ref="AK22" si="69">AO35</f>
        <v>4677747639</v>
      </c>
      <c r="AL22" s="193">
        <f t="shared" ref="AL22" si="70">AP35</f>
        <v>6056564727</v>
      </c>
      <c r="AM22" s="193">
        <f t="shared" ref="AM22" si="71">AQ35</f>
        <v>7954553316</v>
      </c>
      <c r="AN22" s="193">
        <f t="shared" ref="AN22" si="72">AR35</f>
        <v>7823859551</v>
      </c>
      <c r="AO22" s="193">
        <f t="shared" ref="AO22" si="73">AS35</f>
        <v>7789551415</v>
      </c>
      <c r="AP22" s="193">
        <f t="shared" ref="AP22" si="74">AT35</f>
        <v>7466137957</v>
      </c>
      <c r="AQ22" s="193">
        <f t="shared" ref="AQ22" si="75">AU35</f>
        <v>4499376195</v>
      </c>
      <c r="AR22" s="193">
        <f t="shared" ref="AR22" si="76">AV35</f>
        <v>6602628507</v>
      </c>
      <c r="AS22" s="193">
        <f t="shared" ref="AS22" si="77">AW35</f>
        <v>6437511108</v>
      </c>
    </row>
    <row r="23" spans="1:74" s="193" customFormat="1" x14ac:dyDescent="0.25">
      <c r="A23" s="193" t="s">
        <v>302</v>
      </c>
      <c r="E23" s="193">
        <f>E20+E22-E19</f>
        <v>26101617212</v>
      </c>
      <c r="F23" s="193">
        <f t="shared" ref="F23:AS23" si="78">F20+F22-F19</f>
        <v>21385946987</v>
      </c>
      <c r="G23" s="193">
        <f t="shared" si="78"/>
        <v>21128150665</v>
      </c>
      <c r="H23" s="193">
        <f t="shared" si="78"/>
        <v>9550131748</v>
      </c>
      <c r="I23" s="193">
        <f t="shared" si="78"/>
        <v>11428092713</v>
      </c>
      <c r="J23" s="193">
        <f t="shared" si="78"/>
        <v>10815495100</v>
      </c>
      <c r="K23" s="193">
        <f t="shared" si="78"/>
        <v>8397580170</v>
      </c>
      <c r="L23" s="193">
        <f t="shared" si="78"/>
        <v>11185679466</v>
      </c>
      <c r="M23" s="193">
        <f t="shared" si="78"/>
        <v>18070774965</v>
      </c>
      <c r="N23" s="193">
        <f t="shared" si="78"/>
        <v>24521304276</v>
      </c>
      <c r="O23" s="193">
        <f t="shared" si="78"/>
        <v>14185679210</v>
      </c>
      <c r="P23" s="193">
        <f t="shared" si="78"/>
        <v>12052948257</v>
      </c>
      <c r="Q23" s="193">
        <f t="shared" si="78"/>
        <v>21892191252</v>
      </c>
      <c r="R23" s="193">
        <f t="shared" si="78"/>
        <v>19942033959</v>
      </c>
      <c r="S23" s="193">
        <f t="shared" si="78"/>
        <v>12629210903</v>
      </c>
      <c r="T23" s="193">
        <f t="shared" si="78"/>
        <v>10749374211</v>
      </c>
      <c r="U23" s="193">
        <f t="shared" si="78"/>
        <v>19072029979</v>
      </c>
      <c r="V23" s="193">
        <f t="shared" si="78"/>
        <v>15918321873</v>
      </c>
      <c r="W23" s="193">
        <f t="shared" si="78"/>
        <v>13115353828</v>
      </c>
      <c r="X23" s="193">
        <f t="shared" si="78"/>
        <v>7114109676</v>
      </c>
      <c r="Y23" s="193">
        <f t="shared" si="78"/>
        <v>14869508995</v>
      </c>
      <c r="Z23" s="193">
        <f t="shared" si="78"/>
        <v>11458008691</v>
      </c>
      <c r="AA23" s="193">
        <f t="shared" si="78"/>
        <v>12180517513</v>
      </c>
      <c r="AB23" s="193">
        <f t="shared" si="78"/>
        <v>7693642631</v>
      </c>
      <c r="AC23" s="193">
        <f t="shared" si="78"/>
        <v>19608440681</v>
      </c>
      <c r="AD23" s="193">
        <f t="shared" si="78"/>
        <v>13017350096</v>
      </c>
      <c r="AE23" s="193">
        <f t="shared" si="78"/>
        <v>7478731474</v>
      </c>
      <c r="AF23" s="193">
        <f t="shared" si="78"/>
        <v>6581249330</v>
      </c>
      <c r="AG23" s="193">
        <f t="shared" si="78"/>
        <v>3135209157</v>
      </c>
      <c r="AH23" s="193">
        <f t="shared" si="78"/>
        <v>-2106776668</v>
      </c>
      <c r="AI23" s="193">
        <f t="shared" si="78"/>
        <v>10812638367</v>
      </c>
      <c r="AJ23" s="193">
        <f t="shared" si="78"/>
        <v>4680668070</v>
      </c>
      <c r="AK23" s="193">
        <f t="shared" si="78"/>
        <v>-3783859389</v>
      </c>
      <c r="AL23" s="193">
        <f t="shared" si="78"/>
        <v>8194090513</v>
      </c>
      <c r="AM23" s="193">
        <f t="shared" si="78"/>
        <v>9276943543</v>
      </c>
      <c r="AN23" s="193">
        <f t="shared" si="78"/>
        <v>7702520024</v>
      </c>
      <c r="AO23" s="193">
        <f t="shared" si="78"/>
        <v>8615437732</v>
      </c>
      <c r="AP23" s="193">
        <f t="shared" si="78"/>
        <v>9580258957</v>
      </c>
      <c r="AQ23" s="193">
        <f t="shared" si="78"/>
        <v>4733353015</v>
      </c>
      <c r="AR23" s="193">
        <f t="shared" si="78"/>
        <v>6712214983</v>
      </c>
      <c r="AS23" s="193">
        <f t="shared" si="78"/>
        <v>15570478161</v>
      </c>
    </row>
    <row r="24" spans="1:74" s="221" customFormat="1" x14ac:dyDescent="0.25">
      <c r="A24" s="221" t="s">
        <v>303</v>
      </c>
      <c r="B24" s="190">
        <v>-6482076199</v>
      </c>
      <c r="C24" s="190">
        <v>-7165097186</v>
      </c>
      <c r="D24" s="190">
        <v>67969700</v>
      </c>
      <c r="E24" s="190">
        <v>-15179582495</v>
      </c>
      <c r="F24" s="190">
        <v>-9845448774</v>
      </c>
      <c r="G24" s="190">
        <v>-9841843507</v>
      </c>
      <c r="H24" s="190">
        <v>170324435</v>
      </c>
      <c r="I24" s="190">
        <v>134835227</v>
      </c>
      <c r="J24" s="190">
        <v>-897300589</v>
      </c>
      <c r="K24" s="190">
        <v>5821010865</v>
      </c>
      <c r="L24" s="190">
        <v>-45654481</v>
      </c>
      <c r="M24" s="190">
        <v>-10099708997</v>
      </c>
      <c r="N24" s="190">
        <v>-9214353075</v>
      </c>
      <c r="O24" s="190">
        <v>-7059364588</v>
      </c>
      <c r="P24" s="190">
        <v>-44320723</v>
      </c>
      <c r="Q24" s="190">
        <v>-12288488568</v>
      </c>
      <c r="R24" s="190">
        <v>-6276813308</v>
      </c>
      <c r="S24" s="190">
        <v>-6249370275</v>
      </c>
      <c r="T24" s="190">
        <v>10799911</v>
      </c>
      <c r="U24" s="190">
        <v>-10314350133</v>
      </c>
      <c r="V24" s="190">
        <v>-9948950175</v>
      </c>
      <c r="W24" s="190">
        <v>-5451650086</v>
      </c>
      <c r="X24" s="190">
        <v>15932342</v>
      </c>
      <c r="Y24" s="190">
        <v>-7198239431</v>
      </c>
      <c r="Z24" s="190">
        <v>-5901614636</v>
      </c>
      <c r="AA24" s="190">
        <v>174219231</v>
      </c>
      <c r="AB24" s="190">
        <v>52236127</v>
      </c>
      <c r="AC24" s="190">
        <v>-15008015382</v>
      </c>
      <c r="AD24" s="190">
        <v>-12419083311</v>
      </c>
      <c r="AE24" s="190">
        <v>-3650798995</v>
      </c>
      <c r="AF24" s="190">
        <v>-3336799045</v>
      </c>
      <c r="AG24" s="190">
        <v>20094712812</v>
      </c>
      <c r="AH24" s="190">
        <v>5321920112</v>
      </c>
      <c r="AI24" s="190">
        <v>-4357185374</v>
      </c>
      <c r="AJ24" s="190">
        <v>-3079647166</v>
      </c>
      <c r="AK24" s="190">
        <v>12747766852</v>
      </c>
      <c r="AL24" s="190">
        <v>-362768791</v>
      </c>
      <c r="AM24" s="190">
        <v>64587540</v>
      </c>
      <c r="AN24" s="190">
        <v>24651137</v>
      </c>
      <c r="AO24" s="190">
        <v>-3952349516</v>
      </c>
      <c r="AP24" s="190">
        <v>-3847933253</v>
      </c>
      <c r="AQ24" s="190">
        <v>-51095497</v>
      </c>
      <c r="AR24" s="190">
        <v>-30849204</v>
      </c>
      <c r="AS24" s="190">
        <v>-4274192475</v>
      </c>
      <c r="AT24" s="190">
        <v>-3723852154</v>
      </c>
      <c r="AU24" s="190">
        <v>-3846991554</v>
      </c>
      <c r="AV24" s="190">
        <v>-49728952</v>
      </c>
      <c r="AW24" s="190">
        <v>6703820650</v>
      </c>
      <c r="AX24" s="190">
        <v>6661483009</v>
      </c>
      <c r="AY24" s="190">
        <v>-1165133150</v>
      </c>
      <c r="AZ24" s="190">
        <v>-26519308</v>
      </c>
      <c r="BA24" s="190">
        <v>5635439317</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1539000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3000000</v>
      </c>
      <c r="J27" s="26">
        <f>现金流量表!J22</f>
        <v>0</v>
      </c>
      <c r="K27" s="26">
        <f>现金流量表!K22</f>
        <v>0</v>
      </c>
      <c r="L27" s="26">
        <f>现金流量表!L22</f>
        <v>789443128</v>
      </c>
      <c r="M27" s="26">
        <f>现金流量表!M22</f>
        <v>117000000</v>
      </c>
      <c r="N27" s="26">
        <f>现金流量表!N22</f>
        <v>114000000</v>
      </c>
      <c r="O27" s="26">
        <f>现金流量表!O22</f>
        <v>114000000</v>
      </c>
      <c r="P27" s="26">
        <f>现金流量表!P22</f>
        <v>0</v>
      </c>
      <c r="Q27" s="26">
        <f>现金流量表!Q22</f>
        <v>199000000</v>
      </c>
      <c r="R27" s="26">
        <f>现金流量表!R22</f>
        <v>199000000</v>
      </c>
      <c r="S27" s="26">
        <f>现金流量表!S22</f>
        <v>45000000</v>
      </c>
      <c r="T27" s="26">
        <f>现金流量表!T22</f>
        <v>45000000</v>
      </c>
      <c r="U27" s="26">
        <f>现金流量表!U22</f>
        <v>245000000</v>
      </c>
      <c r="V27" s="26">
        <f>现金流量表!V22</f>
        <v>80161800</v>
      </c>
      <c r="W27" s="26">
        <f>现金流量表!W22</f>
        <v>70000000</v>
      </c>
      <c r="X27" s="26">
        <f>现金流量表!X22</f>
        <v>70000000</v>
      </c>
      <c r="Y27" s="26">
        <f>现金流量表!Y22</f>
        <v>14700000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14059721496</v>
      </c>
      <c r="AH27" s="26">
        <f>现金流量表!AH22</f>
        <v>0</v>
      </c>
      <c r="AI27" s="26">
        <f>现金流量表!AI22</f>
        <v>5200000000</v>
      </c>
      <c r="AJ27" s="26">
        <f>现金流量表!AJ22</f>
        <v>0</v>
      </c>
      <c r="AK27" s="26">
        <f>现金流量表!AK22</f>
        <v>0</v>
      </c>
      <c r="AL27" s="26">
        <f>现金流量表!AL22</f>
        <v>0</v>
      </c>
      <c r="AM27" s="26">
        <f>现金流量表!AM22</f>
        <v>0</v>
      </c>
      <c r="AN27" s="26">
        <f>现金流量表!AN22</f>
        <v>0</v>
      </c>
      <c r="AO27" s="26">
        <f>现金流量表!AO22</f>
        <v>65158697</v>
      </c>
      <c r="AP27" s="26">
        <f>现金流量表!AP22</f>
        <v>65158697</v>
      </c>
      <c r="AQ27" s="26">
        <f>现金流量表!AQ22</f>
        <v>65158697</v>
      </c>
      <c r="AR27" s="26">
        <f>现金流量表!AR22</f>
        <v>65158697</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0</v>
      </c>
      <c r="F28" s="26">
        <f t="shared" ref="F28:BQ28" si="79">F27-F26</f>
        <v>0</v>
      </c>
      <c r="G28" s="26">
        <f t="shared" si="79"/>
        <v>0</v>
      </c>
      <c r="H28" s="26">
        <f t="shared" si="79"/>
        <v>0</v>
      </c>
      <c r="I28" s="26">
        <f t="shared" si="79"/>
        <v>3000000</v>
      </c>
      <c r="J28" s="26">
        <f t="shared" si="79"/>
        <v>0</v>
      </c>
      <c r="K28" s="26">
        <f t="shared" si="79"/>
        <v>0</v>
      </c>
      <c r="L28" s="26">
        <f t="shared" si="79"/>
        <v>789443128</v>
      </c>
      <c r="M28" s="26">
        <f t="shared" si="79"/>
        <v>117000000</v>
      </c>
      <c r="N28" s="26">
        <f t="shared" si="79"/>
        <v>114000000</v>
      </c>
      <c r="O28" s="26">
        <f t="shared" si="79"/>
        <v>114000000</v>
      </c>
      <c r="P28" s="26">
        <f t="shared" si="79"/>
        <v>0</v>
      </c>
      <c r="Q28" s="26">
        <f t="shared" si="79"/>
        <v>199000000</v>
      </c>
      <c r="R28" s="26">
        <f t="shared" si="79"/>
        <v>199000000</v>
      </c>
      <c r="S28" s="26">
        <f t="shared" si="79"/>
        <v>45000000</v>
      </c>
      <c r="T28" s="26">
        <f t="shared" si="79"/>
        <v>45000000</v>
      </c>
      <c r="U28" s="26">
        <f t="shared" si="79"/>
        <v>245000000</v>
      </c>
      <c r="V28" s="26">
        <f t="shared" si="79"/>
        <v>80161800</v>
      </c>
      <c r="W28" s="26">
        <f t="shared" si="79"/>
        <v>70000000</v>
      </c>
      <c r="X28" s="26">
        <f t="shared" si="79"/>
        <v>70000000</v>
      </c>
      <c r="Y28" s="26">
        <f t="shared" si="79"/>
        <v>14700000</v>
      </c>
      <c r="Z28" s="26">
        <f t="shared" si="79"/>
        <v>0</v>
      </c>
      <c r="AA28" s="26">
        <f t="shared" si="79"/>
        <v>0</v>
      </c>
      <c r="AB28" s="26">
        <f t="shared" si="79"/>
        <v>0</v>
      </c>
      <c r="AC28" s="26">
        <f t="shared" si="79"/>
        <v>0</v>
      </c>
      <c r="AD28" s="26">
        <f t="shared" si="79"/>
        <v>0</v>
      </c>
      <c r="AE28" s="26">
        <f t="shared" si="79"/>
        <v>0</v>
      </c>
      <c r="AF28" s="26">
        <f t="shared" si="79"/>
        <v>0</v>
      </c>
      <c r="AG28" s="26">
        <f t="shared" si="79"/>
        <v>14059721496</v>
      </c>
      <c r="AH28" s="26">
        <f t="shared" si="79"/>
        <v>0</v>
      </c>
      <c r="AI28" s="26">
        <f t="shared" si="79"/>
        <v>5200000000</v>
      </c>
      <c r="AJ28" s="26">
        <f t="shared" si="79"/>
        <v>0</v>
      </c>
      <c r="AK28" s="26">
        <f t="shared" si="79"/>
        <v>-1539000</v>
      </c>
      <c r="AL28" s="26">
        <f t="shared" si="79"/>
        <v>0</v>
      </c>
      <c r="AM28" s="26">
        <f t="shared" si="79"/>
        <v>0</v>
      </c>
      <c r="AN28" s="26">
        <f t="shared" si="79"/>
        <v>0</v>
      </c>
      <c r="AO28" s="26">
        <f t="shared" si="79"/>
        <v>65158697</v>
      </c>
      <c r="AP28" s="26">
        <f t="shared" si="79"/>
        <v>65158697</v>
      </c>
      <c r="AQ28" s="26">
        <f t="shared" si="79"/>
        <v>65158697</v>
      </c>
      <c r="AR28" s="26">
        <f t="shared" si="79"/>
        <v>65158697</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25569</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106027516260</v>
      </c>
      <c r="C31" s="190">
        <v>105846215920</v>
      </c>
      <c r="D31" s="190">
        <v>105378683679</v>
      </c>
      <c r="E31" s="190">
        <v>105241931748</v>
      </c>
      <c r="F31" s="190">
        <v>101337703980</v>
      </c>
      <c r="G31" s="190">
        <v>102250079905</v>
      </c>
      <c r="H31" s="190">
        <v>101701580708</v>
      </c>
      <c r="I31" s="190">
        <v>101373096687</v>
      </c>
      <c r="J31" s="190">
        <v>99146456201</v>
      </c>
      <c r="K31" s="190">
        <v>97432800959</v>
      </c>
      <c r="L31" s="190">
        <v>98728675470</v>
      </c>
      <c r="M31" s="190">
        <v>98679220886</v>
      </c>
      <c r="N31" s="190">
        <v>90066461027</v>
      </c>
      <c r="O31" s="190">
        <v>89154277205</v>
      </c>
      <c r="P31" s="190">
        <v>89319986805</v>
      </c>
      <c r="Q31" s="190">
        <v>89884110551</v>
      </c>
      <c r="R31" s="190">
        <v>89321540126</v>
      </c>
      <c r="S31" s="190">
        <v>88939548020</v>
      </c>
      <c r="T31" s="190">
        <v>88946610761</v>
      </c>
      <c r="U31" s="190">
        <v>89361069473</v>
      </c>
      <c r="V31" s="190">
        <v>87086000452</v>
      </c>
      <c r="W31" s="190">
        <v>86545013930</v>
      </c>
      <c r="X31" s="190">
        <v>86536255799</v>
      </c>
      <c r="Y31" s="190">
        <v>86878460080</v>
      </c>
      <c r="Z31" s="190">
        <v>85166708268</v>
      </c>
      <c r="AA31" s="190">
        <v>84877552940</v>
      </c>
      <c r="AB31" s="190">
        <v>84617607722</v>
      </c>
      <c r="AC31" s="190">
        <v>85125100762</v>
      </c>
      <c r="AD31" s="190">
        <v>84829028974</v>
      </c>
      <c r="AE31" s="190">
        <v>85040042627</v>
      </c>
      <c r="AF31" s="190">
        <v>85502833197</v>
      </c>
      <c r="AG31" s="190">
        <v>85892497192</v>
      </c>
      <c r="AH31" s="190">
        <v>86947367670</v>
      </c>
      <c r="AI31" s="190">
        <v>62153085142</v>
      </c>
      <c r="AJ31" s="190">
        <v>56217997588</v>
      </c>
      <c r="AK31" s="190">
        <v>55460856097</v>
      </c>
      <c r="AL31" s="190">
        <v>55954530253</v>
      </c>
      <c r="AM31" s="190">
        <v>56539038135</v>
      </c>
      <c r="AN31" s="190">
        <v>55009365928</v>
      </c>
      <c r="AO31" s="190">
        <v>55133609411</v>
      </c>
      <c r="AP31" s="190">
        <v>51212132273</v>
      </c>
      <c r="AQ31" s="190">
        <v>45831757630</v>
      </c>
      <c r="AR31" s="190">
        <v>42518008725</v>
      </c>
      <c r="AS31" s="190">
        <v>42112575802</v>
      </c>
      <c r="AT31" s="190">
        <v>33529562137</v>
      </c>
      <c r="AU31" s="190">
        <v>33429044248</v>
      </c>
      <c r="AV31" s="190">
        <v>33840190373</v>
      </c>
      <c r="AW31" s="190">
        <v>33411004617</v>
      </c>
      <c r="AX31" s="190">
        <v>32594609265</v>
      </c>
      <c r="AY31" s="190">
        <v>31435560207</v>
      </c>
      <c r="AZ31" s="190">
        <v>31537736633</v>
      </c>
      <c r="BA31" s="190">
        <v>16712546651</v>
      </c>
      <c r="BB31" s="190">
        <v>0</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65158697</v>
      </c>
      <c r="C33" s="190">
        <v>65158697</v>
      </c>
      <c r="D33" s="190">
        <v>65158697</v>
      </c>
      <c r="E33" s="190">
        <v>65158697</v>
      </c>
      <c r="F33" s="190">
        <v>65158697</v>
      </c>
      <c r="G33" s="190">
        <v>65158697</v>
      </c>
      <c r="H33" s="190">
        <v>65158697</v>
      </c>
      <c r="I33" s="190">
        <v>65158697</v>
      </c>
      <c r="J33" s="190">
        <v>65158697</v>
      </c>
      <c r="K33" s="190">
        <v>65158697</v>
      </c>
      <c r="L33" s="190">
        <v>65158697</v>
      </c>
      <c r="M33" s="190">
        <v>65158697</v>
      </c>
      <c r="N33" s="190">
        <v>65158697</v>
      </c>
      <c r="O33" s="190">
        <v>65158697</v>
      </c>
      <c r="P33" s="190">
        <v>65158697</v>
      </c>
      <c r="Q33" s="190">
        <v>65158697</v>
      </c>
      <c r="R33" s="190">
        <v>65158697</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105176773051</v>
      </c>
      <c r="F34" s="49">
        <f t="shared" ref="F34:BP34" si="81">F31-F32-F33</f>
        <v>101272545283</v>
      </c>
      <c r="G34" s="49">
        <f t="shared" si="81"/>
        <v>102184921208</v>
      </c>
      <c r="H34" s="49">
        <f t="shared" si="81"/>
        <v>101636422011</v>
      </c>
      <c r="I34" s="49">
        <f t="shared" si="81"/>
        <v>101307937990</v>
      </c>
      <c r="J34" s="49">
        <f t="shared" si="81"/>
        <v>99081297504</v>
      </c>
      <c r="K34" s="49">
        <f t="shared" si="81"/>
        <v>97367642262</v>
      </c>
      <c r="L34" s="49">
        <f t="shared" si="81"/>
        <v>98663516773</v>
      </c>
      <c r="M34" s="49">
        <f t="shared" si="81"/>
        <v>98614062189</v>
      </c>
      <c r="N34" s="49">
        <f t="shared" si="81"/>
        <v>90001302330</v>
      </c>
      <c r="O34" s="49">
        <f t="shared" si="81"/>
        <v>89089118508</v>
      </c>
      <c r="P34" s="49">
        <f t="shared" si="81"/>
        <v>89254828108</v>
      </c>
      <c r="Q34" s="49">
        <f t="shared" si="81"/>
        <v>89818951854</v>
      </c>
      <c r="R34" s="49">
        <f t="shared" si="81"/>
        <v>89256381429</v>
      </c>
      <c r="S34" s="49">
        <f t="shared" si="81"/>
        <v>88939548020</v>
      </c>
      <c r="T34" s="49">
        <f t="shared" si="81"/>
        <v>88946610761</v>
      </c>
      <c r="U34" s="49">
        <f t="shared" si="81"/>
        <v>89361069473</v>
      </c>
      <c r="V34" s="49">
        <f t="shared" si="81"/>
        <v>87086000452</v>
      </c>
      <c r="W34" s="49">
        <f t="shared" si="81"/>
        <v>86545013930</v>
      </c>
      <c r="X34" s="49">
        <f t="shared" si="81"/>
        <v>86536255799</v>
      </c>
      <c r="Y34" s="49">
        <f t="shared" si="81"/>
        <v>86878460080</v>
      </c>
      <c r="Z34" s="49">
        <f t="shared" si="81"/>
        <v>85166708268</v>
      </c>
      <c r="AA34" s="49">
        <f t="shared" si="81"/>
        <v>84877552940</v>
      </c>
      <c r="AB34" s="49">
        <f t="shared" si="81"/>
        <v>84617607722</v>
      </c>
      <c r="AC34" s="49">
        <f t="shared" si="81"/>
        <v>85125100762</v>
      </c>
      <c r="AD34" s="49">
        <f t="shared" si="81"/>
        <v>84829028974</v>
      </c>
      <c r="AE34" s="49">
        <f t="shared" si="81"/>
        <v>85040042627</v>
      </c>
      <c r="AF34" s="49">
        <f t="shared" si="81"/>
        <v>85502833197</v>
      </c>
      <c r="AG34" s="49">
        <f t="shared" si="81"/>
        <v>85892497192</v>
      </c>
      <c r="AH34" s="49">
        <f t="shared" si="81"/>
        <v>86947367670</v>
      </c>
      <c r="AI34" s="49">
        <f t="shared" si="81"/>
        <v>62153085142</v>
      </c>
      <c r="AJ34" s="49">
        <f t="shared" si="81"/>
        <v>56217997588</v>
      </c>
      <c r="AK34" s="49">
        <f t="shared" si="81"/>
        <v>55460856097</v>
      </c>
      <c r="AL34" s="49">
        <f t="shared" si="81"/>
        <v>55954530253</v>
      </c>
      <c r="AM34" s="49">
        <f t="shared" si="81"/>
        <v>56539038135</v>
      </c>
      <c r="AN34" s="49">
        <f t="shared" si="81"/>
        <v>55009365928</v>
      </c>
      <c r="AO34" s="49">
        <f t="shared" si="81"/>
        <v>55133609411</v>
      </c>
      <c r="AP34" s="49">
        <f t="shared" si="81"/>
        <v>51212132273</v>
      </c>
      <c r="AQ34" s="49">
        <f t="shared" si="81"/>
        <v>45831757630</v>
      </c>
      <c r="AR34" s="49">
        <f t="shared" si="81"/>
        <v>42518008725</v>
      </c>
      <c r="AS34" s="49">
        <f t="shared" si="81"/>
        <v>42112575802</v>
      </c>
      <c r="AT34" s="49">
        <f t="shared" si="81"/>
        <v>33529562137</v>
      </c>
      <c r="AU34" s="49">
        <f t="shared" si="81"/>
        <v>33429044248</v>
      </c>
      <c r="AV34" s="49">
        <f t="shared" si="81"/>
        <v>33840190373</v>
      </c>
      <c r="AW34" s="49">
        <f t="shared" si="81"/>
        <v>33411004617</v>
      </c>
      <c r="AX34" s="49">
        <f t="shared" si="81"/>
        <v>32594609265</v>
      </c>
      <c r="AY34" s="49">
        <f t="shared" si="81"/>
        <v>31435560207</v>
      </c>
      <c r="AZ34" s="49">
        <f t="shared" si="81"/>
        <v>31537736633</v>
      </c>
      <c r="BA34" s="49">
        <f t="shared" si="81"/>
        <v>16712546651</v>
      </c>
      <c r="BB34" s="49">
        <f t="shared" si="81"/>
        <v>0</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51212132273</v>
      </c>
      <c r="BR34" s="49">
        <f>AQ31-AQ32-AQ33</f>
        <v>45831757630</v>
      </c>
      <c r="BS34" s="49">
        <f>AR31-AR32-AR33</f>
        <v>42518008725</v>
      </c>
      <c r="BT34" s="49"/>
      <c r="BU34" s="50"/>
    </row>
    <row r="35" spans="1:74" s="106" customFormat="1" ht="15" thickBot="1" x14ac:dyDescent="0.3">
      <c r="A35" s="140" t="s">
        <v>317</v>
      </c>
      <c r="B35" s="33">
        <f>SUM(B22:B31)</f>
        <v>99545483434</v>
      </c>
      <c r="C35" s="33">
        <f>SUM(C22:C31)</f>
        <v>98681162015</v>
      </c>
      <c r="D35" s="33">
        <f>SUM(D22:D31)</f>
        <v>105446696569</v>
      </c>
      <c r="E35" s="33">
        <f>资产资本表!E17</f>
        <v>13585000499</v>
      </c>
      <c r="F35" s="33">
        <f>资产资本表!F17</f>
        <v>17419784269</v>
      </c>
      <c r="G35" s="33">
        <f>资产资本表!G17</f>
        <v>9228653721</v>
      </c>
      <c r="H35" s="33">
        <f>资产资本表!H17</f>
        <v>14905588880</v>
      </c>
      <c r="I35" s="33">
        <f>资产资本表!I17</f>
        <v>12963268732</v>
      </c>
      <c r="J35" s="33">
        <f>资产资本表!J17</f>
        <v>9626478337</v>
      </c>
      <c r="K35" s="33">
        <f>资产资本表!K17</f>
        <v>15145629944</v>
      </c>
      <c r="L35" s="33">
        <f>资产资本表!L17</f>
        <v>7804186899</v>
      </c>
      <c r="M35" s="33">
        <f>资产资本表!M17</f>
        <v>9823637722</v>
      </c>
      <c r="N35" s="33">
        <f>资产资本表!N17</f>
        <v>11472868140</v>
      </c>
      <c r="O35" s="33">
        <f>资产资本表!O17</f>
        <v>10197125832</v>
      </c>
      <c r="P35" s="33">
        <f>资产资本表!P17</f>
        <v>12396057234</v>
      </c>
      <c r="Q35" s="33">
        <f>资产资本表!Q17</f>
        <v>11310839016</v>
      </c>
      <c r="R35" s="33">
        <f>资产资本表!R17</f>
        <v>15209610373</v>
      </c>
      <c r="S35" s="33">
        <f>资产资本表!S17</f>
        <v>8231918301</v>
      </c>
      <c r="T35" s="33">
        <f>资产资本表!T17</f>
        <v>10951373925</v>
      </c>
      <c r="U35" s="33">
        <f>资产资本表!U17</f>
        <v>10044372632</v>
      </c>
      <c r="V35" s="33">
        <f>资产资本表!V17</f>
        <v>8505323038</v>
      </c>
      <c r="W35" s="33">
        <f>资产资本表!W17</f>
        <v>8251430721</v>
      </c>
      <c r="X35" s="33">
        <f>资产资本表!X17</f>
        <v>9833190939</v>
      </c>
      <c r="Y35" s="33">
        <f>资产资本表!Y17</f>
        <v>9019506879</v>
      </c>
      <c r="Z35" s="33">
        <f>资产资本表!Z17</f>
        <v>6547531039</v>
      </c>
      <c r="AA35" s="33">
        <f>资产资本表!AA17</f>
        <v>8456487659</v>
      </c>
      <c r="AB35" s="33">
        <f>资产资本表!AB17</f>
        <v>6268104319</v>
      </c>
      <c r="AC35" s="33">
        <f>资产资本表!AC17</f>
        <v>5873259979</v>
      </c>
      <c r="AD35" s="33">
        <f>资产资本表!AD17</f>
        <v>4944753962</v>
      </c>
      <c r="AE35" s="33">
        <f>资产资本表!AE17</f>
        <v>9805303490</v>
      </c>
      <c r="AF35" s="33">
        <f>资产资本表!AF17</f>
        <v>7359308623</v>
      </c>
      <c r="AG35" s="33">
        <f>资产资本表!AG17</f>
        <v>10153209322</v>
      </c>
      <c r="AH35" s="33">
        <f>资产资本表!AH17</f>
        <v>5861166763</v>
      </c>
      <c r="AI35" s="33">
        <f>资产资本表!AI17</f>
        <v>4218442993</v>
      </c>
      <c r="AJ35" s="33">
        <f>资产资本表!AJ17</f>
        <v>6060801278</v>
      </c>
      <c r="AK35" s="33">
        <f>资产资本表!AK17</f>
        <v>9017190649</v>
      </c>
      <c r="AL35" s="33">
        <f>资产资本表!AL17</f>
        <v>6489196318</v>
      </c>
      <c r="AM35" s="33">
        <f>资产资本表!AM17</f>
        <v>6085715021</v>
      </c>
      <c r="AN35" s="33">
        <f>资产资本表!AN17</f>
        <v>4573336328</v>
      </c>
      <c r="AO35" s="33">
        <f>资产资本表!AO17</f>
        <v>4677747639</v>
      </c>
      <c r="AP35" s="33">
        <f>资产资本表!AP17</f>
        <v>6056564727</v>
      </c>
      <c r="AQ35" s="33">
        <f>资产资本表!AQ17</f>
        <v>7954553316</v>
      </c>
      <c r="AR35" s="33">
        <f>资产资本表!AR17</f>
        <v>7823859551</v>
      </c>
      <c r="AS35" s="33">
        <f>资产资本表!AS17</f>
        <v>7789551415</v>
      </c>
      <c r="AT35" s="33">
        <f>资产资本表!AT17</f>
        <v>7466137957</v>
      </c>
      <c r="AU35" s="33">
        <f>资产资本表!AU17</f>
        <v>4499376195</v>
      </c>
      <c r="AV35" s="33">
        <f>资产资本表!AV17</f>
        <v>6602628507</v>
      </c>
      <c r="AW35" s="33">
        <f>资产资本表!AW17</f>
        <v>6437511108</v>
      </c>
      <c r="AX35" s="33">
        <f>资产资本表!AX17</f>
        <v>5623521932</v>
      </c>
      <c r="AY35" s="33">
        <f>资产资本表!AY17</f>
        <v>4918707553</v>
      </c>
      <c r="AZ35" s="33">
        <f>资产资本表!AZ17</f>
        <v>5773536537</v>
      </c>
      <c r="BA35" s="33">
        <f>资产资本表!BA17</f>
        <v>785200273</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25569</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0</v>
      </c>
      <c r="C40" s="190">
        <v>0</v>
      </c>
      <c r="D40" s="190">
        <v>0</v>
      </c>
      <c r="E40" s="190">
        <v>11400000</v>
      </c>
      <c r="F40" s="190">
        <v>11400000</v>
      </c>
      <c r="G40" s="190">
        <v>11400000</v>
      </c>
      <c r="H40" s="190">
        <v>0</v>
      </c>
      <c r="I40" s="190">
        <v>4900000</v>
      </c>
      <c r="J40" s="190">
        <v>2857585</v>
      </c>
      <c r="K40" s="190">
        <v>0</v>
      </c>
      <c r="L40" s="190">
        <v>0</v>
      </c>
      <c r="M40" s="190">
        <v>2842000</v>
      </c>
      <c r="N40" s="190">
        <v>2842000</v>
      </c>
      <c r="O40" s="190">
        <v>0</v>
      </c>
      <c r="P40" s="190">
        <v>0</v>
      </c>
      <c r="Q40" s="190">
        <v>0</v>
      </c>
      <c r="R40" s="190">
        <v>0</v>
      </c>
      <c r="S40" s="190">
        <v>0</v>
      </c>
      <c r="T40" s="190">
        <v>0</v>
      </c>
      <c r="U40" s="190">
        <v>300000</v>
      </c>
      <c r="V40" s="190">
        <v>0</v>
      </c>
      <c r="W40" s="190">
        <v>0</v>
      </c>
      <c r="X40" s="190">
        <v>0</v>
      </c>
      <c r="Y40" s="190">
        <v>150000000</v>
      </c>
      <c r="Z40" s="190">
        <v>122200000</v>
      </c>
      <c r="AA40" s="190">
        <v>0</v>
      </c>
      <c r="AB40" s="190">
        <v>0</v>
      </c>
      <c r="AC40" s="190">
        <v>0</v>
      </c>
      <c r="AD40" s="190">
        <v>0</v>
      </c>
      <c r="AE40" s="190">
        <v>0</v>
      </c>
      <c r="AF40" s="190">
        <v>0</v>
      </c>
      <c r="AG40" s="190">
        <v>16235999998</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14999999999</v>
      </c>
      <c r="AX40" s="190">
        <v>14759999999</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3716697872.75</v>
      </c>
      <c r="I41" s="53">
        <v>6690056170.9499998</v>
      </c>
      <c r="M41" s="53">
        <v>7136059916</v>
      </c>
      <c r="Q41" s="53">
        <v>6392720341</v>
      </c>
      <c r="U41" s="53">
        <v>5798048682</v>
      </c>
      <c r="Y41" s="53">
        <v>5798048682</v>
      </c>
      <c r="AC41" s="53">
        <v>5203377022</v>
      </c>
      <c r="AG41" s="53">
        <v>3893027138</v>
      </c>
      <c r="AK41" s="53">
        <v>3893027138</v>
      </c>
      <c r="AO41" s="53">
        <v>3893027138</v>
      </c>
      <c r="AS41" s="53">
        <v>3893027138</v>
      </c>
    </row>
    <row r="42" spans="1:74" s="26" customFormat="1" x14ac:dyDescent="0.25">
      <c r="A42" s="17" t="s">
        <v>322</v>
      </c>
      <c r="E42" s="26">
        <f>E40-E41</f>
        <v>-3705297872.75</v>
      </c>
      <c r="F42" s="26">
        <f t="shared" ref="F42:Y42" si="82">F40-F41</f>
        <v>11400000</v>
      </c>
      <c r="G42" s="26">
        <f t="shared" si="82"/>
        <v>11400000</v>
      </c>
      <c r="H42" s="26">
        <f t="shared" si="82"/>
        <v>0</v>
      </c>
      <c r="I42" s="26">
        <f>I40-I41</f>
        <v>-6685156170.9499998</v>
      </c>
      <c r="J42" s="26">
        <f t="shared" si="82"/>
        <v>2857585</v>
      </c>
      <c r="K42" s="26">
        <f t="shared" si="82"/>
        <v>0</v>
      </c>
      <c r="L42" s="26">
        <f t="shared" si="82"/>
        <v>0</v>
      </c>
      <c r="M42" s="26">
        <f t="shared" si="82"/>
        <v>-7133217916</v>
      </c>
      <c r="N42" s="26">
        <f t="shared" si="82"/>
        <v>2842000</v>
      </c>
      <c r="O42" s="26">
        <f t="shared" si="82"/>
        <v>0</v>
      </c>
      <c r="P42" s="26">
        <f t="shared" si="82"/>
        <v>0</v>
      </c>
      <c r="Q42" s="26">
        <f t="shared" si="82"/>
        <v>-6392720341</v>
      </c>
      <c r="R42" s="26">
        <f t="shared" si="82"/>
        <v>0</v>
      </c>
      <c r="S42" s="26">
        <f t="shared" si="82"/>
        <v>0</v>
      </c>
      <c r="T42" s="26">
        <f t="shared" si="82"/>
        <v>0</v>
      </c>
      <c r="U42" s="26">
        <f t="shared" si="82"/>
        <v>-5797748682</v>
      </c>
      <c r="V42" s="26">
        <f t="shared" si="82"/>
        <v>0</v>
      </c>
      <c r="W42" s="26">
        <f t="shared" si="82"/>
        <v>0</v>
      </c>
      <c r="X42" s="26">
        <f t="shared" si="82"/>
        <v>0</v>
      </c>
      <c r="Y42" s="26">
        <f t="shared" si="82"/>
        <v>-5648048682</v>
      </c>
      <c r="Z42" s="26">
        <f t="shared" ref="Z42:BQ42" si="83">Z40-Z41</f>
        <v>122200000</v>
      </c>
      <c r="AA42" s="26">
        <f t="shared" si="83"/>
        <v>0</v>
      </c>
      <c r="AB42" s="26">
        <f t="shared" si="83"/>
        <v>0</v>
      </c>
      <c r="AC42" s="26">
        <f t="shared" si="83"/>
        <v>-5203377022</v>
      </c>
      <c r="AD42" s="26">
        <f t="shared" si="83"/>
        <v>0</v>
      </c>
      <c r="AE42" s="26">
        <f t="shared" si="83"/>
        <v>0</v>
      </c>
      <c r="AF42" s="26">
        <f t="shared" si="83"/>
        <v>0</v>
      </c>
      <c r="AG42" s="26">
        <f t="shared" si="83"/>
        <v>12342972860</v>
      </c>
      <c r="AH42" s="26">
        <f t="shared" si="83"/>
        <v>0</v>
      </c>
      <c r="AI42" s="26">
        <f t="shared" si="83"/>
        <v>0</v>
      </c>
      <c r="AJ42" s="26">
        <f t="shared" si="83"/>
        <v>0</v>
      </c>
      <c r="AK42" s="26">
        <f t="shared" si="83"/>
        <v>-3893027138</v>
      </c>
      <c r="AL42" s="193">
        <f t="shared" si="83"/>
        <v>0</v>
      </c>
      <c r="AM42" s="193">
        <f t="shared" si="83"/>
        <v>0</v>
      </c>
      <c r="AN42" s="193">
        <f t="shared" si="83"/>
        <v>0</v>
      </c>
      <c r="AO42" s="193">
        <f t="shared" si="83"/>
        <v>-3893027138</v>
      </c>
      <c r="AP42" s="193">
        <f t="shared" si="83"/>
        <v>0</v>
      </c>
      <c r="AQ42" s="193">
        <f t="shared" si="83"/>
        <v>0</v>
      </c>
      <c r="AR42" s="193">
        <f t="shared" si="83"/>
        <v>0</v>
      </c>
      <c r="AS42" s="193">
        <f t="shared" si="83"/>
        <v>-3893027138</v>
      </c>
      <c r="AT42" s="193">
        <f t="shared" si="83"/>
        <v>0</v>
      </c>
      <c r="AU42" s="193">
        <f t="shared" si="83"/>
        <v>0</v>
      </c>
      <c r="AV42" s="193">
        <f t="shared" si="83"/>
        <v>0</v>
      </c>
      <c r="AW42" s="193">
        <f t="shared" si="83"/>
        <v>14999999999</v>
      </c>
      <c r="AX42" s="193">
        <f t="shared" si="83"/>
        <v>14759999999</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599000000</v>
      </c>
      <c r="C44" s="190">
        <v>0</v>
      </c>
      <c r="D44" s="190">
        <v>0</v>
      </c>
      <c r="E44" s="190">
        <v>300000000</v>
      </c>
      <c r="F44" s="190">
        <v>300000000</v>
      </c>
      <c r="G44" s="190">
        <v>300000000</v>
      </c>
      <c r="H44" s="190">
        <v>300000000</v>
      </c>
      <c r="I44" s="190">
        <v>160000000</v>
      </c>
      <c r="J44" s="190">
        <v>0</v>
      </c>
      <c r="K44" s="190">
        <v>0</v>
      </c>
      <c r="L44" s="190">
        <v>0</v>
      </c>
      <c r="M44" s="190">
        <v>716520000</v>
      </c>
      <c r="N44" s="190">
        <v>111520000</v>
      </c>
      <c r="O44" s="190">
        <v>61520000</v>
      </c>
      <c r="P44" s="190">
        <v>52000000</v>
      </c>
      <c r="Q44" s="190">
        <v>332634000</v>
      </c>
      <c r="R44" s="190">
        <v>276844000</v>
      </c>
      <c r="S44" s="190">
        <v>184000000</v>
      </c>
      <c r="T44" s="190">
        <v>180000000</v>
      </c>
      <c r="U44" s="190">
        <v>685845000</v>
      </c>
      <c r="V44" s="190">
        <v>394095000</v>
      </c>
      <c r="W44" s="190">
        <v>247745000</v>
      </c>
      <c r="X44" s="190">
        <v>40000000</v>
      </c>
      <c r="Y44" s="190">
        <v>0</v>
      </c>
      <c r="Z44" s="190">
        <v>0</v>
      </c>
      <c r="AA44" s="190">
        <v>0</v>
      </c>
      <c r="AB44" s="190">
        <v>0</v>
      </c>
      <c r="AC44" s="190">
        <v>1950000000</v>
      </c>
      <c r="AD44" s="190">
        <v>1950000000</v>
      </c>
      <c r="AE44" s="190">
        <v>0</v>
      </c>
      <c r="AF44" s="190">
        <v>0</v>
      </c>
      <c r="AG44" s="190">
        <v>12450000000</v>
      </c>
      <c r="AH44" s="190">
        <v>12450000000</v>
      </c>
      <c r="AI44" s="190">
        <v>0</v>
      </c>
      <c r="AJ44" s="190">
        <v>0</v>
      </c>
      <c r="AK44" s="190">
        <v>3500000000</v>
      </c>
      <c r="AL44" s="190">
        <v>3500000000</v>
      </c>
      <c r="AM44" s="190">
        <v>0</v>
      </c>
      <c r="AN44" s="190">
        <v>0</v>
      </c>
      <c r="AO44" s="190">
        <v>0</v>
      </c>
      <c r="AP44" s="190">
        <v>0</v>
      </c>
      <c r="AQ44" s="190">
        <v>0</v>
      </c>
      <c r="AR44" s="190">
        <v>0</v>
      </c>
      <c r="AS44" s="190">
        <v>0</v>
      </c>
      <c r="AT44" s="190">
        <v>0</v>
      </c>
      <c r="AU44" s="190">
        <v>0</v>
      </c>
      <c r="AV44" s="190">
        <v>0</v>
      </c>
      <c r="AW44" s="190">
        <v>1264000000</v>
      </c>
      <c r="AX44" s="190">
        <v>1264000000</v>
      </c>
      <c r="AY44" s="190">
        <v>0</v>
      </c>
      <c r="AZ44" s="190">
        <v>0</v>
      </c>
      <c r="BA44" s="190">
        <v>9200000000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820368933</v>
      </c>
      <c r="F45" s="193">
        <f>股权价值增加表!F53</f>
        <v>0</v>
      </c>
      <c r="G45" s="193">
        <f>股权价值增加表!G53</f>
        <v>0</v>
      </c>
      <c r="H45" s="193">
        <f>股权价值增加表!H53</f>
        <v>0</v>
      </c>
      <c r="I45" s="193">
        <f>股权价值增加表!I53</f>
        <v>583731376</v>
      </c>
      <c r="J45" s="193">
        <f>股权价值增加表!J53</f>
        <v>0</v>
      </c>
      <c r="K45" s="193">
        <f>股权价值增加表!K53</f>
        <v>0</v>
      </c>
      <c r="L45" s="193">
        <f>股权价值增加表!L53</f>
        <v>0</v>
      </c>
      <c r="M45" s="193">
        <f>股权价值增加表!M53</f>
        <v>616993849</v>
      </c>
      <c r="N45" s="193">
        <f>股权价值增加表!N53</f>
        <v>0</v>
      </c>
      <c r="O45" s="193">
        <f>股权价值增加表!O53</f>
        <v>0</v>
      </c>
      <c r="P45" s="193">
        <f>股权价值增加表!P53</f>
        <v>0</v>
      </c>
      <c r="Q45" s="193">
        <f>股权价值增加表!Q53</f>
        <v>849303919</v>
      </c>
      <c r="R45" s="193">
        <f>股权价值增加表!R53</f>
        <v>0</v>
      </c>
      <c r="S45" s="193">
        <f>股权价值增加表!S53</f>
        <v>0</v>
      </c>
      <c r="T45" s="193">
        <f>股权价值增加表!T53</f>
        <v>0</v>
      </c>
      <c r="U45" s="193">
        <f>股权价值增加表!U53</f>
        <v>775538341</v>
      </c>
      <c r="V45" s="193">
        <f>股权价值增加表!V53</f>
        <v>0</v>
      </c>
      <c r="W45" s="193">
        <f>股权价值增加表!W53</f>
        <v>0</v>
      </c>
      <c r="X45" s="193">
        <f>股权价值增加表!X53</f>
        <v>0</v>
      </c>
      <c r="Y45" s="193">
        <f>股权价值增加表!Y53</f>
        <v>861517428</v>
      </c>
      <c r="Z45" s="193">
        <f>股权价值增加表!Z53</f>
        <v>0</v>
      </c>
      <c r="AA45" s="193">
        <f>股权价值增加表!AA53</f>
        <v>0</v>
      </c>
      <c r="AB45" s="193">
        <f>股权价值增加表!AB53</f>
        <v>0</v>
      </c>
      <c r="AC45" s="193">
        <f>股权价值增加表!AC53</f>
        <v>1100496824</v>
      </c>
      <c r="AD45" s="193">
        <f>股权价值增加表!AD53</f>
        <v>0</v>
      </c>
      <c r="AE45" s="193">
        <f>股权价值增加表!AE53</f>
        <v>0</v>
      </c>
      <c r="AF45" s="193">
        <f>股权价值增加表!AF53</f>
        <v>0</v>
      </c>
      <c r="AG45" s="193">
        <f>股权价值增加表!AG53</f>
        <v>1057001194</v>
      </c>
      <c r="AH45" s="193">
        <f>股权价值增加表!AH53</f>
        <v>0</v>
      </c>
      <c r="AI45" s="193">
        <f>股权价值增加表!AI53</f>
        <v>0</v>
      </c>
      <c r="AJ45" s="193">
        <f>股权价值增加表!AJ53</f>
        <v>0</v>
      </c>
      <c r="AK45" s="193">
        <f>股权价值增加表!AK53</f>
        <v>558319742</v>
      </c>
      <c r="AL45" s="193">
        <f>股权价值增加表!AL53</f>
        <v>0</v>
      </c>
      <c r="AM45" s="193">
        <f>股权价值增加表!AM53</f>
        <v>0</v>
      </c>
      <c r="AN45" s="193">
        <f>股权价值增加表!AN53</f>
        <v>0</v>
      </c>
      <c r="AO45" s="193">
        <f>股权价值增加表!AO53</f>
        <v>500678945</v>
      </c>
      <c r="AP45" s="193">
        <f>股权价值增加表!AP53</f>
        <v>0</v>
      </c>
      <c r="AQ45" s="193">
        <f>股权价值增加表!AQ53</f>
        <v>0</v>
      </c>
      <c r="AR45" s="193">
        <f>股权价值增加表!AR53</f>
        <v>0</v>
      </c>
      <c r="AS45" s="193">
        <f>股权价值增加表!AS53</f>
        <v>32000000</v>
      </c>
      <c r="AT45" s="193">
        <f>股权价值增加表!AT53</f>
        <v>0</v>
      </c>
      <c r="AU45" s="193">
        <f>股权价值增加表!AU53</f>
        <v>0</v>
      </c>
      <c r="AV45" s="193">
        <f>股权价值增加表!AV53</f>
        <v>0</v>
      </c>
      <c r="AW45" s="193">
        <f>股权价值增加表!AW53</f>
        <v>273208528</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1677930</v>
      </c>
      <c r="C46" s="190">
        <v>1677930</v>
      </c>
      <c r="D46" s="190">
        <v>3885311</v>
      </c>
      <c r="E46" s="190">
        <v>1851746</v>
      </c>
      <c r="F46" s="190">
        <v>140160730</v>
      </c>
      <c r="G46" s="190">
        <v>100840182</v>
      </c>
      <c r="H46" s="190">
        <v>229155702</v>
      </c>
      <c r="I46" s="190">
        <v>147695803</v>
      </c>
      <c r="J46" s="190">
        <v>188013334</v>
      </c>
      <c r="K46" s="190">
        <v>111175738</v>
      </c>
      <c r="L46" s="190">
        <v>43333334</v>
      </c>
      <c r="M46" s="190">
        <v>11010929</v>
      </c>
      <c r="N46" s="190">
        <v>186676712</v>
      </c>
      <c r="O46" s="190">
        <v>180570091</v>
      </c>
      <c r="P46" s="190">
        <v>101296804</v>
      </c>
      <c r="Q46" s="190">
        <v>22023516</v>
      </c>
      <c r="R46" s="190">
        <v>462019692</v>
      </c>
      <c r="S46" s="190">
        <v>320789384</v>
      </c>
      <c r="T46" s="190">
        <v>179559075</v>
      </c>
      <c r="U46" s="190">
        <v>38328767</v>
      </c>
      <c r="V46" s="190">
        <v>462019692</v>
      </c>
      <c r="W46" s="190">
        <v>511163082</v>
      </c>
      <c r="X46" s="190">
        <v>315282911</v>
      </c>
      <c r="Y46" s="190">
        <v>120003288</v>
      </c>
      <c r="Z46" s="190">
        <v>491756678</v>
      </c>
      <c r="AA46" s="190">
        <v>511589384</v>
      </c>
      <c r="AB46" s="190">
        <v>312222089</v>
      </c>
      <c r="AC46" s="190">
        <v>112854795</v>
      </c>
      <c r="AD46" s="190">
        <v>495188623</v>
      </c>
      <c r="AE46" s="190">
        <v>376171012</v>
      </c>
      <c r="AF46" s="190">
        <v>199732968</v>
      </c>
      <c r="AG46" s="190">
        <v>95433749</v>
      </c>
      <c r="AH46" s="190">
        <v>491675569</v>
      </c>
      <c r="AI46" s="190">
        <v>320615137</v>
      </c>
      <c r="AJ46" s="190">
        <v>175897705</v>
      </c>
      <c r="AK46" s="190">
        <v>35809424</v>
      </c>
      <c r="AL46" s="190">
        <v>4252500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103513000</v>
      </c>
      <c r="C47" s="190">
        <v>53513000</v>
      </c>
      <c r="D47" s="190">
        <v>0</v>
      </c>
      <c r="E47" s="190">
        <v>11168781000</v>
      </c>
      <c r="F47" s="190">
        <v>6129448000</v>
      </c>
      <c r="G47" s="190">
        <v>6129448000</v>
      </c>
      <c r="H47" s="190">
        <v>83735000</v>
      </c>
      <c r="I47" s="190">
        <v>4034533000</v>
      </c>
      <c r="J47" s="190">
        <v>18100000</v>
      </c>
      <c r="K47" s="190">
        <v>18100000</v>
      </c>
      <c r="L47" s="190">
        <v>0</v>
      </c>
      <c r="M47" s="190">
        <v>7005200000</v>
      </c>
      <c r="N47" s="190">
        <v>2002600000</v>
      </c>
      <c r="O47" s="190">
        <v>2600000</v>
      </c>
      <c r="P47" s="190">
        <v>0</v>
      </c>
      <c r="Q47" s="190">
        <v>7500000000</v>
      </c>
      <c r="R47" s="190">
        <v>0</v>
      </c>
      <c r="S47" s="190">
        <v>0</v>
      </c>
      <c r="T47" s="190">
        <v>0</v>
      </c>
      <c r="U47" s="190">
        <v>4000000000</v>
      </c>
      <c r="V47" s="190">
        <v>4000000000</v>
      </c>
      <c r="W47" s="190">
        <v>0</v>
      </c>
      <c r="X47" s="190">
        <v>0</v>
      </c>
      <c r="Y47" s="190">
        <v>6000000000</v>
      </c>
      <c r="Z47" s="190">
        <v>0</v>
      </c>
      <c r="AA47" s="190">
        <v>0</v>
      </c>
      <c r="AB47" s="190">
        <v>0</v>
      </c>
      <c r="AC47" s="190">
        <v>14400000000</v>
      </c>
      <c r="AD47" s="190">
        <v>12450000000</v>
      </c>
      <c r="AE47" s="190">
        <v>3000000000</v>
      </c>
      <c r="AF47" s="190">
        <v>3000000000</v>
      </c>
      <c r="AG47" s="190">
        <v>3100000000</v>
      </c>
      <c r="AH47" s="190">
        <v>3100000000</v>
      </c>
      <c r="AI47" s="190">
        <v>3100000000</v>
      </c>
      <c r="AJ47" s="190">
        <v>3100000000</v>
      </c>
      <c r="AK47" s="190">
        <v>400000000</v>
      </c>
      <c r="AL47" s="190">
        <v>0</v>
      </c>
      <c r="AM47" s="190">
        <v>0</v>
      </c>
      <c r="AN47" s="190">
        <v>0</v>
      </c>
      <c r="AO47" s="190">
        <v>0</v>
      </c>
      <c r="AP47" s="190">
        <v>0</v>
      </c>
      <c r="AQ47" s="190">
        <v>0</v>
      </c>
      <c r="AR47" s="190">
        <v>0</v>
      </c>
      <c r="AS47" s="190">
        <v>0</v>
      </c>
      <c r="AT47" s="190">
        <v>0</v>
      </c>
      <c r="AU47" s="190">
        <v>0</v>
      </c>
      <c r="AV47" s="190">
        <v>0</v>
      </c>
      <c r="AW47" s="190">
        <v>6264000000</v>
      </c>
      <c r="AX47" s="190">
        <v>6264000000</v>
      </c>
      <c r="AY47" s="190">
        <v>0</v>
      </c>
      <c r="AZ47" s="190">
        <v>0</v>
      </c>
      <c r="BA47" s="190">
        <v>4200000000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10967000000</v>
      </c>
      <c r="J48" s="190">
        <v>5982000000</v>
      </c>
      <c r="K48" s="190">
        <v>5982000000</v>
      </c>
      <c r="L48" s="190">
        <v>0</v>
      </c>
      <c r="M48" s="190">
        <v>3988000000</v>
      </c>
      <c r="N48" s="190">
        <v>0</v>
      </c>
      <c r="O48" s="190">
        <v>0</v>
      </c>
      <c r="P48" s="190">
        <v>0</v>
      </c>
      <c r="Q48" s="190">
        <v>1995500000</v>
      </c>
      <c r="R48" s="190">
        <v>0</v>
      </c>
      <c r="S48" s="190">
        <v>0</v>
      </c>
      <c r="T48" s="190">
        <v>0</v>
      </c>
      <c r="U48" s="190">
        <v>0</v>
      </c>
      <c r="V48" s="190">
        <v>0</v>
      </c>
      <c r="W48" s="190">
        <v>0</v>
      </c>
      <c r="X48" s="190">
        <v>0</v>
      </c>
      <c r="Y48" s="190">
        <v>4980000000</v>
      </c>
      <c r="Z48" s="190">
        <v>0</v>
      </c>
      <c r="AA48" s="190">
        <v>0</v>
      </c>
      <c r="AB48" s="190">
        <v>0</v>
      </c>
      <c r="AC48" s="190">
        <v>3984000000</v>
      </c>
      <c r="AD48" s="190">
        <v>3984000000</v>
      </c>
      <c r="AE48" s="190">
        <v>0</v>
      </c>
      <c r="AF48" s="190">
        <v>0</v>
      </c>
      <c r="AG48" s="190">
        <v>0</v>
      </c>
      <c r="AH48" s="190">
        <v>0</v>
      </c>
      <c r="AI48" s="190">
        <v>0</v>
      </c>
      <c r="AJ48" s="190">
        <v>0</v>
      </c>
      <c r="AK48" s="190">
        <v>13500000000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-11691001679</v>
      </c>
      <c r="F49" s="193">
        <f t="shared" ref="F49:BQ49" si="85">F44+F48-F45-F46-F47</f>
        <v>-5969608730</v>
      </c>
      <c r="G49" s="193">
        <f t="shared" si="85"/>
        <v>-5930288182</v>
      </c>
      <c r="H49" s="193">
        <f t="shared" si="85"/>
        <v>-12890702</v>
      </c>
      <c r="I49" s="193">
        <f t="shared" si="85"/>
        <v>6361039821</v>
      </c>
      <c r="J49" s="193">
        <f t="shared" si="85"/>
        <v>5775886666</v>
      </c>
      <c r="K49" s="193">
        <f t="shared" si="85"/>
        <v>5852724262</v>
      </c>
      <c r="L49" s="193">
        <f t="shared" si="85"/>
        <v>-43333334</v>
      </c>
      <c r="M49" s="193">
        <f t="shared" si="85"/>
        <v>-2928684778</v>
      </c>
      <c r="N49" s="193">
        <f t="shared" si="85"/>
        <v>-2077756712</v>
      </c>
      <c r="O49" s="193">
        <f t="shared" si="85"/>
        <v>-121650091</v>
      </c>
      <c r="P49" s="193">
        <f t="shared" si="85"/>
        <v>-49296804</v>
      </c>
      <c r="Q49" s="193">
        <f t="shared" si="85"/>
        <v>-6043193435</v>
      </c>
      <c r="R49" s="193">
        <f t="shared" si="85"/>
        <v>-185175692</v>
      </c>
      <c r="S49" s="193">
        <f t="shared" si="85"/>
        <v>-136789384</v>
      </c>
      <c r="T49" s="193">
        <f t="shared" si="85"/>
        <v>440925</v>
      </c>
      <c r="U49" s="193">
        <f t="shared" si="85"/>
        <v>-4128022108</v>
      </c>
      <c r="V49" s="193">
        <f t="shared" si="85"/>
        <v>-4067924692</v>
      </c>
      <c r="W49" s="193">
        <f t="shared" si="85"/>
        <v>-263418082</v>
      </c>
      <c r="X49" s="193">
        <f t="shared" si="85"/>
        <v>-275282911</v>
      </c>
      <c r="Y49" s="193">
        <f t="shared" si="85"/>
        <v>-2001520716</v>
      </c>
      <c r="Z49" s="193">
        <f t="shared" si="85"/>
        <v>-491756678</v>
      </c>
      <c r="AA49" s="193">
        <f t="shared" si="85"/>
        <v>-511589384</v>
      </c>
      <c r="AB49" s="193">
        <f t="shared" si="85"/>
        <v>-312222089</v>
      </c>
      <c r="AC49" s="193">
        <f t="shared" si="85"/>
        <v>-9679351619</v>
      </c>
      <c r="AD49" s="193">
        <f t="shared" si="85"/>
        <v>-7011188623</v>
      </c>
      <c r="AE49" s="193">
        <f t="shared" si="85"/>
        <v>-3376171012</v>
      </c>
      <c r="AF49" s="193">
        <f t="shared" si="85"/>
        <v>-3199732968</v>
      </c>
      <c r="AG49" s="193">
        <f t="shared" si="85"/>
        <v>8197565057</v>
      </c>
      <c r="AH49" s="193">
        <f t="shared" si="85"/>
        <v>8858324431</v>
      </c>
      <c r="AI49" s="193">
        <f t="shared" si="85"/>
        <v>-3420615137</v>
      </c>
      <c r="AJ49" s="193">
        <f t="shared" si="85"/>
        <v>-3275897705</v>
      </c>
      <c r="AK49" s="193">
        <f t="shared" si="85"/>
        <v>16005870834</v>
      </c>
      <c r="AL49" s="193">
        <f t="shared" si="85"/>
        <v>3495747500</v>
      </c>
      <c r="AM49" s="193">
        <f t="shared" si="85"/>
        <v>0</v>
      </c>
      <c r="AN49" s="193">
        <f t="shared" si="85"/>
        <v>0</v>
      </c>
      <c r="AO49" s="193">
        <f t="shared" si="85"/>
        <v>-500678945</v>
      </c>
      <c r="AP49" s="193">
        <f t="shared" si="85"/>
        <v>0</v>
      </c>
      <c r="AQ49" s="193">
        <f t="shared" si="85"/>
        <v>0</v>
      </c>
      <c r="AR49" s="193">
        <f t="shared" si="85"/>
        <v>0</v>
      </c>
      <c r="AS49" s="193">
        <f t="shared" si="85"/>
        <v>-32000000</v>
      </c>
      <c r="AT49" s="193">
        <f t="shared" si="85"/>
        <v>0</v>
      </c>
      <c r="AU49" s="193">
        <f t="shared" si="85"/>
        <v>0</v>
      </c>
      <c r="AV49" s="193">
        <f t="shared" si="85"/>
        <v>0</v>
      </c>
      <c r="AW49" s="193">
        <f t="shared" si="85"/>
        <v>-5273208528</v>
      </c>
      <c r="AX49" s="193">
        <f t="shared" si="85"/>
        <v>-5000000000</v>
      </c>
      <c r="AY49" s="193">
        <f t="shared" si="85"/>
        <v>0</v>
      </c>
      <c r="AZ49" s="193">
        <f t="shared" si="85"/>
        <v>0</v>
      </c>
      <c r="BA49" s="193">
        <f t="shared" si="85"/>
        <v>5000000000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BV9"/>
    </sheetView>
  </sheetViews>
  <sheetFormatPr defaultRowHeight="14.4" x14ac:dyDescent="0.25"/>
  <cols>
    <col min="1" max="1" width="63.6640625" style="17" bestFit="1" customWidth="1"/>
    <col min="2" max="4" width="9.5546875" hidden="1" customWidth="1"/>
    <col min="5" max="5" width="21.5546875" bestFit="1" customWidth="1"/>
    <col min="6" max="8" width="21.554687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4" width="9.5546875" hidden="1" customWidth="1"/>
    <col min="55"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820368933</v>
      </c>
      <c r="F3" s="26">
        <f>股权价值增加表!F53</f>
        <v>0</v>
      </c>
      <c r="G3" s="26">
        <f>股权价值增加表!G53</f>
        <v>0</v>
      </c>
      <c r="H3" s="26">
        <f>股权价值增加表!H53</f>
        <v>0</v>
      </c>
      <c r="I3" s="26">
        <f>股权价值增加表!I53</f>
        <v>583731376</v>
      </c>
      <c r="J3" s="26">
        <f>股权价值增加表!J53</f>
        <v>0</v>
      </c>
      <c r="K3" s="26">
        <f>股权价值增加表!K53</f>
        <v>0</v>
      </c>
      <c r="L3" s="26">
        <f>股权价值增加表!L53</f>
        <v>0</v>
      </c>
      <c r="M3" s="26">
        <f>股权价值增加表!M53</f>
        <v>616993849</v>
      </c>
      <c r="N3" s="26">
        <f>股权价值增加表!N53</f>
        <v>0</v>
      </c>
      <c r="O3" s="26">
        <f>股权价值增加表!O53</f>
        <v>0</v>
      </c>
      <c r="P3" s="26">
        <f>股权价值增加表!P53</f>
        <v>0</v>
      </c>
      <c r="Q3" s="26">
        <f>股权价值增加表!Q53</f>
        <v>849303919</v>
      </c>
      <c r="R3" s="26">
        <f>股权价值增加表!R53</f>
        <v>0</v>
      </c>
      <c r="S3" s="26">
        <f>股权价值增加表!S53</f>
        <v>0</v>
      </c>
      <c r="T3" s="26">
        <f>股权价值增加表!T53</f>
        <v>0</v>
      </c>
      <c r="U3" s="26">
        <f>股权价值增加表!U53</f>
        <v>775538341</v>
      </c>
      <c r="V3" s="26">
        <f>股权价值增加表!V53</f>
        <v>0</v>
      </c>
      <c r="W3" s="26">
        <f>股权价值增加表!W53</f>
        <v>0</v>
      </c>
      <c r="X3" s="26">
        <f>股权价值增加表!X53</f>
        <v>0</v>
      </c>
      <c r="Y3" s="26">
        <f>股权价值增加表!Y53</f>
        <v>861517428</v>
      </c>
      <c r="Z3" s="26">
        <f>股权价值增加表!Z53</f>
        <v>0</v>
      </c>
      <c r="AA3" s="26">
        <f>股权价值增加表!AA53</f>
        <v>0</v>
      </c>
      <c r="AB3" s="26">
        <f>股权价值增加表!AB53</f>
        <v>0</v>
      </c>
      <c r="AC3" s="26">
        <f>股权价值增加表!AC53</f>
        <v>1100496824</v>
      </c>
      <c r="AD3" s="26">
        <f>股权价值增加表!AD53</f>
        <v>0</v>
      </c>
      <c r="AE3" s="26">
        <f>股权价值增加表!AE53</f>
        <v>0</v>
      </c>
      <c r="AF3" s="26">
        <f>股权价值增加表!AF53</f>
        <v>0</v>
      </c>
      <c r="AG3" s="26">
        <f>股权价值增加表!AG53</f>
        <v>1057001194</v>
      </c>
      <c r="AH3" s="26">
        <f>股权价值增加表!AH53</f>
        <v>0</v>
      </c>
      <c r="AI3" s="26">
        <f>股权价值增加表!AI53</f>
        <v>0</v>
      </c>
      <c r="AJ3" s="26">
        <f>股权价值增加表!AJ53</f>
        <v>0</v>
      </c>
      <c r="AK3" s="26">
        <f>股权价值增加表!AK53</f>
        <v>558319742</v>
      </c>
      <c r="AL3" s="26">
        <f>股权价值增加表!AL53</f>
        <v>0</v>
      </c>
      <c r="AM3" s="26">
        <f>股权价值增加表!AM53</f>
        <v>0</v>
      </c>
      <c r="AN3" s="26">
        <f>股权价值增加表!AN53</f>
        <v>0</v>
      </c>
      <c r="AO3" s="26">
        <f>股权价值增加表!AO53</f>
        <v>500678945</v>
      </c>
      <c r="AP3" s="26">
        <f>股权价值增加表!AP53</f>
        <v>0</v>
      </c>
      <c r="AQ3" s="26">
        <f>股权价值增加表!AQ53</f>
        <v>0</v>
      </c>
      <c r="AR3" s="26">
        <f>股权价值增加表!AR53</f>
        <v>0</v>
      </c>
      <c r="AS3" s="26">
        <f>股权价值增加表!AS53</f>
        <v>32000000</v>
      </c>
      <c r="AT3" s="26">
        <f>股权价值增加表!AT53</f>
        <v>0</v>
      </c>
      <c r="AU3" s="26">
        <f>股权价值增加表!AU53</f>
        <v>0</v>
      </c>
      <c r="AV3" s="26">
        <f>股权价值增加表!AV53</f>
        <v>0</v>
      </c>
      <c r="AW3" s="26">
        <f>股权价值增加表!AW53</f>
        <v>273208528</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7462160520</v>
      </c>
      <c r="F4" s="26">
        <f>资产资本表!F89</f>
        <v>7639728517</v>
      </c>
      <c r="G4" s="26">
        <f>资产资本表!G89</f>
        <v>7600334814</v>
      </c>
      <c r="H4" s="26">
        <f>资产资本表!H89</f>
        <v>7774151350</v>
      </c>
      <c r="I4" s="26">
        <f>资产资本表!I89</f>
        <v>7475761803</v>
      </c>
      <c r="J4" s="26">
        <f>资产资本表!J89</f>
        <v>7169712334</v>
      </c>
      <c r="K4" s="26">
        <f>资产资本表!K89</f>
        <v>5717874738</v>
      </c>
      <c r="L4" s="26">
        <f>资产资本表!L89</f>
        <v>5668132334</v>
      </c>
      <c r="M4" s="26">
        <f>资产资本表!M89</f>
        <v>5635809929</v>
      </c>
      <c r="N4" s="26">
        <f>资产资本表!N89</f>
        <v>6312265431</v>
      </c>
      <c r="O4" s="26">
        <f>资产资本表!O89</f>
        <v>6254348519</v>
      </c>
      <c r="P4" s="26">
        <f>资产资本表!P89</f>
        <v>6166344941</v>
      </c>
      <c r="Q4" s="26">
        <f>资产资本表!Q89</f>
        <v>6033261362</v>
      </c>
      <c r="R4" s="26">
        <f>资产资本表!R89</f>
        <v>16141316629</v>
      </c>
      <c r="S4" s="26">
        <f>资产资本表!S89</f>
        <v>14988697685</v>
      </c>
      <c r="T4" s="26">
        <f>资产资本表!T89</f>
        <v>14840135833</v>
      </c>
      <c r="U4" s="26">
        <f>资产资本表!U89</f>
        <v>14515573981</v>
      </c>
      <c r="V4" s="26">
        <f>资产资本表!V89</f>
        <v>14570786840</v>
      </c>
      <c r="W4" s="26">
        <f>资产资本表!W89</f>
        <v>18468414440</v>
      </c>
      <c r="X4" s="26">
        <f>资产资本表!X89</f>
        <v>18059311784</v>
      </c>
      <c r="Y4" s="26">
        <f>资产资本表!Y89</f>
        <v>17818579992</v>
      </c>
      <c r="Z4" s="26">
        <f>资产资本表!Z89</f>
        <v>19166306076</v>
      </c>
      <c r="AA4" s="26">
        <f>资产资本表!AA89</f>
        <v>19180346611</v>
      </c>
      <c r="AB4" s="26">
        <f>资产资本表!AB89</f>
        <v>18975247451</v>
      </c>
      <c r="AC4" s="26">
        <f>资产资本表!AC89</f>
        <v>18770148292</v>
      </c>
      <c r="AD4" s="26">
        <f>资产资本表!AD89</f>
        <v>21051821235</v>
      </c>
      <c r="AE4" s="26">
        <f>资产资本表!AE89</f>
        <v>24445405506</v>
      </c>
      <c r="AF4" s="26">
        <f>资产资本表!AF89</f>
        <v>24228726344</v>
      </c>
      <c r="AG4" s="26">
        <f>资产资本表!AG89</f>
        <v>27121029007</v>
      </c>
      <c r="AH4" s="26">
        <f>资产资本表!AH89</f>
        <v>26395854624</v>
      </c>
      <c r="AI4" s="26">
        <f>资产资本表!AI89</f>
        <v>13771540484</v>
      </c>
      <c r="AJ4" s="26">
        <f>资产资本表!AJ89</f>
        <v>13623569344</v>
      </c>
      <c r="AK4" s="26">
        <f>资产资本表!AK89</f>
        <v>16580227355</v>
      </c>
      <c r="AL4" s="26">
        <f>资产资本表!AL89</f>
        <v>3504252500</v>
      </c>
      <c r="AM4" s="26">
        <f>资产资本表!AM89</f>
        <v>600710</v>
      </c>
      <c r="AN4" s="26">
        <f>资产资本表!AN89</f>
        <v>0</v>
      </c>
      <c r="AO4" s="26">
        <f>资产资本表!AO89</f>
        <v>0</v>
      </c>
      <c r="AP4" s="26">
        <f>资产资本表!AP89</f>
        <v>1400000</v>
      </c>
      <c r="AQ4" s="26">
        <f>资产资本表!AQ89</f>
        <v>1400000</v>
      </c>
      <c r="AR4" s="26">
        <f>资产资本表!AR89</f>
        <v>1400000</v>
      </c>
      <c r="AS4" s="26">
        <f>资产资本表!AS89</f>
        <v>1400000</v>
      </c>
      <c r="AT4" s="26">
        <f>资产资本表!AT89</f>
        <v>0</v>
      </c>
      <c r="AU4" s="26">
        <f>资产资本表!AU89</f>
        <v>0</v>
      </c>
      <c r="AV4" s="26">
        <f>资产资本表!AV89</f>
        <v>539201</v>
      </c>
      <c r="AW4" s="26">
        <f>资产资本表!AW89</f>
        <v>0</v>
      </c>
      <c r="AX4" s="26">
        <f>资产资本表!AX89</f>
        <v>0</v>
      </c>
      <c r="AY4" s="26">
        <f>资产资本表!AY89</f>
        <v>5000000000</v>
      </c>
      <c r="AZ4" s="26">
        <f>资产资本表!AZ89</f>
        <v>5000000000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0.10983708647846877</v>
      </c>
      <c r="F5" s="63">
        <f t="shared" ref="F5:BQ5" si="0">IF(F4+J4=0,0,F3/((F4+J4)/2))</f>
        <v>0</v>
      </c>
      <c r="G5" s="63">
        <f t="shared" si="0"/>
        <v>0</v>
      </c>
      <c r="H5" s="63">
        <f t="shared" si="0"/>
        <v>0</v>
      </c>
      <c r="I5" s="63">
        <f t="shared" si="0"/>
        <v>8.9040641035483148E-2</v>
      </c>
      <c r="J5" s="63">
        <f t="shared" si="0"/>
        <v>0</v>
      </c>
      <c r="K5" s="63">
        <f t="shared" si="0"/>
        <v>0</v>
      </c>
      <c r="L5" s="63">
        <f t="shared" si="0"/>
        <v>0</v>
      </c>
      <c r="M5" s="63">
        <f t="shared" si="0"/>
        <v>0.10574857820533989</v>
      </c>
      <c r="N5" s="63">
        <f t="shared" si="0"/>
        <v>0</v>
      </c>
      <c r="O5" s="63">
        <f t="shared" si="0"/>
        <v>0</v>
      </c>
      <c r="P5" s="63">
        <f t="shared" si="0"/>
        <v>0</v>
      </c>
      <c r="Q5" s="63">
        <f t="shared" si="0"/>
        <v>8.2662000529321197E-2</v>
      </c>
      <c r="R5" s="63">
        <f t="shared" si="0"/>
        <v>0</v>
      </c>
      <c r="S5" s="63">
        <f t="shared" si="0"/>
        <v>0</v>
      </c>
      <c r="T5" s="63">
        <f t="shared" si="0"/>
        <v>0</v>
      </c>
      <c r="U5" s="63">
        <f t="shared" si="0"/>
        <v>4.797022625967564E-2</v>
      </c>
      <c r="V5" s="63">
        <f t="shared" si="0"/>
        <v>0</v>
      </c>
      <c r="W5" s="63">
        <f t="shared" si="0"/>
        <v>0</v>
      </c>
      <c r="X5" s="63">
        <f t="shared" si="0"/>
        <v>0</v>
      </c>
      <c r="Y5" s="63">
        <f t="shared" si="0"/>
        <v>4.709195801028896E-2</v>
      </c>
      <c r="Z5" s="63">
        <f t="shared" si="0"/>
        <v>0</v>
      </c>
      <c r="AA5" s="63">
        <f t="shared" si="0"/>
        <v>0</v>
      </c>
      <c r="AB5" s="63">
        <f t="shared" si="0"/>
        <v>0</v>
      </c>
      <c r="AC5" s="63">
        <f t="shared" si="0"/>
        <v>4.796115021542411E-2</v>
      </c>
      <c r="AD5" s="63">
        <f t="shared" si="0"/>
        <v>0</v>
      </c>
      <c r="AE5" s="63">
        <f t="shared" si="0"/>
        <v>0</v>
      </c>
      <c r="AF5" s="63">
        <f t="shared" si="0"/>
        <v>0</v>
      </c>
      <c r="AG5" s="63">
        <f t="shared" si="0"/>
        <v>4.8373949949828215E-2</v>
      </c>
      <c r="AH5" s="63">
        <f t="shared" si="0"/>
        <v>0</v>
      </c>
      <c r="AI5" s="63">
        <f t="shared" si="0"/>
        <v>0</v>
      </c>
      <c r="AJ5" s="63">
        <f t="shared" si="0"/>
        <v>0</v>
      </c>
      <c r="AK5" s="63">
        <f t="shared" si="0"/>
        <v>6.7347658152785331E-2</v>
      </c>
      <c r="AL5" s="63">
        <f t="shared" si="0"/>
        <v>0</v>
      </c>
      <c r="AM5" s="63">
        <f t="shared" si="0"/>
        <v>0</v>
      </c>
      <c r="AN5" s="63">
        <f t="shared" si="0"/>
        <v>0</v>
      </c>
      <c r="AO5" s="63">
        <f t="shared" si="0"/>
        <v>715.25563571428575</v>
      </c>
      <c r="AP5" s="63">
        <f t="shared" si="0"/>
        <v>0</v>
      </c>
      <c r="AQ5" s="63">
        <f t="shared" si="0"/>
        <v>0</v>
      </c>
      <c r="AR5" s="63">
        <f t="shared" si="0"/>
        <v>0</v>
      </c>
      <c r="AS5" s="63">
        <f t="shared" si="0"/>
        <v>45.714285714285715</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0.22440217143968777</v>
      </c>
      <c r="F6" s="63">
        <f>股权价值增加表!F41</f>
        <v>0.21977348528643037</v>
      </c>
      <c r="G6" s="63">
        <f>股权价值增加表!G41</f>
        <v>0.21795832423318787</v>
      </c>
      <c r="H6" s="63">
        <f>股权价值增加表!H41</f>
        <v>0.21619965146257519</v>
      </c>
      <c r="I6" s="63">
        <f>股权价值增加表!I41</f>
        <v>0.19800495419846575</v>
      </c>
      <c r="J6" s="63">
        <f>股权价值增加表!J41</f>
        <v>0.18370255386385742</v>
      </c>
      <c r="K6" s="63">
        <f>股权价值增加表!K41</f>
        <v>0.18691397280343292</v>
      </c>
      <c r="L6" s="63">
        <f>股权价值增加表!L41</f>
        <v>0.20834078275982582</v>
      </c>
      <c r="M6" s="63">
        <f>股权价值增加表!M41</f>
        <v>0.22859840993719924</v>
      </c>
      <c r="N6" s="63">
        <f>股权价值增加表!N41</f>
        <v>0.23207711302175568</v>
      </c>
      <c r="O6" s="63">
        <f>股权价值增加表!O41</f>
        <v>0.23496787107170122</v>
      </c>
      <c r="P6" s="63">
        <f>股权价值增加表!P41</f>
        <v>0.22954043526612605</v>
      </c>
      <c r="Q6" s="63">
        <f>股权价值增加表!Q41</f>
        <v>0.22160978206894918</v>
      </c>
      <c r="R6" s="63">
        <f>股权价值增加表!R41</f>
        <v>0.22563963040491825</v>
      </c>
      <c r="S6" s="63">
        <f>股权价值增加表!S41</f>
        <v>0.22067265144997292</v>
      </c>
      <c r="T6" s="63">
        <f>股权价值增加表!T41</f>
        <v>0.22101057684894537</v>
      </c>
      <c r="U6" s="63">
        <f>股权价值增加表!U41</f>
        <v>0.21131600498816103</v>
      </c>
      <c r="V6" s="63">
        <f>股权价值增加表!V41</f>
        <v>0.21105962536891854</v>
      </c>
      <c r="W6" s="63">
        <f>股权价值增加表!W41</f>
        <v>0.20996411545893753</v>
      </c>
      <c r="X6" s="63">
        <f>股权价值增加表!X41</f>
        <v>0.21955999925764402</v>
      </c>
      <c r="Y6" s="63">
        <f>股权价值增加表!Y41</f>
        <v>0.21891709154175779</v>
      </c>
      <c r="Z6" s="63">
        <f>股权价值增加表!Z41</f>
        <v>0.21965791729169204</v>
      </c>
      <c r="AA6" s="63">
        <f>股权价值增加表!AA41</f>
        <v>0.21763876636203566</v>
      </c>
      <c r="AB6" s="63">
        <f>股权价值增加表!AB41</f>
        <v>0.22675870953734958</v>
      </c>
      <c r="AC6" s="63">
        <f>股权价值增加表!AC41</f>
        <v>0.23413732303054166</v>
      </c>
      <c r="AD6" s="63">
        <f>股权价值增加表!AD41</f>
        <v>0.23244004549781627</v>
      </c>
      <c r="AE6" s="63">
        <f>股权价值增加表!AE41</f>
        <v>0.23825034054841002</v>
      </c>
      <c r="AF6" s="63">
        <f>股权价值增加表!AF41</f>
        <v>0.22195601850064267</v>
      </c>
      <c r="AG6" s="63">
        <f>股权价值增加表!AG41</f>
        <v>0.2408029488566408</v>
      </c>
      <c r="AH6" s="63">
        <f>股权价值增加表!AH41</f>
        <v>0.24890377317811221</v>
      </c>
      <c r="AI6" s="63">
        <f>股权价值增加表!AI41</f>
        <v>0.25036199591714225</v>
      </c>
      <c r="AJ6" s="63">
        <f>股权价值增加表!AJ41</f>
        <v>0.25014147463439096</v>
      </c>
      <c r="AK6" s="63">
        <f>股权价值增加表!AK41</f>
        <v>0.25166337819050827</v>
      </c>
      <c r="AL6" s="63">
        <f>股权价值增加表!AL41</f>
        <v>0.25119392410750729</v>
      </c>
      <c r="AM6" s="63">
        <f>股权价值增加表!AM41</f>
        <v>0.25172276583036385</v>
      </c>
      <c r="AN6" s="63">
        <f>股权价值增加表!AN41</f>
        <v>0.25034718641657688</v>
      </c>
      <c r="AO6" s="63">
        <f>股权价值增加表!AO41</f>
        <v>0.25121764363118448</v>
      </c>
      <c r="AP6" s="63">
        <f>股权价值增加表!AP41</f>
        <v>0.25188671240858657</v>
      </c>
      <c r="AQ6" s="63">
        <f>股权价值增加表!AQ41</f>
        <v>0.25026599414060141</v>
      </c>
      <c r="AR6" s="63">
        <f>股权价值增加表!AR41</f>
        <v>0.25000003830630668</v>
      </c>
      <c r="AS6" s="63">
        <f>股权价值增加表!AS41</f>
        <v>0.33588859137000049</v>
      </c>
      <c r="AT6" s="63">
        <f>股权价值增加表!AT41</f>
        <v>0.33970618099991035</v>
      </c>
      <c r="AU6" s="63">
        <f>股权价值增加表!AU41</f>
        <v>0.33099564953963295</v>
      </c>
      <c r="AV6" s="63">
        <f>股权价值增加表!AV41</f>
        <v>0.33074476464531782</v>
      </c>
      <c r="AW6" s="63">
        <f>股权价值增加表!AW41</f>
        <v>0.33135726170366225</v>
      </c>
      <c r="AX6" s="63">
        <f>股权价值增加表!AX41</f>
        <v>0.32804313095124482</v>
      </c>
      <c r="AY6" s="63">
        <f>股权价值增加表!AY41</f>
        <v>0.32088339887579154</v>
      </c>
      <c r="AZ6" s="63">
        <f>股权价值增加表!AZ41</f>
        <v>0.29507426955825017</v>
      </c>
      <c r="BA6" s="63">
        <f>股权价值增加表!BA41</f>
        <v>0.34089694760807254</v>
      </c>
      <c r="BB6" s="63">
        <f>股权价值增加表!BB41</f>
        <v>0.34573757321198417</v>
      </c>
      <c r="BC6" s="63">
        <f>股权价值增加表!BC41</f>
        <v>0.34174045729422708</v>
      </c>
      <c r="BD6" s="63">
        <f>股权价值增加表!BD41</f>
        <v>0.35545712656710976</v>
      </c>
      <c r="BE6" s="63">
        <f>股权价值增加表!BE41</f>
        <v>0.33618563714510685</v>
      </c>
      <c r="BF6" s="63" t="e">
        <f>股权价值增加表!BF41</f>
        <v>#DIV/0!</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8.51894057680916E-2</v>
      </c>
      <c r="F7" s="63">
        <f t="shared" ref="F7:BQ7" si="2">F5*(1-F6)</f>
        <v>0</v>
      </c>
      <c r="G7" s="63">
        <f t="shared" si="2"/>
        <v>0</v>
      </c>
      <c r="H7" s="63">
        <f t="shared" si="2"/>
        <v>0</v>
      </c>
      <c r="I7" s="63">
        <f t="shared" si="2"/>
        <v>7.1410152985450281E-2</v>
      </c>
      <c r="J7" s="63">
        <f t="shared" si="2"/>
        <v>0</v>
      </c>
      <c r="K7" s="63">
        <f t="shared" si="2"/>
        <v>0</v>
      </c>
      <c r="L7" s="63">
        <f t="shared" si="2"/>
        <v>0</v>
      </c>
      <c r="M7" s="63">
        <f t="shared" si="2"/>
        <v>8.1574621374479628E-2</v>
      </c>
      <c r="N7" s="63">
        <f t="shared" si="2"/>
        <v>0</v>
      </c>
      <c r="O7" s="63">
        <f t="shared" si="2"/>
        <v>0</v>
      </c>
      <c r="P7" s="63">
        <f t="shared" si="2"/>
        <v>0</v>
      </c>
      <c r="Q7" s="63">
        <f t="shared" si="2"/>
        <v>6.4343292606634961E-2</v>
      </c>
      <c r="R7" s="63">
        <f t="shared" si="2"/>
        <v>0</v>
      </c>
      <c r="S7" s="63">
        <f t="shared" si="2"/>
        <v>0</v>
      </c>
      <c r="T7" s="63">
        <f t="shared" si="2"/>
        <v>0</v>
      </c>
      <c r="U7" s="63">
        <f t="shared" si="2"/>
        <v>3.7833349688102806E-2</v>
      </c>
      <c r="V7" s="63">
        <f t="shared" si="2"/>
        <v>0</v>
      </c>
      <c r="W7" s="63">
        <f t="shared" si="2"/>
        <v>0</v>
      </c>
      <c r="X7" s="63">
        <f t="shared" si="2"/>
        <v>0</v>
      </c>
      <c r="Y7" s="63">
        <f t="shared" si="2"/>
        <v>3.6782723527669918E-2</v>
      </c>
      <c r="Z7" s="63">
        <f t="shared" si="2"/>
        <v>0</v>
      </c>
      <c r="AA7" s="63">
        <f t="shared" si="2"/>
        <v>0</v>
      </c>
      <c r="AB7" s="63">
        <f t="shared" si="2"/>
        <v>0</v>
      </c>
      <c r="AC7" s="63">
        <f t="shared" si="2"/>
        <v>3.6731654894519024E-2</v>
      </c>
      <c r="AD7" s="63">
        <f t="shared" si="2"/>
        <v>0</v>
      </c>
      <c r="AE7" s="63">
        <f t="shared" si="2"/>
        <v>0</v>
      </c>
      <c r="AF7" s="63">
        <f t="shared" si="2"/>
        <v>0</v>
      </c>
      <c r="AG7" s="63">
        <f t="shared" si="2"/>
        <v>3.6725360154066029E-2</v>
      </c>
      <c r="AH7" s="63">
        <f t="shared" si="2"/>
        <v>0</v>
      </c>
      <c r="AI7" s="63">
        <f t="shared" si="2"/>
        <v>0</v>
      </c>
      <c r="AJ7" s="63">
        <f t="shared" si="2"/>
        <v>0</v>
      </c>
      <c r="AK7" s="63">
        <f t="shared" si="2"/>
        <v>5.0398718988835856E-2</v>
      </c>
      <c r="AL7" s="63">
        <f t="shared" si="2"/>
        <v>0</v>
      </c>
      <c r="AM7" s="63">
        <f t="shared" si="2"/>
        <v>0</v>
      </c>
      <c r="AN7" s="63">
        <f t="shared" si="2"/>
        <v>0</v>
      </c>
      <c r="AO7" s="63">
        <f t="shared" si="2"/>
        <v>535.57080031621797</v>
      </c>
      <c r="AP7" s="63">
        <f t="shared" si="2"/>
        <v>0</v>
      </c>
      <c r="AQ7" s="63">
        <f t="shared" si="2"/>
        <v>0</v>
      </c>
      <c r="AR7" s="63">
        <f t="shared" si="2"/>
        <v>0</v>
      </c>
      <c r="AS7" s="63">
        <f t="shared" si="2"/>
        <v>30.359378680228549</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t="e">
        <f t="shared" si="2"/>
        <v>#DIV/0!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100910929137</v>
      </c>
      <c r="F8" s="26">
        <f>资产资本表!F107</f>
        <v>99064018020</v>
      </c>
      <c r="G8" s="26">
        <f>资产资本表!G107</f>
        <v>95407185089</v>
      </c>
      <c r="H8" s="26">
        <f>资产资本表!H107</f>
        <v>94760026885</v>
      </c>
      <c r="I8" s="26">
        <f>资产资本表!I107</f>
        <v>91574360128</v>
      </c>
      <c r="J8" s="26">
        <f>资产资本表!J107</f>
        <v>89327352986</v>
      </c>
      <c r="K8" s="26">
        <f>资产资本表!K107</f>
        <v>87561366855</v>
      </c>
      <c r="L8" s="26">
        <f>资产资本表!L107</f>
        <v>92655805306</v>
      </c>
      <c r="M8" s="26">
        <f>资产资本表!M107</f>
        <v>90610559210</v>
      </c>
      <c r="N8" s="26">
        <f>资产资本表!N107</f>
        <v>88058031823</v>
      </c>
      <c r="O8" s="26">
        <f>资产资本表!O107</f>
        <v>84205697612</v>
      </c>
      <c r="P8" s="26">
        <f>资产资本表!P107</f>
        <v>87714832155</v>
      </c>
      <c r="Q8" s="26">
        <f>资产资本表!Q107</f>
        <v>83997741533</v>
      </c>
      <c r="R8" s="26">
        <f>资产资本表!R107</f>
        <v>81164600240</v>
      </c>
      <c r="S8" s="26">
        <f>资产资本表!S107</f>
        <v>78063452758</v>
      </c>
      <c r="T8" s="26">
        <f>资产资本表!T107</f>
        <v>80795705962</v>
      </c>
      <c r="U8" s="26">
        <f>资产资本表!U107</f>
        <v>77268192991</v>
      </c>
      <c r="V8" s="26">
        <f>资产资本表!V107</f>
        <v>74166606516</v>
      </c>
      <c r="W8" s="26">
        <f>资产资本表!W107</f>
        <v>71028922978</v>
      </c>
      <c r="X8" s="26">
        <f>资产资本表!X107</f>
        <v>73756863403</v>
      </c>
      <c r="Y8" s="26">
        <f>资产资本表!Y107</f>
        <v>70346819619</v>
      </c>
      <c r="Z8" s="26">
        <f>资产资本表!Z107</f>
        <v>65914523930</v>
      </c>
      <c r="AA8" s="26">
        <f>资产资本表!AA107</f>
        <v>63104602366</v>
      </c>
      <c r="AB8" s="26">
        <f>资产资本表!AB107</f>
        <v>66254431353</v>
      </c>
      <c r="AC8" s="26">
        <f>资产资本表!AC107</f>
        <v>62837096625</v>
      </c>
      <c r="AD8" s="26">
        <f>资产资本表!AD107</f>
        <v>60340475671</v>
      </c>
      <c r="AE8" s="26">
        <f>资产资本表!AE107</f>
        <v>57323515140</v>
      </c>
      <c r="AF8" s="26">
        <f>资产资本表!AF107</f>
        <v>59759164040</v>
      </c>
      <c r="AG8" s="26">
        <f>资产资本表!AG107</f>
        <v>56341657363</v>
      </c>
      <c r="AH8" s="26">
        <f>资产资本表!AH107</f>
        <v>38192009460</v>
      </c>
      <c r="AI8" s="26">
        <f>资产资本表!AI107</f>
        <v>43708779728</v>
      </c>
      <c r="AJ8" s="26">
        <f>资产资本表!AJ107</f>
        <v>45255890152</v>
      </c>
      <c r="AK8" s="26">
        <f>资产资本表!AK107</f>
        <v>42957833510</v>
      </c>
      <c r="AL8" s="26">
        <f>资产资本表!AL107</f>
        <v>41023826146</v>
      </c>
      <c r="AM8" s="26">
        <f>资产资本表!AM107</f>
        <v>39262847393</v>
      </c>
      <c r="AN8" s="26">
        <f>资产资本表!AN107</f>
        <v>41783250869</v>
      </c>
      <c r="AO8" s="26">
        <f>资产资本表!AO107</f>
        <v>40320486488</v>
      </c>
      <c r="AP8" s="26">
        <f>资产资本表!AP107</f>
        <v>39208776359</v>
      </c>
      <c r="AQ8" s="26">
        <f>资产资本表!AQ107</f>
        <v>37361163756</v>
      </c>
      <c r="AR8" s="26">
        <f>资产资本表!AR107</f>
        <v>39624057591</v>
      </c>
      <c r="AS8" s="26">
        <f>资产资本表!AS107</f>
        <v>37533997159</v>
      </c>
      <c r="AT8" s="26">
        <f>资产资本表!AT107</f>
        <v>36089555931</v>
      </c>
      <c r="AU8" s="26">
        <f>资产资本表!AU107</f>
        <v>34382235836</v>
      </c>
      <c r="AV8" s="26">
        <f>资产资本表!AV107</f>
        <v>36903346666</v>
      </c>
      <c r="AW8" s="26">
        <f>资产资本表!AW107</f>
        <v>35258507562</v>
      </c>
      <c r="AX8" s="26">
        <f>资产资本表!AX107</f>
        <v>34145917857</v>
      </c>
      <c r="AY8" s="26">
        <f>资产资本表!AY107</f>
        <v>18428886953</v>
      </c>
      <c r="AZ8" s="26">
        <f>资产资本表!AZ107</f>
        <v>18235498353</v>
      </c>
      <c r="BA8" s="26">
        <f>资产资本表!BA107</f>
        <v>15644896896</v>
      </c>
      <c r="BB8" s="26">
        <f>资产资本表!BB107</f>
        <v>0</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108373251453</v>
      </c>
      <c r="F10" s="26">
        <f>资产资本表!F70</f>
        <v>106706023186</v>
      </c>
      <c r="G10" s="26">
        <f>资产资本表!G70</f>
        <v>103012796552</v>
      </c>
      <c r="H10" s="26">
        <f>资产资本表!H70</f>
        <v>102539454884</v>
      </c>
      <c r="I10" s="26">
        <f>资产资本表!I70</f>
        <v>99055398580</v>
      </c>
      <c r="J10" s="26">
        <f>资产资本表!J70</f>
        <v>96502341969</v>
      </c>
      <c r="K10" s="26">
        <f>资产资本表!K70</f>
        <v>99974574413</v>
      </c>
      <c r="L10" s="26">
        <f>资产资本表!L70</f>
        <v>98329214289</v>
      </c>
      <c r="M10" s="26">
        <f>资产资本表!M70</f>
        <v>96251645788</v>
      </c>
      <c r="N10" s="26">
        <f>资产资本表!N70</f>
        <v>94375546414</v>
      </c>
      <c r="O10" s="26">
        <f>资产资本表!O70</f>
        <v>90465295291</v>
      </c>
      <c r="P10" s="26">
        <f>资产资本表!P70</f>
        <v>93886426256</v>
      </c>
      <c r="Q10" s="26">
        <f>资产资本表!Q70</f>
        <v>90036252055</v>
      </c>
      <c r="R10" s="26">
        <f>资产资本表!R70</f>
        <v>97311166029</v>
      </c>
      <c r="S10" s="26">
        <f>资产资本表!S70</f>
        <v>93057572121</v>
      </c>
      <c r="T10" s="26">
        <f>资产资本表!T70</f>
        <v>95641263473</v>
      </c>
      <c r="U10" s="26">
        <f>资产资本表!U70</f>
        <v>91789188650</v>
      </c>
      <c r="V10" s="26">
        <f>资产资本表!V70</f>
        <v>88737393356</v>
      </c>
      <c r="W10" s="26">
        <f>资产资本表!W70</f>
        <v>89497337418</v>
      </c>
      <c r="X10" s="26">
        <f>资产资本表!X70</f>
        <v>91816175187</v>
      </c>
      <c r="Y10" s="26">
        <f>资产资本表!Y70</f>
        <v>88165399611</v>
      </c>
      <c r="Z10" s="26">
        <f>资产资本表!Z70</f>
        <v>85080830006</v>
      </c>
      <c r="AA10" s="26">
        <f>资产资本表!AA70</f>
        <v>88082997658</v>
      </c>
      <c r="AB10" s="26">
        <f>资产资本表!AB70</f>
        <v>85229678804</v>
      </c>
      <c r="AC10" s="26">
        <f>资产资本表!AC70</f>
        <v>81607244917</v>
      </c>
      <c r="AD10" s="26">
        <f>资产资本表!AD70</f>
        <v>81392296906</v>
      </c>
      <c r="AE10" s="26">
        <f>资产资本表!AE70</f>
        <v>86857323203</v>
      </c>
      <c r="AF10" s="26">
        <f>资产资本表!AF70</f>
        <v>83987890384</v>
      </c>
      <c r="AG10" s="26">
        <f>资产资本表!AG70</f>
        <v>83462686370</v>
      </c>
      <c r="AH10" s="26">
        <f>资产资本表!AH70</f>
        <v>65256079248</v>
      </c>
      <c r="AI10" s="26">
        <f>资产资本表!AI70</f>
        <v>60231948273</v>
      </c>
      <c r="AJ10" s="26">
        <f>资产资本表!AJ70</f>
        <v>58879459496</v>
      </c>
      <c r="AK10" s="26">
        <f>资产资本表!AK70</f>
        <v>59538060865</v>
      </c>
      <c r="AL10" s="26">
        <f>资产资本表!AL70</f>
        <v>44528078646</v>
      </c>
      <c r="AM10" s="26">
        <f>资产资本表!AM70</f>
        <v>43156475241</v>
      </c>
      <c r="AN10" s="26">
        <f>资产资本表!AN70</f>
        <v>41783250869</v>
      </c>
      <c r="AO10" s="26">
        <f>资产资本表!AO70</f>
        <v>40320486488</v>
      </c>
      <c r="AP10" s="26">
        <f>资产资本表!AP70</f>
        <v>39210176359</v>
      </c>
      <c r="AQ10" s="26">
        <f>资产资本表!AQ70</f>
        <v>41255590894</v>
      </c>
      <c r="AR10" s="26">
        <f>资产资本表!AR70</f>
        <v>39625457591</v>
      </c>
      <c r="AS10" s="26">
        <f>资产资本表!AS70</f>
        <v>37535397159</v>
      </c>
      <c r="AT10" s="26">
        <f>资产资本表!AT70</f>
        <v>36089555931</v>
      </c>
      <c r="AU10" s="26">
        <f>资产资本表!AU70</f>
        <v>34382235836</v>
      </c>
      <c r="AV10" s="26">
        <f>资产资本表!AV70</f>
        <v>36903885867</v>
      </c>
      <c r="AW10" s="26">
        <f>资产资本表!AW70</f>
        <v>35266672971</v>
      </c>
      <c r="AX10" s="26">
        <f>资产资本表!AX70</f>
        <v>34150787049</v>
      </c>
      <c r="AY10" s="26">
        <f>资产资本表!AY70</f>
        <v>25160503414</v>
      </c>
      <c r="AZ10" s="26">
        <f>资产资本表!AZ70</f>
        <v>24013231477</v>
      </c>
      <c r="BA10" s="26">
        <f>资产资本表!BA70</f>
        <v>15646697605</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6.8856109971345072E-2</v>
      </c>
      <c r="F11" s="63">
        <f t="shared" ref="F11:BQ11" si="3">F4/F10</f>
        <v>7.1596038245030802E-2</v>
      </c>
      <c r="G11" s="63">
        <f t="shared" si="3"/>
        <v>7.3780492020361896E-2</v>
      </c>
      <c r="H11" s="63">
        <f t="shared" si="3"/>
        <v>7.5816195422480831E-2</v>
      </c>
      <c r="I11" s="63">
        <f t="shared" si="3"/>
        <v>7.5470513572890821E-2</v>
      </c>
      <c r="J11" s="63">
        <f t="shared" si="3"/>
        <v>7.4295734048642759E-2</v>
      </c>
      <c r="K11" s="63">
        <f t="shared" si="3"/>
        <v>5.719328910948069E-2</v>
      </c>
      <c r="L11" s="63">
        <f t="shared" si="3"/>
        <v>5.7644438379633109E-2</v>
      </c>
      <c r="M11" s="63">
        <f t="shared" si="3"/>
        <v>5.8552868191087432E-2</v>
      </c>
      <c r="N11" s="63">
        <f t="shared" si="3"/>
        <v>6.6884544469918067E-2</v>
      </c>
      <c r="O11" s="63">
        <f t="shared" si="3"/>
        <v>6.9135335256261726E-2</v>
      </c>
      <c r="P11" s="63">
        <f t="shared" si="3"/>
        <v>6.5678769412164384E-2</v>
      </c>
      <c r="Q11" s="63">
        <f t="shared" si="3"/>
        <v>6.7009245990320557E-2</v>
      </c>
      <c r="R11" s="63">
        <f t="shared" si="3"/>
        <v>0.1658732218272842</v>
      </c>
      <c r="S11" s="63">
        <f t="shared" si="3"/>
        <v>0.16106908168107634</v>
      </c>
      <c r="T11" s="63">
        <f t="shared" si="3"/>
        <v>0.15516457326172237</v>
      </c>
      <c r="U11" s="63">
        <f t="shared" si="3"/>
        <v>0.15814034522463338</v>
      </c>
      <c r="V11" s="63">
        <f t="shared" si="3"/>
        <v>0.16420120412534964</v>
      </c>
      <c r="W11" s="63">
        <f t="shared" si="3"/>
        <v>0.20635713835533134</v>
      </c>
      <c r="X11" s="63">
        <f t="shared" si="3"/>
        <v>0.19668987242410169</v>
      </c>
      <c r="Y11" s="63">
        <f t="shared" si="3"/>
        <v>0.20210400078282928</v>
      </c>
      <c r="Z11" s="63">
        <f t="shared" si="3"/>
        <v>0.22527173365196801</v>
      </c>
      <c r="AA11" s="63">
        <f t="shared" si="3"/>
        <v>0.21775310923762567</v>
      </c>
      <c r="AB11" s="63">
        <f t="shared" si="3"/>
        <v>0.22263661810385063</v>
      </c>
      <c r="AC11" s="63">
        <f t="shared" si="3"/>
        <v>0.23000590586155054</v>
      </c>
      <c r="AD11" s="63">
        <f t="shared" si="3"/>
        <v>0.25864635887242199</v>
      </c>
      <c r="AE11" s="63">
        <f t="shared" si="3"/>
        <v>0.28144322901670621</v>
      </c>
      <c r="AF11" s="63">
        <f t="shared" si="3"/>
        <v>0.28847880609007009</v>
      </c>
      <c r="AG11" s="63">
        <f t="shared" si="3"/>
        <v>0.32494795203175292</v>
      </c>
      <c r="AH11" s="63">
        <f t="shared" si="3"/>
        <v>0.40449648413115463</v>
      </c>
      <c r="AI11" s="63">
        <f t="shared" si="3"/>
        <v>0.22864179026022521</v>
      </c>
      <c r="AJ11" s="63">
        <f t="shared" si="3"/>
        <v>0.23138067945283233</v>
      </c>
      <c r="AK11" s="63">
        <f t="shared" si="3"/>
        <v>0.27848114490317305</v>
      </c>
      <c r="AL11" s="63">
        <f t="shared" si="3"/>
        <v>7.8697590521678407E-2</v>
      </c>
      <c r="AM11" s="63">
        <f t="shared" si="3"/>
        <v>1.3919348061801552E-5</v>
      </c>
      <c r="AN11" s="63">
        <f t="shared" si="3"/>
        <v>0</v>
      </c>
      <c r="AO11" s="63">
        <f t="shared" si="3"/>
        <v>0</v>
      </c>
      <c r="AP11" s="63">
        <f t="shared" si="3"/>
        <v>3.5705016656438853E-5</v>
      </c>
      <c r="AQ11" s="63">
        <f t="shared" si="3"/>
        <v>3.3934794525112684E-5</v>
      </c>
      <c r="AR11" s="63">
        <f t="shared" si="3"/>
        <v>3.5330822282238511E-5</v>
      </c>
      <c r="AS11" s="63">
        <f t="shared" si="3"/>
        <v>3.729812672740874E-5</v>
      </c>
      <c r="AT11" s="63">
        <f t="shared" si="3"/>
        <v>0</v>
      </c>
      <c r="AU11" s="63">
        <f t="shared" si="3"/>
        <v>0</v>
      </c>
      <c r="AV11" s="63">
        <f t="shared" si="3"/>
        <v>1.4610954573815261E-5</v>
      </c>
      <c r="AW11" s="63">
        <f t="shared" si="3"/>
        <v>0</v>
      </c>
      <c r="AX11" s="63">
        <f t="shared" si="3"/>
        <v>0</v>
      </c>
      <c r="AY11" s="63">
        <f t="shared" si="3"/>
        <v>0.19872416373107471</v>
      </c>
      <c r="AZ11" s="63">
        <f t="shared" si="3"/>
        <v>0.20821854004901533</v>
      </c>
      <c r="BA11" s="63">
        <f t="shared" si="3"/>
        <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0.93114239707723168</v>
      </c>
      <c r="F12" s="63">
        <f t="shared" ref="F12:BQ12" si="4">F8/F10</f>
        <v>0.92838262604277577</v>
      </c>
      <c r="G12" s="63">
        <f t="shared" si="4"/>
        <v>0.92616828474158786</v>
      </c>
      <c r="H12" s="63">
        <f t="shared" si="4"/>
        <v>0.92413234488323892</v>
      </c>
      <c r="I12" s="63">
        <f t="shared" si="4"/>
        <v>0.92447621675099212</v>
      </c>
      <c r="J12" s="63">
        <f t="shared" si="4"/>
        <v>0.92564958697784905</v>
      </c>
      <c r="K12" s="63">
        <f t="shared" si="4"/>
        <v>0.87583635508443958</v>
      </c>
      <c r="L12" s="63">
        <f t="shared" si="4"/>
        <v>0.94230189853520796</v>
      </c>
      <c r="M12" s="63">
        <f t="shared" si="4"/>
        <v>0.94139231041903604</v>
      </c>
      <c r="N12" s="63">
        <f t="shared" si="4"/>
        <v>0.93305983561370043</v>
      </c>
      <c r="O12" s="63">
        <f t="shared" si="4"/>
        <v>0.93080664072487984</v>
      </c>
      <c r="P12" s="63">
        <f t="shared" si="4"/>
        <v>0.93426532090835024</v>
      </c>
      <c r="Q12" s="63">
        <f t="shared" si="4"/>
        <v>0.93293245349316312</v>
      </c>
      <c r="R12" s="63">
        <f t="shared" si="4"/>
        <v>0.83407283616159622</v>
      </c>
      <c r="S12" s="63">
        <f t="shared" si="4"/>
        <v>0.83887265677312539</v>
      </c>
      <c r="T12" s="63">
        <f t="shared" si="4"/>
        <v>0.84477873909318468</v>
      </c>
      <c r="U12" s="63">
        <f t="shared" si="4"/>
        <v>0.84180058814584591</v>
      </c>
      <c r="V12" s="63">
        <f t="shared" si="4"/>
        <v>0.83579879587465034</v>
      </c>
      <c r="W12" s="63">
        <f t="shared" si="4"/>
        <v>0.79364286164466868</v>
      </c>
      <c r="X12" s="63">
        <f t="shared" si="4"/>
        <v>0.80331012757589837</v>
      </c>
      <c r="Y12" s="63">
        <f t="shared" si="4"/>
        <v>0.79789599921717069</v>
      </c>
      <c r="Z12" s="63">
        <f t="shared" si="4"/>
        <v>0.77472826634803194</v>
      </c>
      <c r="AA12" s="63">
        <f t="shared" si="4"/>
        <v>0.7164220569674109</v>
      </c>
      <c r="AB12" s="63">
        <f t="shared" si="4"/>
        <v>0.7773633818961494</v>
      </c>
      <c r="AC12" s="63">
        <f t="shared" si="4"/>
        <v>0.76999409413844944</v>
      </c>
      <c r="AD12" s="63">
        <f t="shared" si="4"/>
        <v>0.74135364112757796</v>
      </c>
      <c r="AE12" s="63">
        <f t="shared" si="4"/>
        <v>0.65997331055235742</v>
      </c>
      <c r="AF12" s="63">
        <f t="shared" si="4"/>
        <v>0.71152119390992985</v>
      </c>
      <c r="AG12" s="63">
        <f t="shared" si="4"/>
        <v>0.67505204796824703</v>
      </c>
      <c r="AH12" s="63">
        <f t="shared" si="4"/>
        <v>0.58526362447940861</v>
      </c>
      <c r="AI12" s="63">
        <f t="shared" si="4"/>
        <v>0.7256743469411101</v>
      </c>
      <c r="AJ12" s="63">
        <f t="shared" si="4"/>
        <v>0.76861932054716764</v>
      </c>
      <c r="AK12" s="63">
        <f t="shared" si="4"/>
        <v>0.72151885509682701</v>
      </c>
      <c r="AL12" s="63">
        <f t="shared" si="4"/>
        <v>0.92130240947832165</v>
      </c>
      <c r="AM12" s="63">
        <f t="shared" si="4"/>
        <v>0.90977882632312534</v>
      </c>
      <c r="AN12" s="63">
        <f t="shared" si="4"/>
        <v>1</v>
      </c>
      <c r="AO12" s="63">
        <f t="shared" si="4"/>
        <v>1</v>
      </c>
      <c r="AP12" s="63">
        <f t="shared" si="4"/>
        <v>0.9999642949833436</v>
      </c>
      <c r="AQ12" s="63">
        <f t="shared" si="4"/>
        <v>0.90560243948496233</v>
      </c>
      <c r="AR12" s="63">
        <f t="shared" si="4"/>
        <v>0.99996466917771776</v>
      </c>
      <c r="AS12" s="63">
        <f t="shared" si="4"/>
        <v>0.99996270187327263</v>
      </c>
      <c r="AT12" s="63">
        <f t="shared" si="4"/>
        <v>1</v>
      </c>
      <c r="AU12" s="63">
        <f t="shared" si="4"/>
        <v>1</v>
      </c>
      <c r="AV12" s="63">
        <f t="shared" si="4"/>
        <v>0.99998538904542622</v>
      </c>
      <c r="AW12" s="63">
        <f t="shared" si="4"/>
        <v>0.99976846670490538</v>
      </c>
      <c r="AX12" s="63">
        <f t="shared" si="4"/>
        <v>0.99985742079697859</v>
      </c>
      <c r="AY12" s="63">
        <f t="shared" si="4"/>
        <v>0.73245302964588765</v>
      </c>
      <c r="AZ12" s="63">
        <f t="shared" si="4"/>
        <v>0.75939376882557674</v>
      </c>
      <c r="BA12" s="63">
        <f t="shared" si="4"/>
        <v>0.9998849144371893</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8.0357202858139798E-2</v>
      </c>
      <c r="F13" s="63">
        <f t="shared" ref="F13:J13" si="5">F5*F11*(1-F6)+F9*F12</f>
        <v>7.4270610083422062E-2</v>
      </c>
      <c r="G13" s="63">
        <f t="shared" si="5"/>
        <v>7.4093462779327032E-2</v>
      </c>
      <c r="H13" s="63">
        <f t="shared" si="5"/>
        <v>7.3930587590659111E-2</v>
      </c>
      <c r="I13" s="63">
        <f t="shared" si="5"/>
        <v>7.9347458260210002E-2</v>
      </c>
      <c r="J13" s="63">
        <f t="shared" si="5"/>
        <v>7.4051966958227924E-2</v>
      </c>
      <c r="K13" s="63">
        <f t="shared" ref="K13" si="6">K5*K11*(1-K6)+K9*K12</f>
        <v>7.0066908406755168E-2</v>
      </c>
      <c r="L13" s="63">
        <f t="shared" ref="L13" si="7">L5*L11*(1-L6)+L9*L12</f>
        <v>7.5384151882816636E-2</v>
      </c>
      <c r="M13" s="63">
        <f t="shared" ref="M13" si="8">M5*M11*(1-M6)+M9*M12</f>
        <v>8.0087812886600648E-2</v>
      </c>
      <c r="N13" s="63">
        <f t="shared" ref="N13:O13" si="9">N5*N11*(1-N6)+N9*N12</f>
        <v>7.4644786849096034E-2</v>
      </c>
      <c r="O13" s="63">
        <f t="shared" si="9"/>
        <v>7.4464531257990393E-2</v>
      </c>
      <c r="P13" s="63">
        <f t="shared" ref="P13" si="10">P5*P11*(1-P6)+P9*P12</f>
        <v>7.4741225672668027E-2</v>
      </c>
      <c r="Q13" s="63">
        <f t="shared" ref="Q13" si="11">Q5*Q11*(1-Q6)+Q9*Q12</f>
        <v>7.8946191801558235E-2</v>
      </c>
      <c r="R13" s="63">
        <f t="shared" ref="R13" si="12">R5*R11*(1-R6)+R9*R12</f>
        <v>6.6725826892927692E-2</v>
      </c>
      <c r="S13" s="63">
        <f t="shared" ref="S13:T13" si="13">S5*S11*(1-S6)+S9*S12</f>
        <v>6.7109812541850028E-2</v>
      </c>
      <c r="T13" s="63">
        <f t="shared" si="13"/>
        <v>6.7582299127454781E-2</v>
      </c>
      <c r="U13" s="63">
        <f t="shared" ref="U13" si="14">U5*U11*(1-U6)+U9*U12</f>
        <v>7.332702603234853E-2</v>
      </c>
      <c r="V13" s="63">
        <f t="shared" ref="V13" si="15">V5*V11*(1-V6)+V9*V12</f>
        <v>6.6863903669972025E-2</v>
      </c>
      <c r="W13" s="63">
        <f t="shared" ref="W13" si="16">W5*W11*(1-W6)+W9*W12</f>
        <v>6.3491428931573501E-2</v>
      </c>
      <c r="X13" s="63">
        <f t="shared" ref="X13:Y13" si="17">X5*X11*(1-X6)+X9*X12</f>
        <v>6.4264810206071873E-2</v>
      </c>
      <c r="Y13" s="63">
        <f t="shared" si="17"/>
        <v>7.1265615522004444E-2</v>
      </c>
      <c r="Z13" s="63">
        <f t="shared" ref="Z13" si="18">Z5*Z11*(1-Z6)+Z9*Z12</f>
        <v>6.1978261307842557E-2</v>
      </c>
      <c r="AA13" s="63">
        <f t="shared" ref="AA13" si="19">AA5*AA11*(1-AA6)+AA9*AA12</f>
        <v>5.7313764557392871E-2</v>
      </c>
      <c r="AB13" s="63">
        <f t="shared" ref="AB13" si="20">AB5*AB11*(1-AB6)+AB9*AB12</f>
        <v>6.2189070551691955E-2</v>
      </c>
      <c r="AC13" s="63">
        <f t="shared" ref="AC13:AD13" si="21">AC5*AC11*(1-AC6)+AC9*AC12</f>
        <v>7.0048025088883664E-2</v>
      </c>
      <c r="AD13" s="63">
        <f t="shared" si="21"/>
        <v>5.930829129020624E-2</v>
      </c>
      <c r="AE13" s="63">
        <f t="shared" ref="AE13" si="22">AE5*AE11*(1-AE6)+AE9*AE12</f>
        <v>5.2797864844188594E-2</v>
      </c>
      <c r="AF13" s="63">
        <f t="shared" ref="AF13" si="23">AF5*AF11*(1-AF6)+AF9*AF12</f>
        <v>5.6921695512794392E-2</v>
      </c>
      <c r="AG13" s="63">
        <f t="shared" ref="AG13" si="24">AG5*AG11*(1-AG6)+AG9*AG12</f>
        <v>6.5937994407152062E-2</v>
      </c>
      <c r="AH13" s="63">
        <f t="shared" ref="AH13:AI13" si="25">AH5*AH11*(1-AH6)+AH9*AH12</f>
        <v>4.6821089958352692E-2</v>
      </c>
      <c r="AI13" s="63">
        <f t="shared" si="25"/>
        <v>5.8053947755288812E-2</v>
      </c>
      <c r="AJ13" s="63">
        <f t="shared" ref="AJ13" si="26">AJ5*AJ11*(1-AJ6)+AJ9*AJ12</f>
        <v>6.1489545643773409E-2</v>
      </c>
      <c r="AK13" s="63">
        <f t="shared" ref="AK13" si="27">AK5*AK11*(1-AK6)+AK9*AK12</f>
        <v>7.1756601373410459E-2</v>
      </c>
      <c r="AL13" s="63">
        <f t="shared" ref="AL13" si="28">AL5*AL11*(1-AL6)+AL9*AL12</f>
        <v>7.370419275826573E-2</v>
      </c>
      <c r="AM13" s="63">
        <f t="shared" ref="AM13:AN13" si="29">AM5*AM11*(1-AM6)+AM9*AM12</f>
        <v>7.2782306105850028E-2</v>
      </c>
      <c r="AN13" s="63">
        <f t="shared" si="29"/>
        <v>0.08</v>
      </c>
      <c r="AO13" s="63">
        <f t="shared" ref="AO13" si="30">AO5*AO11*(1-AO6)+AO9*AO12</f>
        <v>0.08</v>
      </c>
      <c r="AP13" s="63">
        <f t="shared" ref="AP13" si="31">AP5*AP11*(1-AP6)+AP9*AP12</f>
        <v>7.9997143598667483E-2</v>
      </c>
      <c r="AQ13" s="63">
        <f t="shared" ref="AQ13" si="32">AQ5*AQ11*(1-AQ6)+AQ9*AQ12</f>
        <v>7.2448195158796982E-2</v>
      </c>
      <c r="AR13" s="63">
        <f t="shared" ref="AR13:AS13" si="33">AR5*AR11*(1-AR6)+AR9*AR12</f>
        <v>7.9997173534217425E-2</v>
      </c>
      <c r="AS13" s="63">
        <f t="shared" si="33"/>
        <v>8.1129364103242368E-2</v>
      </c>
      <c r="AT13" s="63">
        <f t="shared" ref="AT13" si="34">AT5*AT11*(1-AT6)+AT9*AT12</f>
        <v>0.08</v>
      </c>
      <c r="AU13" s="63">
        <f t="shared" ref="AU13" si="35">AU5*AU11*(1-AU6)+AU9*AU12</f>
        <v>0.08</v>
      </c>
      <c r="AV13" s="63">
        <f t="shared" ref="AV13" si="36">AV5*AV11*(1-AV6)+AV9*AV12</f>
        <v>7.9998831123634095E-2</v>
      </c>
      <c r="AW13" s="63">
        <f t="shared" ref="AW13:AX13" si="37">AW5*AW11*(1-AW6)+AW9*AW12</f>
        <v>7.9981477336392437E-2</v>
      </c>
      <c r="AX13" s="63">
        <f t="shared" si="37"/>
        <v>7.9988593663758295E-2</v>
      </c>
      <c r="AY13" s="63">
        <f t="shared" ref="AY13" si="38">AY5*AY11*(1-AY6)+AY9*AY12</f>
        <v>5.8596242371671013E-2</v>
      </c>
      <c r="AZ13" s="63">
        <f t="shared" ref="AZ13" si="39">AZ5*AZ11*(1-AZ6)+AZ9*AZ12</f>
        <v>6.0751501506046142E-2</v>
      </c>
      <c r="BA13" s="63">
        <f t="shared" ref="BA13" si="40">BA5*BA11*(1-BA6)+BA9*BA12</f>
        <v>7.9990793154975148E-2</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0.11339095946771709</v>
      </c>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8" width="23.8867187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1" width="22.6640625" hidden="1" customWidth="1"/>
    <col min="52" max="53" width="22.6640625" bestFit="1" customWidth="1"/>
    <col min="54" max="54" width="9.5546875" hidden="1" customWidth="1"/>
    <col min="55" max="90" width="8.5546875" bestFit="1" customWidth="1"/>
  </cols>
  <sheetData>
    <row r="1" spans="1:90"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38717</v>
      </c>
      <c r="BA1" s="1">
        <v>38352</v>
      </c>
      <c r="BB1" s="1">
        <v>25569</v>
      </c>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13585000499</v>
      </c>
      <c r="F2" s="26">
        <f>资产资本表!F17</f>
        <v>17419784269</v>
      </c>
      <c r="G2" s="26">
        <f>资产资本表!G17</f>
        <v>9228653721</v>
      </c>
      <c r="H2" s="26">
        <f>资产资本表!H17</f>
        <v>14905588880</v>
      </c>
      <c r="I2" s="26">
        <f>资产资本表!I17</f>
        <v>12963268732</v>
      </c>
      <c r="J2" s="26">
        <f>资产资本表!J17</f>
        <v>9626478337</v>
      </c>
      <c r="K2" s="26">
        <f>资产资本表!K17</f>
        <v>15145629944</v>
      </c>
      <c r="L2" s="26">
        <f>资产资本表!L17</f>
        <v>7804186899</v>
      </c>
      <c r="M2" s="26">
        <f>资产资本表!M17</f>
        <v>9823637722</v>
      </c>
      <c r="N2" s="26">
        <f>资产资本表!N17</f>
        <v>11472868140</v>
      </c>
      <c r="O2" s="26">
        <f>资产资本表!O17</f>
        <v>10197125832</v>
      </c>
      <c r="P2" s="26">
        <f>资产资本表!P17</f>
        <v>12396057234</v>
      </c>
      <c r="Q2" s="26">
        <f>资产资本表!Q17</f>
        <v>11310839016</v>
      </c>
      <c r="R2" s="26">
        <f>资产资本表!R17</f>
        <v>15209610373</v>
      </c>
      <c r="S2" s="26">
        <f>资产资本表!S17</f>
        <v>8231918301</v>
      </c>
      <c r="T2" s="26">
        <f>资产资本表!T17</f>
        <v>10951373925</v>
      </c>
      <c r="U2" s="26">
        <f>资产资本表!U17</f>
        <v>10044372632</v>
      </c>
      <c r="V2" s="26">
        <f>资产资本表!V17</f>
        <v>8505323038</v>
      </c>
      <c r="W2" s="26">
        <f>资产资本表!W17</f>
        <v>8251430721</v>
      </c>
      <c r="X2" s="26">
        <f>资产资本表!X17</f>
        <v>9833190939</v>
      </c>
      <c r="Y2" s="26">
        <f>资产资本表!Y17</f>
        <v>9019506879</v>
      </c>
      <c r="Z2" s="26">
        <f>资产资本表!Z17</f>
        <v>6547531039</v>
      </c>
      <c r="AA2" s="26">
        <f>资产资本表!AA17</f>
        <v>8456487659</v>
      </c>
      <c r="AB2" s="26">
        <f>资产资本表!AB17</f>
        <v>6268104319</v>
      </c>
      <c r="AC2" s="26">
        <f>资产资本表!AC17</f>
        <v>5873259979</v>
      </c>
      <c r="AD2" s="26">
        <f>资产资本表!AD17</f>
        <v>4944753962</v>
      </c>
      <c r="AE2" s="26">
        <f>资产资本表!AE17</f>
        <v>9805303490</v>
      </c>
      <c r="AF2" s="26">
        <f>资产资本表!AF17</f>
        <v>7359308623</v>
      </c>
      <c r="AG2" s="26">
        <f>资产资本表!AG17</f>
        <v>10153209322</v>
      </c>
      <c r="AH2" s="26">
        <f>资产资本表!AH17</f>
        <v>5861166763</v>
      </c>
      <c r="AI2" s="26">
        <f>资产资本表!AI17</f>
        <v>4218442993</v>
      </c>
      <c r="AJ2" s="26">
        <f>资产资本表!AJ17</f>
        <v>6060801278</v>
      </c>
      <c r="AK2" s="26">
        <f>资产资本表!AK17</f>
        <v>9017190649</v>
      </c>
      <c r="AL2" s="26">
        <f>资产资本表!AL17</f>
        <v>6489196318</v>
      </c>
      <c r="AM2" s="26">
        <f>资产资本表!AM17</f>
        <v>6085715021</v>
      </c>
      <c r="AN2" s="26">
        <f>资产资本表!AN17</f>
        <v>4573336328</v>
      </c>
      <c r="AO2" s="26">
        <f>资产资本表!AO17</f>
        <v>4677747639</v>
      </c>
      <c r="AP2" s="26">
        <f>资产资本表!AP17</f>
        <v>6056564727</v>
      </c>
      <c r="AQ2" s="26">
        <f>资产资本表!AQ17</f>
        <v>7954553316</v>
      </c>
      <c r="AR2" s="26">
        <f>资产资本表!AR17</f>
        <v>7823859551</v>
      </c>
      <c r="AS2" s="26">
        <f>资产资本表!AS17</f>
        <v>7789551415</v>
      </c>
      <c r="AT2" s="26">
        <f>资产资本表!AT17</f>
        <v>7466137957</v>
      </c>
      <c r="AU2" s="26">
        <f>资产资本表!AU17</f>
        <v>4499376195</v>
      </c>
      <c r="AV2" s="26">
        <f>资产资本表!AV17</f>
        <v>6602628507</v>
      </c>
      <c r="AW2" s="26">
        <f>资产资本表!AW17</f>
        <v>6437511108</v>
      </c>
      <c r="AX2" s="26">
        <f>资产资本表!AX17</f>
        <v>5623521932</v>
      </c>
      <c r="AY2" s="26">
        <f>资产资本表!AY17</f>
        <v>4918707553</v>
      </c>
      <c r="AZ2" s="26">
        <f>资产资本表!AZ17</f>
        <v>5773536537</v>
      </c>
      <c r="BA2" s="26">
        <f>资产资本表!BA17</f>
        <v>785200273</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20059833772</v>
      </c>
      <c r="F3" s="26">
        <f>资产资本表!F19</f>
        <v>19184215848</v>
      </c>
      <c r="G3" s="26">
        <f>资产资本表!G19</f>
        <v>20893397474</v>
      </c>
      <c r="H3" s="26">
        <f>资产资本表!H19</f>
        <v>20024763725</v>
      </c>
      <c r="I3" s="26">
        <f>资产资本表!I19</f>
        <v>19334512433</v>
      </c>
      <c r="J3" s="26">
        <f>资产资本表!J19</f>
        <v>18704541970</v>
      </c>
      <c r="K3" s="26">
        <f>资产资本表!K19</f>
        <v>18538874624</v>
      </c>
      <c r="L3" s="26">
        <f>资产资本表!L19</f>
        <v>18894075129</v>
      </c>
      <c r="M3" s="26">
        <f>资产资本表!M19</f>
        <v>18425069796</v>
      </c>
      <c r="N3" s="26">
        <f>资产资本表!N19</f>
        <v>19313319200</v>
      </c>
      <c r="O3" s="26">
        <f>资产资本表!O19</f>
        <v>18821263521</v>
      </c>
      <c r="P3" s="26">
        <f>资产资本表!P19</f>
        <v>18139127007</v>
      </c>
      <c r="Q3" s="26">
        <f>资产资本表!Q19</f>
        <v>17735147007</v>
      </c>
      <c r="R3" s="26">
        <f>资产资本表!R19</f>
        <v>18595660143</v>
      </c>
      <c r="S3" s="26">
        <f>资产资本表!S19</f>
        <v>17897163535</v>
      </c>
      <c r="T3" s="26">
        <f>资产资本表!T19</f>
        <v>17217097172</v>
      </c>
      <c r="U3" s="26">
        <f>资产资本表!U19</f>
        <v>16672097172</v>
      </c>
      <c r="V3" s="26">
        <f>资产资本表!V19</f>
        <v>17039699676</v>
      </c>
      <c r="W3" s="26">
        <f>资产资本表!W19</f>
        <v>16430233698</v>
      </c>
      <c r="X3" s="26">
        <f>资产资本表!X19</f>
        <v>15590413767</v>
      </c>
      <c r="Y3" s="26">
        <f>资产资本表!Y19</f>
        <v>15000413767</v>
      </c>
      <c r="Z3" s="26">
        <f>资产资本表!Z19</f>
        <v>15625369901</v>
      </c>
      <c r="AA3" s="26">
        <f>资产资本表!AA19</f>
        <v>15236212042</v>
      </c>
      <c r="AB3" s="26">
        <f>资产资本表!AB19</f>
        <v>14642307915</v>
      </c>
      <c r="AC3" s="26">
        <f>资产资本表!AC19</f>
        <v>14190036535</v>
      </c>
      <c r="AD3" s="26">
        <f>资产资本表!AD19</f>
        <v>14955569385</v>
      </c>
      <c r="AE3" s="26">
        <f>资产资本表!AE19</f>
        <v>14494329442</v>
      </c>
      <c r="AF3" s="26">
        <f>资产资本表!AF19</f>
        <v>14065543542</v>
      </c>
      <c r="AG3" s="26">
        <f>资产资本表!AG19</f>
        <v>13574856956</v>
      </c>
      <c r="AH3" s="26">
        <f>资产资本表!AH19</f>
        <v>14248124999</v>
      </c>
      <c r="AI3" s="26">
        <f>资产资本表!AI19</f>
        <v>65158697</v>
      </c>
      <c r="AJ3" s="26">
        <f>资产资本表!AJ19</f>
        <v>65158697</v>
      </c>
      <c r="AK3" s="26">
        <f>资产资本表!AK19</f>
        <v>65158697</v>
      </c>
      <c r="AL3" s="26">
        <f>资产资本表!AL19</f>
        <v>65158697</v>
      </c>
      <c r="AM3" s="26">
        <f>资产资本表!AM19</f>
        <v>65158697</v>
      </c>
      <c r="AN3" s="26">
        <f>资产资本表!AN19</f>
        <v>65158697</v>
      </c>
      <c r="AO3" s="26">
        <f>资产资本表!AO19</f>
        <v>65158697</v>
      </c>
      <c r="AP3" s="26">
        <f>资产资本表!AP19</f>
        <v>65158697</v>
      </c>
      <c r="AQ3" s="26">
        <f>资产资本表!AQ19</f>
        <v>65158697</v>
      </c>
      <c r="AR3" s="26">
        <f>资产资本表!AR19</f>
        <v>65158697</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-10385522097</v>
      </c>
      <c r="F4" s="26">
        <f>资产资本表!F50</f>
        <v>-11983306366</v>
      </c>
      <c r="G4" s="26">
        <f>资产资本表!G50</f>
        <v>-8397778377</v>
      </c>
      <c r="H4" s="26">
        <f>资产资本表!H50</f>
        <v>-13999556007</v>
      </c>
      <c r="I4" s="26">
        <f>资产资本表!I50</f>
        <v>-15212808142</v>
      </c>
      <c r="J4" s="26">
        <f>资产资本表!J50</f>
        <v>-12205433872</v>
      </c>
      <c r="K4" s="26">
        <f>资产资本表!K50</f>
        <v>-12538697793</v>
      </c>
      <c r="L4" s="26">
        <f>资产资本表!L50</f>
        <v>-8138489383</v>
      </c>
      <c r="M4" s="26">
        <f>资产资本表!M50</f>
        <v>-12186054123</v>
      </c>
      <c r="N4" s="26">
        <f>资产资本表!N50</f>
        <v>-7098624056</v>
      </c>
      <c r="O4" s="26">
        <f>资产资本表!O50</f>
        <v>-8820949049</v>
      </c>
      <c r="P4" s="26">
        <f>资产资本表!P50</f>
        <v>-7764459086</v>
      </c>
      <c r="Q4" s="26">
        <f>资产资本表!Q50</f>
        <v>-11093538815</v>
      </c>
      <c r="R4" s="26">
        <f>资产资本表!R50</f>
        <v>-7154825773</v>
      </c>
      <c r="S4" s="26">
        <f>资产资本表!S50</f>
        <v>-4113894200</v>
      </c>
      <c r="T4" s="26">
        <f>资产资本表!T50</f>
        <v>-4256721213</v>
      </c>
      <c r="U4" s="26">
        <f>资产资本表!U50</f>
        <v>-7616253455</v>
      </c>
      <c r="V4" s="26">
        <f>资产资本表!V50</f>
        <v>-6853930134</v>
      </c>
      <c r="W4" s="26">
        <f>资产资本表!W50</f>
        <v>-5299107233</v>
      </c>
      <c r="X4" s="26">
        <f>资产资本表!X50</f>
        <v>-4553271551</v>
      </c>
      <c r="Y4" s="26">
        <f>资产资本表!Y50</f>
        <v>-7732567348</v>
      </c>
      <c r="Z4" s="26">
        <f>资产资本表!Z50</f>
        <v>-6633409301</v>
      </c>
      <c r="AA4" s="26">
        <f>资产资本表!AA50</f>
        <v>-5251042941</v>
      </c>
      <c r="AB4" s="26">
        <f>资产资本表!AB50</f>
        <v>-5656033237</v>
      </c>
      <c r="AC4" s="26">
        <f>资产资本表!AC50</f>
        <v>-9391115824</v>
      </c>
      <c r="AD4" s="26">
        <f>资产资本表!AD50</f>
        <v>-8381486030</v>
      </c>
      <c r="AE4" s="26">
        <f>资产资本表!AE50</f>
        <v>-7988022914</v>
      </c>
      <c r="AF4" s="26">
        <f>资产资本表!AF50</f>
        <v>-8874251436</v>
      </c>
      <c r="AG4" s="26">
        <f>资产资本表!AG50</f>
        <v>-12583020144</v>
      </c>
      <c r="AH4" s="26">
        <f>资产资本表!AH50</f>
        <v>-27552455185</v>
      </c>
      <c r="AI4" s="26">
        <f>资产资本表!AI50</f>
        <v>-6139579862</v>
      </c>
      <c r="AJ4" s="26">
        <f>资产资本表!AJ50</f>
        <v>-3399339370</v>
      </c>
      <c r="AK4" s="26">
        <f>资产资本表!AK50</f>
        <v>-4939985881</v>
      </c>
      <c r="AL4" s="26">
        <f>资产资本表!AL50</f>
        <v>-17915647925</v>
      </c>
      <c r="AM4" s="26">
        <f>资产资本表!AM50</f>
        <v>-19468277915</v>
      </c>
      <c r="AN4" s="26">
        <f>资产资本表!AN50</f>
        <v>-17799451387</v>
      </c>
      <c r="AO4" s="26">
        <f>资产资本表!AO50</f>
        <v>-19490870562</v>
      </c>
      <c r="AP4" s="26">
        <f>资产资本表!AP50</f>
        <v>-18058520641</v>
      </c>
      <c r="AQ4" s="26">
        <f>资产资本表!AQ50</f>
        <v>-12530720052</v>
      </c>
      <c r="AR4" s="26">
        <f>资产资本表!AR50</f>
        <v>-10716410685</v>
      </c>
      <c r="AS4" s="26">
        <f>资产资本表!AS50</f>
        <v>-12366730058</v>
      </c>
      <c r="AT4" s="26">
        <f>资产资本表!AT50</f>
        <v>-4906144163</v>
      </c>
      <c r="AU4" s="26">
        <f>资产资本表!AU50</f>
        <v>-3546184607</v>
      </c>
      <c r="AV4" s="26">
        <f>资产资本表!AV50</f>
        <v>-3538933013</v>
      </c>
      <c r="AW4" s="26">
        <f>资产资本表!AW50</f>
        <v>-4581842754</v>
      </c>
      <c r="AX4" s="26">
        <f>资产资本表!AX50</f>
        <v>-4067344148</v>
      </c>
      <c r="AY4" s="26">
        <f>资产资本表!AY50</f>
        <v>-11193764346</v>
      </c>
      <c r="AZ4" s="26">
        <f>资产资本表!AZ50</f>
        <v>-13298041693</v>
      </c>
      <c r="BA4" s="26">
        <f>资产资本表!BA50</f>
        <v>-1851049319</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8927739580</v>
      </c>
      <c r="F5" s="26">
        <f>资产资本表!F33</f>
        <v>10380197764</v>
      </c>
      <c r="G5" s="26">
        <f>资产资本表!G33</f>
        <v>9875217635</v>
      </c>
      <c r="H5" s="26">
        <f>资产资本表!H33</f>
        <v>11166629349</v>
      </c>
      <c r="I5" s="26">
        <f>资产资本表!I33</f>
        <v>9214926768</v>
      </c>
      <c r="J5" s="26">
        <f>资产资本表!J33</f>
        <v>10599899444</v>
      </c>
      <c r="K5" s="26">
        <f>资产资本表!K33</f>
        <v>9773577834</v>
      </c>
      <c r="L5" s="26">
        <f>资产资本表!L33</f>
        <v>6783915004</v>
      </c>
      <c r="M5" s="26">
        <f>资产资本表!M33</f>
        <v>6111085152</v>
      </c>
      <c r="N5" s="26">
        <f>资产资本表!N33</f>
        <v>6617836393</v>
      </c>
      <c r="O5" s="26">
        <f>资产资本表!O33</f>
        <v>5629588376</v>
      </c>
      <c r="P5" s="26">
        <f>资产资本表!P33</f>
        <v>7911754107</v>
      </c>
      <c r="Q5" s="26">
        <f>资产资本表!Q33</f>
        <v>5204553388</v>
      </c>
      <c r="R5" s="26">
        <f>资产资本表!R33</f>
        <v>5530432712</v>
      </c>
      <c r="S5" s="26">
        <f>资产资本表!S33</f>
        <v>5504142084</v>
      </c>
      <c r="T5" s="26">
        <f>资产资本表!T33</f>
        <v>6681687086</v>
      </c>
      <c r="U5" s="26">
        <f>资产资本表!U33</f>
        <v>4549874340</v>
      </c>
      <c r="V5" s="26">
        <f>资产资本表!V33</f>
        <v>4780646229</v>
      </c>
      <c r="W5" s="26">
        <f>资产资本表!W33</f>
        <v>4146942944</v>
      </c>
      <c r="X5" s="26">
        <f>资产资本表!X33</f>
        <v>5905174083</v>
      </c>
      <c r="Y5" s="26">
        <f>资产资本表!Y33</f>
        <v>4489704438</v>
      </c>
      <c r="Z5" s="26">
        <f>资产资本表!Z33</f>
        <v>3799384399</v>
      </c>
      <c r="AA5" s="26">
        <f>资产资本表!AA33</f>
        <v>3887113300</v>
      </c>
      <c r="AB5" s="26">
        <f>资产资本表!AB33</f>
        <v>4525557215</v>
      </c>
      <c r="AC5" s="26">
        <f>资产资本表!AC33</f>
        <v>3122365805</v>
      </c>
      <c r="AD5" s="26">
        <f>资产资本表!AD33</f>
        <v>4664262744</v>
      </c>
      <c r="AE5" s="26">
        <f>资产资本表!AE33</f>
        <v>4387929246</v>
      </c>
      <c r="AF5" s="26">
        <f>资产资本表!AF33</f>
        <v>5245590374</v>
      </c>
      <c r="AG5" s="26">
        <f>资产资本表!AG33</f>
        <v>4100508660</v>
      </c>
      <c r="AH5" s="26">
        <f>资产资本表!AH33</f>
        <v>4059286628</v>
      </c>
      <c r="AI5" s="26">
        <f>资产资本表!AI33</f>
        <v>2170839096</v>
      </c>
      <c r="AJ5" s="26">
        <f>资产资本表!AJ33</f>
        <v>3972124585</v>
      </c>
      <c r="AK5" s="26">
        <f>资产资本表!AK33</f>
        <v>3466064434</v>
      </c>
      <c r="AL5" s="26">
        <f>资产资本表!AL33</f>
        <v>4259492932</v>
      </c>
      <c r="AM5" s="26">
        <f>资产资本表!AM33</f>
        <v>3656765230</v>
      </c>
      <c r="AN5" s="26">
        <f>资产资本表!AN33</f>
        <v>3742005148</v>
      </c>
      <c r="AO5" s="26">
        <f>资产资本表!AO33</f>
        <v>2612981844</v>
      </c>
      <c r="AP5" s="26">
        <f>资产资本表!AP33</f>
        <v>1110968468</v>
      </c>
      <c r="AQ5" s="26">
        <f>资产资本表!AQ33</f>
        <v>1941610596</v>
      </c>
      <c r="AR5" s="26">
        <f>资产资本表!AR33</f>
        <v>1115156318</v>
      </c>
      <c r="AS5" s="26">
        <f>资产资本表!AS33</f>
        <v>1205462023</v>
      </c>
      <c r="AT5" s="26">
        <f>资产资本表!AT33</f>
        <v>957078152</v>
      </c>
      <c r="AU5" s="26">
        <f>资产资本表!AU33</f>
        <v>1341444020</v>
      </c>
      <c r="AV5" s="26">
        <f>资产资本表!AV33</f>
        <v>1313615004</v>
      </c>
      <c r="AW5" s="26">
        <f>资产资本表!AW33</f>
        <v>1168724973</v>
      </c>
      <c r="AX5" s="26">
        <f>资产资本表!AX33</f>
        <v>651108497</v>
      </c>
      <c r="AY5" s="26">
        <f>资产资本表!AY33</f>
        <v>669353153</v>
      </c>
      <c r="AZ5" s="26">
        <f>资产资本表!AZ33</f>
        <v>536233330</v>
      </c>
      <c r="BA5" s="26">
        <f>资产资本表!BA33</f>
        <v>52733493</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19313261677</v>
      </c>
      <c r="F6" s="26">
        <f>资产资本表!F49</f>
        <v>22363504130</v>
      </c>
      <c r="G6" s="26">
        <f>资产资本表!G49</f>
        <v>18272996012</v>
      </c>
      <c r="H6" s="26">
        <f>资产资本表!H49</f>
        <v>25166185356</v>
      </c>
      <c r="I6" s="26">
        <f>资产资本表!I49</f>
        <v>24427734910</v>
      </c>
      <c r="J6" s="26">
        <f>资产资本表!J49</f>
        <v>22805333316</v>
      </c>
      <c r="K6" s="26">
        <f>资产资本表!K49</f>
        <v>22312275627</v>
      </c>
      <c r="L6" s="26">
        <f>资产资本表!L49</f>
        <v>14922404387</v>
      </c>
      <c r="M6" s="26">
        <f>资产资本表!M49</f>
        <v>18297139275</v>
      </c>
      <c r="N6" s="26">
        <f>资产资本表!N49</f>
        <v>13716460449</v>
      </c>
      <c r="O6" s="26">
        <f>资产资本表!O49</f>
        <v>14450537425</v>
      </c>
      <c r="P6" s="26">
        <f>资产资本表!P49</f>
        <v>15676213193</v>
      </c>
      <c r="Q6" s="26">
        <f>资产资本表!Q49</f>
        <v>16298092203</v>
      </c>
      <c r="R6" s="26">
        <f>资产资本表!R49</f>
        <v>12685258485</v>
      </c>
      <c r="S6" s="26">
        <f>资产资本表!S49</f>
        <v>9618036284</v>
      </c>
      <c r="T6" s="26">
        <f>资产资本表!T49</f>
        <v>10938408299</v>
      </c>
      <c r="U6" s="26">
        <f>资产资本表!U49</f>
        <v>12166127795</v>
      </c>
      <c r="V6" s="26">
        <f>资产资本表!V49</f>
        <v>11634576363</v>
      </c>
      <c r="W6" s="26">
        <f>资产资本表!W49</f>
        <v>9446050177</v>
      </c>
      <c r="X6" s="26">
        <f>资产资本表!X49</f>
        <v>10458445634</v>
      </c>
      <c r="Y6" s="26">
        <f>资产资本表!Y49</f>
        <v>12222271786</v>
      </c>
      <c r="Z6" s="26">
        <f>资产资本表!Z49</f>
        <v>10432793700</v>
      </c>
      <c r="AA6" s="26">
        <f>资产资本表!AA49</f>
        <v>9138156241</v>
      </c>
      <c r="AB6" s="26">
        <f>资产资本表!AB49</f>
        <v>10181590452</v>
      </c>
      <c r="AC6" s="26">
        <f>资产资本表!AC49</f>
        <v>12513481629</v>
      </c>
      <c r="AD6" s="26">
        <f>资产资本表!AD49</f>
        <v>13045748774</v>
      </c>
      <c r="AE6" s="26">
        <f>资产资本表!AE49</f>
        <v>12375952160</v>
      </c>
      <c r="AF6" s="26">
        <f>资产资本表!AF49</f>
        <v>14119841810</v>
      </c>
      <c r="AG6" s="26">
        <f>资产资本表!AG49</f>
        <v>16683528804</v>
      </c>
      <c r="AH6" s="26">
        <f>资产资本表!AH49</f>
        <v>31611741813</v>
      </c>
      <c r="AI6" s="26">
        <f>资产资本表!AI49</f>
        <v>8310418958</v>
      </c>
      <c r="AJ6" s="26">
        <f>资产资本表!AJ49</f>
        <v>7371463955</v>
      </c>
      <c r="AK6" s="26">
        <f>资产资本表!AK49</f>
        <v>8406050315</v>
      </c>
      <c r="AL6" s="26">
        <f>资产资本表!AL49</f>
        <v>22175140857</v>
      </c>
      <c r="AM6" s="26">
        <f>资产资本表!AM49</f>
        <v>23125043145</v>
      </c>
      <c r="AN6" s="26">
        <f>资产资本表!AN49</f>
        <v>21541456535</v>
      </c>
      <c r="AO6" s="26">
        <f>资产资本表!AO49</f>
        <v>22103852406</v>
      </c>
      <c r="AP6" s="26">
        <f>资产资本表!AP49</f>
        <v>19169489109</v>
      </c>
      <c r="AQ6" s="26">
        <f>资产资本表!AQ49</f>
        <v>14472330648</v>
      </c>
      <c r="AR6" s="26">
        <f>资产资本表!AR49</f>
        <v>11831567003</v>
      </c>
      <c r="AS6" s="26">
        <f>资产资本表!AS49</f>
        <v>13572192081</v>
      </c>
      <c r="AT6" s="26">
        <f>资产资本表!AT49</f>
        <v>5863222315</v>
      </c>
      <c r="AU6" s="26">
        <f>资产资本表!AU49</f>
        <v>4887628627</v>
      </c>
      <c r="AV6" s="26">
        <f>资产资本表!AV49</f>
        <v>4852548017</v>
      </c>
      <c r="AW6" s="26">
        <f>资产资本表!AW49</f>
        <v>5750567727</v>
      </c>
      <c r="AX6" s="26">
        <f>资产资本表!AX49</f>
        <v>4718452645</v>
      </c>
      <c r="AY6" s="26">
        <f>资产资本表!AY49</f>
        <v>11863117499</v>
      </c>
      <c r="AZ6" s="26">
        <f>资产资本表!AZ49</f>
        <v>13834275023</v>
      </c>
      <c r="BA6" s="26">
        <f>资产资本表!BA49</f>
        <v>1903782812</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85113939279</v>
      </c>
      <c r="F7" s="26">
        <f>资产资本表!F68</f>
        <v>82085329435</v>
      </c>
      <c r="G7" s="26">
        <f>资产资本表!G68</f>
        <v>81288523734</v>
      </c>
      <c r="H7" s="26">
        <f>资产资本表!H68</f>
        <v>81608658286</v>
      </c>
      <c r="I7" s="26">
        <f>资产资本表!I68</f>
        <v>81970425557</v>
      </c>
      <c r="J7" s="26">
        <f>资产资本表!J68</f>
        <v>80376755534</v>
      </c>
      <c r="K7" s="26">
        <f>资产资本表!K68</f>
        <v>78828767638</v>
      </c>
      <c r="L7" s="26">
        <f>资产资本表!L68</f>
        <v>79769441644</v>
      </c>
      <c r="M7" s="26">
        <f>资产资本表!M68</f>
        <v>80188992393</v>
      </c>
      <c r="N7" s="26">
        <f>资产资本表!N68</f>
        <v>70687983130</v>
      </c>
      <c r="O7" s="26">
        <f>资产资本表!O68</f>
        <v>70267854987</v>
      </c>
      <c r="P7" s="26">
        <f>资产资本表!P68</f>
        <v>71115701101</v>
      </c>
      <c r="Q7" s="26">
        <f>资产资本表!Q68</f>
        <v>72083804847</v>
      </c>
      <c r="R7" s="26">
        <f>资产资本表!R68</f>
        <v>70660721286</v>
      </c>
      <c r="S7" s="26">
        <f>资产资本表!S68</f>
        <v>71042384485</v>
      </c>
      <c r="T7" s="26">
        <f>资产资本表!T68</f>
        <v>71729513589</v>
      </c>
      <c r="U7" s="26">
        <f>资产资本表!U68</f>
        <v>72688972301</v>
      </c>
      <c r="V7" s="26">
        <f>资产资本表!V68</f>
        <v>70046300776</v>
      </c>
      <c r="W7" s="26">
        <f>资产资本表!W68</f>
        <v>70114780232</v>
      </c>
      <c r="X7" s="26">
        <f>资产资本表!X68</f>
        <v>70945842032</v>
      </c>
      <c r="Y7" s="26">
        <f>资产资本表!Y68</f>
        <v>71878046313</v>
      </c>
      <c r="Z7" s="26">
        <f>资产资本表!Z68</f>
        <v>69541338367</v>
      </c>
      <c r="AA7" s="26">
        <f>资产资本表!AA68</f>
        <v>69641340898</v>
      </c>
      <c r="AB7" s="26">
        <f>资产资本表!AB68</f>
        <v>69975299807</v>
      </c>
      <c r="AC7" s="26">
        <f>资产资本表!AC68</f>
        <v>70935064227</v>
      </c>
      <c r="AD7" s="26">
        <f>资产资本表!AD68</f>
        <v>69873459589</v>
      </c>
      <c r="AE7" s="26">
        <f>资产资本表!AE68</f>
        <v>70545713185</v>
      </c>
      <c r="AF7" s="26">
        <f>资产资本表!AF68</f>
        <v>71437289655</v>
      </c>
      <c r="AG7" s="26">
        <f>资产资本表!AG68</f>
        <v>72317640236</v>
      </c>
      <c r="AH7" s="26">
        <f>资产资本表!AH68</f>
        <v>72699242671</v>
      </c>
      <c r="AI7" s="26">
        <f>资产资本表!AI68</f>
        <v>62087926445</v>
      </c>
      <c r="AJ7" s="26">
        <f>资产资本表!AJ68</f>
        <v>56152838891</v>
      </c>
      <c r="AK7" s="26">
        <f>资产资本表!AK68</f>
        <v>55395697400</v>
      </c>
      <c r="AL7" s="26">
        <f>资产资本表!AL68</f>
        <v>55889371556</v>
      </c>
      <c r="AM7" s="26">
        <f>资产资本表!AM68</f>
        <v>56473879438</v>
      </c>
      <c r="AN7" s="26">
        <f>资产资本表!AN68</f>
        <v>54944207231</v>
      </c>
      <c r="AO7" s="26">
        <f>资产资本表!AO68</f>
        <v>55068450714</v>
      </c>
      <c r="AP7" s="26">
        <f>资产资本表!AP68</f>
        <v>51146973576</v>
      </c>
      <c r="AQ7" s="26">
        <f>资产资本表!AQ68</f>
        <v>45766598933</v>
      </c>
      <c r="AR7" s="26">
        <f>资产资本表!AR68</f>
        <v>42452850028</v>
      </c>
      <c r="AS7" s="26">
        <f>资产资本表!AS68</f>
        <v>42112575802</v>
      </c>
      <c r="AT7" s="26">
        <f>资产资本表!AT68</f>
        <v>33529562137</v>
      </c>
      <c r="AU7" s="26">
        <f>资产资本表!AU68</f>
        <v>33429044248</v>
      </c>
      <c r="AV7" s="26">
        <f>资产资本表!AV68</f>
        <v>33840190373</v>
      </c>
      <c r="AW7" s="26">
        <f>资产资本表!AW68</f>
        <v>33411004617</v>
      </c>
      <c r="AX7" s="26">
        <f>资产资本表!AX68</f>
        <v>32594609265</v>
      </c>
      <c r="AY7" s="26">
        <f>资产资本表!AY68</f>
        <v>31435560207</v>
      </c>
      <c r="AZ7" s="26">
        <f>资产资本表!AZ68</f>
        <v>31537736633</v>
      </c>
      <c r="BA7" s="26">
        <f>资产资本表!BA68</f>
        <v>16712546651</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74728417182</v>
      </c>
      <c r="F8" s="26">
        <f>资产资本表!F69</f>
        <v>70102023069</v>
      </c>
      <c r="G8" s="26">
        <f>资产资本表!G69</f>
        <v>72890745357</v>
      </c>
      <c r="H8" s="26">
        <f>资产资本表!H69</f>
        <v>67609102279</v>
      </c>
      <c r="I8" s="26">
        <f>资产资本表!I69</f>
        <v>66757617415</v>
      </c>
      <c r="J8" s="26">
        <f>资产资本表!J69</f>
        <v>68171321662</v>
      </c>
      <c r="K8" s="26">
        <f>资产资本表!K69</f>
        <v>66290069845</v>
      </c>
      <c r="L8" s="26">
        <f>资产资本表!L69</f>
        <v>71630952261</v>
      </c>
      <c r="M8" s="26">
        <f>资产资本表!M69</f>
        <v>68002938270</v>
      </c>
      <c r="N8" s="26">
        <f>资产资本表!N69</f>
        <v>63589359074</v>
      </c>
      <c r="O8" s="26">
        <f>资产资本表!O69</f>
        <v>61446905938</v>
      </c>
      <c r="P8" s="26">
        <f>资产资本表!P69</f>
        <v>63351242015</v>
      </c>
      <c r="Q8" s="26">
        <f>资产资本表!Q69</f>
        <v>60990266032</v>
      </c>
      <c r="R8" s="26">
        <f>资产资本表!R69</f>
        <v>63505895513</v>
      </c>
      <c r="S8" s="26">
        <f>资产资本表!S69</f>
        <v>66928490285</v>
      </c>
      <c r="T8" s="26">
        <f>资产资本表!T69</f>
        <v>67472792376</v>
      </c>
      <c r="U8" s="26">
        <f>资产资本表!U69</f>
        <v>65072718846</v>
      </c>
      <c r="V8" s="26">
        <f>资产资本表!V69</f>
        <v>63192370642</v>
      </c>
      <c r="W8" s="26">
        <f>资产资本表!W69</f>
        <v>64815672999</v>
      </c>
      <c r="X8" s="26">
        <f>资产资本表!X69</f>
        <v>66392570481</v>
      </c>
      <c r="Y8" s="26">
        <f>资产资本表!Y69</f>
        <v>64145478965</v>
      </c>
      <c r="Z8" s="26">
        <f>资产资本表!Z69</f>
        <v>62907929066</v>
      </c>
      <c r="AA8" s="26">
        <f>资产资本表!AA69</f>
        <v>64390297957</v>
      </c>
      <c r="AB8" s="26">
        <f>资产资本表!AB69</f>
        <v>64319266570</v>
      </c>
      <c r="AC8" s="26">
        <f>资产资本表!AC69</f>
        <v>61543948403</v>
      </c>
      <c r="AD8" s="26">
        <f>资产资本表!AD69</f>
        <v>61491973559</v>
      </c>
      <c r="AE8" s="26">
        <f>资产资本表!AE69</f>
        <v>62557690271</v>
      </c>
      <c r="AF8" s="26">
        <f>资产资本表!AF69</f>
        <v>62563038219</v>
      </c>
      <c r="AG8" s="26">
        <f>资产资本表!AG69</f>
        <v>59734620092</v>
      </c>
      <c r="AH8" s="26">
        <f>资产资本表!AH69</f>
        <v>45146787486</v>
      </c>
      <c r="AI8" s="26">
        <f>资产资本表!AI69</f>
        <v>55948346583</v>
      </c>
      <c r="AJ8" s="26">
        <f>资产资本表!AJ69</f>
        <v>52753499521</v>
      </c>
      <c r="AK8" s="26">
        <f>资产资本表!AK69</f>
        <v>50455711519</v>
      </c>
      <c r="AL8" s="26">
        <f>资产资本表!AL69</f>
        <v>37973723631</v>
      </c>
      <c r="AM8" s="26">
        <f>资产资本表!AM69</f>
        <v>37005601523</v>
      </c>
      <c r="AN8" s="26">
        <f>资产资本表!AN69</f>
        <v>37144755844</v>
      </c>
      <c r="AO8" s="26">
        <f>资产资本表!AO69</f>
        <v>35577580152</v>
      </c>
      <c r="AP8" s="26">
        <f>资产资本表!AP69</f>
        <v>33088452935</v>
      </c>
      <c r="AQ8" s="26">
        <f>资产资本表!AQ69</f>
        <v>33235878881</v>
      </c>
      <c r="AR8" s="26">
        <f>资产资本表!AR69</f>
        <v>31736439343</v>
      </c>
      <c r="AS8" s="26">
        <f>资产资本表!AS69</f>
        <v>29745845744</v>
      </c>
      <c r="AT8" s="26">
        <f>资产资本表!AT69</f>
        <v>28623417974</v>
      </c>
      <c r="AU8" s="26">
        <f>资产资本表!AU69</f>
        <v>29882859641</v>
      </c>
      <c r="AV8" s="26">
        <f>资产资本表!AV69</f>
        <v>30301257360</v>
      </c>
      <c r="AW8" s="26">
        <f>资产资本表!AW69</f>
        <v>28829161863</v>
      </c>
      <c r="AX8" s="26">
        <f>资产资本表!AX69</f>
        <v>28527265117</v>
      </c>
      <c r="AY8" s="26">
        <f>资产资本表!AY69</f>
        <v>20241795861</v>
      </c>
      <c r="AZ8" s="26">
        <f>资产资本表!AZ69</f>
        <v>18239694940</v>
      </c>
      <c r="BA8" s="26">
        <f>资产资本表!BA69</f>
        <v>14861497332</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108373251453</v>
      </c>
      <c r="F9" s="48">
        <f>资产资本表!F70</f>
        <v>106706023186</v>
      </c>
      <c r="G9" s="48">
        <f>资产资本表!G70</f>
        <v>103012796552</v>
      </c>
      <c r="H9" s="48">
        <f>资产资本表!H70</f>
        <v>102539454884</v>
      </c>
      <c r="I9" s="48">
        <f>资产资本表!I70</f>
        <v>99055398580</v>
      </c>
      <c r="J9" s="48">
        <f>资产资本表!J70</f>
        <v>96502341969</v>
      </c>
      <c r="K9" s="48">
        <f>资产资本表!K70</f>
        <v>99974574413</v>
      </c>
      <c r="L9" s="48">
        <f>资产资本表!L70</f>
        <v>98329214289</v>
      </c>
      <c r="M9" s="48">
        <f>资产资本表!M70</f>
        <v>96251645788</v>
      </c>
      <c r="N9" s="48">
        <f>资产资本表!N70</f>
        <v>94375546414</v>
      </c>
      <c r="O9" s="48">
        <f>资产资本表!O70</f>
        <v>90465295291</v>
      </c>
      <c r="P9" s="48">
        <f>资产资本表!P70</f>
        <v>93886426256</v>
      </c>
      <c r="Q9" s="48">
        <f>资产资本表!Q70</f>
        <v>90036252055</v>
      </c>
      <c r="R9" s="48">
        <f>资产资本表!R70</f>
        <v>97311166029</v>
      </c>
      <c r="S9" s="48">
        <f>资产资本表!S70</f>
        <v>93057572121</v>
      </c>
      <c r="T9" s="48">
        <f>资产资本表!T70</f>
        <v>95641263473</v>
      </c>
      <c r="U9" s="48">
        <f>资产资本表!U70</f>
        <v>91789188650</v>
      </c>
      <c r="V9" s="48">
        <f>资产资本表!V70</f>
        <v>88737393356</v>
      </c>
      <c r="W9" s="48">
        <f>资产资本表!W70</f>
        <v>89497337418</v>
      </c>
      <c r="X9" s="48">
        <f>资产资本表!X70</f>
        <v>91816175187</v>
      </c>
      <c r="Y9" s="48">
        <f>资产资本表!Y70</f>
        <v>88165399611</v>
      </c>
      <c r="Z9" s="48">
        <f>资产资本表!Z70</f>
        <v>85080830006</v>
      </c>
      <c r="AA9" s="48">
        <f>资产资本表!AA70</f>
        <v>88082997658</v>
      </c>
      <c r="AB9" s="48">
        <f>资产资本表!AB70</f>
        <v>85229678804</v>
      </c>
      <c r="AC9" s="48">
        <f>资产资本表!AC70</f>
        <v>81607244917</v>
      </c>
      <c r="AD9" s="48">
        <f>资产资本表!AD70</f>
        <v>81392296906</v>
      </c>
      <c r="AE9" s="48">
        <f>资产资本表!AE70</f>
        <v>86857323203</v>
      </c>
      <c r="AF9" s="48">
        <f>资产资本表!AF70</f>
        <v>83987890384</v>
      </c>
      <c r="AG9" s="48">
        <f>资产资本表!AG70</f>
        <v>83462686370</v>
      </c>
      <c r="AH9" s="48">
        <f>资产资本表!AH70</f>
        <v>65256079248</v>
      </c>
      <c r="AI9" s="48">
        <f>资产资本表!AI70</f>
        <v>60231948273</v>
      </c>
      <c r="AJ9" s="48">
        <f>资产资本表!AJ70</f>
        <v>58879459496</v>
      </c>
      <c r="AK9" s="48">
        <f>资产资本表!AK70</f>
        <v>59538060865</v>
      </c>
      <c r="AL9" s="48">
        <f>资产资本表!AL70</f>
        <v>44528078646</v>
      </c>
      <c r="AM9" s="48">
        <f>资产资本表!AM70</f>
        <v>43156475241</v>
      </c>
      <c r="AN9" s="48">
        <f>资产资本表!AN70</f>
        <v>41783250869</v>
      </c>
      <c r="AO9" s="48">
        <f>资产资本表!AO70</f>
        <v>40320486488</v>
      </c>
      <c r="AP9" s="48">
        <f>资产资本表!AP70</f>
        <v>39210176359</v>
      </c>
      <c r="AQ9" s="48">
        <f>资产资本表!AQ70</f>
        <v>41255590894</v>
      </c>
      <c r="AR9" s="48">
        <f>资产资本表!AR70</f>
        <v>39625457591</v>
      </c>
      <c r="AS9" s="48">
        <f>资产资本表!AS70</f>
        <v>37535397159</v>
      </c>
      <c r="AT9" s="48">
        <f>资产资本表!AT70</f>
        <v>36089555931</v>
      </c>
      <c r="AU9" s="48">
        <f>资产资本表!AU70</f>
        <v>34382235836</v>
      </c>
      <c r="AV9" s="48">
        <f>资产资本表!AV70</f>
        <v>36903885867</v>
      </c>
      <c r="AW9" s="48">
        <f>资产资本表!AW70</f>
        <v>35266672971</v>
      </c>
      <c r="AX9" s="48">
        <f>资产资本表!AX70</f>
        <v>34150787049</v>
      </c>
      <c r="AY9" s="48">
        <f>资产资本表!AY70</f>
        <v>25160503414</v>
      </c>
      <c r="AZ9" s="48">
        <f>资产资本表!AZ70</f>
        <v>24013231477</v>
      </c>
      <c r="BA9" s="48">
        <f>资产资本表!BA70</f>
        <v>15646697605</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164229601</v>
      </c>
      <c r="F10" s="26">
        <f>资产资本表!F72</f>
        <v>188493730</v>
      </c>
      <c r="G10" s="26">
        <f>资产资本表!G72</f>
        <v>147173182</v>
      </c>
      <c r="H10" s="26">
        <f>资产资本表!H72</f>
        <v>312201702</v>
      </c>
      <c r="I10" s="26">
        <f>资产资本表!I72</f>
        <v>235941803</v>
      </c>
      <c r="J10" s="26">
        <f>资产资本表!J72</f>
        <v>251559334</v>
      </c>
      <c r="K10" s="26">
        <f>资产资本表!K72</f>
        <v>174721738</v>
      </c>
      <c r="L10" s="26">
        <f>资产资本表!L72</f>
        <v>77866334</v>
      </c>
      <c r="M10" s="26">
        <f>资产资本表!M72</f>
        <v>45543929</v>
      </c>
      <c r="N10" s="26">
        <f>资产资本表!N72</f>
        <v>5190066431</v>
      </c>
      <c r="O10" s="26">
        <f>资产资本表!O72</f>
        <v>5197149519</v>
      </c>
      <c r="P10" s="26">
        <f>资产资本表!P72</f>
        <v>5101065941</v>
      </c>
      <c r="Q10" s="26">
        <f>资产资本表!Q72</f>
        <v>5019982362</v>
      </c>
      <c r="R10" s="26">
        <f>资产资本表!R72</f>
        <v>7963011449</v>
      </c>
      <c r="S10" s="26">
        <f>资产资本表!S72</f>
        <v>7820172997</v>
      </c>
      <c r="T10" s="26">
        <f>资产资本表!T72</f>
        <v>7674734544</v>
      </c>
      <c r="U10" s="26">
        <f>资产资本表!U72</f>
        <v>7531896092</v>
      </c>
      <c r="V10" s="26">
        <f>资产资本表!V72</f>
        <v>462019692</v>
      </c>
      <c r="W10" s="26">
        <f>资产资本表!W72</f>
        <v>4509948011</v>
      </c>
      <c r="X10" s="26">
        <f>资产资本表!X72</f>
        <v>4311764260</v>
      </c>
      <c r="Y10" s="26">
        <f>资产资本表!Y72</f>
        <v>4114206372</v>
      </c>
      <c r="Z10" s="26">
        <f>资产资本表!Z72</f>
        <v>10481539828</v>
      </c>
      <c r="AA10" s="26">
        <f>资产资本表!AA72</f>
        <v>6507407134</v>
      </c>
      <c r="AB10" s="26">
        <f>资产资本表!AB72</f>
        <v>6303857420</v>
      </c>
      <c r="AC10" s="26">
        <f>资产资本表!AC72</f>
        <v>6104490126</v>
      </c>
      <c r="AD10" s="26">
        <f>资产资本表!AD72</f>
        <v>2445188623</v>
      </c>
      <c r="AE10" s="26">
        <f>资产资本表!AE72</f>
        <v>9826171012</v>
      </c>
      <c r="AF10" s="26">
        <f>资产资本表!AF72</f>
        <v>9649732968</v>
      </c>
      <c r="AG10" s="26">
        <f>资产资本表!AG72</f>
        <v>12545433749</v>
      </c>
      <c r="AH10" s="26">
        <f>资产资本表!AH72</f>
        <v>12941675569</v>
      </c>
      <c r="AI10" s="26">
        <f>资产资本表!AI72</f>
        <v>320615137</v>
      </c>
      <c r="AJ10" s="26">
        <f>资产资本表!AJ72</f>
        <v>175897705</v>
      </c>
      <c r="AK10" s="26">
        <f>资产资本表!AK72</f>
        <v>3135809424</v>
      </c>
      <c r="AL10" s="26">
        <f>资产资本表!AL72</f>
        <v>3504252500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5000000000</v>
      </c>
      <c r="AZ10" s="26">
        <f>资产资本表!AZ72</f>
        <v>5000000000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7297930919</v>
      </c>
      <c r="F11" s="26">
        <f>资产资本表!F81</f>
        <v>7451234787</v>
      </c>
      <c r="G11" s="26">
        <f>资产资本表!G81</f>
        <v>7453161632</v>
      </c>
      <c r="H11" s="26">
        <f>资产资本表!H81</f>
        <v>7461949648</v>
      </c>
      <c r="I11" s="26">
        <f>资产资本表!I81</f>
        <v>7239820000</v>
      </c>
      <c r="J11" s="26">
        <f>资产资本表!J81</f>
        <v>6918153000</v>
      </c>
      <c r="K11" s="26">
        <f>资产资本表!K81</f>
        <v>5543153000</v>
      </c>
      <c r="L11" s="26">
        <f>资产资本表!L81</f>
        <v>5590266000</v>
      </c>
      <c r="M11" s="26">
        <f>资产资本表!M81</f>
        <v>5590266000</v>
      </c>
      <c r="N11" s="26">
        <f>资产资本表!N81</f>
        <v>1122199000</v>
      </c>
      <c r="O11" s="26">
        <f>资产资本表!O81</f>
        <v>1057199000</v>
      </c>
      <c r="P11" s="26">
        <f>资产资本表!P81</f>
        <v>1065279000</v>
      </c>
      <c r="Q11" s="26">
        <f>资产资本表!Q81</f>
        <v>1013279000</v>
      </c>
      <c r="R11" s="26">
        <f>资产资本表!R81</f>
        <v>8178305180</v>
      </c>
      <c r="S11" s="26">
        <f>资产资本表!S81</f>
        <v>7168524688</v>
      </c>
      <c r="T11" s="26">
        <f>资产资本表!T81</f>
        <v>7165401289</v>
      </c>
      <c r="U11" s="26">
        <f>资产资本表!U81</f>
        <v>6983677889</v>
      </c>
      <c r="V11" s="26">
        <f>资产资本表!V81</f>
        <v>14108767148</v>
      </c>
      <c r="W11" s="26">
        <f>资产资本表!W81</f>
        <v>13958466429</v>
      </c>
      <c r="X11" s="26">
        <f>资产资本表!X81</f>
        <v>13747547524</v>
      </c>
      <c r="Y11" s="26">
        <f>资产资本表!Y81</f>
        <v>13704373620</v>
      </c>
      <c r="Z11" s="26">
        <f>资产资本表!Z81</f>
        <v>8684766248</v>
      </c>
      <c r="AA11" s="26">
        <f>资产资本表!AA81</f>
        <v>12672939477</v>
      </c>
      <c r="AB11" s="26">
        <f>资产资本表!AB81</f>
        <v>12671390031</v>
      </c>
      <c r="AC11" s="26">
        <f>资产资本表!AC81</f>
        <v>12665658166</v>
      </c>
      <c r="AD11" s="26">
        <f>资产资本表!AD81</f>
        <v>18606632612</v>
      </c>
      <c r="AE11" s="26">
        <f>资产资本表!AE81</f>
        <v>14619234494</v>
      </c>
      <c r="AF11" s="26">
        <f>资产资本表!AF81</f>
        <v>14578993376</v>
      </c>
      <c r="AG11" s="26">
        <f>资产资本表!AG81</f>
        <v>14575595258</v>
      </c>
      <c r="AH11" s="26">
        <f>资产资本表!AH81</f>
        <v>13454179055</v>
      </c>
      <c r="AI11" s="26">
        <f>资产资本表!AI81</f>
        <v>13450925347</v>
      </c>
      <c r="AJ11" s="26">
        <f>资产资本表!AJ81</f>
        <v>13447671639</v>
      </c>
      <c r="AK11" s="26">
        <f>资产资本表!AK81</f>
        <v>13444417931</v>
      </c>
      <c r="AL11" s="26">
        <f>资产资本表!AL81</f>
        <v>0</v>
      </c>
      <c r="AM11" s="26">
        <f>资产资本表!AM81</f>
        <v>600710</v>
      </c>
      <c r="AN11" s="26">
        <f>资产资本表!AN81</f>
        <v>0</v>
      </c>
      <c r="AO11" s="26">
        <f>资产资本表!AO81</f>
        <v>0</v>
      </c>
      <c r="AP11" s="26">
        <f>资产资本表!AP81</f>
        <v>1400000</v>
      </c>
      <c r="AQ11" s="26">
        <f>资产资本表!AQ81</f>
        <v>1400000</v>
      </c>
      <c r="AR11" s="26">
        <f>资产资本表!AR81</f>
        <v>1400000</v>
      </c>
      <c r="AS11" s="26">
        <f>资产资本表!AS81</f>
        <v>1400000</v>
      </c>
      <c r="AT11" s="26">
        <f>资产资本表!AT81</f>
        <v>0</v>
      </c>
      <c r="AU11" s="26">
        <f>资产资本表!AU81</f>
        <v>0</v>
      </c>
      <c r="AV11" s="26">
        <f>资产资本表!AV81</f>
        <v>539201</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7462160520</v>
      </c>
      <c r="F12" s="26">
        <f>资产资本表!F89</f>
        <v>7639728517</v>
      </c>
      <c r="G12" s="26">
        <f>资产资本表!G89</f>
        <v>7600334814</v>
      </c>
      <c r="H12" s="26">
        <f>资产资本表!H89</f>
        <v>7774151350</v>
      </c>
      <c r="I12" s="26">
        <f>资产资本表!I89</f>
        <v>7475761803</v>
      </c>
      <c r="J12" s="26">
        <f>资产资本表!J89</f>
        <v>7169712334</v>
      </c>
      <c r="K12" s="26">
        <f>资产资本表!K89</f>
        <v>5717874738</v>
      </c>
      <c r="L12" s="26">
        <f>资产资本表!L89</f>
        <v>5668132334</v>
      </c>
      <c r="M12" s="26">
        <f>资产资本表!M89</f>
        <v>5635809929</v>
      </c>
      <c r="N12" s="26">
        <f>资产资本表!N89</f>
        <v>6312265431</v>
      </c>
      <c r="O12" s="26">
        <f>资产资本表!O89</f>
        <v>6254348519</v>
      </c>
      <c r="P12" s="26">
        <f>资产资本表!P89</f>
        <v>6166344941</v>
      </c>
      <c r="Q12" s="26">
        <f>资产资本表!Q89</f>
        <v>6033261362</v>
      </c>
      <c r="R12" s="26">
        <f>资产资本表!R89</f>
        <v>16141316629</v>
      </c>
      <c r="S12" s="26">
        <f>资产资本表!S89</f>
        <v>14988697685</v>
      </c>
      <c r="T12" s="26">
        <f>资产资本表!T89</f>
        <v>14840135833</v>
      </c>
      <c r="U12" s="26">
        <f>资产资本表!U89</f>
        <v>14515573981</v>
      </c>
      <c r="V12" s="26">
        <f>资产资本表!V89</f>
        <v>14570786840</v>
      </c>
      <c r="W12" s="26">
        <f>资产资本表!W89</f>
        <v>18468414440</v>
      </c>
      <c r="X12" s="26">
        <f>资产资本表!X89</f>
        <v>18059311784</v>
      </c>
      <c r="Y12" s="26">
        <f>资产资本表!Y89</f>
        <v>17818579992</v>
      </c>
      <c r="Z12" s="26">
        <f>资产资本表!Z89</f>
        <v>19166306076</v>
      </c>
      <c r="AA12" s="26">
        <f>资产资本表!AA89</f>
        <v>19180346611</v>
      </c>
      <c r="AB12" s="26">
        <f>资产资本表!AB89</f>
        <v>18975247451</v>
      </c>
      <c r="AC12" s="26">
        <f>资产资本表!AC89</f>
        <v>18770148292</v>
      </c>
      <c r="AD12" s="26">
        <f>资产资本表!AD89</f>
        <v>21051821235</v>
      </c>
      <c r="AE12" s="26">
        <f>资产资本表!AE89</f>
        <v>24445405506</v>
      </c>
      <c r="AF12" s="26">
        <f>资产资本表!AF89</f>
        <v>24228726344</v>
      </c>
      <c r="AG12" s="26">
        <f>资产资本表!AG89</f>
        <v>27121029007</v>
      </c>
      <c r="AH12" s="26">
        <f>资产资本表!AH89</f>
        <v>26395854624</v>
      </c>
      <c r="AI12" s="26">
        <f>资产资本表!AI89</f>
        <v>13771540484</v>
      </c>
      <c r="AJ12" s="26">
        <f>资产资本表!AJ89</f>
        <v>13623569344</v>
      </c>
      <c r="AK12" s="26">
        <f>资产资本表!AK89</f>
        <v>16580227355</v>
      </c>
      <c r="AL12" s="26">
        <f>资产资本表!AL89</f>
        <v>3504252500</v>
      </c>
      <c r="AM12" s="26">
        <f>资产资本表!AM89</f>
        <v>600710</v>
      </c>
      <c r="AN12" s="26">
        <f>资产资本表!AN89</f>
        <v>0</v>
      </c>
      <c r="AO12" s="26">
        <f>资产资本表!AO89</f>
        <v>0</v>
      </c>
      <c r="AP12" s="26">
        <f>资产资本表!AP89</f>
        <v>1400000</v>
      </c>
      <c r="AQ12" s="26">
        <f>资产资本表!AQ89</f>
        <v>1400000</v>
      </c>
      <c r="AR12" s="26">
        <f>资产资本表!AR89</f>
        <v>1400000</v>
      </c>
      <c r="AS12" s="26">
        <f>资产资本表!AS89</f>
        <v>1400000</v>
      </c>
      <c r="AT12" s="26">
        <f>资产资本表!AT89</f>
        <v>0</v>
      </c>
      <c r="AU12" s="26">
        <f>资产资本表!AU89</f>
        <v>0</v>
      </c>
      <c r="AV12" s="26">
        <f>资产资本表!AV89</f>
        <v>539201</v>
      </c>
      <c r="AW12" s="26">
        <f>资产资本表!AW89</f>
        <v>0</v>
      </c>
      <c r="AX12" s="26">
        <f>资产资本表!AX89</f>
        <v>0</v>
      </c>
      <c r="AY12" s="26">
        <f>资产资本表!AY89</f>
        <v>5000000000</v>
      </c>
      <c r="AZ12" s="26">
        <f>资产资本表!AZ89</f>
        <v>5000000000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100911090933</v>
      </c>
      <c r="F13" s="26">
        <f t="shared" ref="F13:BQ13" si="0">F9-F12</f>
        <v>99066294669</v>
      </c>
      <c r="G13" s="26">
        <f t="shared" si="0"/>
        <v>95412461738</v>
      </c>
      <c r="H13" s="26">
        <f t="shared" si="0"/>
        <v>94765303534</v>
      </c>
      <c r="I13" s="26">
        <f t="shared" si="0"/>
        <v>91579636777</v>
      </c>
      <c r="J13" s="26">
        <f t="shared" si="0"/>
        <v>89332629635</v>
      </c>
      <c r="K13" s="26">
        <f t="shared" si="0"/>
        <v>94256699675</v>
      </c>
      <c r="L13" s="26">
        <f t="shared" si="0"/>
        <v>92661081955</v>
      </c>
      <c r="M13" s="26">
        <f t="shared" si="0"/>
        <v>90615835859</v>
      </c>
      <c r="N13" s="26">
        <f t="shared" si="0"/>
        <v>88063280983</v>
      </c>
      <c r="O13" s="26">
        <f t="shared" si="0"/>
        <v>84210946772</v>
      </c>
      <c r="P13" s="26">
        <f t="shared" si="0"/>
        <v>87720081315</v>
      </c>
      <c r="Q13" s="26">
        <f t="shared" si="0"/>
        <v>84002990693</v>
      </c>
      <c r="R13" s="26">
        <f t="shared" si="0"/>
        <v>81169849400</v>
      </c>
      <c r="S13" s="26">
        <f t="shared" si="0"/>
        <v>78068874436</v>
      </c>
      <c r="T13" s="26">
        <f t="shared" si="0"/>
        <v>80801127640</v>
      </c>
      <c r="U13" s="26">
        <f t="shared" si="0"/>
        <v>77273614669</v>
      </c>
      <c r="V13" s="26">
        <f t="shared" si="0"/>
        <v>74166606516</v>
      </c>
      <c r="W13" s="26">
        <f t="shared" si="0"/>
        <v>71028922978</v>
      </c>
      <c r="X13" s="26">
        <f t="shared" si="0"/>
        <v>73756863403</v>
      </c>
      <c r="Y13" s="26">
        <f t="shared" si="0"/>
        <v>70346819619</v>
      </c>
      <c r="Z13" s="26">
        <f t="shared" si="0"/>
        <v>65914523930</v>
      </c>
      <c r="AA13" s="26">
        <f t="shared" si="0"/>
        <v>68902651047</v>
      </c>
      <c r="AB13" s="26">
        <f t="shared" si="0"/>
        <v>66254431353</v>
      </c>
      <c r="AC13" s="26">
        <f t="shared" si="0"/>
        <v>62837096625</v>
      </c>
      <c r="AD13" s="26">
        <f t="shared" si="0"/>
        <v>60340475671</v>
      </c>
      <c r="AE13" s="26">
        <f t="shared" si="0"/>
        <v>62411917697</v>
      </c>
      <c r="AF13" s="26">
        <f t="shared" si="0"/>
        <v>59759164040</v>
      </c>
      <c r="AG13" s="26">
        <f t="shared" si="0"/>
        <v>56341657363</v>
      </c>
      <c r="AH13" s="26">
        <f t="shared" si="0"/>
        <v>38860224624</v>
      </c>
      <c r="AI13" s="26">
        <f t="shared" si="0"/>
        <v>46460407789</v>
      </c>
      <c r="AJ13" s="26">
        <f t="shared" si="0"/>
        <v>45255890152</v>
      </c>
      <c r="AK13" s="26">
        <f t="shared" si="0"/>
        <v>42957833510</v>
      </c>
      <c r="AL13" s="26">
        <f t="shared" si="0"/>
        <v>41023826146</v>
      </c>
      <c r="AM13" s="26">
        <f t="shared" si="0"/>
        <v>43155874531</v>
      </c>
      <c r="AN13" s="26">
        <f t="shared" si="0"/>
        <v>41783250869</v>
      </c>
      <c r="AO13" s="26">
        <f t="shared" si="0"/>
        <v>40320486488</v>
      </c>
      <c r="AP13" s="26">
        <f t="shared" si="0"/>
        <v>39208776359</v>
      </c>
      <c r="AQ13" s="26">
        <f t="shared" si="0"/>
        <v>41254190894</v>
      </c>
      <c r="AR13" s="26">
        <f t="shared" si="0"/>
        <v>39624057591</v>
      </c>
      <c r="AS13" s="26">
        <f t="shared" si="0"/>
        <v>37533997159</v>
      </c>
      <c r="AT13" s="26">
        <f t="shared" si="0"/>
        <v>36089555931</v>
      </c>
      <c r="AU13" s="26">
        <f t="shared" si="0"/>
        <v>34382235836</v>
      </c>
      <c r="AV13" s="26">
        <f t="shared" si="0"/>
        <v>36903346666</v>
      </c>
      <c r="AW13" s="26">
        <f t="shared" si="0"/>
        <v>35266672971</v>
      </c>
      <c r="AX13" s="26">
        <f t="shared" si="0"/>
        <v>34150787049</v>
      </c>
      <c r="AY13" s="26">
        <f t="shared" si="0"/>
        <v>20160503414</v>
      </c>
      <c r="AZ13" s="26">
        <f t="shared" si="0"/>
        <v>19013231477</v>
      </c>
      <c r="BA13" s="26">
        <f t="shared" si="0"/>
        <v>15646697605</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108373251453</v>
      </c>
      <c r="F14" s="48">
        <f t="shared" ref="F14:BQ14" si="2">F9</f>
        <v>106706023186</v>
      </c>
      <c r="G14" s="48">
        <f t="shared" si="2"/>
        <v>103012796552</v>
      </c>
      <c r="H14" s="48">
        <f t="shared" si="2"/>
        <v>102539454884</v>
      </c>
      <c r="I14" s="48">
        <f t="shared" si="2"/>
        <v>99055398580</v>
      </c>
      <c r="J14" s="48">
        <f t="shared" si="2"/>
        <v>96502341969</v>
      </c>
      <c r="K14" s="48">
        <f t="shared" si="2"/>
        <v>99974574413</v>
      </c>
      <c r="L14" s="48">
        <f t="shared" si="2"/>
        <v>98329214289</v>
      </c>
      <c r="M14" s="48">
        <f t="shared" si="2"/>
        <v>96251645788</v>
      </c>
      <c r="N14" s="48">
        <f t="shared" si="2"/>
        <v>94375546414</v>
      </c>
      <c r="O14" s="48">
        <f t="shared" si="2"/>
        <v>90465295291</v>
      </c>
      <c r="P14" s="48">
        <f t="shared" si="2"/>
        <v>93886426256</v>
      </c>
      <c r="Q14" s="48">
        <f t="shared" si="2"/>
        <v>90036252055</v>
      </c>
      <c r="R14" s="48">
        <f t="shared" si="2"/>
        <v>97311166029</v>
      </c>
      <c r="S14" s="48">
        <f t="shared" si="2"/>
        <v>93057572121</v>
      </c>
      <c r="T14" s="48">
        <f t="shared" si="2"/>
        <v>95641263473</v>
      </c>
      <c r="U14" s="48">
        <f t="shared" si="2"/>
        <v>91789188650</v>
      </c>
      <c r="V14" s="48">
        <f t="shared" si="2"/>
        <v>88737393356</v>
      </c>
      <c r="W14" s="48">
        <f t="shared" si="2"/>
        <v>89497337418</v>
      </c>
      <c r="X14" s="48">
        <f t="shared" si="2"/>
        <v>91816175187</v>
      </c>
      <c r="Y14" s="48">
        <f t="shared" si="2"/>
        <v>88165399611</v>
      </c>
      <c r="Z14" s="48">
        <f t="shared" si="2"/>
        <v>85080830006</v>
      </c>
      <c r="AA14" s="48">
        <f t="shared" si="2"/>
        <v>88082997658</v>
      </c>
      <c r="AB14" s="48">
        <f t="shared" si="2"/>
        <v>85229678804</v>
      </c>
      <c r="AC14" s="48">
        <f t="shared" si="2"/>
        <v>81607244917</v>
      </c>
      <c r="AD14" s="48">
        <f t="shared" si="2"/>
        <v>81392296906</v>
      </c>
      <c r="AE14" s="48">
        <f t="shared" si="2"/>
        <v>86857323203</v>
      </c>
      <c r="AF14" s="48">
        <f t="shared" si="2"/>
        <v>83987890384</v>
      </c>
      <c r="AG14" s="48">
        <f t="shared" si="2"/>
        <v>83462686370</v>
      </c>
      <c r="AH14" s="48">
        <f t="shared" si="2"/>
        <v>65256079248</v>
      </c>
      <c r="AI14" s="48">
        <f t="shared" si="2"/>
        <v>60231948273</v>
      </c>
      <c r="AJ14" s="48">
        <f t="shared" si="2"/>
        <v>58879459496</v>
      </c>
      <c r="AK14" s="48">
        <f t="shared" si="2"/>
        <v>59538060865</v>
      </c>
      <c r="AL14" s="48">
        <f t="shared" si="2"/>
        <v>44528078646</v>
      </c>
      <c r="AM14" s="48">
        <f t="shared" si="2"/>
        <v>43156475241</v>
      </c>
      <c r="AN14" s="48">
        <f t="shared" si="2"/>
        <v>41783250869</v>
      </c>
      <c r="AO14" s="48">
        <f t="shared" si="2"/>
        <v>40320486488</v>
      </c>
      <c r="AP14" s="48">
        <f t="shared" si="2"/>
        <v>39210176359</v>
      </c>
      <c r="AQ14" s="48">
        <f t="shared" si="2"/>
        <v>41255590894</v>
      </c>
      <c r="AR14" s="48">
        <f t="shared" si="2"/>
        <v>39625457591</v>
      </c>
      <c r="AS14" s="48">
        <f t="shared" si="2"/>
        <v>37535397159</v>
      </c>
      <c r="AT14" s="48">
        <f t="shared" si="2"/>
        <v>36089555931</v>
      </c>
      <c r="AU14" s="48">
        <f t="shared" si="2"/>
        <v>34382235836</v>
      </c>
      <c r="AV14" s="48">
        <f t="shared" si="2"/>
        <v>36903885867</v>
      </c>
      <c r="AW14" s="48">
        <f t="shared" si="2"/>
        <v>35266672971</v>
      </c>
      <c r="AX14" s="48">
        <f t="shared" si="2"/>
        <v>34150787049</v>
      </c>
      <c r="AY14" s="48">
        <f t="shared" si="2"/>
        <v>25160503414</v>
      </c>
      <c r="AZ14" s="48">
        <f t="shared" si="2"/>
        <v>24013231477</v>
      </c>
      <c r="BA14" s="48">
        <f t="shared" si="2"/>
        <v>15646697605</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13420770898</v>
      </c>
      <c r="F15" s="58">
        <f t="shared" ref="F15:BQ15" si="4">F11+F13-F3-F4-F7</f>
        <v>17231290539</v>
      </c>
      <c r="G15" s="58">
        <f t="shared" si="4"/>
        <v>9081480539</v>
      </c>
      <c r="H15" s="58">
        <f t="shared" si="4"/>
        <v>14593387178</v>
      </c>
      <c r="I15" s="58">
        <f t="shared" si="4"/>
        <v>12727326929</v>
      </c>
      <c r="J15" s="58">
        <f t="shared" si="4"/>
        <v>9374919003</v>
      </c>
      <c r="K15" s="58">
        <f t="shared" si="4"/>
        <v>14970908206</v>
      </c>
      <c r="L15" s="58">
        <f t="shared" si="4"/>
        <v>7726320565</v>
      </c>
      <c r="M15" s="58">
        <f t="shared" si="4"/>
        <v>9778093793</v>
      </c>
      <c r="N15" s="58">
        <f t="shared" si="4"/>
        <v>6282801709</v>
      </c>
      <c r="O15" s="58">
        <f t="shared" si="4"/>
        <v>4999976313</v>
      </c>
      <c r="P15" s="58">
        <f t="shared" si="4"/>
        <v>7294991293</v>
      </c>
      <c r="Q15" s="58">
        <f t="shared" si="4"/>
        <v>6290856654</v>
      </c>
      <c r="R15" s="58">
        <f t="shared" si="4"/>
        <v>7246598924</v>
      </c>
      <c r="S15" s="58">
        <f t="shared" si="4"/>
        <v>411745304</v>
      </c>
      <c r="T15" s="58">
        <f t="shared" si="4"/>
        <v>3276639381</v>
      </c>
      <c r="U15" s="58">
        <f t="shared" si="4"/>
        <v>2512476540</v>
      </c>
      <c r="V15" s="58">
        <f t="shared" si="4"/>
        <v>8043303346</v>
      </c>
      <c r="W15" s="58">
        <f t="shared" si="4"/>
        <v>3741482710</v>
      </c>
      <c r="X15" s="58">
        <f t="shared" si="4"/>
        <v>5521426679</v>
      </c>
      <c r="Y15" s="58">
        <f t="shared" si="4"/>
        <v>4905300507</v>
      </c>
      <c r="Z15" s="58">
        <f t="shared" si="4"/>
        <v>-3934008789</v>
      </c>
      <c r="AA15" s="58">
        <f t="shared" si="4"/>
        <v>1949080525</v>
      </c>
      <c r="AB15" s="58">
        <f t="shared" si="4"/>
        <v>-35753101</v>
      </c>
      <c r="AC15" s="58">
        <f t="shared" si="4"/>
        <v>-231230147</v>
      </c>
      <c r="AD15" s="58">
        <f t="shared" si="4"/>
        <v>2499565339</v>
      </c>
      <c r="AE15" s="58">
        <f t="shared" si="4"/>
        <v>-20867522</v>
      </c>
      <c r="AF15" s="58">
        <f t="shared" si="4"/>
        <v>-2290424345</v>
      </c>
      <c r="AG15" s="58">
        <f t="shared" si="4"/>
        <v>-2392224427</v>
      </c>
      <c r="AH15" s="58">
        <f t="shared" si="4"/>
        <v>-7080508806</v>
      </c>
      <c r="AI15" s="58">
        <f t="shared" si="4"/>
        <v>3897827856</v>
      </c>
      <c r="AJ15" s="58">
        <f t="shared" si="4"/>
        <v>5884903573</v>
      </c>
      <c r="AK15" s="58">
        <f t="shared" si="4"/>
        <v>5881381225</v>
      </c>
      <c r="AL15" s="58">
        <f t="shared" si="4"/>
        <v>2984943818</v>
      </c>
      <c r="AM15" s="58">
        <f t="shared" si="4"/>
        <v>6085715021</v>
      </c>
      <c r="AN15" s="58">
        <f t="shared" si="4"/>
        <v>4573336328</v>
      </c>
      <c r="AO15" s="58">
        <f t="shared" si="4"/>
        <v>4677747639</v>
      </c>
      <c r="AP15" s="58">
        <f t="shared" si="4"/>
        <v>6056564727</v>
      </c>
      <c r="AQ15" s="58">
        <f t="shared" si="4"/>
        <v>7954553316</v>
      </c>
      <c r="AR15" s="58">
        <f t="shared" si="4"/>
        <v>7823859551</v>
      </c>
      <c r="AS15" s="58">
        <f t="shared" si="4"/>
        <v>7789551415</v>
      </c>
      <c r="AT15" s="58">
        <f t="shared" si="4"/>
        <v>7466137957</v>
      </c>
      <c r="AU15" s="58">
        <f t="shared" si="4"/>
        <v>4499376195</v>
      </c>
      <c r="AV15" s="58">
        <f t="shared" si="4"/>
        <v>6602628507</v>
      </c>
      <c r="AW15" s="58">
        <f t="shared" si="4"/>
        <v>6437511108</v>
      </c>
      <c r="AX15" s="58">
        <f t="shared" si="4"/>
        <v>5623521932</v>
      </c>
      <c r="AY15" s="58">
        <f t="shared" si="4"/>
        <v>-81292447</v>
      </c>
      <c r="AZ15" s="58">
        <f t="shared" si="4"/>
        <v>773536537</v>
      </c>
      <c r="BA15" s="58">
        <f t="shared" si="4"/>
        <v>785200273</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-13420770898</v>
      </c>
      <c r="F16" s="58">
        <f t="shared" ref="F16:BQ16" si="6">F10-F2</f>
        <v>-17231290539</v>
      </c>
      <c r="G16" s="58">
        <f t="shared" si="6"/>
        <v>-9081480539</v>
      </c>
      <c r="H16" s="58">
        <f t="shared" si="6"/>
        <v>-14593387178</v>
      </c>
      <c r="I16" s="58">
        <f t="shared" si="6"/>
        <v>-12727326929</v>
      </c>
      <c r="J16" s="58">
        <f t="shared" si="6"/>
        <v>-9374919003</v>
      </c>
      <c r="K16" s="58">
        <f t="shared" si="6"/>
        <v>-14970908206</v>
      </c>
      <c r="L16" s="58">
        <f t="shared" si="6"/>
        <v>-7726320565</v>
      </c>
      <c r="M16" s="58">
        <f t="shared" si="6"/>
        <v>-9778093793</v>
      </c>
      <c r="N16" s="58">
        <f t="shared" si="6"/>
        <v>-6282801709</v>
      </c>
      <c r="O16" s="58">
        <f t="shared" si="6"/>
        <v>-4999976313</v>
      </c>
      <c r="P16" s="58">
        <f t="shared" si="6"/>
        <v>-7294991293</v>
      </c>
      <c r="Q16" s="58">
        <f t="shared" si="6"/>
        <v>-6290856654</v>
      </c>
      <c r="R16" s="58">
        <f t="shared" si="6"/>
        <v>-7246598924</v>
      </c>
      <c r="S16" s="58">
        <f t="shared" si="6"/>
        <v>-411745304</v>
      </c>
      <c r="T16" s="58">
        <f t="shared" si="6"/>
        <v>-3276639381</v>
      </c>
      <c r="U16" s="58">
        <f t="shared" si="6"/>
        <v>-2512476540</v>
      </c>
      <c r="V16" s="58">
        <f t="shared" si="6"/>
        <v>-8043303346</v>
      </c>
      <c r="W16" s="58">
        <f t="shared" si="6"/>
        <v>-3741482710</v>
      </c>
      <c r="X16" s="58">
        <f t="shared" si="6"/>
        <v>-5521426679</v>
      </c>
      <c r="Y16" s="58">
        <f t="shared" si="6"/>
        <v>-4905300507</v>
      </c>
      <c r="Z16" s="58">
        <f t="shared" si="6"/>
        <v>3934008789</v>
      </c>
      <c r="AA16" s="58">
        <f t="shared" si="6"/>
        <v>-1949080525</v>
      </c>
      <c r="AB16" s="58">
        <f t="shared" si="6"/>
        <v>35753101</v>
      </c>
      <c r="AC16" s="58">
        <f t="shared" si="6"/>
        <v>231230147</v>
      </c>
      <c r="AD16" s="58">
        <f t="shared" si="6"/>
        <v>-2499565339</v>
      </c>
      <c r="AE16" s="58">
        <f t="shared" si="6"/>
        <v>20867522</v>
      </c>
      <c r="AF16" s="58">
        <f t="shared" si="6"/>
        <v>2290424345</v>
      </c>
      <c r="AG16" s="58">
        <f t="shared" si="6"/>
        <v>2392224427</v>
      </c>
      <c r="AH16" s="58">
        <f t="shared" si="6"/>
        <v>7080508806</v>
      </c>
      <c r="AI16" s="58">
        <f t="shared" si="6"/>
        <v>-3897827856</v>
      </c>
      <c r="AJ16" s="58">
        <f t="shared" si="6"/>
        <v>-5884903573</v>
      </c>
      <c r="AK16" s="58">
        <f t="shared" si="6"/>
        <v>-5881381225</v>
      </c>
      <c r="AL16" s="58">
        <f t="shared" si="6"/>
        <v>-2984943818</v>
      </c>
      <c r="AM16" s="58">
        <f t="shared" si="6"/>
        <v>-6085715021</v>
      </c>
      <c r="AN16" s="58">
        <f t="shared" si="6"/>
        <v>-4573336328</v>
      </c>
      <c r="AO16" s="58">
        <f t="shared" si="6"/>
        <v>-4677747639</v>
      </c>
      <c r="AP16" s="58">
        <f t="shared" si="6"/>
        <v>-6056564727</v>
      </c>
      <c r="AQ16" s="58">
        <f t="shared" si="6"/>
        <v>-7954553316</v>
      </c>
      <c r="AR16" s="58">
        <f t="shared" si="6"/>
        <v>-7823859551</v>
      </c>
      <c r="AS16" s="58">
        <f t="shared" si="6"/>
        <v>-7789551415</v>
      </c>
      <c r="AT16" s="58">
        <f t="shared" si="6"/>
        <v>-7466137957</v>
      </c>
      <c r="AU16" s="58">
        <f t="shared" si="6"/>
        <v>-4499376195</v>
      </c>
      <c r="AV16" s="58">
        <f t="shared" si="6"/>
        <v>-6602628507</v>
      </c>
      <c r="AW16" s="58">
        <f t="shared" si="6"/>
        <v>-6437511108</v>
      </c>
      <c r="AX16" s="58">
        <f t="shared" si="6"/>
        <v>-5623521932</v>
      </c>
      <c r="AY16" s="58">
        <f t="shared" si="6"/>
        <v>81292447</v>
      </c>
      <c r="AZ16" s="58">
        <f t="shared" si="6"/>
        <v>-773536537</v>
      </c>
      <c r="BA16" s="58">
        <f t="shared" si="6"/>
        <v>-785200273</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-0.29225769996452783</v>
      </c>
      <c r="F17" s="59">
        <f t="shared" ref="F17:BQ17" si="8">(F11+F13-F7-F3)/F4</f>
        <v>-0.43794125032887438</v>
      </c>
      <c r="G17" s="59">
        <f t="shared" si="8"/>
        <v>-8.1414646982413449E-2</v>
      </c>
      <c r="H17" s="59">
        <f t="shared" si="8"/>
        <v>-4.2417857445127188E-2</v>
      </c>
      <c r="I17" s="59">
        <f t="shared" si="8"/>
        <v>0.16338082948262558</v>
      </c>
      <c r="J17" s="59">
        <f t="shared" si="8"/>
        <v>0.23190612465595112</v>
      </c>
      <c r="K17" s="59">
        <f t="shared" si="8"/>
        <v>-0.193976316612227</v>
      </c>
      <c r="L17" s="59">
        <f t="shared" si="8"/>
        <v>5.0644388485774107E-2</v>
      </c>
      <c r="M17" s="59">
        <f t="shared" si="8"/>
        <v>0.19759967465229022</v>
      </c>
      <c r="N17" s="59">
        <f t="shared" si="8"/>
        <v>0.11492682815206125</v>
      </c>
      <c r="O17" s="59">
        <f t="shared" si="8"/>
        <v>0.43317025353787414</v>
      </c>
      <c r="P17" s="59">
        <f t="shared" si="8"/>
        <v>6.0463683020300994E-2</v>
      </c>
      <c r="Q17" s="59">
        <f t="shared" si="8"/>
        <v>0.43292606994858207</v>
      </c>
      <c r="R17" s="59">
        <f t="shared" si="8"/>
        <v>-1.2826748534719351E-2</v>
      </c>
      <c r="S17" s="59">
        <f t="shared" si="8"/>
        <v>0.89991349218460703</v>
      </c>
      <c r="T17" s="59">
        <f t="shared" si="8"/>
        <v>0.23024336877097712</v>
      </c>
      <c r="U17" s="59">
        <f t="shared" si="8"/>
        <v>0.67011647460989077</v>
      </c>
      <c r="V17" s="59">
        <f t="shared" si="8"/>
        <v>-0.17353156346020027</v>
      </c>
      <c r="W17" s="59">
        <f t="shared" si="8"/>
        <v>0.29394093278580008</v>
      </c>
      <c r="X17" s="59">
        <f t="shared" si="8"/>
        <v>-0.21262846222895965</v>
      </c>
      <c r="Y17" s="59">
        <f t="shared" si="8"/>
        <v>0.36563106582334032</v>
      </c>
      <c r="Z17" s="59">
        <f t="shared" si="8"/>
        <v>1.5930598596421512</v>
      </c>
      <c r="AA17" s="59">
        <f t="shared" si="8"/>
        <v>0.62882030352834628</v>
      </c>
      <c r="AB17" s="59">
        <f t="shared" si="8"/>
        <v>1.006321232478995</v>
      </c>
      <c r="AC17" s="59">
        <f t="shared" si="8"/>
        <v>1.0246222228895385</v>
      </c>
      <c r="AD17" s="59">
        <f t="shared" si="8"/>
        <v>0.70177539757827412</v>
      </c>
      <c r="AE17" s="59">
        <f t="shared" si="8"/>
        <v>1.0026123512945146</v>
      </c>
      <c r="AF17" s="59">
        <f t="shared" si="8"/>
        <v>1.2580977518518892</v>
      </c>
      <c r="AG17" s="59">
        <f t="shared" si="8"/>
        <v>1.190115282310876</v>
      </c>
      <c r="AH17" s="59">
        <f t="shared" si="8"/>
        <v>1.2569828626326827</v>
      </c>
      <c r="AI17" s="59">
        <f t="shared" si="8"/>
        <v>0.36513117450837063</v>
      </c>
      <c r="AJ17" s="59">
        <f t="shared" si="8"/>
        <v>-0.73119036743895327</v>
      </c>
      <c r="AK17" s="59">
        <f t="shared" si="8"/>
        <v>-0.19056640376661027</v>
      </c>
      <c r="AL17" s="59">
        <f t="shared" si="8"/>
        <v>0.83338901107591401</v>
      </c>
      <c r="AM17" s="59">
        <f t="shared" si="8"/>
        <v>0.68740352651782044</v>
      </c>
      <c r="AN17" s="59">
        <f t="shared" si="8"/>
        <v>0.74306307376753311</v>
      </c>
      <c r="AO17" s="59">
        <f t="shared" si="8"/>
        <v>0.76000314485080622</v>
      </c>
      <c r="AP17" s="59">
        <f t="shared" si="8"/>
        <v>0.66461456907775729</v>
      </c>
      <c r="AQ17" s="59">
        <f t="shared" si="8"/>
        <v>0.36519583208385603</v>
      </c>
      <c r="AR17" s="59">
        <f t="shared" si="8"/>
        <v>0.26991790619304734</v>
      </c>
      <c r="AS17" s="59">
        <f t="shared" si="8"/>
        <v>0.3701203650061915</v>
      </c>
      <c r="AT17" s="59">
        <f t="shared" si="8"/>
        <v>-0.52179343063466355</v>
      </c>
      <c r="AU17" s="59">
        <f t="shared" si="8"/>
        <v>-0.26879356086494904</v>
      </c>
      <c r="AV17" s="59">
        <f t="shared" si="8"/>
        <v>-0.86571163758843372</v>
      </c>
      <c r="AW17" s="59">
        <f t="shared" si="8"/>
        <v>-0.40500480999265648</v>
      </c>
      <c r="AX17" s="59">
        <f t="shared" si="8"/>
        <v>-0.38260292893218928</v>
      </c>
      <c r="AY17" s="59">
        <f t="shared" si="8"/>
        <v>1.0072622975155849</v>
      </c>
      <c r="AZ17" s="59">
        <f t="shared" si="8"/>
        <v>0.94183079322069019</v>
      </c>
      <c r="BA17" s="59">
        <f t="shared" si="8"/>
        <v>0.57580802146093435</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3.3775212223159379E-2</v>
      </c>
      <c r="F20" s="115"/>
      <c r="G20" s="115"/>
      <c r="H20" s="115"/>
      <c r="I20" s="115">
        <f>POWER(E9/Y9,1/6)-1</f>
        <v>3.4992780736816442E-2</v>
      </c>
      <c r="M20" s="115">
        <f>POWER(E9/AC9,1/7)-1</f>
        <v>4.1355596355727942E-2</v>
      </c>
    </row>
    <row r="21" spans="1:90" s="63" customFormat="1" ht="14.25" customHeight="1" x14ac:dyDescent="0.25">
      <c r="A21" s="113" t="s">
        <v>573</v>
      </c>
      <c r="B21" s="115"/>
      <c r="C21" s="115"/>
      <c r="D21" s="115"/>
      <c r="E21" s="115">
        <f>POWER(E4/U4,1/5)-1</f>
        <v>6.3989615282301848E-2</v>
      </c>
      <c r="F21" s="115"/>
      <c r="G21" s="115"/>
      <c r="H21" s="115"/>
      <c r="I21" s="115">
        <f>POWER(E4/Y4,1/6)-1</f>
        <v>5.0390464319557182E-2</v>
      </c>
      <c r="M21" s="115">
        <f>POWER(E4/AC4,1/7)-1</f>
        <v>1.4482239299102195E-2</v>
      </c>
    </row>
    <row r="22" spans="1:90" s="63" customFormat="1" ht="14.25" customHeight="1" x14ac:dyDescent="0.25">
      <c r="A22" s="113" t="s">
        <v>576</v>
      </c>
      <c r="B22" s="115"/>
      <c r="C22" s="115"/>
      <c r="D22" s="115"/>
      <c r="E22" s="115">
        <f>POWER(E5/U5,1/5)-1</f>
        <v>0.1443224604492801</v>
      </c>
      <c r="F22" s="115"/>
      <c r="G22" s="115"/>
      <c r="H22" s="115"/>
      <c r="I22" s="115">
        <f>POWER(E5/Y5,1/6)-1</f>
        <v>0.12138298011816717</v>
      </c>
      <c r="M22" s="115">
        <f>POWER(E5/AC5,1/7)-1</f>
        <v>0.16192922672504495</v>
      </c>
    </row>
    <row r="23" spans="1:90" s="63" customFormat="1" ht="14.25" customHeight="1" x14ac:dyDescent="0.25">
      <c r="A23" s="113" t="s">
        <v>577</v>
      </c>
      <c r="B23" s="115"/>
      <c r="C23" s="115"/>
      <c r="D23" s="115"/>
      <c r="E23" s="115">
        <f>POWER(E6/U6,1/5)-1</f>
        <v>9.6833357928465036E-2</v>
      </c>
      <c r="F23" s="115"/>
      <c r="G23" s="115"/>
      <c r="H23" s="115"/>
      <c r="I23" s="115">
        <f>POWER(E6/Y6,1/6)-1</f>
        <v>7.9238131387372679E-2</v>
      </c>
      <c r="M23" s="115">
        <f>POWER(E6/AC6,1/7)-1</f>
        <v>6.3960125614011432E-2</v>
      </c>
    </row>
    <row r="24" spans="1:90" s="63" customFormat="1" ht="14.25" customHeight="1" x14ac:dyDescent="0.25">
      <c r="A24" s="113" t="s">
        <v>578</v>
      </c>
      <c r="B24" s="115"/>
      <c r="C24" s="115"/>
      <c r="D24" s="115"/>
      <c r="E24" s="115">
        <f>POWER(E7/U7,1/5)-1</f>
        <v>3.2063531956508795E-2</v>
      </c>
      <c r="F24" s="115"/>
      <c r="G24" s="115"/>
      <c r="H24" s="115"/>
      <c r="I24" s="115">
        <f>POWER(E7/Y7,1/6)-1</f>
        <v>2.8570516138834323E-2</v>
      </c>
      <c r="M24" s="115">
        <f>POWER(E7/AC7,1/7)-1</f>
        <v>2.6374077942228791E-2</v>
      </c>
    </row>
    <row r="25" spans="1:90" s="107" customFormat="1" x14ac:dyDescent="0.25">
      <c r="A25" s="143" t="s">
        <v>554</v>
      </c>
      <c r="B25" s="108"/>
      <c r="C25" s="108"/>
      <c r="D25" s="108"/>
      <c r="E25" s="108">
        <f>(E2-I2)/I2</f>
        <v>4.7961033582930121E-2</v>
      </c>
      <c r="F25" s="108">
        <f t="shared" ref="F25:BQ25" si="10">(F2-J2)/J2</f>
        <v>0.80956977818626763</v>
      </c>
      <c r="G25" s="108">
        <f t="shared" si="10"/>
        <v>-0.3906721770489337</v>
      </c>
      <c r="H25" s="108">
        <f t="shared" si="10"/>
        <v>0.90994770792969448</v>
      </c>
      <c r="I25" s="108">
        <f t="shared" si="10"/>
        <v>0.3195996329311705</v>
      </c>
      <c r="J25" s="107">
        <f t="shared" si="10"/>
        <v>-0.1609353285045251</v>
      </c>
      <c r="K25" s="107">
        <f t="shared" si="10"/>
        <v>0.48528420591524973</v>
      </c>
      <c r="L25" s="107">
        <f t="shared" si="10"/>
        <v>-0.37042990753587224</v>
      </c>
      <c r="M25" s="108">
        <f t="shared" si="10"/>
        <v>-0.13148461328962832</v>
      </c>
      <c r="N25" s="108">
        <f t="shared" si="10"/>
        <v>-0.24568296894925332</v>
      </c>
      <c r="O25" s="108">
        <f t="shared" si="10"/>
        <v>0.238730203476542</v>
      </c>
      <c r="P25" s="108">
        <f t="shared" si="10"/>
        <v>0.13191799667273255</v>
      </c>
      <c r="Q25" s="108">
        <f t="shared" si="10"/>
        <v>0.12608715650046784</v>
      </c>
      <c r="R25" s="108">
        <f t="shared" si="10"/>
        <v>0.78824605544629522</v>
      </c>
      <c r="S25" s="108">
        <f t="shared" si="10"/>
        <v>-2.364731724686318E-3</v>
      </c>
      <c r="T25" s="108">
        <f t="shared" si="10"/>
        <v>0.11371517068433079</v>
      </c>
      <c r="U25" s="108">
        <f t="shared" si="10"/>
        <v>0.11362769237264861</v>
      </c>
      <c r="V25" s="107">
        <f t="shared" si="10"/>
        <v>0.29901225169281709</v>
      </c>
      <c r="W25" s="107">
        <f t="shared" si="10"/>
        <v>-2.4248475994849198E-2</v>
      </c>
      <c r="X25" s="107">
        <f t="shared" si="10"/>
        <v>0.56876631890018803</v>
      </c>
      <c r="Y25" s="107">
        <f t="shared" si="10"/>
        <v>0.53569004458333036</v>
      </c>
      <c r="Z25" s="107">
        <f t="shared" si="10"/>
        <v>0.32413687097825311</v>
      </c>
      <c r="AA25" s="107">
        <f t="shared" si="10"/>
        <v>-0.13755982488207513</v>
      </c>
      <c r="AB25" s="107">
        <f t="shared" si="10"/>
        <v>-0.14827538290616951</v>
      </c>
      <c r="AC25" s="107">
        <f t="shared" si="10"/>
        <v>-0.42153660062205106</v>
      </c>
      <c r="AD25" s="107">
        <f t="shared" si="10"/>
        <v>-0.15635330610025847</v>
      </c>
      <c r="AE25" s="107">
        <f t="shared" si="10"/>
        <v>1.3243892370409474</v>
      </c>
      <c r="AF25" s="107">
        <f t="shared" si="10"/>
        <v>0.21424681084882782</v>
      </c>
      <c r="AG25" s="107">
        <f t="shared" si="10"/>
        <v>0.12598365912624723</v>
      </c>
      <c r="AH25" s="107">
        <f t="shared" si="10"/>
        <v>-9.6780791368253988E-2</v>
      </c>
      <c r="AI25" s="107">
        <f t="shared" si="10"/>
        <v>-0.30682869992377187</v>
      </c>
      <c r="AJ25" s="107">
        <f t="shared" si="10"/>
        <v>0.32524722507135057</v>
      </c>
      <c r="AK25" s="107">
        <f t="shared" si="10"/>
        <v>0.92767787937522805</v>
      </c>
      <c r="AL25" s="107">
        <f t="shared" si="10"/>
        <v>7.143184470089789E-2</v>
      </c>
      <c r="AM25" s="107">
        <f t="shared" si="10"/>
        <v>-0.23493943918145208</v>
      </c>
      <c r="AN25" s="107">
        <f t="shared" si="10"/>
        <v>-0.41546288015670441</v>
      </c>
      <c r="AO25" s="107">
        <f t="shared" si="10"/>
        <v>-0.39948433615929857</v>
      </c>
      <c r="AP25" s="107">
        <f t="shared" si="10"/>
        <v>-0.18879549750060962</v>
      </c>
      <c r="AQ25" s="107">
        <f t="shared" si="10"/>
        <v>0.76792359012780886</v>
      </c>
      <c r="AR25" s="107">
        <f t="shared" si="10"/>
        <v>0.18496134421394003</v>
      </c>
      <c r="AS25" s="107">
        <f t="shared" si="10"/>
        <v>0.21002531635553956</v>
      </c>
      <c r="AT25" s="107">
        <f t="shared" si="10"/>
        <v>0.32766228126804431</v>
      </c>
      <c r="AU25" s="107">
        <f t="shared" si="10"/>
        <v>-8.5252345963167289E-2</v>
      </c>
      <c r="AV25" s="107">
        <f t="shared" si="10"/>
        <v>0.14360209980255989</v>
      </c>
      <c r="AW25" s="107">
        <f t="shared" si="10"/>
        <v>7.1985594368228139</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0.1253538148653926</v>
      </c>
      <c r="F26" s="108">
        <f t="shared" ref="F26:BQ26" si="12">F2/F9</f>
        <v>0.16325024350907966</v>
      </c>
      <c r="G26" s="108">
        <f t="shared" si="12"/>
        <v>8.9587449616916795E-2</v>
      </c>
      <c r="H26" s="108">
        <f t="shared" si="12"/>
        <v>0.14536442481445092</v>
      </c>
      <c r="I26" s="108">
        <f t="shared" si="12"/>
        <v>0.13086887658657484</v>
      </c>
      <c r="J26" s="108">
        <f t="shared" si="12"/>
        <v>9.9753831260306292E-2</v>
      </c>
      <c r="K26" s="108">
        <f t="shared" si="12"/>
        <v>0.15149481788672228</v>
      </c>
      <c r="L26" s="108">
        <f t="shared" si="12"/>
        <v>7.9367937142899012E-2</v>
      </c>
      <c r="M26" s="108">
        <f t="shared" si="12"/>
        <v>0.10206202337191354</v>
      </c>
      <c r="N26" s="108">
        <f t="shared" si="12"/>
        <v>0.12156611088291484</v>
      </c>
      <c r="O26" s="108">
        <f t="shared" si="12"/>
        <v>0.11271864861767016</v>
      </c>
      <c r="P26" s="108">
        <f t="shared" si="12"/>
        <v>0.13203247506939594</v>
      </c>
      <c r="Q26" s="108">
        <f t="shared" si="12"/>
        <v>0.12562538708397816</v>
      </c>
      <c r="R26" s="108">
        <f t="shared" si="12"/>
        <v>0.15629871672144321</v>
      </c>
      <c r="S26" s="108">
        <f t="shared" si="12"/>
        <v>8.8460488634888104E-2</v>
      </c>
      <c r="T26" s="108">
        <f t="shared" si="12"/>
        <v>0.11450469731709083</v>
      </c>
      <c r="U26" s="108">
        <f t="shared" si="12"/>
        <v>0.10942871137362428</v>
      </c>
      <c r="V26" s="108">
        <f t="shared" si="12"/>
        <v>9.5848240705899784E-2</v>
      </c>
      <c r="W26" s="108">
        <f t="shared" si="12"/>
        <v>9.2197499490531715E-2</v>
      </c>
      <c r="X26" s="108">
        <f t="shared" si="12"/>
        <v>0.1070964992712118</v>
      </c>
      <c r="Y26" s="108">
        <f t="shared" si="12"/>
        <v>0.10230211532863825</v>
      </c>
      <c r="Z26" s="108">
        <f t="shared" si="12"/>
        <v>7.6956595728300492E-2</v>
      </c>
      <c r="AA26" s="108">
        <f t="shared" si="12"/>
        <v>9.6005902204123639E-2</v>
      </c>
      <c r="AB26" s="108">
        <f t="shared" si="12"/>
        <v>7.3543681109189227E-2</v>
      </c>
      <c r="AC26" s="108">
        <f t="shared" si="12"/>
        <v>7.1969835337211741E-2</v>
      </c>
      <c r="AD26" s="108">
        <f t="shared" si="12"/>
        <v>6.0752112300144309E-2</v>
      </c>
      <c r="AE26" s="108">
        <f t="shared" si="12"/>
        <v>0.11288977288746714</v>
      </c>
      <c r="AF26" s="108">
        <f t="shared" si="12"/>
        <v>8.7623448920464558E-2</v>
      </c>
      <c r="AG26" s="108">
        <f t="shared" si="12"/>
        <v>0.12164968279345356</v>
      </c>
      <c r="AH26" s="108">
        <f t="shared" si="12"/>
        <v>8.9817942336454973E-2</v>
      </c>
      <c r="AI26" s="108">
        <f t="shared" si="12"/>
        <v>7.0036635273360223E-2</v>
      </c>
      <c r="AJ26" s="108">
        <f t="shared" si="12"/>
        <v>0.1029357492388622</v>
      </c>
      <c r="AK26" s="108">
        <f t="shared" si="12"/>
        <v>0.15145254175217585</v>
      </c>
      <c r="AL26" s="108">
        <f t="shared" si="12"/>
        <v>0.14573268183407079</v>
      </c>
      <c r="AM26" s="108">
        <f t="shared" si="12"/>
        <v>0.1410151080924788</v>
      </c>
      <c r="AN26" s="108">
        <f t="shared" si="12"/>
        <v>0.10945381780700716</v>
      </c>
      <c r="AO26" s="108">
        <f t="shared" si="12"/>
        <v>0.11601416665426817</v>
      </c>
      <c r="AP26" s="108">
        <f t="shared" si="12"/>
        <v>0.15446410318452503</v>
      </c>
      <c r="AQ26" s="108">
        <f t="shared" si="12"/>
        <v>0.1928115230839384</v>
      </c>
      <c r="AR26" s="108">
        <f t="shared" si="12"/>
        <v>0.19744527954112528</v>
      </c>
      <c r="AS26" s="108">
        <f t="shared" si="12"/>
        <v>0.20752548273309721</v>
      </c>
      <c r="AT26" s="108">
        <f t="shared" si="12"/>
        <v>0.20687807772627037</v>
      </c>
      <c r="AU26" s="108">
        <f t="shared" si="12"/>
        <v>0.13086339749577652</v>
      </c>
      <c r="AV26" s="108">
        <f t="shared" si="12"/>
        <v>0.17891418076664301</v>
      </c>
      <c r="AW26" s="108">
        <f t="shared" si="12"/>
        <v>0.18253808952416931</v>
      </c>
      <c r="AX26" s="108">
        <f t="shared" si="12"/>
        <v>0.16466741817491048</v>
      </c>
      <c r="AY26" s="108">
        <f t="shared" si="12"/>
        <v>0.19549320902152917</v>
      </c>
      <c r="AZ26" s="108">
        <f t="shared" si="12"/>
        <v>0.24043146973075755</v>
      </c>
      <c r="BA26" s="108">
        <f t="shared" si="12"/>
        <v>5.0183130831970853E-2</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3.7514333061847836E-2</v>
      </c>
      <c r="F27" s="109">
        <f t="shared" ref="F27:BQ27" si="14">(F3-J3)/J3</f>
        <v>2.5644780758028903E-2</v>
      </c>
      <c r="G27" s="109">
        <f t="shared" si="14"/>
        <v>0.12700462664286477</v>
      </c>
      <c r="H27" s="109">
        <f t="shared" si="14"/>
        <v>5.9843553509773918E-2</v>
      </c>
      <c r="I27" s="109">
        <f t="shared" si="14"/>
        <v>4.9358979209806628E-2</v>
      </c>
      <c r="J27" s="109">
        <f t="shared" si="14"/>
        <v>-3.1521108500086305E-2</v>
      </c>
      <c r="K27" s="109">
        <f t="shared" si="14"/>
        <v>-1.5003716232171234E-2</v>
      </c>
      <c r="L27" s="109">
        <f t="shared" si="14"/>
        <v>4.1619870774853768E-2</v>
      </c>
      <c r="M27" s="109">
        <f t="shared" si="14"/>
        <v>3.890144179395242E-2</v>
      </c>
      <c r="N27" s="109">
        <f t="shared" si="14"/>
        <v>3.8592824964600668E-2</v>
      </c>
      <c r="O27" s="109">
        <f t="shared" si="14"/>
        <v>5.16338795358725E-2</v>
      </c>
      <c r="P27" s="109">
        <f t="shared" si="14"/>
        <v>5.3553152763724209E-2</v>
      </c>
      <c r="Q27" s="109">
        <f t="shared" si="14"/>
        <v>6.3762214437265999E-2</v>
      </c>
      <c r="R27" s="109">
        <f t="shared" si="14"/>
        <v>9.1313843353209578E-2</v>
      </c>
      <c r="S27" s="109">
        <f t="shared" si="14"/>
        <v>8.9282347650268948E-2</v>
      </c>
      <c r="T27" s="109">
        <f t="shared" si="14"/>
        <v>0.10433869359151821</v>
      </c>
      <c r="U27" s="109">
        <f t="shared" si="14"/>
        <v>0.11144248625178607</v>
      </c>
      <c r="V27" s="109">
        <f t="shared" si="14"/>
        <v>9.0514962779184194E-2</v>
      </c>
      <c r="W27" s="109">
        <f t="shared" si="14"/>
        <v>7.8367356184632447E-2</v>
      </c>
      <c r="X27" s="109">
        <f t="shared" si="14"/>
        <v>6.4751121032547959E-2</v>
      </c>
      <c r="Y27" s="109">
        <f t="shared" si="14"/>
        <v>5.7108889748182741E-2</v>
      </c>
      <c r="Z27" s="109">
        <f t="shared" si="14"/>
        <v>4.4786025777914573E-2</v>
      </c>
      <c r="AA27" s="109">
        <f t="shared" si="14"/>
        <v>5.1184334050684538E-2</v>
      </c>
      <c r="AB27" s="109">
        <f t="shared" si="14"/>
        <v>4.1005480611379846E-2</v>
      </c>
      <c r="AC27" s="109">
        <f t="shared" si="14"/>
        <v>4.531757358430908E-2</v>
      </c>
      <c r="AD27" s="109">
        <f t="shared" si="14"/>
        <v>4.9651753199080703E-2</v>
      </c>
      <c r="AE27" s="109">
        <f t="shared" si="14"/>
        <v>221.44658210399757</v>
      </c>
      <c r="AF27" s="109">
        <f t="shared" si="14"/>
        <v>214.86594253104846</v>
      </c>
      <c r="AG27" s="109">
        <f t="shared" si="14"/>
        <v>207.33530412678448</v>
      </c>
      <c r="AH27" s="109">
        <f t="shared" si="14"/>
        <v>217.66804670756383</v>
      </c>
      <c r="AI27" s="109">
        <f t="shared" si="14"/>
        <v>0</v>
      </c>
      <c r="AJ27" s="109">
        <f t="shared" si="14"/>
        <v>0</v>
      </c>
      <c r="AK27" s="109">
        <f t="shared" si="14"/>
        <v>0</v>
      </c>
      <c r="AL27" s="109">
        <f t="shared" si="14"/>
        <v>0</v>
      </c>
      <c r="AM27" s="109">
        <f t="shared" si="14"/>
        <v>0</v>
      </c>
      <c r="AN27" s="109">
        <f t="shared" si="14"/>
        <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0.18509949183078331</v>
      </c>
      <c r="F28" s="109">
        <f t="shared" ref="F28:BQ28" si="16">F3/F9</f>
        <v>0.17978568852256693</v>
      </c>
      <c r="G28" s="109">
        <f t="shared" si="16"/>
        <v>0.20282332072650011</v>
      </c>
      <c r="H28" s="109">
        <f t="shared" si="16"/>
        <v>0.19528837702183469</v>
      </c>
      <c r="I28" s="109">
        <f t="shared" si="16"/>
        <v>0.1951888812741982</v>
      </c>
      <c r="J28" s="109">
        <f t="shared" si="16"/>
        <v>0.1938247465124584</v>
      </c>
      <c r="K28" s="109">
        <f t="shared" si="16"/>
        <v>0.18543589440466107</v>
      </c>
      <c r="L28" s="109">
        <f t="shared" si="16"/>
        <v>0.19215118584664276</v>
      </c>
      <c r="M28" s="109">
        <f t="shared" si="16"/>
        <v>0.19142602336984779</v>
      </c>
      <c r="N28" s="109">
        <f t="shared" si="16"/>
        <v>0.20464325700725156</v>
      </c>
      <c r="O28" s="109">
        <f t="shared" si="16"/>
        <v>0.20804954497144548</v>
      </c>
      <c r="P28" s="109">
        <f t="shared" si="16"/>
        <v>0.19320287000316813</v>
      </c>
      <c r="Q28" s="109">
        <f t="shared" si="16"/>
        <v>0.19697784616985409</v>
      </c>
      <c r="R28" s="109">
        <f t="shared" si="16"/>
        <v>0.19109482397383101</v>
      </c>
      <c r="S28" s="109">
        <f t="shared" si="16"/>
        <v>0.19232355978220503</v>
      </c>
      <c r="T28" s="109">
        <f t="shared" si="16"/>
        <v>0.18001745843581909</v>
      </c>
      <c r="U28" s="109">
        <f t="shared" si="16"/>
        <v>0.18163465019363148</v>
      </c>
      <c r="V28" s="109">
        <f t="shared" si="16"/>
        <v>0.1920238924264937</v>
      </c>
      <c r="W28" s="109">
        <f t="shared" si="16"/>
        <v>0.18358349166592633</v>
      </c>
      <c r="X28" s="109">
        <f t="shared" si="16"/>
        <v>0.16980029646461905</v>
      </c>
      <c r="Y28" s="109">
        <f t="shared" si="16"/>
        <v>0.17013946324957693</v>
      </c>
      <c r="Z28" s="109">
        <f t="shared" si="16"/>
        <v>0.18365323774930359</v>
      </c>
      <c r="AA28" s="109">
        <f t="shared" si="16"/>
        <v>0.17297563033853214</v>
      </c>
      <c r="AB28" s="109">
        <f t="shared" si="16"/>
        <v>0.17179822944859915</v>
      </c>
      <c r="AC28" s="109">
        <f t="shared" si="16"/>
        <v>0.17388206830695255</v>
      </c>
      <c r="AD28" s="109">
        <f t="shared" si="16"/>
        <v>0.18374674205683364</v>
      </c>
      <c r="AE28" s="109">
        <f t="shared" si="16"/>
        <v>0.16687515695279193</v>
      </c>
      <c r="AF28" s="109">
        <f t="shared" si="16"/>
        <v>0.16747108991178491</v>
      </c>
      <c r="AG28" s="109">
        <f t="shared" si="16"/>
        <v>0.16264581870539185</v>
      </c>
      <c r="AH28" s="109">
        <f t="shared" si="16"/>
        <v>0.21834172636776494</v>
      </c>
      <c r="AI28" s="109">
        <f t="shared" si="16"/>
        <v>1.0817962703890901E-3</v>
      </c>
      <c r="AJ28" s="109">
        <f t="shared" si="16"/>
        <v>1.1066456376765243E-3</v>
      </c>
      <c r="AK28" s="109">
        <f t="shared" si="16"/>
        <v>1.0944040846030331E-3</v>
      </c>
      <c r="AL28" s="109">
        <f t="shared" si="16"/>
        <v>1.4633170570420124E-3</v>
      </c>
      <c r="AM28" s="109">
        <f t="shared" si="16"/>
        <v>1.5098243458515166E-3</v>
      </c>
      <c r="AN28" s="109">
        <f t="shared" si="16"/>
        <v>1.5594453673383945E-3</v>
      </c>
      <c r="AO28" s="109">
        <f t="shared" si="16"/>
        <v>1.616019613736363E-3</v>
      </c>
      <c r="AP28" s="109">
        <f t="shared" si="16"/>
        <v>1.6617802583548946E-3</v>
      </c>
      <c r="AQ28" s="109">
        <f t="shared" si="16"/>
        <v>1.5793907101564831E-3</v>
      </c>
      <c r="AR28" s="109">
        <f t="shared" si="16"/>
        <v>1.644364531320877E-3</v>
      </c>
      <c r="AS28" s="109">
        <f t="shared" si="16"/>
        <v>0</v>
      </c>
      <c r="AT28" s="109">
        <f t="shared" si="16"/>
        <v>0</v>
      </c>
      <c r="AU28" s="109">
        <f t="shared" si="16"/>
        <v>0</v>
      </c>
      <c r="AV28" s="109">
        <f t="shared" si="16"/>
        <v>0</v>
      </c>
      <c r="AW28" s="109">
        <f t="shared" si="16"/>
        <v>0</v>
      </c>
      <c r="AX28" s="109">
        <f t="shared" si="16"/>
        <v>0</v>
      </c>
      <c r="AY28" s="109">
        <f t="shared" si="16"/>
        <v>0</v>
      </c>
      <c r="AZ28" s="109">
        <f t="shared" si="16"/>
        <v>0</v>
      </c>
      <c r="BA28" s="109">
        <f t="shared" si="16"/>
        <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-0.31731722374600102</v>
      </c>
      <c r="F29" s="108">
        <f t="shared" ref="F29:BQ29" si="18">(F4-J4)/J4</f>
        <v>-1.8199066770545034E-2</v>
      </c>
      <c r="G29" s="108">
        <f t="shared" si="18"/>
        <v>-0.33025115401630928</v>
      </c>
      <c r="H29" s="108">
        <f t="shared" si="18"/>
        <v>0.72016640290062051</v>
      </c>
      <c r="I29" s="108">
        <f t="shared" si="18"/>
        <v>0.24837851436153513</v>
      </c>
      <c r="J29" s="108">
        <f t="shared" si="18"/>
        <v>0.71940840587036714</v>
      </c>
      <c r="K29" s="108">
        <f t="shared" si="18"/>
        <v>0.42146811225731634</v>
      </c>
      <c r="L29" s="108">
        <f t="shared" si="18"/>
        <v>4.8172099673293327E-2</v>
      </c>
      <c r="M29" s="108">
        <f t="shared" si="18"/>
        <v>9.8482127860116925E-2</v>
      </c>
      <c r="N29" s="108">
        <f t="shared" si="18"/>
        <v>-7.8550783461544399E-3</v>
      </c>
      <c r="O29" s="108">
        <f t="shared" si="18"/>
        <v>1.1441847116534984</v>
      </c>
      <c r="P29" s="108">
        <f t="shared" si="18"/>
        <v>0.82404688902044854</v>
      </c>
      <c r="Q29" s="108">
        <f t="shared" si="18"/>
        <v>0.45656114000738701</v>
      </c>
      <c r="R29" s="108">
        <f t="shared" si="18"/>
        <v>4.3901182696240187E-2</v>
      </c>
      <c r="S29" s="108">
        <f t="shared" si="18"/>
        <v>-0.22366277580101199</v>
      </c>
      <c r="T29" s="108">
        <f t="shared" si="18"/>
        <v>-6.5129069215050642E-2</v>
      </c>
      <c r="U29" s="108">
        <f t="shared" si="18"/>
        <v>-1.5042079527452698E-2</v>
      </c>
      <c r="V29" s="108">
        <f t="shared" si="18"/>
        <v>3.3243965959820397E-2</v>
      </c>
      <c r="W29" s="108">
        <f t="shared" si="18"/>
        <v>9.1532848883629035E-3</v>
      </c>
      <c r="X29" s="108">
        <f t="shared" si="18"/>
        <v>-0.19497086381778631</v>
      </c>
      <c r="Y29" s="108">
        <f t="shared" si="18"/>
        <v>-0.17660824411955417</v>
      </c>
      <c r="Z29" s="108">
        <f t="shared" si="18"/>
        <v>-0.20856405686808738</v>
      </c>
      <c r="AA29" s="108">
        <f t="shared" si="18"/>
        <v>-0.34263546843401055</v>
      </c>
      <c r="AB29" s="108">
        <f t="shared" si="18"/>
        <v>-0.3626467226232421</v>
      </c>
      <c r="AC29" s="108">
        <f t="shared" si="18"/>
        <v>-0.25366758405151291</v>
      </c>
      <c r="AD29" s="108">
        <f t="shared" si="18"/>
        <v>-0.69579894155628585</v>
      </c>
      <c r="AE29" s="108">
        <f t="shared" si="18"/>
        <v>0.30106995813193316</v>
      </c>
      <c r="AF29" s="108">
        <f t="shared" si="18"/>
        <v>1.610581195369146</v>
      </c>
      <c r="AG29" s="108">
        <f t="shared" si="18"/>
        <v>1.547177349715992</v>
      </c>
      <c r="AH29" s="108">
        <f t="shared" si="18"/>
        <v>0.53789889711733663</v>
      </c>
      <c r="AI29" s="108">
        <f t="shared" si="18"/>
        <v>-0.68463672602138315</v>
      </c>
      <c r="AJ29" s="108">
        <f t="shared" si="18"/>
        <v>-0.80901999190364149</v>
      </c>
      <c r="AK29" s="108">
        <f t="shared" si="18"/>
        <v>-0.74654873083857276</v>
      </c>
      <c r="AL29" s="108">
        <f t="shared" si="18"/>
        <v>-7.9116511723348083E-3</v>
      </c>
      <c r="AM29" s="108">
        <f t="shared" si="18"/>
        <v>0.55364399126391084</v>
      </c>
      <c r="AN29" s="108">
        <f t="shared" si="18"/>
        <v>0.66095271170544911</v>
      </c>
      <c r="AO29" s="108">
        <f t="shared" si="18"/>
        <v>0.57607309859500133</v>
      </c>
      <c r="AP29" s="108">
        <f t="shared" si="18"/>
        <v>2.6807969845626407</v>
      </c>
      <c r="AQ29" s="108">
        <f t="shared" si="18"/>
        <v>2.5335780396951004</v>
      </c>
      <c r="AR29" s="108">
        <f t="shared" si="18"/>
        <v>2.0281473669137235</v>
      </c>
      <c r="AS29" s="108">
        <f t="shared" si="18"/>
        <v>1.6990734344175618</v>
      </c>
      <c r="AT29" s="108">
        <f t="shared" si="18"/>
        <v>0.20622794247997331</v>
      </c>
      <c r="AU29" s="108">
        <f t="shared" si="18"/>
        <v>-0.68319999444447832</v>
      </c>
      <c r="AV29" s="108">
        <f t="shared" si="18"/>
        <v>-0.73387562659975181</v>
      </c>
      <c r="AW29" s="108">
        <f t="shared" si="18"/>
        <v>1.4752677883673395</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-3.1165433565602918E-2</v>
      </c>
      <c r="F30" s="108">
        <f t="shared" ref="F30:BQ30" si="20">(F5-J5)/J5</f>
        <v>-2.0726770207651415E-2</v>
      </c>
      <c r="G30" s="108">
        <f t="shared" si="20"/>
        <v>1.0399446622957133E-2</v>
      </c>
      <c r="H30" s="108">
        <f t="shared" si="20"/>
        <v>0.64604499649771852</v>
      </c>
      <c r="I30" s="108">
        <f t="shared" si="20"/>
        <v>0.50790351284570023</v>
      </c>
      <c r="J30" s="108">
        <f t="shared" si="20"/>
        <v>0.60171675673517966</v>
      </c>
      <c r="K30" s="108">
        <f t="shared" si="20"/>
        <v>0.73610878473222141</v>
      </c>
      <c r="L30" s="108">
        <f t="shared" si="20"/>
        <v>-0.14255234525073696</v>
      </c>
      <c r="M30" s="108">
        <f t="shared" si="20"/>
        <v>0.17418051010681648</v>
      </c>
      <c r="N30" s="108">
        <f t="shared" si="20"/>
        <v>0.19662180838771229</v>
      </c>
      <c r="O30" s="108">
        <f t="shared" si="20"/>
        <v>2.2791252494128021E-2</v>
      </c>
      <c r="P30" s="108">
        <f t="shared" si="20"/>
        <v>0.1840952749160214</v>
      </c>
      <c r="Q30" s="108">
        <f t="shared" si="20"/>
        <v>0.14388947893448856</v>
      </c>
      <c r="R30" s="108">
        <f t="shared" si="20"/>
        <v>0.15683789326465972</v>
      </c>
      <c r="S30" s="108">
        <f t="shared" si="20"/>
        <v>0.32727702269539594</v>
      </c>
      <c r="T30" s="108">
        <f t="shared" si="20"/>
        <v>0.13149705530874187</v>
      </c>
      <c r="U30" s="108">
        <f t="shared" si="20"/>
        <v>1.3401751235723548E-2</v>
      </c>
      <c r="V30" s="108">
        <f t="shared" si="20"/>
        <v>0.25826863695557328</v>
      </c>
      <c r="W30" s="108">
        <f t="shared" si="20"/>
        <v>6.6843856596616305E-2</v>
      </c>
      <c r="X30" s="108">
        <f t="shared" si="20"/>
        <v>0.30485016594801795</v>
      </c>
      <c r="Y30" s="108">
        <f t="shared" si="20"/>
        <v>0.43791750178996086</v>
      </c>
      <c r="Z30" s="108">
        <f t="shared" si="20"/>
        <v>-0.18542659204020176</v>
      </c>
      <c r="AA30" s="108">
        <f t="shared" si="20"/>
        <v>-0.11413491830036677</v>
      </c>
      <c r="AB30" s="108">
        <f t="shared" si="20"/>
        <v>-0.13726446551543103</v>
      </c>
      <c r="AC30" s="108">
        <f t="shared" si="20"/>
        <v>-0.23854183373435431</v>
      </c>
      <c r="AD30" s="108">
        <f t="shared" si="20"/>
        <v>0.14903508213167746</v>
      </c>
      <c r="AE30" s="108">
        <f t="shared" si="20"/>
        <v>1.0213056113118759</v>
      </c>
      <c r="AF30" s="108">
        <f t="shared" si="20"/>
        <v>0.32060066640633833</v>
      </c>
      <c r="AG30" s="108">
        <f t="shared" si="20"/>
        <v>0.18304455617630333</v>
      </c>
      <c r="AH30" s="108">
        <f t="shared" si="20"/>
        <v>-4.700237967198486E-2</v>
      </c>
      <c r="AI30" s="108">
        <f t="shared" si="20"/>
        <v>-0.40634988590722299</v>
      </c>
      <c r="AJ30" s="108">
        <f t="shared" si="20"/>
        <v>6.1496290865070719E-2</v>
      </c>
      <c r="AK30" s="108">
        <f t="shared" si="20"/>
        <v>0.32647857540949682</v>
      </c>
      <c r="AL30" s="108">
        <f t="shared" si="20"/>
        <v>2.8340358477212875</v>
      </c>
      <c r="AM30" s="108">
        <f t="shared" si="20"/>
        <v>0.88336695191789116</v>
      </c>
      <c r="AN30" s="108">
        <f t="shared" si="20"/>
        <v>2.3555879903107897</v>
      </c>
      <c r="AO30" s="108">
        <f t="shared" si="20"/>
        <v>1.1676185513477599</v>
      </c>
      <c r="AP30" s="108">
        <f t="shared" si="20"/>
        <v>0.16079179707364169</v>
      </c>
      <c r="AQ30" s="108">
        <f t="shared" si="20"/>
        <v>0.44740337058567675</v>
      </c>
      <c r="AR30" s="108">
        <f t="shared" si="20"/>
        <v>-0.15107827285444131</v>
      </c>
      <c r="AS30" s="108">
        <f t="shared" si="20"/>
        <v>3.1433443152754467E-2</v>
      </c>
      <c r="AT30" s="108">
        <f t="shared" si="20"/>
        <v>0.46992115201961493</v>
      </c>
      <c r="AU30" s="108">
        <f t="shared" si="20"/>
        <v>1.0040900890475077</v>
      </c>
      <c r="AV30" s="108">
        <f t="shared" si="20"/>
        <v>1.4497078613147751</v>
      </c>
      <c r="AW30" s="108">
        <f t="shared" si="20"/>
        <v>21.162859058094256</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-0.20937157095585987</v>
      </c>
      <c r="F31" s="108">
        <f t="shared" ref="F31:BQ31" si="22">(F6-J6)/J6</f>
        <v>-1.937394116884128E-2</v>
      </c>
      <c r="G31" s="108">
        <f t="shared" si="22"/>
        <v>-0.18103396007317529</v>
      </c>
      <c r="H31" s="108">
        <f t="shared" si="22"/>
        <v>0.68646986794729326</v>
      </c>
      <c r="I31" s="108">
        <f t="shared" si="22"/>
        <v>0.33505760342418339</v>
      </c>
      <c r="J31" s="108">
        <f t="shared" si="22"/>
        <v>0.66262523781509719</v>
      </c>
      <c r="K31" s="108">
        <f t="shared" si="22"/>
        <v>0.54404469334122363</v>
      </c>
      <c r="L31" s="108">
        <f t="shared" si="22"/>
        <v>-4.8086154272040847E-2</v>
      </c>
      <c r="M31" s="108">
        <f t="shared" si="22"/>
        <v>0.12265528057523409</v>
      </c>
      <c r="N31" s="108">
        <f t="shared" si="22"/>
        <v>8.1291363926038279E-2</v>
      </c>
      <c r="O31" s="108">
        <f t="shared" si="22"/>
        <v>0.50244155857875739</v>
      </c>
      <c r="P31" s="108">
        <f t="shared" si="22"/>
        <v>0.43313476371449167</v>
      </c>
      <c r="Q31" s="108">
        <f t="shared" si="22"/>
        <v>0.33962855541416742</v>
      </c>
      <c r="R31" s="108">
        <f t="shared" si="22"/>
        <v>9.0306865434426481E-2</v>
      </c>
      <c r="S31" s="108">
        <f t="shared" si="22"/>
        <v>1.8207198117448663E-2</v>
      </c>
      <c r="T31" s="108">
        <f t="shared" si="22"/>
        <v>4.5892351674101557E-2</v>
      </c>
      <c r="U31" s="108">
        <f t="shared" si="22"/>
        <v>-4.5935806356646501E-3</v>
      </c>
      <c r="V31" s="108">
        <f t="shared" si="22"/>
        <v>0.11519279471614588</v>
      </c>
      <c r="W31" s="108">
        <f t="shared" si="22"/>
        <v>3.3693222995966936E-2</v>
      </c>
      <c r="X31" s="108">
        <f t="shared" si="22"/>
        <v>2.7191742125673157E-2</v>
      </c>
      <c r="Y31" s="108">
        <f t="shared" si="22"/>
        <v>-2.327168821865859E-2</v>
      </c>
      <c r="Z31" s="108">
        <f t="shared" si="22"/>
        <v>-0.20029169036334532</v>
      </c>
      <c r="AA31" s="108">
        <f t="shared" si="22"/>
        <v>-0.26161994464270782</v>
      </c>
      <c r="AB31" s="108">
        <f t="shared" si="22"/>
        <v>-0.27891611046313841</v>
      </c>
      <c r="AC31" s="108">
        <f t="shared" si="22"/>
        <v>-0.2499499490779313</v>
      </c>
      <c r="AD31" s="108">
        <f t="shared" si="22"/>
        <v>-0.58731319358571155</v>
      </c>
      <c r="AE31" s="108">
        <f t="shared" si="22"/>
        <v>0.48920917495818023</v>
      </c>
      <c r="AF31" s="108">
        <f t="shared" si="22"/>
        <v>0.91547322162819966</v>
      </c>
      <c r="AG31" s="108">
        <f t="shared" si="22"/>
        <v>0.98470484696355287</v>
      </c>
      <c r="AH31" s="108">
        <f t="shared" si="22"/>
        <v>0.42554863650487973</v>
      </c>
      <c r="AI31" s="108">
        <f t="shared" si="22"/>
        <v>-0.64063120203099622</v>
      </c>
      <c r="AJ31" s="108">
        <f t="shared" si="22"/>
        <v>-0.65780104316423371</v>
      </c>
      <c r="AK31" s="108">
        <f t="shared" si="22"/>
        <v>-0.61970202476025349</v>
      </c>
      <c r="AL31" s="108">
        <f t="shared" si="22"/>
        <v>0.15679352386020859</v>
      </c>
      <c r="AM31" s="108">
        <f t="shared" si="22"/>
        <v>0.59787968554987092</v>
      </c>
      <c r="AN31" s="108">
        <f t="shared" si="22"/>
        <v>0.82067654517258537</v>
      </c>
      <c r="AO31" s="108">
        <f t="shared" si="22"/>
        <v>0.62861329062264393</v>
      </c>
      <c r="AP31" s="108">
        <f t="shared" si="22"/>
        <v>2.2694460621010921</v>
      </c>
      <c r="AQ31" s="108">
        <f t="shared" si="22"/>
        <v>1.9610127430821269</v>
      </c>
      <c r="AR31" s="108">
        <f t="shared" si="22"/>
        <v>1.4382173986842179</v>
      </c>
      <c r="AS31" s="108">
        <f t="shared" si="22"/>
        <v>1.3601482019376971</v>
      </c>
      <c r="AT31" s="108">
        <f t="shared" si="22"/>
        <v>0.24261548353422122</v>
      </c>
      <c r="AU31" s="108">
        <f t="shared" si="22"/>
        <v>-0.58799795859629633</v>
      </c>
      <c r="AV31" s="108">
        <f t="shared" si="22"/>
        <v>-0.64923727416633992</v>
      </c>
      <c r="AW31" s="108">
        <f t="shared" si="22"/>
        <v>2.0206007170317912</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3.8349364427955619E-2</v>
      </c>
      <c r="F32" s="109">
        <f t="shared" ref="F32:BQ32" si="24">(F7-J7)/J7</f>
        <v>2.1257064802488325E-2</v>
      </c>
      <c r="G32" s="109">
        <f t="shared" si="24"/>
        <v>3.1203787268320252E-2</v>
      </c>
      <c r="H32" s="109">
        <f t="shared" si="24"/>
        <v>2.3056656836187593E-2</v>
      </c>
      <c r="I32" s="109">
        <f t="shared" si="24"/>
        <v>2.2215432702649945E-2</v>
      </c>
      <c r="J32" s="109">
        <f t="shared" si="24"/>
        <v>0.13706392480008503</v>
      </c>
      <c r="K32" s="109">
        <f t="shared" si="24"/>
        <v>0.12183255988935229</v>
      </c>
      <c r="L32" s="109">
        <f t="shared" si="24"/>
        <v>0.12168537199274429</v>
      </c>
      <c r="M32" s="109">
        <f t="shared" si="24"/>
        <v>0.11244117264902288</v>
      </c>
      <c r="N32" s="109">
        <f t="shared" si="24"/>
        <v>3.8581327085039798E-4</v>
      </c>
      <c r="O32" s="109">
        <f t="shared" si="24"/>
        <v>-1.0902357847568241E-2</v>
      </c>
      <c r="P32" s="109">
        <f t="shared" si="24"/>
        <v>-8.5573212097472037E-3</v>
      </c>
      <c r="Q32" s="109">
        <f t="shared" si="24"/>
        <v>-8.3254369245178411E-3</v>
      </c>
      <c r="R32" s="109">
        <f t="shared" si="24"/>
        <v>8.7716339505899965E-3</v>
      </c>
      <c r="S32" s="109">
        <f t="shared" si="24"/>
        <v>1.322979619889968E-2</v>
      </c>
      <c r="T32" s="109">
        <f t="shared" si="24"/>
        <v>1.1046053363444842E-2</v>
      </c>
      <c r="U32" s="109">
        <f t="shared" si="24"/>
        <v>1.1281970359471698E-2</v>
      </c>
      <c r="V32" s="109">
        <f t="shared" si="24"/>
        <v>7.2613271596110637E-3</v>
      </c>
      <c r="W32" s="109">
        <f t="shared" si="24"/>
        <v>6.7982512670659466E-3</v>
      </c>
      <c r="X32" s="109">
        <f t="shared" si="24"/>
        <v>1.3869783018820471E-2</v>
      </c>
      <c r="Y32" s="109">
        <f t="shared" si="24"/>
        <v>1.3293595999044333E-2</v>
      </c>
      <c r="Z32" s="109">
        <f t="shared" si="24"/>
        <v>-4.7531813073741803E-3</v>
      </c>
      <c r="AA32" s="109">
        <f t="shared" si="24"/>
        <v>-1.2819663253362572E-2</v>
      </c>
      <c r="AB32" s="109">
        <f t="shared" si="24"/>
        <v>-2.0465359969009871E-2</v>
      </c>
      <c r="AC32" s="109">
        <f t="shared" si="24"/>
        <v>-1.9118101814275576E-2</v>
      </c>
      <c r="AD32" s="109">
        <f t="shared" si="24"/>
        <v>-3.886949819804953E-2</v>
      </c>
      <c r="AE32" s="109">
        <f t="shared" si="24"/>
        <v>0.13622272838330735</v>
      </c>
      <c r="AF32" s="109">
        <f t="shared" si="24"/>
        <v>0.27219373171264089</v>
      </c>
      <c r="AG32" s="109">
        <f t="shared" si="24"/>
        <v>0.30547395610547906</v>
      </c>
      <c r="AH32" s="109">
        <f t="shared" si="24"/>
        <v>0.30077044430812494</v>
      </c>
      <c r="AI32" s="109">
        <f t="shared" si="24"/>
        <v>9.9409621985742921E-2</v>
      </c>
      <c r="AJ32" s="109">
        <f t="shared" si="24"/>
        <v>2.1997435597142977E-2</v>
      </c>
      <c r="AK32" s="109">
        <f t="shared" si="24"/>
        <v>5.9425439023074672E-3</v>
      </c>
      <c r="AL32" s="109">
        <f t="shared" si="24"/>
        <v>9.2720989110982394E-2</v>
      </c>
      <c r="AM32" s="109">
        <f t="shared" si="24"/>
        <v>0.23395403535829526</v>
      </c>
      <c r="AN32" s="109">
        <f t="shared" si="24"/>
        <v>0.29424072105315097</v>
      </c>
      <c r="AO32" s="109">
        <f t="shared" si="24"/>
        <v>0.30764859819818247</v>
      </c>
      <c r="AP32" s="109">
        <f t="shared" si="24"/>
        <v>0.52542921279485244</v>
      </c>
      <c r="AQ32" s="109">
        <f t="shared" si="24"/>
        <v>0.36906692855085543</v>
      </c>
      <c r="AR32" s="109">
        <f t="shared" si="24"/>
        <v>0.25450978732884921</v>
      </c>
      <c r="AS32" s="109">
        <f t="shared" si="24"/>
        <v>0.2604402736388392</v>
      </c>
      <c r="AT32" s="109">
        <f t="shared" si="24"/>
        <v>2.8684279182445968E-2</v>
      </c>
      <c r="AU32" s="109">
        <f t="shared" si="24"/>
        <v>6.341493607472265E-2</v>
      </c>
      <c r="AV32" s="109">
        <f t="shared" si="24"/>
        <v>7.3006308816428875E-2</v>
      </c>
      <c r="AW32" s="109">
        <f t="shared" si="24"/>
        <v>0.99915699951095382</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0.78537773978215242</v>
      </c>
      <c r="F33" s="109">
        <f t="shared" ref="F33:BQ33" si="26">F7/F9</f>
        <v>0.76926612935350891</v>
      </c>
      <c r="G33" s="109">
        <f t="shared" si="26"/>
        <v>0.78911093043635827</v>
      </c>
      <c r="H33" s="109">
        <f t="shared" si="26"/>
        <v>0.79587567905760348</v>
      </c>
      <c r="I33" s="109">
        <f t="shared" si="26"/>
        <v>0.82752103097943031</v>
      </c>
      <c r="J33" s="109">
        <f t="shared" si="26"/>
        <v>0.83289953273693484</v>
      </c>
      <c r="K33" s="109">
        <f t="shared" si="26"/>
        <v>0.78848815412161088</v>
      </c>
      <c r="L33" s="109">
        <f t="shared" si="26"/>
        <v>0.81124864284534137</v>
      </c>
      <c r="M33" s="109">
        <f t="shared" si="26"/>
        <v>0.83311814293150943</v>
      </c>
      <c r="N33" s="109">
        <f t="shared" si="26"/>
        <v>0.74900740515886322</v>
      </c>
      <c r="O33" s="109">
        <f t="shared" si="26"/>
        <v>0.77673824819749016</v>
      </c>
      <c r="P33" s="109">
        <f t="shared" si="26"/>
        <v>0.7574652048964875</v>
      </c>
      <c r="Q33" s="109">
        <f t="shared" si="26"/>
        <v>0.80060867930138324</v>
      </c>
      <c r="R33" s="109">
        <f t="shared" si="26"/>
        <v>0.72613168837111852</v>
      </c>
      <c r="S33" s="109">
        <f t="shared" si="26"/>
        <v>0.76342400586838544</v>
      </c>
      <c r="T33" s="109">
        <f t="shared" si="26"/>
        <v>0.74998500630692311</v>
      </c>
      <c r="U33" s="109">
        <f t="shared" si="26"/>
        <v>0.79191213442543051</v>
      </c>
      <c r="V33" s="109">
        <f t="shared" si="26"/>
        <v>0.78936622011180368</v>
      </c>
      <c r="W33" s="109">
        <f t="shared" si="26"/>
        <v>0.78342867234727687</v>
      </c>
      <c r="X33" s="109">
        <f t="shared" si="26"/>
        <v>0.77269437424839527</v>
      </c>
      <c r="Y33" s="109">
        <f t="shared" si="26"/>
        <v>0.81526365932823497</v>
      </c>
      <c r="Z33" s="109">
        <f t="shared" si="26"/>
        <v>0.817356134890737</v>
      </c>
      <c r="AA33" s="109">
        <f t="shared" si="26"/>
        <v>0.79063318403849681</v>
      </c>
      <c r="AB33" s="109">
        <f t="shared" si="26"/>
        <v>0.82102033926374385</v>
      </c>
      <c r="AC33" s="109">
        <f t="shared" si="26"/>
        <v>0.86922508288505118</v>
      </c>
      <c r="AD33" s="109">
        <f t="shared" si="26"/>
        <v>0.85847754941351373</v>
      </c>
      <c r="AE33" s="109">
        <f t="shared" si="26"/>
        <v>0.81220224827931831</v>
      </c>
      <c r="AF33" s="109">
        <f t="shared" si="26"/>
        <v>0.85056654391939657</v>
      </c>
      <c r="AG33" s="109">
        <f t="shared" si="26"/>
        <v>0.86646672161266547</v>
      </c>
      <c r="AH33" s="109">
        <f t="shared" si="26"/>
        <v>1.1140608432007217</v>
      </c>
      <c r="AI33" s="109">
        <f t="shared" si="26"/>
        <v>1.0308138492148355</v>
      </c>
      <c r="AJ33" s="109">
        <f t="shared" si="26"/>
        <v>0.95369148038484908</v>
      </c>
      <c r="AK33" s="109">
        <f t="shared" si="26"/>
        <v>0.93042495162224659</v>
      </c>
      <c r="AL33" s="109">
        <f t="shared" si="26"/>
        <v>1.2551489589371851</v>
      </c>
      <c r="AM33" s="109">
        <f t="shared" si="26"/>
        <v>1.3085841492529504</v>
      </c>
      <c r="AN33" s="109">
        <f t="shared" si="26"/>
        <v>1.3149816275249284</v>
      </c>
      <c r="AO33" s="109">
        <f t="shared" si="26"/>
        <v>1.3657685090280154</v>
      </c>
      <c r="AP33" s="109">
        <f t="shared" si="26"/>
        <v>1.3044311024696558</v>
      </c>
      <c r="AQ33" s="109">
        <f t="shared" si="26"/>
        <v>1.1093429506461403</v>
      </c>
      <c r="AR33" s="109">
        <f t="shared" si="26"/>
        <v>1.0713529283669945</v>
      </c>
      <c r="AS33" s="109">
        <f t="shared" si="26"/>
        <v>1.1219429922004305</v>
      </c>
      <c r="AT33" s="109">
        <f t="shared" si="26"/>
        <v>0.92906552247707119</v>
      </c>
      <c r="AU33" s="109">
        <f t="shared" si="26"/>
        <v>0.97227662585567054</v>
      </c>
      <c r="AV33" s="109">
        <f t="shared" si="26"/>
        <v>0.91698176433122991</v>
      </c>
      <c r="AW33" s="109">
        <f t="shared" si="26"/>
        <v>0.94738181411311673</v>
      </c>
      <c r="AX33" s="109">
        <f t="shared" si="26"/>
        <v>0.95443215461572894</v>
      </c>
      <c r="AY33" s="109">
        <f t="shared" si="26"/>
        <v>1.2494010827107849</v>
      </c>
      <c r="AZ33" s="109">
        <f t="shared" si="26"/>
        <v>1.3133482956347218</v>
      </c>
      <c r="BA33" s="109">
        <f t="shared" si="26"/>
        <v>1.0681197446839774</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-0.30394021359580775</v>
      </c>
      <c r="F34" s="108">
        <f t="shared" ref="F34:BQ34" si="28">(F10-J10)/J10</f>
        <v>-0.2506987238247339</v>
      </c>
      <c r="G34" s="108">
        <f t="shared" si="28"/>
        <v>-0.15767102774584352</v>
      </c>
      <c r="H34" s="108">
        <f t="shared" si="28"/>
        <v>3.009456795538878</v>
      </c>
      <c r="I34" s="108">
        <f t="shared" si="28"/>
        <v>4.1805324700905802</v>
      </c>
      <c r="J34" s="108">
        <f t="shared" si="28"/>
        <v>-0.95153061384774407</v>
      </c>
      <c r="K34" s="108">
        <f t="shared" si="28"/>
        <v>-0.96638123699130773</v>
      </c>
      <c r="L34" s="108">
        <f t="shared" si="28"/>
        <v>-0.98473528182136472</v>
      </c>
      <c r="M34" s="108">
        <f t="shared" si="28"/>
        <v>-0.99092747230652523</v>
      </c>
      <c r="N34" s="108">
        <f t="shared" si="28"/>
        <v>-0.34822818424406865</v>
      </c>
      <c r="O34" s="108">
        <f t="shared" si="28"/>
        <v>-0.33541757695210228</v>
      </c>
      <c r="P34" s="108">
        <f t="shared" si="28"/>
        <v>-0.33534301261430055</v>
      </c>
      <c r="Q34" s="108">
        <f t="shared" si="28"/>
        <v>-0.33350350287864805</v>
      </c>
      <c r="R34" s="108">
        <f t="shared" si="28"/>
        <v>16.235220894004666</v>
      </c>
      <c r="S34" s="108">
        <f t="shared" si="28"/>
        <v>0.73398295898892574</v>
      </c>
      <c r="T34" s="108">
        <f t="shared" si="28"/>
        <v>0.77995226111921068</v>
      </c>
      <c r="U34" s="108">
        <f t="shared" si="28"/>
        <v>0.8307044934011395</v>
      </c>
      <c r="V34" s="108">
        <f t="shared" si="28"/>
        <v>-0.95592062811555822</v>
      </c>
      <c r="W34" s="108">
        <f t="shared" si="28"/>
        <v>-0.30695161404050547</v>
      </c>
      <c r="X34" s="108">
        <f t="shared" si="28"/>
        <v>-0.31601177299470073</v>
      </c>
      <c r="Y34" s="108">
        <f t="shared" si="28"/>
        <v>-0.3260360346105014</v>
      </c>
      <c r="Z34" s="108">
        <f t="shared" si="28"/>
        <v>3.2865976593413913</v>
      </c>
      <c r="AA34" s="108">
        <f t="shared" si="28"/>
        <v>-0.33774741696913591</v>
      </c>
      <c r="AB34" s="108">
        <f t="shared" si="28"/>
        <v>-0.34673244939475928</v>
      </c>
      <c r="AC34" s="108">
        <f t="shared" si="28"/>
        <v>-0.51340940073223129</v>
      </c>
      <c r="AD34" s="108">
        <f t="shared" si="28"/>
        <v>-0.8110608931615384</v>
      </c>
      <c r="AE34" s="108">
        <f t="shared" si="28"/>
        <v>29.64786991638514</v>
      </c>
      <c r="AF34" s="108">
        <f t="shared" si="28"/>
        <v>53.859913993761317</v>
      </c>
      <c r="AG34" s="108">
        <f t="shared" si="28"/>
        <v>3.0007003145609525</v>
      </c>
      <c r="AH34" s="108">
        <f t="shared" si="28"/>
        <v>2.6931344328069966</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f t="shared" si="28"/>
        <v>-1</v>
      </c>
      <c r="AV34" s="108">
        <f t="shared" si="28"/>
        <v>-1</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2.2008317907371951E-2</v>
      </c>
      <c r="F35" s="108">
        <f t="shared" ref="F35:BQ35" si="30">F10/F12</f>
        <v>2.4672830923319053E-2</v>
      </c>
      <c r="G35" s="108">
        <f t="shared" si="30"/>
        <v>1.9364039295861474E-2</v>
      </c>
      <c r="H35" s="108">
        <f t="shared" si="30"/>
        <v>4.0158943136603585E-2</v>
      </c>
      <c r="I35" s="108">
        <f t="shared" si="30"/>
        <v>3.1560904322194598E-2</v>
      </c>
      <c r="J35" s="108">
        <f t="shared" si="30"/>
        <v>3.5086391514909561E-2</v>
      </c>
      <c r="K35" s="108">
        <f t="shared" si="30"/>
        <v>3.055711186515328E-2</v>
      </c>
      <c r="L35" s="108">
        <f t="shared" si="30"/>
        <v>1.3737564582415058E-2</v>
      </c>
      <c r="M35" s="108">
        <f t="shared" si="30"/>
        <v>8.0811683810779553E-3</v>
      </c>
      <c r="N35" s="108">
        <f t="shared" si="30"/>
        <v>0.82221929475766364</v>
      </c>
      <c r="O35" s="108">
        <f t="shared" si="30"/>
        <v>0.83096576777127951</v>
      </c>
      <c r="P35" s="108">
        <f t="shared" si="30"/>
        <v>0.82724304102468149</v>
      </c>
      <c r="Q35" s="108">
        <f t="shared" si="30"/>
        <v>0.8320512009670169</v>
      </c>
      <c r="R35" s="108">
        <f t="shared" si="30"/>
        <v>0.49333097367617468</v>
      </c>
      <c r="S35" s="108">
        <f t="shared" si="30"/>
        <v>0.52173798960706708</v>
      </c>
      <c r="T35" s="108">
        <f t="shared" si="30"/>
        <v>0.51716066688107387</v>
      </c>
      <c r="U35" s="108">
        <f t="shared" si="30"/>
        <v>0.51888379349371871</v>
      </c>
      <c r="V35" s="108">
        <f t="shared" si="30"/>
        <v>3.1708630225215757E-2</v>
      </c>
      <c r="W35" s="108">
        <f t="shared" si="30"/>
        <v>0.24419789937310937</v>
      </c>
      <c r="X35" s="108">
        <f t="shared" si="30"/>
        <v>0.23875573507845918</v>
      </c>
      <c r="Y35" s="108">
        <f t="shared" si="30"/>
        <v>0.23089417752969954</v>
      </c>
      <c r="Z35" s="108">
        <f t="shared" si="30"/>
        <v>0.54687323610703253</v>
      </c>
      <c r="AA35" s="108">
        <f t="shared" si="30"/>
        <v>0.33927474127438229</v>
      </c>
      <c r="AB35" s="108">
        <f t="shared" si="30"/>
        <v>0.33221476749004319</v>
      </c>
      <c r="AC35" s="108">
        <f t="shared" si="30"/>
        <v>0.32522332967405415</v>
      </c>
      <c r="AD35" s="108">
        <f t="shared" si="30"/>
        <v>0.11615093039716286</v>
      </c>
      <c r="AE35" s="108">
        <f t="shared" si="30"/>
        <v>0.40196391954259936</v>
      </c>
      <c r="AF35" s="108">
        <f t="shared" si="30"/>
        <v>0.39827652642540406</v>
      </c>
      <c r="AG35" s="108">
        <f t="shared" si="30"/>
        <v>0.46257218875294132</v>
      </c>
      <c r="AH35" s="108">
        <f t="shared" si="30"/>
        <v>0.49029197021084486</v>
      </c>
      <c r="AI35" s="108">
        <f t="shared" si="30"/>
        <v>2.3280992955907576E-2</v>
      </c>
      <c r="AJ35" s="108">
        <f t="shared" si="30"/>
        <v>1.2911279016425138E-2</v>
      </c>
      <c r="AK35" s="108">
        <f t="shared" si="30"/>
        <v>0.1891294586533129</v>
      </c>
      <c r="AL35" s="108">
        <f t="shared" si="30"/>
        <v>1</v>
      </c>
      <c r="AM35" s="108">
        <f t="shared" si="30"/>
        <v>0</v>
      </c>
      <c r="AN35" s="108" t="e">
        <f t="shared" si="30"/>
        <v>#DIV/0!</v>
      </c>
      <c r="AO35" s="108" t="e">
        <f t="shared" si="30"/>
        <v>#DIV/0!</v>
      </c>
      <c r="AP35" s="108">
        <f t="shared" si="30"/>
        <v>0</v>
      </c>
      <c r="AQ35" s="108">
        <f t="shared" si="30"/>
        <v>0</v>
      </c>
      <c r="AR35" s="108">
        <f t="shared" si="30"/>
        <v>0</v>
      </c>
      <c r="AS35" s="108">
        <f t="shared" si="30"/>
        <v>0</v>
      </c>
      <c r="AT35" s="108" t="e">
        <f t="shared" si="30"/>
        <v>#DIV/0!</v>
      </c>
      <c r="AU35" s="108" t="e">
        <f t="shared" si="30"/>
        <v>#DIV/0!</v>
      </c>
      <c r="AV35" s="108">
        <f t="shared" si="30"/>
        <v>0</v>
      </c>
      <c r="AW35" s="108" t="e">
        <f t="shared" si="30"/>
        <v>#DIV/0!</v>
      </c>
      <c r="AX35" s="108" t="e">
        <f t="shared" si="30"/>
        <v>#DIV/0!</v>
      </c>
      <c r="AY35" s="108">
        <f t="shared" si="30"/>
        <v>1</v>
      </c>
      <c r="AZ35" s="108">
        <f t="shared" si="30"/>
        <v>1</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8.0265695832216818E-3</v>
      </c>
      <c r="F36" s="108">
        <f t="shared" ref="F36:BQ36" si="32">(F11-J11)/J11</f>
        <v>7.7055507011770344E-2</v>
      </c>
      <c r="G36" s="108">
        <f t="shared" si="32"/>
        <v>0.34457079427538806</v>
      </c>
      <c r="H36" s="108">
        <f t="shared" si="32"/>
        <v>0.33481119646184992</v>
      </c>
      <c r="I36" s="108">
        <f t="shared" si="32"/>
        <v>0.29507611981254561</v>
      </c>
      <c r="J36" s="108">
        <f t="shared" si="32"/>
        <v>5.1648183610928182</v>
      </c>
      <c r="K36" s="108">
        <f t="shared" si="32"/>
        <v>4.2432446493044358</v>
      </c>
      <c r="L36" s="108">
        <f t="shared" si="32"/>
        <v>4.2477013064183184</v>
      </c>
      <c r="M36" s="108">
        <f t="shared" si="32"/>
        <v>4.517005681554636</v>
      </c>
      <c r="N36" s="108">
        <f t="shared" si="32"/>
        <v>-0.86278342819190323</v>
      </c>
      <c r="O36" s="108">
        <f t="shared" si="32"/>
        <v>-0.85252209540831536</v>
      </c>
      <c r="P36" s="108">
        <f t="shared" si="32"/>
        <v>-0.85133016881617385</v>
      </c>
      <c r="Q36" s="108">
        <f t="shared" si="32"/>
        <v>-0.85490754068196395</v>
      </c>
      <c r="R36" s="108">
        <f t="shared" si="32"/>
        <v>-0.42033877983737777</v>
      </c>
      <c r="S36" s="108">
        <f t="shared" si="32"/>
        <v>-0.48643894911644953</v>
      </c>
      <c r="T36" s="108">
        <f t="shared" si="32"/>
        <v>-0.47878694170790198</v>
      </c>
      <c r="U36" s="108">
        <f t="shared" si="32"/>
        <v>-0.49040517409653051</v>
      </c>
      <c r="V36" s="108">
        <f t="shared" si="32"/>
        <v>0.62454195600820961</v>
      </c>
      <c r="W36" s="108">
        <f t="shared" si="32"/>
        <v>0.10143873521475352</v>
      </c>
      <c r="X36" s="108">
        <f t="shared" si="32"/>
        <v>8.4928132617434066E-2</v>
      </c>
      <c r="Y36" s="108">
        <f t="shared" si="32"/>
        <v>8.20103811729542E-2</v>
      </c>
      <c r="Z36" s="108">
        <f t="shared" si="32"/>
        <v>-0.53324352508583839</v>
      </c>
      <c r="AA36" s="108">
        <f t="shared" si="32"/>
        <v>-0.13313248500109873</v>
      </c>
      <c r="AB36" s="108">
        <f t="shared" si="32"/>
        <v>-0.13084602590877809</v>
      </c>
      <c r="AC36" s="108">
        <f t="shared" si="32"/>
        <v>-0.13103664434917037</v>
      </c>
      <c r="AD36" s="108">
        <f t="shared" si="32"/>
        <v>0.38296305823915616</v>
      </c>
      <c r="AE36" s="108">
        <f t="shared" si="32"/>
        <v>8.6857157917434397E-2</v>
      </c>
      <c r="AF36" s="108">
        <f t="shared" si="32"/>
        <v>8.4127703841237439E-2</v>
      </c>
      <c r="AG36" s="108">
        <f t="shared" si="32"/>
        <v>8.4137322478777088E-2</v>
      </c>
      <c r="AH36" s="108" t="e">
        <f t="shared" si="32"/>
        <v>#DIV/0!</v>
      </c>
      <c r="AI36" s="108">
        <f t="shared" si="32"/>
        <v>22390.712052404655</v>
      </c>
      <c r="AJ36" s="108" t="e">
        <f t="shared" si="32"/>
        <v>#DIV/0!</v>
      </c>
      <c r="AK36" s="108" t="e">
        <f t="shared" si="32"/>
        <v>#DIV/0!</v>
      </c>
      <c r="AL36" s="108">
        <f t="shared" si="32"/>
        <v>-1</v>
      </c>
      <c r="AM36" s="108">
        <f t="shared" si="32"/>
        <v>-0.57092142857142858</v>
      </c>
      <c r="AN36" s="108">
        <f t="shared" si="32"/>
        <v>-1</v>
      </c>
      <c r="AO36" s="108">
        <f t="shared" si="32"/>
        <v>-1</v>
      </c>
      <c r="AP36" s="108" t="e">
        <f t="shared" si="32"/>
        <v>#DIV/0!</v>
      </c>
      <c r="AQ36" s="108" t="e">
        <f t="shared" si="32"/>
        <v>#DIV/0!</v>
      </c>
      <c r="AR36" s="108">
        <f t="shared" si="32"/>
        <v>1.5964343537938543</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0.9779916820926281</v>
      </c>
      <c r="F37" s="108">
        <f t="shared" ref="F37:BQ37" si="34">F11/F12</f>
        <v>0.97532716907668093</v>
      </c>
      <c r="G37" s="108">
        <f t="shared" si="34"/>
        <v>0.9806359607041385</v>
      </c>
      <c r="H37" s="108">
        <f t="shared" si="34"/>
        <v>0.95984105686339638</v>
      </c>
      <c r="I37" s="108">
        <f t="shared" si="34"/>
        <v>0.96843909567780539</v>
      </c>
      <c r="J37" s="108">
        <f t="shared" si="34"/>
        <v>0.96491360848509045</v>
      </c>
      <c r="K37" s="108">
        <f t="shared" si="34"/>
        <v>0.96944288813484669</v>
      </c>
      <c r="L37" s="108">
        <f t="shared" si="34"/>
        <v>0.98626243541758496</v>
      </c>
      <c r="M37" s="108">
        <f t="shared" si="34"/>
        <v>0.99191883161892203</v>
      </c>
      <c r="N37" s="108">
        <f t="shared" si="34"/>
        <v>0.17778070524233633</v>
      </c>
      <c r="O37" s="110">
        <f t="shared" si="34"/>
        <v>0.16903423222872047</v>
      </c>
      <c r="P37" s="110">
        <f t="shared" si="34"/>
        <v>0.17275695897531854</v>
      </c>
      <c r="Q37" s="110">
        <f t="shared" si="34"/>
        <v>0.16794879903298313</v>
      </c>
      <c r="R37" s="110">
        <f t="shared" si="34"/>
        <v>0.50666902632382527</v>
      </c>
      <c r="S37" s="110">
        <f t="shared" si="34"/>
        <v>0.47826201039293292</v>
      </c>
      <c r="T37" s="110">
        <f t="shared" si="34"/>
        <v>0.48283933311892618</v>
      </c>
      <c r="U37" s="110">
        <f t="shared" si="34"/>
        <v>0.48111620650628134</v>
      </c>
      <c r="V37" s="110">
        <f t="shared" si="34"/>
        <v>0.96829136977478425</v>
      </c>
      <c r="W37" s="110">
        <f t="shared" si="34"/>
        <v>0.75580210062689068</v>
      </c>
      <c r="X37" s="110">
        <f t="shared" si="34"/>
        <v>0.76124426492154085</v>
      </c>
      <c r="Y37" s="110">
        <f t="shared" si="34"/>
        <v>0.76910582247030046</v>
      </c>
      <c r="Z37" s="110">
        <f t="shared" si="34"/>
        <v>0.45312676389296747</v>
      </c>
      <c r="AA37" s="110">
        <f t="shared" si="34"/>
        <v>0.66072525872561771</v>
      </c>
      <c r="AB37" s="110">
        <f t="shared" si="34"/>
        <v>0.66778523250995681</v>
      </c>
      <c r="AC37" s="110">
        <f t="shared" si="34"/>
        <v>0.6747766703259459</v>
      </c>
      <c r="AD37" s="110">
        <f t="shared" si="34"/>
        <v>0.88384906960283716</v>
      </c>
      <c r="AE37" s="110">
        <f t="shared" si="34"/>
        <v>0.59803608045740064</v>
      </c>
      <c r="AF37" s="110">
        <f t="shared" si="34"/>
        <v>0.60172347357459588</v>
      </c>
      <c r="AG37" s="110">
        <f t="shared" si="34"/>
        <v>0.53742781124705874</v>
      </c>
      <c r="AH37" s="110">
        <f t="shared" si="34"/>
        <v>0.50970802978915508</v>
      </c>
      <c r="AI37" s="110">
        <f t="shared" si="34"/>
        <v>0.97671900704409242</v>
      </c>
      <c r="AJ37" s="110">
        <f t="shared" si="34"/>
        <v>0.98708872098357481</v>
      </c>
      <c r="AK37" s="110">
        <f t="shared" si="34"/>
        <v>0.81087054134668712</v>
      </c>
      <c r="AL37" s="110">
        <f t="shared" si="34"/>
        <v>0</v>
      </c>
      <c r="AM37" s="110">
        <f t="shared" si="34"/>
        <v>1</v>
      </c>
      <c r="AN37" s="110" t="e">
        <f t="shared" si="34"/>
        <v>#DIV/0!</v>
      </c>
      <c r="AO37" s="110" t="e">
        <f t="shared" si="34"/>
        <v>#DIV/0!</v>
      </c>
      <c r="AP37" s="110">
        <f t="shared" si="34"/>
        <v>1</v>
      </c>
      <c r="AQ37" s="110">
        <f t="shared" si="34"/>
        <v>1</v>
      </c>
      <c r="AR37" s="110">
        <f t="shared" si="34"/>
        <v>1</v>
      </c>
      <c r="AS37" s="110">
        <f t="shared" si="34"/>
        <v>1</v>
      </c>
      <c r="AT37" s="110" t="e">
        <f t="shared" si="34"/>
        <v>#DIV/0!</v>
      </c>
      <c r="AU37" s="110" t="e">
        <f t="shared" si="34"/>
        <v>#DIV/0!</v>
      </c>
      <c r="AV37" s="110">
        <f t="shared" si="34"/>
        <v>1</v>
      </c>
      <c r="AW37" s="110" t="e">
        <f t="shared" si="34"/>
        <v>#DIV/0!</v>
      </c>
      <c r="AX37" s="110" t="e">
        <f t="shared" si="34"/>
        <v>#DIV/0!</v>
      </c>
      <c r="AY37" s="110">
        <f t="shared" si="34"/>
        <v>0</v>
      </c>
      <c r="AZ37" s="110">
        <f t="shared" si="34"/>
        <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0.1253538148653926</v>
      </c>
      <c r="F39" s="224">
        <f t="shared" ref="F39:U39" si="37">F2/F9</f>
        <v>0.16325024350907966</v>
      </c>
      <c r="G39" s="224">
        <f t="shared" si="37"/>
        <v>8.9587449616916795E-2</v>
      </c>
      <c r="H39" s="224">
        <f t="shared" si="37"/>
        <v>0.14536442481445092</v>
      </c>
      <c r="I39" s="224">
        <f t="shared" si="37"/>
        <v>0.13086887658657484</v>
      </c>
      <c r="J39" s="224">
        <f t="shared" si="37"/>
        <v>9.9753831260306292E-2</v>
      </c>
      <c r="K39" s="224">
        <f t="shared" si="37"/>
        <v>0.15149481788672228</v>
      </c>
      <c r="L39" s="224">
        <f t="shared" si="37"/>
        <v>7.9367937142899012E-2</v>
      </c>
      <c r="M39" s="224">
        <f t="shared" si="37"/>
        <v>0.10206202337191354</v>
      </c>
      <c r="N39" s="224">
        <f t="shared" si="37"/>
        <v>0.12156611088291484</v>
      </c>
      <c r="O39" s="224">
        <f t="shared" si="37"/>
        <v>0.11271864861767016</v>
      </c>
      <c r="P39" s="224">
        <f t="shared" si="37"/>
        <v>0.13203247506939594</v>
      </c>
      <c r="Q39" s="224">
        <f t="shared" si="37"/>
        <v>0.12562538708397816</v>
      </c>
      <c r="R39" s="224">
        <f t="shared" si="37"/>
        <v>0.15629871672144321</v>
      </c>
      <c r="S39" s="224">
        <f t="shared" si="37"/>
        <v>8.8460488634888104E-2</v>
      </c>
      <c r="T39" s="224">
        <f t="shared" si="37"/>
        <v>0.11450469731709083</v>
      </c>
      <c r="U39" s="224">
        <f t="shared" si="37"/>
        <v>0.10942871137362428</v>
      </c>
    </row>
    <row r="40" spans="1:89" s="225" customFormat="1" x14ac:dyDescent="0.25">
      <c r="A40" s="222" t="s">
        <v>553</v>
      </c>
      <c r="B40" s="223"/>
      <c r="C40" s="223"/>
      <c r="D40" s="223"/>
      <c r="E40" s="224">
        <f>E3/E9</f>
        <v>0.18509949183078331</v>
      </c>
      <c r="F40" s="224">
        <f t="shared" ref="F40:U40" si="38">F3/F9</f>
        <v>0.17978568852256693</v>
      </c>
      <c r="G40" s="224">
        <f t="shared" si="38"/>
        <v>0.20282332072650011</v>
      </c>
      <c r="H40" s="224">
        <f t="shared" si="38"/>
        <v>0.19528837702183469</v>
      </c>
      <c r="I40" s="224">
        <f t="shared" si="38"/>
        <v>0.1951888812741982</v>
      </c>
      <c r="J40" s="224">
        <f t="shared" si="38"/>
        <v>0.1938247465124584</v>
      </c>
      <c r="K40" s="224">
        <f t="shared" si="38"/>
        <v>0.18543589440466107</v>
      </c>
      <c r="L40" s="224">
        <f t="shared" si="38"/>
        <v>0.19215118584664276</v>
      </c>
      <c r="M40" s="224">
        <f t="shared" si="38"/>
        <v>0.19142602336984779</v>
      </c>
      <c r="N40" s="224">
        <f t="shared" si="38"/>
        <v>0.20464325700725156</v>
      </c>
      <c r="O40" s="224">
        <f t="shared" si="38"/>
        <v>0.20804954497144548</v>
      </c>
      <c r="P40" s="224">
        <f t="shared" si="38"/>
        <v>0.19320287000316813</v>
      </c>
      <c r="Q40" s="224">
        <f t="shared" si="38"/>
        <v>0.19697784616985409</v>
      </c>
      <c r="R40" s="224">
        <f t="shared" si="38"/>
        <v>0.19109482397383101</v>
      </c>
      <c r="S40" s="224">
        <f t="shared" si="38"/>
        <v>0.19232355978220503</v>
      </c>
      <c r="T40" s="224">
        <f t="shared" si="38"/>
        <v>0.18001745843581909</v>
      </c>
      <c r="U40" s="224">
        <f t="shared" si="38"/>
        <v>0.18163465019363148</v>
      </c>
    </row>
    <row r="41" spans="1:89" x14ac:dyDescent="0.25">
      <c r="A41" s="184" t="s">
        <v>558</v>
      </c>
      <c r="B41" s="64"/>
      <c r="C41" s="64"/>
      <c r="D41" s="64"/>
      <c r="E41" s="90">
        <f>E4/E9</f>
        <v>-9.5831046478328269E-2</v>
      </c>
      <c r="F41" s="90">
        <f t="shared" ref="F41:U41" si="39">F4/F9</f>
        <v>-0.11230206138515551</v>
      </c>
      <c r="G41" s="90">
        <f t="shared" si="39"/>
        <v>-8.1521700779775177E-2</v>
      </c>
      <c r="H41" s="90">
        <f t="shared" si="39"/>
        <v>-0.13652848089388914</v>
      </c>
      <c r="I41" s="90">
        <f t="shared" si="39"/>
        <v>-0.15357878884020337</v>
      </c>
      <c r="J41" s="90">
        <f t="shared" si="39"/>
        <v>-0.12647811050969957</v>
      </c>
      <c r="K41" s="90">
        <f t="shared" si="39"/>
        <v>-0.12541886641299424</v>
      </c>
      <c r="L41" s="90">
        <f t="shared" si="39"/>
        <v>-8.276776583488317E-2</v>
      </c>
      <c r="M41" s="90">
        <f t="shared" si="39"/>
        <v>-0.12660618967327075</v>
      </c>
      <c r="N41" s="214">
        <f t="shared" si="39"/>
        <v>-7.5216773049029628E-2</v>
      </c>
      <c r="O41" s="214">
        <f t="shared" si="39"/>
        <v>-9.7506441786605849E-2</v>
      </c>
      <c r="P41" s="214">
        <f t="shared" si="39"/>
        <v>-8.2700549969051532E-2</v>
      </c>
      <c r="Q41" s="214">
        <f t="shared" si="39"/>
        <v>-0.12321191255521548</v>
      </c>
      <c r="R41" s="214">
        <f t="shared" si="39"/>
        <v>-7.3525229066392736E-2</v>
      </c>
      <c r="S41" s="214">
        <f t="shared" si="39"/>
        <v>-4.4208054285478512E-2</v>
      </c>
      <c r="T41" s="214">
        <f t="shared" si="39"/>
        <v>-4.450716205983303E-2</v>
      </c>
      <c r="U41" s="214">
        <f t="shared" si="39"/>
        <v>-8.2975495992686277E-2</v>
      </c>
    </row>
    <row r="42" spans="1:89" x14ac:dyDescent="0.25">
      <c r="A42" s="184" t="s">
        <v>335</v>
      </c>
      <c r="B42" s="64"/>
      <c r="C42" s="64"/>
      <c r="D42" s="64"/>
      <c r="E42" s="90">
        <f>E5/E9</f>
        <v>8.2379549015116876E-2</v>
      </c>
      <c r="F42" s="90">
        <f t="shared" ref="F42:U42" si="40">F5/F9</f>
        <v>9.7278461459539223E-2</v>
      </c>
      <c r="G42" s="90">
        <f t="shared" si="40"/>
        <v>9.5863989383251746E-2</v>
      </c>
      <c r="H42" s="90">
        <f t="shared" si="40"/>
        <v>0.1089008066371378</v>
      </c>
      <c r="I42" s="90">
        <f t="shared" si="40"/>
        <v>9.3028011598557739E-2</v>
      </c>
      <c r="J42" s="90">
        <f t="shared" si="40"/>
        <v>0.10984085181481985</v>
      </c>
      <c r="K42" s="90">
        <f t="shared" si="40"/>
        <v>9.7760634555190587E-2</v>
      </c>
      <c r="L42" s="90">
        <f t="shared" si="40"/>
        <v>6.89918561137014E-2</v>
      </c>
      <c r="M42" s="90">
        <f t="shared" si="40"/>
        <v>6.3490708153292566E-2</v>
      </c>
      <c r="N42" s="214">
        <f t="shared" si="40"/>
        <v>7.0122363731483381E-2</v>
      </c>
      <c r="O42" s="214">
        <f t="shared" si="40"/>
        <v>6.222925993765107E-2</v>
      </c>
      <c r="P42" s="214">
        <f t="shared" si="40"/>
        <v>8.4269413828012049E-2</v>
      </c>
      <c r="Q42" s="214">
        <f t="shared" si="40"/>
        <v>5.7805087053387341E-2</v>
      </c>
      <c r="R42" s="214">
        <f t="shared" si="40"/>
        <v>5.6832457545024778E-2</v>
      </c>
      <c r="S42" s="214">
        <f t="shared" si="40"/>
        <v>5.9147707795805457E-2</v>
      </c>
      <c r="T42" s="214">
        <f t="shared" si="40"/>
        <v>6.9861970067828238E-2</v>
      </c>
      <c r="U42" s="214">
        <f t="shared" si="40"/>
        <v>4.9568739052145441E-2</v>
      </c>
    </row>
    <row r="43" spans="1:89" x14ac:dyDescent="0.25">
      <c r="A43" s="184" t="s">
        <v>336</v>
      </c>
      <c r="B43" s="64"/>
      <c r="C43" s="64"/>
      <c r="D43" s="64"/>
      <c r="E43" s="90">
        <f>E6/E9</f>
        <v>0.17821059549344515</v>
      </c>
      <c r="F43" s="90">
        <f t="shared" ref="F43:U43" si="41">F6/F9</f>
        <v>0.20958052284469475</v>
      </c>
      <c r="G43" s="90">
        <f t="shared" si="41"/>
        <v>0.17738569016302691</v>
      </c>
      <c r="H43" s="90">
        <f t="shared" si="41"/>
        <v>0.24542928753102694</v>
      </c>
      <c r="I43" s="90">
        <f t="shared" si="41"/>
        <v>0.2466068004387611</v>
      </c>
      <c r="J43" s="90">
        <f t="shared" si="41"/>
        <v>0.2363189623245194</v>
      </c>
      <c r="K43" s="90">
        <f t="shared" si="41"/>
        <v>0.22317950096818484</v>
      </c>
      <c r="L43" s="90">
        <f t="shared" si="41"/>
        <v>0.15175962194858458</v>
      </c>
      <c r="M43" s="90">
        <f t="shared" si="41"/>
        <v>0.19009689782656333</v>
      </c>
      <c r="N43" s="214">
        <f t="shared" si="41"/>
        <v>0.145339136780513</v>
      </c>
      <c r="O43" s="214">
        <f t="shared" si="41"/>
        <v>0.15973570172425691</v>
      </c>
      <c r="P43" s="214">
        <f t="shared" si="41"/>
        <v>0.16696996379706358</v>
      </c>
      <c r="Q43" s="214">
        <f t="shared" si="41"/>
        <v>0.18101699960860282</v>
      </c>
      <c r="R43" s="214">
        <f t="shared" si="41"/>
        <v>0.1303576866114175</v>
      </c>
      <c r="S43" s="214">
        <f t="shared" si="41"/>
        <v>0.10335576208128397</v>
      </c>
      <c r="T43" s="214">
        <f t="shared" si="41"/>
        <v>0.11436913212766127</v>
      </c>
      <c r="U43" s="214">
        <f t="shared" si="41"/>
        <v>0.13254423504483173</v>
      </c>
    </row>
    <row r="44" spans="1:89" x14ac:dyDescent="0.25">
      <c r="A44" s="184" t="s">
        <v>337</v>
      </c>
      <c r="B44" s="64"/>
      <c r="C44" s="64"/>
      <c r="D44" s="64"/>
      <c r="E44" s="90">
        <f>E7/E9</f>
        <v>0.78537773978215242</v>
      </c>
      <c r="F44" s="90">
        <f t="shared" ref="F44:U44" si="42">F7/F9</f>
        <v>0.76926612935350891</v>
      </c>
      <c r="G44" s="90">
        <f t="shared" si="42"/>
        <v>0.78911093043635827</v>
      </c>
      <c r="H44" s="90">
        <f t="shared" si="42"/>
        <v>0.79587567905760348</v>
      </c>
      <c r="I44" s="90">
        <f t="shared" si="42"/>
        <v>0.82752103097943031</v>
      </c>
      <c r="J44" s="90">
        <f t="shared" si="42"/>
        <v>0.83289953273693484</v>
      </c>
      <c r="K44" s="90">
        <f t="shared" si="42"/>
        <v>0.78848815412161088</v>
      </c>
      <c r="L44" s="90">
        <f t="shared" si="42"/>
        <v>0.81124864284534137</v>
      </c>
      <c r="M44" s="90">
        <f t="shared" si="42"/>
        <v>0.83311814293150943</v>
      </c>
      <c r="N44" s="214">
        <f t="shared" si="42"/>
        <v>0.74900740515886322</v>
      </c>
      <c r="O44" s="214">
        <f t="shared" si="42"/>
        <v>0.77673824819749016</v>
      </c>
      <c r="P44" s="214">
        <f t="shared" si="42"/>
        <v>0.7574652048964875</v>
      </c>
      <c r="Q44" s="214">
        <f t="shared" si="42"/>
        <v>0.80060867930138324</v>
      </c>
      <c r="R44" s="214">
        <f t="shared" si="42"/>
        <v>0.72613168837111852</v>
      </c>
      <c r="S44" s="214">
        <f t="shared" si="42"/>
        <v>0.76342400586838544</v>
      </c>
      <c r="T44" s="214">
        <f t="shared" si="42"/>
        <v>0.74998500630692311</v>
      </c>
      <c r="U44" s="214">
        <f t="shared" si="42"/>
        <v>0.79191213442543051</v>
      </c>
    </row>
    <row r="45" spans="1:89" s="225" customFormat="1" x14ac:dyDescent="0.25">
      <c r="A45" s="222" t="s">
        <v>338</v>
      </c>
      <c r="B45" s="223"/>
      <c r="C45" s="223"/>
      <c r="D45" s="223"/>
      <c r="E45" s="224">
        <f>E8/E9</f>
        <v>0.68954669330382412</v>
      </c>
      <c r="F45" s="224">
        <f t="shared" ref="F45:U45" si="43">F8/F9</f>
        <v>0.65696406796835338</v>
      </c>
      <c r="G45" s="224">
        <f t="shared" si="43"/>
        <v>0.70758922965658311</v>
      </c>
      <c r="H45" s="224">
        <f t="shared" si="43"/>
        <v>0.65934719816371434</v>
      </c>
      <c r="I45" s="224">
        <f t="shared" si="43"/>
        <v>0.67394224213922693</v>
      </c>
      <c r="J45" s="224">
        <f t="shared" si="43"/>
        <v>0.70642142222723536</v>
      </c>
      <c r="K45" s="224">
        <f t="shared" si="43"/>
        <v>0.66306928770861662</v>
      </c>
      <c r="L45" s="224">
        <f t="shared" si="43"/>
        <v>0.72848087701045827</v>
      </c>
      <c r="M45" s="224">
        <f t="shared" si="43"/>
        <v>0.70651195325823868</v>
      </c>
      <c r="N45" s="224">
        <f t="shared" si="43"/>
        <v>0.67379063210983359</v>
      </c>
      <c r="O45" s="224">
        <f t="shared" si="43"/>
        <v>0.67923180641088432</v>
      </c>
      <c r="P45" s="224">
        <f t="shared" si="43"/>
        <v>0.67476465492743587</v>
      </c>
      <c r="Q45" s="224">
        <f t="shared" si="43"/>
        <v>0.67739676674616778</v>
      </c>
      <c r="R45" s="224">
        <f t="shared" si="43"/>
        <v>0.65260645930472572</v>
      </c>
      <c r="S45" s="224">
        <f t="shared" si="43"/>
        <v>0.71921595158290685</v>
      </c>
      <c r="T45" s="224">
        <f t="shared" si="43"/>
        <v>0.70547784424709004</v>
      </c>
      <c r="U45" s="224">
        <f t="shared" si="43"/>
        <v>0.70893663843274424</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1.5154071581143262E-3</v>
      </c>
      <c r="F47" s="90">
        <f t="shared" ref="F47:U47" si="45">F10/F14</f>
        <v>1.7664769463991295E-3</v>
      </c>
      <c r="G47" s="90">
        <f t="shared" si="45"/>
        <v>1.4286883467502817E-3</v>
      </c>
      <c r="H47" s="90">
        <f t="shared" si="45"/>
        <v>3.0446982808050326E-3</v>
      </c>
      <c r="I47" s="90">
        <f t="shared" si="45"/>
        <v>2.3819176580208963E-3</v>
      </c>
      <c r="J47" s="90">
        <f t="shared" si="45"/>
        <v>2.6067692127182763E-3</v>
      </c>
      <c r="K47" s="90">
        <f t="shared" si="45"/>
        <v>1.7476617332544543E-3</v>
      </c>
      <c r="L47" s="90">
        <f t="shared" si="45"/>
        <v>7.9189419505725509E-4</v>
      </c>
      <c r="M47" s="90">
        <f t="shared" si="45"/>
        <v>4.73175587047241E-4</v>
      </c>
      <c r="N47" s="214">
        <f t="shared" si="45"/>
        <v>5.4993762984243633E-2</v>
      </c>
      <c r="O47" s="214">
        <f t="shared" si="45"/>
        <v>5.7449096941344334E-2</v>
      </c>
      <c r="P47" s="214">
        <f t="shared" si="45"/>
        <v>5.4332304939277695E-2</v>
      </c>
      <c r="Q47" s="214">
        <f t="shared" si="45"/>
        <v>5.575512360214048E-2</v>
      </c>
      <c r="R47" s="214">
        <f t="shared" si="45"/>
        <v>8.1830398030858231E-2</v>
      </c>
      <c r="S47" s="214">
        <f t="shared" si="45"/>
        <v>8.4035858864141236E-2</v>
      </c>
      <c r="T47" s="214">
        <f t="shared" si="45"/>
        <v>8.0245014184349581E-2</v>
      </c>
      <c r="U47" s="214">
        <f t="shared" si="45"/>
        <v>8.2056462234564045E-2</v>
      </c>
    </row>
    <row r="48" spans="1:89" x14ac:dyDescent="0.25">
      <c r="A48" s="184" t="s">
        <v>341</v>
      </c>
      <c r="B48" s="64"/>
      <c r="C48" s="64"/>
      <c r="D48" s="64"/>
      <c r="E48" s="90">
        <f>E11/E14</f>
        <v>6.7340702813230749E-2</v>
      </c>
      <c r="F48" s="90">
        <f t="shared" ref="F48:U48" si="46">F11/F14</f>
        <v>6.9829561298631673E-2</v>
      </c>
      <c r="G48" s="90">
        <f t="shared" si="46"/>
        <v>7.2351803673611617E-2</v>
      </c>
      <c r="H48" s="90">
        <f t="shared" si="46"/>
        <v>7.2771497141675801E-2</v>
      </c>
      <c r="I48" s="90">
        <f t="shared" si="46"/>
        <v>7.3088595914869922E-2</v>
      </c>
      <c r="J48" s="90">
        <f t="shared" si="46"/>
        <v>7.1688964835924476E-2</v>
      </c>
      <c r="K48" s="90">
        <f t="shared" si="46"/>
        <v>5.5445627376226235E-2</v>
      </c>
      <c r="L48" s="90">
        <f t="shared" si="46"/>
        <v>5.6852544184575853E-2</v>
      </c>
      <c r="M48" s="90">
        <f t="shared" si="46"/>
        <v>5.8079692604040195E-2</v>
      </c>
      <c r="N48" s="214">
        <f t="shared" si="46"/>
        <v>1.1890781485674439E-2</v>
      </c>
      <c r="O48" s="214">
        <f t="shared" si="46"/>
        <v>1.1686238314917391E-2</v>
      </c>
      <c r="P48" s="214">
        <f t="shared" si="46"/>
        <v>1.1346464472886689E-2</v>
      </c>
      <c r="Q48" s="214">
        <f t="shared" si="46"/>
        <v>1.1254122388180077E-2</v>
      </c>
      <c r="R48" s="214">
        <f t="shared" si="46"/>
        <v>8.4042823796425969E-2</v>
      </c>
      <c r="S48" s="214">
        <f t="shared" si="46"/>
        <v>7.7033222816935087E-2</v>
      </c>
      <c r="T48" s="214">
        <f t="shared" si="46"/>
        <v>7.4919559077372785E-2</v>
      </c>
      <c r="U48" s="214">
        <f t="shared" si="46"/>
        <v>7.6083882990069338E-2</v>
      </c>
    </row>
    <row r="49" spans="1:21" x14ac:dyDescent="0.25">
      <c r="A49" s="184" t="s">
        <v>342</v>
      </c>
      <c r="B49" s="64"/>
      <c r="C49" s="64"/>
      <c r="D49" s="64"/>
      <c r="E49" s="90">
        <f>E12/E14</f>
        <v>6.8856109971345072E-2</v>
      </c>
      <c r="F49" s="90">
        <f t="shared" ref="F49:U49" si="47">F12/F14</f>
        <v>7.1596038245030802E-2</v>
      </c>
      <c r="G49" s="90">
        <f t="shared" si="47"/>
        <v>7.3780492020361896E-2</v>
      </c>
      <c r="H49" s="90">
        <f t="shared" si="47"/>
        <v>7.5816195422480831E-2</v>
      </c>
      <c r="I49" s="90">
        <f t="shared" si="47"/>
        <v>7.5470513572890821E-2</v>
      </c>
      <c r="J49" s="90">
        <f t="shared" si="47"/>
        <v>7.4295734048642759E-2</v>
      </c>
      <c r="K49" s="90">
        <f t="shared" si="47"/>
        <v>5.719328910948069E-2</v>
      </c>
      <c r="L49" s="90">
        <f t="shared" si="47"/>
        <v>5.7644438379633109E-2</v>
      </c>
      <c r="M49" s="90">
        <f t="shared" si="47"/>
        <v>5.8552868191087432E-2</v>
      </c>
      <c r="N49" s="214">
        <f t="shared" si="47"/>
        <v>6.6884544469918067E-2</v>
      </c>
      <c r="O49" s="214">
        <f t="shared" si="47"/>
        <v>6.9135335256261726E-2</v>
      </c>
      <c r="P49" s="214">
        <f t="shared" si="47"/>
        <v>6.5678769412164384E-2</v>
      </c>
      <c r="Q49" s="214">
        <f t="shared" si="47"/>
        <v>6.7009245990320557E-2</v>
      </c>
      <c r="R49" s="214">
        <f t="shared" si="47"/>
        <v>0.1658732218272842</v>
      </c>
      <c r="S49" s="214">
        <f t="shared" si="47"/>
        <v>0.16106908168107634</v>
      </c>
      <c r="T49" s="214">
        <f t="shared" si="47"/>
        <v>0.15516457326172237</v>
      </c>
      <c r="U49" s="214">
        <f t="shared" si="47"/>
        <v>0.15814034522463338</v>
      </c>
    </row>
    <row r="50" spans="1:21" x14ac:dyDescent="0.25">
      <c r="A50" s="184" t="s">
        <v>346</v>
      </c>
      <c r="B50" s="64"/>
      <c r="C50" s="64"/>
      <c r="D50" s="64"/>
      <c r="E50" s="90">
        <f>E13/E14</f>
        <v>0.93114389002865494</v>
      </c>
      <c r="F50" s="90">
        <f t="shared" ref="F50:U50" si="48">F13/F14</f>
        <v>0.9284039617549692</v>
      </c>
      <c r="G50" s="90">
        <f t="shared" si="48"/>
        <v>0.92621950797963815</v>
      </c>
      <c r="H50" s="90">
        <f t="shared" si="48"/>
        <v>0.92418380457751914</v>
      </c>
      <c r="I50" s="90">
        <f t="shared" si="48"/>
        <v>0.92452948642710919</v>
      </c>
      <c r="J50" s="90">
        <f t="shared" si="48"/>
        <v>0.92570426595135724</v>
      </c>
      <c r="K50" s="90">
        <f t="shared" si="48"/>
        <v>0.94280671089051926</v>
      </c>
      <c r="L50" s="90">
        <f t="shared" si="48"/>
        <v>0.94235556162036693</v>
      </c>
      <c r="M50" s="90">
        <f t="shared" si="48"/>
        <v>0.9414471318089126</v>
      </c>
      <c r="N50" s="214">
        <f t="shared" si="48"/>
        <v>0.93311545553008191</v>
      </c>
      <c r="O50" s="214">
        <f t="shared" si="48"/>
        <v>0.9308646647437383</v>
      </c>
      <c r="P50" s="214">
        <f t="shared" si="48"/>
        <v>0.93432123058783556</v>
      </c>
      <c r="Q50" s="214">
        <f t="shared" si="48"/>
        <v>0.93299075400967946</v>
      </c>
      <c r="R50" s="214">
        <f t="shared" si="48"/>
        <v>0.83412677817271574</v>
      </c>
      <c r="S50" s="214">
        <f t="shared" si="48"/>
        <v>0.83893091831892364</v>
      </c>
      <c r="T50" s="214">
        <f t="shared" si="48"/>
        <v>0.84483542673827761</v>
      </c>
      <c r="U50" s="214">
        <f t="shared" si="48"/>
        <v>0.84185965477536662</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0.1253538148653926</v>
      </c>
      <c r="F55" s="214">
        <f t="shared" ref="F55:U55" si="51">F2/F9</f>
        <v>0.16325024350907966</v>
      </c>
      <c r="G55" s="214">
        <f t="shared" si="51"/>
        <v>8.9587449616916795E-2</v>
      </c>
      <c r="H55" s="214">
        <f t="shared" si="51"/>
        <v>0.14536442481445092</v>
      </c>
      <c r="I55" s="214">
        <f t="shared" si="51"/>
        <v>0.13086887658657484</v>
      </c>
      <c r="J55" s="214">
        <f t="shared" si="51"/>
        <v>9.9753831260306292E-2</v>
      </c>
      <c r="K55" s="214">
        <f t="shared" si="51"/>
        <v>0.15149481788672228</v>
      </c>
      <c r="L55" s="214">
        <f t="shared" si="51"/>
        <v>7.9367937142899012E-2</v>
      </c>
      <c r="M55" s="214">
        <f t="shared" si="51"/>
        <v>0.10206202337191354</v>
      </c>
      <c r="N55" s="214">
        <f t="shared" si="51"/>
        <v>0.12156611088291484</v>
      </c>
      <c r="O55" s="214">
        <f t="shared" si="51"/>
        <v>0.11271864861767016</v>
      </c>
      <c r="P55" s="214">
        <f t="shared" si="51"/>
        <v>0.13203247506939594</v>
      </c>
      <c r="Q55" s="214">
        <f t="shared" si="51"/>
        <v>0.12562538708397816</v>
      </c>
      <c r="R55" s="214">
        <f t="shared" si="51"/>
        <v>0.15629871672144321</v>
      </c>
      <c r="S55" s="214">
        <f t="shared" si="51"/>
        <v>8.8460488634888104E-2</v>
      </c>
      <c r="T55" s="214">
        <f t="shared" si="51"/>
        <v>0.11450469731709083</v>
      </c>
      <c r="U55" s="214">
        <f t="shared" si="51"/>
        <v>0.10942871137362428</v>
      </c>
    </row>
    <row r="56" spans="1:21" x14ac:dyDescent="0.25">
      <c r="A56" s="184" t="s">
        <v>646</v>
      </c>
      <c r="B56" s="64"/>
      <c r="C56" s="64"/>
      <c r="D56" s="64"/>
      <c r="E56" s="214">
        <f>E4/E9</f>
        <v>-9.5831046478328269E-2</v>
      </c>
      <c r="F56" s="214">
        <f t="shared" ref="F56:U56" si="52">F4/F9</f>
        <v>-0.11230206138515551</v>
      </c>
      <c r="G56" s="214">
        <f t="shared" si="52"/>
        <v>-8.1521700779775177E-2</v>
      </c>
      <c r="H56" s="214">
        <f t="shared" si="52"/>
        <v>-0.13652848089388914</v>
      </c>
      <c r="I56" s="214">
        <f t="shared" si="52"/>
        <v>-0.15357878884020337</v>
      </c>
      <c r="J56" s="214">
        <f t="shared" si="52"/>
        <v>-0.12647811050969957</v>
      </c>
      <c r="K56" s="214">
        <f t="shared" si="52"/>
        <v>-0.12541886641299424</v>
      </c>
      <c r="L56" s="214">
        <f t="shared" si="52"/>
        <v>-8.276776583488317E-2</v>
      </c>
      <c r="M56" s="214">
        <f t="shared" si="52"/>
        <v>-0.12660618967327075</v>
      </c>
      <c r="N56" s="214">
        <f t="shared" si="52"/>
        <v>-7.5216773049029628E-2</v>
      </c>
      <c r="O56" s="214">
        <f t="shared" si="52"/>
        <v>-9.7506441786605849E-2</v>
      </c>
      <c r="P56" s="214">
        <f t="shared" si="52"/>
        <v>-8.2700549969051532E-2</v>
      </c>
      <c r="Q56" s="214">
        <f t="shared" si="52"/>
        <v>-0.12321191255521548</v>
      </c>
      <c r="R56" s="214">
        <f t="shared" si="52"/>
        <v>-7.3525229066392736E-2</v>
      </c>
      <c r="S56" s="214">
        <f t="shared" si="52"/>
        <v>-4.4208054285478512E-2</v>
      </c>
      <c r="T56" s="214">
        <f t="shared" si="52"/>
        <v>-4.450716205983303E-2</v>
      </c>
      <c r="U56" s="214">
        <f t="shared" si="52"/>
        <v>-8.2975495992686277E-2</v>
      </c>
    </row>
    <row r="57" spans="1:21" x14ac:dyDescent="0.25">
      <c r="A57" s="184" t="s">
        <v>647</v>
      </c>
      <c r="B57" s="64"/>
      <c r="C57" s="64"/>
      <c r="D57" s="64"/>
      <c r="E57" s="214">
        <f>E5/E9</f>
        <v>8.2379549015116876E-2</v>
      </c>
      <c r="F57" s="214">
        <f t="shared" ref="F57:U57" si="53">F5/F9</f>
        <v>9.7278461459539223E-2</v>
      </c>
      <c r="G57" s="214">
        <f t="shared" si="53"/>
        <v>9.5863989383251746E-2</v>
      </c>
      <c r="H57" s="214">
        <f t="shared" si="53"/>
        <v>0.1089008066371378</v>
      </c>
      <c r="I57" s="214">
        <f t="shared" si="53"/>
        <v>9.3028011598557739E-2</v>
      </c>
      <c r="J57" s="214">
        <f t="shared" si="53"/>
        <v>0.10984085181481985</v>
      </c>
      <c r="K57" s="214">
        <f t="shared" si="53"/>
        <v>9.7760634555190587E-2</v>
      </c>
      <c r="L57" s="214">
        <f t="shared" si="53"/>
        <v>6.89918561137014E-2</v>
      </c>
      <c r="M57" s="214">
        <f t="shared" si="53"/>
        <v>6.3490708153292566E-2</v>
      </c>
      <c r="N57" s="214">
        <f t="shared" si="53"/>
        <v>7.0122363731483381E-2</v>
      </c>
      <c r="O57" s="214">
        <f t="shared" si="53"/>
        <v>6.222925993765107E-2</v>
      </c>
      <c r="P57" s="214">
        <f t="shared" si="53"/>
        <v>8.4269413828012049E-2</v>
      </c>
      <c r="Q57" s="214">
        <f t="shared" si="53"/>
        <v>5.7805087053387341E-2</v>
      </c>
      <c r="R57" s="214">
        <f t="shared" si="53"/>
        <v>5.6832457545024778E-2</v>
      </c>
      <c r="S57" s="214">
        <f t="shared" si="53"/>
        <v>5.9147707795805457E-2</v>
      </c>
      <c r="T57" s="214">
        <f t="shared" si="53"/>
        <v>6.9861970067828238E-2</v>
      </c>
      <c r="U57" s="214">
        <f t="shared" si="53"/>
        <v>4.9568739052145441E-2</v>
      </c>
    </row>
    <row r="58" spans="1:21" x14ac:dyDescent="0.25">
      <c r="A58" s="184" t="s">
        <v>648</v>
      </c>
      <c r="B58" s="64"/>
      <c r="C58" s="64"/>
      <c r="D58" s="64"/>
      <c r="E58" s="214">
        <f>E6/E9</f>
        <v>0.17821059549344515</v>
      </c>
      <c r="F58" s="214">
        <f t="shared" ref="F58:U58" si="54">F6/F9</f>
        <v>0.20958052284469475</v>
      </c>
      <c r="G58" s="214">
        <f t="shared" si="54"/>
        <v>0.17738569016302691</v>
      </c>
      <c r="H58" s="214">
        <f t="shared" si="54"/>
        <v>0.24542928753102694</v>
      </c>
      <c r="I58" s="214">
        <f t="shared" si="54"/>
        <v>0.2466068004387611</v>
      </c>
      <c r="J58" s="214">
        <f t="shared" si="54"/>
        <v>0.2363189623245194</v>
      </c>
      <c r="K58" s="214">
        <f t="shared" si="54"/>
        <v>0.22317950096818484</v>
      </c>
      <c r="L58" s="214">
        <f t="shared" si="54"/>
        <v>0.15175962194858458</v>
      </c>
      <c r="M58" s="214">
        <f t="shared" si="54"/>
        <v>0.19009689782656333</v>
      </c>
      <c r="N58" s="214">
        <f t="shared" si="54"/>
        <v>0.145339136780513</v>
      </c>
      <c r="O58" s="214">
        <f t="shared" si="54"/>
        <v>0.15973570172425691</v>
      </c>
      <c r="P58" s="214">
        <f t="shared" si="54"/>
        <v>0.16696996379706358</v>
      </c>
      <c r="Q58" s="214">
        <f t="shared" si="54"/>
        <v>0.18101699960860282</v>
      </c>
      <c r="R58" s="214">
        <f t="shared" si="54"/>
        <v>0.1303576866114175</v>
      </c>
      <c r="S58" s="214">
        <f t="shared" si="54"/>
        <v>0.10335576208128397</v>
      </c>
      <c r="T58" s="214">
        <f t="shared" si="54"/>
        <v>0.11436913212766127</v>
      </c>
      <c r="U58" s="214">
        <f t="shared" si="54"/>
        <v>0.13254423504483173</v>
      </c>
    </row>
    <row r="59" spans="1:21" s="225" customFormat="1" x14ac:dyDescent="0.25">
      <c r="A59" s="227" t="s">
        <v>642</v>
      </c>
      <c r="B59" s="223"/>
      <c r="C59" s="223"/>
      <c r="D59" s="223"/>
      <c r="E59" s="224">
        <f>E55+E56</f>
        <v>2.952276838706433E-2</v>
      </c>
      <c r="F59" s="224">
        <f t="shared" ref="F59:U59" si="55">F55+F56</f>
        <v>5.0948182123924143E-2</v>
      </c>
      <c r="G59" s="224">
        <f t="shared" si="55"/>
        <v>8.0657488371416175E-3</v>
      </c>
      <c r="H59" s="224">
        <f t="shared" si="55"/>
        <v>8.8359439205617785E-3</v>
      </c>
      <c r="I59" s="224">
        <f t="shared" si="55"/>
        <v>-2.2709912253628534E-2</v>
      </c>
      <c r="J59" s="224">
        <f t="shared" si="55"/>
        <v>-2.6724279249393273E-2</v>
      </c>
      <c r="K59" s="224">
        <f t="shared" si="55"/>
        <v>2.6075951473728043E-2</v>
      </c>
      <c r="L59" s="224">
        <f t="shared" si="55"/>
        <v>-3.399828691984158E-3</v>
      </c>
      <c r="M59" s="224">
        <f t="shared" si="55"/>
        <v>-2.4544166301357209E-2</v>
      </c>
      <c r="N59" s="224">
        <f t="shared" si="55"/>
        <v>4.6349337833885215E-2</v>
      </c>
      <c r="O59" s="224">
        <f t="shared" si="55"/>
        <v>1.5212206831064307E-2</v>
      </c>
      <c r="P59" s="224">
        <f t="shared" si="55"/>
        <v>4.9331925100344412E-2</v>
      </c>
      <c r="Q59" s="224">
        <f t="shared" si="55"/>
        <v>2.4134745287626852E-3</v>
      </c>
      <c r="R59" s="224">
        <f t="shared" si="55"/>
        <v>8.2773487655050479E-2</v>
      </c>
      <c r="S59" s="224">
        <f t="shared" si="55"/>
        <v>4.4252434349409592E-2</v>
      </c>
      <c r="T59" s="224">
        <f t="shared" si="55"/>
        <v>6.9997535257257798E-2</v>
      </c>
      <c r="U59" s="224">
        <f t="shared" si="55"/>
        <v>2.6453215380938006E-2</v>
      </c>
    </row>
    <row r="60" spans="1:21" x14ac:dyDescent="0.25">
      <c r="A60" s="184" t="s">
        <v>649</v>
      </c>
      <c r="B60" s="64"/>
      <c r="C60" s="64"/>
      <c r="D60" s="64"/>
      <c r="E60" s="214">
        <f>E3/E9</f>
        <v>0.18509949183078331</v>
      </c>
      <c r="F60" s="214">
        <f t="shared" ref="F60:U60" si="56">F3/F9</f>
        <v>0.17978568852256693</v>
      </c>
      <c r="G60" s="214">
        <f t="shared" si="56"/>
        <v>0.20282332072650011</v>
      </c>
      <c r="H60" s="214">
        <f t="shared" si="56"/>
        <v>0.19528837702183469</v>
      </c>
      <c r="I60" s="214">
        <f t="shared" si="56"/>
        <v>0.1951888812741982</v>
      </c>
      <c r="J60" s="214">
        <f t="shared" si="56"/>
        <v>0.1938247465124584</v>
      </c>
      <c r="K60" s="214">
        <f t="shared" si="56"/>
        <v>0.18543589440466107</v>
      </c>
      <c r="L60" s="214">
        <f t="shared" si="56"/>
        <v>0.19215118584664276</v>
      </c>
      <c r="M60" s="214">
        <f t="shared" si="56"/>
        <v>0.19142602336984779</v>
      </c>
      <c r="N60" s="214">
        <f t="shared" si="56"/>
        <v>0.20464325700725156</v>
      </c>
      <c r="O60" s="214">
        <f t="shared" si="56"/>
        <v>0.20804954497144548</v>
      </c>
      <c r="P60" s="214">
        <f t="shared" si="56"/>
        <v>0.19320287000316813</v>
      </c>
      <c r="Q60" s="214">
        <f t="shared" si="56"/>
        <v>0.19697784616985409</v>
      </c>
      <c r="R60" s="214">
        <f t="shared" si="56"/>
        <v>0.19109482397383101</v>
      </c>
      <c r="S60" s="214">
        <f t="shared" si="56"/>
        <v>0.19232355978220503</v>
      </c>
      <c r="T60" s="214">
        <f t="shared" si="56"/>
        <v>0.18001745843581909</v>
      </c>
      <c r="U60" s="214">
        <f t="shared" si="56"/>
        <v>0.18163465019363148</v>
      </c>
    </row>
    <row r="61" spans="1:21" x14ac:dyDescent="0.25">
      <c r="A61" s="184" t="s">
        <v>650</v>
      </c>
      <c r="B61" s="64"/>
      <c r="C61" s="64"/>
      <c r="D61" s="64"/>
      <c r="E61" s="214">
        <f>E7/E9</f>
        <v>0.78537773978215242</v>
      </c>
      <c r="F61" s="214">
        <f t="shared" ref="F61:U61" si="57">F7/F9</f>
        <v>0.76926612935350891</v>
      </c>
      <c r="G61" s="214">
        <f t="shared" si="57"/>
        <v>0.78911093043635827</v>
      </c>
      <c r="H61" s="214">
        <f t="shared" si="57"/>
        <v>0.79587567905760348</v>
      </c>
      <c r="I61" s="214">
        <f t="shared" si="57"/>
        <v>0.82752103097943031</v>
      </c>
      <c r="J61" s="214">
        <f t="shared" si="57"/>
        <v>0.83289953273693484</v>
      </c>
      <c r="K61" s="214">
        <f t="shared" si="57"/>
        <v>0.78848815412161088</v>
      </c>
      <c r="L61" s="214">
        <f t="shared" si="57"/>
        <v>0.81124864284534137</v>
      </c>
      <c r="M61" s="214">
        <f t="shared" si="57"/>
        <v>0.83311814293150943</v>
      </c>
      <c r="N61" s="214">
        <f t="shared" si="57"/>
        <v>0.74900740515886322</v>
      </c>
      <c r="O61" s="214">
        <f t="shared" si="57"/>
        <v>0.77673824819749016</v>
      </c>
      <c r="P61" s="214">
        <f t="shared" si="57"/>
        <v>0.7574652048964875</v>
      </c>
      <c r="Q61" s="214">
        <f t="shared" si="57"/>
        <v>0.80060867930138324</v>
      </c>
      <c r="R61" s="214">
        <f t="shared" si="57"/>
        <v>0.72613168837111852</v>
      </c>
      <c r="S61" s="214">
        <f t="shared" si="57"/>
        <v>0.76342400586838544</v>
      </c>
      <c r="T61" s="214">
        <f t="shared" si="57"/>
        <v>0.74998500630692311</v>
      </c>
      <c r="U61" s="214">
        <f t="shared" si="57"/>
        <v>0.79191213442543051</v>
      </c>
    </row>
    <row r="62" spans="1:21" s="225" customFormat="1" x14ac:dyDescent="0.25">
      <c r="A62" s="227" t="s">
        <v>643</v>
      </c>
      <c r="B62" s="223"/>
      <c r="C62" s="223"/>
      <c r="D62" s="223"/>
      <c r="E62" s="224">
        <f>E60+E61</f>
        <v>0.97047723161293575</v>
      </c>
      <c r="F62" s="224">
        <f t="shared" ref="F62:M62" si="58">F60+F61</f>
        <v>0.94905181787607584</v>
      </c>
      <c r="G62" s="224">
        <f t="shared" si="58"/>
        <v>0.99193425116285838</v>
      </c>
      <c r="H62" s="224">
        <f t="shared" si="58"/>
        <v>0.99116405607943814</v>
      </c>
      <c r="I62" s="224">
        <f t="shared" si="58"/>
        <v>1.0227099122536285</v>
      </c>
      <c r="J62" s="224">
        <f t="shared" si="58"/>
        <v>1.0267242792493931</v>
      </c>
      <c r="K62" s="224">
        <f t="shared" si="58"/>
        <v>0.9739240485262719</v>
      </c>
      <c r="L62" s="224">
        <f t="shared" si="58"/>
        <v>1.0033998286919841</v>
      </c>
      <c r="M62" s="224">
        <f t="shared" si="58"/>
        <v>1.0245441663013573</v>
      </c>
      <c r="N62" s="224">
        <f t="shared" ref="N62" si="59">N60+N61</f>
        <v>0.95365066216611472</v>
      </c>
      <c r="O62" s="224">
        <f t="shared" ref="O62" si="60">O60+O61</f>
        <v>0.98478779316893561</v>
      </c>
      <c r="P62" s="224">
        <f t="shared" ref="P62" si="61">P60+P61</f>
        <v>0.95066807489965566</v>
      </c>
      <c r="Q62" s="224">
        <f t="shared" ref="Q62" si="62">Q60+Q61</f>
        <v>0.99758652547123727</v>
      </c>
      <c r="R62" s="224">
        <f t="shared" ref="R62" si="63">R60+R61</f>
        <v>0.91722651234494956</v>
      </c>
      <c r="S62" s="224">
        <f t="shared" ref="S62" si="64">S60+S61</f>
        <v>0.95574756565059049</v>
      </c>
      <c r="T62" s="224">
        <f t="shared" ref="T62" si="65">T60+T61</f>
        <v>0.93000246474274217</v>
      </c>
      <c r="U62" s="224">
        <f t="shared" ref="U62" si="66">U60+U61</f>
        <v>0.97354678461906197</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164229601</v>
      </c>
      <c r="F67" s="193">
        <f t="shared" ref="F67:U67" si="68">F10</f>
        <v>188493730</v>
      </c>
      <c r="G67" s="193">
        <f t="shared" si="68"/>
        <v>147173182</v>
      </c>
      <c r="H67" s="193">
        <f t="shared" si="68"/>
        <v>312201702</v>
      </c>
      <c r="I67" s="193">
        <f t="shared" si="68"/>
        <v>235941803</v>
      </c>
      <c r="J67" s="193">
        <f t="shared" si="68"/>
        <v>251559334</v>
      </c>
      <c r="K67" s="193">
        <f t="shared" si="68"/>
        <v>174721738</v>
      </c>
      <c r="L67" s="193">
        <f t="shared" si="68"/>
        <v>77866334</v>
      </c>
      <c r="M67" s="193">
        <f t="shared" si="68"/>
        <v>45543929</v>
      </c>
      <c r="N67" s="193">
        <f t="shared" si="68"/>
        <v>5190066431</v>
      </c>
      <c r="O67" s="193">
        <f t="shared" si="68"/>
        <v>5197149519</v>
      </c>
      <c r="P67" s="193">
        <f t="shared" si="68"/>
        <v>5101065941</v>
      </c>
      <c r="Q67" s="193">
        <f t="shared" si="68"/>
        <v>5019982362</v>
      </c>
      <c r="R67" s="193">
        <f t="shared" si="68"/>
        <v>7963011449</v>
      </c>
      <c r="S67" s="193">
        <f t="shared" si="68"/>
        <v>7820172997</v>
      </c>
      <c r="T67" s="193">
        <f t="shared" si="68"/>
        <v>7674734544</v>
      </c>
      <c r="U67" s="193">
        <f t="shared" si="68"/>
        <v>7531896092</v>
      </c>
    </row>
    <row r="68" spans="1:21" x14ac:dyDescent="0.25">
      <c r="A68" s="17" t="s">
        <v>653</v>
      </c>
      <c r="E68" s="193">
        <f>E11</f>
        <v>7297930919</v>
      </c>
      <c r="F68" s="193">
        <f t="shared" ref="F68:U68" si="69">F11</f>
        <v>7451234787</v>
      </c>
      <c r="G68" s="193">
        <f t="shared" si="69"/>
        <v>7453161632</v>
      </c>
      <c r="H68" s="193">
        <f t="shared" si="69"/>
        <v>7461949648</v>
      </c>
      <c r="I68" s="193">
        <f t="shared" si="69"/>
        <v>7239820000</v>
      </c>
      <c r="J68" s="193">
        <f t="shared" si="69"/>
        <v>6918153000</v>
      </c>
      <c r="K68" s="193">
        <f t="shared" si="69"/>
        <v>5543153000</v>
      </c>
      <c r="L68" s="193">
        <f t="shared" si="69"/>
        <v>5590266000</v>
      </c>
      <c r="M68" s="193">
        <f t="shared" si="69"/>
        <v>5590266000</v>
      </c>
      <c r="N68" s="193">
        <f t="shared" si="69"/>
        <v>1122199000</v>
      </c>
      <c r="O68" s="193">
        <f t="shared" si="69"/>
        <v>1057199000</v>
      </c>
      <c r="P68" s="193">
        <f t="shared" si="69"/>
        <v>1065279000</v>
      </c>
      <c r="Q68" s="193">
        <f t="shared" si="69"/>
        <v>1013279000</v>
      </c>
      <c r="R68" s="193">
        <f t="shared" si="69"/>
        <v>8178305180</v>
      </c>
      <c r="S68" s="193">
        <f t="shared" si="69"/>
        <v>7168524688</v>
      </c>
      <c r="T68" s="193">
        <f t="shared" si="69"/>
        <v>7165401289</v>
      </c>
      <c r="U68" s="193">
        <f t="shared" si="69"/>
        <v>6983677889</v>
      </c>
    </row>
    <row r="69" spans="1:21" x14ac:dyDescent="0.25">
      <c r="A69" s="17" t="s">
        <v>654</v>
      </c>
      <c r="E69" s="193">
        <f>E12</f>
        <v>7462160520</v>
      </c>
      <c r="F69" s="193">
        <f t="shared" ref="F69:U69" si="70">F12</f>
        <v>7639728517</v>
      </c>
      <c r="G69" s="193">
        <f t="shared" si="70"/>
        <v>7600334814</v>
      </c>
      <c r="H69" s="193">
        <f t="shared" si="70"/>
        <v>7774151350</v>
      </c>
      <c r="I69" s="193">
        <f t="shared" si="70"/>
        <v>7475761803</v>
      </c>
      <c r="J69" s="193">
        <f t="shared" si="70"/>
        <v>7169712334</v>
      </c>
      <c r="K69" s="193">
        <f t="shared" si="70"/>
        <v>5717874738</v>
      </c>
      <c r="L69" s="193">
        <f t="shared" si="70"/>
        <v>5668132334</v>
      </c>
      <c r="M69" s="193">
        <f t="shared" si="70"/>
        <v>5635809929</v>
      </c>
      <c r="N69" s="193">
        <f t="shared" si="70"/>
        <v>6312265431</v>
      </c>
      <c r="O69" s="193">
        <f t="shared" si="70"/>
        <v>6254348519</v>
      </c>
      <c r="P69" s="193">
        <f t="shared" si="70"/>
        <v>6166344941</v>
      </c>
      <c r="Q69" s="193">
        <f t="shared" si="70"/>
        <v>6033261362</v>
      </c>
      <c r="R69" s="193">
        <f t="shared" si="70"/>
        <v>16141316629</v>
      </c>
      <c r="S69" s="193">
        <f t="shared" si="70"/>
        <v>14988697685</v>
      </c>
      <c r="T69" s="193">
        <f t="shared" si="70"/>
        <v>14840135833</v>
      </c>
      <c r="U69" s="193">
        <f t="shared" si="70"/>
        <v>14515573981</v>
      </c>
    </row>
    <row r="70" spans="1:21" s="234" customFormat="1" x14ac:dyDescent="0.25">
      <c r="A70" s="234" t="s">
        <v>657</v>
      </c>
      <c r="E70" s="234">
        <f>E69/E74</f>
        <v>6.8856109971345072E-2</v>
      </c>
      <c r="F70" s="234">
        <f t="shared" ref="F70:U70" si="71">F69/F74</f>
        <v>7.1596038245030802E-2</v>
      </c>
      <c r="G70" s="234">
        <f t="shared" si="71"/>
        <v>7.3780492020361896E-2</v>
      </c>
      <c r="H70" s="234">
        <f t="shared" si="71"/>
        <v>7.5816195422480831E-2</v>
      </c>
      <c r="I70" s="234">
        <f t="shared" si="71"/>
        <v>7.5470513572890821E-2</v>
      </c>
      <c r="J70" s="234">
        <f t="shared" si="71"/>
        <v>7.4295734048642759E-2</v>
      </c>
      <c r="K70" s="234">
        <f t="shared" si="71"/>
        <v>5.719328910948069E-2</v>
      </c>
      <c r="L70" s="234">
        <f t="shared" si="71"/>
        <v>5.7644438379633109E-2</v>
      </c>
      <c r="M70" s="234">
        <f t="shared" si="71"/>
        <v>5.8552868191087432E-2</v>
      </c>
      <c r="N70" s="234">
        <f t="shared" si="71"/>
        <v>6.6884544469918067E-2</v>
      </c>
      <c r="O70" s="234">
        <f t="shared" si="71"/>
        <v>6.9135335256261726E-2</v>
      </c>
      <c r="P70" s="234">
        <f t="shared" si="71"/>
        <v>6.5678769412164384E-2</v>
      </c>
      <c r="Q70" s="234">
        <f t="shared" si="71"/>
        <v>6.7009245990320557E-2</v>
      </c>
      <c r="R70" s="234">
        <f t="shared" si="71"/>
        <v>0.1658732218272842</v>
      </c>
      <c r="S70" s="234">
        <f t="shared" si="71"/>
        <v>0.16106908168107634</v>
      </c>
      <c r="T70" s="234">
        <f t="shared" si="71"/>
        <v>0.15516457326172237</v>
      </c>
      <c r="U70" s="234">
        <f t="shared" si="71"/>
        <v>0.15814034522463338</v>
      </c>
    </row>
    <row r="71" spans="1:21" x14ac:dyDescent="0.25">
      <c r="A71" s="17" t="s">
        <v>655</v>
      </c>
      <c r="E71" s="193">
        <f>E13</f>
        <v>100911090933</v>
      </c>
      <c r="F71" s="193">
        <f t="shared" ref="F71:U71" si="72">F13</f>
        <v>99066294669</v>
      </c>
      <c r="G71" s="193">
        <f t="shared" si="72"/>
        <v>95412461738</v>
      </c>
      <c r="H71" s="193">
        <f t="shared" si="72"/>
        <v>94765303534</v>
      </c>
      <c r="I71" s="193">
        <f t="shared" si="72"/>
        <v>91579636777</v>
      </c>
      <c r="J71" s="193">
        <f t="shared" si="72"/>
        <v>89332629635</v>
      </c>
      <c r="K71" s="193">
        <f t="shared" si="72"/>
        <v>94256699675</v>
      </c>
      <c r="L71" s="193">
        <f t="shared" si="72"/>
        <v>92661081955</v>
      </c>
      <c r="M71" s="193">
        <f t="shared" si="72"/>
        <v>90615835859</v>
      </c>
      <c r="N71" s="193">
        <f t="shared" si="72"/>
        <v>88063280983</v>
      </c>
      <c r="O71" s="193">
        <f t="shared" si="72"/>
        <v>84210946772</v>
      </c>
      <c r="P71" s="193">
        <f t="shared" si="72"/>
        <v>87720081315</v>
      </c>
      <c r="Q71" s="193">
        <f t="shared" si="72"/>
        <v>84002990693</v>
      </c>
      <c r="R71" s="193">
        <f t="shared" si="72"/>
        <v>81169849400</v>
      </c>
      <c r="S71" s="193">
        <f t="shared" si="72"/>
        <v>78068874436</v>
      </c>
      <c r="T71" s="193">
        <f t="shared" si="72"/>
        <v>80801127640</v>
      </c>
      <c r="U71" s="193">
        <f t="shared" si="72"/>
        <v>77273614669</v>
      </c>
    </row>
    <row r="72" spans="1:21" s="234" customFormat="1" x14ac:dyDescent="0.25">
      <c r="A72" s="234" t="s">
        <v>658</v>
      </c>
      <c r="E72" s="234">
        <f>E71/E74</f>
        <v>0.93114389002865494</v>
      </c>
      <c r="F72" s="234">
        <f t="shared" ref="F72:U72" si="73">F71/F74</f>
        <v>0.9284039617549692</v>
      </c>
      <c r="G72" s="234">
        <f t="shared" si="73"/>
        <v>0.92621950797963815</v>
      </c>
      <c r="H72" s="234">
        <f t="shared" si="73"/>
        <v>0.92418380457751914</v>
      </c>
      <c r="I72" s="234">
        <f t="shared" si="73"/>
        <v>0.92452948642710919</v>
      </c>
      <c r="J72" s="234">
        <f t="shared" si="73"/>
        <v>0.92570426595135724</v>
      </c>
      <c r="K72" s="234">
        <f t="shared" si="73"/>
        <v>0.94280671089051926</v>
      </c>
      <c r="L72" s="234">
        <f t="shared" si="73"/>
        <v>0.94235556162036693</v>
      </c>
      <c r="M72" s="234">
        <f t="shared" si="73"/>
        <v>0.9414471318089126</v>
      </c>
      <c r="N72" s="234">
        <f t="shared" si="73"/>
        <v>0.93311545553008191</v>
      </c>
      <c r="O72" s="234">
        <f t="shared" si="73"/>
        <v>0.9308646647437383</v>
      </c>
      <c r="P72" s="234">
        <f t="shared" si="73"/>
        <v>0.93432123058783556</v>
      </c>
      <c r="Q72" s="234">
        <f t="shared" si="73"/>
        <v>0.93299075400967946</v>
      </c>
      <c r="R72" s="234">
        <f t="shared" si="73"/>
        <v>0.83412677817271574</v>
      </c>
      <c r="S72" s="234">
        <f t="shared" si="73"/>
        <v>0.83893091831892364</v>
      </c>
      <c r="T72" s="234">
        <f t="shared" si="73"/>
        <v>0.84483542673827761</v>
      </c>
      <c r="U72" s="234">
        <f t="shared" si="73"/>
        <v>0.84185965477536662</v>
      </c>
    </row>
    <row r="73" spans="1:21" s="236" customFormat="1" x14ac:dyDescent="0.25">
      <c r="A73" s="235" t="s">
        <v>659</v>
      </c>
      <c r="E73" s="237">
        <f>E74/E71</f>
        <v>1.0739478728354499</v>
      </c>
      <c r="F73" s="237">
        <f t="shared" ref="F73:U73" si="74">F74/F71</f>
        <v>1.0771173338270683</v>
      </c>
      <c r="G73" s="237">
        <f t="shared" si="74"/>
        <v>1.0796576744332445</v>
      </c>
      <c r="H73" s="237">
        <f t="shared" si="74"/>
        <v>1.0820358407569579</v>
      </c>
      <c r="I73" s="237">
        <f t="shared" si="74"/>
        <v>1.0816312672346995</v>
      </c>
      <c r="J73" s="237">
        <f t="shared" si="74"/>
        <v>1.0802586061027688</v>
      </c>
      <c r="K73" s="237">
        <f t="shared" si="74"/>
        <v>1.0606627938142903</v>
      </c>
      <c r="L73" s="237">
        <f t="shared" si="74"/>
        <v>1.0611705822381037</v>
      </c>
      <c r="M73" s="237">
        <f t="shared" si="74"/>
        <v>1.0621945367007311</v>
      </c>
      <c r="N73" s="237">
        <f t="shared" si="74"/>
        <v>1.0716787446542964</v>
      </c>
      <c r="O73" s="237">
        <f t="shared" si="74"/>
        <v>1.0742700178390532</v>
      </c>
      <c r="P73" s="237">
        <f t="shared" si="74"/>
        <v>1.070295704798276</v>
      </c>
      <c r="Q73" s="237">
        <f t="shared" si="74"/>
        <v>1.0718219829106961</v>
      </c>
      <c r="R73" s="237">
        <f t="shared" si="74"/>
        <v>1.1988585262670206</v>
      </c>
      <c r="S73" s="237">
        <f t="shared" si="74"/>
        <v>1.1919932597118148</v>
      </c>
      <c r="T73" s="237">
        <f t="shared" si="74"/>
        <v>1.1836624842553991</v>
      </c>
      <c r="U73" s="237">
        <f t="shared" si="74"/>
        <v>1.1878464472404606</v>
      </c>
    </row>
    <row r="74" spans="1:21" x14ac:dyDescent="0.25">
      <c r="A74" s="17" t="s">
        <v>656</v>
      </c>
      <c r="E74" s="193">
        <f>E14</f>
        <v>108373251453</v>
      </c>
      <c r="F74" s="193">
        <f t="shared" ref="F74:U74" si="75">F14</f>
        <v>106706023186</v>
      </c>
      <c r="G74" s="193">
        <f t="shared" si="75"/>
        <v>103012796552</v>
      </c>
      <c r="H74" s="193">
        <f t="shared" si="75"/>
        <v>102539454884</v>
      </c>
      <c r="I74" s="193">
        <f t="shared" si="75"/>
        <v>99055398580</v>
      </c>
      <c r="J74" s="193">
        <f t="shared" si="75"/>
        <v>96502341969</v>
      </c>
      <c r="K74" s="193">
        <f t="shared" si="75"/>
        <v>99974574413</v>
      </c>
      <c r="L74" s="193">
        <f t="shared" si="75"/>
        <v>98329214289</v>
      </c>
      <c r="M74" s="193">
        <f t="shared" si="75"/>
        <v>96251645788</v>
      </c>
      <c r="N74" s="193">
        <f t="shared" si="75"/>
        <v>94375546414</v>
      </c>
      <c r="O74" s="193">
        <f t="shared" si="75"/>
        <v>90465295291</v>
      </c>
      <c r="P74" s="193">
        <f t="shared" si="75"/>
        <v>93886426256</v>
      </c>
      <c r="Q74" s="193">
        <f t="shared" si="75"/>
        <v>90036252055</v>
      </c>
      <c r="R74" s="193">
        <f t="shared" si="75"/>
        <v>97311166029</v>
      </c>
      <c r="S74" s="193">
        <f t="shared" si="75"/>
        <v>93057572121</v>
      </c>
      <c r="T74" s="193">
        <f t="shared" si="75"/>
        <v>95641263473</v>
      </c>
      <c r="U74" s="193">
        <f t="shared" si="75"/>
        <v>91789188650</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164229601</v>
      </c>
      <c r="F78" s="89">
        <f t="shared" ref="F78:U78" si="77">F10</f>
        <v>188493730</v>
      </c>
      <c r="G78" s="89">
        <f t="shared" si="77"/>
        <v>147173182</v>
      </c>
      <c r="H78" s="89">
        <f t="shared" si="77"/>
        <v>312201702</v>
      </c>
      <c r="I78" s="89">
        <f t="shared" si="77"/>
        <v>235941803</v>
      </c>
      <c r="J78" s="89">
        <f t="shared" si="77"/>
        <v>251559334</v>
      </c>
      <c r="K78" s="89">
        <f t="shared" si="77"/>
        <v>174721738</v>
      </c>
      <c r="L78" s="89">
        <f t="shared" si="77"/>
        <v>77866334</v>
      </c>
      <c r="M78" s="89">
        <f t="shared" si="77"/>
        <v>45543929</v>
      </c>
      <c r="N78" s="89">
        <f t="shared" si="77"/>
        <v>5190066431</v>
      </c>
      <c r="O78" s="89">
        <f t="shared" si="77"/>
        <v>5197149519</v>
      </c>
      <c r="P78" s="89">
        <f t="shared" si="77"/>
        <v>5101065941</v>
      </c>
      <c r="Q78" s="89">
        <f t="shared" si="77"/>
        <v>5019982362</v>
      </c>
      <c r="R78" s="89">
        <f t="shared" si="77"/>
        <v>7963011449</v>
      </c>
      <c r="S78" s="89">
        <f t="shared" si="77"/>
        <v>7820172997</v>
      </c>
      <c r="T78" s="89">
        <f t="shared" si="77"/>
        <v>7674734544</v>
      </c>
      <c r="U78" s="89">
        <f t="shared" si="77"/>
        <v>7531896092</v>
      </c>
    </row>
    <row r="79" spans="1:21" x14ac:dyDescent="0.25">
      <c r="A79" s="184" t="s">
        <v>661</v>
      </c>
      <c r="B79" s="64"/>
      <c r="C79" s="64"/>
      <c r="D79" s="64"/>
      <c r="E79" s="89">
        <f>E78</f>
        <v>164229601</v>
      </c>
      <c r="F79" s="89">
        <f t="shared" ref="F79:U79" si="78">F78</f>
        <v>188493730</v>
      </c>
      <c r="G79" s="89">
        <f t="shared" si="78"/>
        <v>147173182</v>
      </c>
      <c r="H79" s="89">
        <f t="shared" si="78"/>
        <v>312201702</v>
      </c>
      <c r="I79" s="89">
        <f t="shared" si="78"/>
        <v>235941803</v>
      </c>
      <c r="J79" s="89">
        <f t="shared" si="78"/>
        <v>251559334</v>
      </c>
      <c r="K79" s="89">
        <f t="shared" si="78"/>
        <v>174721738</v>
      </c>
      <c r="L79" s="89">
        <f t="shared" si="78"/>
        <v>77866334</v>
      </c>
      <c r="M79" s="89">
        <f t="shared" si="78"/>
        <v>45543929</v>
      </c>
      <c r="N79" s="89">
        <f t="shared" si="78"/>
        <v>5190066431</v>
      </c>
      <c r="O79" s="89">
        <f t="shared" si="78"/>
        <v>5197149519</v>
      </c>
      <c r="P79" s="89">
        <f t="shared" si="78"/>
        <v>5101065941</v>
      </c>
      <c r="Q79" s="89">
        <f t="shared" si="78"/>
        <v>5019982362</v>
      </c>
      <c r="R79" s="89">
        <f t="shared" si="78"/>
        <v>7963011449</v>
      </c>
      <c r="S79" s="89">
        <f t="shared" si="78"/>
        <v>7820172997</v>
      </c>
      <c r="T79" s="89">
        <f t="shared" si="78"/>
        <v>7674734544</v>
      </c>
      <c r="U79" s="89">
        <f t="shared" si="78"/>
        <v>7531896092</v>
      </c>
    </row>
    <row r="80" spans="1:21" s="220" customFormat="1" x14ac:dyDescent="0.25">
      <c r="A80" s="224" t="s">
        <v>662</v>
      </c>
      <c r="B80" s="224"/>
      <c r="C80" s="224"/>
      <c r="D80" s="224"/>
      <c r="E80" s="224">
        <f>E79/E85</f>
        <v>1.5154071581143262E-3</v>
      </c>
      <c r="F80" s="224">
        <f t="shared" ref="F80:U80" si="79">F79/F85</f>
        <v>1.7664769463991295E-3</v>
      </c>
      <c r="G80" s="224">
        <f t="shared" si="79"/>
        <v>1.4286883467502817E-3</v>
      </c>
      <c r="H80" s="224">
        <f t="shared" si="79"/>
        <v>3.0446982808050326E-3</v>
      </c>
      <c r="I80" s="224">
        <f t="shared" si="79"/>
        <v>2.3819176580208963E-3</v>
      </c>
      <c r="J80" s="224">
        <f t="shared" si="79"/>
        <v>2.6067692127182763E-3</v>
      </c>
      <c r="K80" s="224">
        <f t="shared" si="79"/>
        <v>1.7476617332544543E-3</v>
      </c>
      <c r="L80" s="224">
        <f t="shared" si="79"/>
        <v>7.9189419505725509E-4</v>
      </c>
      <c r="M80" s="224">
        <f t="shared" si="79"/>
        <v>4.73175587047241E-4</v>
      </c>
      <c r="N80" s="224">
        <f t="shared" si="79"/>
        <v>5.4993762984243633E-2</v>
      </c>
      <c r="O80" s="224">
        <f t="shared" si="79"/>
        <v>5.7449096941344334E-2</v>
      </c>
      <c r="P80" s="224">
        <f t="shared" si="79"/>
        <v>5.4332304939277695E-2</v>
      </c>
      <c r="Q80" s="224">
        <f t="shared" si="79"/>
        <v>5.575512360214048E-2</v>
      </c>
      <c r="R80" s="224">
        <f t="shared" si="79"/>
        <v>8.1830398030858231E-2</v>
      </c>
      <c r="S80" s="224">
        <f t="shared" si="79"/>
        <v>8.4035858864141236E-2</v>
      </c>
      <c r="T80" s="224">
        <f t="shared" si="79"/>
        <v>8.0245014184349581E-2</v>
      </c>
      <c r="U80" s="224">
        <f t="shared" si="79"/>
        <v>8.2056462234564045E-2</v>
      </c>
    </row>
    <row r="81" spans="1:21" x14ac:dyDescent="0.25">
      <c r="A81" s="184" t="s">
        <v>653</v>
      </c>
      <c r="B81" s="64"/>
      <c r="C81" s="64"/>
      <c r="D81" s="64"/>
      <c r="E81" s="89">
        <f>E11</f>
        <v>7297930919</v>
      </c>
      <c r="F81" s="89">
        <f t="shared" ref="F81:U81" si="80">F11</f>
        <v>7451234787</v>
      </c>
      <c r="G81" s="89">
        <f t="shared" si="80"/>
        <v>7453161632</v>
      </c>
      <c r="H81" s="89">
        <f t="shared" si="80"/>
        <v>7461949648</v>
      </c>
      <c r="I81" s="89">
        <f t="shared" si="80"/>
        <v>7239820000</v>
      </c>
      <c r="J81" s="89">
        <f t="shared" si="80"/>
        <v>6918153000</v>
      </c>
      <c r="K81" s="89">
        <f t="shared" si="80"/>
        <v>5543153000</v>
      </c>
      <c r="L81" s="89">
        <f t="shared" si="80"/>
        <v>5590266000</v>
      </c>
      <c r="M81" s="89">
        <f t="shared" si="80"/>
        <v>5590266000</v>
      </c>
      <c r="N81" s="89">
        <f t="shared" si="80"/>
        <v>1122199000</v>
      </c>
      <c r="O81" s="89">
        <f t="shared" si="80"/>
        <v>1057199000</v>
      </c>
      <c r="P81" s="89">
        <f t="shared" si="80"/>
        <v>1065279000</v>
      </c>
      <c r="Q81" s="89">
        <f t="shared" si="80"/>
        <v>1013279000</v>
      </c>
      <c r="R81" s="89">
        <f t="shared" si="80"/>
        <v>8178305180</v>
      </c>
      <c r="S81" s="89">
        <f t="shared" si="80"/>
        <v>7168524688</v>
      </c>
      <c r="T81" s="89">
        <f t="shared" si="80"/>
        <v>7165401289</v>
      </c>
      <c r="U81" s="89">
        <f t="shared" si="80"/>
        <v>6983677889</v>
      </c>
    </row>
    <row r="82" spans="1:21" x14ac:dyDescent="0.25">
      <c r="A82" s="184" t="s">
        <v>655</v>
      </c>
      <c r="B82" s="64"/>
      <c r="C82" s="64"/>
      <c r="D82" s="64"/>
      <c r="E82" s="89">
        <f>E13</f>
        <v>100911090933</v>
      </c>
      <c r="F82" s="89">
        <f t="shared" ref="F82:U82" si="81">F13</f>
        <v>99066294669</v>
      </c>
      <c r="G82" s="89">
        <f t="shared" si="81"/>
        <v>95412461738</v>
      </c>
      <c r="H82" s="89">
        <f t="shared" si="81"/>
        <v>94765303534</v>
      </c>
      <c r="I82" s="89">
        <f t="shared" si="81"/>
        <v>91579636777</v>
      </c>
      <c r="J82" s="89">
        <f t="shared" si="81"/>
        <v>89332629635</v>
      </c>
      <c r="K82" s="89">
        <f t="shared" si="81"/>
        <v>94256699675</v>
      </c>
      <c r="L82" s="89">
        <f t="shared" si="81"/>
        <v>92661081955</v>
      </c>
      <c r="M82" s="89">
        <f t="shared" si="81"/>
        <v>90615835859</v>
      </c>
      <c r="N82" s="89">
        <f t="shared" si="81"/>
        <v>88063280983</v>
      </c>
      <c r="O82" s="89">
        <f t="shared" si="81"/>
        <v>84210946772</v>
      </c>
      <c r="P82" s="89">
        <f t="shared" si="81"/>
        <v>87720081315</v>
      </c>
      <c r="Q82" s="89">
        <f t="shared" si="81"/>
        <v>84002990693</v>
      </c>
      <c r="R82" s="89">
        <f t="shared" si="81"/>
        <v>81169849400</v>
      </c>
      <c r="S82" s="89">
        <f t="shared" si="81"/>
        <v>78068874436</v>
      </c>
      <c r="T82" s="89">
        <f t="shared" si="81"/>
        <v>80801127640</v>
      </c>
      <c r="U82" s="89">
        <f t="shared" si="81"/>
        <v>77273614669</v>
      </c>
    </row>
    <row r="83" spans="1:21" x14ac:dyDescent="0.25">
      <c r="A83" s="184" t="s">
        <v>663</v>
      </c>
      <c r="B83" s="64"/>
      <c r="C83" s="64"/>
      <c r="D83" s="64"/>
      <c r="E83" s="89">
        <f>E81+E82</f>
        <v>108209021852</v>
      </c>
      <c r="F83" s="89">
        <f t="shared" ref="F83:U83" si="82">F81+F82</f>
        <v>106517529456</v>
      </c>
      <c r="G83" s="89">
        <f t="shared" si="82"/>
        <v>102865623370</v>
      </c>
      <c r="H83" s="89">
        <f t="shared" si="82"/>
        <v>102227253182</v>
      </c>
      <c r="I83" s="89">
        <f t="shared" si="82"/>
        <v>98819456777</v>
      </c>
      <c r="J83" s="89">
        <f t="shared" si="82"/>
        <v>96250782635</v>
      </c>
      <c r="K83" s="89">
        <f t="shared" si="82"/>
        <v>99799852675</v>
      </c>
      <c r="L83" s="89">
        <f t="shared" si="82"/>
        <v>98251347955</v>
      </c>
      <c r="M83" s="89">
        <f t="shared" si="82"/>
        <v>96206101859</v>
      </c>
      <c r="N83" s="89">
        <f t="shared" si="82"/>
        <v>89185479983</v>
      </c>
      <c r="O83" s="89">
        <f t="shared" si="82"/>
        <v>85268145772</v>
      </c>
      <c r="P83" s="89">
        <f t="shared" si="82"/>
        <v>88785360315</v>
      </c>
      <c r="Q83" s="89">
        <f t="shared" si="82"/>
        <v>85016269693</v>
      </c>
      <c r="R83" s="89">
        <f t="shared" si="82"/>
        <v>89348154580</v>
      </c>
      <c r="S83" s="89">
        <f t="shared" si="82"/>
        <v>85237399124</v>
      </c>
      <c r="T83" s="89">
        <f t="shared" si="82"/>
        <v>87966528929</v>
      </c>
      <c r="U83" s="89">
        <f t="shared" si="82"/>
        <v>84257292558</v>
      </c>
    </row>
    <row r="84" spans="1:21" s="220" customFormat="1" x14ac:dyDescent="0.25">
      <c r="A84" s="224" t="s">
        <v>664</v>
      </c>
      <c r="B84" s="224"/>
      <c r="C84" s="224"/>
      <c r="D84" s="224"/>
      <c r="E84" s="224">
        <f>E83/E85</f>
        <v>0.99848459284188562</v>
      </c>
      <c r="F84" s="224">
        <f t="shared" ref="F84:U84" si="83">F83/F85</f>
        <v>0.99823352305360091</v>
      </c>
      <c r="G84" s="224">
        <f t="shared" si="83"/>
        <v>0.99857131165324975</v>
      </c>
      <c r="H84" s="224">
        <f t="shared" si="83"/>
        <v>0.996955301719195</v>
      </c>
      <c r="I84" s="224">
        <f t="shared" si="83"/>
        <v>0.99761808234197913</v>
      </c>
      <c r="J84" s="224">
        <f t="shared" si="83"/>
        <v>0.9973932307872817</v>
      </c>
      <c r="K84" s="224">
        <f t="shared" si="83"/>
        <v>0.99825233826674553</v>
      </c>
      <c r="L84" s="224">
        <f t="shared" si="83"/>
        <v>0.99920810580494279</v>
      </c>
      <c r="M84" s="224">
        <f t="shared" si="83"/>
        <v>0.99952682441295271</v>
      </c>
      <c r="N84" s="224">
        <f t="shared" si="83"/>
        <v>0.94500623701575637</v>
      </c>
      <c r="O84" s="224">
        <f t="shared" si="83"/>
        <v>0.94255090305865563</v>
      </c>
      <c r="P84" s="224">
        <f t="shared" si="83"/>
        <v>0.94566769506072235</v>
      </c>
      <c r="Q84" s="224">
        <f t="shared" si="83"/>
        <v>0.94424487639785948</v>
      </c>
      <c r="R84" s="224">
        <f t="shared" si="83"/>
        <v>0.91816960196914177</v>
      </c>
      <c r="S84" s="224">
        <f t="shared" si="83"/>
        <v>0.91596414113585878</v>
      </c>
      <c r="T84" s="224">
        <f t="shared" si="83"/>
        <v>0.91975498581565041</v>
      </c>
      <c r="U84" s="224">
        <f t="shared" si="83"/>
        <v>0.91794353776543591</v>
      </c>
    </row>
    <row r="85" spans="1:21" x14ac:dyDescent="0.25">
      <c r="A85" s="184" t="s">
        <v>656</v>
      </c>
      <c r="B85" s="64"/>
      <c r="C85" s="64"/>
      <c r="D85" s="64"/>
      <c r="E85" s="89">
        <f>E14</f>
        <v>108373251453</v>
      </c>
      <c r="F85" s="89">
        <f t="shared" ref="F85:U85" si="84">F14</f>
        <v>106706023186</v>
      </c>
      <c r="G85" s="89">
        <f t="shared" si="84"/>
        <v>103012796552</v>
      </c>
      <c r="H85" s="89">
        <f t="shared" si="84"/>
        <v>102539454884</v>
      </c>
      <c r="I85" s="89">
        <f t="shared" si="84"/>
        <v>99055398580</v>
      </c>
      <c r="J85" s="89">
        <f t="shared" si="84"/>
        <v>96502341969</v>
      </c>
      <c r="K85" s="89">
        <f t="shared" si="84"/>
        <v>99974574413</v>
      </c>
      <c r="L85" s="89">
        <f t="shared" si="84"/>
        <v>98329214289</v>
      </c>
      <c r="M85" s="89">
        <f t="shared" si="84"/>
        <v>96251645788</v>
      </c>
      <c r="N85" s="89">
        <f t="shared" si="84"/>
        <v>94375546414</v>
      </c>
      <c r="O85" s="89">
        <f t="shared" si="84"/>
        <v>90465295291</v>
      </c>
      <c r="P85" s="89">
        <f t="shared" si="84"/>
        <v>93886426256</v>
      </c>
      <c r="Q85" s="89">
        <f t="shared" si="84"/>
        <v>90036252055</v>
      </c>
      <c r="R85" s="89">
        <f t="shared" si="84"/>
        <v>97311166029</v>
      </c>
      <c r="S85" s="89">
        <f t="shared" si="84"/>
        <v>93057572121</v>
      </c>
      <c r="T85" s="89">
        <f t="shared" si="84"/>
        <v>95641263473</v>
      </c>
      <c r="U85" s="89">
        <f t="shared" si="84"/>
        <v>91789188650</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2" width="20.44140625" hidden="1" customWidth="1"/>
    <col min="13" max="13" width="21.554687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6" width="20.44140625" hidden="1" customWidth="1"/>
    <col min="47" max="47" width="19.33203125" hidden="1" customWidth="1"/>
    <col min="48" max="48" width="20.44140625" hidden="1" customWidth="1"/>
    <col min="49" max="49" width="20.44140625" bestFit="1" customWidth="1"/>
    <col min="50" max="50" width="20.44140625" hidden="1" customWidth="1"/>
    <col min="51" max="52" width="19.33203125" hidden="1" customWidth="1"/>
    <col min="53" max="53" width="20.44140625" bestFit="1" customWidth="1"/>
    <col min="54" max="55" width="19.33203125" hidden="1" customWidth="1"/>
    <col min="56" max="57" width="19.33203125" bestFit="1" customWidth="1"/>
    <col min="58" max="58" width="9.5546875" hidden="1" customWidth="1"/>
    <col min="59"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55636499436</v>
      </c>
      <c r="F2" s="26">
        <f>股权价值增加表!F4</f>
        <v>41740560803</v>
      </c>
      <c r="G2" s="26">
        <f>股权价值增加表!G4</f>
        <v>27356568247</v>
      </c>
      <c r="H2" s="26">
        <f>股权价值增加表!H4</f>
        <v>12451185731</v>
      </c>
      <c r="I2" s="26">
        <f>股权价值增加表!I4</f>
        <v>44624879986</v>
      </c>
      <c r="J2" s="26">
        <f>股权价值增加表!J4</f>
        <v>31590274924</v>
      </c>
      <c r="K2" s="26">
        <f>股权价值增加表!K4</f>
        <v>21225197228</v>
      </c>
      <c r="L2" s="26">
        <f>股权价值增加表!L4</f>
        <v>11112711644</v>
      </c>
      <c r="M2" s="26">
        <f>股权价值增加表!M4</f>
        <v>52531366878</v>
      </c>
      <c r="N2" s="26">
        <f>股权价值增加表!N4</f>
        <v>40405491363</v>
      </c>
      <c r="O2" s="26">
        <f>股权价值增加表!O4</f>
        <v>27568608083</v>
      </c>
      <c r="P2" s="26">
        <f>股权价值增加表!P4</f>
        <v>13879124264</v>
      </c>
      <c r="Q2" s="26">
        <f>股权价值增加表!Q4</f>
        <v>53970730405</v>
      </c>
      <c r="R2" s="26">
        <f>股权价值增加表!R4</f>
        <v>40584960018</v>
      </c>
      <c r="S2" s="26">
        <f>股权价值增加表!S4</f>
        <v>26381464422</v>
      </c>
      <c r="T2" s="26">
        <f>股权价值增加表!T4</f>
        <v>12924921593</v>
      </c>
      <c r="U2" s="26">
        <f>股权价值增加表!U4</f>
        <v>51342739663</v>
      </c>
      <c r="V2" s="26">
        <f>股权价值增加表!V4</f>
        <v>37696880493</v>
      </c>
      <c r="W2" s="26">
        <f>股权价值增加表!W4</f>
        <v>24322872530</v>
      </c>
      <c r="X2" s="26">
        <f>股权价值增加表!X4</f>
        <v>11983767548</v>
      </c>
      <c r="Y2" s="26">
        <f>股权价值增加表!Y4</f>
        <v>45962439573</v>
      </c>
      <c r="Z2" s="26">
        <f>股权价值增加表!Z4</f>
        <v>33478802188</v>
      </c>
      <c r="AA2" s="26">
        <f>股权价值增加表!AA4</f>
        <v>22255045433</v>
      </c>
      <c r="AB2" s="26">
        <f>股权价值增加表!AB4</f>
        <v>11190000000</v>
      </c>
      <c r="AC2" s="26">
        <f>股权价值增加表!AC4</f>
        <v>45007038465</v>
      </c>
      <c r="AD2" s="26">
        <f>股权价值增加表!AD4</f>
        <v>33270504198</v>
      </c>
      <c r="AE2" s="26">
        <f>股权价值增加表!AE4</f>
        <v>21852185048</v>
      </c>
      <c r="AF2" s="26">
        <f>股权价值增加表!AF4</f>
        <v>10894379545</v>
      </c>
      <c r="AG2" s="26">
        <f>股权价值增加表!AG4</f>
        <v>42013761549</v>
      </c>
      <c r="AH2" s="26">
        <f>股权价值增加表!AH4</f>
        <v>30987977369</v>
      </c>
      <c r="AI2" s="26">
        <f>股权价值增加表!AI4</f>
        <v>14020686374</v>
      </c>
      <c r="AJ2" s="26">
        <f>股权价值增加表!AJ4</f>
        <v>6584835335</v>
      </c>
      <c r="AK2" s="26">
        <f>股权价值增加表!AK4</f>
        <v>23123142326</v>
      </c>
      <c r="AL2" s="26">
        <f>股权价值增加表!AL4</f>
        <v>16248452158</v>
      </c>
      <c r="AM2" s="26">
        <f>股权价值增加表!AM4</f>
        <v>10162139870</v>
      </c>
      <c r="AN2" s="26">
        <f>股权价值增加表!AN4</f>
        <v>4859769970</v>
      </c>
      <c r="AO2" s="26">
        <f>股权价值增加表!AO4</f>
        <v>22595317577</v>
      </c>
      <c r="AP2" s="26">
        <f>股权价值增加表!AP4</f>
        <v>17703917791</v>
      </c>
      <c r="AQ2" s="26">
        <f>股权价值增加表!AQ4</f>
        <v>11607032225</v>
      </c>
      <c r="AR2" s="26">
        <f>股权价值增加表!AR4</f>
        <v>5507283336</v>
      </c>
      <c r="AS2" s="26">
        <f>股权价值增加表!AS4</f>
        <v>20860262089</v>
      </c>
      <c r="AT2" s="26">
        <f>股权价值增加表!AT4</f>
        <v>15225187083</v>
      </c>
      <c r="AU2" s="26">
        <f>股权价值增加表!AU4</f>
        <v>9646345314</v>
      </c>
      <c r="AV2" s="26">
        <f>股权价值增加表!AV4</f>
        <v>4499404773</v>
      </c>
      <c r="AW2" s="26">
        <f>股权价值增加表!AW4</f>
        <v>16144984825</v>
      </c>
      <c r="AX2" s="26">
        <f>股权价值增加表!AX4</f>
        <v>11763831167</v>
      </c>
      <c r="AY2" s="26">
        <f>股权价值增加表!AY4</f>
        <v>7762102659</v>
      </c>
      <c r="AZ2" s="26">
        <f>股权价值增加表!AZ4</f>
        <v>3520864128</v>
      </c>
      <c r="BA2" s="26">
        <f>股权价值增加表!BA4</f>
        <v>13104668212</v>
      </c>
      <c r="BB2" s="26">
        <f>股权价值增加表!BB4</f>
        <v>9638307308</v>
      </c>
      <c r="BC2" s="26">
        <f>股权价值增加表!BC4</f>
        <v>6487495242</v>
      </c>
      <c r="BD2" s="26">
        <f>股权价值增加表!BD4</f>
        <v>7201886346</v>
      </c>
      <c r="BE2" s="26">
        <f>股权价值增加表!BE4</f>
        <v>5138521408</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0.24675964290446573</v>
      </c>
      <c r="F3" s="66">
        <f t="shared" ref="F3:BQ3" si="0">(F2-J2)/J2</f>
        <v>0.32131046353409698</v>
      </c>
      <c r="G3" s="66">
        <f t="shared" si="0"/>
        <v>0.28887227539688426</v>
      </c>
      <c r="H3" s="66">
        <f t="shared" si="0"/>
        <v>0.12044531792766097</v>
      </c>
      <c r="I3" s="66">
        <f t="shared" si="0"/>
        <v>-0.15050982606948338</v>
      </c>
      <c r="J3" s="66">
        <f t="shared" si="0"/>
        <v>-0.21816877215536709</v>
      </c>
      <c r="K3" s="66">
        <f t="shared" si="0"/>
        <v>-0.2300954344848343</v>
      </c>
      <c r="L3" s="66">
        <f t="shared" si="0"/>
        <v>-0.19932184245771084</v>
      </c>
      <c r="M3" s="66">
        <f t="shared" si="0"/>
        <v>-2.6669335697310729E-2</v>
      </c>
      <c r="N3" s="66">
        <f t="shared" si="0"/>
        <v>-4.4220483381135064E-3</v>
      </c>
      <c r="O3" s="66">
        <f t="shared" si="0"/>
        <v>4.4999157060061405E-2</v>
      </c>
      <c r="P3" s="66">
        <f t="shared" si="0"/>
        <v>7.3826573270416279E-2</v>
      </c>
      <c r="Q3" s="66">
        <f t="shared" si="0"/>
        <v>5.1185245650104141E-2</v>
      </c>
      <c r="R3" s="66">
        <f t="shared" si="0"/>
        <v>7.6613223355080862E-2</v>
      </c>
      <c r="S3" s="66">
        <f t="shared" si="0"/>
        <v>8.4636051496833634E-2</v>
      </c>
      <c r="T3" s="66">
        <f t="shared" si="0"/>
        <v>7.8535739384987605E-2</v>
      </c>
      <c r="U3" s="66">
        <f t="shared" si="0"/>
        <v>0.11705862743544586</v>
      </c>
      <c r="V3" s="66">
        <f t="shared" si="0"/>
        <v>0.12599250956809649</v>
      </c>
      <c r="W3" s="66">
        <f t="shared" si="0"/>
        <v>9.2914979806502915E-2</v>
      </c>
      <c r="X3" s="66">
        <f t="shared" si="0"/>
        <v>7.0935437712243074E-2</v>
      </c>
      <c r="Y3" s="66">
        <f t="shared" si="0"/>
        <v>2.1227815483637599E-2</v>
      </c>
      <c r="Z3" s="66">
        <f t="shared" si="0"/>
        <v>6.2607404071899058E-3</v>
      </c>
      <c r="AA3" s="66">
        <f t="shared" si="0"/>
        <v>1.8435702613495461E-2</v>
      </c>
      <c r="AB3" s="66">
        <f t="shared" si="0"/>
        <v>2.7135134569060949E-2</v>
      </c>
      <c r="AC3" s="66">
        <f t="shared" si="0"/>
        <v>7.1245154102876213E-2</v>
      </c>
      <c r="AD3" s="66">
        <f t="shared" si="0"/>
        <v>7.3658464436708038E-2</v>
      </c>
      <c r="AE3" s="66">
        <f t="shared" si="0"/>
        <v>0.55856742423985417</v>
      </c>
      <c r="AF3" s="66">
        <f t="shared" si="0"/>
        <v>0.65446499278330095</v>
      </c>
      <c r="AG3" s="66">
        <f t="shared" si="0"/>
        <v>0.81695726976342276</v>
      </c>
      <c r="AH3" s="66">
        <f t="shared" si="0"/>
        <v>0.90713411146322187</v>
      </c>
      <c r="AI3" s="66">
        <f t="shared" si="0"/>
        <v>0.37969822826302035</v>
      </c>
      <c r="AJ3" s="66">
        <f t="shared" si="0"/>
        <v>0.3549685223064169</v>
      </c>
      <c r="AK3" s="66">
        <f t="shared" si="0"/>
        <v>2.3359917257249709E-2</v>
      </c>
      <c r="AL3" s="66">
        <f t="shared" si="0"/>
        <v>-8.2211499747242581E-2</v>
      </c>
      <c r="AM3" s="66">
        <f t="shared" si="0"/>
        <v>-0.12448422016851943</v>
      </c>
      <c r="AN3" s="66">
        <f t="shared" si="0"/>
        <v>-0.11757400636486882</v>
      </c>
      <c r="AO3" s="66">
        <f t="shared" si="0"/>
        <v>8.3175152862289617E-2</v>
      </c>
      <c r="AP3" s="66">
        <f t="shared" si="0"/>
        <v>0.16280461412311173</v>
      </c>
      <c r="AQ3" s="66">
        <f t="shared" si="0"/>
        <v>0.20325696905691346</v>
      </c>
      <c r="AR3" s="66">
        <f t="shared" si="0"/>
        <v>0.22400264342698648</v>
      </c>
      <c r="AS3" s="66">
        <f t="shared" si="0"/>
        <v>0.29205832740694448</v>
      </c>
      <c r="AT3" s="66">
        <f t="shared" si="0"/>
        <v>0.29423712962744869</v>
      </c>
      <c r="AU3" s="66">
        <f t="shared" si="0"/>
        <v>0.24274899956589199</v>
      </c>
      <c r="AV3" s="66">
        <f t="shared" si="0"/>
        <v>0.277926273047024</v>
      </c>
      <c r="AW3" s="66">
        <f t="shared" si="0"/>
        <v>0.23200256304207453</v>
      </c>
      <c r="AX3" s="66">
        <f t="shared" si="0"/>
        <v>0.2205287496110204</v>
      </c>
      <c r="AY3" s="66">
        <f t="shared" si="0"/>
        <v>0.19647142224447431</v>
      </c>
      <c r="AZ3" s="66">
        <f t="shared" si="0"/>
        <v>-0.51111917644249927</v>
      </c>
      <c r="BA3" s="66">
        <f t="shared" si="0"/>
        <v>1.5502799680074817</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40145481945</v>
      </c>
      <c r="F4" s="26">
        <f>股权价值增加表!F5</f>
        <v>28554442773</v>
      </c>
      <c r="G4" s="26">
        <f>股权价值增加表!G5</f>
        <v>18502281993</v>
      </c>
      <c r="H4" s="26">
        <f>股权价值增加表!H5</f>
        <v>8769816428</v>
      </c>
      <c r="I4" s="26">
        <f>股权价值增加表!I5</f>
        <v>36952049176</v>
      </c>
      <c r="J4" s="26">
        <f>股权价值增加表!J5</f>
        <v>26339402126</v>
      </c>
      <c r="K4" s="26">
        <f>股权价值增加表!K5</f>
        <v>17387349042</v>
      </c>
      <c r="L4" s="26">
        <f>股权价值增加表!L5</f>
        <v>8666420881</v>
      </c>
      <c r="M4" s="26">
        <f>股权价值增加表!M5</f>
        <v>36978471968</v>
      </c>
      <c r="N4" s="26">
        <f>股权价值增加表!N5</f>
        <v>26457911669</v>
      </c>
      <c r="O4" s="26">
        <f>股权价值增加表!O5</f>
        <v>18349421416</v>
      </c>
      <c r="P4" s="26">
        <f>股权价值增加表!P5</f>
        <v>9049763725</v>
      </c>
      <c r="Q4" s="26">
        <f>股权价值增加表!Q5</f>
        <v>33735439375</v>
      </c>
      <c r="R4" s="26">
        <f>股权价值增加表!R5</f>
        <v>24600897211</v>
      </c>
      <c r="S4" s="26">
        <f>股权价值增加表!S5</f>
        <v>16123107208</v>
      </c>
      <c r="T4" s="26">
        <f>股权价值增加表!T5</f>
        <v>7850871338</v>
      </c>
      <c r="U4" s="26">
        <f>股权价值增加表!U5</f>
        <v>32306787587</v>
      </c>
      <c r="V4" s="26">
        <f>股权价值增加表!V5</f>
        <v>23418244893</v>
      </c>
      <c r="W4" s="26">
        <f>股权价值增加表!W5</f>
        <v>14851293435</v>
      </c>
      <c r="X4" s="26">
        <f>股权价值增加表!X5</f>
        <v>6889499243</v>
      </c>
      <c r="Y4" s="26">
        <f>股权价值增加表!Y5</f>
        <v>28320619201</v>
      </c>
      <c r="Z4" s="26">
        <f>股权价值增加表!Z5</f>
        <v>20093014059</v>
      </c>
      <c r="AA4" s="26">
        <f>股权价值增加表!AA5</f>
        <v>13153769399</v>
      </c>
      <c r="AB4" s="26">
        <f>股权价值增加表!AB5</f>
        <v>6067181712</v>
      </c>
      <c r="AC4" s="26">
        <f>股权价值增加表!AC5</f>
        <v>26420323917</v>
      </c>
      <c r="AD4" s="26">
        <f>股权价值增加表!AD5</f>
        <v>18749656390</v>
      </c>
      <c r="AE4" s="26">
        <f>股权价值增加表!AE5</f>
        <v>12251230572</v>
      </c>
      <c r="AF4" s="26">
        <f>股权价值增加表!AF5</f>
        <v>5816045791</v>
      </c>
      <c r="AG4" s="26">
        <f>股权价值增加表!AG5</f>
        <v>24218767128</v>
      </c>
      <c r="AH4" s="26">
        <f>股权价值增加表!AH5</f>
        <v>16837695232</v>
      </c>
      <c r="AI4" s="26">
        <f>股权价值增加表!AI5</f>
        <v>6420993050</v>
      </c>
      <c r="AJ4" s="26">
        <f>股权价值增加表!AJ5</f>
        <v>2834170107</v>
      </c>
      <c r="AK4" s="26">
        <f>股权价值增加表!AK5</f>
        <v>11932465796</v>
      </c>
      <c r="AL4" s="26">
        <f>股权价值增加表!AL5</f>
        <v>8132230138</v>
      </c>
      <c r="AM4" s="26">
        <f>股权价值增加表!AM5</f>
        <v>5113318889</v>
      </c>
      <c r="AN4" s="26">
        <f>股权价值增加表!AN5</f>
        <v>2299111384</v>
      </c>
      <c r="AO4" s="26">
        <f>股权价值增加表!AO5</f>
        <v>11708828992</v>
      </c>
      <c r="AP4" s="26">
        <f>股权价值增加表!AP5</f>
        <v>8402508820</v>
      </c>
      <c r="AQ4" s="26">
        <f>股权价值增加表!AQ5</f>
        <v>5477138675</v>
      </c>
      <c r="AR4" s="26">
        <f>股权价值增加表!AR5</f>
        <v>2224288390</v>
      </c>
      <c r="AS4" s="26">
        <f>股权价值增加表!AS5</f>
        <v>10061194227</v>
      </c>
      <c r="AT4" s="26">
        <f>股权价值增加表!AT5</f>
        <v>6984475987</v>
      </c>
      <c r="AU4" s="26">
        <f>股权价值增加表!AU5</f>
        <v>4548348620</v>
      </c>
      <c r="AV4" s="26">
        <f>股权价值增加表!AV5</f>
        <v>1831360245</v>
      </c>
      <c r="AW4" s="26">
        <f>股权价值增加表!AW5</f>
        <v>7969520393</v>
      </c>
      <c r="AX4" s="26">
        <f>股权价值增加表!AX5</f>
        <v>5632612830</v>
      </c>
      <c r="AY4" s="26">
        <f>股权价值增加表!AY5</f>
        <v>3568647876</v>
      </c>
      <c r="AZ4" s="26">
        <f>股权价值增加表!AZ5</f>
        <v>1865040685</v>
      </c>
      <c r="BA4" s="26">
        <f>股权价值增加表!BA5</f>
        <v>6059036676</v>
      </c>
      <c r="BB4" s="26">
        <f>股权价值增加表!BB5</f>
        <v>4382989782</v>
      </c>
      <c r="BC4" s="26">
        <f>股权价值增加表!BC5</f>
        <v>2853149756</v>
      </c>
      <c r="BD4" s="26">
        <f>股权价值增加表!BD5</f>
        <v>2921890812</v>
      </c>
      <c r="BE4" s="26">
        <f>股权价值增加表!BE5</f>
        <v>2342204700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0.72156735869373501</v>
      </c>
      <c r="F5" s="66">
        <f t="shared" si="2"/>
        <v>0.68409341474271035</v>
      </c>
      <c r="G5" s="66">
        <f t="shared" si="2"/>
        <v>0.67633782958244459</v>
      </c>
      <c r="H5" s="66">
        <f t="shared" si="2"/>
        <v>0.70433584539387195</v>
      </c>
      <c r="I5" s="66">
        <f t="shared" si="2"/>
        <v>0.82805935136616238</v>
      </c>
      <c r="J5" s="66">
        <f t="shared" si="2"/>
        <v>0.83378198478384347</v>
      </c>
      <c r="K5" s="66">
        <f t="shared" si="2"/>
        <v>0.81918433337631547</v>
      </c>
      <c r="L5" s="66">
        <f t="shared" si="2"/>
        <v>0.77986554124970864</v>
      </c>
      <c r="M5" s="66">
        <f t="shared" si="2"/>
        <v>0.7039312731739803</v>
      </c>
      <c r="N5" s="66">
        <f t="shared" si="2"/>
        <v>0.65480979877967682</v>
      </c>
      <c r="O5" s="66">
        <f t="shared" si="2"/>
        <v>0.66559114485417381</v>
      </c>
      <c r="P5" s="66">
        <f t="shared" si="2"/>
        <v>0.65204140786270581</v>
      </c>
      <c r="Q5" s="66">
        <f t="shared" si="2"/>
        <v>0.62506916474627983</v>
      </c>
      <c r="R5" s="66">
        <f t="shared" si="2"/>
        <v>0.60615797576464669</v>
      </c>
      <c r="S5" s="66">
        <f t="shared" si="2"/>
        <v>0.61115285149048193</v>
      </c>
      <c r="T5" s="66">
        <f t="shared" si="2"/>
        <v>0.60742119644671178</v>
      </c>
      <c r="U5" s="66">
        <f t="shared" si="2"/>
        <v>0.62923770330631179</v>
      </c>
      <c r="V5" s="66">
        <f t="shared" si="2"/>
        <v>0.62122500818996351</v>
      </c>
      <c r="W5" s="66">
        <f t="shared" si="2"/>
        <v>0.61058961751669383</v>
      </c>
      <c r="X5" s="66">
        <f t="shared" si="2"/>
        <v>0.57490261016868649</v>
      </c>
      <c r="Y5" s="66">
        <f t="shared" si="2"/>
        <v>0.61616875570800977</v>
      </c>
      <c r="Z5" s="66">
        <f t="shared" si="2"/>
        <v>0.60017123510476289</v>
      </c>
      <c r="AA5" s="66">
        <f t="shared" si="2"/>
        <v>0.59104662080336445</v>
      </c>
      <c r="AB5" s="66">
        <f t="shared" si="2"/>
        <v>0.54219675710455761</v>
      </c>
      <c r="AC5" s="66">
        <f t="shared" si="2"/>
        <v>0.58702649225733716</v>
      </c>
      <c r="AD5" s="66">
        <f t="shared" si="2"/>
        <v>0.56355191608809774</v>
      </c>
      <c r="AE5" s="66">
        <f t="shared" si="2"/>
        <v>0.56064098601989831</v>
      </c>
      <c r="AF5" s="66">
        <f t="shared" si="2"/>
        <v>0.53385745989263678</v>
      </c>
      <c r="AG5" s="66">
        <f t="shared" si="2"/>
        <v>0.57644843582391514</v>
      </c>
      <c r="AH5" s="66">
        <f t="shared" si="2"/>
        <v>0.54336218951948212</v>
      </c>
      <c r="AI5" s="66">
        <f t="shared" si="2"/>
        <v>0.45796567148860184</v>
      </c>
      <c r="AJ5" s="66">
        <f t="shared" si="2"/>
        <v>0.4304086530358166</v>
      </c>
      <c r="AK5" s="66">
        <f t="shared" ref="AK5:BP5" si="3">AK4/AK2</f>
        <v>0.51603997535330481</v>
      </c>
      <c r="AL5" s="66">
        <f t="shared" si="3"/>
        <v>0.50049260439838628</v>
      </c>
      <c r="AM5" s="66">
        <f t="shared" si="3"/>
        <v>0.50317344126459063</v>
      </c>
      <c r="AN5" s="66">
        <f t="shared" si="3"/>
        <v>0.47309057798881787</v>
      </c>
      <c r="AO5" s="66">
        <f t="shared" si="3"/>
        <v>0.51819714204497547</v>
      </c>
      <c r="AP5" s="66">
        <f t="shared" si="3"/>
        <v>0.47461295963944866</v>
      </c>
      <c r="AQ5" s="66">
        <f t="shared" si="3"/>
        <v>0.4718810604491106</v>
      </c>
      <c r="AR5" s="66">
        <f t="shared" si="3"/>
        <v>0.4038812340487869</v>
      </c>
      <c r="AS5" s="66">
        <f t="shared" si="3"/>
        <v>0.48231389347238607</v>
      </c>
      <c r="AT5" s="66">
        <f t="shared" si="3"/>
        <v>0.45874483833427981</v>
      </c>
      <c r="AU5" s="66">
        <f t="shared" si="3"/>
        <v>0.47151003534974634</v>
      </c>
      <c r="AV5" s="66">
        <f t="shared" si="3"/>
        <v>0.40702278132201286</v>
      </c>
      <c r="AW5" s="66">
        <f t="shared" si="3"/>
        <v>0.49362204296776102</v>
      </c>
      <c r="AX5" s="66">
        <f t="shared" si="3"/>
        <v>0.47880769028721304</v>
      </c>
      <c r="AY5" s="66">
        <f t="shared" si="3"/>
        <v>0.45975272845202908</v>
      </c>
      <c r="AZ5" s="66">
        <f t="shared" si="3"/>
        <v>0.52971106444241634</v>
      </c>
      <c r="BA5" s="66">
        <f t="shared" si="3"/>
        <v>0.46235712175083643</v>
      </c>
      <c r="BB5" s="66">
        <f t="shared" si="3"/>
        <v>0.45474683903905255</v>
      </c>
      <c r="BC5" s="66">
        <f t="shared" si="3"/>
        <v>0.43979219245183071</v>
      </c>
      <c r="BD5" s="66">
        <f t="shared" si="3"/>
        <v>0.4057118748649578</v>
      </c>
      <c r="BE5" s="66">
        <f t="shared" si="3"/>
        <v>0.45581296914585123</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8.6420992616401474E-2</v>
      </c>
      <c r="F6" s="66">
        <f t="shared" ref="F6:BQ6" si="5">(F4-J4)/J4</f>
        <v>8.4096086782983651E-2</v>
      </c>
      <c r="G6" s="66">
        <f t="shared" si="5"/>
        <v>6.4123228233747678E-2</v>
      </c>
      <c r="H6" s="66">
        <f t="shared" si="5"/>
        <v>1.1930593773339729E-2</v>
      </c>
      <c r="I6" s="66">
        <f t="shared" si="5"/>
        <v>-7.1454526360271043E-4</v>
      </c>
      <c r="J6" s="66">
        <f t="shared" si="5"/>
        <v>-4.4791722220032335E-3</v>
      </c>
      <c r="K6" s="66">
        <f t="shared" si="5"/>
        <v>-5.2430665370250276E-2</v>
      </c>
      <c r="L6" s="66">
        <f t="shared" si="5"/>
        <v>-4.2359431212664063E-2</v>
      </c>
      <c r="M6" s="66">
        <f t="shared" si="5"/>
        <v>9.6131328154667017E-2</v>
      </c>
      <c r="N6" s="66">
        <f t="shared" si="5"/>
        <v>7.5485639489996245E-2</v>
      </c>
      <c r="O6" s="66">
        <f t="shared" si="5"/>
        <v>0.13808220582291622</v>
      </c>
      <c r="P6" s="66">
        <f t="shared" si="5"/>
        <v>0.15270819446461803</v>
      </c>
      <c r="Q6" s="66">
        <f t="shared" si="5"/>
        <v>4.4221412734173494E-2</v>
      </c>
      <c r="R6" s="66">
        <f t="shared" si="5"/>
        <v>5.0501321657692173E-2</v>
      </c>
      <c r="S6" s="66">
        <f t="shared" si="5"/>
        <v>8.5636566172931458E-2</v>
      </c>
      <c r="T6" s="66">
        <f t="shared" si="5"/>
        <v>0.13954165042935326</v>
      </c>
      <c r="U6" s="66">
        <f t="shared" si="5"/>
        <v>0.140751455951897</v>
      </c>
      <c r="V6" s="66">
        <f t="shared" si="5"/>
        <v>0.16549188808786869</v>
      </c>
      <c r="W6" s="66">
        <f t="shared" si="5"/>
        <v>0.12905228794181631</v>
      </c>
      <c r="X6" s="66">
        <f t="shared" si="5"/>
        <v>0.13553533914660507</v>
      </c>
      <c r="Y6" s="66">
        <f t="shared" si="5"/>
        <v>7.1925510450584082E-2</v>
      </c>
      <c r="Z6" s="66">
        <f t="shared" si="5"/>
        <v>7.1647055341049912E-2</v>
      </c>
      <c r="AA6" s="66">
        <f t="shared" si="5"/>
        <v>7.3669238505945575E-2</v>
      </c>
      <c r="AB6" s="66">
        <f t="shared" si="5"/>
        <v>4.3179839022006762E-2</v>
      </c>
      <c r="AC6" s="66">
        <f t="shared" si="5"/>
        <v>9.0902925708993582E-2</v>
      </c>
      <c r="AD6" s="66">
        <f t="shared" si="5"/>
        <v>0.1135524269596187</v>
      </c>
      <c r="AE6" s="66">
        <f t="shared" si="5"/>
        <v>0.90799623618966541</v>
      </c>
      <c r="AF6" s="66">
        <f t="shared" si="5"/>
        <v>1.0521159886046318</v>
      </c>
      <c r="AG6" s="66">
        <f t="shared" si="5"/>
        <v>1.0296531783161376</v>
      </c>
      <c r="AH6" s="66">
        <f t="shared" si="5"/>
        <v>1.0704892687826686</v>
      </c>
      <c r="AI6" s="66">
        <f t="shared" si="5"/>
        <v>0.25573882431098266</v>
      </c>
      <c r="AJ6" s="66">
        <f t="shared" si="5"/>
        <v>0.23272414147639225</v>
      </c>
      <c r="AK6" s="66">
        <f t="shared" si="5"/>
        <v>1.9099843729274615E-2</v>
      </c>
      <c r="AL6" s="66">
        <f t="shared" si="5"/>
        <v>-3.2166426455473809E-2</v>
      </c>
      <c r="AM6" s="66">
        <f t="shared" si="5"/>
        <v>-6.6425155101627956E-2</v>
      </c>
      <c r="AN6" s="66">
        <f t="shared" si="5"/>
        <v>3.363907051639109E-2</v>
      </c>
      <c r="AO6" s="66">
        <f t="shared" si="5"/>
        <v>0.16376135156783311</v>
      </c>
      <c r="AP6" s="66">
        <f t="shared" si="5"/>
        <v>0.20302637386675004</v>
      </c>
      <c r="AQ6" s="66">
        <f t="shared" si="5"/>
        <v>0.20420379627804344</v>
      </c>
      <c r="AR6" s="66">
        <f t="shared" si="5"/>
        <v>0.21455535363551587</v>
      </c>
      <c r="AS6" s="66">
        <f t="shared" si="5"/>
        <v>0.26245918585479927</v>
      </c>
      <c r="AT6" s="66">
        <f t="shared" si="5"/>
        <v>0.24000640516241553</v>
      </c>
      <c r="AU6" s="66">
        <f t="shared" si="5"/>
        <v>0.27452995589414103</v>
      </c>
      <c r="AV6" s="66">
        <f t="shared" si="5"/>
        <v>-1.8058823204706656E-2</v>
      </c>
      <c r="AW6" s="66">
        <f t="shared" si="5"/>
        <v>0.31531146272269239</v>
      </c>
      <c r="AX6" s="66">
        <f t="shared" si="5"/>
        <v>0.28510745179738589</v>
      </c>
      <c r="AY6" s="66">
        <f t="shared" si="5"/>
        <v>0.25077482122883704</v>
      </c>
      <c r="AZ6" s="66">
        <f t="shared" si="5"/>
        <v>-0.36170075988452099</v>
      </c>
      <c r="BA6" s="66">
        <f t="shared" si="5"/>
        <v>1.5868945937987402</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15491017491</v>
      </c>
      <c r="F7" s="27">
        <f>股权价值增加表!F6</f>
        <v>13186118030</v>
      </c>
      <c r="G7" s="27">
        <f>股权价值增加表!G6</f>
        <v>8854286254</v>
      </c>
      <c r="H7" s="27">
        <f>股权价值增加表!H6</f>
        <v>3681369303</v>
      </c>
      <c r="I7" s="27">
        <f>股权价值增加表!I6</f>
        <v>7672830810</v>
      </c>
      <c r="J7" s="27">
        <f>股权价值增加表!J6</f>
        <v>5250872798</v>
      </c>
      <c r="K7" s="27">
        <f>股权价值增加表!K6</f>
        <v>3837848186</v>
      </c>
      <c r="L7" s="27">
        <f>股权价值增加表!L6</f>
        <v>2446290763</v>
      </c>
      <c r="M7" s="27">
        <f>股权价值增加表!M6</f>
        <v>15552894910</v>
      </c>
      <c r="N7" s="27">
        <f>股权价值增加表!N6</f>
        <v>13947579694</v>
      </c>
      <c r="O7" s="27">
        <f>股权价值增加表!O6</f>
        <v>9219186667</v>
      </c>
      <c r="P7" s="27">
        <f>股权价值增加表!P6</f>
        <v>4829360539</v>
      </c>
      <c r="Q7" s="27">
        <f>股权价值增加表!Q6</f>
        <v>20235291030</v>
      </c>
      <c r="R7" s="27">
        <f>股权价值增加表!R6</f>
        <v>15984062807</v>
      </c>
      <c r="S7" s="27">
        <f>股权价值增加表!S6</f>
        <v>10258357214</v>
      </c>
      <c r="T7" s="27">
        <f>股权价值增加表!T6</f>
        <v>5074050255</v>
      </c>
      <c r="U7" s="27">
        <f>股权价值增加表!U6</f>
        <v>19035952076</v>
      </c>
      <c r="V7" s="27">
        <f>股权价值增加表!V6</f>
        <v>14278635600</v>
      </c>
      <c r="W7" s="27">
        <f>股权价值增加表!W6</f>
        <v>9471579095</v>
      </c>
      <c r="X7" s="27">
        <f>股权价值增加表!X6</f>
        <v>5094268305</v>
      </c>
      <c r="Y7" s="27">
        <f>股权价值增加表!Y6</f>
        <v>17641820372</v>
      </c>
      <c r="Z7" s="27">
        <f>股权价值增加表!Z6</f>
        <v>13385788129</v>
      </c>
      <c r="AA7" s="27">
        <f>股权价值增加表!AA6</f>
        <v>9101276034</v>
      </c>
      <c r="AB7" s="27">
        <f>股权价值增加表!AB6</f>
        <v>5122818288</v>
      </c>
      <c r="AC7" s="27">
        <f>股权价值增加表!AC6</f>
        <v>18586714548</v>
      </c>
      <c r="AD7" s="27">
        <f>股权价值增加表!AD6</f>
        <v>14520847808</v>
      </c>
      <c r="AE7" s="27">
        <f>股权价值增加表!AE6</f>
        <v>9600954476</v>
      </c>
      <c r="AF7" s="27">
        <f>股权价值增加表!AF6</f>
        <v>5078333754</v>
      </c>
      <c r="AG7" s="27">
        <f>股权价值增加表!AG6</f>
        <v>17794994421</v>
      </c>
      <c r="AH7" s="27">
        <f>股权价值增加表!AH6</f>
        <v>14150282137</v>
      </c>
      <c r="AI7" s="27">
        <f>股权价值增加表!AI6</f>
        <v>7599693324</v>
      </c>
      <c r="AJ7" s="27">
        <f>股权价值增加表!AJ6</f>
        <v>3750665228</v>
      </c>
      <c r="AK7" s="27">
        <f>股权价值增加表!AK6</f>
        <v>11190676530</v>
      </c>
      <c r="AL7" s="27">
        <f>股权价值增加表!AL6</f>
        <v>8116222020</v>
      </c>
      <c r="AM7" s="27">
        <f>股权价值增加表!AM6</f>
        <v>5048820981</v>
      </c>
      <c r="AN7" s="27">
        <f>股权价值增加表!AN6</f>
        <v>2560658586</v>
      </c>
      <c r="AO7" s="27">
        <f>股权价值增加表!AO6</f>
        <v>10886488585</v>
      </c>
      <c r="AP7" s="27">
        <f>股权价值增加表!AP6</f>
        <v>9301408971</v>
      </c>
      <c r="AQ7" s="27">
        <f>股权价值增加表!AQ6</f>
        <v>6129893550</v>
      </c>
      <c r="AR7" s="27">
        <f>股权价值增加表!AR6</f>
        <v>3282994946</v>
      </c>
      <c r="AS7" s="27">
        <f>股权价值增加表!AS6</f>
        <v>10799067862</v>
      </c>
      <c r="AT7" s="27">
        <f>股权价值增加表!AT6</f>
        <v>8240711096</v>
      </c>
      <c r="AU7" s="27">
        <f>股权价值增加表!AU6</f>
        <v>5097996694</v>
      </c>
      <c r="AV7" s="27">
        <f>股权价值增加表!AV6</f>
        <v>2668044528</v>
      </c>
      <c r="AW7" s="27">
        <f>股权价值增加表!AW6</f>
        <v>8175464432</v>
      </c>
      <c r="AX7" s="27">
        <f>股权价值增加表!AX6</f>
        <v>6131218337</v>
      </c>
      <c r="AY7" s="27">
        <f>股权价值增加表!AY6</f>
        <v>4193454783</v>
      </c>
      <c r="AZ7" s="27">
        <f>股权价值增加表!AZ6</f>
        <v>1655823443</v>
      </c>
      <c r="BA7" s="27">
        <f>股权价值增加表!BA6</f>
        <v>7045631536</v>
      </c>
      <c r="BB7" s="27">
        <f>股权价值增加表!BB6</f>
        <v>5255317526</v>
      </c>
      <c r="BC7" s="27">
        <f>股权价值增加表!BC6</f>
        <v>3634345486</v>
      </c>
      <c r="BD7" s="27">
        <f>股权价值增加表!BD6</f>
        <v>4279995534</v>
      </c>
      <c r="BE7" s="27">
        <f>股权价值增加表!BE6</f>
        <v>2796316708</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0.27843264130626494</v>
      </c>
      <c r="F8" s="66">
        <f t="shared" ref="F8:BQ8" si="7">F7/F2</f>
        <v>0.3159065852572896</v>
      </c>
      <c r="G8" s="66">
        <f t="shared" si="7"/>
        <v>0.32366217041755546</v>
      </c>
      <c r="H8" s="66">
        <f t="shared" si="7"/>
        <v>0.2956641546061281</v>
      </c>
      <c r="I8" s="66">
        <f t="shared" si="7"/>
        <v>0.17194064863383765</v>
      </c>
      <c r="J8" s="66">
        <f t="shared" si="7"/>
        <v>0.16621801521615653</v>
      </c>
      <c r="K8" s="66">
        <f t="shared" si="7"/>
        <v>0.18081566662368448</v>
      </c>
      <c r="L8" s="66">
        <f t="shared" si="7"/>
        <v>0.22013445875029131</v>
      </c>
      <c r="M8" s="66">
        <f t="shared" si="7"/>
        <v>0.2960687268260197</v>
      </c>
      <c r="N8" s="66">
        <f t="shared" si="7"/>
        <v>0.34519020122032318</v>
      </c>
      <c r="O8" s="66">
        <f t="shared" si="7"/>
        <v>0.33440885514582619</v>
      </c>
      <c r="P8" s="66">
        <f t="shared" si="7"/>
        <v>0.34795859213729424</v>
      </c>
      <c r="Q8" s="66">
        <f t="shared" si="7"/>
        <v>0.37493083525372017</v>
      </c>
      <c r="R8" s="66">
        <f t="shared" si="7"/>
        <v>0.39384202423535331</v>
      </c>
      <c r="S8" s="66">
        <f t="shared" si="7"/>
        <v>0.38884714850951801</v>
      </c>
      <c r="T8" s="66">
        <f t="shared" si="7"/>
        <v>0.39257880355328822</v>
      </c>
      <c r="U8" s="66">
        <f t="shared" si="7"/>
        <v>0.37076229669368821</v>
      </c>
      <c r="V8" s="66">
        <f t="shared" si="7"/>
        <v>0.37877499181003649</v>
      </c>
      <c r="W8" s="66">
        <f t="shared" si="7"/>
        <v>0.38941038248330612</v>
      </c>
      <c r="X8" s="66">
        <f t="shared" si="7"/>
        <v>0.42509738983131351</v>
      </c>
      <c r="Y8" s="66">
        <f t="shared" si="7"/>
        <v>0.38383124429199017</v>
      </c>
      <c r="Z8" s="66">
        <f t="shared" si="7"/>
        <v>0.39982876489523705</v>
      </c>
      <c r="AA8" s="66">
        <f t="shared" si="7"/>
        <v>0.40895337919663549</v>
      </c>
      <c r="AB8" s="66">
        <f t="shared" si="7"/>
        <v>0.45780324289544239</v>
      </c>
      <c r="AC8" s="66">
        <f t="shared" si="7"/>
        <v>0.41297350774266278</v>
      </c>
      <c r="AD8" s="66">
        <f t="shared" si="7"/>
        <v>0.43644808391190226</v>
      </c>
      <c r="AE8" s="66">
        <f t="shared" si="7"/>
        <v>0.43935901398010163</v>
      </c>
      <c r="AF8" s="66">
        <f t="shared" si="7"/>
        <v>0.46614254010736322</v>
      </c>
      <c r="AG8" s="66">
        <f t="shared" si="7"/>
        <v>0.42355156417608486</v>
      </c>
      <c r="AH8" s="66">
        <f t="shared" si="7"/>
        <v>0.45663781048051794</v>
      </c>
      <c r="AI8" s="66">
        <f t="shared" si="7"/>
        <v>0.54203432851139821</v>
      </c>
      <c r="AJ8" s="66">
        <f t="shared" si="7"/>
        <v>0.56959134696418345</v>
      </c>
      <c r="AK8" s="66">
        <f t="shared" si="7"/>
        <v>0.48396002464669513</v>
      </c>
      <c r="AL8" s="66">
        <f t="shared" si="7"/>
        <v>0.49950739560161372</v>
      </c>
      <c r="AM8" s="66">
        <f t="shared" si="7"/>
        <v>0.49682655873540932</v>
      </c>
      <c r="AN8" s="66">
        <f t="shared" si="7"/>
        <v>0.52690942201118218</v>
      </c>
      <c r="AO8" s="66">
        <f t="shared" si="7"/>
        <v>0.48180285795502453</v>
      </c>
      <c r="AP8" s="66">
        <f t="shared" si="7"/>
        <v>0.52538704036055139</v>
      </c>
      <c r="AQ8" s="66">
        <f t="shared" si="7"/>
        <v>0.5281189395508894</v>
      </c>
      <c r="AR8" s="66">
        <f t="shared" si="7"/>
        <v>0.59611876595121305</v>
      </c>
      <c r="AS8" s="66">
        <f t="shared" si="7"/>
        <v>0.51768610652761393</v>
      </c>
      <c r="AT8" s="66">
        <f t="shared" si="7"/>
        <v>0.54125516166572019</v>
      </c>
      <c r="AU8" s="66">
        <f t="shared" si="7"/>
        <v>0.52848996465025366</v>
      </c>
      <c r="AV8" s="66">
        <f t="shared" si="7"/>
        <v>0.59297721867798714</v>
      </c>
      <c r="AW8" s="66">
        <f t="shared" si="7"/>
        <v>0.50637795703223898</v>
      </c>
      <c r="AX8" s="66">
        <f t="shared" si="7"/>
        <v>0.52119230971278696</v>
      </c>
      <c r="AY8" s="66">
        <f t="shared" si="7"/>
        <v>0.54024727154797092</v>
      </c>
      <c r="AZ8" s="66">
        <f t="shared" si="7"/>
        <v>0.47028893555758366</v>
      </c>
      <c r="BA8" s="66">
        <f t="shared" si="7"/>
        <v>0.53764287824916357</v>
      </c>
      <c r="BB8" s="66">
        <f t="shared" si="7"/>
        <v>0.54525316096094745</v>
      </c>
      <c r="BC8" s="66">
        <f t="shared" si="7"/>
        <v>0.56020780754816935</v>
      </c>
      <c r="BD8" s="66">
        <f t="shared" si="7"/>
        <v>0.59428812513504226</v>
      </c>
      <c r="BE8" s="66">
        <f t="shared" si="7"/>
        <v>0.54418703085414877</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1.0189442299197524</v>
      </c>
      <c r="F9" s="66">
        <f t="shared" ref="F9:BQ9" si="9">(F7-J7)/J7</f>
        <v>1.5112240454620132</v>
      </c>
      <c r="G9" s="66">
        <f t="shared" si="9"/>
        <v>1.3070965355793258</v>
      </c>
      <c r="H9" s="66">
        <f t="shared" si="9"/>
        <v>0.5048780621995097</v>
      </c>
      <c r="I9" s="66">
        <f t="shared" si="9"/>
        <v>-0.50666220955002905</v>
      </c>
      <c r="J9" s="66">
        <f t="shared" si="9"/>
        <v>-0.62352803043965888</v>
      </c>
      <c r="K9" s="66">
        <f t="shared" si="9"/>
        <v>-0.58371076271429179</v>
      </c>
      <c r="L9" s="66">
        <f t="shared" si="9"/>
        <v>-0.49345451778869559</v>
      </c>
      <c r="M9" s="66">
        <f t="shared" si="9"/>
        <v>-0.23139751798272012</v>
      </c>
      <c r="N9" s="66">
        <f t="shared" si="9"/>
        <v>-0.12740710153542129</v>
      </c>
      <c r="O9" s="66">
        <f t="shared" si="9"/>
        <v>-0.10129989873834784</v>
      </c>
      <c r="P9" s="66">
        <f t="shared" si="9"/>
        <v>-4.8223747046825416E-2</v>
      </c>
      <c r="Q9" s="66">
        <f t="shared" si="9"/>
        <v>6.3003885973851204E-2</v>
      </c>
      <c r="R9" s="66">
        <f t="shared" si="9"/>
        <v>0.11943908751337558</v>
      </c>
      <c r="S9" s="66">
        <f t="shared" si="9"/>
        <v>8.3067259546545549E-2</v>
      </c>
      <c r="T9" s="66">
        <f t="shared" si="9"/>
        <v>-3.9687838938824794E-3</v>
      </c>
      <c r="U9" s="66">
        <f t="shared" si="9"/>
        <v>7.9024254561206111E-2</v>
      </c>
      <c r="V9" s="66">
        <f t="shared" si="9"/>
        <v>6.6701150682765303E-2</v>
      </c>
      <c r="W9" s="66">
        <f t="shared" si="9"/>
        <v>4.068693880030054E-2</v>
      </c>
      <c r="X9" s="66">
        <f t="shared" si="9"/>
        <v>-5.5731008587357493E-3</v>
      </c>
      <c r="Y9" s="66">
        <f t="shared" si="9"/>
        <v>-5.083707362911398E-2</v>
      </c>
      <c r="Z9" s="66">
        <f t="shared" si="9"/>
        <v>-7.8167590075192389E-2</v>
      </c>
      <c r="AA9" s="66">
        <f t="shared" si="9"/>
        <v>-5.2044663189381009E-2</v>
      </c>
      <c r="AB9" s="66">
        <f t="shared" si="9"/>
        <v>8.7596712140003228E-3</v>
      </c>
      <c r="AC9" s="66">
        <f t="shared" si="9"/>
        <v>4.4491170284700142E-2</v>
      </c>
      <c r="AD9" s="66">
        <f t="shared" si="9"/>
        <v>2.6187864483002005E-2</v>
      </c>
      <c r="AE9" s="66">
        <f t="shared" si="9"/>
        <v>0.26333446188939924</v>
      </c>
      <c r="AF9" s="66">
        <f t="shared" si="9"/>
        <v>0.35398214591067739</v>
      </c>
      <c r="AG9" s="66">
        <f t="shared" si="9"/>
        <v>0.59016252264062175</v>
      </c>
      <c r="AH9" s="66">
        <f t="shared" si="9"/>
        <v>0.74345675883814721</v>
      </c>
      <c r="AI9" s="66">
        <f t="shared" si="9"/>
        <v>0.50524119444907689</v>
      </c>
      <c r="AJ9" s="66">
        <f t="shared" si="9"/>
        <v>0.46472678884493818</v>
      </c>
      <c r="AK9" s="66">
        <f t="shared" si="9"/>
        <v>2.7941786979791335E-2</v>
      </c>
      <c r="AL9" s="66">
        <f t="shared" si="9"/>
        <v>-0.12742015265592391</v>
      </c>
      <c r="AM9" s="66">
        <f t="shared" si="9"/>
        <v>-0.17636074104418992</v>
      </c>
      <c r="AN9" s="66">
        <f t="shared" si="9"/>
        <v>-0.22002359792849951</v>
      </c>
      <c r="AO9" s="66">
        <f t="shared" si="9"/>
        <v>8.0952100789752398E-3</v>
      </c>
      <c r="AP9" s="66">
        <f t="shared" si="9"/>
        <v>0.12871436246744014</v>
      </c>
      <c r="AQ9" s="66">
        <f t="shared" si="9"/>
        <v>0.20241222541679427</v>
      </c>
      <c r="AR9" s="66">
        <f t="shared" si="9"/>
        <v>0.23048731441561607</v>
      </c>
      <c r="AS9" s="66">
        <f t="shared" si="9"/>
        <v>0.3209118517757622</v>
      </c>
      <c r="AT9" s="66">
        <f t="shared" si="9"/>
        <v>0.34405768039116563</v>
      </c>
      <c r="AU9" s="66">
        <f t="shared" si="9"/>
        <v>0.215703270407721</v>
      </c>
      <c r="AV9" s="66">
        <f t="shared" si="9"/>
        <v>0.61130979228441806</v>
      </c>
      <c r="AW9" s="66">
        <f t="shared" si="9"/>
        <v>0.160359350361577</v>
      </c>
      <c r="AX9" s="66">
        <f t="shared" si="9"/>
        <v>0.16666943655955985</v>
      </c>
      <c r="AY9" s="66">
        <f t="shared" si="9"/>
        <v>0.15384043678669684</v>
      </c>
      <c r="AZ9" s="66">
        <f t="shared" si="9"/>
        <v>-0.61312496009721307</v>
      </c>
      <c r="BA9" s="66">
        <f t="shared" si="9"/>
        <v>1.5196114287924214</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224327406</v>
      </c>
      <c r="F10" s="27">
        <f>股权价值增加表!F8</f>
        <v>162578759</v>
      </c>
      <c r="G10" s="27">
        <f>股权价值增加表!G8</f>
        <v>104503004</v>
      </c>
      <c r="H10" s="27">
        <f>股权价值增加表!H8</f>
        <v>34269528</v>
      </c>
      <c r="I10" s="27">
        <f>股权价值增加表!I8</f>
        <v>185665759</v>
      </c>
      <c r="J10" s="27">
        <f>股权价值增加表!J8</f>
        <v>114060085</v>
      </c>
      <c r="K10" s="27">
        <f>股权价值增加表!K8</f>
        <v>78684006</v>
      </c>
      <c r="L10" s="27">
        <f>股权价值增加表!L8</f>
        <v>41480182</v>
      </c>
      <c r="M10" s="27">
        <f>股权价值增加表!M8</f>
        <v>199041610</v>
      </c>
      <c r="N10" s="27">
        <f>股权价值增加表!N8</f>
        <v>145756408</v>
      </c>
      <c r="O10" s="27">
        <f>股权价值增加表!O8</f>
        <v>100033097</v>
      </c>
      <c r="P10" s="27">
        <f>股权价值增加表!P8</f>
        <v>37583743</v>
      </c>
      <c r="Q10" s="27">
        <f>股权价值增加表!Q8</f>
        <v>219634835</v>
      </c>
      <c r="R10" s="27">
        <f>股权价值增加表!R8</f>
        <v>157406161</v>
      </c>
      <c r="S10" s="27">
        <f>股权价值增加表!S8</f>
        <v>101605944</v>
      </c>
      <c r="T10" s="27">
        <f>股权价值增加表!T8</f>
        <v>51921241</v>
      </c>
      <c r="U10" s="27">
        <f>股权价值增加表!U8</f>
        <v>1529889334</v>
      </c>
      <c r="V10" s="27">
        <f>股权价值增加表!V8</f>
        <v>1122285146</v>
      </c>
      <c r="W10" s="27">
        <f>股权价值增加表!W8</f>
        <v>719620121</v>
      </c>
      <c r="X10" s="27">
        <f>股权价值增加表!X8</f>
        <v>335413523</v>
      </c>
      <c r="Y10" s="27">
        <f>股权价值增加表!Y8</f>
        <v>1358348339</v>
      </c>
      <c r="Z10" s="27">
        <f>股权价值增加表!Z8</f>
        <v>992581379</v>
      </c>
      <c r="AA10" s="27">
        <f>股权价值增加表!AA8</f>
        <v>661927401</v>
      </c>
      <c r="AB10" s="27">
        <f>股权价值增加表!AB8</f>
        <v>374444265</v>
      </c>
      <c r="AC10" s="27">
        <f>股权价值增加表!AC8</f>
        <v>1510026935</v>
      </c>
      <c r="AD10" s="27">
        <f>股权价值增加表!AD8</f>
        <v>1113802228</v>
      </c>
      <c r="AE10" s="27">
        <f>股权价值增加表!AE8</f>
        <v>724648730</v>
      </c>
      <c r="AF10" s="27">
        <f>股权价值增加表!AF8</f>
        <v>357631436</v>
      </c>
      <c r="AG10" s="27">
        <f>股权价值增加表!AG8</f>
        <v>1370252998</v>
      </c>
      <c r="AH10" s="27">
        <f>股权价值增加表!AH8</f>
        <v>1017955057</v>
      </c>
      <c r="AI10" s="27">
        <f>股权价值增加表!AI8</f>
        <v>460756949</v>
      </c>
      <c r="AJ10" s="27">
        <f>股权价值增加表!AJ8</f>
        <v>216581231</v>
      </c>
      <c r="AK10" s="27">
        <f>股权价值增加表!AK8</f>
        <v>759243213</v>
      </c>
      <c r="AL10" s="27">
        <f>股权价值增加表!AL8</f>
        <v>534744145</v>
      </c>
      <c r="AM10" s="27">
        <f>股权价值增加表!AM8</f>
        <v>334473596</v>
      </c>
      <c r="AN10" s="27">
        <f>股权价值增加表!AN8</f>
        <v>159804006</v>
      </c>
      <c r="AO10" s="27">
        <f>股权价值增加表!AO8</f>
        <v>743330934</v>
      </c>
      <c r="AP10" s="27">
        <f>股权价值增加表!AP8</f>
        <v>582342917</v>
      </c>
      <c r="AQ10" s="27">
        <f>股权价值增加表!AQ8</f>
        <v>382218117</v>
      </c>
      <c r="AR10" s="27">
        <f>股权价值增加表!AR8</f>
        <v>181489229</v>
      </c>
      <c r="AS10" s="27">
        <f>股权价值增加表!AS8</f>
        <v>693033813</v>
      </c>
      <c r="AT10" s="27">
        <f>股权价值增加表!AT8</f>
        <v>506087704</v>
      </c>
      <c r="AU10" s="27">
        <f>股权价值增加表!AU8</f>
        <v>316784635</v>
      </c>
      <c r="AV10" s="27">
        <f>股权价值增加表!AV8</f>
        <v>147871066</v>
      </c>
      <c r="AW10" s="27">
        <f>股权价值增加表!AW8</f>
        <v>530362752</v>
      </c>
      <c r="AX10" s="27">
        <f>股权价值增加表!AX8</f>
        <v>386441854</v>
      </c>
      <c r="AY10" s="27">
        <f>股权价值增加表!AY8</f>
        <v>254985072</v>
      </c>
      <c r="AZ10" s="27">
        <f>股权价值增加表!AZ8</f>
        <v>113823473</v>
      </c>
      <c r="BA10" s="27">
        <f>股权价值增加表!BA8</f>
        <v>428585989</v>
      </c>
      <c r="BB10" s="27">
        <f>股权价值增加表!BB8</f>
        <v>312281157</v>
      </c>
      <c r="BC10" s="27">
        <f>股权价值增加表!BC8</f>
        <v>210194846</v>
      </c>
      <c r="BD10" s="27">
        <f>股权价值增加表!BD8</f>
        <v>233341136</v>
      </c>
      <c r="BE10" s="27">
        <f>股权价值增加表!BE8</f>
        <v>166488094</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4.0320186976905191E-3</v>
      </c>
      <c r="F11" s="57">
        <f t="shared" ref="F11:BQ11" si="11">F10/F2</f>
        <v>3.894982622953045E-3</v>
      </c>
      <c r="G11" s="57">
        <f t="shared" si="11"/>
        <v>3.8200333849060216E-3</v>
      </c>
      <c r="H11" s="57">
        <f t="shared" si="11"/>
        <v>2.752310401625315E-3</v>
      </c>
      <c r="I11" s="57">
        <f t="shared" si="11"/>
        <v>4.1605884219352131E-3</v>
      </c>
      <c r="J11" s="57">
        <f t="shared" si="11"/>
        <v>3.6106075453412852E-3</v>
      </c>
      <c r="K11" s="57">
        <f t="shared" si="11"/>
        <v>3.7071036445400422E-3</v>
      </c>
      <c r="L11" s="57">
        <f t="shared" si="11"/>
        <v>3.732678695248614E-3</v>
      </c>
      <c r="M11" s="57">
        <f t="shared" si="11"/>
        <v>3.7890049665423443E-3</v>
      </c>
      <c r="N11" s="57">
        <f t="shared" si="11"/>
        <v>3.6073415539124376E-3</v>
      </c>
      <c r="O11" s="57">
        <f t="shared" si="11"/>
        <v>3.6285146025085229E-3</v>
      </c>
      <c r="P11" s="57">
        <f t="shared" si="11"/>
        <v>2.7079333166203866E-3</v>
      </c>
      <c r="Q11" s="57">
        <f t="shared" si="11"/>
        <v>4.0695175579771739E-3</v>
      </c>
      <c r="R11" s="57">
        <f t="shared" si="11"/>
        <v>3.8784357784309299E-3</v>
      </c>
      <c r="S11" s="57">
        <f t="shared" si="11"/>
        <v>3.851414097970577E-3</v>
      </c>
      <c r="T11" s="57">
        <f t="shared" si="11"/>
        <v>4.0171416612786257E-3</v>
      </c>
      <c r="U11" s="57">
        <f t="shared" si="11"/>
        <v>2.9797578860064424E-2</v>
      </c>
      <c r="V11" s="57">
        <f t="shared" si="11"/>
        <v>2.9771300206349941E-2</v>
      </c>
      <c r="W11" s="57">
        <f t="shared" si="11"/>
        <v>2.9586148597885203E-2</v>
      </c>
      <c r="X11" s="57">
        <f t="shared" si="11"/>
        <v>2.7988987741670437E-2</v>
      </c>
      <c r="Y11" s="57">
        <f t="shared" si="11"/>
        <v>2.9553443020416674E-2</v>
      </c>
      <c r="Z11" s="57">
        <f t="shared" si="11"/>
        <v>2.964805531052651E-2</v>
      </c>
      <c r="AA11" s="57">
        <f t="shared" si="11"/>
        <v>2.9742801603922477E-2</v>
      </c>
      <c r="AB11" s="57">
        <f t="shared" si="11"/>
        <v>3.3462400804289541E-2</v>
      </c>
      <c r="AC11" s="57">
        <f t="shared" si="11"/>
        <v>3.3550906402657038E-2</v>
      </c>
      <c r="AD11" s="57">
        <f t="shared" si="11"/>
        <v>3.3477167083838612E-2</v>
      </c>
      <c r="AE11" s="57">
        <f t="shared" si="11"/>
        <v>3.3161385390442812E-2</v>
      </c>
      <c r="AF11" s="57">
        <f t="shared" si="11"/>
        <v>3.2827150414833466E-2</v>
      </c>
      <c r="AG11" s="57">
        <f t="shared" si="11"/>
        <v>3.2614385084322794E-2</v>
      </c>
      <c r="AH11" s="57">
        <f t="shared" si="11"/>
        <v>3.28500000138231E-2</v>
      </c>
      <c r="AI11" s="57">
        <f t="shared" si="11"/>
        <v>3.286265284803952E-2</v>
      </c>
      <c r="AJ11" s="57">
        <f t="shared" si="11"/>
        <v>3.2890910703388149E-2</v>
      </c>
      <c r="AK11" s="57">
        <f t="shared" si="11"/>
        <v>3.2834776618846297E-2</v>
      </c>
      <c r="AL11" s="57">
        <f t="shared" si="11"/>
        <v>3.2910466781706116E-2</v>
      </c>
      <c r="AM11" s="57">
        <f t="shared" si="11"/>
        <v>3.2913697339219956E-2</v>
      </c>
      <c r="AN11" s="57">
        <f t="shared" si="11"/>
        <v>3.2883039112240123E-2</v>
      </c>
      <c r="AO11" s="57">
        <f t="shared" si="11"/>
        <v>3.2897565235225724E-2</v>
      </c>
      <c r="AP11" s="57">
        <f t="shared" si="11"/>
        <v>3.2893449002346871E-2</v>
      </c>
      <c r="AQ11" s="57">
        <f t="shared" si="11"/>
        <v>3.2929874716532026E-2</v>
      </c>
      <c r="AR11" s="57">
        <f t="shared" si="11"/>
        <v>3.2954402003187583E-2</v>
      </c>
      <c r="AS11" s="57">
        <f t="shared" si="11"/>
        <v>3.3222680043193203E-2</v>
      </c>
      <c r="AT11" s="57">
        <f t="shared" si="11"/>
        <v>3.3240163240101185E-2</v>
      </c>
      <c r="AU11" s="57">
        <f t="shared" si="11"/>
        <v>3.2839860557370051E-2</v>
      </c>
      <c r="AV11" s="57">
        <f t="shared" si="11"/>
        <v>3.2864583975050161E-2</v>
      </c>
      <c r="AW11" s="57">
        <f t="shared" si="11"/>
        <v>3.2850000030891946E-2</v>
      </c>
      <c r="AX11" s="57">
        <f t="shared" si="11"/>
        <v>3.2850000013945287E-2</v>
      </c>
      <c r="AY11" s="57">
        <f t="shared" si="11"/>
        <v>3.2849999955147466E-2</v>
      </c>
      <c r="AZ11" s="57">
        <f t="shared" si="11"/>
        <v>3.2328277622191731E-2</v>
      </c>
      <c r="BA11" s="57">
        <f t="shared" si="11"/>
        <v>3.2704833275179146E-2</v>
      </c>
      <c r="BB11" s="57">
        <f t="shared" si="11"/>
        <v>3.240000002290859E-2</v>
      </c>
      <c r="BC11" s="57">
        <f t="shared" si="11"/>
        <v>3.2400000024539514E-2</v>
      </c>
      <c r="BD11" s="57">
        <f t="shared" si="11"/>
        <v>3.240000255344213E-2</v>
      </c>
      <c r="BE11" s="57">
        <f t="shared" si="11"/>
        <v>3.240000007410692E-2</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192683970</v>
      </c>
      <c r="F12" s="27">
        <f>股权价值增加表!F9</f>
        <v>141390745</v>
      </c>
      <c r="G12" s="27">
        <f>股权价值增加表!G9</f>
        <v>93457746</v>
      </c>
      <c r="H12" s="27">
        <f>股权价值增加表!H9</f>
        <v>45581153</v>
      </c>
      <c r="I12" s="27">
        <f>股权价值增加表!I9</f>
        <v>192509572</v>
      </c>
      <c r="J12" s="27">
        <f>股权价值增加表!J9</f>
        <v>137543703</v>
      </c>
      <c r="K12" s="27">
        <f>股权价值增加表!K9</f>
        <v>96293780</v>
      </c>
      <c r="L12" s="27">
        <f>股权价值增加表!L9</f>
        <v>50908393</v>
      </c>
      <c r="M12" s="27">
        <f>股权价值增加表!M9</f>
        <v>209931685</v>
      </c>
      <c r="N12" s="27">
        <f>股权价值增加表!N9</f>
        <v>118329769</v>
      </c>
      <c r="O12" s="27">
        <f>股权价值增加表!O9</f>
        <v>80893129</v>
      </c>
      <c r="P12" s="27">
        <f>股权价值增加表!P9</f>
        <v>46358595</v>
      </c>
      <c r="Q12" s="27">
        <f>股权价值增加表!Q9</f>
        <v>179688179</v>
      </c>
      <c r="R12" s="27">
        <f>股权价值增加表!R9</f>
        <v>139226085</v>
      </c>
      <c r="S12" s="27">
        <f>股权价值增加表!S9</f>
        <v>80690414</v>
      </c>
      <c r="T12" s="27">
        <f>股权价值增加表!T9</f>
        <v>38721807</v>
      </c>
      <c r="U12" s="27">
        <f>股权价值增加表!U9</f>
        <v>188873682</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3.463265517300365E-3</v>
      </c>
      <c r="F13" s="57">
        <f t="shared" ref="F13:BQ13" si="13">F12/F2</f>
        <v>3.3873705163500797E-3</v>
      </c>
      <c r="G13" s="57">
        <f t="shared" si="13"/>
        <v>3.4162817922254868E-3</v>
      </c>
      <c r="H13" s="57">
        <f t="shared" si="13"/>
        <v>3.6607881357448207E-3</v>
      </c>
      <c r="I13" s="57">
        <f t="shared" si="13"/>
        <v>4.3139515906910073E-3</v>
      </c>
      <c r="J13" s="57">
        <f t="shared" si="13"/>
        <v>4.3539887934151613E-3</v>
      </c>
      <c r="K13" s="57">
        <f t="shared" si="13"/>
        <v>4.53676726607612E-3</v>
      </c>
      <c r="L13" s="57">
        <f t="shared" si="13"/>
        <v>4.5810954725426147E-3</v>
      </c>
      <c r="M13" s="57">
        <f t="shared" si="13"/>
        <v>3.9963111085144602E-3</v>
      </c>
      <c r="N13" s="57">
        <f t="shared" si="13"/>
        <v>2.9285566146673961E-3</v>
      </c>
      <c r="O13" s="57">
        <f t="shared" si="13"/>
        <v>2.9342478501800827E-3</v>
      </c>
      <c r="P13" s="57">
        <f t="shared" si="13"/>
        <v>3.3401671545117595E-3</v>
      </c>
      <c r="Q13" s="57">
        <f t="shared" si="13"/>
        <v>3.3293634837180783E-3</v>
      </c>
      <c r="R13" s="57">
        <f t="shared" si="13"/>
        <v>3.4304847149843509E-3</v>
      </c>
      <c r="S13" s="57">
        <f t="shared" si="13"/>
        <v>3.0586025365866628E-3</v>
      </c>
      <c r="T13" s="57">
        <f t="shared" si="13"/>
        <v>2.9959026614885865E-3</v>
      </c>
      <c r="U13" s="57">
        <f t="shared" si="13"/>
        <v>3.6786833589270125E-3</v>
      </c>
      <c r="V13" s="57">
        <f t="shared" si="13"/>
        <v>0</v>
      </c>
      <c r="W13" s="57">
        <f t="shared" si="13"/>
        <v>0</v>
      </c>
      <c r="X13" s="57">
        <f t="shared" si="13"/>
        <v>0</v>
      </c>
      <c r="Y13" s="57">
        <f t="shared" si="13"/>
        <v>0</v>
      </c>
      <c r="Z13" s="57">
        <f t="shared" si="13"/>
        <v>0</v>
      </c>
      <c r="AA13" s="57">
        <f t="shared" si="13"/>
        <v>0</v>
      </c>
      <c r="AB13" s="57">
        <f t="shared" si="13"/>
        <v>0</v>
      </c>
      <c r="AC13" s="57">
        <f t="shared" si="13"/>
        <v>0</v>
      </c>
      <c r="AD13" s="57">
        <f t="shared" si="13"/>
        <v>0</v>
      </c>
      <c r="AE13" s="57">
        <f t="shared" si="13"/>
        <v>0</v>
      </c>
      <c r="AF13" s="57">
        <f t="shared" si="13"/>
        <v>0</v>
      </c>
      <c r="AG13" s="57">
        <f t="shared" si="13"/>
        <v>0</v>
      </c>
      <c r="AH13" s="57">
        <f t="shared" si="13"/>
        <v>0</v>
      </c>
      <c r="AI13" s="57">
        <f t="shared" si="13"/>
        <v>0</v>
      </c>
      <c r="AJ13" s="57">
        <f t="shared" si="13"/>
        <v>0</v>
      </c>
      <c r="AK13" s="57">
        <f t="shared" si="13"/>
        <v>0</v>
      </c>
      <c r="AL13" s="57">
        <f t="shared" si="13"/>
        <v>0</v>
      </c>
      <c r="AM13" s="57">
        <f t="shared" si="13"/>
        <v>0</v>
      </c>
      <c r="AN13" s="57">
        <f t="shared" si="13"/>
        <v>0</v>
      </c>
      <c r="AO13" s="57">
        <f t="shared" si="13"/>
        <v>0</v>
      </c>
      <c r="AP13" s="57">
        <f t="shared" si="13"/>
        <v>0</v>
      </c>
      <c r="AQ13" s="57">
        <f t="shared" si="13"/>
        <v>0</v>
      </c>
      <c r="AR13" s="57">
        <f t="shared" si="13"/>
        <v>0</v>
      </c>
      <c r="AS13" s="57">
        <f t="shared" si="13"/>
        <v>0</v>
      </c>
      <c r="AT13" s="57">
        <f t="shared" si="13"/>
        <v>0</v>
      </c>
      <c r="AU13" s="57">
        <f t="shared" si="13"/>
        <v>0</v>
      </c>
      <c r="AV13" s="57">
        <f t="shared" si="13"/>
        <v>0</v>
      </c>
      <c r="AW13" s="57">
        <f t="shared" si="13"/>
        <v>0</v>
      </c>
      <c r="AX13" s="57">
        <f t="shared" si="13"/>
        <v>0</v>
      </c>
      <c r="AY13" s="57">
        <f t="shared" si="13"/>
        <v>0</v>
      </c>
      <c r="AZ13" s="57">
        <f t="shared" si="13"/>
        <v>0</v>
      </c>
      <c r="BA13" s="57">
        <f t="shared" si="13"/>
        <v>0</v>
      </c>
      <c r="BB13" s="57">
        <f t="shared" si="13"/>
        <v>0</v>
      </c>
      <c r="BC13" s="57">
        <f t="shared" si="13"/>
        <v>0</v>
      </c>
      <c r="BD13" s="57">
        <f t="shared" si="13"/>
        <v>0</v>
      </c>
      <c r="BE13" s="57">
        <f t="shared" si="13"/>
        <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557663846</v>
      </c>
      <c r="F14" s="26">
        <f>股权价值增加表!F10</f>
        <v>427776755</v>
      </c>
      <c r="G14" s="26">
        <f>股权价值增加表!G10</f>
        <v>267480500</v>
      </c>
      <c r="H14" s="26">
        <f>股权价值增加表!H10</f>
        <v>117236521</v>
      </c>
      <c r="I14" s="26">
        <f>股权价值增加表!I10</f>
        <v>521650309</v>
      </c>
      <c r="J14" s="26">
        <f>股权价值增加表!J10</f>
        <v>398320266</v>
      </c>
      <c r="K14" s="26">
        <f>股权价值增加表!K10</f>
        <v>259377080</v>
      </c>
      <c r="L14" s="26">
        <f>股权价值增加表!L10</f>
        <v>123777207</v>
      </c>
      <c r="M14" s="26">
        <f>股权价值增加表!M10</f>
        <v>586964341</v>
      </c>
      <c r="N14" s="26">
        <f>股权价值增加表!N10</f>
        <v>415924401</v>
      </c>
      <c r="O14" s="26">
        <f>股权价值增加表!O10</f>
        <v>266347735</v>
      </c>
      <c r="P14" s="26">
        <f>股权价值增加表!P10</f>
        <v>235454201</v>
      </c>
      <c r="Q14" s="26">
        <f>股权价值增加表!Q10</f>
        <v>3734755280</v>
      </c>
      <c r="R14" s="26">
        <f>股权价值增加表!R10</f>
        <v>2732386958</v>
      </c>
      <c r="S14" s="26">
        <f>股权价值增加表!S10</f>
        <v>1761681617</v>
      </c>
      <c r="T14" s="26">
        <f>股权价值增加表!T10</f>
        <v>825470861</v>
      </c>
      <c r="U14" s="26">
        <f>股权价值增加表!U10</f>
        <v>3152158506</v>
      </c>
      <c r="V14" s="26">
        <f>股权价值增加表!V10</f>
        <v>2346986559</v>
      </c>
      <c r="W14" s="26">
        <f>股权价值增加表!W10</f>
        <v>1499607197</v>
      </c>
      <c r="X14" s="26">
        <f>股权价值增加表!X10</f>
        <v>694334478</v>
      </c>
      <c r="Y14" s="26">
        <f>股权价值增加表!Y10</f>
        <v>2701801783</v>
      </c>
      <c r="Z14" s="26">
        <f>股权价值增加表!Z10</f>
        <v>1952934501</v>
      </c>
      <c r="AA14" s="26">
        <f>股权价值增加表!AA10</f>
        <v>1286130359</v>
      </c>
      <c r="AB14" s="26">
        <f>股权价值增加表!AB10</f>
        <v>571017908</v>
      </c>
      <c r="AC14" s="26">
        <f>股权价值增加表!AC10</f>
        <v>2401922722</v>
      </c>
      <c r="AD14" s="26">
        <f>股权价值增加表!AD10</f>
        <v>1855355217</v>
      </c>
      <c r="AE14" s="26">
        <f>股权价值增加表!AE10</f>
        <v>1089773527</v>
      </c>
      <c r="AF14" s="26">
        <f>股权价值增加表!AF10</f>
        <v>530936104</v>
      </c>
      <c r="AG14" s="26">
        <f>股权价值增加表!AG10</f>
        <v>2210950908</v>
      </c>
      <c r="AH14" s="26">
        <f>股权价值增加表!AH10</f>
        <v>1671860140</v>
      </c>
      <c r="AI14" s="26">
        <f>股权价值增加表!AI10</f>
        <v>633541578</v>
      </c>
      <c r="AJ14" s="26">
        <f>股权价值增加表!AJ10</f>
        <v>316239722</v>
      </c>
      <c r="AK14" s="26">
        <f>股权价值增加表!AK10</f>
        <v>1220904093</v>
      </c>
      <c r="AL14" s="26">
        <f>股权价值增加表!AL10</f>
        <v>881432485</v>
      </c>
      <c r="AM14" s="26">
        <f>股权价值增加表!AM10</f>
        <v>570320112</v>
      </c>
      <c r="AN14" s="26">
        <f>股权价值增加表!AN10</f>
        <v>270413178</v>
      </c>
      <c r="AO14" s="26">
        <f>股权价值增加表!AO10</f>
        <v>1128531363</v>
      </c>
      <c r="AP14" s="26">
        <f>股权价值增加表!AP10</f>
        <v>822330431</v>
      </c>
      <c r="AQ14" s="26">
        <f>股权价值增加表!AQ10</f>
        <v>528278196</v>
      </c>
      <c r="AR14" s="26">
        <f>股权价值增加表!AR10</f>
        <v>254476398</v>
      </c>
      <c r="AS14" s="26">
        <f>股权价值增加表!AS10</f>
        <v>882315983</v>
      </c>
      <c r="AT14" s="26">
        <f>股权价值增加表!AT10</f>
        <v>624879667</v>
      </c>
      <c r="AU14" s="26">
        <f>股权价值增加表!AU10</f>
        <v>370194693</v>
      </c>
      <c r="AV14" s="26">
        <f>股权价值增加表!AV10</f>
        <v>169885039</v>
      </c>
      <c r="AW14" s="26">
        <f>股权价值增加表!AW10</f>
        <v>866023882</v>
      </c>
      <c r="AX14" s="26">
        <f>股权价值增加表!AX10</f>
        <v>632700365</v>
      </c>
      <c r="AY14" s="26">
        <f>股权价值增加表!AY10</f>
        <v>389031799</v>
      </c>
      <c r="AZ14" s="26">
        <f>股权价值增加表!AZ10</f>
        <v>192065102</v>
      </c>
      <c r="BA14" s="26">
        <f>股权价值增加表!BA10</f>
        <v>701557894</v>
      </c>
      <c r="BB14" s="26">
        <f>股权价值增加表!BB10</f>
        <v>537425334</v>
      </c>
      <c r="BC14" s="26">
        <f>股权价值增加表!BC10</f>
        <v>344151872</v>
      </c>
      <c r="BD14" s="26">
        <f>股权价值增加表!BD10</f>
        <v>340513283</v>
      </c>
      <c r="BE14" s="26">
        <f>股权价值增加表!BE10</f>
        <v>293578689</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1.0023345315632126E-2</v>
      </c>
      <c r="F15" s="57">
        <f t="shared" ref="F15:BQ15" si="15">F14/F2</f>
        <v>1.0248466881385422E-2</v>
      </c>
      <c r="G15" s="57">
        <f t="shared" si="15"/>
        <v>9.7775604595189917E-3</v>
      </c>
      <c r="H15" s="57">
        <f t="shared" si="15"/>
        <v>9.4156912869843047E-3</v>
      </c>
      <c r="I15" s="57">
        <f t="shared" si="15"/>
        <v>1.1689674216796895E-2</v>
      </c>
      <c r="J15" s="57">
        <f t="shared" si="15"/>
        <v>1.2608952184122498E-2</v>
      </c>
      <c r="K15" s="57">
        <f t="shared" si="15"/>
        <v>1.2220243572475887E-2</v>
      </c>
      <c r="L15" s="57">
        <f t="shared" si="15"/>
        <v>1.1138344174243923E-2</v>
      </c>
      <c r="M15" s="57">
        <f t="shared" si="15"/>
        <v>1.1173597335915109E-2</v>
      </c>
      <c r="N15" s="57">
        <f t="shared" si="15"/>
        <v>1.0293759263149788E-2</v>
      </c>
      <c r="O15" s="57">
        <f t="shared" si="15"/>
        <v>9.6612688677685382E-3</v>
      </c>
      <c r="P15" s="57">
        <f t="shared" si="15"/>
        <v>1.6964629505532035E-2</v>
      </c>
      <c r="Q15" s="57">
        <f t="shared" si="15"/>
        <v>6.9199643065308639E-2</v>
      </c>
      <c r="R15" s="57">
        <f t="shared" si="15"/>
        <v>6.7325111489284412E-2</v>
      </c>
      <c r="S15" s="57">
        <f t="shared" si="15"/>
        <v>6.6777248935843775E-2</v>
      </c>
      <c r="T15" s="57">
        <f t="shared" si="15"/>
        <v>6.3866604919836895E-2</v>
      </c>
      <c r="U15" s="57">
        <f t="shared" si="15"/>
        <v>6.1394435253940963E-2</v>
      </c>
      <c r="V15" s="57">
        <f t="shared" si="15"/>
        <v>6.2259437075590805E-2</v>
      </c>
      <c r="W15" s="57">
        <f t="shared" si="15"/>
        <v>6.1654197922156359E-2</v>
      </c>
      <c r="X15" s="57">
        <f t="shared" si="15"/>
        <v>5.7939581623133132E-2</v>
      </c>
      <c r="Y15" s="57">
        <f t="shared" si="15"/>
        <v>5.8782819365122127E-2</v>
      </c>
      <c r="Z15" s="57">
        <f t="shared" si="15"/>
        <v>5.8333463964251431E-2</v>
      </c>
      <c r="AA15" s="57">
        <f t="shared" si="15"/>
        <v>5.7790507005342405E-2</v>
      </c>
      <c r="AB15" s="57">
        <f t="shared" si="15"/>
        <v>5.1029303663985705E-2</v>
      </c>
      <c r="AC15" s="57">
        <f t="shared" si="15"/>
        <v>5.3367713227073801E-2</v>
      </c>
      <c r="AD15" s="57">
        <f t="shared" si="15"/>
        <v>5.5765767959462774E-2</v>
      </c>
      <c r="AE15" s="57">
        <f t="shared" si="15"/>
        <v>4.9870231494298117E-2</v>
      </c>
      <c r="AF15" s="57">
        <f t="shared" si="15"/>
        <v>4.8734863863236187E-2</v>
      </c>
      <c r="AG15" s="57">
        <f t="shared" si="15"/>
        <v>5.2624445574134135E-2</v>
      </c>
      <c r="AH15" s="57">
        <f t="shared" si="15"/>
        <v>5.3951896249689039E-2</v>
      </c>
      <c r="AI15" s="57">
        <f t="shared" si="15"/>
        <v>4.5186202807791301E-2</v>
      </c>
      <c r="AJ15" s="57">
        <f t="shared" si="15"/>
        <v>4.8025456357140631E-2</v>
      </c>
      <c r="AK15" s="57">
        <f t="shared" si="15"/>
        <v>5.2800094199446132E-2</v>
      </c>
      <c r="AL15" s="57">
        <f t="shared" si="15"/>
        <v>5.424716621798481E-2</v>
      </c>
      <c r="AM15" s="57">
        <f t="shared" si="15"/>
        <v>5.6122049026668237E-2</v>
      </c>
      <c r="AN15" s="57">
        <f t="shared" si="15"/>
        <v>5.5643205268828808E-2</v>
      </c>
      <c r="AO15" s="57">
        <f t="shared" si="15"/>
        <v>4.9945364085023675E-2</v>
      </c>
      <c r="AP15" s="57">
        <f t="shared" si="15"/>
        <v>4.6449065156529454E-2</v>
      </c>
      <c r="AQ15" s="57">
        <f t="shared" si="15"/>
        <v>4.5513632232549436E-2</v>
      </c>
      <c r="AR15" s="57">
        <f t="shared" si="15"/>
        <v>4.6207246381630512E-2</v>
      </c>
      <c r="AS15" s="57">
        <f t="shared" si="15"/>
        <v>4.2296495568253739E-2</v>
      </c>
      <c r="AT15" s="57">
        <f t="shared" si="15"/>
        <v>4.1042495149220364E-2</v>
      </c>
      <c r="AU15" s="57">
        <f t="shared" si="15"/>
        <v>3.8376678519140978E-2</v>
      </c>
      <c r="AV15" s="57">
        <f t="shared" si="15"/>
        <v>3.7757225137743794E-2</v>
      </c>
      <c r="AW15" s="57">
        <f t="shared" si="15"/>
        <v>5.3640427128738413E-2</v>
      </c>
      <c r="AX15" s="57">
        <f t="shared" si="15"/>
        <v>5.3783529873741853E-2</v>
      </c>
      <c r="AY15" s="57">
        <f t="shared" si="15"/>
        <v>5.0119383379827569E-2</v>
      </c>
      <c r="AZ15" s="57">
        <f t="shared" si="15"/>
        <v>5.4550557765800839E-2</v>
      </c>
      <c r="BA15" s="57">
        <f t="shared" si="15"/>
        <v>5.3534960416440035E-2</v>
      </c>
      <c r="BB15" s="57">
        <f t="shared" si="15"/>
        <v>5.5759306777231052E-2</v>
      </c>
      <c r="BC15" s="57">
        <f t="shared" si="15"/>
        <v>5.3048497018073036E-2</v>
      </c>
      <c r="BD15" s="57">
        <f t="shared" si="15"/>
        <v>4.7281124227838513E-2</v>
      </c>
      <c r="BE15" s="57">
        <f t="shared" si="15"/>
        <v>5.7132911530335694E-2</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32650148</v>
      </c>
      <c r="F16" s="26">
        <f>股权价值增加表!F11</f>
        <v>-1003257</v>
      </c>
      <c r="G16" s="26">
        <f>股权价值增加表!G11</f>
        <v>-1003257</v>
      </c>
      <c r="H16" s="26">
        <f>股权价值增加表!H11</f>
        <v>0</v>
      </c>
      <c r="I16" s="26">
        <f>股权价值增加表!I11</f>
        <v>3425188</v>
      </c>
      <c r="J16" s="26">
        <f>股权价值增加表!J11</f>
        <v>4425188</v>
      </c>
      <c r="K16" s="26">
        <f>股权价值增加表!K11</f>
        <v>0</v>
      </c>
      <c r="L16" s="26">
        <f>股权价值增加表!L11</f>
        <v>0</v>
      </c>
      <c r="M16" s="26">
        <f>股权价值增加表!M11</f>
        <v>0</v>
      </c>
      <c r="N16" s="26">
        <f>股权价值增加表!N11</f>
        <v>0</v>
      </c>
      <c r="O16" s="26">
        <f>股权价值增加表!O11</f>
        <v>0</v>
      </c>
      <c r="P16" s="26">
        <f>股权价值增加表!P11</f>
        <v>0</v>
      </c>
      <c r="Q16" s="26">
        <f>股权价值增加表!Q11</f>
        <v>4946883</v>
      </c>
      <c r="R16" s="26">
        <f>股权价值增加表!R11</f>
        <v>-79900</v>
      </c>
      <c r="S16" s="26">
        <f>股权价值增加表!S11</f>
        <v>-36400</v>
      </c>
      <c r="T16" s="26">
        <f>股权价值增加表!T11</f>
        <v>0</v>
      </c>
      <c r="U16" s="26">
        <f>股权价值增加表!U11</f>
        <v>-246823</v>
      </c>
      <c r="V16" s="26">
        <f>股权价值增加表!V11</f>
        <v>0</v>
      </c>
      <c r="W16" s="26">
        <f>股权价值增加表!W11</f>
        <v>0</v>
      </c>
      <c r="X16" s="26">
        <f>股权价值增加表!X11</f>
        <v>0</v>
      </c>
      <c r="Y16" s="26">
        <f>股权价值增加表!Y11</f>
        <v>283803</v>
      </c>
      <c r="Z16" s="26">
        <f>股权价值增加表!Z11</f>
        <v>0</v>
      </c>
      <c r="AA16" s="26">
        <f>股权价值增加表!AA11</f>
        <v>0</v>
      </c>
      <c r="AB16" s="26">
        <f>股权价值增加表!AB11</f>
        <v>0</v>
      </c>
      <c r="AC16" s="26">
        <f>股权价值增加表!AC11</f>
        <v>768232</v>
      </c>
      <c r="AD16" s="26">
        <f>股权价值增加表!AD11</f>
        <v>794272</v>
      </c>
      <c r="AE16" s="26">
        <f>股权价值增加表!AE11</f>
        <v>0</v>
      </c>
      <c r="AF16" s="26">
        <f>股权价值增加表!AF11</f>
        <v>0</v>
      </c>
      <c r="AG16" s="26">
        <f>股权价值增加表!AG11</f>
        <v>-654880</v>
      </c>
      <c r="AH16" s="26">
        <f>股权价值增加表!AH11</f>
        <v>0</v>
      </c>
      <c r="AI16" s="26">
        <f>股权价值增加表!AI11</f>
        <v>0</v>
      </c>
      <c r="AJ16" s="26">
        <f>股权价值增加表!AJ11</f>
        <v>0</v>
      </c>
      <c r="AK16" s="26">
        <f>股权价值增加表!AK11</f>
        <v>516448</v>
      </c>
      <c r="AL16" s="26">
        <f>股权价值增加表!AL11</f>
        <v>501448</v>
      </c>
      <c r="AM16" s="26">
        <f>股权价值增加表!AM11</f>
        <v>544948</v>
      </c>
      <c r="AN16" s="26">
        <f>股权价值增加表!AN11</f>
        <v>0</v>
      </c>
      <c r="AO16" s="26">
        <f>股权价值增加表!AO11</f>
        <v>-29120</v>
      </c>
      <c r="AP16" s="26">
        <f>股权价值增加表!AP11</f>
        <v>-29120</v>
      </c>
      <c r="AQ16" s="26">
        <f>股权价值增加表!AQ11</f>
        <v>0</v>
      </c>
      <c r="AR16" s="26">
        <f>股权价值增加表!AR11</f>
        <v>0</v>
      </c>
      <c r="AS16" s="26">
        <f>股权价值增加表!AS11</f>
        <v>199414</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5.8684763295645964E-4</v>
      </c>
      <c r="F17" s="57">
        <f t="shared" ref="F17:BQ17" si="17">F16/F2</f>
        <v>-2.40355419452796E-5</v>
      </c>
      <c r="G17" s="57">
        <f t="shared" si="17"/>
        <v>-3.6673349922464051E-5</v>
      </c>
      <c r="H17" s="57">
        <f t="shared" si="17"/>
        <v>0</v>
      </c>
      <c r="I17" s="57">
        <f t="shared" si="17"/>
        <v>7.6755119589667724E-5</v>
      </c>
      <c r="J17" s="57">
        <f t="shared" si="17"/>
        <v>1.4008070555403946E-4</v>
      </c>
      <c r="K17" s="57">
        <f t="shared" si="17"/>
        <v>0</v>
      </c>
      <c r="L17" s="57">
        <f t="shared" si="17"/>
        <v>0</v>
      </c>
      <c r="M17" s="57">
        <f t="shared" si="17"/>
        <v>0</v>
      </c>
      <c r="N17" s="57">
        <f t="shared" si="17"/>
        <v>0</v>
      </c>
      <c r="O17" s="57">
        <f t="shared" si="17"/>
        <v>0</v>
      </c>
      <c r="P17" s="57">
        <f t="shared" si="17"/>
        <v>0</v>
      </c>
      <c r="Q17" s="57">
        <f t="shared" si="17"/>
        <v>9.1658626127129577E-5</v>
      </c>
      <c r="R17" s="57">
        <f t="shared" si="17"/>
        <v>-1.9687095900689131E-6</v>
      </c>
      <c r="S17" s="57">
        <f t="shared" si="17"/>
        <v>-1.3797566131183133E-6</v>
      </c>
      <c r="T17" s="57">
        <f t="shared" si="17"/>
        <v>0</v>
      </c>
      <c r="U17" s="57">
        <f t="shared" si="17"/>
        <v>-4.8073593583061618E-6</v>
      </c>
      <c r="V17" s="57">
        <f t="shared" si="17"/>
        <v>0</v>
      </c>
      <c r="W17" s="57">
        <f t="shared" si="17"/>
        <v>0</v>
      </c>
      <c r="X17" s="57">
        <f t="shared" si="17"/>
        <v>0</v>
      </c>
      <c r="Y17" s="57">
        <f t="shared" si="17"/>
        <v>6.1746722462207197E-6</v>
      </c>
      <c r="Z17" s="57">
        <f t="shared" si="17"/>
        <v>0</v>
      </c>
      <c r="AA17" s="57">
        <f t="shared" si="17"/>
        <v>0</v>
      </c>
      <c r="AB17" s="57">
        <f t="shared" si="17"/>
        <v>0</v>
      </c>
      <c r="AC17" s="57">
        <f t="shared" si="17"/>
        <v>1.7069152430400867E-5</v>
      </c>
      <c r="AD17" s="57">
        <f t="shared" si="17"/>
        <v>2.3873157896048544E-5</v>
      </c>
      <c r="AE17" s="57">
        <f t="shared" si="17"/>
        <v>0</v>
      </c>
      <c r="AF17" s="57">
        <f t="shared" si="17"/>
        <v>0</v>
      </c>
      <c r="AG17" s="57">
        <f t="shared" si="17"/>
        <v>-1.5587273689746242E-5</v>
      </c>
      <c r="AH17" s="57">
        <f t="shared" si="17"/>
        <v>0</v>
      </c>
      <c r="AI17" s="57">
        <f t="shared" si="17"/>
        <v>0</v>
      </c>
      <c r="AJ17" s="57">
        <f t="shared" si="17"/>
        <v>0</v>
      </c>
      <c r="AK17" s="57">
        <f t="shared" si="17"/>
        <v>2.2334680672673899E-5</v>
      </c>
      <c r="AL17" s="57">
        <f t="shared" si="17"/>
        <v>3.0861278054298222E-5</v>
      </c>
      <c r="AM17" s="57">
        <f t="shared" si="17"/>
        <v>5.3625319762499982E-5</v>
      </c>
      <c r="AN17" s="57">
        <f t="shared" si="17"/>
        <v>0</v>
      </c>
      <c r="AO17" s="57">
        <f t="shared" si="17"/>
        <v>-1.2887625898934715E-6</v>
      </c>
      <c r="AP17" s="57">
        <f t="shared" si="17"/>
        <v>-1.6448336658456188E-6</v>
      </c>
      <c r="AQ17" s="57">
        <f t="shared" si="17"/>
        <v>0</v>
      </c>
      <c r="AR17" s="57">
        <f t="shared" si="17"/>
        <v>0</v>
      </c>
      <c r="AS17" s="57">
        <f t="shared" si="17"/>
        <v>9.5595155587788447E-6</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12377320</v>
      </c>
      <c r="F18" s="26">
        <f>股权价值增加表!F12</f>
        <v>1204</v>
      </c>
      <c r="G18" s="26">
        <f>股权价值增加表!G12</f>
        <v>868</v>
      </c>
      <c r="H18" s="26">
        <f>股权价值增加表!H12</f>
        <v>644</v>
      </c>
      <c r="I18" s="26">
        <f>股权价值增加表!I12</f>
        <v>35861355</v>
      </c>
      <c r="J18" s="26">
        <f>股权价值增加表!J12</f>
        <v>0</v>
      </c>
      <c r="K18" s="26">
        <f>股权价值增加表!K12</f>
        <v>0</v>
      </c>
      <c r="L18" s="26">
        <f>股权价值增加表!L12</f>
        <v>0</v>
      </c>
      <c r="M18" s="26">
        <f>股权价值增加表!M12</f>
        <v>15352379</v>
      </c>
      <c r="N18" s="26">
        <f>股权价值增加表!N12</f>
        <v>0</v>
      </c>
      <c r="O18" s="26">
        <f>股权价值增加表!O12</f>
        <v>0</v>
      </c>
      <c r="P18" s="26">
        <f>股权价值增加表!P12</f>
        <v>0</v>
      </c>
      <c r="Q18" s="26">
        <f>股权价值增加表!Q12</f>
        <v>7475421</v>
      </c>
      <c r="R18" s="26">
        <f>股权价值增加表!R12</f>
        <v>0</v>
      </c>
      <c r="S18" s="26">
        <f>股权价值增加表!S12</f>
        <v>0</v>
      </c>
      <c r="T18" s="26">
        <f>股权价值增加表!T12</f>
        <v>0</v>
      </c>
      <c r="U18" s="26">
        <f>股权价值增加表!U12</f>
        <v>4985740</v>
      </c>
      <c r="V18" s="26">
        <f>股权价值增加表!V12</f>
        <v>0</v>
      </c>
      <c r="W18" s="26">
        <f>股权价值增加表!W12</f>
        <v>0</v>
      </c>
      <c r="X18" s="26">
        <f>股权价值增加表!X12</f>
        <v>0</v>
      </c>
      <c r="Y18" s="26">
        <f>股权价值增加表!Y12</f>
        <v>4284635</v>
      </c>
      <c r="Z18" s="26">
        <f>股权价值增加表!Z12</f>
        <v>0</v>
      </c>
      <c r="AA18" s="26">
        <f>股权价值增加表!AA12</f>
        <v>0</v>
      </c>
      <c r="AB18" s="26">
        <f>股权价值增加表!AB12</f>
        <v>0</v>
      </c>
      <c r="AC18" s="26">
        <f>股权价值增加表!AC12</f>
        <v>3306457</v>
      </c>
      <c r="AD18" s="26">
        <f>股权价值增加表!AD12</f>
        <v>0</v>
      </c>
      <c r="AE18" s="26">
        <f>股权价值增加表!AE12</f>
        <v>0</v>
      </c>
      <c r="AF18" s="26">
        <f>股权价值增加表!AF12</f>
        <v>0</v>
      </c>
      <c r="AG18" s="26">
        <f>股权价值增加表!AG12</f>
        <v>3868470</v>
      </c>
      <c r="AH18" s="26">
        <f>股权价值增加表!AH12</f>
        <v>0</v>
      </c>
      <c r="AI18" s="26">
        <f>股权价值增加表!AI12</f>
        <v>0</v>
      </c>
      <c r="AJ18" s="26">
        <f>股权价值增加表!AJ12</f>
        <v>0</v>
      </c>
      <c r="AK18" s="26">
        <f>股权价值增加表!AK12</f>
        <v>1663826</v>
      </c>
      <c r="AL18" s="26">
        <f>股权价值增加表!AL12</f>
        <v>0</v>
      </c>
      <c r="AM18" s="26">
        <f>股权价值增加表!AM12</f>
        <v>0</v>
      </c>
      <c r="AN18" s="26">
        <f>股权价值增加表!AN12</f>
        <v>0</v>
      </c>
      <c r="AO18" s="26">
        <f>股权价值增加表!AO12</f>
        <v>1423677</v>
      </c>
      <c r="AP18" s="26">
        <f>股权价值增加表!AP12</f>
        <v>0</v>
      </c>
      <c r="AQ18" s="26">
        <f>股权价值增加表!AQ12</f>
        <v>0</v>
      </c>
      <c r="AR18" s="26">
        <f>股权价值增加表!AR12</f>
        <v>0</v>
      </c>
      <c r="AS18" s="26">
        <f>股权价值增加表!AS12</f>
        <v>942116</v>
      </c>
      <c r="AT18" s="26">
        <f>股权价值增加表!AT12</f>
        <v>0</v>
      </c>
      <c r="AU18" s="26">
        <f>股权价值增加表!AU12</f>
        <v>0</v>
      </c>
      <c r="AV18" s="26">
        <f>股权价值增加表!AV12</f>
        <v>0</v>
      </c>
      <c r="AW18" s="26">
        <f>股权价值增加表!AW12</f>
        <v>831345</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2.2246762692606007E-4</v>
      </c>
      <c r="F19" s="57">
        <f t="shared" ref="F19:BQ19" si="19">F18/F2</f>
        <v>2.8844844842464731E-8</v>
      </c>
      <c r="G19" s="57">
        <f t="shared" si="19"/>
        <v>3.1729125969416406E-8</v>
      </c>
      <c r="H19" s="57">
        <f t="shared" si="19"/>
        <v>5.1721981658069607E-8</v>
      </c>
      <c r="I19" s="57">
        <f t="shared" si="19"/>
        <v>8.036179595609143E-4</v>
      </c>
      <c r="J19" s="57">
        <f t="shared" si="19"/>
        <v>0</v>
      </c>
      <c r="K19" s="57">
        <f t="shared" si="19"/>
        <v>0</v>
      </c>
      <c r="L19" s="57">
        <f t="shared" si="19"/>
        <v>0</v>
      </c>
      <c r="M19" s="57">
        <f t="shared" si="19"/>
        <v>2.9225165672263395E-4</v>
      </c>
      <c r="N19" s="57">
        <f t="shared" si="19"/>
        <v>0</v>
      </c>
      <c r="O19" s="57">
        <f t="shared" si="19"/>
        <v>0</v>
      </c>
      <c r="P19" s="57">
        <f t="shared" si="19"/>
        <v>0</v>
      </c>
      <c r="Q19" s="57">
        <f t="shared" si="19"/>
        <v>1.3850879808192213E-4</v>
      </c>
      <c r="R19" s="57">
        <f t="shared" si="19"/>
        <v>0</v>
      </c>
      <c r="S19" s="57">
        <f t="shared" si="19"/>
        <v>0</v>
      </c>
      <c r="T19" s="57">
        <f t="shared" si="19"/>
        <v>0</v>
      </c>
      <c r="U19" s="57">
        <f t="shared" si="19"/>
        <v>9.7107011287770432E-5</v>
      </c>
      <c r="V19" s="57">
        <f t="shared" si="19"/>
        <v>0</v>
      </c>
      <c r="W19" s="57">
        <f t="shared" si="19"/>
        <v>0</v>
      </c>
      <c r="X19" s="57">
        <f t="shared" si="19"/>
        <v>0</v>
      </c>
      <c r="Y19" s="57">
        <f t="shared" si="19"/>
        <v>9.3220356443328336E-5</v>
      </c>
      <c r="Z19" s="57">
        <f t="shared" si="19"/>
        <v>0</v>
      </c>
      <c r="AA19" s="57">
        <f t="shared" si="19"/>
        <v>0</v>
      </c>
      <c r="AB19" s="57">
        <f t="shared" si="19"/>
        <v>0</v>
      </c>
      <c r="AC19" s="57">
        <f t="shared" si="19"/>
        <v>7.3465331485236167E-5</v>
      </c>
      <c r="AD19" s="57">
        <f t="shared" si="19"/>
        <v>0</v>
      </c>
      <c r="AE19" s="57">
        <f t="shared" si="19"/>
        <v>0</v>
      </c>
      <c r="AF19" s="57">
        <f t="shared" si="19"/>
        <v>0</v>
      </c>
      <c r="AG19" s="57">
        <f t="shared" si="19"/>
        <v>9.2076259239208161E-5</v>
      </c>
      <c r="AH19" s="57">
        <f t="shared" si="19"/>
        <v>0</v>
      </c>
      <c r="AI19" s="57">
        <f t="shared" si="19"/>
        <v>0</v>
      </c>
      <c r="AJ19" s="57">
        <f t="shared" si="19"/>
        <v>0</v>
      </c>
      <c r="AK19" s="57">
        <f t="shared" si="19"/>
        <v>7.1955012711623093E-5</v>
      </c>
      <c r="AL19" s="57">
        <f t="shared" si="19"/>
        <v>0</v>
      </c>
      <c r="AM19" s="57">
        <f t="shared" si="19"/>
        <v>0</v>
      </c>
      <c r="AN19" s="57">
        <f t="shared" si="19"/>
        <v>0</v>
      </c>
      <c r="AO19" s="57">
        <f t="shared" si="19"/>
        <v>6.3007611871283243E-5</v>
      </c>
      <c r="AP19" s="57">
        <f t="shared" si="19"/>
        <v>0</v>
      </c>
      <c r="AQ19" s="57">
        <f t="shared" si="19"/>
        <v>0</v>
      </c>
      <c r="AR19" s="57">
        <f t="shared" si="19"/>
        <v>0</v>
      </c>
      <c r="AS19" s="57">
        <f t="shared" si="19"/>
        <v>4.5163190950357002E-5</v>
      </c>
      <c r="AT19" s="57">
        <f t="shared" si="19"/>
        <v>0</v>
      </c>
      <c r="AU19" s="57">
        <f t="shared" si="19"/>
        <v>0</v>
      </c>
      <c r="AV19" s="57">
        <f t="shared" si="19"/>
        <v>0</v>
      </c>
      <c r="AW19" s="57">
        <f t="shared" si="19"/>
        <v>5.1492460910380569E-5</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-188926777</v>
      </c>
      <c r="F20" s="26">
        <f>股权价值增加表!F13-股权价值增加表!F14</f>
        <v>-58347462</v>
      </c>
      <c r="G20" s="26">
        <f>股权价值增加表!G13-股权价值增加表!G14</f>
        <v>-38502211</v>
      </c>
      <c r="H20" s="26">
        <f>股权价值增加表!H13-股权价值增加表!H14</f>
        <v>-18159906</v>
      </c>
      <c r="I20" s="26">
        <f>股权价值增加表!I13-股权价值增加表!I14</f>
        <v>-124341646</v>
      </c>
      <c r="J20" s="26">
        <f>股权价值增加表!J13-股权价值增加表!J14</f>
        <v>-65918248</v>
      </c>
      <c r="K20" s="26">
        <f>股权价值增加表!K13-股权价值增加表!K14</f>
        <v>-42539111</v>
      </c>
      <c r="L20" s="26">
        <f>股权价值增加表!L13-股权价值增加表!L14</f>
        <v>-19170885</v>
      </c>
      <c r="M20" s="26">
        <f>股权价值增加表!M13-股权价值增加表!M14</f>
        <v>-80458314</v>
      </c>
      <c r="N20" s="26">
        <f>股权价值增加表!N13-股权价值增加表!N14</f>
        <v>-41803493</v>
      </c>
      <c r="O20" s="26">
        <f>股权价值增加表!O13-股权价值增加表!O14</f>
        <v>-34997937</v>
      </c>
      <c r="P20" s="26">
        <f>股权价值增加表!P13-股权价值增加表!P14</f>
        <v>-14959184</v>
      </c>
      <c r="Q20" s="26">
        <f>股权价值增加表!Q13-股权价值增加表!Q14</f>
        <v>-88265211</v>
      </c>
      <c r="R20" s="26">
        <f>股权价值增加表!R13-股权价值增加表!R14</f>
        <v>-68875836</v>
      </c>
      <c r="S20" s="26">
        <f>股权价值增加表!S13-股权价值增加表!S14</f>
        <v>-33880914</v>
      </c>
      <c r="T20" s="26">
        <f>股权价值增加表!T13-股权价值增加表!T14</f>
        <v>-13404073</v>
      </c>
      <c r="U20" s="26">
        <f>股权价值增加表!U13-股权价值增加表!U14</f>
        <v>-123568109</v>
      </c>
      <c r="V20" s="26">
        <f>股权价值增加表!V13-股权价值增加表!V14</f>
        <v>-73575423</v>
      </c>
      <c r="W20" s="26">
        <f>股权价值增加表!W13-股权价值增加表!W14</f>
        <v>-55630956</v>
      </c>
      <c r="X20" s="26">
        <f>股权价值增加表!X13-股权价值增加表!X14</f>
        <v>-18601480</v>
      </c>
      <c r="Y20" s="26">
        <f>股权价值增加表!Y13-股权价值增加表!Y14</f>
        <v>-83341803</v>
      </c>
      <c r="Z20" s="26">
        <f>股权价值增加表!Z13-股权价值增加表!Z14</f>
        <v>-41533692</v>
      </c>
      <c r="AA20" s="26">
        <f>股权价值增加表!AA13-股权价值增加表!AA14</f>
        <v>-27863363</v>
      </c>
      <c r="AB20" s="26">
        <f>股权价值增加表!AB13-股权价值增加表!AB14</f>
        <v>-12537420</v>
      </c>
      <c r="AC20" s="26">
        <f>股权价值增加表!AC13-股权价值增加表!AC14</f>
        <v>-122101096</v>
      </c>
      <c r="AD20" s="26">
        <f>股权价值增加表!AD13-股权价值增加表!AD14</f>
        <v>-67946212</v>
      </c>
      <c r="AE20" s="26">
        <f>股权价值增加表!AE13-股权价值增加表!AE14</f>
        <v>-45445979</v>
      </c>
      <c r="AF20" s="26">
        <f>股权价值增加表!AF13-股权价值增加表!AF14</f>
        <v>-20179275</v>
      </c>
      <c r="AG20" s="26">
        <f>股权价值增加表!AG13-股权价值增加表!AG14</f>
        <v>-33943433</v>
      </c>
      <c r="AH20" s="26">
        <f>股权价值增加表!AH13-股权价值增加表!AH14</f>
        <v>9113924</v>
      </c>
      <c r="AI20" s="26">
        <f>股权价值增加表!AI13-股权价值增加表!AI14</f>
        <v>-4275688</v>
      </c>
      <c r="AJ20" s="26">
        <f>股权价值增加表!AJ13-股权价值增加表!AJ14</f>
        <v>5973723</v>
      </c>
      <c r="AK20" s="26">
        <f>股权价值增加表!AK13-股权价值增加表!AK14</f>
        <v>-42203409</v>
      </c>
      <c r="AL20" s="26">
        <f>股权价值增加表!AL13-股权价值增加表!AL14</f>
        <v>-7538124</v>
      </c>
      <c r="AM20" s="26">
        <f>股权价值增加表!AM13-股权价值增加表!AM14</f>
        <v>2232604</v>
      </c>
      <c r="AN20" s="26">
        <f>股权价值增加表!AN13-股权价值增加表!AN14</f>
        <v>14741</v>
      </c>
      <c r="AO20" s="26">
        <f>股权价值增加表!AO13-股权价值增加表!AO14</f>
        <v>57924800</v>
      </c>
      <c r="AP20" s="26">
        <f>股权价值增加表!AP13-股权价值增加表!AP14</f>
        <v>-61616077</v>
      </c>
      <c r="AQ20" s="26">
        <f>股权价值增加表!AQ13-股权价值增加表!AQ14</f>
        <v>-49360694</v>
      </c>
      <c r="AR20" s="26">
        <f>股权价值增加表!AR13-股权价值增加表!AR14</f>
        <v>1182099</v>
      </c>
      <c r="AS20" s="26">
        <f>股权价值增加表!AS13-股权价值增加表!AS14</f>
        <v>-73165983</v>
      </c>
      <c r="AT20" s="26">
        <f>股权价值增加表!AT13-股权价值增加表!AT14</f>
        <v>-101506381</v>
      </c>
      <c r="AU20" s="26">
        <f>股权价值增加表!AU13-股权价值增加表!AU14</f>
        <v>-32031271</v>
      </c>
      <c r="AV20" s="26">
        <f>股权价值增加表!AV13-股权价值增加表!AV14</f>
        <v>-165709</v>
      </c>
      <c r="AW20" s="26">
        <f>股权价值增加表!AW13-股权价值增加表!AW14</f>
        <v>-44197866</v>
      </c>
      <c r="AX20" s="26">
        <f>股权价值增加表!AX13-股权价值增加表!AX14</f>
        <v>-33476883</v>
      </c>
      <c r="AY20" s="26">
        <f>股权价值增加表!AY13-股权价值增加表!AY14</f>
        <v>-1250963</v>
      </c>
      <c r="AZ20" s="26">
        <f>股权价值增加表!AZ13-股权价值增加表!AZ14</f>
        <v>-16996</v>
      </c>
      <c r="BA20" s="26">
        <f>股权价值增加表!BA13-股权价值增加表!BA14</f>
        <v>-86184998</v>
      </c>
      <c r="BB20" s="26">
        <f>股权价值增加表!BB13-股权价值增加表!BB14</f>
        <v>-75764739</v>
      </c>
      <c r="BC20" s="26">
        <f>股权价值增加表!BC13-股权价值增加表!BC14</f>
        <v>-23302704</v>
      </c>
      <c r="BD20" s="26">
        <f>股权价值增加表!BD13-股权价值增加表!BD14</f>
        <v>-7532891</v>
      </c>
      <c r="BE20" s="26">
        <f>股权价值增加表!BE13-股权价值增加表!BE14</f>
        <v>-41808930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-3.3957344354011167E-3</v>
      </c>
      <c r="F21" s="57">
        <f t="shared" ref="F21:BQ21" si="21">F20/F2</f>
        <v>-1.3978600401508361E-3</v>
      </c>
      <c r="G21" s="57">
        <f t="shared" si="21"/>
        <v>-1.4074210863134218E-3</v>
      </c>
      <c r="H21" s="57">
        <f t="shared" si="21"/>
        <v>-1.4584880823668761E-3</v>
      </c>
      <c r="I21" s="57">
        <f t="shared" si="21"/>
        <v>-2.7863749110139738E-3</v>
      </c>
      <c r="J21" s="57">
        <f t="shared" si="21"/>
        <v>-2.0866626883933857E-3</v>
      </c>
      <c r="K21" s="57">
        <f t="shared" si="21"/>
        <v>-2.0041797747765077E-3</v>
      </c>
      <c r="L21" s="57">
        <f t="shared" si="21"/>
        <v>-1.7251311483773438E-3</v>
      </c>
      <c r="M21" s="57">
        <f t="shared" si="21"/>
        <v>-1.5316242234255613E-3</v>
      </c>
      <c r="N21" s="57">
        <f t="shared" si="21"/>
        <v>-1.0345992980122542E-3</v>
      </c>
      <c r="O21" s="57">
        <f t="shared" si="21"/>
        <v>-1.2694850931404566E-3</v>
      </c>
      <c r="P21" s="57">
        <f t="shared" si="21"/>
        <v>-1.0778190118811376E-3</v>
      </c>
      <c r="Q21" s="57">
        <f t="shared" si="21"/>
        <v>-1.6354273943978877E-3</v>
      </c>
      <c r="R21" s="57">
        <f t="shared" si="21"/>
        <v>-1.697077833006429E-3</v>
      </c>
      <c r="S21" s="57">
        <f t="shared" si="21"/>
        <v>-1.2842696469778255E-3</v>
      </c>
      <c r="T21" s="57">
        <f t="shared" si="21"/>
        <v>-1.0370719004794198E-3</v>
      </c>
      <c r="U21" s="57">
        <f t="shared" si="21"/>
        <v>-2.406729944897136E-3</v>
      </c>
      <c r="V21" s="57">
        <f t="shared" si="21"/>
        <v>-1.9517642318881625E-3</v>
      </c>
      <c r="W21" s="57">
        <f t="shared" si="21"/>
        <v>-2.2871869238053357E-3</v>
      </c>
      <c r="X21" s="57">
        <f t="shared" si="21"/>
        <v>-1.5522230321552296E-3</v>
      </c>
      <c r="Y21" s="57">
        <f t="shared" si="21"/>
        <v>-1.8132589082359761E-3</v>
      </c>
      <c r="Z21" s="57">
        <f t="shared" si="21"/>
        <v>-1.2405967145051313E-3</v>
      </c>
      <c r="AA21" s="57">
        <f t="shared" si="21"/>
        <v>-1.2520020722439835E-3</v>
      </c>
      <c r="AB21" s="57">
        <f t="shared" si="21"/>
        <v>-1.1204128686327077E-3</v>
      </c>
      <c r="AC21" s="57">
        <f t="shared" si="21"/>
        <v>-2.7129333580780406E-3</v>
      </c>
      <c r="AD21" s="57">
        <f t="shared" si="21"/>
        <v>-2.0422357171276193E-3</v>
      </c>
      <c r="AE21" s="57">
        <f t="shared" si="21"/>
        <v>-2.0796995311990274E-3</v>
      </c>
      <c r="AF21" s="57">
        <f t="shared" si="21"/>
        <v>-1.8522647312449586E-3</v>
      </c>
      <c r="AG21" s="57">
        <f t="shared" si="21"/>
        <v>-8.0791225894906601E-4</v>
      </c>
      <c r="AH21" s="57">
        <f t="shared" si="21"/>
        <v>2.941116127546117E-4</v>
      </c>
      <c r="AI21" s="57">
        <f t="shared" si="21"/>
        <v>-3.0495568376230479E-4</v>
      </c>
      <c r="AJ21" s="57">
        <f t="shared" si="21"/>
        <v>9.071939837657307E-4</v>
      </c>
      <c r="AK21" s="57">
        <f t="shared" si="21"/>
        <v>-1.825158899469553E-3</v>
      </c>
      <c r="AL21" s="57">
        <f t="shared" si="21"/>
        <v>-4.6392874390121955E-4</v>
      </c>
      <c r="AM21" s="57">
        <f t="shared" si="21"/>
        <v>2.1969821598214235E-4</v>
      </c>
      <c r="AN21" s="57">
        <f t="shared" si="21"/>
        <v>3.0332711406091511E-6</v>
      </c>
      <c r="AO21" s="57">
        <f t="shared" si="21"/>
        <v>2.5635753869183158E-3</v>
      </c>
      <c r="AP21" s="57">
        <f t="shared" si="21"/>
        <v>-3.4803639356777443E-3</v>
      </c>
      <c r="AQ21" s="57">
        <f t="shared" si="21"/>
        <v>-4.2526541706056128E-3</v>
      </c>
      <c r="AR21" s="57">
        <f t="shared" si="21"/>
        <v>2.1464285163482643E-4</v>
      </c>
      <c r="AS21" s="57">
        <f t="shared" si="21"/>
        <v>-3.5074335445949055E-3</v>
      </c>
      <c r="AT21" s="57">
        <f t="shared" si="21"/>
        <v>-6.6670038566119865E-3</v>
      </c>
      <c r="AU21" s="57">
        <f t="shared" si="21"/>
        <v>-3.3205602699617393E-3</v>
      </c>
      <c r="AV21" s="57">
        <f t="shared" si="21"/>
        <v>-3.6829093704657453E-5</v>
      </c>
      <c r="AW21" s="57">
        <f t="shared" si="21"/>
        <v>-2.7375600831510845E-3</v>
      </c>
      <c r="AX21" s="57">
        <f t="shared" si="21"/>
        <v>-2.8457466385534026E-3</v>
      </c>
      <c r="AY21" s="57">
        <f t="shared" si="21"/>
        <v>-1.6116290326945545E-4</v>
      </c>
      <c r="AZ21" s="57">
        <f t="shared" si="21"/>
        <v>-4.8272240512883548E-6</v>
      </c>
      <c r="BA21" s="57">
        <f t="shared" si="21"/>
        <v>-6.5766638731898633E-3</v>
      </c>
      <c r="BB21" s="57">
        <f t="shared" si="21"/>
        <v>-7.8607930395738317E-3</v>
      </c>
      <c r="BC21" s="57">
        <f t="shared" si="21"/>
        <v>-3.59194159390491E-3</v>
      </c>
      <c r="BD21" s="57">
        <f t="shared" si="21"/>
        <v>-1.0459608272190858E-3</v>
      </c>
      <c r="BE21" s="57">
        <f t="shared" si="21"/>
        <v>-8.1363736141896788E-3</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1.4932210355104414E-2</v>
      </c>
      <c r="F22" s="66">
        <f t="shared" ref="F22:BQ22" si="23">F11+F13+F15+F17+F19+F21</f>
        <v>1.6108953283437276E-2</v>
      </c>
      <c r="G22" s="66">
        <f t="shared" si="23"/>
        <v>1.5569812929540584E-2</v>
      </c>
      <c r="H22" s="66">
        <f t="shared" si="23"/>
        <v>1.4370353463969225E-2</v>
      </c>
      <c r="I22" s="66">
        <f t="shared" si="23"/>
        <v>1.8258212397559724E-2</v>
      </c>
      <c r="J22" s="66">
        <f t="shared" si="23"/>
        <v>1.8626966540039598E-2</v>
      </c>
      <c r="K22" s="66">
        <f t="shared" si="23"/>
        <v>1.8459934708315542E-2</v>
      </c>
      <c r="L22" s="66">
        <f t="shared" si="23"/>
        <v>1.7726987193657808E-2</v>
      </c>
      <c r="M22" s="66">
        <f t="shared" si="23"/>
        <v>1.7719540844268987E-2</v>
      </c>
      <c r="N22" s="66">
        <f t="shared" si="23"/>
        <v>1.5795058133717368E-2</v>
      </c>
      <c r="O22" s="66">
        <f t="shared" si="23"/>
        <v>1.4954546227316687E-2</v>
      </c>
      <c r="P22" s="66">
        <f t="shared" si="23"/>
        <v>2.1934910964783044E-2</v>
      </c>
      <c r="Q22" s="66">
        <f t="shared" si="23"/>
        <v>7.5193264136815055E-2</v>
      </c>
      <c r="R22" s="66">
        <f t="shared" si="23"/>
        <v>7.2934985440103184E-2</v>
      </c>
      <c r="S22" s="66">
        <f t="shared" si="23"/>
        <v>7.2401616166810082E-2</v>
      </c>
      <c r="T22" s="66">
        <f t="shared" si="23"/>
        <v>6.9842577342124693E-2</v>
      </c>
      <c r="U22" s="66">
        <f t="shared" si="23"/>
        <v>9.2556267179964735E-2</v>
      </c>
      <c r="V22" s="66">
        <f t="shared" si="23"/>
        <v>9.0078973050052594E-2</v>
      </c>
      <c r="W22" s="66">
        <f t="shared" si="23"/>
        <v>8.8953159596236231E-2</v>
      </c>
      <c r="X22" s="66">
        <f t="shared" si="23"/>
        <v>8.4376346332648344E-2</v>
      </c>
      <c r="Y22" s="66">
        <f t="shared" si="23"/>
        <v>8.6622398505992362E-2</v>
      </c>
      <c r="Z22" s="66">
        <f t="shared" si="23"/>
        <v>8.6740922560272812E-2</v>
      </c>
      <c r="AA22" s="66">
        <f t="shared" si="23"/>
        <v>8.6281306537020902E-2</v>
      </c>
      <c r="AB22" s="66">
        <f t="shared" si="23"/>
        <v>8.3371291599642544E-2</v>
      </c>
      <c r="AC22" s="66">
        <f t="shared" si="23"/>
        <v>8.4296220755568432E-2</v>
      </c>
      <c r="AD22" s="66">
        <f t="shared" si="23"/>
        <v>8.7224572484069812E-2</v>
      </c>
      <c r="AE22" s="66">
        <f t="shared" si="23"/>
        <v>8.0951917353541888E-2</v>
      </c>
      <c r="AF22" s="66">
        <f t="shared" si="23"/>
        <v>7.9709749546824693E-2</v>
      </c>
      <c r="AG22" s="66">
        <f t="shared" si="23"/>
        <v>8.4507407385057326E-2</v>
      </c>
      <c r="AH22" s="66">
        <f t="shared" si="23"/>
        <v>8.7096007876266757E-2</v>
      </c>
      <c r="AI22" s="66">
        <f t="shared" si="23"/>
        <v>7.7743899972068514E-2</v>
      </c>
      <c r="AJ22" s="66">
        <f t="shared" si="23"/>
        <v>8.1823561044294515E-2</v>
      </c>
      <c r="AK22" s="66">
        <f t="shared" si="23"/>
        <v>8.390400161220718E-2</v>
      </c>
      <c r="AL22" s="66">
        <f t="shared" si="23"/>
        <v>8.6724565533844E-2</v>
      </c>
      <c r="AM22" s="66">
        <f t="shared" si="23"/>
        <v>8.9309069901632829E-2</v>
      </c>
      <c r="AN22" s="66">
        <f t="shared" si="23"/>
        <v>8.852927765220954E-2</v>
      </c>
      <c r="AO22" s="66">
        <f t="shared" si="23"/>
        <v>8.5468223556449091E-2</v>
      </c>
      <c r="AP22" s="66">
        <f t="shared" si="23"/>
        <v>7.5860505389532748E-2</v>
      </c>
      <c r="AQ22" s="66">
        <f t="shared" si="23"/>
        <v>7.4190852778475855E-2</v>
      </c>
      <c r="AR22" s="66">
        <f t="shared" si="23"/>
        <v>7.9376291236452928E-2</v>
      </c>
      <c r="AS22" s="66">
        <f t="shared" si="23"/>
        <v>7.2066464773361177E-2</v>
      </c>
      <c r="AT22" s="66">
        <f t="shared" si="23"/>
        <v>6.7615654532709568E-2</v>
      </c>
      <c r="AU22" s="66">
        <f t="shared" si="23"/>
        <v>6.7895978806549295E-2</v>
      </c>
      <c r="AV22" s="66">
        <f t="shared" si="23"/>
        <v>7.0584980019089291E-2</v>
      </c>
      <c r="AW22" s="66">
        <f t="shared" si="23"/>
        <v>8.3804359537389655E-2</v>
      </c>
      <c r="AX22" s="66">
        <f t="shared" si="23"/>
        <v>8.3787783249133732E-2</v>
      </c>
      <c r="AY22" s="66">
        <f t="shared" si="23"/>
        <v>8.2808220431705576E-2</v>
      </c>
      <c r="AZ22" s="66">
        <f t="shared" si="23"/>
        <v>8.687400816394128E-2</v>
      </c>
      <c r="BA22" s="66">
        <f t="shared" si="23"/>
        <v>7.9663129818429324E-2</v>
      </c>
      <c r="BB22" s="66">
        <f t="shared" si="23"/>
        <v>8.0298513760565807E-2</v>
      </c>
      <c r="BC22" s="66">
        <f t="shared" si="23"/>
        <v>8.1856555448707638E-2</v>
      </c>
      <c r="BD22" s="66">
        <f t="shared" si="23"/>
        <v>7.8635165954061559E-2</v>
      </c>
      <c r="BE22" s="66">
        <f t="shared" si="23"/>
        <v>8.139653799025294E-2</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11077389138.07021</v>
      </c>
      <c r="F23" s="27">
        <f>股权价值增加表!F17</f>
        <v>9672488671.2355042</v>
      </c>
      <c r="G23" s="27">
        <f>股权价值增加表!G17</f>
        <v>6531099981.038373</v>
      </c>
      <c r="H23" s="27">
        <f>股权价值增加表!H17</f>
        <v>2716747279.7468796</v>
      </c>
      <c r="I23" s="27">
        <f>股权价值增加表!I17</f>
        <v>5300687594.5967007</v>
      </c>
      <c r="J23" s="27">
        <f>股权价值增加表!J17</f>
        <v>3698321542.3712516</v>
      </c>
      <c r="K23" s="27">
        <f>股权价值增加表!K17</f>
        <v>2732744905.3853908</v>
      </c>
      <c r="L23" s="27">
        <f>股权价值增加表!L17</f>
        <v>1750322188.9933169</v>
      </c>
      <c r="M23" s="27">
        <f>股权价值增加表!M17</f>
        <v>11155351466.714634</v>
      </c>
      <c r="N23" s="27">
        <f>股权价值增加表!N17</f>
        <v>10156368119.711779</v>
      </c>
      <c r="O23" s="27">
        <f>股权价值增加表!O17</f>
        <v>6684020505.993166</v>
      </c>
      <c r="P23" s="27">
        <f>股权价值增加表!P17</f>
        <v>3463219454.0120273</v>
      </c>
      <c r="Q23" s="27">
        <f>股权价值增加表!Q17</f>
        <v>12454652313.785465</v>
      </c>
      <c r="R23" s="27">
        <f>股权价值增加表!R17</f>
        <v>9978599506.1118793</v>
      </c>
      <c r="S23" s="27">
        <f>股权价值增加表!S17</f>
        <v>6453247171.8106775</v>
      </c>
      <c r="T23" s="27">
        <f>股权价值增加表!T17</f>
        <v>3228546804.5751991</v>
      </c>
      <c r="U23" s="27">
        <f>股权价值增加表!U17</f>
        <v>11070539188.939714</v>
      </c>
      <c r="V23" s="27">
        <f>股权价值增加表!V17</f>
        <v>8469896979.0597258</v>
      </c>
      <c r="W23" s="27">
        <f>股权价值增加表!W17</f>
        <v>5685667699.6138163</v>
      </c>
      <c r="X23" s="27">
        <f>股权价值增加表!X17</f>
        <v>3157596890.006072</v>
      </c>
      <c r="Y23" s="27">
        <f>股权价值增加表!Y17</f>
        <v>10539745313.867237</v>
      </c>
      <c r="Z23" s="27">
        <f>股权价值增加表!Z17</f>
        <v>8114573303.1085644</v>
      </c>
      <c r="AA23" s="27">
        <f>股权价值增加表!AA17</f>
        <v>5574601458.2782879</v>
      </c>
      <c r="AB23" s="27">
        <f>股权价值增加表!AB17</f>
        <v>3220409782.2647715</v>
      </c>
      <c r="AC23" s="27">
        <f>股权价值增加表!AC17</f>
        <v>11142221398.849859</v>
      </c>
      <c r="AD23" s="27">
        <f>股权价值增加表!AD17</f>
        <v>8813852486.676096</v>
      </c>
      <c r="AE23" s="27">
        <f>股权价值增加表!AE17</f>
        <v>5896769807.1053886</v>
      </c>
      <c r="AF23" s="27">
        <f>股权价值增加表!AF17</f>
        <v>3244122023.2272778</v>
      </c>
      <c r="AG23" s="27">
        <f>股权价值增加表!AG17</f>
        <v>10762858342.266582</v>
      </c>
      <c r="AH23" s="27">
        <f>股权价值增加表!AH17</f>
        <v>8614758910.1789284</v>
      </c>
      <c r="AI23" s="27">
        <f>股权价值增加表!AI17</f>
        <v>4873485953.1756868</v>
      </c>
      <c r="AJ23" s="27">
        <f>股权价值增加表!AJ17</f>
        <v>2417407410.02739</v>
      </c>
      <c r="AK23" s="27">
        <f>股权价值增加表!AK17</f>
        <v>6859362389.1660767</v>
      </c>
      <c r="AL23" s="27">
        <f>股权价值增加表!AL17</f>
        <v>5011014616.4263105</v>
      </c>
      <c r="AM23" s="27">
        <f>股权价值增加表!AM17</f>
        <v>3102144100.7278895</v>
      </c>
      <c r="AN23" s="27">
        <f>股权价值增加表!AN17</f>
        <v>1597102441.8160377</v>
      </c>
      <c r="AO23" s="27">
        <f>股权价值增加表!AO17</f>
        <v>6792321962.2725506</v>
      </c>
      <c r="AP23" s="27">
        <f>股权价值增加表!AP17</f>
        <v>5861578827.2887373</v>
      </c>
      <c r="AQ23" s="27">
        <f>股权价值增加表!AQ17</f>
        <v>3876152207.8228669</v>
      </c>
      <c r="AR23" s="27">
        <f>股权价值增加表!AR17</f>
        <v>2136158454.3955398</v>
      </c>
      <c r="AS23" s="27">
        <f>股权价值增加表!AS17</f>
        <v>6076227930.4870129</v>
      </c>
      <c r="AT23" s="27">
        <f>股权价值增加表!AT17</f>
        <v>4627495800.328805</v>
      </c>
      <c r="AU23" s="27">
        <f>股权价值增加表!AU17</f>
        <v>2929560748.1604538</v>
      </c>
      <c r="AV23" s="27">
        <f>股权价值增加表!AV17</f>
        <v>1572831930.0704546</v>
      </c>
      <c r="AW23" s="27">
        <f>股权价值增加表!AW17</f>
        <v>4502672687.0322638</v>
      </c>
      <c r="AX23" s="27">
        <f>股权价值增加表!AX17</f>
        <v>3412599641.104003</v>
      </c>
      <c r="AY23" s="27">
        <f>股权价值增加表!AY17</f>
        <v>2409632660.9581552</v>
      </c>
      <c r="AZ23" s="27">
        <f>股权价值增加表!AZ17</f>
        <v>951591841.95597255</v>
      </c>
      <c r="BA23" s="27">
        <f>股权价值增加表!BA17</f>
        <v>3842111173.2268667</v>
      </c>
      <c r="BB23" s="27">
        <f>股权价值增加表!BB17</f>
        <v>2832855745.2400618</v>
      </c>
      <c r="BC23" s="27">
        <f>股权价值增加表!BC17</f>
        <v>2012099353.279176</v>
      </c>
      <c r="BD23" s="27">
        <f>股权价值增加表!BD17</f>
        <v>2383911572.3994789</v>
      </c>
      <c r="BE23" s="27">
        <f>股权价值增加表!BE17</f>
        <v>1523082887.204072</v>
      </c>
      <c r="BF23" s="27" t="e">
        <f>股权价值增加表!BF17</f>
        <v>#DIV/0!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0.19910291356149745</v>
      </c>
      <c r="F24" s="57">
        <f t="shared" ref="F24:BQ24" si="25">F23/F2</f>
        <v>0.23172876657997171</v>
      </c>
      <c r="G24" s="57">
        <f t="shared" si="25"/>
        <v>0.2387397396511747</v>
      </c>
      <c r="H24" s="57">
        <f t="shared" si="25"/>
        <v>0.21819185244204753</v>
      </c>
      <c r="I24" s="57">
        <f t="shared" si="25"/>
        <v>0.11878323473944728</v>
      </c>
      <c r="J24" s="57">
        <f t="shared" si="25"/>
        <v>0.11707152125990315</v>
      </c>
      <c r="K24" s="57">
        <f t="shared" si="25"/>
        <v>0.12875003591393674</v>
      </c>
      <c r="L24" s="57">
        <f t="shared" si="25"/>
        <v>0.15750630854696521</v>
      </c>
      <c r="M24" s="57">
        <f t="shared" si="25"/>
        <v>0.21235600993635034</v>
      </c>
      <c r="N24" s="57">
        <f t="shared" si="25"/>
        <v>0.25136108427608778</v>
      </c>
      <c r="O24" s="57">
        <f t="shared" si="25"/>
        <v>0.2424504162803498</v>
      </c>
      <c r="P24" s="57">
        <f t="shared" si="25"/>
        <v>0.24952723155559661</v>
      </c>
      <c r="Q24" s="57">
        <f t="shared" si="25"/>
        <v>0.23076679193194005</v>
      </c>
      <c r="R24" s="57">
        <f t="shared" si="25"/>
        <v>0.24586939353115614</v>
      </c>
      <c r="S24" s="57">
        <f t="shared" si="25"/>
        <v>0.24461292476353941</v>
      </c>
      <c r="T24" s="57">
        <f t="shared" si="25"/>
        <v>0.24979237060314127</v>
      </c>
      <c r="U24" s="57">
        <f t="shared" si="25"/>
        <v>0.21562034401755284</v>
      </c>
      <c r="V24" s="57">
        <f t="shared" si="25"/>
        <v>0.22468429398640866</v>
      </c>
      <c r="W24" s="57">
        <f t="shared" si="25"/>
        <v>0.23375806836141882</v>
      </c>
      <c r="X24" s="57">
        <f t="shared" si="25"/>
        <v>0.2634894975522995</v>
      </c>
      <c r="Y24" s="57">
        <f t="shared" si="25"/>
        <v>0.22931213860237881</v>
      </c>
      <c r="Z24" s="57">
        <f t="shared" si="25"/>
        <v>0.2423794393103203</v>
      </c>
      <c r="AA24" s="57">
        <f t="shared" si="25"/>
        <v>0.2504870850549788</v>
      </c>
      <c r="AB24" s="57">
        <f t="shared" si="25"/>
        <v>0.28779354622562747</v>
      </c>
      <c r="AC24" s="57">
        <f t="shared" si="25"/>
        <v>0.24756619806288024</v>
      </c>
      <c r="AD24" s="57">
        <f t="shared" si="25"/>
        <v>0.26491490583439747</v>
      </c>
      <c r="AE24" s="57">
        <f t="shared" si="25"/>
        <v>0.26984806298101</v>
      </c>
      <c r="AF24" s="57">
        <f t="shared" si="25"/>
        <v>0.29777942009705133</v>
      </c>
      <c r="AG24" s="57">
        <f t="shared" si="25"/>
        <v>0.25617459483398142</v>
      </c>
      <c r="AH24" s="57">
        <f t="shared" si="25"/>
        <v>0.27800326583422091</v>
      </c>
      <c r="AI24" s="57">
        <f t="shared" si="25"/>
        <v>0.34759253742477919</v>
      </c>
      <c r="AJ24" s="57">
        <f t="shared" si="25"/>
        <v>0.36711736695651026</v>
      </c>
      <c r="AK24" s="57">
        <f t="shared" si="25"/>
        <v>0.29664490632197982</v>
      </c>
      <c r="AL24" s="57">
        <f t="shared" si="25"/>
        <v>0.30839950585441545</v>
      </c>
      <c r="AM24" s="57">
        <f t="shared" si="25"/>
        <v>0.3052648497671081</v>
      </c>
      <c r="AN24" s="57">
        <f t="shared" si="25"/>
        <v>0.32863745643830083</v>
      </c>
      <c r="AO24" s="57">
        <f t="shared" si="25"/>
        <v>0.30060750149342991</v>
      </c>
      <c r="AP24" s="57">
        <f t="shared" si="25"/>
        <v>0.33108936092487629</v>
      </c>
      <c r="AQ24" s="57">
        <f t="shared" si="25"/>
        <v>0.33394860397424864</v>
      </c>
      <c r="AR24" s="57">
        <f t="shared" si="25"/>
        <v>0.38787880050258228</v>
      </c>
      <c r="AS24" s="57">
        <f t="shared" si="25"/>
        <v>0.29128243473465848</v>
      </c>
      <c r="AT24" s="57">
        <f t="shared" si="25"/>
        <v>0.30393687611863451</v>
      </c>
      <c r="AU24" s="57">
        <f t="shared" si="25"/>
        <v>0.30369644179217842</v>
      </c>
      <c r="AV24" s="57">
        <f t="shared" si="25"/>
        <v>0.3495644445035696</v>
      </c>
      <c r="AW24" s="57">
        <f t="shared" si="25"/>
        <v>0.27888986802019267</v>
      </c>
      <c r="AX24" s="57">
        <f t="shared" si="25"/>
        <v>0.29009253810757302</v>
      </c>
      <c r="AY24" s="57">
        <f t="shared" si="25"/>
        <v>0.31043555680936985</v>
      </c>
      <c r="AZ24" s="57">
        <f t="shared" si="25"/>
        <v>0.27027224208635309</v>
      </c>
      <c r="BA24" s="57">
        <f t="shared" si="25"/>
        <v>0.29318645165763368</v>
      </c>
      <c r="BB24" s="57">
        <f t="shared" si="25"/>
        <v>0.29391631276258762</v>
      </c>
      <c r="BC24" s="57">
        <f t="shared" si="25"/>
        <v>0.31015041679766614</v>
      </c>
      <c r="BD24" s="57">
        <f t="shared" si="25"/>
        <v>0.33101210681053406</v>
      </c>
      <c r="BE24" s="57">
        <f t="shared" si="25"/>
        <v>0.29640489282244359</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600</v>
      </c>
      <c r="B26" s="152"/>
      <c r="C26" s="152"/>
      <c r="D26" s="152"/>
      <c r="E26" s="153">
        <f>POWER(E2/Y2,1/6)-1</f>
        <v>3.2348000260372434E-2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38352</v>
      </c>
      <c r="BE27" s="1">
        <v>37986</v>
      </c>
      <c r="BF27" s="1">
        <v>25569</v>
      </c>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14282388024</v>
      </c>
      <c r="F28" s="26">
        <f>股权价值增加表!F15</f>
        <v>12397026362</v>
      </c>
      <c r="G28" s="26">
        <f>股权价值增加表!G15</f>
        <v>8351345182</v>
      </c>
      <c r="H28" s="26">
        <f>股权价值增加表!H15</f>
        <v>3466121551</v>
      </c>
      <c r="I28" s="26">
        <f>股权价值增加表!I15</f>
        <v>6609376981</v>
      </c>
      <c r="J28" s="26">
        <f>股权价值增加表!J15</f>
        <v>4530605308</v>
      </c>
      <c r="K28" s="26">
        <f>股权价值增加表!K15</f>
        <v>3360954209</v>
      </c>
      <c r="L28" s="26">
        <f>股权价值增加表!L15</f>
        <v>2210954096</v>
      </c>
      <c r="M28" s="26">
        <f>股权价值增加表!M15</f>
        <v>14461146581</v>
      </c>
      <c r="N28" s="26">
        <f>股权价值增加表!N15</f>
        <v>13225765623</v>
      </c>
      <c r="O28" s="26">
        <f>股权价值增加表!O15</f>
        <v>8736914769</v>
      </c>
      <c r="P28" s="26">
        <f>股权价值增加表!P15</f>
        <v>4495004816</v>
      </c>
      <c r="Q28" s="26">
        <f>股权价值增加表!Q15</f>
        <v>16000525221</v>
      </c>
      <c r="R28" s="26">
        <f>股权价值增加表!R15</f>
        <v>12886247667</v>
      </c>
      <c r="S28" s="26">
        <f>股权价值增加表!S15</f>
        <v>8280534725</v>
      </c>
      <c r="T28" s="26">
        <f>股权价值增加表!T15</f>
        <v>4144532273</v>
      </c>
      <c r="U28" s="26">
        <f>股权价值增加表!U15</f>
        <v>14036723528</v>
      </c>
      <c r="V28" s="26">
        <f>股权价值增加表!V15</f>
        <v>10735788472</v>
      </c>
      <c r="W28" s="26">
        <f>股权价值增加表!W15</f>
        <v>7196720821</v>
      </c>
      <c r="X28" s="26">
        <f>股权价值增加表!X15</f>
        <v>4045918824</v>
      </c>
      <c r="Y28" s="26">
        <f>股权价值增加表!Y15</f>
        <v>13493760009</v>
      </c>
      <c r="Z28" s="26">
        <f>股权价值增加表!Z15</f>
        <v>10398738557</v>
      </c>
      <c r="AA28" s="26">
        <f>股权价值增加表!AA15</f>
        <v>7125354911</v>
      </c>
      <c r="AB28" s="26">
        <f>股权价值增加表!AB15</f>
        <v>4164818695</v>
      </c>
      <c r="AC28" s="26">
        <f>股权价值增加表!AC15</f>
        <v>14548589106</v>
      </c>
      <c r="AD28" s="26">
        <f>股权价值增加表!AD15</f>
        <v>11482949879</v>
      </c>
      <c r="AE28" s="26">
        <f>股权价值增加表!AE15</f>
        <v>7741086240</v>
      </c>
      <c r="AF28" s="26">
        <f>股权价值增加表!AF15</f>
        <v>4169586939</v>
      </c>
      <c r="AG28" s="26">
        <f>股权价值增加表!AG15</f>
        <v>14176633492</v>
      </c>
      <c r="AH28" s="26">
        <f>股权价值增加表!AH15</f>
        <v>11469580864</v>
      </c>
      <c r="AI28" s="26">
        <f>股权价值增加表!AI15</f>
        <v>6501119109</v>
      </c>
      <c r="AJ28" s="26">
        <f>股权价值增加表!AJ15</f>
        <v>3223817998</v>
      </c>
      <c r="AK28" s="26">
        <f>股权价值增加表!AK15</f>
        <v>9166145541</v>
      </c>
      <c r="AL28" s="26">
        <f>股权价值增加表!AL15</f>
        <v>6692005818</v>
      </c>
      <c r="AM28" s="26">
        <f>股权价值增加表!AM15</f>
        <v>4145714929</v>
      </c>
      <c r="AN28" s="26">
        <f>股权价值增加表!AN15</f>
        <v>2130456143</v>
      </c>
      <c r="AO28" s="26">
        <f>股权价值增加表!AO15</f>
        <v>9071156531</v>
      </c>
      <c r="AP28" s="26">
        <f>股权价值增加表!AP15</f>
        <v>7835148666</v>
      </c>
      <c r="AQ28" s="26">
        <f>股权价值增加表!AQ15</f>
        <v>5170036543</v>
      </c>
      <c r="AR28" s="26">
        <f>股权价值增加表!AR15</f>
        <v>2848211418</v>
      </c>
      <c r="AS28" s="26">
        <f>股权价值增加表!AS15</f>
        <v>9149410553</v>
      </c>
      <c r="AT28" s="26">
        <f>股权价值增加表!AT15</f>
        <v>7008237344</v>
      </c>
      <c r="AU28" s="26">
        <f>股权价值增加表!AU15</f>
        <v>4378986095</v>
      </c>
      <c r="AV28" s="26">
        <f>股权价值增加表!AV15</f>
        <v>2350122714</v>
      </c>
      <c r="AW28" s="26">
        <f>股权价值增加表!AW15</f>
        <v>6734048587</v>
      </c>
      <c r="AX28" s="26">
        <f>股权价值增加表!AX15</f>
        <v>5078599235</v>
      </c>
      <c r="AY28" s="26">
        <f>股权价值增加表!AY15</f>
        <v>3548186949</v>
      </c>
      <c r="AZ28" s="26">
        <f>股权价值增加表!AZ15</f>
        <v>1349917872</v>
      </c>
      <c r="BA28" s="26">
        <f>股权价值增加表!BA15</f>
        <v>5829302655</v>
      </c>
      <c r="BB28" s="26">
        <f>股权价值增加表!BB15</f>
        <v>4329846296</v>
      </c>
      <c r="BC28" s="26">
        <f>股权价值增加表!BC15</f>
        <v>3056696064</v>
      </c>
      <c r="BD28" s="26">
        <f>股权价值增加表!BD15</f>
        <v>3698608224</v>
      </c>
      <c r="BE28" s="26">
        <f>股权价值增加表!BE15</f>
        <v>2294440995</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0.82002874552593141</v>
      </c>
      <c r="F29" s="59">
        <f t="shared" si="27"/>
        <v>0.84630194822298721</v>
      </c>
      <c r="G29" s="59">
        <f t="shared" si="27"/>
        <v>0.84268608182776927</v>
      </c>
      <c r="H29" s="59">
        <f t="shared" si="27"/>
        <v>0.83392623830640245</v>
      </c>
      <c r="I29" s="59">
        <f t="shared" si="27"/>
        <v>0.71837496467376039</v>
      </c>
      <c r="J29" s="59">
        <f t="shared" si="27"/>
        <v>0.68881480664709538</v>
      </c>
      <c r="K29" s="59">
        <f t="shared" si="27"/>
        <v>0.71166527718356987</v>
      </c>
      <c r="L29" s="59">
        <f t="shared" si="27"/>
        <v>0.8249953607786501</v>
      </c>
      <c r="M29" s="59">
        <f t="shared" si="27"/>
        <v>0.87006740283621609</v>
      </c>
      <c r="N29" s="59">
        <f t="shared" si="27"/>
        <v>0.89941212376729995</v>
      </c>
      <c r="O29" s="59">
        <f t="shared" si="27"/>
        <v>0.89987502504991157</v>
      </c>
      <c r="P29" s="59">
        <f t="shared" si="27"/>
        <v>0.91751928876995381</v>
      </c>
      <c r="Q29" s="59">
        <f t="shared" si="27"/>
        <v>0.87825172478770908</v>
      </c>
      <c r="R29" s="59">
        <f t="shared" si="27"/>
        <v>0.89325058142086855</v>
      </c>
      <c r="S29" s="59">
        <f t="shared" si="27"/>
        <v>0.87526518114194485</v>
      </c>
      <c r="T29" s="59">
        <f t="shared" si="27"/>
        <v>0.89234653338364256</v>
      </c>
      <c r="U29" s="59">
        <f t="shared" si="27"/>
        <v>0.83398335277311542</v>
      </c>
      <c r="V29" s="59">
        <f t="shared" si="27"/>
        <v>0.84355247342947881</v>
      </c>
      <c r="W29" s="59">
        <f t="shared" si="27"/>
        <v>0.84000811669573994</v>
      </c>
      <c r="X29" s="59">
        <f t="shared" si="27"/>
        <v>0.8861127365500443</v>
      </c>
      <c r="Y29" s="59">
        <f t="shared" si="27"/>
        <v>0.86705903040300869</v>
      </c>
      <c r="Z29" s="59">
        <f t="shared" si="27"/>
        <v>0.87841092223195727</v>
      </c>
      <c r="AA29" s="59">
        <f t="shared" si="27"/>
        <v>0.87154080918196308</v>
      </c>
      <c r="AB29" s="59">
        <f t="shared" si="27"/>
        <v>0.90204406397681125</v>
      </c>
      <c r="AC29" s="59">
        <f t="shared" si="27"/>
        <v>0.88995097564424186</v>
      </c>
      <c r="AD29" s="59">
        <f t="shared" si="27"/>
        <v>0.89245703339034421</v>
      </c>
      <c r="AE29" s="59">
        <f t="shared" si="27"/>
        <v>0.8935219199148704</v>
      </c>
      <c r="AF29" s="59">
        <f t="shared" si="27"/>
        <v>0.8941316219785187</v>
      </c>
      <c r="AG29" s="59">
        <f t="shared" si="27"/>
        <v>0.96157689368233612</v>
      </c>
      <c r="AH29" s="59">
        <f t="shared" si="27"/>
        <v>0.98937740704770771</v>
      </c>
      <c r="AI29" s="59">
        <f t="shared" si="27"/>
        <v>1</v>
      </c>
      <c r="AJ29" s="59">
        <f t="shared" si="27"/>
        <v>1</v>
      </c>
      <c r="AK29" s="59">
        <f t="shared" ref="AK29:BP29" si="28">AK28/AK34</f>
        <v>0.98727588847432657</v>
      </c>
      <c r="AL29" s="59">
        <f t="shared" si="28"/>
        <v>0.99977007698583542</v>
      </c>
      <c r="AM29" s="59">
        <f t="shared" si="28"/>
        <v>1</v>
      </c>
      <c r="AN29" s="59">
        <f t="shared" si="28"/>
        <v>1</v>
      </c>
      <c r="AO29" s="59">
        <f t="shared" si="28"/>
        <v>0.99040032557311042</v>
      </c>
      <c r="AP29" s="59">
        <f t="shared" si="28"/>
        <v>1</v>
      </c>
      <c r="AQ29" s="59">
        <f t="shared" si="28"/>
        <v>1</v>
      </c>
      <c r="AR29" s="59">
        <f t="shared" si="28"/>
        <v>1</v>
      </c>
      <c r="AS29" s="59">
        <f t="shared" si="28"/>
        <v>0.991173017872511</v>
      </c>
      <c r="AT29" s="59">
        <f t="shared" si="28"/>
        <v>1</v>
      </c>
      <c r="AU29" s="59">
        <f t="shared" si="28"/>
        <v>1</v>
      </c>
      <c r="AV29" s="59">
        <f t="shared" si="28"/>
        <v>1</v>
      </c>
      <c r="AW29" s="59">
        <f t="shared" si="28"/>
        <v>0.99229336380915889</v>
      </c>
      <c r="AX29" s="59">
        <f t="shared" si="28"/>
        <v>1</v>
      </c>
      <c r="AY29" s="59">
        <f t="shared" si="28"/>
        <v>1</v>
      </c>
      <c r="AZ29" s="59">
        <f t="shared" si="28"/>
        <v>1</v>
      </c>
      <c r="BA29" s="59">
        <f t="shared" si="28"/>
        <v>1</v>
      </c>
      <c r="BB29" s="59">
        <f t="shared" si="28"/>
        <v>1</v>
      </c>
      <c r="BC29" s="59">
        <f t="shared" si="28"/>
        <v>1</v>
      </c>
      <c r="BD29" s="59">
        <f t="shared" si="28"/>
        <v>1</v>
      </c>
      <c r="BE29" s="59">
        <f t="shared" si="28"/>
        <v>1</v>
      </c>
      <c r="BF29" s="59" t="e">
        <f t="shared" si="28"/>
        <v>#DIV/0!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3127475954</v>
      </c>
      <c r="F30" s="26">
        <f>股权价值增加表!F20</f>
        <v>2251409146</v>
      </c>
      <c r="G30" s="26">
        <f>股权价值增加表!G20</f>
        <v>1559018122</v>
      </c>
      <c r="H30" s="26">
        <f>股权价值增加表!H20</f>
        <v>690251292</v>
      </c>
      <c r="I30" s="26">
        <f>股权价值增加表!I20</f>
        <v>2677654510</v>
      </c>
      <c r="J30" s="26">
        <f>股权价值增加表!J20</f>
        <v>2040374641</v>
      </c>
      <c r="K30" s="26">
        <f>股权价值增加表!K20</f>
        <v>1361707296</v>
      </c>
      <c r="L30" s="26">
        <f>股权价值增加表!L20</f>
        <v>469005333</v>
      </c>
      <c r="M30" s="26">
        <f>股权价值增加表!M20</f>
        <v>2083117807</v>
      </c>
      <c r="N30" s="26">
        <f>股权价值增加表!N20</f>
        <v>1464172193</v>
      </c>
      <c r="O30" s="26">
        <f>股权价值增加表!O20</f>
        <v>972116514</v>
      </c>
      <c r="P30" s="26">
        <f>股权价值增加表!P20</f>
        <v>404080000</v>
      </c>
      <c r="Q30" s="26">
        <f>股权价值增加表!Q20</f>
        <v>2526591535</v>
      </c>
      <c r="R30" s="26">
        <f>股权价值增加表!R20</f>
        <v>1789721668</v>
      </c>
      <c r="S30" s="26">
        <f>股权价值增加表!S20</f>
        <v>1180066363</v>
      </c>
      <c r="T30" s="26">
        <f>股权价值增加表!T20</f>
        <v>500000000</v>
      </c>
      <c r="U30" s="26">
        <f>股权价值增加表!U20</f>
        <v>2671190420</v>
      </c>
      <c r="V30" s="26">
        <f>股权价值增加表!V20</f>
        <v>1969285909</v>
      </c>
      <c r="W30" s="26">
        <f>股权价值增加表!W20</f>
        <v>1359819931</v>
      </c>
      <c r="X30" s="26">
        <f>股权价值增加表!X20</f>
        <v>520000000</v>
      </c>
      <c r="Y30" s="26">
        <f>股权价值增加表!Y20</f>
        <v>2061207917</v>
      </c>
      <c r="Z30" s="26">
        <f>股权价值增加表!Z20</f>
        <v>1435333366</v>
      </c>
      <c r="AA30" s="26">
        <f>股权价值增加表!AA20</f>
        <v>1046175507</v>
      </c>
      <c r="AB30" s="26">
        <f>股权价值增加表!AB20</f>
        <v>452271380</v>
      </c>
      <c r="AC30" s="26">
        <f>股权价值增加表!AC20</f>
        <v>1809629579</v>
      </c>
      <c r="AD30" s="26">
        <f>股权价值增加表!AD20</f>
        <v>1380712429</v>
      </c>
      <c r="AE30" s="26">
        <f>股权价值增加表!AE20</f>
        <v>919472486</v>
      </c>
      <c r="AF30" s="26">
        <f>股权价值增加表!AF20</f>
        <v>490686586</v>
      </c>
      <c r="AG30" s="26">
        <f>股权价值增加表!AG20</f>
        <v>568746763</v>
      </c>
      <c r="AH30" s="26">
        <f>股权价值增加表!AH20</f>
        <v>123144806</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0.17956522249021453</v>
      </c>
      <c r="F31" s="59">
        <f t="shared" ref="F31:BQ31" si="30">F30/F34</f>
        <v>0.15369588568007692</v>
      </c>
      <c r="G31" s="59">
        <f t="shared" si="30"/>
        <v>0.15731152815456301</v>
      </c>
      <c r="H31" s="59">
        <f t="shared" si="30"/>
        <v>0.16606995887308804</v>
      </c>
      <c r="I31" s="59">
        <f t="shared" si="30"/>
        <v>0.29103499006932876</v>
      </c>
      <c r="J31" s="59">
        <f t="shared" si="30"/>
        <v>0.31021026293029091</v>
      </c>
      <c r="K31" s="59">
        <f t="shared" si="30"/>
        <v>0.28833472281643019</v>
      </c>
      <c r="L31" s="59">
        <f t="shared" si="30"/>
        <v>0.17500463922134996</v>
      </c>
      <c r="M31" s="59">
        <f t="shared" si="30"/>
        <v>0.12533258618093832</v>
      </c>
      <c r="N31" s="59">
        <f t="shared" si="30"/>
        <v>9.9570358284365543E-2</v>
      </c>
      <c r="O31" s="59">
        <f t="shared" si="30"/>
        <v>0.10012497495008844</v>
      </c>
      <c r="P31" s="59">
        <f t="shared" si="30"/>
        <v>8.2480711230046203E-2</v>
      </c>
      <c r="Q31" s="59">
        <f t="shared" si="30"/>
        <v>0.13868190842482192</v>
      </c>
      <c r="R31" s="59">
        <f t="shared" si="30"/>
        <v>0.12406015791676206</v>
      </c>
      <c r="S31" s="59">
        <f t="shared" si="30"/>
        <v>0.12473481885805521</v>
      </c>
      <c r="T31" s="59">
        <f t="shared" si="30"/>
        <v>0.10765346661635739</v>
      </c>
      <c r="U31" s="59">
        <f t="shared" si="30"/>
        <v>0.15870714685825552</v>
      </c>
      <c r="V31" s="59">
        <f t="shared" si="30"/>
        <v>0.15473441971768848</v>
      </c>
      <c r="W31" s="59">
        <f t="shared" si="30"/>
        <v>0.15871947900931935</v>
      </c>
      <c r="X31" s="59">
        <f t="shared" si="30"/>
        <v>0.11388726344995571</v>
      </c>
      <c r="Y31" s="59">
        <f t="shared" si="30"/>
        <v>0.13244558498009562</v>
      </c>
      <c r="Z31" s="59">
        <f t="shared" si="30"/>
        <v>0.12124667802996476</v>
      </c>
      <c r="AA31" s="59">
        <f t="shared" si="30"/>
        <v>0.12796340102435222</v>
      </c>
      <c r="AB31" s="59">
        <f t="shared" si="30"/>
        <v>9.7955936023188805E-2</v>
      </c>
      <c r="AC31" s="59">
        <f t="shared" si="30"/>
        <v>0.11069675537963665</v>
      </c>
      <c r="AD31" s="59">
        <f t="shared" si="30"/>
        <v>0.10730923075820527</v>
      </c>
      <c r="AE31" s="59">
        <f t="shared" si="30"/>
        <v>0.10613094797399115</v>
      </c>
      <c r="AF31" s="59">
        <f t="shared" si="30"/>
        <v>0.10522346684261855</v>
      </c>
      <c r="AG31" s="59">
        <f t="shared" si="30"/>
        <v>3.8577123826050864E-2</v>
      </c>
      <c r="AH31" s="59">
        <f t="shared" si="30"/>
        <v>1.0622592952292297E-2</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t="e">
        <f t="shared" si="30"/>
        <v>#DIV/0!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7071833</v>
      </c>
      <c r="F32" s="26">
        <f>股权价值增加表!F27</f>
        <v>31730</v>
      </c>
      <c r="G32" s="26">
        <f>股权价值增加表!G27</f>
        <v>23686</v>
      </c>
      <c r="H32" s="26">
        <f>股权价值增加表!H27</f>
        <v>15806</v>
      </c>
      <c r="I32" s="26">
        <f>股权价值增加表!I27</f>
        <v>-86575871</v>
      </c>
      <c r="J32" s="26">
        <f>股权价值增加表!J27</f>
        <v>6412500</v>
      </c>
      <c r="K32" s="26">
        <f>股权价值增加表!K27</f>
        <v>0</v>
      </c>
      <c r="L32" s="26">
        <f>股权价值增加表!L27</f>
        <v>0</v>
      </c>
      <c r="M32" s="26">
        <f>股权价值增加表!M27</f>
        <v>76455494</v>
      </c>
      <c r="N32" s="26">
        <f>股权价值增加表!N27</f>
        <v>14962500</v>
      </c>
      <c r="O32" s="26">
        <f>股权价值增加表!O27</f>
        <v>0</v>
      </c>
      <c r="P32" s="26">
        <f>股权价值增加表!P27</f>
        <v>0</v>
      </c>
      <c r="Q32" s="26">
        <f>股权价值增加表!Q27</f>
        <v>-308507251</v>
      </c>
      <c r="R32" s="26">
        <f>股权价值增加表!R27</f>
        <v>-249728888</v>
      </c>
      <c r="S32" s="26">
        <f>股权价值增加表!S27</f>
        <v>0</v>
      </c>
      <c r="T32" s="26">
        <f>股权价值增加表!T27</f>
        <v>0</v>
      </c>
      <c r="U32" s="26">
        <f>股权价值增加表!U27</f>
        <v>123025760</v>
      </c>
      <c r="V32" s="26">
        <f>股权价值增加表!V27</f>
        <v>21802500</v>
      </c>
      <c r="W32" s="26">
        <f>股权价值增加表!W27</f>
        <v>10901250</v>
      </c>
      <c r="X32" s="26">
        <f>股权价值增加表!X27</f>
        <v>0</v>
      </c>
      <c r="Y32" s="26">
        <f>股权价值增加表!Y27</f>
        <v>7709511</v>
      </c>
      <c r="Z32" s="26">
        <f>股权价值增加表!Z27</f>
        <v>4053371</v>
      </c>
      <c r="AA32" s="26">
        <f>股权价值增加表!AA27</f>
        <v>4053371</v>
      </c>
      <c r="AB32" s="26">
        <f>股权价值增加表!AB27</f>
        <v>0</v>
      </c>
      <c r="AC32" s="26">
        <f>股权价值增加表!AC27</f>
        <v>-10588867</v>
      </c>
      <c r="AD32" s="26">
        <f>股权价值增加表!AD27</f>
        <v>3007402</v>
      </c>
      <c r="AE32" s="26">
        <f>股权价值增加表!AE27</f>
        <v>3007402</v>
      </c>
      <c r="AF32" s="26">
        <f>股权价值增加表!AF27</f>
        <v>3007402</v>
      </c>
      <c r="AG32" s="26">
        <f>股权价值增加表!AG27</f>
        <v>-2270697</v>
      </c>
      <c r="AH32" s="26">
        <f>股权价值增加表!AH27</f>
        <v>0</v>
      </c>
      <c r="AI32" s="26">
        <f>股权价值增加表!AI27</f>
        <v>0</v>
      </c>
      <c r="AJ32" s="26">
        <f>股权价值增加表!AJ27</f>
        <v>0</v>
      </c>
      <c r="AK32" s="26">
        <f>股权价值增加表!AK27</f>
        <v>118134211</v>
      </c>
      <c r="AL32" s="26">
        <f>股权价值增加表!AL27</f>
        <v>1539000</v>
      </c>
      <c r="AM32" s="26">
        <f>股权价值增加表!AM27</f>
        <v>0</v>
      </c>
      <c r="AN32" s="26">
        <f>股权价值增加表!AN27</f>
        <v>0</v>
      </c>
      <c r="AO32" s="26">
        <f>股权价值增加表!AO27</f>
        <v>87924193</v>
      </c>
      <c r="AP32" s="26">
        <f>股权价值增加表!AP27</f>
        <v>0</v>
      </c>
      <c r="AQ32" s="26">
        <f>股权价值增加表!AQ27</f>
        <v>0</v>
      </c>
      <c r="AR32" s="26">
        <f>股权价值增加表!AR27</f>
        <v>0</v>
      </c>
      <c r="AS32" s="26">
        <f>股权价值增加表!AS27</f>
        <v>81480914</v>
      </c>
      <c r="AT32" s="26">
        <f>股权价值增加表!AT27</f>
        <v>0</v>
      </c>
      <c r="AU32" s="26">
        <f>股权价值增加表!AU27</f>
        <v>0</v>
      </c>
      <c r="AV32" s="26">
        <f>股权价值增加表!AV27</f>
        <v>0</v>
      </c>
      <c r="AW32" s="26">
        <f>股权价值增加表!AW27</f>
        <v>52299919</v>
      </c>
      <c r="AX32" s="26">
        <f>股权价值增加表!AX27</f>
        <v>0</v>
      </c>
      <c r="AY32" s="26">
        <f>股权价值增加表!AY27</f>
        <v>0</v>
      </c>
      <c r="AZ32" s="26">
        <f>股权价值增加表!AZ27</f>
        <v>0</v>
      </c>
      <c r="BA32" s="26">
        <f>股权价值增加表!BA27</f>
        <v>0</v>
      </c>
      <c r="BB32" s="26">
        <f>股权价值增加表!BB27</f>
        <v>0</v>
      </c>
      <c r="BC32" s="26">
        <f>股权价值增加表!BC27</f>
        <v>0</v>
      </c>
      <c r="BD32" s="26">
        <f>股权价值增加表!BD27</f>
        <v>0</v>
      </c>
      <c r="BE32" s="26">
        <f>股权价值增加表!BE27</f>
        <v>0</v>
      </c>
      <c r="BF32" s="26">
        <f>股权价值增加表!BF27</f>
        <v>0</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4.060319838541087E-4</v>
      </c>
      <c r="F33" s="59">
        <f t="shared" ref="F33:BQ33" si="32">F32/F34</f>
        <v>2.1660969359093296E-6</v>
      </c>
      <c r="G33" s="59">
        <f t="shared" si="32"/>
        <v>2.3900176677157185E-6</v>
      </c>
      <c r="H33" s="59">
        <f t="shared" si="32"/>
        <v>3.8028205095312298E-6</v>
      </c>
      <c r="I33" s="59">
        <f t="shared" si="32"/>
        <v>-9.4099547430891248E-3</v>
      </c>
      <c r="J33" s="59">
        <f t="shared" si="32"/>
        <v>9.7493042261374114E-4</v>
      </c>
      <c r="K33" s="59">
        <f t="shared" si="32"/>
        <v>0</v>
      </c>
      <c r="L33" s="59">
        <f t="shared" si="32"/>
        <v>0</v>
      </c>
      <c r="M33" s="59">
        <f t="shared" si="32"/>
        <v>4.6000109828455869E-3</v>
      </c>
      <c r="N33" s="59">
        <f t="shared" si="32"/>
        <v>1.017517948334523E-3</v>
      </c>
      <c r="O33" s="59">
        <f t="shared" si="32"/>
        <v>0</v>
      </c>
      <c r="P33" s="59">
        <f t="shared" si="32"/>
        <v>0</v>
      </c>
      <c r="Q33" s="59">
        <f t="shared" si="32"/>
        <v>-1.6933633212530948E-2</v>
      </c>
      <c r="R33" s="59">
        <f t="shared" si="32"/>
        <v>-1.7310739337630561E-2</v>
      </c>
      <c r="S33" s="59">
        <f t="shared" si="32"/>
        <v>0</v>
      </c>
      <c r="T33" s="59">
        <f t="shared" si="32"/>
        <v>0</v>
      </c>
      <c r="U33" s="59">
        <f t="shared" si="32"/>
        <v>7.3095003686290908E-3</v>
      </c>
      <c r="V33" s="59">
        <f t="shared" si="32"/>
        <v>1.713106852832766E-3</v>
      </c>
      <c r="W33" s="59">
        <f t="shared" si="32"/>
        <v>1.2724042949406825E-3</v>
      </c>
      <c r="X33" s="59">
        <f t="shared" si="32"/>
        <v>0</v>
      </c>
      <c r="Y33" s="59">
        <f t="shared" si="32"/>
        <v>4.9538461689572577E-4</v>
      </c>
      <c r="Z33" s="59">
        <f t="shared" si="32"/>
        <v>3.4239973807798763E-4</v>
      </c>
      <c r="AA33" s="59">
        <f t="shared" si="32"/>
        <v>4.9578979368466482E-4</v>
      </c>
      <c r="AB33" s="59">
        <f t="shared" si="32"/>
        <v>0</v>
      </c>
      <c r="AC33" s="59">
        <f t="shared" si="32"/>
        <v>-6.4773102387850998E-4</v>
      </c>
      <c r="AD33" s="59">
        <f t="shared" si="32"/>
        <v>2.3373585145056156E-4</v>
      </c>
      <c r="AE33" s="59">
        <f t="shared" si="32"/>
        <v>3.4713211113842609E-4</v>
      </c>
      <c r="AF33" s="59">
        <f t="shared" si="32"/>
        <v>6.4491117886280409E-4</v>
      </c>
      <c r="AG33" s="59">
        <f t="shared" si="32"/>
        <v>-1.5401750838701865E-4</v>
      </c>
      <c r="AH33" s="59">
        <f t="shared" si="32"/>
        <v>0</v>
      </c>
      <c r="AI33" s="59">
        <f t="shared" si="32"/>
        <v>0</v>
      </c>
      <c r="AJ33" s="59">
        <f t="shared" si="32"/>
        <v>0</v>
      </c>
      <c r="AK33" s="59">
        <f t="shared" si="32"/>
        <v>1.2724111525673468E-2</v>
      </c>
      <c r="AL33" s="59">
        <f t="shared" si="32"/>
        <v>2.299230141645404E-4</v>
      </c>
      <c r="AM33" s="59">
        <f t="shared" si="32"/>
        <v>0</v>
      </c>
      <c r="AN33" s="59">
        <f t="shared" si="32"/>
        <v>0</v>
      </c>
      <c r="AO33" s="59">
        <f t="shared" si="32"/>
        <v>9.5996744268895696E-3</v>
      </c>
      <c r="AP33" s="59">
        <f t="shared" si="32"/>
        <v>0</v>
      </c>
      <c r="AQ33" s="59">
        <f t="shared" si="32"/>
        <v>0</v>
      </c>
      <c r="AR33" s="59">
        <f t="shared" si="32"/>
        <v>0</v>
      </c>
      <c r="AS33" s="59">
        <f t="shared" si="32"/>
        <v>8.8269821274890303E-3</v>
      </c>
      <c r="AT33" s="59">
        <f t="shared" si="32"/>
        <v>0</v>
      </c>
      <c r="AU33" s="59">
        <f t="shared" si="32"/>
        <v>0</v>
      </c>
      <c r="AV33" s="59">
        <f t="shared" si="32"/>
        <v>0</v>
      </c>
      <c r="AW33" s="59">
        <f t="shared" si="32"/>
        <v>7.7066361908410957E-3</v>
      </c>
      <c r="AX33" s="59">
        <f t="shared" si="32"/>
        <v>0</v>
      </c>
      <c r="AY33" s="59">
        <f t="shared" si="32"/>
        <v>0</v>
      </c>
      <c r="AZ33" s="59">
        <f t="shared" si="32"/>
        <v>0</v>
      </c>
      <c r="BA33" s="59">
        <f t="shared" si="32"/>
        <v>0</v>
      </c>
      <c r="BB33" s="59">
        <f t="shared" si="32"/>
        <v>0</v>
      </c>
      <c r="BC33" s="59">
        <f t="shared" si="32"/>
        <v>0</v>
      </c>
      <c r="BD33" s="59">
        <f t="shared" si="32"/>
        <v>0</v>
      </c>
      <c r="BE33" s="59">
        <f t="shared" si="32"/>
        <v>0</v>
      </c>
      <c r="BF33" s="59" t="e">
        <f t="shared" si="32"/>
        <v>#DIV/0!</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17416935811</v>
      </c>
      <c r="F34" s="58">
        <f>股权价值增加表!F31</f>
        <v>14648467238</v>
      </c>
      <c r="G34" s="58">
        <f>股权价值增加表!G31</f>
        <v>9910386990</v>
      </c>
      <c r="H34" s="58">
        <f>股权价值增加表!H31</f>
        <v>4156388649</v>
      </c>
      <c r="I34" s="58">
        <f>股权价值增加表!I31</f>
        <v>9200455620</v>
      </c>
      <c r="J34" s="58">
        <f>股权价值增加表!J31</f>
        <v>6577392449</v>
      </c>
      <c r="K34" s="58">
        <f>股权价值增加表!K31</f>
        <v>4722661505</v>
      </c>
      <c r="L34" s="58">
        <f>股权价值增加表!L31</f>
        <v>2679959429</v>
      </c>
      <c r="M34" s="58">
        <f>股权价值增加表!M31</f>
        <v>16620719882</v>
      </c>
      <c r="N34" s="58">
        <f>股权价值增加表!N31</f>
        <v>14704900316</v>
      </c>
      <c r="O34" s="58">
        <f>股权价值增加表!O31</f>
        <v>9709031283</v>
      </c>
      <c r="P34" s="58">
        <f>股权价值增加表!P31</f>
        <v>4899084816</v>
      </c>
      <c r="Q34" s="58">
        <f>股权价值增加表!Q31</f>
        <v>18218609505</v>
      </c>
      <c r="R34" s="58">
        <f>股权价值增加表!R31</f>
        <v>14426240447</v>
      </c>
      <c r="S34" s="58">
        <f>股权价值增加表!S31</f>
        <v>9460601088</v>
      </c>
      <c r="T34" s="58">
        <f>股权价值增加表!T31</f>
        <v>4644532273</v>
      </c>
      <c r="U34" s="58">
        <f>股权价值增加表!U31</f>
        <v>16830939708</v>
      </c>
      <c r="V34" s="58">
        <f>股权价值增加表!V31</f>
        <v>12726876881</v>
      </c>
      <c r="W34" s="58">
        <f>股权价值增加表!W31</f>
        <v>8567442002</v>
      </c>
      <c r="X34" s="58">
        <f>股权价值增加表!X31</f>
        <v>4565918824</v>
      </c>
      <c r="Y34" s="58">
        <f>股权价值增加表!Y31</f>
        <v>15562677437</v>
      </c>
      <c r="Z34" s="58">
        <f>股权价值增加表!Z31</f>
        <v>11838125294</v>
      </c>
      <c r="AA34" s="58">
        <f>股权价值增加表!AA31</f>
        <v>8175583789</v>
      </c>
      <c r="AB34" s="58">
        <f>股权价值增加表!AB31</f>
        <v>4617090075</v>
      </c>
      <c r="AC34" s="58">
        <f>股权价值增加表!AC31</f>
        <v>16347629818</v>
      </c>
      <c r="AD34" s="58">
        <f>股权价值增加表!AD31</f>
        <v>12866669710</v>
      </c>
      <c r="AE34" s="58">
        <f>股权价值增加表!AE31</f>
        <v>8663566128</v>
      </c>
      <c r="AF34" s="58">
        <f>股权价值增加表!AF31</f>
        <v>4663280927</v>
      </c>
      <c r="AG34" s="58">
        <f>股权价值增加表!AG31</f>
        <v>14743109558</v>
      </c>
      <c r="AH34" s="58">
        <f>股权价值增加表!AH31</f>
        <v>11592725670</v>
      </c>
      <c r="AI34" s="58">
        <f>股权价值增加表!AI31</f>
        <v>6501119109</v>
      </c>
      <c r="AJ34" s="58">
        <f>股权价值增加表!AJ31</f>
        <v>3223817998</v>
      </c>
      <c r="AK34" s="58">
        <f>股权价值增加表!AK31</f>
        <v>9284279752</v>
      </c>
      <c r="AL34" s="58">
        <f>股权价值增加表!AL31</f>
        <v>6693544818</v>
      </c>
      <c r="AM34" s="58">
        <f>股权价值增加表!AM31</f>
        <v>4145714929</v>
      </c>
      <c r="AN34" s="58">
        <f>股权价值增加表!AN31</f>
        <v>2130456143</v>
      </c>
      <c r="AO34" s="58">
        <f>股权价值增加表!AO31</f>
        <v>9159080724</v>
      </c>
      <c r="AP34" s="58">
        <f>股权价值增加表!AP31</f>
        <v>7835148666</v>
      </c>
      <c r="AQ34" s="58">
        <f>股权价值增加表!AQ31</f>
        <v>5170036543</v>
      </c>
      <c r="AR34" s="58">
        <f>股权价值增加表!AR31</f>
        <v>2848211418</v>
      </c>
      <c r="AS34" s="58">
        <f>股权价值增加表!AS31</f>
        <v>9230891467</v>
      </c>
      <c r="AT34" s="58">
        <f>股权价值增加表!AT31</f>
        <v>7008237344</v>
      </c>
      <c r="AU34" s="58">
        <f>股权价值增加表!AU31</f>
        <v>4378986095</v>
      </c>
      <c r="AV34" s="58">
        <f>股权价值增加表!AV31</f>
        <v>2350122714</v>
      </c>
      <c r="AW34" s="58">
        <f>股权价值增加表!AW31</f>
        <v>6786348506</v>
      </c>
      <c r="AX34" s="58">
        <f>股权价值增加表!AX31</f>
        <v>5078599235</v>
      </c>
      <c r="AY34" s="58">
        <f>股权价值增加表!AY31</f>
        <v>3548186949</v>
      </c>
      <c r="AZ34" s="58">
        <f>股权价值增加表!AZ31</f>
        <v>1349917872</v>
      </c>
      <c r="BA34" s="58">
        <f>股权价值增加表!BA31</f>
        <v>5829302655</v>
      </c>
      <c r="BB34" s="58">
        <f>股权价值增加表!BB31</f>
        <v>4329846296</v>
      </c>
      <c r="BC34" s="58">
        <f>股权价值增加表!BC31</f>
        <v>3056696064</v>
      </c>
      <c r="BD34" s="58">
        <f>股权价值增加表!BD31</f>
        <v>3698608224</v>
      </c>
      <c r="BE34" s="58">
        <f>股权价值增加表!BE31</f>
        <v>2294440995</v>
      </c>
      <c r="BF34" s="58">
        <f>股权价值增加表!BF31</f>
        <v>0</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677</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37986</v>
      </c>
      <c r="BF38" s="1">
        <v>25569</v>
      </c>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17416935811</v>
      </c>
      <c r="F39" s="26">
        <f>股权价值增加表!F31</f>
        <v>14648467238</v>
      </c>
      <c r="G39" s="26">
        <f>股权价值增加表!G31</f>
        <v>9910386990</v>
      </c>
      <c r="H39" s="26">
        <f>股权价值增加表!H31</f>
        <v>4156388649</v>
      </c>
      <c r="I39" s="26">
        <f>股权价值增加表!I31</f>
        <v>9200455620</v>
      </c>
      <c r="J39" s="26">
        <f>股权价值增加表!J31</f>
        <v>6577392449</v>
      </c>
      <c r="K39" s="26">
        <f>股权价值增加表!K31</f>
        <v>4722661505</v>
      </c>
      <c r="L39" s="26">
        <f>股权价值增加表!L31</f>
        <v>2679959429</v>
      </c>
      <c r="M39" s="26">
        <f>股权价值增加表!M31</f>
        <v>16620719882</v>
      </c>
      <c r="N39" s="26">
        <f>股权价值增加表!N31</f>
        <v>14704900316</v>
      </c>
      <c r="O39" s="26">
        <f>股权价值增加表!O31</f>
        <v>9709031283</v>
      </c>
      <c r="P39" s="26">
        <f>股权价值增加表!P31</f>
        <v>4899084816</v>
      </c>
      <c r="Q39" s="26">
        <f>股权价值增加表!Q31</f>
        <v>18218609505</v>
      </c>
      <c r="R39" s="26">
        <f>股权价值增加表!R31</f>
        <v>14426240447</v>
      </c>
      <c r="S39" s="26">
        <f>股权价值增加表!S31</f>
        <v>9460601088</v>
      </c>
      <c r="T39" s="26">
        <f>股权价值增加表!T31</f>
        <v>4644532273</v>
      </c>
      <c r="U39" s="26">
        <f>股权价值增加表!U31</f>
        <v>16830939708</v>
      </c>
      <c r="V39" s="26">
        <f>股权价值增加表!V31</f>
        <v>12726876881</v>
      </c>
      <c r="W39" s="26">
        <f>股权价值增加表!W31</f>
        <v>8567442002</v>
      </c>
      <c r="X39" s="26">
        <f>股权价值增加表!X31</f>
        <v>4565918824</v>
      </c>
      <c r="Y39" s="26">
        <f>股权价值增加表!Y31</f>
        <v>15562677437</v>
      </c>
      <c r="Z39" s="26">
        <f>股权价值增加表!Z31</f>
        <v>11838125294</v>
      </c>
      <c r="AA39" s="26">
        <f>股权价值增加表!AA31</f>
        <v>8175583789</v>
      </c>
      <c r="AB39" s="26">
        <f>股权价值增加表!AB31</f>
        <v>4617090075</v>
      </c>
      <c r="AC39" s="26">
        <f>股权价值增加表!AC31</f>
        <v>16347629818</v>
      </c>
      <c r="AD39" s="26">
        <f>股权价值增加表!AD31</f>
        <v>12866669710</v>
      </c>
      <c r="AE39" s="26">
        <f>股权价值增加表!AE31</f>
        <v>8663566128</v>
      </c>
      <c r="AF39" s="26">
        <f>股权价值增加表!AF31</f>
        <v>4663280927</v>
      </c>
      <c r="AG39" s="26">
        <f>股权价值增加表!AG31</f>
        <v>14743109558</v>
      </c>
      <c r="AH39" s="26">
        <f>股权价值增加表!AH31</f>
        <v>11592725670</v>
      </c>
      <c r="AI39" s="26">
        <f>股权价值增加表!AI31</f>
        <v>6501119109</v>
      </c>
      <c r="AJ39" s="26">
        <f>股权价值增加表!AJ31</f>
        <v>3223817998</v>
      </c>
      <c r="AK39" s="26">
        <f>股权价值增加表!AK31</f>
        <v>9284279752</v>
      </c>
      <c r="AL39" s="26">
        <f>股权价值增加表!AL31</f>
        <v>6693544818</v>
      </c>
      <c r="AM39" s="26">
        <f>股权价值增加表!AM31</f>
        <v>4145714929</v>
      </c>
      <c r="AN39" s="26">
        <f>股权价值增加表!AN31</f>
        <v>2130456143</v>
      </c>
      <c r="AO39" s="26">
        <f>股权价值增加表!AO31</f>
        <v>9159080724</v>
      </c>
      <c r="AP39" s="26">
        <f>股权价值增加表!AP31</f>
        <v>7835148666</v>
      </c>
      <c r="AQ39" s="26">
        <f>股权价值增加表!AQ31</f>
        <v>5170036543</v>
      </c>
      <c r="AR39" s="26">
        <f>股权价值增加表!AR31</f>
        <v>2848211418</v>
      </c>
      <c r="AS39" s="26">
        <f>股权价值增加表!AS31</f>
        <v>9230891467</v>
      </c>
      <c r="AT39" s="26">
        <f>股权价值增加表!AT31</f>
        <v>7008237344</v>
      </c>
      <c r="AU39" s="26">
        <f>股权价值增加表!AU31</f>
        <v>4378986095</v>
      </c>
      <c r="AV39" s="26">
        <f>股权价值增加表!AV31</f>
        <v>2350122714</v>
      </c>
      <c r="AW39" s="26">
        <f>股权价值增加表!AW31</f>
        <v>6786348506</v>
      </c>
      <c r="AX39" s="26">
        <f>股权价值增加表!AX31</f>
        <v>5078599235</v>
      </c>
      <c r="AY39" s="26">
        <f>股权价值增加表!AY31</f>
        <v>3548186949</v>
      </c>
      <c r="AZ39" s="26">
        <f>股权价值增加表!AZ31</f>
        <v>1349917872</v>
      </c>
      <c r="BA39" s="26">
        <f>股权价值增加表!BA31</f>
        <v>5829302655</v>
      </c>
      <c r="BB39" s="26">
        <f>股权价值增加表!BB31</f>
        <v>4329846296</v>
      </c>
      <c r="BC39" s="26">
        <f>股权价值增加表!BC31</f>
        <v>3056696064</v>
      </c>
      <c r="BD39" s="26">
        <f>股权价值增加表!BD31</f>
        <v>3698608224</v>
      </c>
      <c r="BE39" s="26">
        <f>股权价值增加表!BE31</f>
        <v>2294440995</v>
      </c>
      <c r="BF39" s="26">
        <f>股权价值增加表!BF31</f>
        <v>0</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16485546157</v>
      </c>
      <c r="F40" s="26">
        <f>股权价值增加表!F38</f>
        <v>14266268840</v>
      </c>
      <c r="G40" s="26">
        <f>股权价值增加表!G38</f>
        <v>9654259604</v>
      </c>
      <c r="H40" s="26">
        <f>股权价值增加表!H38</f>
        <v>3974905136</v>
      </c>
      <c r="I40" s="26">
        <f>股权价值增加表!I38</f>
        <v>8638082688</v>
      </c>
      <c r="J40" s="26">
        <f>股权价值增加表!J38</f>
        <v>6214183287</v>
      </c>
      <c r="K40" s="26">
        <f>股权价值增加表!K38</f>
        <v>4477833457</v>
      </c>
      <c r="L40" s="26">
        <f>股权价值增加表!L38</f>
        <v>2583493063</v>
      </c>
      <c r="M40" s="26">
        <f>股权价值增加表!M38</f>
        <v>16187996592</v>
      </c>
      <c r="N40" s="26">
        <f>股权价值增加表!N38</f>
        <v>14576344052</v>
      </c>
      <c r="O40" s="26">
        <f>股权价值增加表!O38</f>
        <v>9599617738</v>
      </c>
      <c r="P40" s="26">
        <f>股权价值增加表!P38</f>
        <v>4824510970</v>
      </c>
      <c r="Q40" s="26">
        <f>股权价值增加表!Q38</f>
        <v>17509450331</v>
      </c>
      <c r="R40" s="26">
        <f>股权价值增加表!R38</f>
        <v>14081902972</v>
      </c>
      <c r="S40" s="26">
        <f>股权价值增加表!S38</f>
        <v>9223313055</v>
      </c>
      <c r="T40" s="26">
        <f>股权价值增加表!T38</f>
        <v>4528319469</v>
      </c>
      <c r="U40" s="26">
        <f>股权价值增加表!U38</f>
        <v>15974991067</v>
      </c>
      <c r="V40" s="26">
        <f>股权价值增加表!V38</f>
        <v>12203701364</v>
      </c>
      <c r="W40" s="26">
        <f>股权价值增加表!W38</f>
        <v>8202351522</v>
      </c>
      <c r="X40" s="26">
        <f>股权价值增加表!X38</f>
        <v>4369386219</v>
      </c>
      <c r="Y40" s="26">
        <f>股权价值增加表!Y38</f>
        <v>14609289012</v>
      </c>
      <c r="Z40" s="26">
        <f>股权价值增加表!Z38</f>
        <v>11217229187</v>
      </c>
      <c r="AA40" s="26">
        <f>股权价值增加表!AA38</f>
        <v>7752882123</v>
      </c>
      <c r="AB40" s="26">
        <f>股权价值增加表!AB38</f>
        <v>4419493333</v>
      </c>
      <c r="AC40" s="26">
        <f>股权价值增加表!AC38</f>
        <v>15154852990</v>
      </c>
      <c r="AD40" s="26">
        <f>股权价值增加表!AD38</f>
        <v>11988894517</v>
      </c>
      <c r="AE40" s="26">
        <f>股权价值增加表!AE38</f>
        <v>8119773632</v>
      </c>
      <c r="AF40" s="26">
        <f>股权价值增加表!AF38</f>
        <v>4392433792</v>
      </c>
      <c r="AG40" s="26">
        <f>股权价值增加表!AG38</f>
        <v>13601313894</v>
      </c>
      <c r="AH40" s="26">
        <f>股权价值增加表!AH38</f>
        <v>10980696476</v>
      </c>
      <c r="AI40" s="26">
        <f>股权价值增加表!AI38</f>
        <v>6194954539</v>
      </c>
      <c r="AJ40" s="26">
        <f>股权价值增加表!AJ38</f>
        <v>3064653617</v>
      </c>
      <c r="AK40" s="26">
        <f>股权价值增加表!AK38</f>
        <v>8724296184</v>
      </c>
      <c r="AL40" s="26">
        <f>股权价值增加表!AL38</f>
        <v>6138260551</v>
      </c>
      <c r="AM40" s="26">
        <f>股权价值增加表!AM38</f>
        <v>3789221312</v>
      </c>
      <c r="AN40" s="26">
        <f>股权价值增加表!AN38</f>
        <v>1951255774</v>
      </c>
      <c r="AO40" s="26">
        <f>股权价值增加表!AO38</f>
        <v>8918603294</v>
      </c>
      <c r="AP40" s="26">
        <f>股权价值增加表!AP38</f>
        <v>7442464170</v>
      </c>
      <c r="AQ40" s="26">
        <f>股权价值增加表!AQ38</f>
        <v>4962018137</v>
      </c>
      <c r="AR40" s="26">
        <f>股权价值增加表!AR38</f>
        <v>2786747385</v>
      </c>
      <c r="AS40" s="26">
        <f>股权价值增加表!AS38</f>
        <v>9197949351</v>
      </c>
      <c r="AT40" s="26">
        <f>股权价值增加表!AT38</f>
        <v>7064242814</v>
      </c>
      <c r="AU40" s="26">
        <f>股权价值增加表!AU38</f>
        <v>4420963617</v>
      </c>
      <c r="AV40" s="26">
        <f>股权价值增加表!AV38</f>
        <v>2369391379</v>
      </c>
      <c r="AW40" s="26">
        <f>股权价值增加表!AW38</f>
        <v>6512308633</v>
      </c>
      <c r="AX40" s="26">
        <f>股权价值增加表!AX38</f>
        <v>4832850331</v>
      </c>
      <c r="AY40" s="26">
        <f>股权价值增加表!AY38</f>
        <v>3334401436</v>
      </c>
      <c r="AZ40" s="26">
        <f>股权价值增加表!AZ38</f>
        <v>1233373298</v>
      </c>
      <c r="BA40" s="26">
        <f>股权价值增加表!BA38</f>
        <v>5391013897</v>
      </c>
      <c r="BB40" s="26">
        <f>股权价值增加表!BB38</f>
        <v>4057149638</v>
      </c>
      <c r="BC40" s="26">
        <f>股权价值增加表!BC38</f>
        <v>2874558265</v>
      </c>
      <c r="BD40" s="26">
        <f>股权价值增加表!BD38</f>
        <v>3702056852</v>
      </c>
      <c r="BE40" s="26">
        <f>股权价值增加表!BE38</f>
        <v>2298923525</v>
      </c>
      <c r="BF40" s="26">
        <f>股权价值增加表!BF38</f>
        <v>0</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5.3476091552898897E-2</v>
      </c>
      <c r="F41" s="59">
        <f t="shared" ref="F41:BQ41" si="34">1-F40/F39</f>
        <v>2.6091357668366011E-2</v>
      </c>
      <c r="G41" s="59">
        <f t="shared" si="34"/>
        <v>2.5844337487369917E-2</v>
      </c>
      <c r="H41" s="59">
        <f t="shared" si="34"/>
        <v>4.366374954942287E-2</v>
      </c>
      <c r="I41" s="59">
        <f t="shared" si="34"/>
        <v>6.1124465485982049E-2</v>
      </c>
      <c r="J41" s="59">
        <f t="shared" si="34"/>
        <v>5.5220843946330311E-2</v>
      </c>
      <c r="K41" s="59">
        <f t="shared" si="34"/>
        <v>5.1841117077900734E-2</v>
      </c>
      <c r="L41" s="59">
        <f t="shared" si="34"/>
        <v>3.5995457601384451E-2</v>
      </c>
      <c r="M41" s="59">
        <f t="shared" si="34"/>
        <v>2.6035171344692021E-2</v>
      </c>
      <c r="N41" s="59">
        <f t="shared" si="34"/>
        <v>8.7424097571148218E-3</v>
      </c>
      <c r="O41" s="59">
        <f t="shared" si="34"/>
        <v>1.1269254553909702E-2</v>
      </c>
      <c r="P41" s="59">
        <f t="shared" si="34"/>
        <v>1.522199529113033E-2</v>
      </c>
      <c r="Q41" s="59">
        <f t="shared" si="34"/>
        <v>3.8924988968305985E-2</v>
      </c>
      <c r="R41" s="59">
        <f t="shared" si="34"/>
        <v>2.3868829600133701E-2</v>
      </c>
      <c r="S41" s="59">
        <f t="shared" si="34"/>
        <v>2.5081707894964556E-2</v>
      </c>
      <c r="T41" s="59">
        <f t="shared" si="34"/>
        <v>2.5021422431614537E-2</v>
      </c>
      <c r="U41" s="59">
        <f t="shared" si="34"/>
        <v>5.0855665568878217E-2</v>
      </c>
      <c r="V41" s="59">
        <f t="shared" si="34"/>
        <v>4.1107926311525045E-2</v>
      </c>
      <c r="W41" s="59">
        <f t="shared" si="34"/>
        <v>4.2613708959427177E-2</v>
      </c>
      <c r="X41" s="59">
        <f t="shared" si="34"/>
        <v>4.3043385696425185E-2</v>
      </c>
      <c r="Y41" s="59">
        <f t="shared" si="34"/>
        <v>6.1261208353090679E-2</v>
      </c>
      <c r="Z41" s="59">
        <f t="shared" si="34"/>
        <v>5.2448854153849256E-2</v>
      </c>
      <c r="AA41" s="59">
        <f t="shared" si="34"/>
        <v>5.1702933626431968E-2</v>
      </c>
      <c r="AB41" s="59">
        <f t="shared" si="34"/>
        <v>4.2796813315365112E-2</v>
      </c>
      <c r="AC41" s="59">
        <f t="shared" si="34"/>
        <v>7.2963288334719989E-2</v>
      </c>
      <c r="AD41" s="59">
        <f t="shared" si="34"/>
        <v>6.8220853786103763E-2</v>
      </c>
      <c r="AE41" s="59">
        <f t="shared" si="34"/>
        <v>6.2767743440256485E-2</v>
      </c>
      <c r="AF41" s="59">
        <f t="shared" si="34"/>
        <v>5.8080810322152843E-2</v>
      </c>
      <c r="AG41" s="59">
        <f t="shared" si="34"/>
        <v>7.7446054342072745E-2</v>
      </c>
      <c r="AH41" s="59">
        <f t="shared" si="34"/>
        <v>5.2794244548012292E-2</v>
      </c>
      <c r="AI41" s="59">
        <f t="shared" si="34"/>
        <v>4.7094133312548081E-2</v>
      </c>
      <c r="AJ41" s="59">
        <f t="shared" si="34"/>
        <v>4.9371391653853514E-2</v>
      </c>
      <c r="AK41" s="59">
        <f t="shared" si="34"/>
        <v>6.0315240703444961E-2</v>
      </c>
      <c r="AL41" s="59">
        <f t="shared" si="34"/>
        <v>8.2958175689920366E-2</v>
      </c>
      <c r="AM41" s="59">
        <f t="shared" si="34"/>
        <v>8.5990866015958956E-2</v>
      </c>
      <c r="AN41" s="59">
        <f t="shared" si="34"/>
        <v>8.4113615569508582E-2</v>
      </c>
      <c r="AO41" s="59">
        <f t="shared" si="34"/>
        <v>2.6255629494547961E-2</v>
      </c>
      <c r="AP41" s="59">
        <f t="shared" si="34"/>
        <v>5.0118321009532729E-2</v>
      </c>
      <c r="AQ41" s="59">
        <f t="shared" si="34"/>
        <v>4.0235384077052183E-2</v>
      </c>
      <c r="AR41" s="59">
        <f t="shared" si="34"/>
        <v>2.1579870304417104E-2</v>
      </c>
      <c r="AS41" s="59">
        <f t="shared" si="34"/>
        <v>3.5686819759247479E-3</v>
      </c>
      <c r="AT41" s="59">
        <f t="shared" si="34"/>
        <v>-7.9913774678233018E-3</v>
      </c>
      <c r="AU41" s="59">
        <f t="shared" si="34"/>
        <v>-9.5861281788336417E-3</v>
      </c>
      <c r="AV41" s="59">
        <f t="shared" si="34"/>
        <v>-8.1990037733834509E-3</v>
      </c>
      <c r="AW41" s="59">
        <f t="shared" si="34"/>
        <v>4.0381049213389697E-2</v>
      </c>
      <c r="AX41" s="59">
        <f t="shared" si="34"/>
        <v>4.8389111372754368E-2</v>
      </c>
      <c r="AY41" s="59">
        <f t="shared" si="34"/>
        <v>6.0252043106198805E-2</v>
      </c>
      <c r="AZ41" s="59">
        <f t="shared" si="34"/>
        <v>8.6334566285377723E-2</v>
      </c>
      <c r="BA41" s="59">
        <f t="shared" si="34"/>
        <v>7.518716799239511E-2</v>
      </c>
      <c r="BB41" s="59">
        <f t="shared" si="34"/>
        <v>6.2980678610213614E-2</v>
      </c>
      <c r="BC41" s="59">
        <f t="shared" si="34"/>
        <v>5.9586493124100137E-2</v>
      </c>
      <c r="BD41" s="59">
        <f t="shared" si="34"/>
        <v>-9.3241235382057752E-4</v>
      </c>
      <c r="BE41" s="59">
        <f t="shared" si="34"/>
        <v>-1.9536479734141299E-3</v>
      </c>
      <c r="BF41" s="59" t="e">
        <f t="shared" si="34"/>
        <v>#DIV/0!</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18.699945545025347</v>
      </c>
      <c r="F42" s="29">
        <f t="shared" ref="F42:BQ42" si="36">F39/(F39-F40)</f>
        <v>38.326867183781339</v>
      </c>
      <c r="G42" s="29">
        <f t="shared" si="36"/>
        <v>38.693195385205705</v>
      </c>
      <c r="H42" s="29">
        <f t="shared" si="36"/>
        <v>22.902293328430336</v>
      </c>
      <c r="I42" s="29">
        <f t="shared" si="36"/>
        <v>16.360061262692494</v>
      </c>
      <c r="J42" s="29">
        <f t="shared" si="36"/>
        <v>18.109103891492694</v>
      </c>
      <c r="K42" s="29">
        <f t="shared" si="36"/>
        <v>19.289707791159614</v>
      </c>
      <c r="L42" s="29">
        <f t="shared" si="36"/>
        <v>27.78128315728199</v>
      </c>
      <c r="M42" s="29">
        <f t="shared" si="36"/>
        <v>38.409580131450745</v>
      </c>
      <c r="N42" s="29">
        <f t="shared" si="36"/>
        <v>114.38493822440266</v>
      </c>
      <c r="O42" s="29">
        <f t="shared" si="36"/>
        <v>88.737014078101566</v>
      </c>
      <c r="P42" s="29">
        <f t="shared" si="36"/>
        <v>65.694410021443716</v>
      </c>
      <c r="Q42" s="29">
        <f t="shared" si="36"/>
        <v>25.69043759560812</v>
      </c>
      <c r="R42" s="29">
        <f t="shared" si="36"/>
        <v>41.895644518506153</v>
      </c>
      <c r="S42" s="29">
        <f t="shared" si="36"/>
        <v>39.869693251660948</v>
      </c>
      <c r="T42" s="29">
        <f t="shared" si="36"/>
        <v>39.965753455187262</v>
      </c>
      <c r="U42" s="29">
        <f t="shared" si="36"/>
        <v>19.663492529571059</v>
      </c>
      <c r="V42" s="29">
        <f t="shared" si="36"/>
        <v>24.326208829454838</v>
      </c>
      <c r="W42" s="29">
        <f t="shared" si="36"/>
        <v>23.466626689362045</v>
      </c>
      <c r="X42" s="29">
        <f t="shared" si="36"/>
        <v>23.232373193241905</v>
      </c>
      <c r="Y42" s="29">
        <f t="shared" si="36"/>
        <v>16.323543509561699</v>
      </c>
      <c r="Z42" s="29">
        <f t="shared" si="36"/>
        <v>19.066193458996835</v>
      </c>
      <c r="AA42" s="29">
        <f t="shared" si="36"/>
        <v>19.341262281658476</v>
      </c>
      <c r="AB42" s="29">
        <f t="shared" si="36"/>
        <v>23.366225719450373</v>
      </c>
      <c r="AC42" s="29">
        <f t="shared" si="36"/>
        <v>13.705522637802282</v>
      </c>
      <c r="AD42" s="29">
        <f t="shared" si="36"/>
        <v>14.658274479169521</v>
      </c>
      <c r="AE42" s="29">
        <f t="shared" si="36"/>
        <v>15.931750054895939</v>
      </c>
      <c r="AF42" s="29">
        <f t="shared" si="36"/>
        <v>17.217390639926837</v>
      </c>
      <c r="AG42" s="29">
        <f t="shared" si="36"/>
        <v>12.912213649814666</v>
      </c>
      <c r="AH42" s="29">
        <f t="shared" si="36"/>
        <v>18.941458648784653</v>
      </c>
      <c r="AI42" s="29">
        <f t="shared" si="36"/>
        <v>21.234067380820715</v>
      </c>
      <c r="AJ42" s="29">
        <f t="shared" si="36"/>
        <v>20.254644775076905</v>
      </c>
      <c r="AK42" s="29">
        <f t="shared" si="36"/>
        <v>16.579557477300835</v>
      </c>
      <c r="AL42" s="29">
        <f t="shared" si="36"/>
        <v>12.054267004831239</v>
      </c>
      <c r="AM42" s="29">
        <f t="shared" si="36"/>
        <v>11.629142097655006</v>
      </c>
      <c r="AN42" s="29">
        <f t="shared" si="36"/>
        <v>11.888681674533828</v>
      </c>
      <c r="AO42" s="29">
        <f t="shared" si="36"/>
        <v>38.087070058924034</v>
      </c>
      <c r="AP42" s="29">
        <f t="shared" si="36"/>
        <v>19.952783330666563</v>
      </c>
      <c r="AQ42" s="29">
        <f t="shared" si="36"/>
        <v>24.853745600761886</v>
      </c>
      <c r="AR42" s="29">
        <f t="shared" si="36"/>
        <v>46.339481465526354</v>
      </c>
      <c r="AS42" s="29">
        <f t="shared" si="36"/>
        <v>280.2154988161659</v>
      </c>
      <c r="AT42" s="29">
        <f t="shared" si="36"/>
        <v>-125.13487243299627</v>
      </c>
      <c r="AU42" s="29">
        <f t="shared" si="36"/>
        <v>-104.31740337126141</v>
      </c>
      <c r="AV42" s="29">
        <f t="shared" si="36"/>
        <v>-121.96603729422874</v>
      </c>
      <c r="AW42" s="29">
        <f t="shared" si="36"/>
        <v>24.764091559770939</v>
      </c>
      <c r="AX42" s="29">
        <f t="shared" si="36"/>
        <v>20.665806245060608</v>
      </c>
      <c r="AY42" s="29">
        <f t="shared" si="36"/>
        <v>16.59694756304652</v>
      </c>
      <c r="AZ42" s="29">
        <f t="shared" si="36"/>
        <v>11.582846164936001</v>
      </c>
      <c r="BA42" s="29">
        <f t="shared" si="36"/>
        <v>13.300141855338211</v>
      </c>
      <c r="BB42" s="29">
        <f t="shared" si="36"/>
        <v>15.877885441485683</v>
      </c>
      <c r="BC42" s="29">
        <f t="shared" si="36"/>
        <v>16.782326792035079</v>
      </c>
      <c r="BD42" s="29">
        <f t="shared" si="36"/>
        <v>-1072.4868626015912</v>
      </c>
      <c r="BE42" s="29">
        <f t="shared" si="36"/>
        <v>-511.86294235621403</v>
      </c>
      <c r="BF42" s="29" t="e">
        <f t="shared" si="36"/>
        <v>#DIV/0!</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699</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38352</v>
      </c>
      <c r="BE46" s="1">
        <v>37986</v>
      </c>
      <c r="BF46" s="1">
        <v>25569</v>
      </c>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12786153802</v>
      </c>
      <c r="F47" s="26">
        <f>股权价值增加表!F42</f>
        <v>11130921215</v>
      </c>
      <c r="G47" s="26">
        <f>股权价值增加表!G42</f>
        <v>7550033359</v>
      </c>
      <c r="H47" s="26">
        <f>股权价值增加表!H42</f>
        <v>3115532031</v>
      </c>
      <c r="I47" s="26">
        <f>股权价值增加表!I42</f>
        <v>6927699521</v>
      </c>
      <c r="J47" s="26">
        <f>股权价值增加表!J42</f>
        <v>5072621947</v>
      </c>
      <c r="K47" s="26">
        <f>股权价值增加表!K42</f>
        <v>3640863816</v>
      </c>
      <c r="L47" s="26">
        <f>股权价值增加表!L42</f>
        <v>2045246096</v>
      </c>
      <c r="M47" s="26">
        <f>股权价值增加表!M42</f>
        <v>12487446311</v>
      </c>
      <c r="N47" s="26">
        <f>股权价值增加表!N42</f>
        <v>11193508206</v>
      </c>
      <c r="O47" s="26">
        <f>股权价值增加表!O42</f>
        <v>7344015995</v>
      </c>
      <c r="P47" s="26">
        <f>股权价值增加表!P42</f>
        <v>3717090622</v>
      </c>
      <c r="Q47" s="26">
        <f>股权价值增加表!Q42</f>
        <v>13629184859</v>
      </c>
      <c r="R47" s="26">
        <f>股权价值增加表!R42</f>
        <v>10904467590</v>
      </c>
      <c r="S47" s="26">
        <f>股权价值增加表!S42</f>
        <v>7187980108</v>
      </c>
      <c r="T47" s="26">
        <f>股权价值增加表!T42</f>
        <v>3527512971</v>
      </c>
      <c r="U47" s="26">
        <f>股权价值增加表!U42</f>
        <v>12599219775</v>
      </c>
      <c r="V47" s="26">
        <f>股权价值增加表!V42</f>
        <v>9627992726</v>
      </c>
      <c r="W47" s="26">
        <f>股权价值增加表!W42</f>
        <v>6480152040</v>
      </c>
      <c r="X47" s="26">
        <f>股权价值增加表!X42</f>
        <v>3410043784</v>
      </c>
      <c r="Y47" s="26">
        <f>股权价值增加表!Y42</f>
        <v>11411065952</v>
      </c>
      <c r="Z47" s="26">
        <f>股权价值增加表!Z42</f>
        <v>8753275986</v>
      </c>
      <c r="AA47" s="26">
        <f>股权价值增加表!AA42</f>
        <v>6065554422</v>
      </c>
      <c r="AB47" s="26">
        <f>股权价值增加表!AB42</f>
        <v>3417334728</v>
      </c>
      <c r="AC47" s="26">
        <f>股权价值增加表!AC42</f>
        <v>11606536280</v>
      </c>
      <c r="AD47" s="26">
        <f>股权价值增加表!AD42</f>
        <v>9202195330</v>
      </c>
      <c r="AE47" s="26">
        <f>股权价值增加表!AE42</f>
        <v>6185234799</v>
      </c>
      <c r="AF47" s="26">
        <f>股权价值增加表!AF42</f>
        <v>3417506676</v>
      </c>
      <c r="AG47" s="26">
        <f>股权价值增加表!AG42</f>
        <v>10326077400</v>
      </c>
      <c r="AH47" s="26">
        <f>股权价值增加表!AH42</f>
        <v>8247559691</v>
      </c>
      <c r="AI47" s="26">
        <f>股权价值增加表!AI42</f>
        <v>4643973356</v>
      </c>
      <c r="AJ47" s="26">
        <f>股权价值增加表!AJ42</f>
        <v>2298056642</v>
      </c>
      <c r="AK47" s="26">
        <f>股权价值增加表!AK42</f>
        <v>6528710334</v>
      </c>
      <c r="AL47" s="26">
        <f>股权价值增加表!AL42</f>
        <v>4596366796</v>
      </c>
      <c r="AM47" s="26">
        <f>股权价值增加表!AM42</f>
        <v>2835388043</v>
      </c>
      <c r="AN47" s="26">
        <f>股权价值增加表!AN42</f>
        <v>1462764381</v>
      </c>
      <c r="AO47" s="26">
        <f>股权价值增加表!AO42</f>
        <v>6678092790</v>
      </c>
      <c r="AP47" s="26">
        <f>股权价值增加表!AP42</f>
        <v>5567806338</v>
      </c>
      <c r="AQ47" s="26">
        <f>股权价值增加表!AQ42</f>
        <v>3720193735</v>
      </c>
      <c r="AR47" s="26">
        <f>股权价值增加表!AR42</f>
        <v>2090060432</v>
      </c>
      <c r="AS47" s="26">
        <f>股权价值增加表!AS42</f>
        <v>6108463100</v>
      </c>
      <c r="AT47" s="26">
        <f>股权价值增加表!AT42</f>
        <v>4664475866</v>
      </c>
      <c r="AU47" s="26">
        <f>股权价值增加表!AU42</f>
        <v>2957643893</v>
      </c>
      <c r="AV47" s="26">
        <f>股权价值增加表!AV42</f>
        <v>1585727585</v>
      </c>
      <c r="AW47" s="26">
        <f>股权价值增加表!AW42</f>
        <v>4354407877</v>
      </c>
      <c r="AX47" s="26">
        <f>股权价值增加表!AX42</f>
        <v>3247466977</v>
      </c>
      <c r="AY47" s="26">
        <f>股权价值增加表!AY42</f>
        <v>2264447370</v>
      </c>
      <c r="AZ47" s="26">
        <f>股权价值增加表!AZ42</f>
        <v>869436573</v>
      </c>
      <c r="BA47" s="26">
        <f>股权价值增加表!BA42</f>
        <v>3553233715</v>
      </c>
      <c r="BB47" s="26">
        <f>股权价值增加表!BB42</f>
        <v>2654440568</v>
      </c>
      <c r="BC47" s="26">
        <f>股权价值增加表!BC42</f>
        <v>1892205409</v>
      </c>
      <c r="BD47" s="26">
        <f>股权价值增加表!BD42</f>
        <v>2386134361</v>
      </c>
      <c r="BE47" s="26">
        <f>股权价值增加表!BE42</f>
        <v>1526058455</v>
      </c>
      <c r="BF47" s="26">
        <f>股权价值增加表!BF42</f>
        <v>0</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0.22981592896059572</v>
      </c>
      <c r="F48" s="63">
        <f>股权价值增加表!F43</f>
        <v>0.26666918222622427</v>
      </c>
      <c r="G48" s="63">
        <f>股权价值增加表!G43</f>
        <v>0.27598612848042292</v>
      </c>
      <c r="H48" s="63">
        <f>股权价值增加表!H43</f>
        <v>0.25021970584240738</v>
      </c>
      <c r="I48" s="63">
        <f>股权价值增加表!I43</f>
        <v>0.15524298380574697</v>
      </c>
      <c r="J48" s="63">
        <f>股权价值增加表!J43</f>
        <v>0.16057542896362037</v>
      </c>
      <c r="K48" s="63">
        <f>股权价值增加表!K43</f>
        <v>0.1715349816018209</v>
      </c>
      <c r="L48" s="63">
        <f>股权价值增加表!L43</f>
        <v>0.18404563724140849</v>
      </c>
      <c r="M48" s="63">
        <f>股权价值增加表!M43</f>
        <v>0.23771409451425696</v>
      </c>
      <c r="N48" s="63">
        <f>股权价值增加表!N43</f>
        <v>0.27702937963155394</v>
      </c>
      <c r="O48" s="63">
        <f>股权价值增加表!O43</f>
        <v>0.26639052551690628</v>
      </c>
      <c r="P48" s="63">
        <f>股权价值增加表!P43</f>
        <v>0.26781881560362403</v>
      </c>
      <c r="Q48" s="63">
        <f>股权价值增加表!Q43</f>
        <v>0.25252919048391004</v>
      </c>
      <c r="R48" s="63">
        <f>股权价值增加表!R43</f>
        <v>0.26868247708421333</v>
      </c>
      <c r="S48" s="63">
        <f>股权价值增加表!S43</f>
        <v>0.27246327167516177</v>
      </c>
      <c r="T48" s="63">
        <f>股权价值增加表!T43</f>
        <v>0.27292335552042835</v>
      </c>
      <c r="U48" s="63">
        <f>股权价值增加表!U43</f>
        <v>0.24539438015380374</v>
      </c>
      <c r="V48" s="63">
        <f>股权价值增加表!V43</f>
        <v>0.25540555611193977</v>
      </c>
      <c r="W48" s="63">
        <f>股权价值增加表!W43</f>
        <v>0.26642215190690721</v>
      </c>
      <c r="X48" s="63">
        <f>股权价值增加表!X43</f>
        <v>0.28455523443202219</v>
      </c>
      <c r="Y48" s="63">
        <f>股权价值增加表!Y43</f>
        <v>0.24826937077341893</v>
      </c>
      <c r="Z48" s="63">
        <f>股权价值增加表!Z43</f>
        <v>0.26145726292255123</v>
      </c>
      <c r="AA48" s="63">
        <f>股权价值增加表!AA43</f>
        <v>0.27254738437900183</v>
      </c>
      <c r="AB48" s="63">
        <f>股权价值增加表!AB43</f>
        <v>0.30539184343163539</v>
      </c>
      <c r="AC48" s="63">
        <f>股权价值增加表!AC43</f>
        <v>0.25788269292648291</v>
      </c>
      <c r="AD48" s="63">
        <f>股权价值增加表!AD43</f>
        <v>0.27658719192338466</v>
      </c>
      <c r="AE48" s="63">
        <f>股权价值增加表!AE43</f>
        <v>0.2830488020037199</v>
      </c>
      <c r="AF48" s="63">
        <f>股权价值增加表!AF43</f>
        <v>0.31369447538372869</v>
      </c>
      <c r="AG48" s="63">
        <f>股权价值增加表!AG43</f>
        <v>0.2457784549464074</v>
      </c>
      <c r="AH48" s="63">
        <f>股权价值增加表!AH43</f>
        <v>0.26615353408805442</v>
      </c>
      <c r="AI48" s="63">
        <f>股权价值增加表!AI43</f>
        <v>0.33122296812884977</v>
      </c>
      <c r="AJ48" s="63">
        <f>股权价值增加表!AJ43</f>
        <v>0.34899227164956892</v>
      </c>
      <c r="AK48" s="63">
        <f>股权价值增加表!AK43</f>
        <v>0.28234529035696943</v>
      </c>
      <c r="AL48" s="63">
        <f>股权价值增加表!AL43</f>
        <v>0.28288028615310029</v>
      </c>
      <c r="AM48" s="63">
        <f>股权价值增加表!AM43</f>
        <v>0.27901486097140288</v>
      </c>
      <c r="AN48" s="63">
        <f>股权价值增加表!AN43</f>
        <v>0.30099457176570849</v>
      </c>
      <c r="AO48" s="63">
        <f>股权价值增加表!AO43</f>
        <v>0.29555206591996286</v>
      </c>
      <c r="AP48" s="63">
        <f>股权价值增加表!AP43</f>
        <v>0.3144957180512023</v>
      </c>
      <c r="AQ48" s="63">
        <f>股权价值增加表!AQ43</f>
        <v>0.32051205363134933</v>
      </c>
      <c r="AR48" s="63">
        <f>股权价值增加表!AR43</f>
        <v>0.37950842629390369</v>
      </c>
      <c r="AS48" s="63">
        <f>股权价值增加表!AS43</f>
        <v>0.29282772545897712</v>
      </c>
      <c r="AT48" s="63">
        <f>股权价值增加表!AT43</f>
        <v>0.30636575042208958</v>
      </c>
      <c r="AU48" s="63">
        <f>股权价值增加表!AU43</f>
        <v>0.30660771481065396</v>
      </c>
      <c r="AV48" s="63">
        <f>股权价值增加表!AV43</f>
        <v>0.35243052470309499</v>
      </c>
      <c r="AW48" s="63">
        <f>股权价值增加表!AW43</f>
        <v>0.26970653266005779</v>
      </c>
      <c r="AX48" s="63">
        <f>股权价值增加表!AX43</f>
        <v>0.27605521797268073</v>
      </c>
      <c r="AY48" s="63">
        <f>股权价值增加表!AY43</f>
        <v>0.29173118025879485</v>
      </c>
      <c r="AZ48" s="63">
        <f>股权价值增加表!AZ43</f>
        <v>0.24693840528685121</v>
      </c>
      <c r="BA48" s="63">
        <f>股权价值增加表!BA43</f>
        <v>0.27114259266375695</v>
      </c>
      <c r="BB48" s="63">
        <f>股权价值增加表!BB43</f>
        <v>0.27540526393018799</v>
      </c>
      <c r="BC48" s="63">
        <f>股权价值增加表!BC43</f>
        <v>0.29166964111971522</v>
      </c>
      <c r="BD48" s="63">
        <f>股权价值增加表!BD43</f>
        <v>0.33132074658818839</v>
      </c>
      <c r="BE48" s="63">
        <f>股权价值增加表!BE43</f>
        <v>0.29698396364061619</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0.8456565217993669</v>
      </c>
      <c r="F49" s="59">
        <f t="shared" ref="F49:BQ49" si="38">(F47-J47)/J47</f>
        <v>1.1943131838521772</v>
      </c>
      <c r="G49" s="59">
        <f t="shared" si="38"/>
        <v>1.0736928763500886</v>
      </c>
      <c r="H49" s="59">
        <f t="shared" si="38"/>
        <v>0.52330423076871624</v>
      </c>
      <c r="I49" s="59">
        <f t="shared" si="38"/>
        <v>-0.44522688238527236</v>
      </c>
      <c r="J49" s="59">
        <f t="shared" si="38"/>
        <v>-0.54682465464393482</v>
      </c>
      <c r="K49" s="59">
        <f t="shared" si="38"/>
        <v>-0.5042407562185599</v>
      </c>
      <c r="L49" s="59">
        <f t="shared" si="38"/>
        <v>-0.44977233433723907</v>
      </c>
      <c r="M49" s="59">
        <f t="shared" si="38"/>
        <v>-8.3771594545953759E-2</v>
      </c>
      <c r="N49" s="59">
        <f t="shared" si="38"/>
        <v>2.6506623419658402E-2</v>
      </c>
      <c r="O49" s="59">
        <f t="shared" si="38"/>
        <v>2.1707890764240831E-2</v>
      </c>
      <c r="P49" s="59">
        <f t="shared" si="38"/>
        <v>5.3742580837699207E-2</v>
      </c>
      <c r="Q49" s="59">
        <f t="shared" si="38"/>
        <v>8.1748322705165286E-2</v>
      </c>
      <c r="R49" s="59">
        <f t="shared" si="38"/>
        <v>0.13257954179306056</v>
      </c>
      <c r="S49" s="59">
        <f t="shared" si="38"/>
        <v>0.10923016367992501</v>
      </c>
      <c r="T49" s="59">
        <f t="shared" si="38"/>
        <v>3.4447999627209479E-2</v>
      </c>
      <c r="U49" s="59">
        <f t="shared" si="38"/>
        <v>0.10412294767183902</v>
      </c>
      <c r="V49" s="59">
        <f t="shared" si="38"/>
        <v>9.9930213716444338E-2</v>
      </c>
      <c r="W49" s="59">
        <f t="shared" si="38"/>
        <v>6.8352798302532478E-2</v>
      </c>
      <c r="X49" s="59">
        <f t="shared" si="38"/>
        <v>-2.1335176622475712E-3</v>
      </c>
      <c r="Y49" s="59">
        <f t="shared" si="38"/>
        <v>-1.6841400680134695E-2</v>
      </c>
      <c r="Z49" s="59">
        <f t="shared" si="38"/>
        <v>-4.8783939907956722E-2</v>
      </c>
      <c r="AA49" s="59">
        <f t="shared" si="38"/>
        <v>-1.9349366821021792E-2</v>
      </c>
      <c r="AB49" s="59">
        <f t="shared" si="38"/>
        <v>-5.031387391501909E-5</v>
      </c>
      <c r="AC49" s="59">
        <f t="shared" si="38"/>
        <v>0.12400244840310803</v>
      </c>
      <c r="AD49" s="59">
        <f t="shared" si="38"/>
        <v>0.11574764836703502</v>
      </c>
      <c r="AE49" s="59">
        <f t="shared" si="38"/>
        <v>0.33188421311864219</v>
      </c>
      <c r="AF49" s="59">
        <f t="shared" si="38"/>
        <v>0.48712900001705006</v>
      </c>
      <c r="AG49" s="59">
        <f t="shared" si="38"/>
        <v>0.58164122341654501</v>
      </c>
      <c r="AH49" s="59">
        <f t="shared" si="38"/>
        <v>0.79436499675732142</v>
      </c>
      <c r="AI49" s="59">
        <f t="shared" si="38"/>
        <v>0.63786165617261159</v>
      </c>
      <c r="AJ49" s="59">
        <f t="shared" si="38"/>
        <v>0.57103677929931762</v>
      </c>
      <c r="AK49" s="59">
        <f t="shared" si="38"/>
        <v>-2.2369029706159563E-2</v>
      </c>
      <c r="AL49" s="59">
        <f t="shared" si="38"/>
        <v>-0.17447437698577511</v>
      </c>
      <c r="AM49" s="59">
        <f t="shared" si="38"/>
        <v>-0.23783860600474885</v>
      </c>
      <c r="AN49" s="59">
        <f t="shared" si="38"/>
        <v>-0.3001329729015223</v>
      </c>
      <c r="AO49" s="59">
        <f t="shared" si="38"/>
        <v>9.3252538433112583E-2</v>
      </c>
      <c r="AP49" s="59">
        <f t="shared" si="38"/>
        <v>0.19366173133931272</v>
      </c>
      <c r="AQ49" s="59">
        <f t="shared" si="38"/>
        <v>0.25782341268492937</v>
      </c>
      <c r="AR49" s="59">
        <f t="shared" si="38"/>
        <v>0.31804507392737325</v>
      </c>
      <c r="AS49" s="59">
        <f t="shared" si="38"/>
        <v>0.40282290326198583</v>
      </c>
      <c r="AT49" s="59">
        <f t="shared" si="38"/>
        <v>0.43634281704352496</v>
      </c>
      <c r="AU49" s="59">
        <f t="shared" si="38"/>
        <v>0.30612171966708152</v>
      </c>
      <c r="AV49" s="59">
        <f t="shared" si="38"/>
        <v>0.82385654600246494</v>
      </c>
      <c r="AW49" s="59">
        <f t="shared" si="38"/>
        <v>0.22547747383400024</v>
      </c>
      <c r="AX49" s="59">
        <f t="shared" si="38"/>
        <v>0.22340918691082934</v>
      </c>
      <c r="AY49" s="59">
        <f t="shared" si="38"/>
        <v>0.19672386477149109</v>
      </c>
      <c r="AZ49" s="59">
        <f t="shared" si="38"/>
        <v>-0.6356296664553166</v>
      </c>
      <c r="BA49" s="59">
        <f t="shared" si="38"/>
        <v>1.3283732699479065</v>
      </c>
      <c r="BB49" s="59" t="e">
        <f t="shared" si="38"/>
        <v>#DIV/0!</v>
      </c>
      <c r="BC49" s="59">
        <f t="shared" si="38"/>
        <v>-8.0904012829115217</v>
      </c>
      <c r="BD49" s="59">
        <f t="shared" si="38"/>
        <v>-13.519535667450272</v>
      </c>
      <c r="BE49" s="59">
        <f t="shared" si="38"/>
        <v>-5.2909761656276251</v>
      </c>
      <c r="BF49" s="59">
        <f t="shared" si="38"/>
        <v>-1</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4713279471.04</v>
      </c>
      <c r="F50" s="26">
        <f>股权价值增加表!F47</f>
        <v>3205799773.3999996</v>
      </c>
      <c r="G50" s="26">
        <f>股权价值增加表!G47</f>
        <v>-82541448.119999886</v>
      </c>
      <c r="H50" s="26">
        <f>股权价值增加表!H47</f>
        <v>-4465270119.8000002</v>
      </c>
      <c r="I50" s="26">
        <f>股权价值增加表!I47</f>
        <v>-398249289.23999977</v>
      </c>
      <c r="J50" s="26">
        <f>股权价值增加表!J47</f>
        <v>-2073566291.8800001</v>
      </c>
      <c r="K50" s="26">
        <f>股权价值增加表!K47</f>
        <v>-3364045532.4000006</v>
      </c>
      <c r="L50" s="26">
        <f>股权价值增加表!L47</f>
        <v>-5367218328.4800005</v>
      </c>
      <c r="M50" s="26">
        <f>股权价值增加表!M47</f>
        <v>5238601574.1999998</v>
      </c>
      <c r="N50" s="26">
        <f>股权价值增加表!N47</f>
        <v>4148865660.1599998</v>
      </c>
      <c r="O50" s="26">
        <f>股权价值增加表!O47</f>
        <v>607560186.03999996</v>
      </c>
      <c r="P50" s="26">
        <f>股权价值增加表!P47</f>
        <v>-3300095950.4000006</v>
      </c>
      <c r="Q50" s="26">
        <f>股权价值增加表!Q47</f>
        <v>6909365536.3599997</v>
      </c>
      <c r="R50" s="26">
        <f>股权价值增加表!R47</f>
        <v>4411299570.8000002</v>
      </c>
      <c r="S50" s="26">
        <f>股权价值增加表!S47</f>
        <v>942903887.35999966</v>
      </c>
      <c r="T50" s="26">
        <f>股权价值增加表!T47</f>
        <v>-2936143505.96</v>
      </c>
      <c r="U50" s="26">
        <f>股权价值增加表!U47</f>
        <v>6417764335.7200003</v>
      </c>
      <c r="V50" s="26">
        <f>股权价值增加表!V47</f>
        <v>3694664204.7200003</v>
      </c>
      <c r="W50" s="26">
        <f>股权价值增加表!W47</f>
        <v>797838201.76000023</v>
      </c>
      <c r="X50" s="26">
        <f>股权价值增加表!X47</f>
        <v>-2490505288.2399998</v>
      </c>
      <c r="Y50" s="26">
        <f>股权价值增加表!Y47</f>
        <v>5783320382.4799995</v>
      </c>
      <c r="Z50" s="26">
        <f>股权价值增加表!Z47</f>
        <v>3480114071.5999994</v>
      </c>
      <c r="AA50" s="26">
        <f>股权价值增加表!AA47</f>
        <v>1017186232.7200003</v>
      </c>
      <c r="AB50" s="26">
        <f>股权价值增加表!AB47</f>
        <v>-1883019780.2399998</v>
      </c>
      <c r="AC50" s="26">
        <f>股权价值增加表!AC47</f>
        <v>6579568550</v>
      </c>
      <c r="AD50" s="26">
        <f>股权价值增加表!AD47</f>
        <v>4374957276.3199997</v>
      </c>
      <c r="AE50" s="26">
        <f>股权价值增加表!AE47</f>
        <v>1599353587.8000002</v>
      </c>
      <c r="AF50" s="26">
        <f>股权价值增加表!AF47</f>
        <v>-1363226447.1999998</v>
      </c>
      <c r="AG50" s="26">
        <f>股权价值增加表!AG47</f>
        <v>5818744810.96</v>
      </c>
      <c r="AH50" s="26">
        <f>股权价值增加表!AH47</f>
        <v>5192198934.1999998</v>
      </c>
      <c r="AI50" s="26">
        <f>股权价值增加表!AI47</f>
        <v>1147270977.7599998</v>
      </c>
      <c r="AJ50" s="26">
        <f>股权价值增加表!AJ47</f>
        <v>-1322414570.1599998</v>
      </c>
      <c r="AK50" s="26">
        <f>股权价值增加表!AK47</f>
        <v>3092083653.1999998</v>
      </c>
      <c r="AL50" s="26">
        <f>股权价值增加表!AL47</f>
        <v>1314460704.3199997</v>
      </c>
      <c r="AM50" s="26">
        <f>股权价值增加表!AM47</f>
        <v>-305639748.44000006</v>
      </c>
      <c r="AN50" s="26">
        <f>股权价值增加表!AN47</f>
        <v>-1879895688.52</v>
      </c>
      <c r="AO50" s="26">
        <f>股权价值增加表!AO47</f>
        <v>3452453870.96</v>
      </c>
      <c r="AP50" s="26">
        <f>股权价值增加表!AP47</f>
        <v>2431104229.2799997</v>
      </c>
      <c r="AQ50" s="26">
        <f>股权价值增加表!AQ47</f>
        <v>731300634.51999998</v>
      </c>
      <c r="AR50" s="26">
        <f>股权价值增加表!AR47</f>
        <v>-1079864175.2800002</v>
      </c>
      <c r="AS50" s="26">
        <f>股权价值增加表!AS47</f>
        <v>3105743327.2799997</v>
      </c>
      <c r="AT50" s="26">
        <f>股权价值增加表!AT47</f>
        <v>1777311391.52</v>
      </c>
      <c r="AU50" s="26">
        <f>股权价值增加表!AU47</f>
        <v>207065026.11999989</v>
      </c>
      <c r="AV50" s="26">
        <f>股权价值增加表!AV47</f>
        <v>-1366540148.2800002</v>
      </c>
      <c r="AW50" s="26">
        <f>股权价值增加表!AW47</f>
        <v>1533727272.04</v>
      </c>
      <c r="AX50" s="26">
        <f>股权价值增加表!AX47</f>
        <v>515793548.44000006</v>
      </c>
      <c r="AY50" s="26">
        <f>股权价值增加表!AY47</f>
        <v>790136413.75999999</v>
      </c>
      <c r="AZ50" s="26">
        <f>股权价值增加表!AZ47</f>
        <v>-589403295.24000001</v>
      </c>
      <c r="BA50" s="26">
        <f>股权价值增加表!BA47</f>
        <v>2301641963.3199997</v>
      </c>
      <c r="BB50" s="26">
        <f>股权价值增加表!BB47</f>
        <v>2654440568</v>
      </c>
      <c r="BC50" s="26">
        <f>股权价值增加表!BC47</f>
        <v>1892205409</v>
      </c>
      <c r="BD50" s="26">
        <f>股权价值增加表!BD47</f>
        <v>2386134361</v>
      </c>
      <c r="BE50" s="26">
        <f>股权价值增加表!BE47</f>
        <v>1526058455</v>
      </c>
      <c r="BF50" s="26">
        <f>股权价值增加表!BF47</f>
        <v>0</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684</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17416935811</v>
      </c>
      <c r="F54" s="193">
        <f t="shared" ref="F54:AC54" si="41">F39</f>
        <v>14648467238</v>
      </c>
      <c r="G54" s="193">
        <f t="shared" si="41"/>
        <v>9910386990</v>
      </c>
      <c r="H54" s="193">
        <f t="shared" si="41"/>
        <v>4156388649</v>
      </c>
      <c r="I54" s="193">
        <f t="shared" si="41"/>
        <v>9200455620</v>
      </c>
      <c r="J54" s="193">
        <f t="shared" si="41"/>
        <v>6577392449</v>
      </c>
      <c r="K54" s="193">
        <f t="shared" si="41"/>
        <v>4722661505</v>
      </c>
      <c r="L54" s="193">
        <f t="shared" si="41"/>
        <v>2679959429</v>
      </c>
      <c r="M54" s="193">
        <f t="shared" si="41"/>
        <v>16620719882</v>
      </c>
      <c r="N54" s="193">
        <f t="shared" si="41"/>
        <v>14704900316</v>
      </c>
      <c r="O54" s="193">
        <f t="shared" si="41"/>
        <v>9709031283</v>
      </c>
      <c r="P54" s="193">
        <f t="shared" si="41"/>
        <v>4899084816</v>
      </c>
      <c r="Q54" s="193">
        <f t="shared" si="41"/>
        <v>18218609505</v>
      </c>
      <c r="R54" s="193">
        <f t="shared" si="41"/>
        <v>14426240447</v>
      </c>
      <c r="S54" s="193">
        <f t="shared" si="41"/>
        <v>9460601088</v>
      </c>
      <c r="T54" s="193">
        <f t="shared" si="41"/>
        <v>4644532273</v>
      </c>
      <c r="U54" s="193">
        <f t="shared" si="41"/>
        <v>16830939708</v>
      </c>
      <c r="V54" s="193">
        <f t="shared" si="41"/>
        <v>12726876881</v>
      </c>
      <c r="W54" s="193">
        <f t="shared" si="41"/>
        <v>8567442002</v>
      </c>
      <c r="X54" s="193">
        <f t="shared" si="41"/>
        <v>4565918824</v>
      </c>
      <c r="Y54" s="193">
        <f t="shared" si="41"/>
        <v>15562677437</v>
      </c>
      <c r="Z54" s="193">
        <f t="shared" si="41"/>
        <v>11838125294</v>
      </c>
      <c r="AA54" s="193">
        <f t="shared" si="41"/>
        <v>8175583789</v>
      </c>
      <c r="AB54" s="193">
        <f t="shared" si="41"/>
        <v>4617090075</v>
      </c>
      <c r="AC54" s="193">
        <f t="shared" si="41"/>
        <v>16347629818</v>
      </c>
    </row>
    <row r="55" spans="1:88" s="63" customFormat="1" x14ac:dyDescent="0.25">
      <c r="A55" s="63" t="s">
        <v>673</v>
      </c>
      <c r="E55" s="63">
        <f>E54/E2</f>
        <v>0.3130487357680567</v>
      </c>
      <c r="F55" s="63">
        <f t="shared" ref="F55:AC55" si="42">F54/F2</f>
        <v>0.35094083443524737</v>
      </c>
      <c r="G55" s="63">
        <f t="shared" si="42"/>
        <v>0.36226718572739114</v>
      </c>
      <c r="H55" s="63">
        <f t="shared" si="42"/>
        <v>0.33381468550836446</v>
      </c>
      <c r="I55" s="63">
        <f t="shared" si="42"/>
        <v>0.20617322943807187</v>
      </c>
      <c r="J55" s="63">
        <f t="shared" si="42"/>
        <v>0.20820940826959927</v>
      </c>
      <c r="K55" s="63">
        <f t="shared" si="42"/>
        <v>0.22250259699683389</v>
      </c>
      <c r="L55" s="63">
        <f t="shared" si="42"/>
        <v>0.24116160977208201</v>
      </c>
      <c r="M55" s="63">
        <f t="shared" si="42"/>
        <v>0.31639610521843692</v>
      </c>
      <c r="N55" s="63">
        <f t="shared" si="42"/>
        <v>0.36393321353011754</v>
      </c>
      <c r="O55" s="63">
        <f t="shared" si="42"/>
        <v>0.35217705782494729</v>
      </c>
      <c r="P55" s="63">
        <f t="shared" si="42"/>
        <v>0.35298227199444865</v>
      </c>
      <c r="Q55" s="63">
        <f t="shared" si="42"/>
        <v>0.33756462749876326</v>
      </c>
      <c r="R55" s="63">
        <f t="shared" si="42"/>
        <v>0.35545779620336598</v>
      </c>
      <c r="S55" s="63">
        <f t="shared" si="42"/>
        <v>0.35860788228687662</v>
      </c>
      <c r="T55" s="63">
        <f t="shared" si="42"/>
        <v>0.3593470366207428</v>
      </c>
      <c r="U55" s="63">
        <f t="shared" si="42"/>
        <v>0.32781537990519755</v>
      </c>
      <c r="V55" s="63">
        <f t="shared" si="42"/>
        <v>0.33761087693617714</v>
      </c>
      <c r="W55" s="63">
        <f t="shared" si="42"/>
        <v>0.35223808336917678</v>
      </c>
      <c r="X55" s="63">
        <f t="shared" si="42"/>
        <v>0.38100862735459329</v>
      </c>
      <c r="Y55" s="63">
        <f t="shared" si="42"/>
        <v>0.33859554848655338</v>
      </c>
      <c r="Z55" s="63">
        <f t="shared" si="42"/>
        <v>0.35360062249309526</v>
      </c>
      <c r="AA55" s="63">
        <f t="shared" si="42"/>
        <v>0.36735866541423295</v>
      </c>
      <c r="AB55" s="63">
        <f t="shared" si="42"/>
        <v>0.41260858579088472</v>
      </c>
      <c r="AC55" s="63">
        <f t="shared" si="42"/>
        <v>0.36322385065866608</v>
      </c>
    </row>
    <row r="56" spans="1:88" x14ac:dyDescent="0.25">
      <c r="A56" s="17" t="s">
        <v>674</v>
      </c>
      <c r="E56" s="193">
        <f>E23</f>
        <v>11077389138.07021</v>
      </c>
      <c r="F56" s="193">
        <f t="shared" ref="F56:AC56" si="43">F23</f>
        <v>9672488671.2355042</v>
      </c>
      <c r="G56" s="193">
        <f t="shared" si="43"/>
        <v>6531099981.038373</v>
      </c>
      <c r="H56" s="193">
        <f t="shared" si="43"/>
        <v>2716747279.7468796</v>
      </c>
      <c r="I56" s="193">
        <f t="shared" si="43"/>
        <v>5300687594.5967007</v>
      </c>
      <c r="J56" s="193">
        <f t="shared" si="43"/>
        <v>3698321542.3712516</v>
      </c>
      <c r="K56" s="193">
        <f t="shared" si="43"/>
        <v>2732744905.3853908</v>
      </c>
      <c r="L56" s="193">
        <f t="shared" si="43"/>
        <v>1750322188.9933169</v>
      </c>
      <c r="M56" s="193">
        <f t="shared" si="43"/>
        <v>11155351466.714634</v>
      </c>
      <c r="N56" s="193">
        <f t="shared" si="43"/>
        <v>10156368119.711779</v>
      </c>
      <c r="O56" s="193">
        <f t="shared" si="43"/>
        <v>6684020505.993166</v>
      </c>
      <c r="P56" s="193">
        <f t="shared" si="43"/>
        <v>3463219454.0120273</v>
      </c>
      <c r="Q56" s="193">
        <f t="shared" si="43"/>
        <v>12454652313.785465</v>
      </c>
      <c r="R56" s="193">
        <f t="shared" si="43"/>
        <v>9978599506.1118793</v>
      </c>
      <c r="S56" s="193">
        <f t="shared" si="43"/>
        <v>6453247171.8106775</v>
      </c>
      <c r="T56" s="193">
        <f t="shared" si="43"/>
        <v>3228546804.5751991</v>
      </c>
      <c r="U56" s="193">
        <f t="shared" si="43"/>
        <v>11070539188.939714</v>
      </c>
      <c r="V56" s="193">
        <f t="shared" si="43"/>
        <v>8469896979.0597258</v>
      </c>
      <c r="W56" s="193">
        <f t="shared" si="43"/>
        <v>5685667699.6138163</v>
      </c>
      <c r="X56" s="193">
        <f t="shared" si="43"/>
        <v>3157596890.006072</v>
      </c>
      <c r="Y56" s="193">
        <f t="shared" si="43"/>
        <v>10539745313.867237</v>
      </c>
      <c r="Z56" s="193">
        <f t="shared" si="43"/>
        <v>8114573303.1085644</v>
      </c>
      <c r="AA56" s="193">
        <f t="shared" si="43"/>
        <v>5574601458.2782879</v>
      </c>
      <c r="AB56" s="193">
        <f t="shared" si="43"/>
        <v>3220409782.2647715</v>
      </c>
      <c r="AC56" s="193">
        <f t="shared" si="43"/>
        <v>11142221398.849859</v>
      </c>
    </row>
    <row r="57" spans="1:88" s="63" customFormat="1" x14ac:dyDescent="0.25">
      <c r="A57" s="63" t="s">
        <v>675</v>
      </c>
      <c r="E57" s="63">
        <f>E56/E2</f>
        <v>0.19910291356149745</v>
      </c>
      <c r="F57" s="63">
        <f t="shared" ref="F57:AC57" si="44">F56/F2</f>
        <v>0.23172876657997171</v>
      </c>
      <c r="G57" s="63">
        <f t="shared" si="44"/>
        <v>0.2387397396511747</v>
      </c>
      <c r="H57" s="63">
        <f t="shared" si="44"/>
        <v>0.21819185244204753</v>
      </c>
      <c r="I57" s="63">
        <f t="shared" si="44"/>
        <v>0.11878323473944728</v>
      </c>
      <c r="J57" s="63">
        <f t="shared" si="44"/>
        <v>0.11707152125990315</v>
      </c>
      <c r="K57" s="63">
        <f t="shared" si="44"/>
        <v>0.12875003591393674</v>
      </c>
      <c r="L57" s="63">
        <f t="shared" si="44"/>
        <v>0.15750630854696521</v>
      </c>
      <c r="M57" s="63">
        <f t="shared" si="44"/>
        <v>0.21235600993635034</v>
      </c>
      <c r="N57" s="63">
        <f t="shared" si="44"/>
        <v>0.25136108427608778</v>
      </c>
      <c r="O57" s="63">
        <f t="shared" si="44"/>
        <v>0.2424504162803498</v>
      </c>
      <c r="P57" s="63">
        <f t="shared" si="44"/>
        <v>0.24952723155559661</v>
      </c>
      <c r="Q57" s="63">
        <f t="shared" si="44"/>
        <v>0.23076679193194005</v>
      </c>
      <c r="R57" s="63">
        <f t="shared" si="44"/>
        <v>0.24586939353115614</v>
      </c>
      <c r="S57" s="63">
        <f t="shared" si="44"/>
        <v>0.24461292476353941</v>
      </c>
      <c r="T57" s="63">
        <f t="shared" si="44"/>
        <v>0.24979237060314127</v>
      </c>
      <c r="U57" s="63">
        <f t="shared" si="44"/>
        <v>0.21562034401755284</v>
      </c>
      <c r="V57" s="63">
        <f t="shared" si="44"/>
        <v>0.22468429398640866</v>
      </c>
      <c r="W57" s="63">
        <f t="shared" si="44"/>
        <v>0.23375806836141882</v>
      </c>
      <c r="X57" s="63">
        <f t="shared" si="44"/>
        <v>0.2634894975522995</v>
      </c>
      <c r="Y57" s="63">
        <f t="shared" si="44"/>
        <v>0.22931213860237881</v>
      </c>
      <c r="Z57" s="63">
        <f t="shared" si="44"/>
        <v>0.2423794393103203</v>
      </c>
      <c r="AA57" s="63">
        <f t="shared" si="44"/>
        <v>0.2504870850549788</v>
      </c>
      <c r="AB57" s="63">
        <f t="shared" si="44"/>
        <v>0.28779354622562747</v>
      </c>
      <c r="AC57" s="63">
        <f t="shared" si="44"/>
        <v>0.24756619806288024</v>
      </c>
    </row>
    <row r="58" spans="1:88" ht="93" customHeight="1" x14ac:dyDescent="0.25">
      <c r="A58" s="279" t="s">
        <v>676</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16485546157</v>
      </c>
      <c r="F61" s="89">
        <f>股权价值增加表!F38</f>
        <v>14266268840</v>
      </c>
      <c r="G61" s="89">
        <f>股权价值增加表!G38</f>
        <v>9654259604</v>
      </c>
      <c r="H61" s="89">
        <f>股权价值增加表!H38</f>
        <v>3974905136</v>
      </c>
      <c r="I61" s="89">
        <f>股权价值增加表!I38</f>
        <v>8638082688</v>
      </c>
      <c r="J61" s="89">
        <f>股权价值增加表!J38</f>
        <v>6214183287</v>
      </c>
      <c r="K61" s="89">
        <f>股权价值增加表!K38</f>
        <v>4477833457</v>
      </c>
      <c r="L61" s="89">
        <f>股权价值增加表!L38</f>
        <v>2583493063</v>
      </c>
      <c r="M61" s="89">
        <f>股权价值增加表!M38</f>
        <v>16187996592</v>
      </c>
      <c r="N61" s="89">
        <f>股权价值增加表!N38</f>
        <v>14576344052</v>
      </c>
      <c r="O61" s="89">
        <f>股权价值增加表!O38</f>
        <v>9599617738</v>
      </c>
      <c r="P61" s="89">
        <f>股权价值增加表!P38</f>
        <v>4824510970</v>
      </c>
      <c r="Q61" s="89">
        <f>股权价值增加表!Q38</f>
        <v>17509450331</v>
      </c>
      <c r="R61" s="89">
        <f>股权价值增加表!R38</f>
        <v>14081902972</v>
      </c>
      <c r="S61" s="89">
        <f>股权价值增加表!S38</f>
        <v>9223313055</v>
      </c>
      <c r="T61" s="89">
        <f>股权价值增加表!T38</f>
        <v>4528319469</v>
      </c>
      <c r="U61" s="89">
        <f>股权价值增加表!U38</f>
        <v>15974991067</v>
      </c>
      <c r="V61" s="89">
        <f>股权价值增加表!V38</f>
        <v>12203701364</v>
      </c>
      <c r="W61" s="89">
        <f>股权价值增加表!W38</f>
        <v>8202351522</v>
      </c>
      <c r="X61" s="89">
        <f>股权价值增加表!X38</f>
        <v>4369386219</v>
      </c>
      <c r="Y61" s="89">
        <f>股权价值增加表!Y38</f>
        <v>14609289012</v>
      </c>
      <c r="Z61" s="89">
        <f>股权价值增加表!Z38</f>
        <v>11217229187</v>
      </c>
      <c r="AA61" s="89">
        <f>股权价值增加表!AA38</f>
        <v>7752882123</v>
      </c>
      <c r="AB61" s="89">
        <f>股权价值增加表!AB38</f>
        <v>4419493333</v>
      </c>
      <c r="AC61" s="89">
        <f>股权价值增加表!AC38</f>
        <v>15154852990</v>
      </c>
    </row>
    <row r="62" spans="1:88" s="193" customFormat="1" x14ac:dyDescent="0.25">
      <c r="A62" s="89" t="s">
        <v>680</v>
      </c>
      <c r="B62" s="89"/>
      <c r="C62" s="89"/>
      <c r="D62" s="89"/>
      <c r="E62" s="89">
        <f>股权价值增加表!E40</f>
        <v>3699392355</v>
      </c>
      <c r="F62" s="89">
        <f>股权价值增加表!F40</f>
        <v>3135347625</v>
      </c>
      <c r="G62" s="89">
        <f>股权价值增加表!G40</f>
        <v>2104226245</v>
      </c>
      <c r="H62" s="89">
        <f>股权价值增加表!H40</f>
        <v>859373105</v>
      </c>
      <c r="I62" s="89">
        <f>股权价值增加表!I40</f>
        <v>1710383167</v>
      </c>
      <c r="J62" s="89">
        <f>股权价值增加表!J40</f>
        <v>1141561340</v>
      </c>
      <c r="K62" s="89">
        <f>股权价值增加表!K40</f>
        <v>836969641</v>
      </c>
      <c r="L62" s="89">
        <f>股权价值增加表!L40</f>
        <v>538246967</v>
      </c>
      <c r="M62" s="89">
        <f>股权价值增加表!M40</f>
        <v>3700550281</v>
      </c>
      <c r="N62" s="89">
        <f>股权价值增加表!N40</f>
        <v>3382835846</v>
      </c>
      <c r="O62" s="89">
        <f>股权价值增加表!O40</f>
        <v>2255601743</v>
      </c>
      <c r="P62" s="89">
        <f>股权价值增加表!P40</f>
        <v>1107420348</v>
      </c>
      <c r="Q62" s="89">
        <f>股权价值增加表!Q40</f>
        <v>3880265472</v>
      </c>
      <c r="R62" s="89">
        <f>股权价值增加表!R40</f>
        <v>3177435382</v>
      </c>
      <c r="S62" s="89">
        <f>股权价值增加表!S40</f>
        <v>2035332947</v>
      </c>
      <c r="T62" s="89">
        <f>股权价值增加表!T40</f>
        <v>1000806498</v>
      </c>
      <c r="U62" s="89">
        <f>股权价值增加表!U40</f>
        <v>3375771292</v>
      </c>
      <c r="V62" s="89">
        <f>股权价值增加表!V40</f>
        <v>2575708638</v>
      </c>
      <c r="W62" s="89">
        <f>股权价值增加表!W40</f>
        <v>1722199482</v>
      </c>
      <c r="X62" s="89">
        <f>股权价值增加表!X40</f>
        <v>959342435</v>
      </c>
      <c r="Y62" s="89">
        <f>股权价值增加表!Y40</f>
        <v>3198223060</v>
      </c>
      <c r="Z62" s="89">
        <f>股权价值增加表!Z40</f>
        <v>2463953201</v>
      </c>
      <c r="AA62" s="89">
        <f>股权价值增加表!AA40</f>
        <v>1687327701</v>
      </c>
      <c r="AB62" s="89">
        <f>股权价值增加表!AB40</f>
        <v>1002158605</v>
      </c>
      <c r="AC62" s="89">
        <f>股权价值增加表!AC40</f>
        <v>3548316710</v>
      </c>
    </row>
    <row r="63" spans="1:88" x14ac:dyDescent="0.25">
      <c r="A63" s="184" t="s">
        <v>681</v>
      </c>
      <c r="B63" s="64"/>
      <c r="C63" s="64"/>
      <c r="D63" s="64"/>
      <c r="E63" s="64">
        <f>股权价值增加表!E42</f>
        <v>12786153802</v>
      </c>
      <c r="F63" s="64">
        <f>股权价值增加表!F42</f>
        <v>11130921215</v>
      </c>
      <c r="G63" s="64">
        <f>股权价值增加表!G42</f>
        <v>7550033359</v>
      </c>
      <c r="H63" s="64">
        <f>股权价值增加表!H42</f>
        <v>3115532031</v>
      </c>
      <c r="I63" s="64">
        <f>股权价值增加表!I42</f>
        <v>6927699521</v>
      </c>
      <c r="J63" s="64">
        <f>股权价值增加表!J42</f>
        <v>5072621947</v>
      </c>
      <c r="K63" s="64">
        <f>股权价值增加表!K42</f>
        <v>3640863816</v>
      </c>
      <c r="L63" s="64">
        <f>股权价值增加表!L42</f>
        <v>2045246096</v>
      </c>
      <c r="M63" s="64">
        <f>股权价值增加表!M42</f>
        <v>12487446311</v>
      </c>
      <c r="N63" s="64">
        <f>股权价值增加表!N42</f>
        <v>11193508206</v>
      </c>
      <c r="O63" s="64">
        <f>股权价值增加表!O42</f>
        <v>7344015995</v>
      </c>
      <c r="P63" s="64">
        <f>股权价值增加表!P42</f>
        <v>3717090622</v>
      </c>
      <c r="Q63" s="64">
        <f>股权价值增加表!Q42</f>
        <v>13629184859</v>
      </c>
      <c r="R63" s="64">
        <f>股权价值增加表!R42</f>
        <v>10904467590</v>
      </c>
      <c r="S63" s="64">
        <f>股权价值增加表!S42</f>
        <v>7187980108</v>
      </c>
      <c r="T63" s="64">
        <f>股权价值增加表!T42</f>
        <v>3527512971</v>
      </c>
      <c r="U63" s="64">
        <f>股权价值增加表!U42</f>
        <v>12599219775</v>
      </c>
      <c r="V63" s="64">
        <f>股权价值增加表!V42</f>
        <v>9627992726</v>
      </c>
      <c r="W63" s="64">
        <f>股权价值增加表!W42</f>
        <v>6480152040</v>
      </c>
      <c r="X63" s="64">
        <f>股权价值增加表!X42</f>
        <v>3410043784</v>
      </c>
      <c r="Y63" s="64">
        <f>股权价值增加表!Y42</f>
        <v>11411065952</v>
      </c>
      <c r="Z63" s="64">
        <f>股权价值增加表!Z42</f>
        <v>8753275986</v>
      </c>
      <c r="AA63" s="64">
        <f>股权价值增加表!AA42</f>
        <v>6065554422</v>
      </c>
      <c r="AB63" s="64">
        <f>股权价值增加表!AB42</f>
        <v>3417334728</v>
      </c>
      <c r="AC63" s="64">
        <f>股权价值增加表!AC42</f>
        <v>11606536280</v>
      </c>
    </row>
    <row r="64" spans="1:88" s="63" customFormat="1" x14ac:dyDescent="0.25">
      <c r="A64" s="214" t="s">
        <v>682</v>
      </c>
      <c r="B64" s="214"/>
      <c r="C64" s="214"/>
      <c r="D64" s="214"/>
      <c r="E64" s="214">
        <f>1-E63/E61</f>
        <v>0.22440217143968777</v>
      </c>
      <c r="F64" s="214">
        <f t="shared" ref="F64:AC64" si="46">1-F63/F61</f>
        <v>0.21977348528643037</v>
      </c>
      <c r="G64" s="214">
        <f t="shared" si="46"/>
        <v>0.21795832423318784</v>
      </c>
      <c r="H64" s="214">
        <f t="shared" si="46"/>
        <v>0.21619965146257514</v>
      </c>
      <c r="I64" s="214">
        <f t="shared" si="46"/>
        <v>0.19800495419846575</v>
      </c>
      <c r="J64" s="214">
        <f t="shared" si="46"/>
        <v>0.18370255386385737</v>
      </c>
      <c r="K64" s="214">
        <f t="shared" si="46"/>
        <v>0.18691397280343292</v>
      </c>
      <c r="L64" s="214">
        <f t="shared" si="46"/>
        <v>0.20834078275982582</v>
      </c>
      <c r="M64" s="214">
        <f t="shared" si="46"/>
        <v>0.22859840993719927</v>
      </c>
      <c r="N64" s="214">
        <f t="shared" si="46"/>
        <v>0.23207711302175571</v>
      </c>
      <c r="O64" s="214">
        <f t="shared" si="46"/>
        <v>0.23496787107170125</v>
      </c>
      <c r="P64" s="214">
        <f t="shared" si="46"/>
        <v>0.229540435266126</v>
      </c>
      <c r="Q64" s="214">
        <f t="shared" si="46"/>
        <v>0.22160978206894921</v>
      </c>
      <c r="R64" s="214">
        <f t="shared" si="46"/>
        <v>0.2256396304049183</v>
      </c>
      <c r="S64" s="214">
        <f t="shared" si="46"/>
        <v>0.22067265144997295</v>
      </c>
      <c r="T64" s="214">
        <f t="shared" si="46"/>
        <v>0.22101057684894532</v>
      </c>
      <c r="U64" s="214">
        <f t="shared" si="46"/>
        <v>0.21131600498816105</v>
      </c>
      <c r="V64" s="214">
        <f t="shared" si="46"/>
        <v>0.21105962536891854</v>
      </c>
      <c r="W64" s="214">
        <f t="shared" si="46"/>
        <v>0.20996411545893756</v>
      </c>
      <c r="X64" s="214">
        <f t="shared" si="46"/>
        <v>0.21955999925764402</v>
      </c>
      <c r="Y64" s="214">
        <f t="shared" si="46"/>
        <v>0.21891709154175776</v>
      </c>
      <c r="Z64" s="214">
        <f t="shared" si="46"/>
        <v>0.21965791729169204</v>
      </c>
      <c r="AA64" s="214">
        <f t="shared" si="46"/>
        <v>0.21763876636203561</v>
      </c>
      <c r="AB64" s="214">
        <f t="shared" si="46"/>
        <v>0.22675870953734956</v>
      </c>
      <c r="AC64" s="214">
        <f t="shared" si="46"/>
        <v>0.23413732303054169</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703</v>
      </c>
      <c r="B69" s="283"/>
      <c r="C69" s="283"/>
      <c r="D69" s="283"/>
      <c r="E69" s="283"/>
      <c r="F69" s="257"/>
      <c r="G69" s="257"/>
      <c r="H69" s="257"/>
      <c r="I69" s="257" t="s">
        <v>707</v>
      </c>
      <c r="J69" s="257"/>
      <c r="K69" s="257"/>
      <c r="L69" s="257"/>
      <c r="M69" s="257" t="s">
        <v>708</v>
      </c>
    </row>
    <row r="70" spans="1:29" ht="57.6" x14ac:dyDescent="0.25">
      <c r="A70" s="284" t="s">
        <v>704</v>
      </c>
      <c r="B70" s="65"/>
      <c r="C70" s="65"/>
      <c r="D70" s="65"/>
      <c r="E70" s="65" t="s">
        <v>705</v>
      </c>
      <c r="F70" s="65"/>
      <c r="G70" s="65"/>
      <c r="H70" s="65"/>
      <c r="I70" s="258" t="s">
        <v>709</v>
      </c>
      <c r="J70" s="259"/>
      <c r="K70" s="259"/>
      <c r="L70" s="259"/>
      <c r="M70" s="258" t="s">
        <v>710</v>
      </c>
    </row>
    <row r="71" spans="1:29" ht="54.6" customHeight="1" x14ac:dyDescent="0.25">
      <c r="A71" s="284"/>
      <c r="B71" s="65"/>
      <c r="C71" s="65"/>
      <c r="D71" s="65"/>
      <c r="E71" s="65" t="s">
        <v>706</v>
      </c>
      <c r="F71" s="65"/>
      <c r="G71" s="65"/>
      <c r="H71" s="65"/>
      <c r="I71" s="258" t="s">
        <v>711</v>
      </c>
      <c r="J71" s="259"/>
      <c r="K71" s="259"/>
      <c r="L71" s="259"/>
      <c r="M71" s="258" t="s">
        <v>712</v>
      </c>
    </row>
    <row r="72" spans="1:29" ht="57.6" x14ac:dyDescent="0.25">
      <c r="A72" s="284" t="s">
        <v>720</v>
      </c>
      <c r="B72" s="65"/>
      <c r="C72" s="65"/>
      <c r="D72" s="65"/>
      <c r="E72" s="65" t="s">
        <v>713</v>
      </c>
      <c r="F72" s="65"/>
      <c r="G72" s="65"/>
      <c r="H72" s="65"/>
      <c r="I72" s="258" t="s">
        <v>721</v>
      </c>
      <c r="J72" s="259"/>
      <c r="K72" s="259"/>
      <c r="L72" s="259"/>
      <c r="M72" s="258" t="s">
        <v>722</v>
      </c>
    </row>
    <row r="73" spans="1:29" ht="43.2" x14ac:dyDescent="0.25">
      <c r="A73" s="284"/>
      <c r="B73" s="65"/>
      <c r="C73" s="65"/>
      <c r="D73" s="65"/>
      <c r="E73" s="65" t="s">
        <v>714</v>
      </c>
      <c r="F73" s="65"/>
      <c r="G73" s="65"/>
      <c r="H73" s="65"/>
      <c r="I73" s="258" t="s">
        <v>723</v>
      </c>
      <c r="J73" s="259"/>
      <c r="K73" s="259"/>
      <c r="L73" s="259"/>
      <c r="M73" s="258" t="s">
        <v>724</v>
      </c>
    </row>
    <row r="74" spans="1:29" ht="72" x14ac:dyDescent="0.25">
      <c r="A74" s="284"/>
      <c r="B74" s="65"/>
      <c r="C74" s="65"/>
      <c r="D74" s="65"/>
      <c r="E74" s="65" t="s">
        <v>715</v>
      </c>
      <c r="F74" s="65"/>
      <c r="G74" s="65"/>
      <c r="H74" s="65"/>
      <c r="I74" s="258" t="s">
        <v>725</v>
      </c>
      <c r="J74" s="259"/>
      <c r="K74" s="259"/>
      <c r="L74" s="259"/>
      <c r="M74" s="258" t="s">
        <v>726</v>
      </c>
    </row>
    <row r="75" spans="1:29" ht="72" x14ac:dyDescent="0.25">
      <c r="A75" s="284"/>
      <c r="B75" s="65"/>
      <c r="C75" s="65"/>
      <c r="D75" s="65"/>
      <c r="E75" s="65" t="s">
        <v>716</v>
      </c>
      <c r="F75" s="65"/>
      <c r="G75" s="65"/>
      <c r="H75" s="65"/>
      <c r="I75" s="258" t="s">
        <v>727</v>
      </c>
      <c r="J75" s="259"/>
      <c r="K75" s="259"/>
      <c r="L75" s="259"/>
      <c r="M75" s="258" t="s">
        <v>728</v>
      </c>
    </row>
    <row r="76" spans="1:29" x14ac:dyDescent="0.25">
      <c r="A76" s="284"/>
      <c r="B76" s="65"/>
      <c r="C76" s="65"/>
      <c r="D76" s="65"/>
      <c r="E76" s="65" t="s">
        <v>717</v>
      </c>
      <c r="F76" s="65"/>
      <c r="G76" s="65"/>
      <c r="H76" s="65"/>
      <c r="I76" s="258" t="s">
        <v>729</v>
      </c>
      <c r="J76" s="259"/>
      <c r="K76" s="259"/>
      <c r="L76" s="259"/>
      <c r="M76" s="258" t="s">
        <v>730</v>
      </c>
    </row>
    <row r="77" spans="1:29" ht="57.6" x14ac:dyDescent="0.25">
      <c r="A77" s="284"/>
      <c r="B77" s="65"/>
      <c r="C77" s="65"/>
      <c r="D77" s="65"/>
      <c r="E77" s="65" t="s">
        <v>718</v>
      </c>
      <c r="F77" s="65"/>
      <c r="G77" s="65"/>
      <c r="H77" s="65"/>
      <c r="I77" s="258" t="s">
        <v>731</v>
      </c>
      <c r="J77" s="259"/>
      <c r="K77" s="259"/>
      <c r="L77" s="259"/>
      <c r="M77" s="258" t="s">
        <v>732</v>
      </c>
    </row>
    <row r="78" spans="1:29" ht="57.6" x14ac:dyDescent="0.25">
      <c r="A78" s="284"/>
      <c r="B78" s="65"/>
      <c r="C78" s="65"/>
      <c r="D78" s="65"/>
      <c r="E78" s="65" t="s">
        <v>719</v>
      </c>
      <c r="F78" s="65"/>
      <c r="G78" s="65"/>
      <c r="H78" s="65"/>
      <c r="I78" s="258" t="s">
        <v>733</v>
      </c>
      <c r="J78" s="259"/>
      <c r="K78" s="259"/>
      <c r="L78" s="259"/>
      <c r="M78" s="258"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1" width="21.5546875" hidden="1" customWidth="1"/>
    <col min="12" max="12" width="20.44140625" hidden="1" customWidth="1"/>
    <col min="13" max="13" width="21.5546875" bestFit="1" customWidth="1"/>
    <col min="14" max="16" width="20.44140625" hidden="1" customWidth="1"/>
    <col min="17" max="17" width="21.554687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1.5546875" bestFit="1" customWidth="1"/>
    <col min="34" max="34" width="21.5546875" hidden="1" customWidth="1"/>
    <col min="35" max="36" width="20.44140625" hidden="1" customWidth="1"/>
    <col min="37" max="37" width="20.44140625" bestFit="1" customWidth="1"/>
    <col min="38" max="40" width="21.5546875" hidden="1" customWidth="1"/>
    <col min="41" max="41" width="21.5546875" bestFit="1" customWidth="1"/>
    <col min="42" max="44" width="21.5546875" hidden="1" customWidth="1"/>
    <col min="45" max="45" width="21.5546875" bestFit="1" customWidth="1"/>
    <col min="46" max="48" width="20.44140625" hidden="1" customWidth="1"/>
    <col min="49" max="49" width="20.44140625" bestFit="1" customWidth="1"/>
    <col min="50" max="50" width="20.44140625" hidden="1" customWidth="1"/>
    <col min="51" max="52" width="21.5546875" hidden="1" customWidth="1"/>
    <col min="53" max="53" width="20.44140625" bestFit="1" customWidth="1"/>
    <col min="54" max="55" width="19.33203125" hidden="1" customWidth="1"/>
    <col min="56" max="57" width="19.33203125" bestFit="1" customWidth="1"/>
    <col min="58" max="58" width="19.33203125" hidden="1" customWidth="1"/>
    <col min="59"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12786153802</v>
      </c>
      <c r="F2" s="26">
        <f>股权价值增加表!F42</f>
        <v>11130921215</v>
      </c>
      <c r="G2" s="26">
        <f>股权价值增加表!G42</f>
        <v>7550033359</v>
      </c>
      <c r="H2" s="26">
        <f>股权价值增加表!H42</f>
        <v>3115532031</v>
      </c>
      <c r="I2" s="26">
        <f>股权价值增加表!I42</f>
        <v>6927699521</v>
      </c>
      <c r="J2" s="26">
        <f>股权价值增加表!J42</f>
        <v>5072621947</v>
      </c>
      <c r="K2" s="26">
        <f>股权价值增加表!K42</f>
        <v>3640863816</v>
      </c>
      <c r="L2" s="26">
        <f>股权价值增加表!L42</f>
        <v>2045246096</v>
      </c>
      <c r="M2" s="26">
        <f>股权价值增加表!M42</f>
        <v>12487446311</v>
      </c>
      <c r="N2" s="26">
        <f>股权价值增加表!N42</f>
        <v>11193508206</v>
      </c>
      <c r="O2" s="26">
        <f>股权价值增加表!O42</f>
        <v>7344015995</v>
      </c>
      <c r="P2" s="26">
        <f>股权价值增加表!P42</f>
        <v>3717090622</v>
      </c>
      <c r="Q2" s="26">
        <f>股权价值增加表!Q42</f>
        <v>13629184859</v>
      </c>
      <c r="R2" s="26">
        <f>股权价值增加表!R42</f>
        <v>10904467590</v>
      </c>
      <c r="S2" s="26">
        <f>股权价值增加表!S42</f>
        <v>7187980108</v>
      </c>
      <c r="T2" s="26">
        <f>股权价值增加表!T42</f>
        <v>3527512971</v>
      </c>
      <c r="U2" s="26">
        <f>股权价值增加表!U42</f>
        <v>12599219775</v>
      </c>
      <c r="V2" s="26">
        <f>股权价值增加表!V42</f>
        <v>9627992726</v>
      </c>
      <c r="W2" s="26">
        <f>股权价值增加表!W42</f>
        <v>6480152040</v>
      </c>
      <c r="X2" s="26">
        <f>股权价值增加表!X42</f>
        <v>3410043784</v>
      </c>
      <c r="Y2" s="26">
        <f>股权价值增加表!Y42</f>
        <v>11411065952</v>
      </c>
      <c r="Z2" s="26">
        <f>股权价值增加表!Z42</f>
        <v>8753275986</v>
      </c>
      <c r="AA2" s="26">
        <f>股权价值增加表!AA42</f>
        <v>6065554422</v>
      </c>
      <c r="AB2" s="26">
        <f>股权价值增加表!AB42</f>
        <v>3417334728</v>
      </c>
      <c r="AC2" s="26">
        <f>股权价值增加表!AC42</f>
        <v>11606536280</v>
      </c>
      <c r="AD2" s="26">
        <f>股权价值增加表!AD42</f>
        <v>9202195330</v>
      </c>
      <c r="AE2" s="26">
        <f>股权价值增加表!AE42</f>
        <v>6185234799</v>
      </c>
      <c r="AF2" s="26">
        <f>股权价值增加表!AF42</f>
        <v>3417506676</v>
      </c>
      <c r="AG2" s="26">
        <f>股权价值增加表!AG42</f>
        <v>10326077400</v>
      </c>
      <c r="AH2" s="26">
        <f>股权价值增加表!AH42</f>
        <v>8247559691</v>
      </c>
      <c r="AI2" s="26">
        <f>股权价值增加表!AI42</f>
        <v>4643973356</v>
      </c>
      <c r="AJ2" s="26">
        <f>股权价值增加表!AJ42</f>
        <v>2298056642</v>
      </c>
      <c r="AK2" s="26">
        <f>股权价值增加表!AK42</f>
        <v>6528710334</v>
      </c>
      <c r="AL2" s="26">
        <f>股权价值增加表!AL42</f>
        <v>4596366796</v>
      </c>
      <c r="AM2" s="26">
        <f>股权价值增加表!AM42</f>
        <v>2835388043</v>
      </c>
      <c r="AN2" s="26">
        <f>股权价值增加表!AN42</f>
        <v>1462764381</v>
      </c>
      <c r="AO2" s="26">
        <f>股权价值增加表!AO42</f>
        <v>6678092790</v>
      </c>
      <c r="AP2" s="26">
        <f>股权价值增加表!AP42</f>
        <v>5567806338</v>
      </c>
      <c r="AQ2" s="26">
        <f>股权价值增加表!AQ42</f>
        <v>3720193735</v>
      </c>
      <c r="AR2" s="26">
        <f>股权价值增加表!AR42</f>
        <v>2090060432</v>
      </c>
      <c r="AS2" s="26">
        <f>股权价值增加表!AS42</f>
        <v>6108463100</v>
      </c>
      <c r="AT2" s="26">
        <f>股权价值增加表!AT42</f>
        <v>4664475866</v>
      </c>
      <c r="AU2" s="26">
        <f>股权价值增加表!AU42</f>
        <v>2957643893</v>
      </c>
      <c r="AV2" s="26">
        <f>股权价值增加表!AV42</f>
        <v>1585727585</v>
      </c>
      <c r="AW2" s="26">
        <f>股权价值增加表!AW42</f>
        <v>4354407877</v>
      </c>
      <c r="AX2" s="26">
        <f>股权价值增加表!AX42</f>
        <v>3247466977</v>
      </c>
      <c r="AY2" s="26">
        <f>股权价值增加表!AY42</f>
        <v>2264447370</v>
      </c>
      <c r="AZ2" s="26">
        <f>股权价值增加表!AZ42</f>
        <v>869436573</v>
      </c>
      <c r="BA2" s="26">
        <f>股权价值增加表!BA42</f>
        <v>3553233715</v>
      </c>
      <c r="BB2" s="26">
        <f>股权价值增加表!BB42</f>
        <v>2654440568</v>
      </c>
      <c r="BC2" s="26">
        <f>股权价值增加表!BC42</f>
        <v>1892205409</v>
      </c>
      <c r="BD2" s="26">
        <f>股权价值增加表!BD42</f>
        <v>2386134361</v>
      </c>
      <c r="BE2" s="26">
        <f>股权价值增加表!BE42</f>
        <v>1526058455</v>
      </c>
      <c r="BF2" s="26">
        <f>股权价值增加表!BF42</f>
        <v>0</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100910929137</v>
      </c>
      <c r="F3" s="26">
        <f>资产资本表!F107</f>
        <v>99064018020</v>
      </c>
      <c r="G3" s="26">
        <f>资产资本表!G107</f>
        <v>95407185089</v>
      </c>
      <c r="H3" s="26">
        <f>资产资本表!H107</f>
        <v>94760026885</v>
      </c>
      <c r="I3" s="26">
        <f>资产资本表!I107</f>
        <v>91574360128</v>
      </c>
      <c r="J3" s="26">
        <f>资产资本表!J107</f>
        <v>89327352986</v>
      </c>
      <c r="K3" s="26">
        <f>资产资本表!K107</f>
        <v>87561366855</v>
      </c>
      <c r="L3" s="26">
        <f>资产资本表!L107</f>
        <v>92655805306</v>
      </c>
      <c r="M3" s="26">
        <f>资产资本表!M107</f>
        <v>90610559210</v>
      </c>
      <c r="N3" s="26">
        <f>资产资本表!N107</f>
        <v>88058031823</v>
      </c>
      <c r="O3" s="26">
        <f>资产资本表!O107</f>
        <v>84205697612</v>
      </c>
      <c r="P3" s="26">
        <f>资产资本表!P107</f>
        <v>87714832155</v>
      </c>
      <c r="Q3" s="26">
        <f>资产资本表!Q107</f>
        <v>83997741533</v>
      </c>
      <c r="R3" s="26">
        <f>资产资本表!R107</f>
        <v>81164600240</v>
      </c>
      <c r="S3" s="26">
        <f>资产资本表!S107</f>
        <v>78063452758</v>
      </c>
      <c r="T3" s="26">
        <f>资产资本表!T107</f>
        <v>80795705962</v>
      </c>
      <c r="U3" s="26">
        <f>资产资本表!U107</f>
        <v>77268192991</v>
      </c>
      <c r="V3" s="26">
        <f>资产资本表!V107</f>
        <v>74166606516</v>
      </c>
      <c r="W3" s="26">
        <f>资产资本表!W107</f>
        <v>71028922978</v>
      </c>
      <c r="X3" s="26">
        <f>资产资本表!X107</f>
        <v>73756863403</v>
      </c>
      <c r="Y3" s="26">
        <f>资产资本表!Y107</f>
        <v>70346819619</v>
      </c>
      <c r="Z3" s="26">
        <f>资产资本表!Z107</f>
        <v>65914523930</v>
      </c>
      <c r="AA3" s="26">
        <f>资产资本表!AA107</f>
        <v>63104602366</v>
      </c>
      <c r="AB3" s="26">
        <f>资产资本表!AB107</f>
        <v>66254431353</v>
      </c>
      <c r="AC3" s="26">
        <f>资产资本表!AC107</f>
        <v>62837096625</v>
      </c>
      <c r="AD3" s="26">
        <f>资产资本表!AD107</f>
        <v>60340475671</v>
      </c>
      <c r="AE3" s="26">
        <f>资产资本表!AE107</f>
        <v>57323515140</v>
      </c>
      <c r="AF3" s="26">
        <f>资产资本表!AF107</f>
        <v>59759164040</v>
      </c>
      <c r="AG3" s="26">
        <f>资产资本表!AG107</f>
        <v>56341657363</v>
      </c>
      <c r="AH3" s="26">
        <f>资产资本表!AH107</f>
        <v>38192009460</v>
      </c>
      <c r="AI3" s="26">
        <f>资产资本表!AI107</f>
        <v>43708779728</v>
      </c>
      <c r="AJ3" s="26">
        <f>资产资本表!AJ107</f>
        <v>45255890152</v>
      </c>
      <c r="AK3" s="26">
        <f>资产资本表!AK107</f>
        <v>42957833510</v>
      </c>
      <c r="AL3" s="26">
        <f>资产资本表!AL107</f>
        <v>41023826146</v>
      </c>
      <c r="AM3" s="26">
        <f>资产资本表!AM107</f>
        <v>39262847393</v>
      </c>
      <c r="AN3" s="26">
        <f>资产资本表!AN107</f>
        <v>41783250869</v>
      </c>
      <c r="AO3" s="26">
        <f>资产资本表!AO107</f>
        <v>40320486488</v>
      </c>
      <c r="AP3" s="26">
        <f>资产资本表!AP107</f>
        <v>39208776359</v>
      </c>
      <c r="AQ3" s="26">
        <f>资产资本表!AQ107</f>
        <v>37361163756</v>
      </c>
      <c r="AR3" s="26">
        <f>资产资本表!AR107</f>
        <v>39624057591</v>
      </c>
      <c r="AS3" s="26">
        <f>资产资本表!AS107</f>
        <v>37533997159</v>
      </c>
      <c r="AT3" s="26">
        <f>资产资本表!AT107</f>
        <v>36089555931</v>
      </c>
      <c r="AU3" s="26">
        <f>资产资本表!AU107</f>
        <v>34382235836</v>
      </c>
      <c r="AV3" s="26">
        <f>资产资本表!AV107</f>
        <v>36903346666</v>
      </c>
      <c r="AW3" s="26">
        <f>资产资本表!AW107</f>
        <v>35258507562</v>
      </c>
      <c r="AX3" s="26">
        <f>资产资本表!AX107</f>
        <v>34145917857</v>
      </c>
      <c r="AY3" s="26">
        <f>资产资本表!AY107</f>
        <v>18428886953</v>
      </c>
      <c r="AZ3" s="26">
        <f>资产资本表!AZ107</f>
        <v>18235498353</v>
      </c>
      <c r="BA3" s="26">
        <f>资产资本表!BA107</f>
        <v>15644896896</v>
      </c>
      <c r="BB3" s="26">
        <f>资产资本表!BB107</f>
        <v>0</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0.1267073240861859</v>
      </c>
      <c r="F4" s="59">
        <f t="shared" ref="F4:BQ4" si="0">F2/F3</f>
        <v>0.11236088983138946</v>
      </c>
      <c r="G4" s="59">
        <f t="shared" si="0"/>
        <v>7.9134850818174729E-2</v>
      </c>
      <c r="H4" s="59">
        <f t="shared" si="0"/>
        <v>3.2878125232921093E-2</v>
      </c>
      <c r="I4" s="59">
        <f t="shared" si="0"/>
        <v>7.5651083024950008E-2</v>
      </c>
      <c r="J4" s="59">
        <f t="shared" si="0"/>
        <v>5.6786883047961985E-2</v>
      </c>
      <c r="K4" s="59">
        <f t="shared" si="0"/>
        <v>4.1580710155304026E-2</v>
      </c>
      <c r="L4" s="59">
        <f t="shared" si="0"/>
        <v>2.2073588257589278E-2</v>
      </c>
      <c r="M4" s="59">
        <f t="shared" si="0"/>
        <v>0.13781447129201532</v>
      </c>
      <c r="N4" s="59">
        <f t="shared" si="0"/>
        <v>0.12711513049143977</v>
      </c>
      <c r="O4" s="59">
        <f t="shared" si="0"/>
        <v>8.7215190934460202E-2</v>
      </c>
      <c r="P4" s="59">
        <f t="shared" si="0"/>
        <v>4.2376990648874145E-2</v>
      </c>
      <c r="Q4" s="59">
        <f t="shared" si="0"/>
        <v>0.16225656321539947</v>
      </c>
      <c r="R4" s="59">
        <f t="shared" si="0"/>
        <v>0.13435004371063233</v>
      </c>
      <c r="S4" s="59">
        <f t="shared" si="0"/>
        <v>9.207868540330956E-2</v>
      </c>
      <c r="T4" s="59">
        <f t="shared" si="0"/>
        <v>4.3659659000430874E-2</v>
      </c>
      <c r="U4" s="59">
        <f t="shared" si="0"/>
        <v>0.16305829458788462</v>
      </c>
      <c r="V4" s="59">
        <f t="shared" si="0"/>
        <v>0.1298157375438628</v>
      </c>
      <c r="W4" s="59">
        <f t="shared" si="0"/>
        <v>9.1232582000534024E-2</v>
      </c>
      <c r="X4" s="59">
        <f t="shared" si="0"/>
        <v>4.6233579177138641E-2</v>
      </c>
      <c r="Y4" s="59">
        <f t="shared" si="0"/>
        <v>0.16221154010661173</v>
      </c>
      <c r="Z4" s="59">
        <f t="shared" si="0"/>
        <v>0.13279737854582424</v>
      </c>
      <c r="AA4" s="59">
        <f t="shared" si="0"/>
        <v>9.6119049872470913E-2</v>
      </c>
      <c r="AB4" s="59">
        <f t="shared" si="0"/>
        <v>5.1578960957232078E-2</v>
      </c>
      <c r="AC4" s="59">
        <f t="shared" si="0"/>
        <v>0.18470834751111481</v>
      </c>
      <c r="AD4" s="59">
        <f t="shared" si="0"/>
        <v>0.15250452084889068</v>
      </c>
      <c r="AE4" s="59">
        <f t="shared" si="0"/>
        <v>0.10790048000186193</v>
      </c>
      <c r="AF4" s="59">
        <f t="shared" si="0"/>
        <v>5.7187993354667413E-2</v>
      </c>
      <c r="AG4" s="59">
        <f t="shared" si="0"/>
        <v>0.18327606753686332</v>
      </c>
      <c r="AH4" s="59">
        <f t="shared" si="0"/>
        <v>0.21594987557902642</v>
      </c>
      <c r="AI4" s="59">
        <f t="shared" si="0"/>
        <v>0.10624806697646272</v>
      </c>
      <c r="AJ4" s="59">
        <f t="shared" si="0"/>
        <v>5.0779172264241536E-2</v>
      </c>
      <c r="AK4" s="59">
        <f t="shared" si="0"/>
        <v>0.15197950642646363</v>
      </c>
      <c r="AL4" s="59">
        <f t="shared" si="0"/>
        <v>0.11204139710523237</v>
      </c>
      <c r="AM4" s="59">
        <f t="shared" si="0"/>
        <v>7.2215548063014626E-2</v>
      </c>
      <c r="AN4" s="59">
        <f t="shared" si="0"/>
        <v>3.5008390936026E-2</v>
      </c>
      <c r="AO4" s="59">
        <f t="shared" si="0"/>
        <v>0.16562530295827416</v>
      </c>
      <c r="AP4" s="59">
        <f t="shared" si="0"/>
        <v>0.14200408314252233</v>
      </c>
      <c r="AQ4" s="59">
        <f t="shared" si="0"/>
        <v>9.9573818398591959E-2</v>
      </c>
      <c r="AR4" s="59">
        <f t="shared" si="0"/>
        <v>5.2747259091273008E-2</v>
      </c>
      <c r="AS4" s="59">
        <f t="shared" si="0"/>
        <v>0.16274480637176947</v>
      </c>
      <c r="AT4" s="59">
        <f t="shared" si="0"/>
        <v>0.1292472502271311</v>
      </c>
      <c r="AU4" s="59">
        <f t="shared" si="0"/>
        <v>8.6022442144474853E-2</v>
      </c>
      <c r="AV4" s="59">
        <f t="shared" si="0"/>
        <v>4.2969750124613265E-2</v>
      </c>
      <c r="AW4" s="59">
        <f t="shared" si="0"/>
        <v>0.12349949496140843</v>
      </c>
      <c r="AX4" s="59">
        <f t="shared" si="0"/>
        <v>9.5105569883934482E-2</v>
      </c>
      <c r="AY4" s="59">
        <f t="shared" si="0"/>
        <v>0.12287488526980059</v>
      </c>
      <c r="AZ4" s="59">
        <f t="shared" si="0"/>
        <v>4.7678245813170511E-2</v>
      </c>
      <c r="BA4" s="59">
        <f t="shared" si="0"/>
        <v>0.22711774571735727</v>
      </c>
      <c r="BB4" s="59" t="e">
        <f t="shared" si="0"/>
        <v>#DIV/0!</v>
      </c>
      <c r="BC4" s="59">
        <f t="shared" si="0"/>
        <v>0.26355942913169744</v>
      </c>
      <c r="BD4" s="59">
        <f t="shared" si="0"/>
        <v>0.34070765830872679</v>
      </c>
      <c r="BE4" s="59">
        <f t="shared" si="0"/>
        <v>0.23167865212487848</v>
      </c>
      <c r="BF4" s="59">
        <f t="shared" si="0"/>
        <v>0</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4713279471.04</v>
      </c>
      <c r="F5" s="26">
        <f>股权价值增加表!F47</f>
        <v>3205799773.3999996</v>
      </c>
      <c r="G5" s="26">
        <f>股权价值增加表!G47</f>
        <v>-82541448.119999886</v>
      </c>
      <c r="H5" s="26">
        <f>股权价值增加表!H47</f>
        <v>-4465270119.8000002</v>
      </c>
      <c r="I5" s="26">
        <f>股权价值增加表!I47</f>
        <v>-398249289.23999977</v>
      </c>
      <c r="J5" s="26">
        <f>股权价值增加表!J47</f>
        <v>-2073566291.8800001</v>
      </c>
      <c r="K5" s="26">
        <f>股权价值增加表!K47</f>
        <v>-3364045532.4000006</v>
      </c>
      <c r="L5" s="26">
        <f>股权价值增加表!L47</f>
        <v>-5367218328.4800005</v>
      </c>
      <c r="M5" s="26">
        <f>股权价值增加表!M47</f>
        <v>5238601574.1999998</v>
      </c>
      <c r="N5" s="26">
        <f>股权价值增加表!N47</f>
        <v>4148865660.1599998</v>
      </c>
      <c r="O5" s="26">
        <f>股权价值增加表!O47</f>
        <v>607560186.03999996</v>
      </c>
      <c r="P5" s="26">
        <f>股权价值增加表!P47</f>
        <v>-3300095950.4000006</v>
      </c>
      <c r="Q5" s="26">
        <f>股权价值增加表!Q47</f>
        <v>6909365536.3599997</v>
      </c>
      <c r="R5" s="26">
        <f>股权价值增加表!R47</f>
        <v>4411299570.8000002</v>
      </c>
      <c r="S5" s="26">
        <f>股权价值增加表!S47</f>
        <v>942903887.35999966</v>
      </c>
      <c r="T5" s="26">
        <f>股权价值增加表!T47</f>
        <v>-2936143505.96</v>
      </c>
      <c r="U5" s="26">
        <f>股权价值增加表!U47</f>
        <v>6417764335.7200003</v>
      </c>
      <c r="V5" s="26">
        <f>股权价值增加表!V47</f>
        <v>3694664204.7200003</v>
      </c>
      <c r="W5" s="26">
        <f>股权价值增加表!W47</f>
        <v>797838201.76000023</v>
      </c>
      <c r="X5" s="26">
        <f>股权价值增加表!X47</f>
        <v>-2490505288.2399998</v>
      </c>
      <c r="Y5" s="26">
        <f>股权价值增加表!Y47</f>
        <v>5783320382.4799995</v>
      </c>
      <c r="Z5" s="26">
        <f>股权价值增加表!Z47</f>
        <v>3480114071.5999994</v>
      </c>
      <c r="AA5" s="26">
        <f>股权价值增加表!AA47</f>
        <v>1017186232.7200003</v>
      </c>
      <c r="AB5" s="26">
        <f>股权价值增加表!AB47</f>
        <v>-1883019780.2399998</v>
      </c>
      <c r="AC5" s="26">
        <f>股权价值增加表!AC47</f>
        <v>6579568550</v>
      </c>
      <c r="AD5" s="26">
        <f>股权价值增加表!AD47</f>
        <v>4374957276.3199997</v>
      </c>
      <c r="AE5" s="26">
        <f>股权价值增加表!AE47</f>
        <v>1599353587.8000002</v>
      </c>
      <c r="AF5" s="26">
        <f>股权价值增加表!AF47</f>
        <v>-1363226447.1999998</v>
      </c>
      <c r="AG5" s="26">
        <f>股权价值增加表!AG47</f>
        <v>5818744810.96</v>
      </c>
      <c r="AH5" s="26">
        <f>股权价值增加表!AH47</f>
        <v>5192198934.1999998</v>
      </c>
      <c r="AI5" s="26">
        <f>股权价值增加表!AI47</f>
        <v>1147270977.7599998</v>
      </c>
      <c r="AJ5" s="26">
        <f>股权价值增加表!AJ47</f>
        <v>-1322414570.1599998</v>
      </c>
      <c r="AK5" s="26">
        <f>股权价值增加表!AK47</f>
        <v>3092083653.1999998</v>
      </c>
      <c r="AL5" s="26">
        <f>股权价值增加表!AL47</f>
        <v>1314460704.3199997</v>
      </c>
      <c r="AM5" s="26">
        <f>股权价值增加表!AM47</f>
        <v>-305639748.44000006</v>
      </c>
      <c r="AN5" s="26">
        <f>股权价值增加表!AN47</f>
        <v>-1879895688.52</v>
      </c>
      <c r="AO5" s="26">
        <f>股权价值增加表!AO47</f>
        <v>3452453870.96</v>
      </c>
      <c r="AP5" s="26">
        <f>股权价值增加表!AP47</f>
        <v>2431104229.2799997</v>
      </c>
      <c r="AQ5" s="26">
        <f>股权价值增加表!AQ47</f>
        <v>731300634.51999998</v>
      </c>
      <c r="AR5" s="26">
        <f>股权价值增加表!AR47</f>
        <v>-1079864175.2800002</v>
      </c>
      <c r="AS5" s="26">
        <f>股权价值增加表!AS47</f>
        <v>3105743327.2799997</v>
      </c>
      <c r="AT5" s="26">
        <f>股权价值增加表!AT47</f>
        <v>1777311391.52</v>
      </c>
      <c r="AU5" s="26">
        <f>股权价值增加表!AU47</f>
        <v>207065026.11999989</v>
      </c>
      <c r="AV5" s="26">
        <f>股权价值增加表!AV47</f>
        <v>-1366540148.2800002</v>
      </c>
      <c r="AW5" s="26">
        <f>股权价值增加表!AW47</f>
        <v>1533727272.04</v>
      </c>
      <c r="AX5" s="26">
        <f>股权价值增加表!AX47</f>
        <v>515793548.44000006</v>
      </c>
      <c r="AY5" s="26">
        <f>股权价值增加表!AY47</f>
        <v>790136413.75999999</v>
      </c>
      <c r="AZ5" s="26">
        <f>股权价值增加表!AZ47</f>
        <v>-589403295.24000001</v>
      </c>
      <c r="BA5" s="26">
        <f>股权价值增加表!BA47</f>
        <v>2301641963.3199997</v>
      </c>
      <c r="BB5" s="26">
        <f>股权价值增加表!BB47</f>
        <v>2654440568</v>
      </c>
      <c r="BC5" s="26">
        <f>股权价值增加表!BC47</f>
        <v>1892205409</v>
      </c>
      <c r="BD5" s="26">
        <f>股权价值增加表!BD47</f>
        <v>2386134361</v>
      </c>
      <c r="BE5" s="26">
        <f>股权价值增加表!BE47</f>
        <v>1526058455</v>
      </c>
      <c r="BF5" s="26">
        <f>股权价值增加表!BF47</f>
        <v>0</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0.3130487357680567</v>
      </c>
      <c r="F6" s="158">
        <f>股权价值增加表!F31/股权价值增加表!F4</f>
        <v>0.35094083443524737</v>
      </c>
      <c r="G6" s="158">
        <f>股权价值增加表!G31/股权价值增加表!G4</f>
        <v>0.36226718572739114</v>
      </c>
      <c r="H6" s="158">
        <f>股权价值增加表!H31/股权价值增加表!H4</f>
        <v>0.33381468550836446</v>
      </c>
      <c r="I6" s="158">
        <f>股权价值增加表!I31/股权价值增加表!I4</f>
        <v>0.20617322943807187</v>
      </c>
      <c r="J6" s="158">
        <f>股权价值增加表!J31/股权价值增加表!J4</f>
        <v>0.20820940826959927</v>
      </c>
      <c r="K6" s="158">
        <f>股权价值增加表!K31/股权价值增加表!K4</f>
        <v>0.22250259699683389</v>
      </c>
      <c r="L6" s="158">
        <f>股权价值增加表!L31/股权价值增加表!L4</f>
        <v>0.24116160977208201</v>
      </c>
      <c r="M6" s="158">
        <f>股权价值增加表!M31/股权价值增加表!M4</f>
        <v>0.31639610521843692</v>
      </c>
      <c r="N6" s="158">
        <f>股权价值增加表!N31/股权价值增加表!N4</f>
        <v>0.36393321353011754</v>
      </c>
      <c r="O6" s="158">
        <f>股权价值增加表!O31/股权价值增加表!O4</f>
        <v>0.35217705782494729</v>
      </c>
      <c r="P6" s="158">
        <f>股权价值增加表!P31/股权价值增加表!P4</f>
        <v>0.35298227199444865</v>
      </c>
      <c r="Q6" s="158">
        <f>股权价值增加表!Q31/股权价值增加表!Q4</f>
        <v>0.33756462749876326</v>
      </c>
      <c r="R6" s="158">
        <f>股权价值增加表!R31/股权价值增加表!R4</f>
        <v>0.35545779620336598</v>
      </c>
      <c r="S6" s="158">
        <f>股权价值增加表!S31/股权价值增加表!S4</f>
        <v>0.35860788228687662</v>
      </c>
      <c r="T6" s="158">
        <f>股权价值增加表!T31/股权价值增加表!T4</f>
        <v>0.3593470366207428</v>
      </c>
      <c r="U6" s="158">
        <f>股权价值增加表!U31/股权价值增加表!U4</f>
        <v>0.32781537990519755</v>
      </c>
      <c r="V6" s="158">
        <f>股权价值增加表!V31/股权价值增加表!V4</f>
        <v>0.33761087693617714</v>
      </c>
      <c r="W6" s="158">
        <f>股权价值增加表!W31/股权价值增加表!W4</f>
        <v>0.35223808336917678</v>
      </c>
      <c r="X6" s="158">
        <f>股权价值增加表!X31/股权价值增加表!X4</f>
        <v>0.38100862735459329</v>
      </c>
      <c r="Y6" s="158">
        <f>股权价值增加表!Y31/股权价值增加表!Y4</f>
        <v>0.33859554848655338</v>
      </c>
      <c r="Z6" s="158">
        <f>股权价值增加表!Z31/股权价值增加表!Z4</f>
        <v>0.35360062249309526</v>
      </c>
      <c r="AA6" s="158">
        <f>股权价值增加表!AA31/股权价值增加表!AA4</f>
        <v>0.36735866541423295</v>
      </c>
      <c r="AB6" s="158">
        <f>股权价值增加表!AB31/股权价值增加表!AB4</f>
        <v>0.41260858579088472</v>
      </c>
      <c r="AC6" s="158">
        <f>股权价值增加表!AC31/股权价值增加表!AC4</f>
        <v>0.36322385065866608</v>
      </c>
      <c r="AD6" s="158">
        <f>股权价值增加表!AD31/股权价值增加表!AD4</f>
        <v>0.38672902681088489</v>
      </c>
      <c r="AE6" s="158">
        <f>股权价值增加表!AE31/股权价值增加表!AE4</f>
        <v>0.39646223519386337</v>
      </c>
      <c r="AF6" s="158">
        <f>股权价值增加表!AF31/股权价值增加表!AF4</f>
        <v>0.42804465437779093</v>
      </c>
      <c r="AG6" s="158">
        <f>股权价值增加表!AG31/股权价值增加表!AG4</f>
        <v>0.3509114398339539</v>
      </c>
      <c r="AH6" s="158">
        <f>股权价值增加表!AH31/股权价值增加表!AH4</f>
        <v>0.37410398013254081</v>
      </c>
      <c r="AI6" s="158">
        <f>股权价值增加表!AI31/股权价值增加表!AI4</f>
        <v>0.46368051717180503</v>
      </c>
      <c r="AJ6" s="158">
        <f>股权价值增加表!AJ31/股权价值增加表!AJ4</f>
        <v>0.48958217388742037</v>
      </c>
      <c r="AK6" s="158">
        <f>股权价值增加表!AK31/股权价值增加表!AK4</f>
        <v>0.40151462206590405</v>
      </c>
      <c r="AL6" s="158">
        <f>股权价值增加表!AL31/股权价值增加表!AL4</f>
        <v>0.41194968929421394</v>
      </c>
      <c r="AM6" s="158">
        <f>股权价值增加表!AM31/股权价值增加表!AM4</f>
        <v>0.40795688526574081</v>
      </c>
      <c r="AN6" s="158">
        <f>股权价值增加表!AN31/股权价值增加表!AN4</f>
        <v>0.43838621090125385</v>
      </c>
      <c r="AO6" s="158">
        <f>股权价值增加表!AO31/股权价值增加表!AO4</f>
        <v>0.40535304240747294</v>
      </c>
      <c r="AP6" s="158">
        <f>股权价值增加表!AP31/股权价值增加表!AP4</f>
        <v>0.44256580709966314</v>
      </c>
      <c r="AQ6" s="158">
        <f>股权价值增加表!AQ31/股权价值增加表!AQ4</f>
        <v>0.44542277843120232</v>
      </c>
      <c r="AR6" s="158">
        <f>股权价值增加表!AR31/股权价值增加表!AR4</f>
        <v>0.51717176041802981</v>
      </c>
      <c r="AS6" s="158">
        <f>股权价值增加表!AS31/股权价值增加表!AS4</f>
        <v>0.44251080967326961</v>
      </c>
      <c r="AT6" s="158">
        <f>股权价值增加表!AT31/股权价值增加表!AT4</f>
        <v>0.46030549941978666</v>
      </c>
      <c r="AU6" s="158">
        <f>股权价值增加表!AU31/股权价值增加表!AU4</f>
        <v>0.45395286530378087</v>
      </c>
      <c r="AV6" s="158">
        <f>股权价值增加表!AV31/股权价值增加表!AV4</f>
        <v>0.52231858047148849</v>
      </c>
      <c r="AW6" s="158">
        <f>股权价值增加表!AW31/股权价值增加表!AW4</f>
        <v>0.42033786835720982</v>
      </c>
      <c r="AX6" s="158">
        <f>股权价值增加表!AX31/股权价值增加表!AX4</f>
        <v>0.43171303318654641</v>
      </c>
      <c r="AY6" s="158">
        <f>股权价值增加表!AY31/股权价值增加表!AY4</f>
        <v>0.45711672530972641</v>
      </c>
      <c r="AZ6" s="158">
        <f>股权价值增加表!AZ31/股权价值增加表!AZ4</f>
        <v>0.38340527294553983</v>
      </c>
      <c r="BA6" s="158">
        <f>股权价值增加表!BA31/股权价值增加表!BA4</f>
        <v>0.44482642068435452</v>
      </c>
      <c r="BB6" s="158">
        <f>股权价值增加表!BB31/股权价值增加表!BB4</f>
        <v>0.44923306112123396</v>
      </c>
      <c r="BC6" s="158">
        <f>股权价值增加表!BC31/股权价值增加表!BC4</f>
        <v>0.47116736891165184</v>
      </c>
      <c r="BD6" s="158">
        <f>股权价值增加表!BD31/股权价值增加表!BD4</f>
        <v>0.51356103752654247</v>
      </c>
      <c r="BE6" s="158">
        <f>股权价值增加表!BE31/股权价值增加表!BE4</f>
        <v>0.44651774563551649</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0.51337851997666406</v>
      </c>
      <c r="F7" s="61">
        <f>股权价值增加表!F4/资产资本表!F70</f>
        <v>0.39117342729792998</v>
      </c>
      <c r="G7" s="61">
        <f>股权价值增加表!G4/资产资本表!G70</f>
        <v>0.26556475663866319</v>
      </c>
      <c r="H7" s="61">
        <f>股权价值增加表!H4/资产资本表!H70</f>
        <v>0.12142824189075002</v>
      </c>
      <c r="I7" s="61">
        <f>股权价值增加表!I4/资产资本表!I70</f>
        <v>0.45050426958768591</v>
      </c>
      <c r="J7" s="61">
        <f>股权价值增加表!J4/资产资本表!J70</f>
        <v>0.3273524173553003</v>
      </c>
      <c r="K7" s="61">
        <f>股权价值增加表!K4/资产资本表!K70</f>
        <v>0.21230595231461194</v>
      </c>
      <c r="L7" s="61">
        <f>股权价值增加表!L4/资产资本表!L70</f>
        <v>0.11301536094185154</v>
      </c>
      <c r="M7" s="61">
        <f>股权价值增加表!M4/资产资本表!M70</f>
        <v>0.54577110290356456</v>
      </c>
      <c r="N7" s="61">
        <f>股权价值增加表!N4/资产资本表!N70</f>
        <v>0.42813517800206463</v>
      </c>
      <c r="O7" s="61">
        <f>股权价值增加表!O4/资产资本表!O70</f>
        <v>0.30474236550403083</v>
      </c>
      <c r="P7" s="61">
        <f>股权价值增加表!P4/资产资本表!P70</f>
        <v>0.14782886959778199</v>
      </c>
      <c r="Q7" s="61">
        <f>股权价值增加表!Q4/资产资本表!Q70</f>
        <v>0.59943333016606648</v>
      </c>
      <c r="R7" s="61">
        <f>股权价值增加表!R4/资产资本表!R70</f>
        <v>0.41706375202518026</v>
      </c>
      <c r="S7" s="61">
        <f>股权价值增加表!S4/资产资本表!S70</f>
        <v>0.28349616071754985</v>
      </c>
      <c r="T7" s="61">
        <f>股权价值增加表!T4/资产资本表!T70</f>
        <v>0.13513959481148813</v>
      </c>
      <c r="U7" s="61">
        <f>股权价值增加表!U4/资产资本表!U70</f>
        <v>0.55935497870859541</v>
      </c>
      <c r="V7" s="61">
        <f>股权价值增加表!V4/资产资本表!V70</f>
        <v>0.42481392643309052</v>
      </c>
      <c r="W7" s="61">
        <f>股权价值增加表!W4/资产资本表!W70</f>
        <v>0.27177202396982264</v>
      </c>
      <c r="X7" s="61">
        <f>股权价值增加表!X4/资产资本表!X70</f>
        <v>0.13051913264294579</v>
      </c>
      <c r="Y7" s="61">
        <f>股权价值增加表!Y4/资产资本表!Y70</f>
        <v>0.52132060622187071</v>
      </c>
      <c r="Z7" s="61">
        <f>股权价值增加表!Z4/资产资本表!Z70</f>
        <v>0.39349407129242903</v>
      </c>
      <c r="AA7" s="61">
        <f>股权价值增加表!AA4/资产资本表!AA70</f>
        <v>0.25265994601375513</v>
      </c>
      <c r="AB7" s="61">
        <f>股权价值增加表!AB4/资产资本表!AB70</f>
        <v>0.13129229344784096</v>
      </c>
      <c r="AC7" s="61">
        <f>股权价值增加表!AC4/资产资本表!AC70</f>
        <v>0.55150787789460554</v>
      </c>
      <c r="AD7" s="61">
        <f>股权价值增加表!AD4/资产资本表!AD70</f>
        <v>0.40876723550908167</v>
      </c>
      <c r="AE7" s="61">
        <f>股权价值增加表!AE4/资产资本表!AE70</f>
        <v>0.25158713441960229</v>
      </c>
      <c r="AF7" s="61">
        <f>股权价值增加表!AF4/资产资本表!AF70</f>
        <v>0.1297136943812964</v>
      </c>
      <c r="AG7" s="61">
        <f>股权价值增加表!AG4/资产资本表!AG70</f>
        <v>0.5033837679600679</v>
      </c>
      <c r="AH7" s="61">
        <f>股权价值增加表!AH4/资产资本表!AH70</f>
        <v>0.47486728786191573</v>
      </c>
      <c r="AI7" s="61">
        <f>股权价值增加表!AI4/资产资本表!AI70</f>
        <v>0.23277823108845064</v>
      </c>
      <c r="AJ7" s="61">
        <f>股权价值增加表!AJ4/资产资本表!AJ70</f>
        <v>0.11183586587521822</v>
      </c>
      <c r="AK7" s="61">
        <f>股权价值增加表!AK4/资产资本表!AK70</f>
        <v>0.3883758051581615</v>
      </c>
      <c r="AL7" s="61">
        <f>股权价值增加表!AL4/资产资本表!AL70</f>
        <v>0.36490350924808235</v>
      </c>
      <c r="AM7" s="61">
        <f>股权价值增加表!AM4/资产资本表!AM70</f>
        <v>0.23547196135113577</v>
      </c>
      <c r="AN7" s="61">
        <f>股权价值增加表!AN4/资产资本表!AN70</f>
        <v>0.11630904414873043</v>
      </c>
      <c r="AO7" s="61">
        <f>股权价值增加表!AO4/资产资本表!AO70</f>
        <v>0.56039297997370929</v>
      </c>
      <c r="AP7" s="61">
        <f>股权价值增加表!AP4/资产资本表!AP70</f>
        <v>0.45151334257991371</v>
      </c>
      <c r="AQ7" s="61">
        <f>股权价值增加表!AQ4/资产资本表!AQ70</f>
        <v>0.28134446685838321</v>
      </c>
      <c r="AR7" s="61">
        <f>股权价值增加表!AR4/资产资本表!AR70</f>
        <v>0.1389834634301069</v>
      </c>
      <c r="AS7" s="61">
        <f>股权价值增加表!AS4/资产资本表!AS70</f>
        <v>0.55574907068748725</v>
      </c>
      <c r="AT7" s="61">
        <f>股权价值增加表!AT4/资产资本表!AT70</f>
        <v>0.42187238635214008</v>
      </c>
      <c r="AU7" s="61">
        <f>股权价值增加表!AU4/资产资本表!AU70</f>
        <v>0.28056189713816609</v>
      </c>
      <c r="AV7" s="61">
        <f>股权价值增加表!AV4/资产资本表!AV70</f>
        <v>0.12192224930500975</v>
      </c>
      <c r="AW7" s="61">
        <f>股权价值增加表!AW4/资产资本表!AW70</f>
        <v>0.45779721943933072</v>
      </c>
      <c r="AX7" s="61">
        <f>股权价值增加表!AX4/资产资本表!AX70</f>
        <v>0.34446735151729008</v>
      </c>
      <c r="AY7" s="61">
        <f>股权价值增加表!AY4/资产资本表!AY70</f>
        <v>0.30850347194090527</v>
      </c>
      <c r="AZ7" s="61">
        <f>股权价值增加表!AZ4/资产资本表!AZ70</f>
        <v>0.14662183768862189</v>
      </c>
      <c r="BA7" s="61">
        <f>股权价值增加表!BA4/资产资本表!BA70</f>
        <v>0.83753572433152423</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0.16071249664917073</v>
      </c>
      <c r="F8" s="63">
        <f>股权价值增加表!F31/资产资本表!F70</f>
        <v>0.13727872898483112</v>
      </c>
      <c r="G8" s="63">
        <f>股权价值增加表!G31/资产资本表!G70</f>
        <v>9.6205397015868013E-2</v>
      </c>
      <c r="H8" s="63">
        <f>股权价值增加表!H31/资产资本表!H70</f>
        <v>4.0534530378594322E-2</v>
      </c>
      <c r="I8" s="63">
        <f>股权价值增加表!I31/资产资本表!I70</f>
        <v>9.2881920136532958E-2</v>
      </c>
      <c r="J8" s="63">
        <f>股权价值增加表!J31/资产资本表!J70</f>
        <v>6.8157853113169978E-2</v>
      </c>
      <c r="K8" s="63">
        <f>股权价值增加表!K31/资产资本表!K70</f>
        <v>4.7238625747887134E-2</v>
      </c>
      <c r="L8" s="63">
        <f>股权价值增加表!L31/资产资本表!L70</f>
        <v>2.7254966373709798E-2</v>
      </c>
      <c r="M8" s="63">
        <f>股权价值增加表!M31/资产资本表!M70</f>
        <v>0.17267985129945859</v>
      </c>
      <c r="N8" s="63">
        <f>股权价值增加表!N31/资产资本表!N70</f>
        <v>0.15581261115558026</v>
      </c>
      <c r="O8" s="63">
        <f>股权价值增加表!O31/资产资本表!O70</f>
        <v>0.10732326967782428</v>
      </c>
      <c r="P8" s="63">
        <f>股权价值增加表!P31/资产资本表!P70</f>
        <v>5.2180970256996168E-2</v>
      </c>
      <c r="Q8" s="63">
        <f>股权价值增加表!Q31/资产资本表!Q70</f>
        <v>0.20234748880785139</v>
      </c>
      <c r="R8" s="63">
        <f>股权价值增加表!R31/资产资本表!R70</f>
        <v>0.14824856217117768</v>
      </c>
      <c r="S8" s="63">
        <f>股权价值增加表!S31/资产资本表!S70</f>
        <v>0.10166395783138057</v>
      </c>
      <c r="T8" s="63">
        <f>股权价值增加表!T31/资产资本表!T70</f>
        <v>4.8562012925636167E-2</v>
      </c>
      <c r="U8" s="63">
        <f>股权价值增加表!U31/资产资本表!U70</f>
        <v>0.1833651648472219</v>
      </c>
      <c r="V8" s="63">
        <f>股权价值增加表!V31/资产资本表!V70</f>
        <v>0.14342180223777634</v>
      </c>
      <c r="W8" s="63">
        <f>股权价值增加表!W31/资产资本表!W70</f>
        <v>9.5728456836492296E-2</v>
      </c>
      <c r="X8" s="63">
        <f>股权价值增加表!X31/资产资本表!X70</f>
        <v>4.9728915571800862E-2</v>
      </c>
      <c r="Y8" s="63">
        <f>股权价值增加表!Y31/资产资本表!Y70</f>
        <v>0.17651683660103679</v>
      </c>
      <c r="Z8" s="63">
        <f>股权价值增加表!Z31/资产资本表!Z70</f>
        <v>0.13913974855634531</v>
      </c>
      <c r="AA8" s="63">
        <f>股权价值增加表!AA31/资产资本表!AA70</f>
        <v>9.2816820571245226E-2</v>
      </c>
      <c r="AB8" s="63">
        <f>股权价值增加表!AB31/资产资本表!AB70</f>
        <v>5.4172327524755502E-2</v>
      </c>
      <c r="AC8" s="63">
        <f>股权价值增加表!AC31/资产资本表!AC70</f>
        <v>0.20032081507746805</v>
      </c>
      <c r="AD8" s="63">
        <f>股权价值增加表!AD31/资产资本表!AD70</f>
        <v>0.15808215518060292</v>
      </c>
      <c r="AE8" s="63">
        <f>股权价值增加表!AE31/资产资本表!AE70</f>
        <v>9.9744797658014472E-2</v>
      </c>
      <c r="AF8" s="63">
        <f>股权价值增加表!AF31/资产资本表!AF70</f>
        <v>5.5523253479508421E-2</v>
      </c>
      <c r="AG8" s="63">
        <f>股权价值增加表!AG31/资产资本表!AG70</f>
        <v>0.17664312280390837</v>
      </c>
      <c r="AH8" s="63">
        <f>股权价值增加表!AH31/资产资本表!AH70</f>
        <v>0.17764974242388765</v>
      </c>
      <c r="AI8" s="63">
        <f>股权价值增加表!AI31/资产资本表!AI70</f>
        <v>0.10793473057743075</v>
      </c>
      <c r="AJ8" s="63">
        <f>股权价值增加表!AJ31/资产资本表!AJ70</f>
        <v>5.475284633377131E-2</v>
      </c>
      <c r="AK8" s="63">
        <f>股权价值增加表!AK31/资产资本表!AK70</f>
        <v>0.1559385646276204</v>
      </c>
      <c r="AL8" s="63">
        <f>股权价值增加表!AL31/资产资本表!AL70</f>
        <v>0.15032188725711584</v>
      </c>
      <c r="AM8" s="63">
        <f>股权价值增加表!AM31/资产资本表!AM70</f>
        <v>9.6062407920224246E-2</v>
      </c>
      <c r="AN8" s="63">
        <f>股权价值增加表!AN31/资产资本表!AN70</f>
        <v>5.0988281157908578E-2</v>
      </c>
      <c r="AO8" s="63">
        <f>股权价值增加表!AO31/资产资本表!AO70</f>
        <v>0.22715699937613312</v>
      </c>
      <c r="AP8" s="63">
        <f>股权价值增加表!AP31/资产资本表!AP70</f>
        <v>0.19982436687514618</v>
      </c>
      <c r="AQ8" s="63">
        <f>股权价值增加表!AQ31/资产资本表!AQ70</f>
        <v>0.12531723412430637</v>
      </c>
      <c r="AR8" s="63">
        <f>股权价值增加表!AR31/资产资本表!AR70</f>
        <v>7.1878322451143256E-2</v>
      </c>
      <c r="AS8" s="63">
        <f>股权价值增加表!AS31/资产资本表!AS70</f>
        <v>0.24592497124508714</v>
      </c>
      <c r="AT8" s="63">
        <f>股权价值增加表!AT31/资产资本表!AT70</f>
        <v>0.19419017949123904</v>
      </c>
      <c r="AU8" s="63">
        <f>股权价值增加表!AU31/资产资本表!AU70</f>
        <v>0.12736187710093513</v>
      </c>
      <c r="AV8" s="63">
        <f>股权价值增加表!AV31/资产资本表!AV70</f>
        <v>6.3682256184883615E-2</v>
      </c>
      <c r="AW8" s="63">
        <f>股权价值增加表!AW31/资产资本表!AW70</f>
        <v>0.19242950735898609</v>
      </c>
      <c r="AX8" s="63">
        <f>股权价值增加表!AX31/资产资本表!AX70</f>
        <v>0.1487110451572656</v>
      </c>
      <c r="AY8" s="63">
        <f>股权价值增加表!AY31/资产资本表!AY70</f>
        <v>0.14102209684030767</v>
      </c>
      <c r="AZ8" s="63">
        <f>股权价值增加表!AZ31/资产资本表!AZ70</f>
        <v>5.6215585698782711E-2</v>
      </c>
      <c r="BA8" s="63">
        <f>股权价值增加表!BA31/资产资本表!BA70</f>
        <v>0.37255801844967018</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0.9465239084471011</v>
      </c>
      <c r="F9" s="158">
        <f>股权价值增加表!F38/股权价值增加表!F31</f>
        <v>0.97390864233163399</v>
      </c>
      <c r="G9" s="158">
        <f>股权价值增加表!G38/股权价值增加表!G31</f>
        <v>0.97415566251263008</v>
      </c>
      <c r="H9" s="158">
        <f>股权价值增加表!H38/股权价值增加表!H31</f>
        <v>0.95633625045057713</v>
      </c>
      <c r="I9" s="158">
        <f>股权价值增加表!I38/股权价值增加表!I31</f>
        <v>0.93887553451401795</v>
      </c>
      <c r="J9" s="158">
        <f>股权价值增加表!J38/股权价值增加表!J31</f>
        <v>0.94477915605366969</v>
      </c>
      <c r="K9" s="158">
        <f>股权价值增加表!K38/股权价值增加表!K31</f>
        <v>0.94815888292209927</v>
      </c>
      <c r="L9" s="158">
        <f>股权价值增加表!L38/股权价值增加表!L31</f>
        <v>0.96400454239861555</v>
      </c>
      <c r="M9" s="158">
        <f>股权价值增加表!M38/股权价值增加表!M31</f>
        <v>0.97396482865530798</v>
      </c>
      <c r="N9" s="158">
        <f>股权价值增加表!N38/股权价值增加表!N31</f>
        <v>0.99125759024288518</v>
      </c>
      <c r="O9" s="158">
        <f>股权价值增加表!O38/股权价值增加表!O31</f>
        <v>0.9887307454460903</v>
      </c>
      <c r="P9" s="158">
        <f>股权价值增加表!P38/股权价值增加表!P31</f>
        <v>0.98477800470886967</v>
      </c>
      <c r="Q9" s="158">
        <f>股权价值增加表!Q38/股权价值增加表!Q31</f>
        <v>0.96107501103169402</v>
      </c>
      <c r="R9" s="158">
        <f>股权价值增加表!R38/股权价值增加表!R31</f>
        <v>0.9761311703998663</v>
      </c>
      <c r="S9" s="158">
        <f>股权价值增加表!S38/股权价值增加表!S31</f>
        <v>0.97491829210503544</v>
      </c>
      <c r="T9" s="158">
        <f>股权价值增加表!T38/股权价值增加表!T31</f>
        <v>0.97497857756838546</v>
      </c>
      <c r="U9" s="158">
        <f>股权价值增加表!U38/股权价值增加表!U31</f>
        <v>0.94914433443112178</v>
      </c>
      <c r="V9" s="158">
        <f>股权价值增加表!V38/股权价值增加表!V31</f>
        <v>0.95889207368847496</v>
      </c>
      <c r="W9" s="158">
        <f>股权价值增加表!W38/股权价值增加表!W31</f>
        <v>0.95738629104057282</v>
      </c>
      <c r="X9" s="158">
        <f>股权价值增加表!X38/股权价值增加表!X31</f>
        <v>0.95695661430357482</v>
      </c>
      <c r="Y9" s="158">
        <f>股权价值增加表!Y38/股权价值增加表!Y31</f>
        <v>0.93873879164690932</v>
      </c>
      <c r="Z9" s="158">
        <f>股权价值增加表!Z38/股权价值增加表!Z31</f>
        <v>0.94755114584615074</v>
      </c>
      <c r="AA9" s="158">
        <f>股权价值增加表!AA38/股权价值增加表!AA31</f>
        <v>0.94829706637356803</v>
      </c>
      <c r="AB9" s="158">
        <f>股权价值增加表!AB38/股权价值增加表!AB31</f>
        <v>0.95720318668463489</v>
      </c>
      <c r="AC9" s="158">
        <f>股权价值增加表!AC38/股权价值增加表!AC31</f>
        <v>0.92703671166528001</v>
      </c>
      <c r="AD9" s="158">
        <f>股权价值增加表!AD38/股权价值增加表!AD31</f>
        <v>0.93177914621389624</v>
      </c>
      <c r="AE9" s="158">
        <f>股权价值增加表!AE38/股权价值增加表!AE31</f>
        <v>0.93723225655974352</v>
      </c>
      <c r="AF9" s="158">
        <f>股权价值增加表!AF38/股权价值增加表!AF31</f>
        <v>0.94191918967784716</v>
      </c>
      <c r="AG9" s="158">
        <f>股权价值增加表!AG38/股权价值增加表!AG31</f>
        <v>0.92255394565792725</v>
      </c>
      <c r="AH9" s="158">
        <f>股权价值增加表!AH38/股权价值增加表!AH31</f>
        <v>0.94720575545198771</v>
      </c>
      <c r="AI9" s="158">
        <f>股权价值增加表!AI38/股权价值增加表!AI31</f>
        <v>0.95290586668745192</v>
      </c>
      <c r="AJ9" s="158">
        <f>股权价值增加表!AJ38/股权价值增加表!AJ31</f>
        <v>0.95062860834614649</v>
      </c>
      <c r="AK9" s="158">
        <f>股权价值增加表!AK38/股权价值增加表!AK31</f>
        <v>0.93968475929655504</v>
      </c>
      <c r="AL9" s="158">
        <f>股权价值增加表!AL38/股权价值增加表!AL31</f>
        <v>0.91704182431007963</v>
      </c>
      <c r="AM9" s="158">
        <f>股权价值增加表!AM38/股权价值增加表!AM31</f>
        <v>0.91400913398404104</v>
      </c>
      <c r="AN9" s="158">
        <f>股权价值增加表!AN38/股权价值增加表!AN31</f>
        <v>0.91588638443049142</v>
      </c>
      <c r="AO9" s="158">
        <f>股权价值增加表!AO38/股权价值增加表!AO31</f>
        <v>0.97374437050545204</v>
      </c>
      <c r="AP9" s="158">
        <f>股权价值增加表!AP38/股权价值增加表!AP31</f>
        <v>0.94988167899046727</v>
      </c>
      <c r="AQ9" s="158">
        <f>股权价值增加表!AQ38/股权价值增加表!AQ31</f>
        <v>0.95976461592294782</v>
      </c>
      <c r="AR9" s="158">
        <f>股权价值增加表!AR38/股权价值增加表!AR31</f>
        <v>0.9784201296955829</v>
      </c>
      <c r="AS9" s="158">
        <f>股权价值增加表!AS38/股权价值增加表!AS31</f>
        <v>0.99643131802407525</v>
      </c>
      <c r="AT9" s="158">
        <f>股权价值增加表!AT38/股权价值增加表!AT31</f>
        <v>1.0079913774678233</v>
      </c>
      <c r="AU9" s="158">
        <f>股权价值增加表!AU38/股权价值增加表!AU31</f>
        <v>1.0095861281788336</v>
      </c>
      <c r="AV9" s="158">
        <f>股权价值增加表!AV38/股权价值增加表!AV31</f>
        <v>1.0081990037733835</v>
      </c>
      <c r="AW9" s="158">
        <f>股权价值增加表!AW38/股权价值增加表!AW31</f>
        <v>0.9596189507866103</v>
      </c>
      <c r="AX9" s="158">
        <f>股权价值增加表!AX38/股权价值增加表!AX31</f>
        <v>0.95161088862724563</v>
      </c>
      <c r="AY9" s="158">
        <f>股权价值增加表!AY38/股权价值增加表!AY31</f>
        <v>0.9397479568938012</v>
      </c>
      <c r="AZ9" s="158">
        <f>股权价值增加表!AZ38/股权价值增加表!AZ31</f>
        <v>0.91366543371462228</v>
      </c>
      <c r="BA9" s="158">
        <f>股权价值增加表!BA38/股权价值增加表!BA31</f>
        <v>0.92481283200760489</v>
      </c>
      <c r="BB9" s="158">
        <f>股权价值增加表!BB38/股权价值增加表!BB31</f>
        <v>0.93701932138978639</v>
      </c>
      <c r="BC9" s="158">
        <f>股权价值增加表!BC38/股权价值增加表!BC31</f>
        <v>0.94041350687589986</v>
      </c>
      <c r="BD9" s="158">
        <f>股权价值增加表!BD38/股权价值增加表!BD31</f>
        <v>1.0009324123538206</v>
      </c>
      <c r="BE9" s="158">
        <f>股权价值增加表!BE38/股权价值增加表!BE31</f>
        <v>1.0019536479734141</v>
      </c>
      <c r="BF9" s="158" t="e">
        <f>股权价值增加表!BF38/股权价值增加表!BF31</f>
        <v>#DIV/0!</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1.0739495947546862</v>
      </c>
      <c r="F10" s="61">
        <f>资产资本表!F70/资产资本表!F107</f>
        <v>1.0771420876998665</v>
      </c>
      <c r="G10" s="61">
        <f>资产资本表!G70/资产资本表!G107</f>
        <v>1.0797173866507555</v>
      </c>
      <c r="H10" s="61">
        <f>资产资本表!H70/资产资本表!H107</f>
        <v>1.0820960932022641</v>
      </c>
      <c r="I10" s="61">
        <f>资产资本表!I70/资产资本表!I107</f>
        <v>1.081693592415423</v>
      </c>
      <c r="J10" s="61">
        <f>资产资本表!J70/资产资本表!J107</f>
        <v>1.0803224179734119</v>
      </c>
      <c r="K10" s="61">
        <f>资产资本表!K70/资产资本表!K107</f>
        <v>1.1417658038453882</v>
      </c>
      <c r="L10" s="61">
        <f>资产资本表!L70/资产资本表!L107</f>
        <v>1.061231014767648</v>
      </c>
      <c r="M10" s="61">
        <f>资产资本表!M70/资产资本表!M107</f>
        <v>1.0622563929323752</v>
      </c>
      <c r="N10" s="61">
        <f>资产资本表!N70/资产资本表!N107</f>
        <v>1.0717426276764672</v>
      </c>
      <c r="O10" s="61">
        <f>资产资本表!O70/资产资本表!O107</f>
        <v>1.0743369849845881</v>
      </c>
      <c r="P10" s="61">
        <f>资产资本表!P70/资产资本表!P107</f>
        <v>1.0703597550080726</v>
      </c>
      <c r="Q10" s="61">
        <f>资产资本表!Q70/资产资本表!Q107</f>
        <v>1.0718889628672654</v>
      </c>
      <c r="R10" s="61">
        <f>资产资本表!R70/资产资本表!R107</f>
        <v>1.1989360600712053</v>
      </c>
      <c r="S10" s="61">
        <f>资产资本表!S70/资产资本表!S107</f>
        <v>1.1920760462579385</v>
      </c>
      <c r="T10" s="61">
        <f>资产资本表!T70/资产资本表!T107</f>
        <v>1.1837419121999155</v>
      </c>
      <c r="U10" s="61">
        <f>资产资本表!U70/资产资本表!U107</f>
        <v>1.1879297948729222</v>
      </c>
      <c r="V10" s="61">
        <f>资产资本表!V70/资产资本表!V107</f>
        <v>1.1964602066140997</v>
      </c>
      <c r="W10" s="61">
        <f>资产资本表!W70/资产资本表!W107</f>
        <v>1.2600125929787824</v>
      </c>
      <c r="X10" s="61">
        <f>资产资本表!X70/资产资本表!X107</f>
        <v>1.2448492377628066</v>
      </c>
      <c r="Y10" s="61">
        <f>资产资本表!Y70/资产资本表!Y107</f>
        <v>1.2532961701539009</v>
      </c>
      <c r="Z10" s="61">
        <f>资产资本表!Z70/资产资本表!Z107</f>
        <v>1.2907751574805313</v>
      </c>
      <c r="AA10" s="61">
        <f>资产资本表!AA70/资产资本表!AA107</f>
        <v>1.3958252545056533</v>
      </c>
      <c r="AB10" s="61">
        <f>资产资本表!AB70/资产资本表!AB107</f>
        <v>1.2863996726483231</v>
      </c>
      <c r="AC10" s="61">
        <f>资产资本表!AC70/资产资本表!AC107</f>
        <v>1.2987112597518107</v>
      </c>
      <c r="AD10" s="61">
        <f>资产资本表!AD70/资产资本表!AD107</f>
        <v>1.3488839125131</v>
      </c>
      <c r="AE10" s="61">
        <f>资产资本表!AE70/资产资本表!AE107</f>
        <v>1.5152127881702686</v>
      </c>
      <c r="AF10" s="61">
        <f>资产资本表!AF70/资产资本表!AF107</f>
        <v>1.4054395126374664</v>
      </c>
      <c r="AG10" s="61">
        <f>资产资本表!AG70/资产资本表!AG107</f>
        <v>1.4813672560653246</v>
      </c>
      <c r="AH10" s="61">
        <f>资产资本表!AH70/资产资本表!AH107</f>
        <v>1.7086317313663548</v>
      </c>
      <c r="AI10" s="61">
        <f>资产资本表!AI70/资产资本表!AI107</f>
        <v>1.3780285939763997</v>
      </c>
      <c r="AJ10" s="61">
        <f>资产资本表!AJ70/资产资本表!AJ107</f>
        <v>1.3010341703199917</v>
      </c>
      <c r="AK10" s="61">
        <f>资产资本表!AK70/资产资本表!AK107</f>
        <v>1.3859651663098966</v>
      </c>
      <c r="AL10" s="61">
        <f>资产资本表!AL70/资产资本表!AL107</f>
        <v>1.0854199334681434</v>
      </c>
      <c r="AM10" s="61">
        <f>资产资本表!AM70/资产资本表!AM107</f>
        <v>1.0991682495420385</v>
      </c>
      <c r="AN10" s="61">
        <f>资产资本表!AN70/资产资本表!AN107</f>
        <v>1</v>
      </c>
      <c r="AO10" s="61">
        <f>资产资本表!AO70/资产资本表!AO107</f>
        <v>1</v>
      </c>
      <c r="AP10" s="61">
        <f>资产资本表!AP70/资产资本表!AP107</f>
        <v>1.0000357062915501</v>
      </c>
      <c r="AQ10" s="61">
        <f>资产资本表!AQ70/资产资本表!AQ107</f>
        <v>1.1042373081158259</v>
      </c>
      <c r="AR10" s="61">
        <f>资产资本表!AR70/资产资本表!AR107</f>
        <v>1.0000353320705933</v>
      </c>
      <c r="AS10" s="61">
        <f>资产资本表!AS70/资产资本表!AS107</f>
        <v>1.0000372995179296</v>
      </c>
      <c r="AT10" s="61">
        <f>资产资本表!AT70/资产资本表!AT107</f>
        <v>1</v>
      </c>
      <c r="AU10" s="61">
        <f>资产资本表!AU70/资产资本表!AU107</f>
        <v>1</v>
      </c>
      <c r="AV10" s="61">
        <f>资产资本表!AV70/资产资本表!AV107</f>
        <v>1.000014611168057</v>
      </c>
      <c r="AW10" s="61">
        <f>资产资本表!AW70/资产资本表!AW107</f>
        <v>1.0002315869151761</v>
      </c>
      <c r="AX10" s="61">
        <f>资产资本表!AX70/资产资本表!AX107</f>
        <v>1.0001425995347495</v>
      </c>
      <c r="AY10" s="61">
        <f>资产资本表!AY70/资产资本表!AY107</f>
        <v>1.3652752593343231</v>
      </c>
      <c r="AZ10" s="61">
        <f>资产资本表!AZ70/资产资本表!AZ107</f>
        <v>1.3168398807729584</v>
      </c>
      <c r="BA10" s="61">
        <f>资产资本表!BA70/资产资本表!BA107</f>
        <v>1.0001150988090219</v>
      </c>
      <c r="BB10" s="61" t="e">
        <f>资产资本表!BB70/资产资本表!BB107</f>
        <v>#DIV/0!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1.0165189679023861</v>
      </c>
      <c r="F11" s="28">
        <f t="shared" ref="F11:BQ11" si="2">F9*F10</f>
        <v>1.0490379882300389</v>
      </c>
      <c r="G11" s="28">
        <f t="shared" si="2"/>
        <v>1.0518128061191723</v>
      </c>
      <c r="H11" s="28">
        <f t="shared" si="2"/>
        <v>1.0348477204002715</v>
      </c>
      <c r="I11" s="28">
        <f t="shared" si="2"/>
        <v>1.0155756497594186</v>
      </c>
      <c r="J11" s="28">
        <f t="shared" si="2"/>
        <v>1.02066610231878</v>
      </c>
      <c r="K11" s="28">
        <f t="shared" si="2"/>
        <v>1.0825753891326959</v>
      </c>
      <c r="L11" s="28">
        <f t="shared" si="2"/>
        <v>1.023031518770305</v>
      </c>
      <c r="M11" s="28">
        <f t="shared" si="2"/>
        <v>1.0346003657303864</v>
      </c>
      <c r="N11" s="28">
        <f t="shared" si="2"/>
        <v>1.0623730144711525</v>
      </c>
      <c r="O11" s="28">
        <f t="shared" si="2"/>
        <v>1.0622300080241169</v>
      </c>
      <c r="P11" s="28">
        <f t="shared" si="2"/>
        <v>1.0540667438575242</v>
      </c>
      <c r="Q11" s="28">
        <f t="shared" si="2"/>
        <v>1.0301656968124082</v>
      </c>
      <c r="R11" s="28">
        <f t="shared" si="2"/>
        <v>1.1703188595519101</v>
      </c>
      <c r="S11" s="28">
        <f t="shared" si="2"/>
        <v>1.1621767430771126</v>
      </c>
      <c r="T11" s="28">
        <f t="shared" si="2"/>
        <v>1.1541230057647542</v>
      </c>
      <c r="U11" s="28">
        <f t="shared" si="2"/>
        <v>1.1275168345055588</v>
      </c>
      <c r="V11" s="28">
        <f t="shared" si="2"/>
        <v>1.1472762086059352</v>
      </c>
      <c r="W11" s="28">
        <f t="shared" si="2"/>
        <v>1.2063187830563715</v>
      </c>
      <c r="X11" s="28">
        <f t="shared" si="2"/>
        <v>1.1912667118878812</v>
      </c>
      <c r="Y11" s="28">
        <f t="shared" si="2"/>
        <v>1.1765177323459721</v>
      </c>
      <c r="Z11" s="28">
        <f t="shared" si="2"/>
        <v>1.2230754795004231</v>
      </c>
      <c r="AA11" s="28">
        <f t="shared" si="2"/>
        <v>1.32365699401785</v>
      </c>
      <c r="AB11" s="28">
        <f t="shared" si="2"/>
        <v>1.2313458660090459</v>
      </c>
      <c r="AC11" s="28">
        <f t="shared" si="2"/>
        <v>1.2039530156429918</v>
      </c>
      <c r="AD11" s="28">
        <f t="shared" si="2"/>
        <v>1.2568619003431163</v>
      </c>
      <c r="AE11" s="28">
        <f t="shared" si="2"/>
        <v>1.4201063006250014</v>
      </c>
      <c r="AF11" s="28">
        <f t="shared" si="2"/>
        <v>1.3238104468847107</v>
      </c>
      <c r="AG11" s="28">
        <f t="shared" si="2"/>
        <v>1.3666412070515224</v>
      </c>
      <c r="AH11" s="28">
        <f t="shared" si="2"/>
        <v>1.6184258098981059</v>
      </c>
      <c r="AI11" s="28">
        <f t="shared" si="2"/>
        <v>1.313131531663172</v>
      </c>
      <c r="AJ11" s="28">
        <f t="shared" si="2"/>
        <v>1.2368003027420771</v>
      </c>
      <c r="AK11" s="28">
        <f t="shared" si="2"/>
        <v>1.3023703436973251</v>
      </c>
      <c r="AL11" s="28">
        <f t="shared" si="2"/>
        <v>0.99537547593015141</v>
      </c>
      <c r="AM11" s="28">
        <f t="shared" si="2"/>
        <v>1.0046498198666729</v>
      </c>
      <c r="AN11" s="28">
        <f t="shared" si="2"/>
        <v>0.91588638443049142</v>
      </c>
      <c r="AO11" s="28">
        <f t="shared" si="2"/>
        <v>0.97374437050545204</v>
      </c>
      <c r="AP11" s="28">
        <f t="shared" si="2"/>
        <v>0.9499155957426354</v>
      </c>
      <c r="AQ11" s="28">
        <f t="shared" si="2"/>
        <v>1.0598078959115753</v>
      </c>
      <c r="AR11" s="28">
        <f t="shared" si="2"/>
        <v>0.97845469930467521</v>
      </c>
      <c r="AS11" s="28">
        <f t="shared" si="2"/>
        <v>0.99646848443188751</v>
      </c>
      <c r="AT11" s="28">
        <f t="shared" si="2"/>
        <v>1.0079913774678233</v>
      </c>
      <c r="AU11" s="28">
        <f t="shared" si="2"/>
        <v>1.0095861281788336</v>
      </c>
      <c r="AV11" s="28">
        <f t="shared" si="2"/>
        <v>1.0082137347384625</v>
      </c>
      <c r="AW11" s="28">
        <f t="shared" si="2"/>
        <v>0.95984118597916745</v>
      </c>
      <c r="AX11" s="28">
        <f t="shared" si="2"/>
        <v>0.95174658789722644</v>
      </c>
      <c r="AY11" s="28">
        <f t="shared" si="2"/>
        <v>1.2830146355570848</v>
      </c>
      <c r="AZ11" s="28">
        <f t="shared" si="2"/>
        <v>1.2031510807991366</v>
      </c>
      <c r="BA11" s="28">
        <f t="shared" si="2"/>
        <v>0.92491927686313713</v>
      </c>
      <c r="BB11" s="28" t="e">
        <f t="shared" si="2"/>
        <v>#DIV/0!</v>
      </c>
      <c r="BC11" s="28">
        <f t="shared" si="2"/>
        <v>0</v>
      </c>
      <c r="BD11" s="28">
        <f t="shared" si="2"/>
        <v>0</v>
      </c>
      <c r="BE11" s="28">
        <f t="shared" si="2"/>
        <v>0</v>
      </c>
      <c r="BF11" s="28" t="e">
        <f t="shared" si="2"/>
        <v>#DIV/0!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0.77559782856031223</v>
      </c>
      <c r="F12" s="158">
        <f>F2/股权价值增加表!F38</f>
        <v>0.78022651471356963</v>
      </c>
      <c r="G12" s="158">
        <f>G2/股权价值增加表!G38</f>
        <v>0.78204167576681216</v>
      </c>
      <c r="H12" s="158">
        <f>H2/股权价值增加表!H38</f>
        <v>0.78380034853742486</v>
      </c>
      <c r="I12" s="158">
        <f>I2/股权价值增加表!I38</f>
        <v>0.80199504580153425</v>
      </c>
      <c r="J12" s="158">
        <f>J2/股权价值增加表!J38</f>
        <v>0.81629744613614263</v>
      </c>
      <c r="K12" s="158">
        <f>K2/股权价值增加表!K38</f>
        <v>0.81308602719656708</v>
      </c>
      <c r="L12" s="158">
        <f>L2/股权价值增加表!L38</f>
        <v>0.79165921724017418</v>
      </c>
      <c r="M12" s="158">
        <f>M2/股权价值增加表!M38</f>
        <v>0.77140159006280073</v>
      </c>
      <c r="N12" s="158">
        <f>N2/股权价值增加表!N38</f>
        <v>0.76792288697824429</v>
      </c>
      <c r="O12" s="158">
        <f>O2/股权价值增加表!O38</f>
        <v>0.76503212892829875</v>
      </c>
      <c r="P12" s="158">
        <f>P2/股权价值增加表!P38</f>
        <v>0.770459564733874</v>
      </c>
      <c r="Q12" s="158">
        <f>Q2/股权价值增加表!Q38</f>
        <v>0.77839021793105079</v>
      </c>
      <c r="R12" s="158">
        <f>R2/股权价值增加表!R38</f>
        <v>0.7743603695950817</v>
      </c>
      <c r="S12" s="158">
        <f>S2/股权价值增加表!S38</f>
        <v>0.77932734855002705</v>
      </c>
      <c r="T12" s="158">
        <f>T2/股权价值增加表!T38</f>
        <v>0.77898942315105468</v>
      </c>
      <c r="U12" s="158">
        <f>U2/股权价值增加表!U38</f>
        <v>0.78868399501183895</v>
      </c>
      <c r="V12" s="158">
        <f>V2/股权价值增加表!V38</f>
        <v>0.78894037463108146</v>
      </c>
      <c r="W12" s="158">
        <f>W2/股权价值增加表!W38</f>
        <v>0.79003588454106244</v>
      </c>
      <c r="X12" s="158">
        <f>X2/股权价值增加表!X38</f>
        <v>0.78044000074235598</v>
      </c>
      <c r="Y12" s="158">
        <f>Y2/股权价值增加表!Y38</f>
        <v>0.78108290845824224</v>
      </c>
      <c r="Z12" s="158">
        <f>Z2/股权价值增加表!Z38</f>
        <v>0.78034208270830796</v>
      </c>
      <c r="AA12" s="158">
        <f>AA2/股权价值增加表!AA38</f>
        <v>0.78236123363796439</v>
      </c>
      <c r="AB12" s="158">
        <f>AB2/股权价值增加表!AB38</f>
        <v>0.77324129046265044</v>
      </c>
      <c r="AC12" s="158">
        <f>AC2/股权价值增加表!AC38</f>
        <v>0.76586267696945831</v>
      </c>
      <c r="AD12" s="158">
        <f>AD2/股权价值增加表!AD38</f>
        <v>0.76755995450218373</v>
      </c>
      <c r="AE12" s="158">
        <f>AE2/股权价值增加表!AE38</f>
        <v>0.76174965945159001</v>
      </c>
      <c r="AF12" s="158">
        <f>AF2/股权价值增加表!AF38</f>
        <v>0.77804398149935738</v>
      </c>
      <c r="AG12" s="158">
        <f>AG2/股权价值增加表!AG38</f>
        <v>0.75919705114335923</v>
      </c>
      <c r="AH12" s="158">
        <f>AH2/股权价值增加表!AH38</f>
        <v>0.75109622682188781</v>
      </c>
      <c r="AI12" s="158">
        <f>AI2/股权价值增加表!AI38</f>
        <v>0.74963800408285775</v>
      </c>
      <c r="AJ12" s="158">
        <f>AJ2/股权价值增加表!AJ38</f>
        <v>0.74985852536560904</v>
      </c>
      <c r="AK12" s="158">
        <f>AK2/股权价值增加表!AK38</f>
        <v>0.74833662180949179</v>
      </c>
      <c r="AL12" s="158">
        <f>AL2/股权价值增加表!AL38</f>
        <v>0.74880607589249271</v>
      </c>
      <c r="AM12" s="158">
        <f>AM2/股权价值增加表!AM38</f>
        <v>0.74827723416963621</v>
      </c>
      <c r="AN12" s="158">
        <f>AN2/股权价值增加表!AN38</f>
        <v>0.74965281358342317</v>
      </c>
      <c r="AO12" s="158">
        <f>AO2/股权价值增加表!AO38</f>
        <v>0.74878235636881552</v>
      </c>
      <c r="AP12" s="158">
        <f>AP2/股权价值增加表!AP38</f>
        <v>0.74811328759141338</v>
      </c>
      <c r="AQ12" s="158">
        <f>AQ2/股权价值增加表!AQ38</f>
        <v>0.74973400585939853</v>
      </c>
      <c r="AR12" s="158">
        <f>AR2/股权价值增加表!AR38</f>
        <v>0.74999996169369332</v>
      </c>
      <c r="AS12" s="158">
        <f>AS2/股权价值增加表!AS38</f>
        <v>0.66411140862999951</v>
      </c>
      <c r="AT12" s="158">
        <f>AT2/股权价值增加表!AT38</f>
        <v>0.66029381900008965</v>
      </c>
      <c r="AU12" s="158">
        <f>AU2/股权价值增加表!AU38</f>
        <v>0.6690043504603671</v>
      </c>
      <c r="AV12" s="158">
        <f>AV2/股权价值增加表!AV38</f>
        <v>0.66925523535468223</v>
      </c>
      <c r="AW12" s="158">
        <f>AW2/股权价值增加表!AW38</f>
        <v>0.66864273829633769</v>
      </c>
      <c r="AX12" s="158">
        <f>AX2/股权价值增加表!AX38</f>
        <v>0.67195686904875518</v>
      </c>
      <c r="AY12" s="158">
        <f>AY2/股权价值增加表!AY38</f>
        <v>0.67911660112420846</v>
      </c>
      <c r="AZ12" s="158">
        <f>AZ2/股权价值增加表!AZ38</f>
        <v>0.70492573044174989</v>
      </c>
      <c r="BA12" s="158">
        <f>BA2/股权价值增加表!BA38</f>
        <v>0.65910305239192746</v>
      </c>
      <c r="BB12" s="158">
        <f>BB2/股权价值增加表!BB38</f>
        <v>0.65426242678801583</v>
      </c>
      <c r="BC12" s="158">
        <f>BC2/股权价值增加表!BC38</f>
        <v>0.65825954270577292</v>
      </c>
      <c r="BD12" s="158">
        <f>BD2/股权价值增加表!BD38</f>
        <v>0.64454287343289018</v>
      </c>
      <c r="BE12" s="158">
        <f>BE2/股权价值增加表!BE38</f>
        <v>0.66381436285489315</v>
      </c>
      <c r="BF12" s="158" t="e">
        <f>BF2/股权价值增加表!BF38</f>
        <v>#DIV/0!</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0.22440217143968777</v>
      </c>
      <c r="F13" s="63">
        <f>1-F2/股权价值增加表!F38</f>
        <v>0.21977348528643037</v>
      </c>
      <c r="G13" s="63">
        <f>1-G2/股权价值增加表!G38</f>
        <v>0.21795832423318784</v>
      </c>
      <c r="H13" s="63">
        <f>1-H2/股权价值增加表!H38</f>
        <v>0.21619965146257514</v>
      </c>
      <c r="I13" s="63">
        <f>1-I2/股权价值增加表!I38</f>
        <v>0.19800495419846575</v>
      </c>
      <c r="J13" s="63">
        <f>1-J2/股权价值增加表!J38</f>
        <v>0.18370255386385737</v>
      </c>
      <c r="K13" s="63">
        <f>1-K2/股权价值增加表!K38</f>
        <v>0.18691397280343292</v>
      </c>
      <c r="L13" s="63">
        <f>1-L2/股权价值增加表!L38</f>
        <v>0.20834078275982582</v>
      </c>
      <c r="M13" s="63">
        <f>1-M2/股权价值增加表!M38</f>
        <v>0.22859840993719927</v>
      </c>
      <c r="N13" s="63">
        <f>1-N2/股权价值增加表!N38</f>
        <v>0.23207711302175571</v>
      </c>
      <c r="O13" s="63">
        <f>1-O2/股权价值增加表!O38</f>
        <v>0.23496787107170125</v>
      </c>
      <c r="P13" s="63">
        <f>1-P2/股权价值增加表!P38</f>
        <v>0.229540435266126</v>
      </c>
      <c r="Q13" s="63">
        <f>1-Q2/股权价值增加表!Q38</f>
        <v>0.22160978206894921</v>
      </c>
      <c r="R13" s="63">
        <f>1-R2/股权价值增加表!R38</f>
        <v>0.2256396304049183</v>
      </c>
      <c r="S13" s="63">
        <f>1-S2/股权价值增加表!S38</f>
        <v>0.22067265144997295</v>
      </c>
      <c r="T13" s="63">
        <f>1-T2/股权价值增加表!T38</f>
        <v>0.22101057684894532</v>
      </c>
      <c r="U13" s="63">
        <f>1-U2/股权价值增加表!U38</f>
        <v>0.21131600498816105</v>
      </c>
      <c r="V13" s="63">
        <f>1-V2/股权价值增加表!V38</f>
        <v>0.21105962536891854</v>
      </c>
      <c r="W13" s="63">
        <f>1-W2/股权价值增加表!W38</f>
        <v>0.20996411545893756</v>
      </c>
      <c r="X13" s="63">
        <f>1-X2/股权价值增加表!X38</f>
        <v>0.21955999925764402</v>
      </c>
      <c r="Y13" s="63">
        <f>1-Y2/股权价值增加表!Y38</f>
        <v>0.21891709154175776</v>
      </c>
      <c r="Z13" s="63">
        <f>1-Z2/股权价值增加表!Z38</f>
        <v>0.21965791729169204</v>
      </c>
      <c r="AA13" s="63">
        <f>1-AA2/股权价值增加表!AA38</f>
        <v>0.21763876636203561</v>
      </c>
      <c r="AB13" s="63">
        <f>1-AB2/股权价值增加表!AB38</f>
        <v>0.22675870953734956</v>
      </c>
      <c r="AC13" s="63">
        <f>1-AC2/股权价值增加表!AC38</f>
        <v>0.23413732303054169</v>
      </c>
      <c r="AD13" s="63">
        <f>1-AD2/股权价值增加表!AD38</f>
        <v>0.23244004549781627</v>
      </c>
      <c r="AE13" s="63">
        <f>1-AE2/股权价值增加表!AE38</f>
        <v>0.23825034054840999</v>
      </c>
      <c r="AF13" s="63">
        <f>1-AF2/股权价值增加表!AF38</f>
        <v>0.22195601850064262</v>
      </c>
      <c r="AG13" s="63">
        <f>1-AG2/股权价值增加表!AG38</f>
        <v>0.24080294885664077</v>
      </c>
      <c r="AH13" s="63">
        <f>1-AH2/股权价值增加表!AH38</f>
        <v>0.24890377317811219</v>
      </c>
      <c r="AI13" s="63">
        <f>1-AI2/股权价值增加表!AI38</f>
        <v>0.25036199591714225</v>
      </c>
      <c r="AJ13" s="63">
        <f>1-AJ2/股权价值增加表!AJ38</f>
        <v>0.25014147463439096</v>
      </c>
      <c r="AK13" s="63">
        <f>1-AK2/股权价值增加表!AK38</f>
        <v>0.25166337819050821</v>
      </c>
      <c r="AL13" s="63">
        <f>1-AL2/股权价值增加表!AL38</f>
        <v>0.25119392410750729</v>
      </c>
      <c r="AM13" s="63">
        <f>1-AM2/股权价值增加表!AM38</f>
        <v>0.25172276583036379</v>
      </c>
      <c r="AN13" s="63">
        <f>1-AN2/股权价值增加表!AN38</f>
        <v>0.25034718641657683</v>
      </c>
      <c r="AO13" s="63">
        <f>1-AO2/股权价值增加表!AO38</f>
        <v>0.25121764363118448</v>
      </c>
      <c r="AP13" s="63">
        <f>1-AP2/股权价值增加表!AP38</f>
        <v>0.25188671240858662</v>
      </c>
      <c r="AQ13" s="63">
        <f>1-AQ2/股权价值增加表!AQ38</f>
        <v>0.25026599414060147</v>
      </c>
      <c r="AR13" s="63">
        <f>1-AR2/股权价值增加表!AR38</f>
        <v>0.25000003830630668</v>
      </c>
      <c r="AS13" s="63">
        <f>1-AS2/股权价值增加表!AS38</f>
        <v>0.33588859137000049</v>
      </c>
      <c r="AT13" s="63">
        <f>1-AT2/股权价值增加表!AT38</f>
        <v>0.33970618099991035</v>
      </c>
      <c r="AU13" s="63">
        <f>1-AU2/股权价值增加表!AU38</f>
        <v>0.3309956495396329</v>
      </c>
      <c r="AV13" s="63">
        <f>1-AV2/股权价值增加表!AV38</f>
        <v>0.33074476464531777</v>
      </c>
      <c r="AW13" s="63">
        <f>1-AW2/股权价值增加表!AW38</f>
        <v>0.33135726170366231</v>
      </c>
      <c r="AX13" s="63">
        <f>1-AX2/股权价值增加表!AX38</f>
        <v>0.32804313095124482</v>
      </c>
      <c r="AY13" s="63">
        <f>1-AY2/股权价值增加表!AY38</f>
        <v>0.32088339887579154</v>
      </c>
      <c r="AZ13" s="63">
        <f>1-AZ2/股权价值增加表!AZ38</f>
        <v>0.29507426955825011</v>
      </c>
      <c r="BA13" s="63">
        <f>1-BA2/股权价值增加表!BA38</f>
        <v>0.34089694760807254</v>
      </c>
      <c r="BB13" s="63">
        <f>1-BB2/股权价值增加表!BB38</f>
        <v>0.34573757321198417</v>
      </c>
      <c r="BC13" s="63">
        <f>1-BC2/股权价值增加表!BC38</f>
        <v>0.34174045729422708</v>
      </c>
      <c r="BD13" s="63">
        <f>1-BD2/股权价值增加表!BD38</f>
        <v>0.35545712656710982</v>
      </c>
      <c r="BE13" s="63">
        <f>1-BE2/股权价值增加表!BE38</f>
        <v>0.33618563714510685</v>
      </c>
      <c r="BF13" s="63" t="e">
        <f>1-BF2/股权价值增加表!BF38</f>
        <v>#DIV/0!</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0.12670732408618593</v>
      </c>
      <c r="F14" s="59">
        <f t="shared" ref="F14:BQ14" si="4">F6*F7*F9*F10*F12</f>
        <v>0.11236088983138945</v>
      </c>
      <c r="G14" s="59">
        <f t="shared" si="4"/>
        <v>7.9134850818174743E-2</v>
      </c>
      <c r="H14" s="59">
        <f t="shared" si="4"/>
        <v>3.28781252329211E-2</v>
      </c>
      <c r="I14" s="59">
        <f t="shared" si="4"/>
        <v>7.5651083024949994E-2</v>
      </c>
      <c r="J14" s="59">
        <f t="shared" si="4"/>
        <v>5.6786883047961992E-2</v>
      </c>
      <c r="K14" s="59">
        <f t="shared" si="4"/>
        <v>4.1580710155304033E-2</v>
      </c>
      <c r="L14" s="59">
        <f t="shared" si="4"/>
        <v>2.2073588257589281E-2</v>
      </c>
      <c r="M14" s="59">
        <f t="shared" si="4"/>
        <v>0.13781447129201532</v>
      </c>
      <c r="N14" s="59">
        <f t="shared" si="4"/>
        <v>0.12711513049143974</v>
      </c>
      <c r="O14" s="59">
        <f t="shared" si="4"/>
        <v>8.7215190934460229E-2</v>
      </c>
      <c r="P14" s="59">
        <f t="shared" si="4"/>
        <v>4.2376990648874138E-2</v>
      </c>
      <c r="Q14" s="59">
        <f t="shared" si="4"/>
        <v>0.16225656321539944</v>
      </c>
      <c r="R14" s="59">
        <f t="shared" si="4"/>
        <v>0.13435004371063233</v>
      </c>
      <c r="S14" s="59">
        <f t="shared" si="4"/>
        <v>9.2078685403309574E-2</v>
      </c>
      <c r="T14" s="59">
        <f t="shared" si="4"/>
        <v>4.3659659000430881E-2</v>
      </c>
      <c r="U14" s="59">
        <f t="shared" si="4"/>
        <v>0.16305829458788459</v>
      </c>
      <c r="V14" s="59">
        <f t="shared" si="4"/>
        <v>0.1298157375438628</v>
      </c>
      <c r="W14" s="59">
        <f t="shared" si="4"/>
        <v>9.123258200053401E-2</v>
      </c>
      <c r="X14" s="59">
        <f t="shared" si="4"/>
        <v>4.6233579177138648E-2</v>
      </c>
      <c r="Y14" s="59">
        <f t="shared" si="4"/>
        <v>0.16221154010661173</v>
      </c>
      <c r="Z14" s="59">
        <f t="shared" si="4"/>
        <v>0.13279737854582424</v>
      </c>
      <c r="AA14" s="59">
        <f t="shared" si="4"/>
        <v>9.6119049872470913E-2</v>
      </c>
      <c r="AB14" s="59">
        <f t="shared" si="4"/>
        <v>5.1578960957232078E-2</v>
      </c>
      <c r="AC14" s="59">
        <f t="shared" si="4"/>
        <v>0.18470834751111484</v>
      </c>
      <c r="AD14" s="59">
        <f t="shared" si="4"/>
        <v>0.15250452084889071</v>
      </c>
      <c r="AE14" s="59">
        <f t="shared" si="4"/>
        <v>0.10790048000186196</v>
      </c>
      <c r="AF14" s="59">
        <f t="shared" si="4"/>
        <v>5.7187993354667413E-2</v>
      </c>
      <c r="AG14" s="59">
        <f t="shared" si="4"/>
        <v>0.18327606753686329</v>
      </c>
      <c r="AH14" s="59">
        <f t="shared" si="4"/>
        <v>0.21594987557902651</v>
      </c>
      <c r="AI14" s="59">
        <f t="shared" si="4"/>
        <v>0.10624806697646272</v>
      </c>
      <c r="AJ14" s="59">
        <f t="shared" si="4"/>
        <v>5.0779172264241536E-2</v>
      </c>
      <c r="AK14" s="59">
        <f t="shared" si="4"/>
        <v>0.15197950642646363</v>
      </c>
      <c r="AL14" s="59">
        <f t="shared" si="4"/>
        <v>0.11204139710523237</v>
      </c>
      <c r="AM14" s="59">
        <f t="shared" si="4"/>
        <v>7.2215548063014626E-2</v>
      </c>
      <c r="AN14" s="59">
        <f t="shared" si="4"/>
        <v>3.5008390936026E-2</v>
      </c>
      <c r="AO14" s="59">
        <f t="shared" si="4"/>
        <v>0.16562530295827416</v>
      </c>
      <c r="AP14" s="59">
        <f t="shared" si="4"/>
        <v>0.14200408314252233</v>
      </c>
      <c r="AQ14" s="59">
        <f t="shared" si="4"/>
        <v>9.9573818398591946E-2</v>
      </c>
      <c r="AR14" s="59">
        <f t="shared" si="4"/>
        <v>5.2747259091273008E-2</v>
      </c>
      <c r="AS14" s="59">
        <f t="shared" si="4"/>
        <v>0.16274480637176947</v>
      </c>
      <c r="AT14" s="59">
        <f t="shared" si="4"/>
        <v>0.1292472502271311</v>
      </c>
      <c r="AU14" s="59">
        <f t="shared" si="4"/>
        <v>8.6022442144474853E-2</v>
      </c>
      <c r="AV14" s="59">
        <f t="shared" si="4"/>
        <v>4.2969750124613272E-2</v>
      </c>
      <c r="AW14" s="59">
        <f t="shared" si="4"/>
        <v>0.12349949496140844</v>
      </c>
      <c r="AX14" s="59">
        <f t="shared" si="4"/>
        <v>9.510556988393451E-2</v>
      </c>
      <c r="AY14" s="59">
        <f t="shared" si="4"/>
        <v>0.12287488526980059</v>
      </c>
      <c r="AZ14" s="59">
        <f t="shared" si="4"/>
        <v>4.7678245813170518E-2</v>
      </c>
      <c r="BA14" s="59">
        <f t="shared" si="4"/>
        <v>0.22711774571735729</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38352</v>
      </c>
      <c r="BE18" s="1">
        <v>37986</v>
      </c>
      <c r="BF18" s="1">
        <v>25569</v>
      </c>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55636499436</v>
      </c>
      <c r="F19" s="76">
        <f>股权价值增加表!F4</f>
        <v>41740560803</v>
      </c>
      <c r="G19" s="76">
        <f>股权价值增加表!G4</f>
        <v>27356568247</v>
      </c>
      <c r="H19" s="76">
        <f>股权价值增加表!H4</f>
        <v>12451185731</v>
      </c>
      <c r="I19" s="76">
        <f>股权价值增加表!I4</f>
        <v>44624879986</v>
      </c>
      <c r="J19" s="76">
        <f>股权价值增加表!J4</f>
        <v>31590274924</v>
      </c>
      <c r="K19" s="76">
        <f>股权价值增加表!K4</f>
        <v>21225197228</v>
      </c>
      <c r="L19" s="76">
        <f>股权价值增加表!L4</f>
        <v>11112711644</v>
      </c>
      <c r="M19" s="76">
        <f>股权价值增加表!M4</f>
        <v>52531366878</v>
      </c>
      <c r="N19" s="76">
        <f>股权价值增加表!N4</f>
        <v>40405491363</v>
      </c>
      <c r="O19" s="76">
        <f>股权价值增加表!O4</f>
        <v>27568608083</v>
      </c>
      <c r="P19" s="76">
        <f>股权价值增加表!P4</f>
        <v>13879124264</v>
      </c>
      <c r="Q19" s="76">
        <f>股权价值增加表!Q4</f>
        <v>53970730405</v>
      </c>
      <c r="R19" s="76">
        <f>股权价值增加表!R4</f>
        <v>40584960018</v>
      </c>
      <c r="S19" s="76">
        <f>股权价值增加表!S4</f>
        <v>26381464422</v>
      </c>
      <c r="T19" s="76">
        <f>股权价值增加表!T4</f>
        <v>12924921593</v>
      </c>
      <c r="U19" s="76">
        <f>股权价值增加表!U4</f>
        <v>51342739663</v>
      </c>
      <c r="V19" s="76">
        <f>股权价值增加表!V4</f>
        <v>37696880493</v>
      </c>
      <c r="W19" s="76">
        <f>股权价值增加表!W4</f>
        <v>24322872530</v>
      </c>
      <c r="X19" s="76">
        <f>股权价值增加表!X4</f>
        <v>11983767548</v>
      </c>
      <c r="Y19" s="76">
        <f>股权价值增加表!Y4</f>
        <v>45962439573</v>
      </c>
      <c r="Z19" s="76">
        <f>股权价值增加表!Z4</f>
        <v>33478802188</v>
      </c>
      <c r="AA19" s="76">
        <f>股权价值增加表!AA4</f>
        <v>22255045433</v>
      </c>
      <c r="AB19" s="76">
        <f>股权价值增加表!AB4</f>
        <v>11190000000</v>
      </c>
      <c r="AC19" s="76">
        <f>股权价值增加表!AC4</f>
        <v>45007038465</v>
      </c>
      <c r="AD19" s="76">
        <f>股权价值增加表!AD4</f>
        <v>33270504198</v>
      </c>
      <c r="AE19" s="76">
        <f>股权价值增加表!AE4</f>
        <v>21852185048</v>
      </c>
      <c r="AF19" s="76">
        <f>股权价值增加表!AF4</f>
        <v>10894379545</v>
      </c>
      <c r="AG19" s="76">
        <f>股权价值增加表!AG4</f>
        <v>42013761549</v>
      </c>
      <c r="AH19" s="76">
        <f>股权价值增加表!AH4</f>
        <v>30987977369</v>
      </c>
      <c r="AI19" s="76">
        <f>股权价值增加表!AI4</f>
        <v>14020686374</v>
      </c>
      <c r="AJ19" s="76">
        <f>股权价值增加表!AJ4</f>
        <v>6584835335</v>
      </c>
      <c r="AK19" s="76">
        <f>股权价值增加表!AK4</f>
        <v>23123142326</v>
      </c>
      <c r="AL19" s="76">
        <f>股权价值增加表!AL4</f>
        <v>16248452158</v>
      </c>
      <c r="AM19" s="76">
        <f>股权价值增加表!AM4</f>
        <v>10162139870</v>
      </c>
      <c r="AN19" s="76">
        <f>股权价值增加表!AN4</f>
        <v>4859769970</v>
      </c>
      <c r="AO19" s="76">
        <f>股权价值增加表!AO4</f>
        <v>22595317577</v>
      </c>
      <c r="AP19" s="76">
        <f>股权价值增加表!AP4</f>
        <v>17703917791</v>
      </c>
      <c r="AQ19" s="76">
        <f>股权价值增加表!AQ4</f>
        <v>11607032225</v>
      </c>
      <c r="AR19" s="76">
        <f>股权价值增加表!AR4</f>
        <v>5507283336</v>
      </c>
      <c r="AS19" s="76">
        <f>股权价值增加表!AS4</f>
        <v>20860262089</v>
      </c>
      <c r="AT19" s="76">
        <f>股权价值增加表!AT4</f>
        <v>15225187083</v>
      </c>
      <c r="AU19" s="76">
        <f>股权价值增加表!AU4</f>
        <v>9646345314</v>
      </c>
      <c r="AV19" s="76">
        <f>股权价值增加表!AV4</f>
        <v>4499404773</v>
      </c>
      <c r="AW19" s="76">
        <f>股权价值增加表!AW4</f>
        <v>16144984825</v>
      </c>
      <c r="AX19" s="76">
        <f>股权价值增加表!AX4</f>
        <v>11763831167</v>
      </c>
      <c r="AY19" s="76">
        <f>股权价值增加表!AY4</f>
        <v>7762102659</v>
      </c>
      <c r="AZ19" s="76">
        <f>股权价值增加表!AZ4</f>
        <v>3520864128</v>
      </c>
      <c r="BA19" s="76">
        <f>股权价值增加表!BA4</f>
        <v>13104668212</v>
      </c>
      <c r="BB19" s="76">
        <f>股权价值增加表!BB4</f>
        <v>9638307308</v>
      </c>
      <c r="BC19" s="76">
        <f>股权价值增加表!BC4</f>
        <v>6487495242</v>
      </c>
      <c r="BD19" s="76">
        <f>股权价值增加表!BD4</f>
        <v>7201886346</v>
      </c>
      <c r="BE19" s="76">
        <f>股权价值增加表!BE4</f>
        <v>5138521408</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14282388024</v>
      </c>
      <c r="F20" s="76">
        <f>股权价值增加表!F15</f>
        <v>12397026362</v>
      </c>
      <c r="G20" s="76">
        <f>股权价值增加表!G15</f>
        <v>8351345182</v>
      </c>
      <c r="H20" s="76">
        <f>股权价值增加表!H15</f>
        <v>3466121551</v>
      </c>
      <c r="I20" s="76">
        <f>股权价值增加表!I15</f>
        <v>6609376981</v>
      </c>
      <c r="J20" s="76">
        <f>股权价值增加表!J15</f>
        <v>4530605308</v>
      </c>
      <c r="K20" s="76">
        <f>股权价值增加表!K15</f>
        <v>3360954209</v>
      </c>
      <c r="L20" s="76">
        <f>股权价值增加表!L15</f>
        <v>2210954096</v>
      </c>
      <c r="M20" s="76">
        <f>股权价值增加表!M15</f>
        <v>14461146581</v>
      </c>
      <c r="N20" s="76">
        <f>股权价值增加表!N15</f>
        <v>13225765623</v>
      </c>
      <c r="O20" s="76">
        <f>股权价值增加表!O15</f>
        <v>8736914769</v>
      </c>
      <c r="P20" s="76">
        <f>股权价值增加表!P15</f>
        <v>4495004816</v>
      </c>
      <c r="Q20" s="76">
        <f>股权价值增加表!Q15</f>
        <v>16000525221</v>
      </c>
      <c r="R20" s="76">
        <f>股权价值增加表!R15</f>
        <v>12886247667</v>
      </c>
      <c r="S20" s="76">
        <f>股权价值增加表!S15</f>
        <v>8280534725</v>
      </c>
      <c r="T20" s="76">
        <f>股权价值增加表!T15</f>
        <v>4144532273</v>
      </c>
      <c r="U20" s="76">
        <f>股权价值增加表!U15</f>
        <v>14036723528</v>
      </c>
      <c r="V20" s="76">
        <f>股权价值增加表!V15</f>
        <v>10735788472</v>
      </c>
      <c r="W20" s="76">
        <f>股权价值增加表!W15</f>
        <v>7196720821</v>
      </c>
      <c r="X20" s="76">
        <f>股权价值增加表!X15</f>
        <v>4045918824</v>
      </c>
      <c r="Y20" s="76">
        <f>股权价值增加表!Y15</f>
        <v>13493760009</v>
      </c>
      <c r="Z20" s="76">
        <f>股权价值增加表!Z15</f>
        <v>10398738557</v>
      </c>
      <c r="AA20" s="76">
        <f>股权价值增加表!AA15</f>
        <v>7125354911</v>
      </c>
      <c r="AB20" s="76">
        <f>股权价值增加表!AB15</f>
        <v>4164818695</v>
      </c>
      <c r="AC20" s="76">
        <f>股权价值增加表!AC15</f>
        <v>14548589106</v>
      </c>
      <c r="AD20" s="76">
        <f>股权价值增加表!AD15</f>
        <v>11482949879</v>
      </c>
      <c r="AE20" s="76">
        <f>股权价值增加表!AE15</f>
        <v>7741086240</v>
      </c>
      <c r="AF20" s="76">
        <f>股权价值增加表!AF15</f>
        <v>4169586939</v>
      </c>
      <c r="AG20" s="76">
        <f>股权价值增加表!AG15</f>
        <v>14176633492</v>
      </c>
      <c r="AH20" s="76">
        <f>股权价值增加表!AH15</f>
        <v>11469580864</v>
      </c>
      <c r="AI20" s="76">
        <f>股权价值增加表!AI15</f>
        <v>6501119109</v>
      </c>
      <c r="AJ20" s="76">
        <f>股权价值增加表!AJ15</f>
        <v>3223817998</v>
      </c>
      <c r="AK20" s="76">
        <f>股权价值增加表!AK15</f>
        <v>9166145541</v>
      </c>
      <c r="AL20" s="76">
        <f>股权价值增加表!AL15</f>
        <v>6692005818</v>
      </c>
      <c r="AM20" s="76">
        <f>股权价值增加表!AM15</f>
        <v>4145714929</v>
      </c>
      <c r="AN20" s="76">
        <f>股权价值增加表!AN15</f>
        <v>2130456143</v>
      </c>
      <c r="AO20" s="76">
        <f>股权价值增加表!AO15</f>
        <v>9071156531</v>
      </c>
      <c r="AP20" s="76">
        <f>股权价值增加表!AP15</f>
        <v>7835148666</v>
      </c>
      <c r="AQ20" s="76">
        <f>股权价值增加表!AQ15</f>
        <v>5170036543</v>
      </c>
      <c r="AR20" s="76">
        <f>股权价值增加表!AR15</f>
        <v>2848211418</v>
      </c>
      <c r="AS20" s="76">
        <f>股权价值增加表!AS15</f>
        <v>9149410553</v>
      </c>
      <c r="AT20" s="76">
        <f>股权价值增加表!AT15</f>
        <v>7008237344</v>
      </c>
      <c r="AU20" s="76">
        <f>股权价值增加表!AU15</f>
        <v>4378986095</v>
      </c>
      <c r="AV20" s="76">
        <f>股权价值增加表!AV15</f>
        <v>2350122714</v>
      </c>
      <c r="AW20" s="76">
        <f>股权价值增加表!AW15</f>
        <v>6734048587</v>
      </c>
      <c r="AX20" s="76">
        <f>股权价值增加表!AX15</f>
        <v>5078599235</v>
      </c>
      <c r="AY20" s="76">
        <f>股权价值增加表!AY15</f>
        <v>3548186949</v>
      </c>
      <c r="AZ20" s="76">
        <f>股权价值增加表!AZ15</f>
        <v>1349917872</v>
      </c>
      <c r="BA20" s="76">
        <f>股权价值增加表!BA15</f>
        <v>5829302655</v>
      </c>
      <c r="BB20" s="76">
        <f>股权价值增加表!BB15</f>
        <v>4329846296</v>
      </c>
      <c r="BC20" s="76">
        <f>股权价值增加表!BC15</f>
        <v>3056696064</v>
      </c>
      <c r="BD20" s="76">
        <f>股权价值增加表!BD15</f>
        <v>3698608224</v>
      </c>
      <c r="BE20" s="76">
        <f>股权价值增加表!BE15</f>
        <v>2294440995</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0.25670896208035832</v>
      </c>
      <c r="F21" s="244">
        <f t="shared" ref="F21:BQ21" si="6">F20/F19</f>
        <v>0.29700191189355063</v>
      </c>
      <c r="G21" s="244">
        <f t="shared" si="6"/>
        <v>0.30527751531538799</v>
      </c>
      <c r="H21" s="244">
        <f t="shared" si="6"/>
        <v>0.27837682497742511</v>
      </c>
      <c r="I21" s="244">
        <f t="shared" si="6"/>
        <v>0.14810968641424999</v>
      </c>
      <c r="J21" s="244">
        <f t="shared" si="6"/>
        <v>0.14341772329933017</v>
      </c>
      <c r="K21" s="244">
        <f t="shared" si="6"/>
        <v>0.15834737236581592</v>
      </c>
      <c r="L21" s="244">
        <f t="shared" si="6"/>
        <v>0.19895720925987881</v>
      </c>
      <c r="M21" s="244">
        <f t="shared" si="6"/>
        <v>0.27528593753489955</v>
      </c>
      <c r="N21" s="244">
        <f t="shared" si="6"/>
        <v>0.32732594449058128</v>
      </c>
      <c r="O21" s="244">
        <f t="shared" si="6"/>
        <v>0.3169153387322286</v>
      </c>
      <c r="P21" s="244">
        <f t="shared" si="6"/>
        <v>0.3238680431487489</v>
      </c>
      <c r="Q21" s="244">
        <f t="shared" si="6"/>
        <v>0.29646671632810934</v>
      </c>
      <c r="R21" s="244">
        <f t="shared" si="6"/>
        <v>0.31751288312923726</v>
      </c>
      <c r="S21" s="244">
        <f t="shared" si="6"/>
        <v>0.31387699304875227</v>
      </c>
      <c r="T21" s="244">
        <f t="shared" si="6"/>
        <v>0.32066208241020466</v>
      </c>
      <c r="U21" s="244">
        <f t="shared" si="6"/>
        <v>0.27339256962392922</v>
      </c>
      <c r="V21" s="244">
        <f t="shared" si="6"/>
        <v>0.28479249029620762</v>
      </c>
      <c r="W21" s="244">
        <f t="shared" si="6"/>
        <v>0.29588284903945922</v>
      </c>
      <c r="X21" s="244">
        <f t="shared" si="6"/>
        <v>0.33761659743435468</v>
      </c>
      <c r="Y21" s="244">
        <f t="shared" si="6"/>
        <v>0.29358232796952588</v>
      </c>
      <c r="Z21" s="244">
        <f t="shared" si="6"/>
        <v>0.31060664890595396</v>
      </c>
      <c r="AA21" s="244">
        <f t="shared" si="6"/>
        <v>0.32016806851512664</v>
      </c>
      <c r="AB21" s="244">
        <f t="shared" si="6"/>
        <v>0.3721911255585344</v>
      </c>
      <c r="AC21" s="244">
        <f t="shared" si="6"/>
        <v>0.32325142027093828</v>
      </c>
      <c r="AD21" s="244">
        <f t="shared" si="6"/>
        <v>0.3451390399935772</v>
      </c>
      <c r="AE21" s="244">
        <f t="shared" si="6"/>
        <v>0.35424769756416169</v>
      </c>
      <c r="AF21" s="244">
        <f t="shared" si="6"/>
        <v>0.38272826109804858</v>
      </c>
      <c r="AG21" s="244">
        <f t="shared" si="6"/>
        <v>0.33742833227312941</v>
      </c>
      <c r="AH21" s="244">
        <f t="shared" si="6"/>
        <v>0.3701300258297604</v>
      </c>
      <c r="AI21" s="244">
        <f t="shared" si="6"/>
        <v>0.46368051717180503</v>
      </c>
      <c r="AJ21" s="244">
        <f t="shared" si="6"/>
        <v>0.48958217388742037</v>
      </c>
      <c r="AK21" s="244">
        <f t="shared" si="6"/>
        <v>0.39640570523554886</v>
      </c>
      <c r="AL21" s="244">
        <f t="shared" si="6"/>
        <v>0.41185497257996728</v>
      </c>
      <c r="AM21" s="244">
        <f t="shared" si="6"/>
        <v>0.40795688526574081</v>
      </c>
      <c r="AN21" s="244">
        <f t="shared" si="6"/>
        <v>0.43838621090125385</v>
      </c>
      <c r="AO21" s="244">
        <f t="shared" si="6"/>
        <v>0.40146178517241204</v>
      </c>
      <c r="AP21" s="244">
        <f t="shared" si="6"/>
        <v>0.44256580709966314</v>
      </c>
      <c r="AQ21" s="244">
        <f t="shared" si="6"/>
        <v>0.44542277843120232</v>
      </c>
      <c r="AR21" s="244">
        <f t="shared" si="6"/>
        <v>0.51717176041802981</v>
      </c>
      <c r="AS21" s="244">
        <f t="shared" si="6"/>
        <v>0.43860477466506292</v>
      </c>
      <c r="AT21" s="244">
        <f t="shared" si="6"/>
        <v>0.46030549941978666</v>
      </c>
      <c r="AU21" s="244">
        <f t="shared" si="6"/>
        <v>0.45395286530378087</v>
      </c>
      <c r="AV21" s="244">
        <f t="shared" si="6"/>
        <v>0.52231858047148849</v>
      </c>
      <c r="AW21" s="244">
        <f t="shared" si="6"/>
        <v>0.41709847732854716</v>
      </c>
      <c r="AX21" s="244">
        <f t="shared" si="6"/>
        <v>0.43171303318654641</v>
      </c>
      <c r="AY21" s="244">
        <f t="shared" si="6"/>
        <v>0.45711672530972641</v>
      </c>
      <c r="AZ21" s="244">
        <f t="shared" si="6"/>
        <v>0.38340527294553983</v>
      </c>
      <c r="BA21" s="244">
        <f t="shared" si="6"/>
        <v>0.44482642068435452</v>
      </c>
      <c r="BB21" s="244">
        <f t="shared" si="6"/>
        <v>0.44923306112123396</v>
      </c>
      <c r="BC21" s="244">
        <f t="shared" si="6"/>
        <v>0.47116736891165184</v>
      </c>
      <c r="BD21" s="244">
        <f t="shared" si="6"/>
        <v>0.51356103752654247</v>
      </c>
      <c r="BE21" s="244">
        <f t="shared" si="6"/>
        <v>0.44651774563551649</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74728417182</v>
      </c>
      <c r="F22" s="193">
        <f>资产资本表!F69</f>
        <v>70102023069</v>
      </c>
      <c r="G22" s="193">
        <f>资产资本表!G69</f>
        <v>72890745357</v>
      </c>
      <c r="H22" s="193">
        <f>资产资本表!H69</f>
        <v>67609102279</v>
      </c>
      <c r="I22" s="193">
        <f>资产资本表!I69</f>
        <v>66757617415</v>
      </c>
      <c r="J22" s="193">
        <f>资产资本表!J69</f>
        <v>68171321662</v>
      </c>
      <c r="K22" s="193">
        <f>资产资本表!K69</f>
        <v>66290069845</v>
      </c>
      <c r="L22" s="193">
        <f>资产资本表!L69</f>
        <v>71630952261</v>
      </c>
      <c r="M22" s="193">
        <f>资产资本表!M69</f>
        <v>68002938270</v>
      </c>
      <c r="N22" s="193">
        <f>资产资本表!N69</f>
        <v>63589359074</v>
      </c>
      <c r="O22" s="193">
        <f>资产资本表!O69</f>
        <v>61446905938</v>
      </c>
      <c r="P22" s="193">
        <f>资产资本表!P69</f>
        <v>63351242015</v>
      </c>
      <c r="Q22" s="193">
        <f>资产资本表!Q69</f>
        <v>60990266032</v>
      </c>
      <c r="R22" s="193">
        <f>资产资本表!R69</f>
        <v>63505895513</v>
      </c>
      <c r="S22" s="193">
        <f>资产资本表!S69</f>
        <v>66928490285</v>
      </c>
      <c r="T22" s="193">
        <f>资产资本表!T69</f>
        <v>67472792376</v>
      </c>
      <c r="U22" s="193">
        <f>资产资本表!U69</f>
        <v>65072718846</v>
      </c>
      <c r="V22" s="193">
        <f>资产资本表!V69</f>
        <v>63192370642</v>
      </c>
      <c r="W22" s="193">
        <f>资产资本表!W69</f>
        <v>64815672999</v>
      </c>
      <c r="X22" s="193">
        <f>资产资本表!X69</f>
        <v>66392570481</v>
      </c>
      <c r="Y22" s="193">
        <f>资产资本表!Y69</f>
        <v>64145478965</v>
      </c>
      <c r="Z22" s="193">
        <f>资产资本表!Z69</f>
        <v>62907929066</v>
      </c>
      <c r="AA22" s="193">
        <f>资产资本表!AA69</f>
        <v>64390297957</v>
      </c>
      <c r="AB22" s="193">
        <f>资产资本表!AB69</f>
        <v>64319266570</v>
      </c>
      <c r="AC22" s="193">
        <f>资产资本表!AC69</f>
        <v>61543948403</v>
      </c>
      <c r="AD22" s="193">
        <f>资产资本表!AD69</f>
        <v>61491973559</v>
      </c>
      <c r="AE22" s="193">
        <f>资产资本表!AE69</f>
        <v>62557690271</v>
      </c>
      <c r="AF22" s="193">
        <f>资产资本表!AF69</f>
        <v>62563038219</v>
      </c>
      <c r="AG22" s="193">
        <f>资产资本表!AG69</f>
        <v>59734620092</v>
      </c>
      <c r="AH22" s="193">
        <f>资产资本表!AH69</f>
        <v>45146787486</v>
      </c>
      <c r="AI22" s="193">
        <f>资产资本表!AI69</f>
        <v>55948346583</v>
      </c>
      <c r="AJ22" s="193">
        <f>资产资本表!AJ69</f>
        <v>52753499521</v>
      </c>
      <c r="AK22" s="193">
        <f>资产资本表!AK69</f>
        <v>50455711519</v>
      </c>
      <c r="AL22" s="193">
        <f>资产资本表!AL69</f>
        <v>37973723631</v>
      </c>
      <c r="AM22" s="193">
        <f>资产资本表!AM69</f>
        <v>37005601523</v>
      </c>
      <c r="AN22" s="193">
        <f>资产资本表!AN69</f>
        <v>37144755844</v>
      </c>
      <c r="AO22" s="193">
        <f>资产资本表!AO69</f>
        <v>35577580152</v>
      </c>
      <c r="AP22" s="193">
        <f>资产资本表!AP69</f>
        <v>33088452935</v>
      </c>
      <c r="AQ22" s="193">
        <f>资产资本表!AQ69</f>
        <v>33235878881</v>
      </c>
      <c r="AR22" s="193">
        <f>资产资本表!AR69</f>
        <v>31736439343</v>
      </c>
      <c r="AS22" s="193">
        <f>资产资本表!AS69</f>
        <v>29745845744</v>
      </c>
      <c r="AT22" s="193">
        <f>资产资本表!AT69</f>
        <v>28623417974</v>
      </c>
      <c r="AU22" s="193">
        <f>资产资本表!AU69</f>
        <v>29882859641</v>
      </c>
      <c r="AV22" s="193">
        <f>资产资本表!AV69</f>
        <v>30301257360</v>
      </c>
      <c r="AW22" s="193">
        <f>资产资本表!AW69</f>
        <v>28829161863</v>
      </c>
      <c r="AX22" s="193">
        <f>资产资本表!AX69</f>
        <v>28527265117</v>
      </c>
      <c r="AY22" s="193">
        <f>资产资本表!AY69</f>
        <v>20241795861</v>
      </c>
      <c r="AZ22" s="193">
        <f>资产资本表!AZ69</f>
        <v>18239694940</v>
      </c>
      <c r="BA22" s="193">
        <f>资产资本表!BA69</f>
        <v>14861497332</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0.74451596238815143</v>
      </c>
      <c r="F23" s="246">
        <f t="shared" ref="F23:BQ23" si="8">F19/F22</f>
        <v>0.5954259089201408</v>
      </c>
      <c r="G23" s="246">
        <f t="shared" si="8"/>
        <v>0.3753092126169737</v>
      </c>
      <c r="H23" s="246">
        <f t="shared" si="8"/>
        <v>0.18416434047028385</v>
      </c>
      <c r="I23" s="246">
        <f t="shared" si="8"/>
        <v>0.6684612440343487</v>
      </c>
      <c r="J23" s="246">
        <f t="shared" si="8"/>
        <v>0.46339537145293491</v>
      </c>
      <c r="K23" s="246">
        <f t="shared" si="8"/>
        <v>0.32018667769741282</v>
      </c>
      <c r="L23" s="246">
        <f t="shared" si="8"/>
        <v>0.15513840446388144</v>
      </c>
      <c r="M23" s="246">
        <f t="shared" si="8"/>
        <v>0.77248672210939751</v>
      </c>
      <c r="N23" s="246">
        <f t="shared" si="8"/>
        <v>0.63541277898365756</v>
      </c>
      <c r="O23" s="246">
        <f t="shared" si="8"/>
        <v>0.44865738416213757</v>
      </c>
      <c r="P23" s="246">
        <f t="shared" si="8"/>
        <v>0.21908211776990524</v>
      </c>
      <c r="Q23" s="246">
        <f t="shared" si="8"/>
        <v>0.88490727974006489</v>
      </c>
      <c r="R23" s="246">
        <f t="shared" si="8"/>
        <v>0.63907389526838554</v>
      </c>
      <c r="S23" s="246">
        <f t="shared" si="8"/>
        <v>0.3941739057561352</v>
      </c>
      <c r="T23" s="246">
        <f t="shared" si="8"/>
        <v>0.19155753212308702</v>
      </c>
      <c r="U23" s="246">
        <f t="shared" si="8"/>
        <v>0.78900560132590836</v>
      </c>
      <c r="V23" s="246">
        <f t="shared" si="8"/>
        <v>0.59654164118263431</v>
      </c>
      <c r="W23" s="246">
        <f t="shared" si="8"/>
        <v>0.37526220749686984</v>
      </c>
      <c r="X23" s="246">
        <f t="shared" si="8"/>
        <v>0.18049862298115832</v>
      </c>
      <c r="Y23" s="246">
        <f t="shared" si="8"/>
        <v>0.71653435775385987</v>
      </c>
      <c r="Z23" s="246">
        <f t="shared" si="8"/>
        <v>0.53218732018464054</v>
      </c>
      <c r="AA23" s="246">
        <f t="shared" si="8"/>
        <v>0.34562730937915481</v>
      </c>
      <c r="AB23" s="246">
        <f t="shared" si="8"/>
        <v>0.17397586441415169</v>
      </c>
      <c r="AC23" s="246">
        <f t="shared" si="8"/>
        <v>0.73129917128953825</v>
      </c>
      <c r="AD23" s="246">
        <f t="shared" si="8"/>
        <v>0.54105442177876739</v>
      </c>
      <c r="AE23" s="246">
        <f t="shared" si="8"/>
        <v>0.34931252981585964</v>
      </c>
      <c r="AF23" s="246">
        <f t="shared" si="8"/>
        <v>0.17413443872186254</v>
      </c>
      <c r="AG23" s="246">
        <f t="shared" si="8"/>
        <v>0.70334023191731532</v>
      </c>
      <c r="AH23" s="246">
        <f t="shared" si="8"/>
        <v>0.68638277703832984</v>
      </c>
      <c r="AI23" s="246">
        <f t="shared" si="8"/>
        <v>0.25060054908325402</v>
      </c>
      <c r="AJ23" s="246">
        <f t="shared" si="8"/>
        <v>0.12482272066858281</v>
      </c>
      <c r="AK23" s="246">
        <f t="shared" si="8"/>
        <v>0.45828592303752502</v>
      </c>
      <c r="AL23" s="246">
        <f t="shared" si="8"/>
        <v>0.427886722826821</v>
      </c>
      <c r="AM23" s="246">
        <f t="shared" si="8"/>
        <v>0.27461085489135884</v>
      </c>
      <c r="AN23" s="246">
        <f t="shared" si="8"/>
        <v>0.13083327268080561</v>
      </c>
      <c r="AO23" s="246">
        <f t="shared" si="8"/>
        <v>0.63509989944411105</v>
      </c>
      <c r="AP23" s="246">
        <f t="shared" si="8"/>
        <v>0.53504821835515048</v>
      </c>
      <c r="AQ23" s="246">
        <f t="shared" si="8"/>
        <v>0.34923199312882947</v>
      </c>
      <c r="AR23" s="246">
        <f t="shared" si="8"/>
        <v>0.17353185959138553</v>
      </c>
      <c r="AS23" s="246">
        <f t="shared" si="8"/>
        <v>0.70128320668803645</v>
      </c>
      <c r="AT23" s="246">
        <f t="shared" si="8"/>
        <v>0.53191366233165294</v>
      </c>
      <c r="AU23" s="246">
        <f t="shared" si="8"/>
        <v>0.32280529473708675</v>
      </c>
      <c r="AV23" s="246">
        <f t="shared" si="8"/>
        <v>0.14848904517538475</v>
      </c>
      <c r="AW23" s="246">
        <f t="shared" si="8"/>
        <v>0.56002269166627561</v>
      </c>
      <c r="AX23" s="246">
        <f t="shared" si="8"/>
        <v>0.41237150209641671</v>
      </c>
      <c r="AY23" s="246">
        <f t="shared" si="8"/>
        <v>0.383469071237661</v>
      </c>
      <c r="AZ23" s="246">
        <f t="shared" si="8"/>
        <v>0.19303306001454429</v>
      </c>
      <c r="BA23" s="246">
        <f t="shared" si="8"/>
        <v>0.88178653329788181</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0.19112391995692143</v>
      </c>
      <c r="F24" s="161">
        <f t="shared" ref="F24:BQ24" si="10">F21*F23</f>
        <v>0.17684263334023695</v>
      </c>
      <c r="G24" s="161">
        <f t="shared" si="10"/>
        <v>0.1145734639026844</v>
      </c>
      <c r="H24" s="161">
        <f t="shared" si="10"/>
        <v>5.1267084374179137E-2</v>
      </c>
      <c r="I24" s="161">
        <f t="shared" si="10"/>
        <v>9.9005585234006821E-2</v>
      </c>
      <c r="J24" s="161">
        <f t="shared" si="10"/>
        <v>6.6459109161227339E-2</v>
      </c>
      <c r="K24" s="161">
        <f t="shared" si="10"/>
        <v>5.0700719079925717E-2</v>
      </c>
      <c r="L24" s="161">
        <f t="shared" si="10"/>
        <v>3.0865904001164176E-2</v>
      </c>
      <c r="M24" s="161">
        <f t="shared" si="10"/>
        <v>0.21265473152914691</v>
      </c>
      <c r="N24" s="161">
        <f t="shared" si="10"/>
        <v>0.20798708802221069</v>
      </c>
      <c r="O24" s="161">
        <f t="shared" si="10"/>
        <v>0.14218640687645945</v>
      </c>
      <c r="P24" s="161">
        <f t="shared" si="10"/>
        <v>7.0953696771022964E-2</v>
      </c>
      <c r="Q24" s="161">
        <f t="shared" si="10"/>
        <v>0.26234555547937671</v>
      </c>
      <c r="R24" s="161">
        <f t="shared" si="10"/>
        <v>0.20291419501929731</v>
      </c>
      <c r="S24" s="161">
        <f t="shared" si="10"/>
        <v>0.12372212027701798</v>
      </c>
      <c r="T24" s="161">
        <f t="shared" si="10"/>
        <v>6.1425237151948753E-2</v>
      </c>
      <c r="U24" s="161">
        <f t="shared" si="10"/>
        <v>0.21570826879416355</v>
      </c>
      <c r="V24" s="161">
        <f t="shared" si="10"/>
        <v>0.16989057955778916</v>
      </c>
      <c r="W24" s="161">
        <f t="shared" si="10"/>
        <v>0.11103365109101056</v>
      </c>
      <c r="X24" s="161">
        <f t="shared" si="10"/>
        <v>6.0939330932485089E-2</v>
      </c>
      <c r="Y24" s="161">
        <f t="shared" si="10"/>
        <v>0.21036182481952728</v>
      </c>
      <c r="Z24" s="161">
        <f t="shared" si="10"/>
        <v>0.16530092011279116</v>
      </c>
      <c r="AA24" s="161">
        <f t="shared" si="10"/>
        <v>0.11065882807000411</v>
      </c>
      <c r="AB24" s="161">
        <f t="shared" si="10"/>
        <v>6.4752272796322091E-2</v>
      </c>
      <c r="AC24" s="161">
        <f t="shared" si="10"/>
        <v>0.23639349576230342</v>
      </c>
      <c r="AD24" s="161">
        <f t="shared" si="10"/>
        <v>0.18673900371700378</v>
      </c>
      <c r="AE24" s="161">
        <f t="shared" si="10"/>
        <v>0.12374315941758086</v>
      </c>
      <c r="AF24" s="161">
        <f t="shared" si="10"/>
        <v>6.6646170929303153E-2</v>
      </c>
      <c r="AG24" s="161">
        <f t="shared" si="10"/>
        <v>0.23732692147645576</v>
      </c>
      <c r="AH24" s="161">
        <f t="shared" si="10"/>
        <v>0.25405087499429968</v>
      </c>
      <c r="AI24" s="161">
        <f t="shared" si="10"/>
        <v>0.11619859220246154</v>
      </c>
      <c r="AJ24" s="161">
        <f t="shared" si="10"/>
        <v>6.1110978935467013E-2</v>
      </c>
      <c r="AK24" s="161">
        <f t="shared" si="10"/>
        <v>0.18166715452121457</v>
      </c>
      <c r="AL24" s="161">
        <f t="shared" si="10"/>
        <v>0.17622727449717243</v>
      </c>
      <c r="AM24" s="161">
        <f t="shared" si="10"/>
        <v>0.11202938902164107</v>
      </c>
      <c r="AN24" s="161">
        <f t="shared" si="10"/>
        <v>5.7355502670348897E-2</v>
      </c>
      <c r="AO24" s="161">
        <f t="shared" si="10"/>
        <v>0.25496833939365221</v>
      </c>
      <c r="AP24" s="161">
        <f t="shared" si="10"/>
        <v>0.23679404659358397</v>
      </c>
      <c r="AQ24" s="161">
        <f t="shared" si="10"/>
        <v>0.15555588469650977</v>
      </c>
      <c r="AR24" s="161">
        <f t="shared" si="10"/>
        <v>8.9745777313491232E-2</v>
      </c>
      <c r="AS24" s="161">
        <f t="shared" si="10"/>
        <v>0.30758616284579898</v>
      </c>
      <c r="AT24" s="161">
        <f t="shared" si="10"/>
        <v>0.24484278398777926</v>
      </c>
      <c r="AU24" s="161">
        <f t="shared" si="10"/>
        <v>0.14653838848113201</v>
      </c>
      <c r="AV24" s="161">
        <f t="shared" si="10"/>
        <v>7.7558587291573694E-2</v>
      </c>
      <c r="AW24" s="161">
        <f t="shared" si="10"/>
        <v>0.23358461196343802</v>
      </c>
      <c r="AX24" s="161">
        <f t="shared" si="10"/>
        <v>0.17802615196973634</v>
      </c>
      <c r="AY24" s="161">
        <f t="shared" si="10"/>
        <v>0.17529012610172179</v>
      </c>
      <c r="AZ24" s="161">
        <f t="shared" si="10"/>
        <v>7.4009893062389129E-2</v>
      </c>
      <c r="BA24" s="161">
        <f t="shared" si="10"/>
        <v>0.39224194741456214</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38352</v>
      </c>
      <c r="BE25" s="1">
        <v>37986</v>
      </c>
      <c r="BF25" s="1">
        <v>25569</v>
      </c>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3127475954</v>
      </c>
      <c r="F26" s="76">
        <f>利润表!F14</f>
        <v>2251409146</v>
      </c>
      <c r="G26" s="76">
        <f>利润表!G14</f>
        <v>1559018122</v>
      </c>
      <c r="H26" s="76">
        <f>利润表!H14</f>
        <v>690251292</v>
      </c>
      <c r="I26" s="76">
        <f>利润表!I14</f>
        <v>2677654510</v>
      </c>
      <c r="J26" s="76">
        <f>利润表!J14</f>
        <v>2040374641</v>
      </c>
      <c r="K26" s="76">
        <f>利润表!K14</f>
        <v>1361707296</v>
      </c>
      <c r="L26" s="76">
        <f>利润表!L14</f>
        <v>469005333</v>
      </c>
      <c r="M26" s="76">
        <f>利润表!M14</f>
        <v>2083117807</v>
      </c>
      <c r="N26" s="76">
        <f>利润表!N14</f>
        <v>1464172193</v>
      </c>
      <c r="O26" s="76">
        <f>利润表!O14</f>
        <v>972116514</v>
      </c>
      <c r="P26" s="76">
        <f>利润表!P14</f>
        <v>404080000</v>
      </c>
      <c r="Q26" s="76">
        <f>利润表!Q14</f>
        <v>2526591535</v>
      </c>
      <c r="R26" s="76">
        <f>利润表!R14</f>
        <v>1789721668</v>
      </c>
      <c r="S26" s="76">
        <f>利润表!S14</f>
        <v>1180066363</v>
      </c>
      <c r="T26" s="76">
        <f>利润表!T14</f>
        <v>500000000</v>
      </c>
      <c r="U26" s="76">
        <f>利润表!U14</f>
        <v>2671190420</v>
      </c>
      <c r="V26" s="76">
        <f>利润表!V14</f>
        <v>1969285909</v>
      </c>
      <c r="W26" s="76">
        <f>利润表!W14</f>
        <v>1359819931</v>
      </c>
      <c r="X26" s="76">
        <f>利润表!X14</f>
        <v>520000000</v>
      </c>
      <c r="Y26" s="76">
        <f>利润表!Y14</f>
        <v>2061207917</v>
      </c>
      <c r="Z26" s="76">
        <f>利润表!Z14</f>
        <v>1435333366</v>
      </c>
      <c r="AA26" s="76">
        <f>利润表!AA14</f>
        <v>1046175507</v>
      </c>
      <c r="AB26" s="76">
        <f>利润表!AB14</f>
        <v>452271380</v>
      </c>
      <c r="AC26" s="76">
        <f>利润表!AC14</f>
        <v>1809629579</v>
      </c>
      <c r="AD26" s="76">
        <f>利润表!AD14</f>
        <v>1380712429</v>
      </c>
      <c r="AE26" s="76">
        <f>利润表!AE14</f>
        <v>919472486</v>
      </c>
      <c r="AF26" s="76">
        <f>利润表!AF14</f>
        <v>490686586</v>
      </c>
      <c r="AG26" s="76">
        <f>利润表!AG14</f>
        <v>568746763</v>
      </c>
      <c r="AH26" s="76">
        <f>利润表!AH14</f>
        <v>123144806</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20059833772</v>
      </c>
      <c r="F27" s="76">
        <f>资产资本表!F19</f>
        <v>19184215848</v>
      </c>
      <c r="G27" s="76">
        <f>资产资本表!G19</f>
        <v>20893397474</v>
      </c>
      <c r="H27" s="76">
        <f>资产资本表!H19</f>
        <v>20024763725</v>
      </c>
      <c r="I27" s="76">
        <f>资产资本表!I19</f>
        <v>19334512433</v>
      </c>
      <c r="J27" s="76">
        <f>资产资本表!J19</f>
        <v>18704541970</v>
      </c>
      <c r="K27" s="76">
        <f>资产资本表!K19</f>
        <v>18538874624</v>
      </c>
      <c r="L27" s="76">
        <f>资产资本表!L19</f>
        <v>18894075129</v>
      </c>
      <c r="M27" s="76">
        <f>资产资本表!M19</f>
        <v>18425069796</v>
      </c>
      <c r="N27" s="76">
        <f>资产资本表!N19</f>
        <v>19313319200</v>
      </c>
      <c r="O27" s="76">
        <f>资产资本表!O19</f>
        <v>18821263521</v>
      </c>
      <c r="P27" s="76">
        <f>资产资本表!P19</f>
        <v>18139127007</v>
      </c>
      <c r="Q27" s="76">
        <f>资产资本表!Q19</f>
        <v>17735147007</v>
      </c>
      <c r="R27" s="76">
        <f>资产资本表!R19</f>
        <v>18595660143</v>
      </c>
      <c r="S27" s="76">
        <f>资产资本表!S19</f>
        <v>17897163535</v>
      </c>
      <c r="T27" s="76">
        <f>资产资本表!T19</f>
        <v>17217097172</v>
      </c>
      <c r="U27" s="76">
        <f>资产资本表!U19</f>
        <v>16672097172</v>
      </c>
      <c r="V27" s="76">
        <f>资产资本表!V19</f>
        <v>17039699676</v>
      </c>
      <c r="W27" s="76">
        <f>资产资本表!W19</f>
        <v>16430233698</v>
      </c>
      <c r="X27" s="76">
        <f>资产资本表!X19</f>
        <v>15590413767</v>
      </c>
      <c r="Y27" s="76">
        <f>资产资本表!Y19</f>
        <v>15000413767</v>
      </c>
      <c r="Z27" s="76">
        <f>资产资本表!Z19</f>
        <v>15625369901</v>
      </c>
      <c r="AA27" s="76">
        <f>资产资本表!AA19</f>
        <v>15236212042</v>
      </c>
      <c r="AB27" s="76">
        <f>资产资本表!AB19</f>
        <v>14642307915</v>
      </c>
      <c r="AC27" s="76">
        <f>资产资本表!AC19</f>
        <v>14190036535</v>
      </c>
      <c r="AD27" s="76">
        <f>资产资本表!AD19</f>
        <v>14955569385</v>
      </c>
      <c r="AE27" s="76">
        <f>资产资本表!AE19</f>
        <v>14494329442</v>
      </c>
      <c r="AF27" s="76">
        <f>资产资本表!AF19</f>
        <v>14065543542</v>
      </c>
      <c r="AG27" s="76">
        <f>资产资本表!AG19</f>
        <v>13574856956</v>
      </c>
      <c r="AH27" s="76">
        <f>资产资本表!AH19</f>
        <v>14248124999</v>
      </c>
      <c r="AI27" s="76">
        <f>资产资本表!AI19</f>
        <v>65158697</v>
      </c>
      <c r="AJ27" s="76">
        <f>资产资本表!AJ19</f>
        <v>65158697</v>
      </c>
      <c r="AK27" s="76">
        <f>资产资本表!AK19</f>
        <v>65158697</v>
      </c>
      <c r="AL27" s="76">
        <f>资产资本表!AL19</f>
        <v>65158697</v>
      </c>
      <c r="AM27" s="76">
        <f>资产资本表!AM19</f>
        <v>65158697</v>
      </c>
      <c r="AN27" s="76">
        <f>资产资本表!AN19</f>
        <v>65158697</v>
      </c>
      <c r="AO27" s="76">
        <f>资产资本表!AO19</f>
        <v>65158697</v>
      </c>
      <c r="AP27" s="76">
        <f>资产资本表!AP19</f>
        <v>65158697</v>
      </c>
      <c r="AQ27" s="76">
        <f>资产资本表!AQ19</f>
        <v>65158697</v>
      </c>
      <c r="AR27" s="76">
        <f>资产资本表!AR19</f>
        <v>65158697</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0.15590737139434357</v>
      </c>
      <c r="F28" s="110">
        <f t="shared" ref="F28:BQ28" si="12">F26/F27</f>
        <v>0.11735737148905749</v>
      </c>
      <c r="G28" s="110">
        <f t="shared" si="12"/>
        <v>7.4617741032307519E-2</v>
      </c>
      <c r="H28" s="110">
        <f t="shared" si="12"/>
        <v>3.4469884463018803E-2</v>
      </c>
      <c r="I28" s="110">
        <f t="shared" si="12"/>
        <v>0.13849092493430554</v>
      </c>
      <c r="J28" s="110">
        <f t="shared" si="12"/>
        <v>0.10908444827318058</v>
      </c>
      <c r="K28" s="110">
        <f t="shared" si="12"/>
        <v>7.3451453964587743E-2</v>
      </c>
      <c r="L28" s="110">
        <f t="shared" si="12"/>
        <v>2.4822878590132019E-2</v>
      </c>
      <c r="M28" s="110">
        <f t="shared" si="12"/>
        <v>0.11305888281911614</v>
      </c>
      <c r="N28" s="110">
        <f t="shared" si="12"/>
        <v>7.5811525602497168E-2</v>
      </c>
      <c r="O28" s="110">
        <f t="shared" si="12"/>
        <v>5.1649907186908678E-2</v>
      </c>
      <c r="P28" s="110">
        <f t="shared" si="12"/>
        <v>2.2276706031335636E-2</v>
      </c>
      <c r="Q28" s="110">
        <f t="shared" si="12"/>
        <v>0.14246239594195431</v>
      </c>
      <c r="R28" s="110">
        <f t="shared" si="12"/>
        <v>9.6244051259116406E-2</v>
      </c>
      <c r="S28" s="110">
        <f t="shared" si="12"/>
        <v>6.593594346345677E-2</v>
      </c>
      <c r="T28" s="110">
        <f t="shared" si="12"/>
        <v>2.9040900159008523E-2</v>
      </c>
      <c r="U28" s="110">
        <f t="shared" si="12"/>
        <v>0.16021922091997751</v>
      </c>
      <c r="V28" s="110">
        <f t="shared" si="12"/>
        <v>0.11557045877831351</v>
      </c>
      <c r="W28" s="110">
        <f t="shared" si="12"/>
        <v>8.2763273852004104E-2</v>
      </c>
      <c r="X28" s="110">
        <f t="shared" si="12"/>
        <v>3.3353829332014036E-2</v>
      </c>
      <c r="Y28" s="110">
        <f t="shared" si="12"/>
        <v>0.13741007074981706</v>
      </c>
      <c r="Z28" s="110">
        <f t="shared" si="12"/>
        <v>9.1859160781092353E-2</v>
      </c>
      <c r="AA28" s="110">
        <f t="shared" si="12"/>
        <v>6.8663753439248701E-2</v>
      </c>
      <c r="AB28" s="110">
        <f t="shared" si="12"/>
        <v>3.0887984505275991E-2</v>
      </c>
      <c r="AC28" s="110">
        <f t="shared" si="12"/>
        <v>0.12752818321055859</v>
      </c>
      <c r="AD28" s="110">
        <f t="shared" si="12"/>
        <v>9.2320953716734738E-2</v>
      </c>
      <c r="AE28" s="110">
        <f t="shared" si="12"/>
        <v>6.3436703966149574E-2</v>
      </c>
      <c r="AF28" s="110">
        <f t="shared" si="12"/>
        <v>3.4885718033917414E-2</v>
      </c>
      <c r="AG28" s="110">
        <f t="shared" si="12"/>
        <v>4.1897072274387215E-2</v>
      </c>
      <c r="AH28" s="110">
        <f t="shared" si="12"/>
        <v>8.6428779933249381E-3</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38352</v>
      </c>
      <c r="BE31" s="1">
        <v>37986</v>
      </c>
      <c r="BF31" s="1">
        <v>25569</v>
      </c>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-14732824.459941294</v>
      </c>
      <c r="F32" s="76">
        <f>股权价值增加表!F29</f>
        <v>24756.587311861564</v>
      </c>
      <c r="G32" s="76">
        <f>股权价值增加表!G29</f>
        <v>18523.439132212712</v>
      </c>
      <c r="H32" s="76">
        <f>股权价值增加表!H29</f>
        <v>12388.748308982536</v>
      </c>
      <c r="I32" s="76">
        <f>股权价值增加表!I29</f>
        <v>-74003204.478612512</v>
      </c>
      <c r="J32" s="76">
        <f>股权价值增加表!J29</f>
        <v>5234507.3733480144</v>
      </c>
      <c r="K32" s="76">
        <f>股权价值增加表!K29</f>
        <v>0</v>
      </c>
      <c r="L32" s="76">
        <f>股权价值增加表!L29</f>
        <v>0</v>
      </c>
      <c r="M32" s="76">
        <f>股权价值增加表!M29</f>
        <v>47891170.337371156</v>
      </c>
      <c r="N32" s="76">
        <f>股权价值增加表!N29</f>
        <v>11490046.19641198</v>
      </c>
      <c r="O32" s="76">
        <f>股权价值增加表!O29</f>
        <v>0</v>
      </c>
      <c r="P32" s="76">
        <f>股权价值增加表!P29</f>
        <v>0</v>
      </c>
      <c r="Q32" s="76">
        <f>股权价值增加表!Q29</f>
        <v>-340188810.60011554</v>
      </c>
      <c r="R32" s="76">
        <f>股权价值增加表!R29</f>
        <v>-252815638.14393929</v>
      </c>
      <c r="S32" s="76">
        <f>股权价值增加表!S29</f>
        <v>0</v>
      </c>
      <c r="T32" s="76">
        <f>股权价值增加表!T29</f>
        <v>0</v>
      </c>
      <c r="U32" s="76">
        <f>股权价值增加表!U29</f>
        <v>97028447.886167705</v>
      </c>
      <c r="V32" s="76">
        <f>股权价值增加表!V29</f>
        <v>17200872.517894153</v>
      </c>
      <c r="W32" s="76">
        <f>股权价值增加表!W29</f>
        <v>8612378.6863532569</v>
      </c>
      <c r="X32" s="76">
        <f>股权价值增加表!X29</f>
        <v>0</v>
      </c>
      <c r="Y32" s="76">
        <f>股权价值增加表!Y29</f>
        <v>6021767.2746708114</v>
      </c>
      <c r="Z32" s="76">
        <f>股权价值增加表!Z29</f>
        <v>3163015.968129457</v>
      </c>
      <c r="AA32" s="76">
        <f>股权价值增加表!AA29</f>
        <v>3171200.335952349</v>
      </c>
      <c r="AB32" s="76">
        <f>股权价值增加表!AB29</f>
        <v>0</v>
      </c>
      <c r="AC32" s="76">
        <f>股权价值增加表!AC29</f>
        <v>-8109618.0266935574</v>
      </c>
      <c r="AD32" s="76">
        <f>股权价值增加表!AD29</f>
        <v>2308361.3422897765</v>
      </c>
      <c r="AE32" s="76">
        <f>股权价值增加表!AE29</f>
        <v>2290887.4493340305</v>
      </c>
      <c r="AF32" s="76">
        <f>股权价值增加表!AF29</f>
        <v>2339891.0260491301</v>
      </c>
      <c r="AG32" s="76">
        <f>股权价值增加表!AG29</f>
        <v>-1723906.4664400723</v>
      </c>
      <c r="AH32" s="76">
        <f>股权价值增加表!AH29</f>
        <v>0</v>
      </c>
      <c r="AI32" s="76">
        <f>股权价值增加表!AI29</f>
        <v>0</v>
      </c>
      <c r="AJ32" s="76">
        <f>股权价值增加表!AJ29</f>
        <v>0</v>
      </c>
      <c r="AK32" s="76">
        <f>股权价值增加表!AK29</f>
        <v>88404156.379869699</v>
      </c>
      <c r="AL32" s="76">
        <f>股权价值增加表!AL29</f>
        <v>1152412.5507985463</v>
      </c>
      <c r="AM32" s="76">
        <f>股权价值增加表!AM29</f>
        <v>0</v>
      </c>
      <c r="AN32" s="76">
        <f>股权价值增加表!AN29</f>
        <v>0</v>
      </c>
      <c r="AO32" s="76">
        <f>股权价值增加表!AO29</f>
        <v>65836084.416366518</v>
      </c>
      <c r="AP32" s="76">
        <f>股权价值增加表!AP29</f>
        <v>0</v>
      </c>
      <c r="AQ32" s="76">
        <f>股权价值增加表!AQ29</f>
        <v>0</v>
      </c>
      <c r="AR32" s="76">
        <f>股权价值增加表!AR29</f>
        <v>0</v>
      </c>
      <c r="AS32" s="76">
        <f>股权价值增加表!AS29</f>
        <v>54112404.57299985</v>
      </c>
      <c r="AT32" s="76">
        <f>股权价值增加表!AT29</f>
        <v>0</v>
      </c>
      <c r="AU32" s="76">
        <f>股权价值增加表!AU29</f>
        <v>0</v>
      </c>
      <c r="AV32" s="76">
        <f>股权价值增加表!AV29</f>
        <v>0</v>
      </c>
      <c r="AW32" s="76">
        <f>股权价值增加表!AW29</f>
        <v>34969961.052836657</v>
      </c>
      <c r="AX32" s="76">
        <f>股权价值增加表!AX29</f>
        <v>0</v>
      </c>
      <c r="AY32" s="76">
        <f>股权价值增加表!AY29</f>
        <v>0</v>
      </c>
      <c r="AZ32" s="76">
        <f>股权价值增加表!AZ29</f>
        <v>0</v>
      </c>
      <c r="BA32" s="76">
        <f>股权价值增加表!BA29</f>
        <v>0</v>
      </c>
      <c r="BB32" s="76">
        <f>股权价值增加表!BB29</f>
        <v>0</v>
      </c>
      <c r="BC32" s="76">
        <f>股权价值增加表!BC29</f>
        <v>0</v>
      </c>
      <c r="BD32" s="76">
        <f>股权价值增加表!BD29</f>
        <v>0</v>
      </c>
      <c r="BE32" s="76">
        <f>股权价值增加表!BE29</f>
        <v>0</v>
      </c>
      <c r="BF32" s="76" t="e">
        <f>股权价值增加表!BF29</f>
        <v>#DIV/0!</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11100350893</v>
      </c>
      <c r="F34" s="76">
        <f>资产资本表!F4</f>
        <v>14951304947</v>
      </c>
      <c r="G34" s="76">
        <f>资产资本表!G4</f>
        <v>9161747049</v>
      </c>
      <c r="H34" s="76">
        <f>资产资本表!H4</f>
        <v>14829480833</v>
      </c>
      <c r="I34" s="76">
        <f>资产资本表!I4</f>
        <v>11638240506</v>
      </c>
      <c r="J34" s="76">
        <f>资产资本表!J4</f>
        <v>8312784392</v>
      </c>
      <c r="K34" s="76">
        <f>资产资本表!K4</f>
        <v>13831935999</v>
      </c>
      <c r="L34" s="76">
        <f>资产资本表!L4</f>
        <v>6228396612</v>
      </c>
      <c r="M34" s="76">
        <f>资产资本表!M4</f>
        <v>8237909745</v>
      </c>
      <c r="N34" s="76">
        <f>资产资本表!N4</f>
        <v>11407709443</v>
      </c>
      <c r="O34" s="76">
        <f>资产资本表!O4</f>
        <v>9374936584</v>
      </c>
      <c r="P34" s="76">
        <f>资产资本表!P4</f>
        <v>10733550373</v>
      </c>
      <c r="Q34" s="76">
        <f>资产资本表!Q4</f>
        <v>9638517206</v>
      </c>
      <c r="R34" s="76">
        <f>资产资本表!R4</f>
        <v>15144451676</v>
      </c>
      <c r="S34" s="76">
        <f>资产资本表!S4</f>
        <v>8231476385</v>
      </c>
      <c r="T34" s="76">
        <f>资产资本表!T4</f>
        <v>9717299426</v>
      </c>
      <c r="U34" s="76">
        <f>资产资本表!U4</f>
        <v>8785439966</v>
      </c>
      <c r="V34" s="76">
        <f>资产资本表!V4</f>
        <v>8505323038</v>
      </c>
      <c r="W34" s="76">
        <f>资产资本表!W4</f>
        <v>8251430721</v>
      </c>
      <c r="X34" s="76">
        <f>资产资本表!X4</f>
        <v>9233190939</v>
      </c>
      <c r="Y34" s="76">
        <f>资产资本表!Y4</f>
        <v>7753976194</v>
      </c>
      <c r="Z34" s="76">
        <f>资产资本表!Z4</f>
        <v>6547531039</v>
      </c>
      <c r="AA34" s="76">
        <f>资产资本表!AA4</f>
        <v>8456487659</v>
      </c>
      <c r="AB34" s="76">
        <f>资产资本表!AB4</f>
        <v>5073654319</v>
      </c>
      <c r="AC34" s="76">
        <f>资产资本表!AC4</f>
        <v>4678809979</v>
      </c>
      <c r="AD34" s="76">
        <f>资产资本表!AD4</f>
        <v>4944753962</v>
      </c>
      <c r="AE34" s="76">
        <f>资产资本表!AE4</f>
        <v>9805303490</v>
      </c>
      <c r="AF34" s="76">
        <f>资产资本表!AF4</f>
        <v>7359308623</v>
      </c>
      <c r="AG34" s="76">
        <f>资产资本表!AG4</f>
        <v>10153209322</v>
      </c>
      <c r="AH34" s="76">
        <f>资产资本表!AH4</f>
        <v>5861166763</v>
      </c>
      <c r="AI34" s="76">
        <f>资产资本表!AI4</f>
        <v>4218442993</v>
      </c>
      <c r="AJ34" s="76">
        <f>资产资本表!AJ4</f>
        <v>6060801278</v>
      </c>
      <c r="AK34" s="76">
        <f>资产资本表!AK4</f>
        <v>9017190649</v>
      </c>
      <c r="AL34" s="76">
        <f>资产资本表!AL4</f>
        <v>6489196318</v>
      </c>
      <c r="AM34" s="76">
        <f>资产资本表!AM4</f>
        <v>6085715021</v>
      </c>
      <c r="AN34" s="76">
        <f>资产资本表!AN4</f>
        <v>4573336328</v>
      </c>
      <c r="AO34" s="76">
        <f>资产资本表!AO4</f>
        <v>4677747639</v>
      </c>
      <c r="AP34" s="76">
        <f>资产资本表!AP4</f>
        <v>6056564727</v>
      </c>
      <c r="AQ34" s="76">
        <f>资产资本表!AQ4</f>
        <v>7954553316</v>
      </c>
      <c r="AR34" s="76">
        <f>资产资本表!AR4</f>
        <v>7823859551</v>
      </c>
      <c r="AS34" s="76">
        <f>资产资本表!AS4</f>
        <v>7789551415</v>
      </c>
      <c r="AT34" s="76">
        <f>资产资本表!AT4</f>
        <v>7466137957</v>
      </c>
      <c r="AU34" s="76">
        <f>资产资本表!AU4</f>
        <v>4499376195</v>
      </c>
      <c r="AV34" s="76">
        <f>资产资本表!AV4</f>
        <v>6602628507</v>
      </c>
      <c r="AW34" s="76">
        <f>资产资本表!AW4</f>
        <v>6437511108</v>
      </c>
      <c r="AX34" s="76">
        <f>资产资本表!AX4</f>
        <v>5623521932</v>
      </c>
      <c r="AY34" s="76">
        <f>资产资本表!AY4</f>
        <v>4918707553</v>
      </c>
      <c r="AZ34" s="76">
        <f>资产资本表!AZ4</f>
        <v>5773536537</v>
      </c>
      <c r="BA34" s="76">
        <f>资产资本表!BA4</f>
        <v>785200273</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14731875</v>
      </c>
      <c r="F36" s="76">
        <f>资产资本表!F13</f>
        <v>0</v>
      </c>
      <c r="G36" s="76">
        <f>资产资本表!G13</f>
        <v>0</v>
      </c>
      <c r="H36" s="76">
        <f>资产资本表!H13</f>
        <v>9501375</v>
      </c>
      <c r="I36" s="76">
        <f>资产资本表!I13</f>
        <v>10437375</v>
      </c>
      <c r="J36" s="76">
        <f>资产资本表!J13</f>
        <v>0</v>
      </c>
      <c r="K36" s="76">
        <f>资产资本表!K13</f>
        <v>0</v>
      </c>
      <c r="L36" s="76">
        <f>资产资本表!L13</f>
        <v>0</v>
      </c>
      <c r="M36" s="76">
        <f>资产资本表!M13</f>
        <v>9933000</v>
      </c>
      <c r="N36" s="76">
        <f>资产资本表!N13</f>
        <v>0</v>
      </c>
      <c r="O36" s="76">
        <f>资产资本表!O13</f>
        <v>0</v>
      </c>
      <c r="P36" s="76">
        <f>资产资本表!P13</f>
        <v>0</v>
      </c>
      <c r="Q36" s="76">
        <f>资产资本表!Q13</f>
        <v>9780110</v>
      </c>
      <c r="R36" s="76">
        <f>资产资本表!R13</f>
        <v>0</v>
      </c>
      <c r="S36" s="76">
        <f>资产资本表!S13</f>
        <v>0</v>
      </c>
      <c r="T36" s="76">
        <f>资产资本表!T13</f>
        <v>0</v>
      </c>
      <c r="U36" s="76">
        <f>资产资本表!U13</f>
        <v>24858167</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2404759034</v>
      </c>
      <c r="F37" s="76">
        <f>资产资本表!F11</f>
        <v>2403320625</v>
      </c>
      <c r="G37" s="76">
        <f>资产资本表!G11</f>
        <v>1747975</v>
      </c>
      <c r="H37" s="76">
        <f>资产资本表!H11</f>
        <v>1447975</v>
      </c>
      <c r="I37" s="76">
        <f>资产资本表!I11</f>
        <v>1249432154</v>
      </c>
      <c r="J37" s="76">
        <f>资产资本表!J11</f>
        <v>1248535248</v>
      </c>
      <c r="K37" s="76">
        <f>资产资本表!K11</f>
        <v>1248535248</v>
      </c>
      <c r="L37" s="76">
        <f>资产资本表!L11</f>
        <v>1510631590</v>
      </c>
      <c r="M37" s="76">
        <f>资产资本表!M11</f>
        <v>1510636280</v>
      </c>
      <c r="N37" s="76">
        <f>资产资本表!N11</f>
        <v>0</v>
      </c>
      <c r="O37" s="76">
        <f>资产资本表!O11</f>
        <v>757030551</v>
      </c>
      <c r="P37" s="76">
        <f>资产资本表!P11</f>
        <v>1597348164</v>
      </c>
      <c r="Q37" s="76">
        <f>资产资本表!Q11</f>
        <v>1597383003</v>
      </c>
      <c r="R37" s="76">
        <f>资产资本表!R11</f>
        <v>0</v>
      </c>
      <c r="S37" s="76">
        <f>资产资本表!S11</f>
        <v>441916</v>
      </c>
      <c r="T37" s="76">
        <f>资产资本表!T11</f>
        <v>1234074499</v>
      </c>
      <c r="U37" s="76">
        <f>资产资本表!U11</f>
        <v>1234074499</v>
      </c>
      <c r="V37" s="76">
        <f>资产资本表!V11</f>
        <v>0</v>
      </c>
      <c r="W37" s="76">
        <f>资产资本表!W11</f>
        <v>0</v>
      </c>
      <c r="X37" s="76">
        <f>资产资本表!X11</f>
        <v>600000000</v>
      </c>
      <c r="Y37" s="76">
        <f>资产资本表!Y11</f>
        <v>1265530685</v>
      </c>
      <c r="Z37" s="76">
        <f>资产资本表!Z11</f>
        <v>0</v>
      </c>
      <c r="AA37" s="76">
        <f>资产资本表!AA11</f>
        <v>0</v>
      </c>
      <c r="AB37" s="76">
        <f>资产资本表!AB11</f>
        <v>1194450000</v>
      </c>
      <c r="AC37" s="76">
        <f>资产资本表!AC11</f>
        <v>1194450000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65158697</v>
      </c>
      <c r="F38" s="76">
        <f>资产资本表!F8</f>
        <v>65158697</v>
      </c>
      <c r="G38" s="76">
        <f>资产资本表!G8</f>
        <v>65158697</v>
      </c>
      <c r="H38" s="76">
        <f>资产资本表!H8</f>
        <v>65158697</v>
      </c>
      <c r="I38" s="76">
        <f>资产资本表!I8</f>
        <v>65158697</v>
      </c>
      <c r="J38" s="76">
        <f>资产资本表!J8</f>
        <v>65158697</v>
      </c>
      <c r="K38" s="76">
        <f>资产资本表!K8</f>
        <v>65158697</v>
      </c>
      <c r="L38" s="76">
        <f>资产资本表!L8</f>
        <v>65158697</v>
      </c>
      <c r="M38" s="76">
        <f>资产资本表!M8</f>
        <v>65158697</v>
      </c>
      <c r="N38" s="76">
        <f>资产资本表!N8</f>
        <v>65158697</v>
      </c>
      <c r="O38" s="76">
        <f>资产资本表!O8</f>
        <v>65158697</v>
      </c>
      <c r="P38" s="76">
        <f>资产资本表!P8</f>
        <v>65158697</v>
      </c>
      <c r="Q38" s="76">
        <f>资产资本表!Q8</f>
        <v>65158697</v>
      </c>
      <c r="R38" s="76">
        <f>资产资本表!R8</f>
        <v>65158697</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13585000499</v>
      </c>
      <c r="F43" s="76">
        <f t="shared" ref="F43:BQ43" si="14">SUM(F34:F42)</f>
        <v>17419784269</v>
      </c>
      <c r="G43" s="76">
        <f t="shared" si="14"/>
        <v>9228653721</v>
      </c>
      <c r="H43" s="76">
        <f t="shared" si="14"/>
        <v>14905588880</v>
      </c>
      <c r="I43" s="76">
        <f t="shared" si="14"/>
        <v>12963268732</v>
      </c>
      <c r="J43" s="76">
        <f t="shared" si="14"/>
        <v>9626478337</v>
      </c>
      <c r="K43" s="76">
        <f t="shared" si="14"/>
        <v>15145629944</v>
      </c>
      <c r="L43" s="76">
        <f t="shared" si="14"/>
        <v>7804186899</v>
      </c>
      <c r="M43" s="76">
        <f t="shared" si="14"/>
        <v>9823637722</v>
      </c>
      <c r="N43" s="76">
        <f t="shared" si="14"/>
        <v>11472868140</v>
      </c>
      <c r="O43" s="76">
        <f t="shared" si="14"/>
        <v>10197125832</v>
      </c>
      <c r="P43" s="76">
        <f t="shared" si="14"/>
        <v>12396057234</v>
      </c>
      <c r="Q43" s="76">
        <f t="shared" si="14"/>
        <v>11310839016</v>
      </c>
      <c r="R43" s="76">
        <f t="shared" si="14"/>
        <v>15209610373</v>
      </c>
      <c r="S43" s="76">
        <f t="shared" si="14"/>
        <v>8231918301</v>
      </c>
      <c r="T43" s="76">
        <f t="shared" si="14"/>
        <v>10951373925</v>
      </c>
      <c r="U43" s="76">
        <f t="shared" si="14"/>
        <v>10044372632</v>
      </c>
      <c r="V43" s="76">
        <f t="shared" si="14"/>
        <v>8505323038</v>
      </c>
      <c r="W43" s="76">
        <f t="shared" si="14"/>
        <v>8251430721</v>
      </c>
      <c r="X43" s="76">
        <f t="shared" si="14"/>
        <v>9833190939</v>
      </c>
      <c r="Y43" s="76">
        <f t="shared" si="14"/>
        <v>9019506879</v>
      </c>
      <c r="Z43" s="76">
        <f t="shared" si="14"/>
        <v>6547531039</v>
      </c>
      <c r="AA43" s="76">
        <f t="shared" si="14"/>
        <v>8456487659</v>
      </c>
      <c r="AB43" s="76">
        <f t="shared" si="14"/>
        <v>6268104319</v>
      </c>
      <c r="AC43" s="76">
        <f t="shared" si="14"/>
        <v>5873259979</v>
      </c>
      <c r="AD43" s="76">
        <f t="shared" si="14"/>
        <v>4944753962</v>
      </c>
      <c r="AE43" s="76">
        <f t="shared" si="14"/>
        <v>9805303490</v>
      </c>
      <c r="AF43" s="76">
        <f t="shared" si="14"/>
        <v>7359308623</v>
      </c>
      <c r="AG43" s="76">
        <f t="shared" si="14"/>
        <v>10153209322</v>
      </c>
      <c r="AH43" s="76">
        <f t="shared" si="14"/>
        <v>5861166763</v>
      </c>
      <c r="AI43" s="76">
        <f t="shared" si="14"/>
        <v>4218442993</v>
      </c>
      <c r="AJ43" s="76">
        <f t="shared" si="14"/>
        <v>6060801278</v>
      </c>
      <c r="AK43" s="76">
        <f t="shared" si="14"/>
        <v>9017190649</v>
      </c>
      <c r="AL43" s="76">
        <f t="shared" si="14"/>
        <v>6489196318</v>
      </c>
      <c r="AM43" s="76">
        <f t="shared" si="14"/>
        <v>6085715021</v>
      </c>
      <c r="AN43" s="76">
        <f t="shared" si="14"/>
        <v>4573336328</v>
      </c>
      <c r="AO43" s="76">
        <f t="shared" si="14"/>
        <v>4677747639</v>
      </c>
      <c r="AP43" s="76">
        <f t="shared" si="14"/>
        <v>6056564727</v>
      </c>
      <c r="AQ43" s="76">
        <f t="shared" si="14"/>
        <v>7954553316</v>
      </c>
      <c r="AR43" s="76">
        <f t="shared" si="14"/>
        <v>7823859551</v>
      </c>
      <c r="AS43" s="76">
        <f t="shared" si="14"/>
        <v>7789551415</v>
      </c>
      <c r="AT43" s="76">
        <f t="shared" si="14"/>
        <v>7466137957</v>
      </c>
      <c r="AU43" s="76">
        <f t="shared" si="14"/>
        <v>4499376195</v>
      </c>
      <c r="AV43" s="76">
        <f t="shared" si="14"/>
        <v>6602628507</v>
      </c>
      <c r="AW43" s="76">
        <f t="shared" si="14"/>
        <v>6437511108</v>
      </c>
      <c r="AX43" s="76">
        <f t="shared" si="14"/>
        <v>5623521932</v>
      </c>
      <c r="AY43" s="76">
        <f t="shared" si="14"/>
        <v>4918707553</v>
      </c>
      <c r="AZ43" s="76">
        <f t="shared" si="14"/>
        <v>5773536537</v>
      </c>
      <c r="BA43" s="76">
        <f t="shared" si="14"/>
        <v>785200273</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-1.084492007271239E-3</v>
      </c>
      <c r="F44" s="110">
        <f t="shared" ref="F44:BQ44" si="16">F32/F43</f>
        <v>1.4211764583054013E-6</v>
      </c>
      <c r="G44" s="110">
        <f t="shared" si="16"/>
        <v>2.0071659087242843E-6</v>
      </c>
      <c r="H44" s="110">
        <f t="shared" si="16"/>
        <v>8.3114786062598937E-7</v>
      </c>
      <c r="I44" s="110">
        <f t="shared" si="16"/>
        <v>-5.7086839753568187E-3</v>
      </c>
      <c r="J44" s="110">
        <f t="shared" si="16"/>
        <v>5.4376140371384233E-4</v>
      </c>
      <c r="K44" s="110">
        <f t="shared" si="16"/>
        <v>0</v>
      </c>
      <c r="L44" s="110">
        <f t="shared" si="16"/>
        <v>0</v>
      </c>
      <c r="M44" s="110">
        <f t="shared" si="16"/>
        <v>4.8750953254433496E-3</v>
      </c>
      <c r="N44" s="110">
        <f t="shared" si="16"/>
        <v>1.0014972765486679E-3</v>
      </c>
      <c r="O44" s="110">
        <f t="shared" si="16"/>
        <v>0</v>
      </c>
      <c r="P44" s="110">
        <f t="shared" si="16"/>
        <v>0</v>
      </c>
      <c r="Q44" s="110">
        <f t="shared" si="16"/>
        <v>-3.0076355089033967E-2</v>
      </c>
      <c r="R44" s="110">
        <f t="shared" si="16"/>
        <v>-1.6622098261815828E-2</v>
      </c>
      <c r="S44" s="110">
        <f t="shared" si="16"/>
        <v>0</v>
      </c>
      <c r="T44" s="110">
        <f t="shared" si="16"/>
        <v>0</v>
      </c>
      <c r="U44" s="110">
        <f t="shared" si="16"/>
        <v>9.6599809108085365E-3</v>
      </c>
      <c r="V44" s="110">
        <f t="shared" si="16"/>
        <v>2.0223655751867697E-3</v>
      </c>
      <c r="W44" s="110">
        <f t="shared" si="16"/>
        <v>1.0437436824664405E-3</v>
      </c>
      <c r="X44" s="110">
        <f t="shared" si="16"/>
        <v>0</v>
      </c>
      <c r="Y44" s="110">
        <f t="shared" si="16"/>
        <v>6.6763819302485523E-4</v>
      </c>
      <c r="Z44" s="110">
        <f t="shared" si="16"/>
        <v>4.8308529570751638E-4</v>
      </c>
      <c r="AA44" s="110">
        <f t="shared" si="16"/>
        <v>3.7500206513957726E-4</v>
      </c>
      <c r="AB44" s="110">
        <f t="shared" si="16"/>
        <v>0</v>
      </c>
      <c r="AC44" s="110">
        <f t="shared" si="16"/>
        <v>-1.3807694629030072E-3</v>
      </c>
      <c r="AD44" s="110">
        <f t="shared" si="16"/>
        <v>4.6683037417621399E-4</v>
      </c>
      <c r="AE44" s="110">
        <f t="shared" si="16"/>
        <v>2.336375872170001E-4</v>
      </c>
      <c r="AF44" s="110">
        <f t="shared" si="16"/>
        <v>3.1794984364920962E-4</v>
      </c>
      <c r="AG44" s="110">
        <f t="shared" si="16"/>
        <v>-1.6978931604460349E-4</v>
      </c>
      <c r="AH44" s="110">
        <f t="shared" si="16"/>
        <v>0</v>
      </c>
      <c r="AI44" s="110">
        <f t="shared" si="16"/>
        <v>0</v>
      </c>
      <c r="AJ44" s="110">
        <f t="shared" si="16"/>
        <v>0</v>
      </c>
      <c r="AK44" s="110">
        <f t="shared" si="16"/>
        <v>9.8039577758815225E-3</v>
      </c>
      <c r="AL44" s="110">
        <f t="shared" si="16"/>
        <v>1.7758941081839932E-4</v>
      </c>
      <c r="AM44" s="110">
        <f t="shared" si="16"/>
        <v>0</v>
      </c>
      <c r="AN44" s="110">
        <f t="shared" si="16"/>
        <v>0</v>
      </c>
      <c r="AO44" s="110">
        <f t="shared" si="16"/>
        <v>1.4074313002152641E-2</v>
      </c>
      <c r="AP44" s="110">
        <f t="shared" si="16"/>
        <v>0</v>
      </c>
      <c r="AQ44" s="110">
        <f t="shared" si="16"/>
        <v>0</v>
      </c>
      <c r="AR44" s="110">
        <f t="shared" si="16"/>
        <v>0</v>
      </c>
      <c r="AS44" s="110">
        <f t="shared" si="16"/>
        <v>6.9467934275134185E-3</v>
      </c>
      <c r="AT44" s="110">
        <f t="shared" si="16"/>
        <v>0</v>
      </c>
      <c r="AU44" s="110">
        <f t="shared" si="16"/>
        <v>0</v>
      </c>
      <c r="AV44" s="110">
        <f t="shared" si="16"/>
        <v>0</v>
      </c>
      <c r="AW44" s="110">
        <f t="shared" si="16"/>
        <v>5.4322175862933919E-3</v>
      </c>
      <c r="AX44" s="110">
        <f t="shared" si="16"/>
        <v>0</v>
      </c>
      <c r="AY44" s="110">
        <f t="shared" si="16"/>
        <v>0</v>
      </c>
      <c r="AZ44" s="110">
        <f t="shared" si="16"/>
        <v>0</v>
      </c>
      <c r="BA44" s="110">
        <f t="shared" si="16"/>
        <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0.1253538148653926</v>
      </c>
      <c r="F46" s="57">
        <f>F43/资产资本表!F70</f>
        <v>0.16325024350907966</v>
      </c>
      <c r="G46" s="57">
        <f>G43/资产资本表!G70</f>
        <v>8.9587449616916795E-2</v>
      </c>
      <c r="H46" s="57">
        <f>H43/资产资本表!H70</f>
        <v>0.14536442481445092</v>
      </c>
      <c r="I46" s="57">
        <f>I43/资产资本表!I70</f>
        <v>0.13086887658657484</v>
      </c>
      <c r="J46" s="57">
        <f>J43/资产资本表!J70</f>
        <v>9.9753831260306292E-2</v>
      </c>
      <c r="K46" s="57">
        <f>K43/资产资本表!K70</f>
        <v>0.15149481788672228</v>
      </c>
      <c r="L46" s="57">
        <f>L43/资产资本表!L70</f>
        <v>7.9367937142899012E-2</v>
      </c>
      <c r="M46" s="57">
        <f>M43/资产资本表!M70</f>
        <v>0.10206202337191354</v>
      </c>
      <c r="N46" s="57">
        <f>N43/资产资本表!N70</f>
        <v>0.12156611088291484</v>
      </c>
      <c r="O46" s="57">
        <f>O43/资产资本表!O70</f>
        <v>0.11271864861767016</v>
      </c>
      <c r="P46" s="57">
        <f>P43/资产资本表!P70</f>
        <v>0.13203247506939594</v>
      </c>
      <c r="Q46" s="57">
        <f>Q43/资产资本表!Q70</f>
        <v>0.12562538708397816</v>
      </c>
      <c r="R46" s="57">
        <f>R43/资产资本表!R70</f>
        <v>0.15629871672144321</v>
      </c>
      <c r="S46" s="57">
        <f>S43/资产资本表!S70</f>
        <v>8.8460488634888104E-2</v>
      </c>
      <c r="T46" s="57">
        <f>T43/资产资本表!T70</f>
        <v>0.11450469731709083</v>
      </c>
      <c r="U46" s="57">
        <f>U43/资产资本表!U70</f>
        <v>0.10942871137362428</v>
      </c>
      <c r="V46" s="57">
        <f>V43/资产资本表!V70</f>
        <v>9.5848240705899784E-2</v>
      </c>
      <c r="W46" s="57">
        <f>W43/资产资本表!W70</f>
        <v>9.2197499490531715E-2</v>
      </c>
      <c r="X46" s="57">
        <f>X43/资产资本表!X70</f>
        <v>0.1070964992712118</v>
      </c>
      <c r="Y46" s="57">
        <f>Y43/资产资本表!Y70</f>
        <v>0.10230211532863825</v>
      </c>
      <c r="Z46" s="57">
        <f>Z43/资产资本表!Z70</f>
        <v>7.6956595728300492E-2</v>
      </c>
      <c r="AA46" s="57">
        <f>AA43/资产资本表!AA70</f>
        <v>9.6005902204123639E-2</v>
      </c>
      <c r="AB46" s="57">
        <f>AB43/资产资本表!AB70</f>
        <v>7.3543681109189227E-2</v>
      </c>
      <c r="AC46" s="57">
        <f>AC43/资产资本表!AC70</f>
        <v>7.1969835337211741E-2</v>
      </c>
      <c r="AD46" s="57">
        <f>AD43/资产资本表!AD70</f>
        <v>6.0752112300144309E-2</v>
      </c>
      <c r="AE46" s="57">
        <f>AE43/资产资本表!AE70</f>
        <v>0.11288977288746714</v>
      </c>
      <c r="AF46" s="57">
        <f>AF43/资产资本表!AF70</f>
        <v>8.7623448920464558E-2</v>
      </c>
      <c r="AG46" s="57">
        <f>AG43/资产资本表!AG70</f>
        <v>0.12164968279345356</v>
      </c>
      <c r="AH46" s="57">
        <f>AH43/资产资本表!AH70</f>
        <v>8.9817942336454973E-2</v>
      </c>
      <c r="AI46" s="57">
        <f>AI43/资产资本表!AI70</f>
        <v>7.0036635273360223E-2</v>
      </c>
      <c r="AJ46" s="57">
        <f>AJ43/资产资本表!AJ70</f>
        <v>0.1029357492388622</v>
      </c>
      <c r="AK46" s="57">
        <f>AK43/资产资本表!AK70</f>
        <v>0.15145254175217585</v>
      </c>
      <c r="AL46" s="57">
        <f>AL43/资产资本表!AL70</f>
        <v>0.14573268183407079</v>
      </c>
      <c r="AM46" s="57">
        <f>AM43/资产资本表!AM70</f>
        <v>0.1410151080924788</v>
      </c>
      <c r="AN46" s="57">
        <f>AN43/资产资本表!AN70</f>
        <v>0.10945381780700716</v>
      </c>
      <c r="AO46" s="57">
        <f>AO43/资产资本表!AO70</f>
        <v>0.11601416665426817</v>
      </c>
      <c r="AP46" s="57">
        <f>AP43/资产资本表!AP70</f>
        <v>0.15446410318452503</v>
      </c>
      <c r="AQ46" s="57">
        <f>AQ43/资产资本表!AQ70</f>
        <v>0.1928115230839384</v>
      </c>
      <c r="AR46" s="57">
        <f>AR43/资产资本表!AR70</f>
        <v>0.19744527954112528</v>
      </c>
      <c r="AS46" s="57">
        <f>AS43/资产资本表!AS70</f>
        <v>0.20752548273309721</v>
      </c>
      <c r="AT46" s="57">
        <f>AT43/资产资本表!AT70</f>
        <v>0.20687807772627037</v>
      </c>
      <c r="AU46" s="57">
        <f>AU43/资产资本表!AU70</f>
        <v>0.13086339749577652</v>
      </c>
      <c r="AV46" s="57">
        <f>AV43/资产资本表!AV70</f>
        <v>0.17891418076664301</v>
      </c>
      <c r="AW46" s="57">
        <f>AW43/资产资本表!AW70</f>
        <v>0.18253808952416931</v>
      </c>
      <c r="AX46" s="57">
        <f>AX43/资产资本表!AX70</f>
        <v>0.16466741817491048</v>
      </c>
      <c r="AY46" s="57">
        <f>AY43/资产资本表!AY70</f>
        <v>0.19549320902152917</v>
      </c>
      <c r="AZ46" s="57">
        <f>AZ43/资产资本表!AZ70</f>
        <v>0.24043146973075755</v>
      </c>
      <c r="BA46" s="57">
        <f>BA43/资产资本表!BA70</f>
        <v>5.0183130831970853E-2</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38352</v>
      </c>
      <c r="BE48" s="1">
        <v>37986</v>
      </c>
      <c r="BF48" s="1">
        <v>25569</v>
      </c>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55636499436</v>
      </c>
      <c r="F49" s="76">
        <f>利润表!F4</f>
        <v>41740560803</v>
      </c>
      <c r="G49" s="76">
        <f>利润表!G4</f>
        <v>27356568247</v>
      </c>
      <c r="H49" s="76">
        <f>利润表!H4</f>
        <v>12451185731</v>
      </c>
      <c r="I49" s="76">
        <f>利润表!I4</f>
        <v>44624879986</v>
      </c>
      <c r="J49" s="76">
        <f>利润表!J4</f>
        <v>31590274924</v>
      </c>
      <c r="K49" s="76">
        <f>利润表!K4</f>
        <v>21225197228</v>
      </c>
      <c r="L49" s="76">
        <f>利润表!L4</f>
        <v>11112711644</v>
      </c>
      <c r="M49" s="76">
        <f>利润表!M4</f>
        <v>52531366878</v>
      </c>
      <c r="N49" s="76">
        <f>利润表!N4</f>
        <v>40405491363</v>
      </c>
      <c r="O49" s="76">
        <f>利润表!O4</f>
        <v>27568608083</v>
      </c>
      <c r="P49" s="76">
        <f>利润表!P4</f>
        <v>13879124264</v>
      </c>
      <c r="Q49" s="76">
        <f>利润表!Q4</f>
        <v>53970730405</v>
      </c>
      <c r="R49" s="76">
        <f>利润表!R4</f>
        <v>40584960018</v>
      </c>
      <c r="S49" s="76">
        <f>利润表!S4</f>
        <v>26381464422</v>
      </c>
      <c r="T49" s="76">
        <f>利润表!T4</f>
        <v>12924921593</v>
      </c>
      <c r="U49" s="76">
        <f>利润表!U4</f>
        <v>51342739663</v>
      </c>
      <c r="V49" s="76">
        <f>利润表!V4</f>
        <v>37696880493</v>
      </c>
      <c r="W49" s="76">
        <f>利润表!W4</f>
        <v>24322872530</v>
      </c>
      <c r="X49" s="76">
        <f>利润表!X4</f>
        <v>11983767548</v>
      </c>
      <c r="Y49" s="76">
        <f>利润表!Y4</f>
        <v>45962439573</v>
      </c>
      <c r="Z49" s="76">
        <f>利润表!Z4</f>
        <v>33478802188</v>
      </c>
      <c r="AA49" s="76">
        <f>利润表!AA4</f>
        <v>22255045433</v>
      </c>
      <c r="AB49" s="76">
        <f>利润表!AB4</f>
        <v>11190000000</v>
      </c>
      <c r="AC49" s="76">
        <f>利润表!AC4</f>
        <v>45007038465</v>
      </c>
      <c r="AD49" s="76">
        <f>利润表!AD4</f>
        <v>33270504198</v>
      </c>
      <c r="AE49" s="76">
        <f>利润表!AE4</f>
        <v>21852185048</v>
      </c>
      <c r="AF49" s="76">
        <f>利润表!AF4</f>
        <v>10894379545</v>
      </c>
      <c r="AG49" s="76">
        <f>利润表!AG4</f>
        <v>42013761549</v>
      </c>
      <c r="AH49" s="76">
        <f>利润表!AH4</f>
        <v>30987977369</v>
      </c>
      <c r="AI49" s="76">
        <f>利润表!AI4</f>
        <v>14020686374</v>
      </c>
      <c r="AJ49" s="76">
        <f>利润表!AJ4</f>
        <v>6584835335</v>
      </c>
      <c r="AK49" s="76">
        <f>利润表!AK4</f>
        <v>23123142326</v>
      </c>
      <c r="AL49" s="76">
        <f>利润表!AL4</f>
        <v>16248452158</v>
      </c>
      <c r="AM49" s="76">
        <f>利润表!AM4</f>
        <v>10162139870</v>
      </c>
      <c r="AN49" s="76">
        <f>利润表!AN4</f>
        <v>4859769970</v>
      </c>
      <c r="AO49" s="76">
        <f>利润表!AO4</f>
        <v>22595317577</v>
      </c>
      <c r="AP49" s="76">
        <f>利润表!AP4</f>
        <v>17703917791</v>
      </c>
      <c r="AQ49" s="76">
        <f>利润表!AQ4</f>
        <v>11607032225</v>
      </c>
      <c r="AR49" s="76">
        <f>利润表!AR4</f>
        <v>5507283336</v>
      </c>
      <c r="AS49" s="76">
        <f>利润表!AS4</f>
        <v>20860262089</v>
      </c>
      <c r="AT49" s="76">
        <f>利润表!AT4</f>
        <v>15225187083</v>
      </c>
      <c r="AU49" s="76">
        <f>利润表!AU4</f>
        <v>9646345314</v>
      </c>
      <c r="AV49" s="76">
        <f>利润表!AV4</f>
        <v>4499404773</v>
      </c>
      <c r="AW49" s="76">
        <f>利润表!AW4</f>
        <v>16144984825</v>
      </c>
      <c r="AX49" s="76">
        <f>利润表!AX4</f>
        <v>11763831167</v>
      </c>
      <c r="AY49" s="76">
        <f>利润表!AY4</f>
        <v>7762102659</v>
      </c>
      <c r="AZ49" s="76">
        <f>利润表!AZ4</f>
        <v>3520864128</v>
      </c>
      <c r="BA49" s="76">
        <f>利润表!BA4</f>
        <v>13104668212</v>
      </c>
      <c r="BB49" s="76">
        <f>利润表!BB4</f>
        <v>9638307308</v>
      </c>
      <c r="BC49" s="76">
        <f>利润表!BC4</f>
        <v>6487495242</v>
      </c>
      <c r="BD49" s="76">
        <f>利润表!BD4</f>
        <v>7201886346</v>
      </c>
      <c r="BE49" s="76">
        <f>利润表!BE4</f>
        <v>5138521408</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-10385522097</v>
      </c>
      <c r="F50" s="76">
        <f>资产资本表!F50</f>
        <v>-11983306366</v>
      </c>
      <c r="G50" s="76">
        <f>资产资本表!G50</f>
        <v>-8397778377</v>
      </c>
      <c r="H50" s="76">
        <f>资产资本表!H50</f>
        <v>-13999556007</v>
      </c>
      <c r="I50" s="76">
        <f>资产资本表!I50</f>
        <v>-15212808142</v>
      </c>
      <c r="J50" s="76">
        <f>资产资本表!J50</f>
        <v>-12205433872</v>
      </c>
      <c r="K50" s="76">
        <f>资产资本表!K50</f>
        <v>-12538697793</v>
      </c>
      <c r="L50" s="76">
        <f>资产资本表!L50</f>
        <v>-8138489383</v>
      </c>
      <c r="M50" s="76">
        <f>资产资本表!M50</f>
        <v>-12186054123</v>
      </c>
      <c r="N50" s="76">
        <f>资产资本表!N50</f>
        <v>-7098624056</v>
      </c>
      <c r="O50" s="76">
        <f>资产资本表!O50</f>
        <v>-8820949049</v>
      </c>
      <c r="P50" s="76">
        <f>资产资本表!P50</f>
        <v>-7764459086</v>
      </c>
      <c r="Q50" s="76">
        <f>资产资本表!Q50</f>
        <v>-11093538815</v>
      </c>
      <c r="R50" s="76">
        <f>资产资本表!R50</f>
        <v>-7154825773</v>
      </c>
      <c r="S50" s="76">
        <f>资产资本表!S50</f>
        <v>-4113894200</v>
      </c>
      <c r="T50" s="76">
        <f>资产资本表!T50</f>
        <v>-4256721213</v>
      </c>
      <c r="U50" s="76">
        <f>资产资本表!U50</f>
        <v>-7616253455</v>
      </c>
      <c r="V50" s="76">
        <f>资产资本表!V50</f>
        <v>-6853930134</v>
      </c>
      <c r="W50" s="76">
        <f>资产资本表!W50</f>
        <v>-5299107233</v>
      </c>
      <c r="X50" s="76">
        <f>资产资本表!X50</f>
        <v>-4553271551</v>
      </c>
      <c r="Y50" s="76">
        <f>资产资本表!Y50</f>
        <v>-7732567348</v>
      </c>
      <c r="Z50" s="76">
        <f>资产资本表!Z50</f>
        <v>-6633409301</v>
      </c>
      <c r="AA50" s="76">
        <f>资产资本表!AA50</f>
        <v>-5251042941</v>
      </c>
      <c r="AB50" s="76">
        <f>资产资本表!AB50</f>
        <v>-5656033237</v>
      </c>
      <c r="AC50" s="76">
        <f>资产资本表!AC50</f>
        <v>-9391115824</v>
      </c>
      <c r="AD50" s="76">
        <f>资产资本表!AD50</f>
        <v>-8381486030</v>
      </c>
      <c r="AE50" s="76">
        <f>资产资本表!AE50</f>
        <v>-7988022914</v>
      </c>
      <c r="AF50" s="76">
        <f>资产资本表!AF50</f>
        <v>-8874251436</v>
      </c>
      <c r="AG50" s="76">
        <f>资产资本表!AG50</f>
        <v>-12583020144</v>
      </c>
      <c r="AH50" s="76">
        <f>资产资本表!AH50</f>
        <v>-27552455185</v>
      </c>
      <c r="AI50" s="76">
        <f>资产资本表!AI50</f>
        <v>-6139579862</v>
      </c>
      <c r="AJ50" s="76">
        <f>资产资本表!AJ50</f>
        <v>-3399339370</v>
      </c>
      <c r="AK50" s="76">
        <f>资产资本表!AK50</f>
        <v>-4939985881</v>
      </c>
      <c r="AL50" s="76">
        <f>资产资本表!AL50</f>
        <v>-17915647925</v>
      </c>
      <c r="AM50" s="76">
        <f>资产资本表!AM50</f>
        <v>-19468277915</v>
      </c>
      <c r="AN50" s="76">
        <f>资产资本表!AN50</f>
        <v>-17799451387</v>
      </c>
      <c r="AO50" s="76">
        <f>资产资本表!AO50</f>
        <v>-19490870562</v>
      </c>
      <c r="AP50" s="76">
        <f>资产资本表!AP50</f>
        <v>-18058520641</v>
      </c>
      <c r="AQ50" s="76">
        <f>资产资本表!AQ50</f>
        <v>-12530720052</v>
      </c>
      <c r="AR50" s="76">
        <f>资产资本表!AR50</f>
        <v>-10716410685</v>
      </c>
      <c r="AS50" s="76">
        <f>资产资本表!AS50</f>
        <v>-12366730058</v>
      </c>
      <c r="AT50" s="76">
        <f>资产资本表!AT50</f>
        <v>-4906144163</v>
      </c>
      <c r="AU50" s="76">
        <f>资产资本表!AU50</f>
        <v>-3546184607</v>
      </c>
      <c r="AV50" s="76">
        <f>资产资本表!AV50</f>
        <v>-3538933013</v>
      </c>
      <c r="AW50" s="76">
        <f>资产资本表!AW50</f>
        <v>-4581842754</v>
      </c>
      <c r="AX50" s="76">
        <f>资产资本表!AX50</f>
        <v>-4067344148</v>
      </c>
      <c r="AY50" s="76">
        <f>资产资本表!AY50</f>
        <v>-11193764346</v>
      </c>
      <c r="AZ50" s="76">
        <f>资产资本表!AZ50</f>
        <v>-13298041693</v>
      </c>
      <c r="BA50" s="76">
        <f>资产资本表!BA50</f>
        <v>-1851049319</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-5.3571210880261244</v>
      </c>
      <c r="F51" s="44">
        <f t="shared" ref="F51:BQ51" si="18">F49/F50</f>
        <v>-3.4832257081759734</v>
      </c>
      <c r="G51" s="44">
        <f t="shared" si="18"/>
        <v>-3.2575958805872642</v>
      </c>
      <c r="H51" s="44">
        <f t="shared" si="18"/>
        <v>-0.88939861555425115</v>
      </c>
      <c r="I51" s="44">
        <f t="shared" si="18"/>
        <v>-2.933375585195098</v>
      </c>
      <c r="J51" s="44">
        <f t="shared" si="18"/>
        <v>-2.5882140082271055</v>
      </c>
      <c r="K51" s="44">
        <f t="shared" si="18"/>
        <v>-1.6927752449580074</v>
      </c>
      <c r="L51" s="44">
        <f t="shared" si="18"/>
        <v>-1.3654513904278935</v>
      </c>
      <c r="M51" s="44">
        <f t="shared" si="18"/>
        <v>-4.3107774139007082</v>
      </c>
      <c r="N51" s="44">
        <f t="shared" si="18"/>
        <v>-5.6920173605824207</v>
      </c>
      <c r="O51" s="44">
        <f t="shared" si="18"/>
        <v>-3.1253562320627344</v>
      </c>
      <c r="P51" s="44">
        <f t="shared" si="18"/>
        <v>-1.7875197885999912</v>
      </c>
      <c r="Q51" s="44">
        <f t="shared" si="18"/>
        <v>-4.8650598609727762</v>
      </c>
      <c r="R51" s="44">
        <f t="shared" si="18"/>
        <v>-5.6723896997121193</v>
      </c>
      <c r="S51" s="44">
        <f t="shared" si="18"/>
        <v>-6.412771729034743</v>
      </c>
      <c r="T51" s="44">
        <f t="shared" si="18"/>
        <v>-3.0363561403850858</v>
      </c>
      <c r="U51" s="44">
        <f t="shared" si="18"/>
        <v>-6.7412068107179346</v>
      </c>
      <c r="V51" s="44">
        <f t="shared" si="18"/>
        <v>-5.5000386283482356</v>
      </c>
      <c r="W51" s="44">
        <f t="shared" si="18"/>
        <v>-4.5899944010436675</v>
      </c>
      <c r="X51" s="44">
        <f t="shared" si="18"/>
        <v>-2.6319026690530016</v>
      </c>
      <c r="Y51" s="44">
        <f t="shared" si="18"/>
        <v>-5.9440076632359391</v>
      </c>
      <c r="Z51" s="44">
        <f t="shared" si="18"/>
        <v>-5.046997805932615</v>
      </c>
      <c r="AA51" s="44">
        <f t="shared" si="18"/>
        <v>-4.2382143286685414</v>
      </c>
      <c r="AB51" s="44">
        <f t="shared" si="18"/>
        <v>-1.9784183598495357</v>
      </c>
      <c r="AC51" s="44">
        <f t="shared" si="18"/>
        <v>-4.7925123391599218</v>
      </c>
      <c r="AD51" s="44">
        <f t="shared" si="18"/>
        <v>-3.9695233135167558</v>
      </c>
      <c r="AE51" s="44">
        <f t="shared" si="18"/>
        <v>-2.7356187235894551</v>
      </c>
      <c r="AF51" s="44">
        <f t="shared" si="18"/>
        <v>-1.2276392689083595</v>
      </c>
      <c r="AG51" s="44">
        <f t="shared" si="18"/>
        <v>-3.3389250806400046</v>
      </c>
      <c r="AH51" s="44">
        <f t="shared" si="18"/>
        <v>-1.1246902376188368</v>
      </c>
      <c r="AI51" s="44">
        <f t="shared" si="18"/>
        <v>-2.283655671747006</v>
      </c>
      <c r="AJ51" s="44">
        <f t="shared" si="18"/>
        <v>-1.9370926578007421</v>
      </c>
      <c r="AK51" s="44">
        <f t="shared" si="18"/>
        <v>-4.6808114199142583</v>
      </c>
      <c r="AL51" s="44">
        <f t="shared" si="18"/>
        <v>-0.90694192172232024</v>
      </c>
      <c r="AM51" s="44">
        <f t="shared" si="18"/>
        <v>-0.52198452859408961</v>
      </c>
      <c r="AN51" s="44">
        <f t="shared" si="18"/>
        <v>-0.27302919985215834</v>
      </c>
      <c r="AO51" s="44">
        <f t="shared" si="18"/>
        <v>-1.1592769807343817</v>
      </c>
      <c r="AP51" s="44">
        <f t="shared" si="18"/>
        <v>-0.98036368221686387</v>
      </c>
      <c r="AQ51" s="44">
        <f t="shared" si="18"/>
        <v>-0.92628613334534016</v>
      </c>
      <c r="AR51" s="44">
        <f t="shared" si="18"/>
        <v>-0.51391118704592642</v>
      </c>
      <c r="AS51" s="44">
        <f t="shared" si="18"/>
        <v>-1.6868049994756342</v>
      </c>
      <c r="AT51" s="44">
        <f t="shared" si="18"/>
        <v>-3.1032897887146738</v>
      </c>
      <c r="AU51" s="44">
        <f t="shared" si="18"/>
        <v>-2.7202039326882681</v>
      </c>
      <c r="AV51" s="44">
        <f t="shared" si="18"/>
        <v>-1.2714015090061836</v>
      </c>
      <c r="AW51" s="44">
        <f t="shared" si="18"/>
        <v>-3.5236881080009232</v>
      </c>
      <c r="AX51" s="44">
        <f t="shared" si="18"/>
        <v>-2.8922635358467335</v>
      </c>
      <c r="AY51" s="44">
        <f t="shared" si="18"/>
        <v>-0.69343095129331744</v>
      </c>
      <c r="AZ51" s="44">
        <f t="shared" si="18"/>
        <v>-0.26476561055251913</v>
      </c>
      <c r="BA51" s="44">
        <f t="shared" si="18"/>
        <v>-7.0795888999216885</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85113939279</v>
      </c>
      <c r="F52" s="76">
        <f>资产资本表!F68</f>
        <v>82085329435</v>
      </c>
      <c r="G52" s="76">
        <f>资产资本表!G68</f>
        <v>81288523734</v>
      </c>
      <c r="H52" s="76">
        <f>资产资本表!H68</f>
        <v>81608658286</v>
      </c>
      <c r="I52" s="76">
        <f>资产资本表!I68</f>
        <v>81970425557</v>
      </c>
      <c r="J52" s="76">
        <f>资产资本表!J68</f>
        <v>80376755534</v>
      </c>
      <c r="K52" s="76">
        <f>资产资本表!K68</f>
        <v>78828767638</v>
      </c>
      <c r="L52" s="76">
        <f>资产资本表!L68</f>
        <v>79769441644</v>
      </c>
      <c r="M52" s="76">
        <f>资产资本表!M68</f>
        <v>80188992393</v>
      </c>
      <c r="N52" s="76">
        <f>资产资本表!N68</f>
        <v>70687983130</v>
      </c>
      <c r="O52" s="76">
        <f>资产资本表!O68</f>
        <v>70267854987</v>
      </c>
      <c r="P52" s="76">
        <f>资产资本表!P68</f>
        <v>71115701101</v>
      </c>
      <c r="Q52" s="76">
        <f>资产资本表!Q68</f>
        <v>72083804847</v>
      </c>
      <c r="R52" s="76">
        <f>资产资本表!R68</f>
        <v>70660721286</v>
      </c>
      <c r="S52" s="76">
        <f>资产资本表!S68</f>
        <v>71042384485</v>
      </c>
      <c r="T52" s="76">
        <f>资产资本表!T68</f>
        <v>71729513589</v>
      </c>
      <c r="U52" s="76">
        <f>资产资本表!U68</f>
        <v>72688972301</v>
      </c>
      <c r="V52" s="76">
        <f>资产资本表!V68</f>
        <v>70046300776</v>
      </c>
      <c r="W52" s="76">
        <f>资产资本表!W68</f>
        <v>70114780232</v>
      </c>
      <c r="X52" s="76">
        <f>资产资本表!X68</f>
        <v>70945842032</v>
      </c>
      <c r="Y52" s="76">
        <f>资产资本表!Y68</f>
        <v>71878046313</v>
      </c>
      <c r="Z52" s="76">
        <f>资产资本表!Z68</f>
        <v>69541338367</v>
      </c>
      <c r="AA52" s="76">
        <f>资产资本表!AA68</f>
        <v>69641340898</v>
      </c>
      <c r="AB52" s="76">
        <f>资产资本表!AB68</f>
        <v>69975299807</v>
      </c>
      <c r="AC52" s="76">
        <f>资产资本表!AC68</f>
        <v>70935064227</v>
      </c>
      <c r="AD52" s="76">
        <f>资产资本表!AD68</f>
        <v>69873459589</v>
      </c>
      <c r="AE52" s="76">
        <f>资产资本表!AE68</f>
        <v>70545713185</v>
      </c>
      <c r="AF52" s="76">
        <f>资产资本表!AF68</f>
        <v>71437289655</v>
      </c>
      <c r="AG52" s="76">
        <f>资产资本表!AG68</f>
        <v>72317640236</v>
      </c>
      <c r="AH52" s="76">
        <f>资产资本表!AH68</f>
        <v>72699242671</v>
      </c>
      <c r="AI52" s="76">
        <f>资产资本表!AI68</f>
        <v>62087926445</v>
      </c>
      <c r="AJ52" s="76">
        <f>资产资本表!AJ68</f>
        <v>56152838891</v>
      </c>
      <c r="AK52" s="76">
        <f>资产资本表!AK68</f>
        <v>55395697400</v>
      </c>
      <c r="AL52" s="76">
        <f>资产资本表!AL68</f>
        <v>55889371556</v>
      </c>
      <c r="AM52" s="76">
        <f>资产资本表!AM68</f>
        <v>56473879438</v>
      </c>
      <c r="AN52" s="76">
        <f>资产资本表!AN68</f>
        <v>54944207231</v>
      </c>
      <c r="AO52" s="76">
        <f>资产资本表!AO68</f>
        <v>55068450714</v>
      </c>
      <c r="AP52" s="76">
        <f>资产资本表!AP68</f>
        <v>51146973576</v>
      </c>
      <c r="AQ52" s="76">
        <f>资产资本表!AQ68</f>
        <v>45766598933</v>
      </c>
      <c r="AR52" s="76">
        <f>资产资本表!AR68</f>
        <v>42452850028</v>
      </c>
      <c r="AS52" s="76">
        <f>资产资本表!AS68</f>
        <v>42112575802</v>
      </c>
      <c r="AT52" s="76">
        <f>资产资本表!AT68</f>
        <v>33529562137</v>
      </c>
      <c r="AU52" s="76">
        <f>资产资本表!AU68</f>
        <v>33429044248</v>
      </c>
      <c r="AV52" s="76">
        <f>资产资本表!AV68</f>
        <v>33840190373</v>
      </c>
      <c r="AW52" s="76">
        <f>资产资本表!AW68</f>
        <v>33411004617</v>
      </c>
      <c r="AX52" s="76">
        <f>资产资本表!AX68</f>
        <v>32594609265</v>
      </c>
      <c r="AY52" s="76">
        <f>资产资本表!AY68</f>
        <v>31435560207</v>
      </c>
      <c r="AZ52" s="76">
        <f>资产资本表!AZ68</f>
        <v>31537736633</v>
      </c>
      <c r="BA52" s="76">
        <f>资产资本表!BA68</f>
        <v>16712546651</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0.6536708312092786</v>
      </c>
      <c r="F53" s="44">
        <f t="shared" ref="F53:BQ53" si="20">F49/F52</f>
        <v>0.50850208058253132</v>
      </c>
      <c r="G53" s="44">
        <f t="shared" si="20"/>
        <v>0.33653665967066582</v>
      </c>
      <c r="H53" s="44">
        <f t="shared" si="20"/>
        <v>0.15257187156985777</v>
      </c>
      <c r="I53" s="44">
        <f t="shared" si="20"/>
        <v>0.54440219972957293</v>
      </c>
      <c r="J53" s="44">
        <f t="shared" si="20"/>
        <v>0.39302749550069938</v>
      </c>
      <c r="K53" s="44">
        <f t="shared" si="20"/>
        <v>0.26925699670291731</v>
      </c>
      <c r="L53" s="44">
        <f t="shared" si="20"/>
        <v>0.13931038521736805</v>
      </c>
      <c r="M53" s="44">
        <f t="shared" si="20"/>
        <v>0.65509448753948507</v>
      </c>
      <c r="N53" s="44">
        <f t="shared" si="20"/>
        <v>0.57160339811494632</v>
      </c>
      <c r="O53" s="44">
        <f t="shared" si="20"/>
        <v>0.39233598475576587</v>
      </c>
      <c r="P53" s="44">
        <f t="shared" si="20"/>
        <v>0.19516258785508672</v>
      </c>
      <c r="Q53" s="44">
        <f t="shared" si="20"/>
        <v>0.74872199822906771</v>
      </c>
      <c r="R53" s="44">
        <f t="shared" si="20"/>
        <v>0.57436379475567412</v>
      </c>
      <c r="S53" s="44">
        <f t="shared" si="20"/>
        <v>0.3713482396916199</v>
      </c>
      <c r="T53" s="44">
        <f t="shared" si="20"/>
        <v>0.18018972869463437</v>
      </c>
      <c r="U53" s="44">
        <f t="shared" si="20"/>
        <v>0.70633464799025181</v>
      </c>
      <c r="V53" s="44">
        <f t="shared" si="20"/>
        <v>0.53817089661237472</v>
      </c>
      <c r="W53" s="44">
        <f t="shared" si="20"/>
        <v>0.34690078824349185</v>
      </c>
      <c r="X53" s="44">
        <f t="shared" si="20"/>
        <v>0.16891430427444559</v>
      </c>
      <c r="Y53" s="44">
        <f t="shared" si="20"/>
        <v>0.63945031801298624</v>
      </c>
      <c r="Z53" s="44">
        <f t="shared" si="20"/>
        <v>0.48142303519264679</v>
      </c>
      <c r="AA53" s="44">
        <f t="shared" si="20"/>
        <v>0.31956658424477768</v>
      </c>
      <c r="AB53" s="44">
        <f t="shared" si="20"/>
        <v>0.15991356994344175</v>
      </c>
      <c r="AC53" s="44">
        <f t="shared" si="20"/>
        <v>0.63448224027784805</v>
      </c>
      <c r="AD53" s="44">
        <f t="shared" si="20"/>
        <v>0.47615366970090156</v>
      </c>
      <c r="AE53" s="44">
        <f t="shared" si="20"/>
        <v>0.30975921939713819</v>
      </c>
      <c r="AF53" s="44">
        <f t="shared" si="20"/>
        <v>0.15250269988703982</v>
      </c>
      <c r="AG53" s="44">
        <f t="shared" si="20"/>
        <v>0.58096145576505398</v>
      </c>
      <c r="AH53" s="44">
        <f t="shared" si="20"/>
        <v>0.4262489708350321</v>
      </c>
      <c r="AI53" s="44">
        <f t="shared" si="20"/>
        <v>0.22581985221265349</v>
      </c>
      <c r="AJ53" s="44">
        <f t="shared" si="20"/>
        <v>0.11726629436816233</v>
      </c>
      <c r="AK53" s="44">
        <f t="shared" si="20"/>
        <v>0.41741765897508132</v>
      </c>
      <c r="AL53" s="44">
        <f t="shared" si="20"/>
        <v>0.29072526145189137</v>
      </c>
      <c r="AM53" s="44">
        <f t="shared" si="20"/>
        <v>0.17994407274882776</v>
      </c>
      <c r="AN53" s="44">
        <f t="shared" si="20"/>
        <v>8.8449178082927654E-2</v>
      </c>
      <c r="AO53" s="44">
        <f t="shared" si="20"/>
        <v>0.41031329707003383</v>
      </c>
      <c r="AP53" s="44">
        <f t="shared" si="20"/>
        <v>0.34613813004387251</v>
      </c>
      <c r="AQ53" s="44">
        <f t="shared" si="20"/>
        <v>0.25361360677012751</v>
      </c>
      <c r="AR53" s="44">
        <f t="shared" si="20"/>
        <v>0.12972705795647743</v>
      </c>
      <c r="AS53" s="44">
        <f t="shared" si="20"/>
        <v>0.4953451953895755</v>
      </c>
      <c r="AT53" s="44">
        <f t="shared" si="20"/>
        <v>0.45408249057326483</v>
      </c>
      <c r="AU53" s="44">
        <f t="shared" si="20"/>
        <v>0.28856180399405595</v>
      </c>
      <c r="AV53" s="44">
        <f t="shared" si="20"/>
        <v>0.13296038596136062</v>
      </c>
      <c r="AW53" s="44">
        <f t="shared" si="20"/>
        <v>0.48322356690780854</v>
      </c>
      <c r="AX53" s="44">
        <f t="shared" si="20"/>
        <v>0.36091339740746542</v>
      </c>
      <c r="AY53" s="44">
        <f t="shared" si="20"/>
        <v>0.24692108579860944</v>
      </c>
      <c r="AZ53" s="44">
        <f t="shared" si="20"/>
        <v>0.11163972129553169</v>
      </c>
      <c r="BA53" s="44">
        <f t="shared" si="20"/>
        <v>0.78412156361675012</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13585000499</v>
      </c>
      <c r="F54" s="76">
        <f>资产资本表!F17</f>
        <v>17419784269</v>
      </c>
      <c r="G54" s="76">
        <f>资产资本表!G17</f>
        <v>9228653721</v>
      </c>
      <c r="H54" s="76">
        <f>资产资本表!H17</f>
        <v>14905588880</v>
      </c>
      <c r="I54" s="76">
        <f>资产资本表!I17</f>
        <v>12963268732</v>
      </c>
      <c r="J54" s="76">
        <f>资产资本表!J17</f>
        <v>9626478337</v>
      </c>
      <c r="K54" s="76">
        <f>资产资本表!K17</f>
        <v>15145629944</v>
      </c>
      <c r="L54" s="76">
        <f>资产资本表!L17</f>
        <v>7804186899</v>
      </c>
      <c r="M54" s="76">
        <f>资产资本表!M17</f>
        <v>9823637722</v>
      </c>
      <c r="N54" s="76">
        <f>资产资本表!N17</f>
        <v>11472868140</v>
      </c>
      <c r="O54" s="76">
        <f>资产资本表!O17</f>
        <v>10197125832</v>
      </c>
      <c r="P54" s="76">
        <f>资产资本表!P17</f>
        <v>12396057234</v>
      </c>
      <c r="Q54" s="76">
        <f>资产资本表!Q17</f>
        <v>11310839016</v>
      </c>
      <c r="R54" s="76">
        <f>资产资本表!R17</f>
        <v>15209610373</v>
      </c>
      <c r="S54" s="76">
        <f>资产资本表!S17</f>
        <v>8231918301</v>
      </c>
      <c r="T54" s="76">
        <f>资产资本表!T17</f>
        <v>10951373925</v>
      </c>
      <c r="U54" s="76">
        <f>资产资本表!U17</f>
        <v>10044372632</v>
      </c>
      <c r="V54" s="76">
        <f>资产资本表!V17</f>
        <v>8505323038</v>
      </c>
      <c r="W54" s="76">
        <f>资产资本表!W17</f>
        <v>8251430721</v>
      </c>
      <c r="X54" s="76">
        <f>资产资本表!X17</f>
        <v>9833190939</v>
      </c>
      <c r="Y54" s="76">
        <f>资产资本表!Y17</f>
        <v>9019506879</v>
      </c>
      <c r="Z54" s="76">
        <f>资产资本表!Z17</f>
        <v>6547531039</v>
      </c>
      <c r="AA54" s="76">
        <f>资产资本表!AA17</f>
        <v>8456487659</v>
      </c>
      <c r="AB54" s="76">
        <f>资产资本表!AB17</f>
        <v>6268104319</v>
      </c>
      <c r="AC54" s="76">
        <f>资产资本表!AC17</f>
        <v>5873259979</v>
      </c>
      <c r="AD54" s="76">
        <f>资产资本表!AD17</f>
        <v>4944753962</v>
      </c>
      <c r="AE54" s="76">
        <f>资产资本表!AE17</f>
        <v>9805303490</v>
      </c>
      <c r="AF54" s="76">
        <f>资产资本表!AF17</f>
        <v>7359308623</v>
      </c>
      <c r="AG54" s="76">
        <f>资产资本表!AG17</f>
        <v>10153209322</v>
      </c>
      <c r="AH54" s="76">
        <f>资产资本表!AH17</f>
        <v>5861166763</v>
      </c>
      <c r="AI54" s="76">
        <f>资产资本表!AI17</f>
        <v>4218442993</v>
      </c>
      <c r="AJ54" s="76">
        <f>资产资本表!AJ17</f>
        <v>6060801278</v>
      </c>
      <c r="AK54" s="76">
        <f>资产资本表!AK17</f>
        <v>9017190649</v>
      </c>
      <c r="AL54" s="76">
        <f>资产资本表!AL17</f>
        <v>6489196318</v>
      </c>
      <c r="AM54" s="76">
        <f>资产资本表!AM17</f>
        <v>6085715021</v>
      </c>
      <c r="AN54" s="76">
        <f>资产资本表!AN17</f>
        <v>4573336328</v>
      </c>
      <c r="AO54" s="76">
        <f>资产资本表!AO17</f>
        <v>4677747639</v>
      </c>
      <c r="AP54" s="76">
        <f>资产资本表!AP17</f>
        <v>6056564727</v>
      </c>
      <c r="AQ54" s="76">
        <f>资产资本表!AQ17</f>
        <v>7954553316</v>
      </c>
      <c r="AR54" s="76">
        <f>资产资本表!AR17</f>
        <v>7823859551</v>
      </c>
      <c r="AS54" s="76">
        <f>资产资本表!AS17</f>
        <v>7789551415</v>
      </c>
      <c r="AT54" s="76">
        <f>资产资本表!AT17</f>
        <v>7466137957</v>
      </c>
      <c r="AU54" s="76">
        <f>资产资本表!AU17</f>
        <v>4499376195</v>
      </c>
      <c r="AV54" s="76">
        <f>资产资本表!AV17</f>
        <v>6602628507</v>
      </c>
      <c r="AW54" s="76">
        <f>资产资本表!AW17</f>
        <v>6437511108</v>
      </c>
      <c r="AX54" s="76">
        <f>资产资本表!AX17</f>
        <v>5623521932</v>
      </c>
      <c r="AY54" s="76">
        <f>资产资本表!AY17</f>
        <v>4918707553</v>
      </c>
      <c r="AZ54" s="76">
        <f>资产资本表!AZ17</f>
        <v>5773536537</v>
      </c>
      <c r="BA54" s="76">
        <f>资产资本表!BA17</f>
        <v>785200273</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4.0954359508559044</v>
      </c>
      <c r="F55" s="44">
        <f t="shared" ref="F55:BQ55" si="22">F49/F54</f>
        <v>2.3961583081875997</v>
      </c>
      <c r="G55" s="44">
        <f t="shared" si="22"/>
        <v>2.9643075874381917</v>
      </c>
      <c r="H55" s="44">
        <f t="shared" si="22"/>
        <v>0.83533672042348717</v>
      </c>
      <c r="I55" s="44">
        <f t="shared" si="22"/>
        <v>3.442409542574929</v>
      </c>
      <c r="J55" s="44">
        <f t="shared" si="22"/>
        <v>3.2816024529531957</v>
      </c>
      <c r="K55" s="44">
        <f t="shared" si="22"/>
        <v>1.4014073568731582</v>
      </c>
      <c r="L55" s="44">
        <f t="shared" si="22"/>
        <v>1.4239422745531558</v>
      </c>
      <c r="M55" s="44">
        <f t="shared" si="22"/>
        <v>5.3474454539743661</v>
      </c>
      <c r="N55" s="44">
        <f t="shared" si="22"/>
        <v>3.5218300140770205</v>
      </c>
      <c r="O55" s="44">
        <f t="shared" si="22"/>
        <v>2.7035665281765842</v>
      </c>
      <c r="P55" s="44">
        <f t="shared" si="22"/>
        <v>1.1196402212416567</v>
      </c>
      <c r="Q55" s="44">
        <f t="shared" si="22"/>
        <v>4.7715938957892066</v>
      </c>
      <c r="R55" s="44">
        <f t="shared" si="22"/>
        <v>2.6683760479522967</v>
      </c>
      <c r="S55" s="44">
        <f t="shared" si="22"/>
        <v>3.2047772411438076</v>
      </c>
      <c r="T55" s="44">
        <f t="shared" si="22"/>
        <v>1.1802100523199879</v>
      </c>
      <c r="U55" s="44">
        <f t="shared" si="22"/>
        <v>5.1115924850725909</v>
      </c>
      <c r="V55" s="44">
        <f t="shared" si="22"/>
        <v>4.4321515272939358</v>
      </c>
      <c r="W55" s="44">
        <f t="shared" si="22"/>
        <v>2.9477157783192638</v>
      </c>
      <c r="X55" s="44">
        <f t="shared" si="22"/>
        <v>1.2187058730315579</v>
      </c>
      <c r="Y55" s="44">
        <f t="shared" si="22"/>
        <v>5.0958927344480163</v>
      </c>
      <c r="Z55" s="44">
        <f t="shared" si="22"/>
        <v>5.1131948804191074</v>
      </c>
      <c r="AA55" s="44">
        <f t="shared" si="22"/>
        <v>2.6317126365477028</v>
      </c>
      <c r="AB55" s="44">
        <f t="shared" si="22"/>
        <v>1.7852287438932142</v>
      </c>
      <c r="AC55" s="44">
        <f t="shared" si="22"/>
        <v>7.6630420968804183</v>
      </c>
      <c r="AD55" s="44">
        <f t="shared" si="22"/>
        <v>6.7284448232775391</v>
      </c>
      <c r="AE55" s="44">
        <f t="shared" si="22"/>
        <v>2.2286087391671341</v>
      </c>
      <c r="AF55" s="44">
        <f t="shared" si="22"/>
        <v>1.4803536722120696</v>
      </c>
      <c r="AG55" s="44">
        <f t="shared" si="22"/>
        <v>4.1379784673565698</v>
      </c>
      <c r="AH55" s="44">
        <f t="shared" si="22"/>
        <v>5.2869980708651614</v>
      </c>
      <c r="AI55" s="44">
        <f t="shared" si="22"/>
        <v>3.3236638250808763</v>
      </c>
      <c r="AJ55" s="44">
        <f t="shared" si="22"/>
        <v>1.0864628343618825</v>
      </c>
      <c r="AK55" s="44">
        <f t="shared" si="22"/>
        <v>2.5643399619774412</v>
      </c>
      <c r="AL55" s="44">
        <f t="shared" si="22"/>
        <v>2.5039236542943497</v>
      </c>
      <c r="AM55" s="44">
        <f t="shared" si="22"/>
        <v>1.6698349881539745</v>
      </c>
      <c r="AN55" s="44">
        <f t="shared" si="22"/>
        <v>1.0626312218164069</v>
      </c>
      <c r="AO55" s="44">
        <f t="shared" si="22"/>
        <v>4.8303840482147908</v>
      </c>
      <c r="AP55" s="44">
        <f t="shared" si="22"/>
        <v>2.9230956142640427</v>
      </c>
      <c r="AQ55" s="44">
        <f t="shared" si="22"/>
        <v>1.4591683233366866</v>
      </c>
      <c r="AR55" s="44">
        <f t="shared" si="22"/>
        <v>0.70390876780195921</v>
      </c>
      <c r="AS55" s="44">
        <f t="shared" si="22"/>
        <v>2.6779798960990617</v>
      </c>
      <c r="AT55" s="44">
        <f t="shared" si="22"/>
        <v>2.0392319524079214</v>
      </c>
      <c r="AU55" s="44">
        <f t="shared" si="22"/>
        <v>2.1439294906524258</v>
      </c>
      <c r="AV55" s="44">
        <f t="shared" si="22"/>
        <v>0.68145659993286067</v>
      </c>
      <c r="AW55" s="44">
        <f t="shared" si="22"/>
        <v>2.5079544802550111</v>
      </c>
      <c r="AX55" s="44">
        <f t="shared" si="22"/>
        <v>2.0918974459865236</v>
      </c>
      <c r="AY55" s="44">
        <f t="shared" si="22"/>
        <v>1.5780776912149954</v>
      </c>
      <c r="AZ55" s="44">
        <f t="shared" si="22"/>
        <v>0.60982798072487543</v>
      </c>
      <c r="BA55" s="44">
        <f t="shared" si="22"/>
        <v>16.689586927843568</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20059833772</v>
      </c>
      <c r="F56" s="76">
        <f>资产资本表!F19</f>
        <v>19184215848</v>
      </c>
      <c r="G56" s="76">
        <f>资产资本表!G19</f>
        <v>20893397474</v>
      </c>
      <c r="H56" s="76">
        <f>资产资本表!H19</f>
        <v>20024763725</v>
      </c>
      <c r="I56" s="76">
        <f>资产资本表!I19</f>
        <v>19334512433</v>
      </c>
      <c r="J56" s="76">
        <f>资产资本表!J19</f>
        <v>18704541970</v>
      </c>
      <c r="K56" s="76">
        <f>资产资本表!K19</f>
        <v>18538874624</v>
      </c>
      <c r="L56" s="76">
        <f>资产资本表!L19</f>
        <v>18894075129</v>
      </c>
      <c r="M56" s="76">
        <f>资产资本表!M19</f>
        <v>18425069796</v>
      </c>
      <c r="N56" s="76">
        <f>资产资本表!N19</f>
        <v>19313319200</v>
      </c>
      <c r="O56" s="76">
        <f>资产资本表!O19</f>
        <v>18821263521</v>
      </c>
      <c r="P56" s="76">
        <f>资产资本表!P19</f>
        <v>18139127007</v>
      </c>
      <c r="Q56" s="76">
        <f>资产资本表!Q19</f>
        <v>17735147007</v>
      </c>
      <c r="R56" s="76">
        <f>资产资本表!R19</f>
        <v>18595660143</v>
      </c>
      <c r="S56" s="76">
        <f>资产资本表!S19</f>
        <v>17897163535</v>
      </c>
      <c r="T56" s="76">
        <f>资产资本表!T19</f>
        <v>17217097172</v>
      </c>
      <c r="U56" s="76">
        <f>资产资本表!U19</f>
        <v>16672097172</v>
      </c>
      <c r="V56" s="76">
        <f>资产资本表!V19</f>
        <v>17039699676</v>
      </c>
      <c r="W56" s="76">
        <f>资产资本表!W19</f>
        <v>16430233698</v>
      </c>
      <c r="X56" s="76">
        <f>资产资本表!X19</f>
        <v>15590413767</v>
      </c>
      <c r="Y56" s="76">
        <f>资产资本表!Y19</f>
        <v>15000413767</v>
      </c>
      <c r="Z56" s="76">
        <f>资产资本表!Z19</f>
        <v>15625369901</v>
      </c>
      <c r="AA56" s="76">
        <f>资产资本表!AA19</f>
        <v>15236212042</v>
      </c>
      <c r="AB56" s="76">
        <f>资产资本表!AB19</f>
        <v>14642307915</v>
      </c>
      <c r="AC56" s="76">
        <f>资产资本表!AC19</f>
        <v>14190036535</v>
      </c>
      <c r="AD56" s="76">
        <f>资产资本表!AD19</f>
        <v>14955569385</v>
      </c>
      <c r="AE56" s="76">
        <f>资产资本表!AE19</f>
        <v>14494329442</v>
      </c>
      <c r="AF56" s="76">
        <f>资产资本表!AF19</f>
        <v>14065543542</v>
      </c>
      <c r="AG56" s="76">
        <f>资产资本表!AG19</f>
        <v>13574856956</v>
      </c>
      <c r="AH56" s="76">
        <f>资产资本表!AH19</f>
        <v>14248124999</v>
      </c>
      <c r="AI56" s="76">
        <f>资产资本表!AI19</f>
        <v>65158697</v>
      </c>
      <c r="AJ56" s="76">
        <f>资产资本表!AJ19</f>
        <v>65158697</v>
      </c>
      <c r="AK56" s="76">
        <f>资产资本表!AK19</f>
        <v>65158697</v>
      </c>
      <c r="AL56" s="76">
        <f>资产资本表!AL19</f>
        <v>65158697</v>
      </c>
      <c r="AM56" s="76">
        <f>资产资本表!AM19</f>
        <v>65158697</v>
      </c>
      <c r="AN56" s="76">
        <f>资产资本表!AN19</f>
        <v>65158697</v>
      </c>
      <c r="AO56" s="76">
        <f>资产资本表!AO19</f>
        <v>65158697</v>
      </c>
      <c r="AP56" s="76">
        <f>资产资本表!AP19</f>
        <v>65158697</v>
      </c>
      <c r="AQ56" s="76">
        <f>资产资本表!AQ19</f>
        <v>65158697</v>
      </c>
      <c r="AR56" s="76">
        <f>资产资本表!AR19</f>
        <v>65158697</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2.7735274413718605</v>
      </c>
      <c r="F57" s="117">
        <f t="shared" ref="F57:BQ57" si="24">F49/F56</f>
        <v>2.1757762284222606</v>
      </c>
      <c r="G57" s="117">
        <f t="shared" si="24"/>
        <v>1.3093403445295504</v>
      </c>
      <c r="H57" s="117">
        <f t="shared" si="24"/>
        <v>0.62178939547013312</v>
      </c>
      <c r="I57" s="117">
        <f t="shared" si="24"/>
        <v>2.3080426848434299</v>
      </c>
      <c r="J57" s="117">
        <f t="shared" si="24"/>
        <v>1.6889093020650963</v>
      </c>
      <c r="K57" s="117">
        <f t="shared" si="24"/>
        <v>1.144902139880829</v>
      </c>
      <c r="L57" s="117">
        <f t="shared" si="24"/>
        <v>0.58815854007817525</v>
      </c>
      <c r="M57" s="117">
        <f t="shared" si="24"/>
        <v>2.8510810249090248</v>
      </c>
      <c r="N57" s="117">
        <f t="shared" si="24"/>
        <v>2.0921049843674719</v>
      </c>
      <c r="O57" s="117">
        <f t="shared" si="24"/>
        <v>1.4647586253834695</v>
      </c>
      <c r="P57" s="117">
        <f t="shared" si="24"/>
        <v>0.7651484141791367</v>
      </c>
      <c r="Q57" s="117">
        <f t="shared" si="24"/>
        <v>3.0431510031294322</v>
      </c>
      <c r="R57" s="117">
        <f t="shared" si="24"/>
        <v>2.1824963301062197</v>
      </c>
      <c r="S57" s="117">
        <f t="shared" si="24"/>
        <v>1.4740584098931631</v>
      </c>
      <c r="T57" s="117">
        <f t="shared" si="24"/>
        <v>0.75070271509065278</v>
      </c>
      <c r="U57" s="117">
        <f t="shared" si="24"/>
        <v>3.0795609654451694</v>
      </c>
      <c r="V57" s="117">
        <f t="shared" si="24"/>
        <v>2.2122972358541704</v>
      </c>
      <c r="W57" s="117">
        <f t="shared" si="24"/>
        <v>1.4803728892158574</v>
      </c>
      <c r="X57" s="117">
        <f t="shared" si="24"/>
        <v>0.76866257221253897</v>
      </c>
      <c r="Y57" s="117">
        <f t="shared" si="24"/>
        <v>3.064078117239311</v>
      </c>
      <c r="Z57" s="117">
        <f t="shared" si="24"/>
        <v>2.1425926170142957</v>
      </c>
      <c r="AA57" s="117">
        <f t="shared" si="24"/>
        <v>1.4606678728053895</v>
      </c>
      <c r="AB57" s="117">
        <f t="shared" si="24"/>
        <v>0.76422378664340496</v>
      </c>
      <c r="AC57" s="117">
        <f t="shared" si="24"/>
        <v>3.171735206881904</v>
      </c>
      <c r="AD57" s="117">
        <f t="shared" si="24"/>
        <v>2.2246230378476493</v>
      </c>
      <c r="AE57" s="117">
        <f t="shared" si="24"/>
        <v>1.5076368406998708</v>
      </c>
      <c r="AF57" s="117">
        <f t="shared" si="24"/>
        <v>0.77454380006497159</v>
      </c>
      <c r="AG57" s="117">
        <f t="shared" si="24"/>
        <v>3.0949690066848317</v>
      </c>
      <c r="AH57" s="117">
        <f t="shared" si="24"/>
        <v>2.1748810718024219</v>
      </c>
      <c r="AI57" s="117">
        <f t="shared" si="24"/>
        <v>215.17751304940919</v>
      </c>
      <c r="AJ57" s="117">
        <f t="shared" si="24"/>
        <v>101.05842563119394</v>
      </c>
      <c r="AK57" s="117">
        <f t="shared" si="24"/>
        <v>354.87422847022248</v>
      </c>
      <c r="AL57" s="117">
        <f t="shared" si="24"/>
        <v>249.36735855844387</v>
      </c>
      <c r="AM57" s="117">
        <f t="shared" si="24"/>
        <v>155.95983863827112</v>
      </c>
      <c r="AN57" s="117">
        <f t="shared" si="24"/>
        <v>74.583596568850965</v>
      </c>
      <c r="AO57" s="117">
        <f t="shared" si="24"/>
        <v>346.77362527676081</v>
      </c>
      <c r="AP57" s="117">
        <f t="shared" si="24"/>
        <v>271.70460132129409</v>
      </c>
      <c r="AQ57" s="117">
        <f t="shared" si="24"/>
        <v>178.13481176580311</v>
      </c>
      <c r="AR57" s="117">
        <f t="shared" si="24"/>
        <v>84.521078375769235</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38352</v>
      </c>
      <c r="BE61" s="1">
        <v>37986</v>
      </c>
      <c r="BF61" s="1">
        <v>25569</v>
      </c>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55636499436</v>
      </c>
      <c r="F63" s="76">
        <f t="shared" ref="F63:BQ63" si="26">F49</f>
        <v>41740560803</v>
      </c>
      <c r="G63" s="76">
        <f t="shared" si="26"/>
        <v>27356568247</v>
      </c>
      <c r="H63" s="76">
        <f t="shared" si="26"/>
        <v>12451185731</v>
      </c>
      <c r="I63" s="76">
        <f t="shared" si="26"/>
        <v>44624879986</v>
      </c>
      <c r="J63" s="76">
        <f t="shared" si="26"/>
        <v>31590274924</v>
      </c>
      <c r="K63" s="76">
        <f t="shared" si="26"/>
        <v>21225197228</v>
      </c>
      <c r="L63" s="76">
        <f t="shared" si="26"/>
        <v>11112711644</v>
      </c>
      <c r="M63" s="76">
        <f t="shared" si="26"/>
        <v>52531366878</v>
      </c>
      <c r="N63" s="76">
        <f t="shared" si="26"/>
        <v>40405491363</v>
      </c>
      <c r="O63" s="76">
        <f t="shared" si="26"/>
        <v>27568608083</v>
      </c>
      <c r="P63" s="76">
        <f t="shared" si="26"/>
        <v>13879124264</v>
      </c>
      <c r="Q63" s="76">
        <f t="shared" si="26"/>
        <v>53970730405</v>
      </c>
      <c r="R63" s="76">
        <f t="shared" si="26"/>
        <v>40584960018</v>
      </c>
      <c r="S63" s="76">
        <f t="shared" si="26"/>
        <v>26381464422</v>
      </c>
      <c r="T63" s="76">
        <f t="shared" si="26"/>
        <v>12924921593</v>
      </c>
      <c r="U63" s="76">
        <f t="shared" si="26"/>
        <v>51342739663</v>
      </c>
      <c r="V63" s="76">
        <f t="shared" si="26"/>
        <v>37696880493</v>
      </c>
      <c r="W63" s="76">
        <f t="shared" si="26"/>
        <v>24322872530</v>
      </c>
      <c r="X63" s="76">
        <f t="shared" si="26"/>
        <v>11983767548</v>
      </c>
      <c r="Y63" s="76">
        <f t="shared" si="26"/>
        <v>45962439573</v>
      </c>
      <c r="Z63" s="76">
        <f t="shared" si="26"/>
        <v>33478802188</v>
      </c>
      <c r="AA63" s="76">
        <f t="shared" si="26"/>
        <v>22255045433</v>
      </c>
      <c r="AB63" s="76">
        <f t="shared" si="26"/>
        <v>11190000000</v>
      </c>
      <c r="AC63" s="76">
        <f t="shared" si="26"/>
        <v>45007038465</v>
      </c>
      <c r="AD63" s="76">
        <f t="shared" si="26"/>
        <v>33270504198</v>
      </c>
      <c r="AE63" s="76">
        <f t="shared" si="26"/>
        <v>21852185048</v>
      </c>
      <c r="AF63" s="76">
        <f t="shared" si="26"/>
        <v>10894379545</v>
      </c>
      <c r="AG63" s="76">
        <f t="shared" si="26"/>
        <v>42013761549</v>
      </c>
      <c r="AH63" s="76">
        <f t="shared" si="26"/>
        <v>30987977369</v>
      </c>
      <c r="AI63" s="76">
        <f t="shared" si="26"/>
        <v>14020686374</v>
      </c>
      <c r="AJ63" s="76">
        <f t="shared" si="26"/>
        <v>6584835335</v>
      </c>
      <c r="AK63" s="76">
        <f t="shared" si="26"/>
        <v>23123142326</v>
      </c>
      <c r="AL63" s="76">
        <f t="shared" si="26"/>
        <v>16248452158</v>
      </c>
      <c r="AM63" s="76">
        <f t="shared" si="26"/>
        <v>10162139870</v>
      </c>
      <c r="AN63" s="76">
        <f t="shared" si="26"/>
        <v>4859769970</v>
      </c>
      <c r="AO63" s="76">
        <f t="shared" si="26"/>
        <v>22595317577</v>
      </c>
      <c r="AP63" s="76">
        <f t="shared" si="26"/>
        <v>17703917791</v>
      </c>
      <c r="AQ63" s="76">
        <f t="shared" si="26"/>
        <v>11607032225</v>
      </c>
      <c r="AR63" s="76">
        <f t="shared" si="26"/>
        <v>5507283336</v>
      </c>
      <c r="AS63" s="76">
        <f t="shared" si="26"/>
        <v>20860262089</v>
      </c>
      <c r="AT63" s="76">
        <f t="shared" si="26"/>
        <v>15225187083</v>
      </c>
      <c r="AU63" s="76">
        <f t="shared" si="26"/>
        <v>9646345314</v>
      </c>
      <c r="AV63" s="76">
        <f t="shared" si="26"/>
        <v>4499404773</v>
      </c>
      <c r="AW63" s="76">
        <f t="shared" si="26"/>
        <v>16144984825</v>
      </c>
      <c r="AX63" s="76">
        <f t="shared" si="26"/>
        <v>11763831167</v>
      </c>
      <c r="AY63" s="76">
        <f t="shared" si="26"/>
        <v>7762102659</v>
      </c>
      <c r="AZ63" s="76">
        <f t="shared" si="26"/>
        <v>3520864128</v>
      </c>
      <c r="BA63" s="76">
        <f t="shared" si="26"/>
        <v>13104668212</v>
      </c>
      <c r="BB63" s="76">
        <f t="shared" si="26"/>
        <v>9638307308</v>
      </c>
      <c r="BC63" s="76">
        <f t="shared" si="26"/>
        <v>6487495242</v>
      </c>
      <c r="BD63" s="76">
        <f t="shared" si="26"/>
        <v>7201886346</v>
      </c>
      <c r="BE63" s="76">
        <f t="shared" si="26"/>
        <v>5138521408</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4357778731</v>
      </c>
      <c r="F64" s="76">
        <f>资产资本表!F22+资产资本表!F23-资产资本表!F37</f>
        <v>4394282351</v>
      </c>
      <c r="G64" s="76">
        <f>资产资本表!G22+资产资本表!G23-资产资本表!G37</f>
        <v>6239082357</v>
      </c>
      <c r="H64" s="76">
        <f>资产资本表!H22+资产资本表!H23-资产资本表!H37</f>
        <v>6672571129</v>
      </c>
      <c r="I64" s="76">
        <f>资产资本表!I22+资产资本表!I23-资产资本表!I37</f>
        <v>4664024592</v>
      </c>
      <c r="J64" s="76">
        <f>资产资本表!J22+资产资本表!J23-资产资本表!J37</f>
        <v>5094392457</v>
      </c>
      <c r="K64" s="76">
        <f>资产资本表!K22+资产资本表!K23-资产资本表!K37</f>
        <v>5705468270</v>
      </c>
      <c r="L64" s="76">
        <f>资产资本表!L22+资产资本表!L23-资产资本表!L37</f>
        <v>3205258457</v>
      </c>
      <c r="M64" s="76">
        <f>资产资本表!M22+资产资本表!M23-资产资本表!M37</f>
        <v>2118106960</v>
      </c>
      <c r="N64" s="76">
        <f>资产资本表!N22+资产资本表!N23-资产资本表!N37</f>
        <v>1629719345</v>
      </c>
      <c r="O64" s="76">
        <f>资产资本表!O22+资产资本表!O23-资产资本表!O37</f>
        <v>2021014838</v>
      </c>
      <c r="P64" s="76">
        <f>资产资本表!P22+资产资本表!P23-资产资本表!P37</f>
        <v>4552498375</v>
      </c>
      <c r="Q64" s="76">
        <f>资产资本表!Q22+资产资本表!Q23-资产资本表!Q37</f>
        <v>1253443633</v>
      </c>
      <c r="R64" s="76">
        <f>资产资本表!R22+资产资本表!R23-资产资本表!R37</f>
        <v>307611001</v>
      </c>
      <c r="S64" s="76">
        <f>资产资本表!S22+资产资本表!S23-资产资本表!S37</f>
        <v>1835619553</v>
      </c>
      <c r="T64" s="76">
        <f>资产资本表!T22+资产资本表!T23-资产资本表!T37</f>
        <v>3654121698</v>
      </c>
      <c r="U64" s="76">
        <f>资产资本表!U22+资产资本表!U23-资产资本表!U37</f>
        <v>1246923072</v>
      </c>
      <c r="V64" s="76">
        <f>资产资本表!V22+资产资本表!V23-资产资本表!V37</f>
        <v>577748822</v>
      </c>
      <c r="W64" s="76">
        <f>资产资本表!W22+资产资本表!W23-资产资本表!W37</f>
        <v>1288911637</v>
      </c>
      <c r="X64" s="76">
        <f>资产资本表!X22+资产资本表!X23-资产资本表!X37</f>
        <v>3419457434</v>
      </c>
      <c r="Y64" s="76">
        <f>资产资本表!Y22+资产资本表!Y23-资产资本表!Y37</f>
        <v>1041088843</v>
      </c>
      <c r="Z64" s="76">
        <f>资产资本表!Z22+资产资本表!Z23-资产资本表!Z37</f>
        <v>813604097</v>
      </c>
      <c r="AA64" s="76">
        <f>资产资本表!AA22+资产资本表!AA23-资产资本表!AA37</f>
        <v>1276511297</v>
      </c>
      <c r="AB64" s="76">
        <f>资产资本表!AB22+资产资本表!AB23-资产资本表!AB37</f>
        <v>1624852663</v>
      </c>
      <c r="AC64" s="76">
        <f>资产资本表!AC22+资产资本表!AC23-资产资本表!AC37</f>
        <v>473221369</v>
      </c>
      <c r="AD64" s="76">
        <f>资产资本表!AD22+资产资本表!AD23-资产资本表!AD37</f>
        <v>1477717146</v>
      </c>
      <c r="AE64" s="76">
        <f>资产资本表!AE22+资产资本表!AE23-资产资本表!AE37</f>
        <v>1640553660</v>
      </c>
      <c r="AF64" s="76">
        <f>资产资本表!AF22+资产资本表!AF23-资产资本表!AF37</f>
        <v>2638647072</v>
      </c>
      <c r="AG64" s="76">
        <f>资产资本表!AG22+资产资本表!AG23-资产资本表!AG37</f>
        <v>1489214816</v>
      </c>
      <c r="AH64" s="76">
        <f>资产资本表!AH22+资产资本表!AH23-资产资本表!AH37</f>
        <v>2239697782</v>
      </c>
      <c r="AI64" s="76">
        <f>资产资本表!AI22+资产资本表!AI23-资产资本表!AI37</f>
        <v>1085689460</v>
      </c>
      <c r="AJ64" s="76">
        <f>资产资本表!AJ22+资产资本表!AJ23-资产资本表!AJ37</f>
        <v>2804698273</v>
      </c>
      <c r="AK64" s="76">
        <f>资产资本表!AK22+资产资本表!AK23-资产资本表!AK37</f>
        <v>2383553926</v>
      </c>
      <c r="AL64" s="76">
        <f>资产资本表!AL22+资产资本表!AL23-资产资本表!AL37</f>
        <v>1934535487</v>
      </c>
      <c r="AM64" s="76">
        <f>资产资本表!AM22+资产资本表!AM23-资产资本表!AM37</f>
        <v>1517931742</v>
      </c>
      <c r="AN64" s="76">
        <f>资产资本表!AN22+资产资本表!AN23-资产资本表!AN37</f>
        <v>1460468771</v>
      </c>
      <c r="AO64" s="76">
        <f>资产资本表!AO22+资产资本表!AO23-资产资本表!AO37</f>
        <v>547701516</v>
      </c>
      <c r="AP64" s="76">
        <f>资产资本表!AP22+资产资本表!AP23-资产资本表!AP37</f>
        <v>476667197</v>
      </c>
      <c r="AQ64" s="76">
        <f>资产资本表!AQ22+资产资本表!AQ23-资产资本表!AQ37</f>
        <v>1329284868</v>
      </c>
      <c r="AR64" s="76">
        <f>资产资本表!AR22+资产资本表!AR23-资产资本表!AR37</f>
        <v>664449180</v>
      </c>
      <c r="AS64" s="76">
        <f>资产资本表!AS22+资产资本表!AS23-资产资本表!AS37</f>
        <v>751162342</v>
      </c>
      <c r="AT64" s="76">
        <f>资产资本表!AT22+资产资本表!AT23-资产资本表!AT37</f>
        <v>-266503096</v>
      </c>
      <c r="AU64" s="76">
        <f>资产资本表!AU22+资产资本表!AU23-资产资本表!AU37</f>
        <v>-100692639</v>
      </c>
      <c r="AV64" s="76">
        <f>资产资本表!AV22+资产资本表!AV23-资产资本表!AV37</f>
        <v>-95357846</v>
      </c>
      <c r="AW64" s="76">
        <f>资产资本表!AW22+资产资本表!AW23-资产资本表!AW37</f>
        <v>-164817416</v>
      </c>
      <c r="AX64" s="76">
        <f>资产资本表!AX22+资产资本表!AX23-资产资本表!AX37</f>
        <v>-242372663</v>
      </c>
      <c r="AY64" s="76">
        <f>资产资本表!AY22+资产资本表!AY23-资产资本表!AY37</f>
        <v>-69444005</v>
      </c>
      <c r="AZ64" s="76">
        <f>资产资本表!AZ22+资产资本表!AZ23-资产资本表!AZ37</f>
        <v>-35864541</v>
      </c>
      <c r="BA64" s="76">
        <f>资产资本表!BA22+资产资本表!BA23-资产资本表!BA37</f>
        <v>2015137</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12.333786814917911</v>
      </c>
      <c r="F65" s="155">
        <f t="shared" ref="F65:BQ65" si="28">F63/(F64+J64)*2</f>
        <v>8.7979747746878409</v>
      </c>
      <c r="G65" s="155">
        <f t="shared" si="28"/>
        <v>4.5805939631017987</v>
      </c>
      <c r="H65" s="155">
        <f t="shared" si="28"/>
        <v>2.5210367566266294</v>
      </c>
      <c r="I65" s="155">
        <f t="shared" si="28"/>
        <v>13.159544206375783</v>
      </c>
      <c r="J65" s="155">
        <f t="shared" si="28"/>
        <v>9.3961182842331326</v>
      </c>
      <c r="K65" s="155">
        <f t="shared" si="28"/>
        <v>5.4941418835235485</v>
      </c>
      <c r="L65" s="155">
        <f t="shared" si="28"/>
        <v>2.8649290986180787</v>
      </c>
      <c r="M65" s="155">
        <f t="shared" si="28"/>
        <v>31.161547441741149</v>
      </c>
      <c r="N65" s="155">
        <f t="shared" si="28"/>
        <v>41.712546800730287</v>
      </c>
      <c r="O65" s="155">
        <f t="shared" si="28"/>
        <v>14.296718479374261</v>
      </c>
      <c r="P65" s="155">
        <f t="shared" si="28"/>
        <v>3.3824215427402788</v>
      </c>
      <c r="Q65" s="155">
        <f t="shared" si="28"/>
        <v>43.170252025092452</v>
      </c>
      <c r="R65" s="155">
        <f t="shared" si="28"/>
        <v>91.680148485798185</v>
      </c>
      <c r="S65" s="155">
        <f t="shared" si="28"/>
        <v>16.886670554887306</v>
      </c>
      <c r="T65" s="155">
        <f t="shared" si="28"/>
        <v>3.654421998201518</v>
      </c>
      <c r="U65" s="155">
        <f t="shared" si="28"/>
        <v>44.879783471756966</v>
      </c>
      <c r="V65" s="155">
        <f t="shared" si="28"/>
        <v>54.187373998674161</v>
      </c>
      <c r="W65" s="155">
        <f t="shared" si="28"/>
        <v>18.962076161123147</v>
      </c>
      <c r="X65" s="155">
        <f t="shared" si="28"/>
        <v>4.7514000200451987</v>
      </c>
      <c r="Y65" s="155">
        <f t="shared" si="28"/>
        <v>60.704126814671447</v>
      </c>
      <c r="Z65" s="155">
        <f t="shared" si="28"/>
        <v>29.22226840979015</v>
      </c>
      <c r="AA65" s="155">
        <f t="shared" si="28"/>
        <v>15.258518929854603</v>
      </c>
      <c r="AB65" s="155">
        <f t="shared" si="28"/>
        <v>5.2492087231242666</v>
      </c>
      <c r="AC65" s="155">
        <f t="shared" si="28"/>
        <v>45.868537085704013</v>
      </c>
      <c r="AD65" s="155">
        <f t="shared" si="28"/>
        <v>17.899806635736415</v>
      </c>
      <c r="AE65" s="155">
        <f t="shared" si="28"/>
        <v>16.0309877631163</v>
      </c>
      <c r="AF65" s="155">
        <f t="shared" si="28"/>
        <v>4.0028250476545875</v>
      </c>
      <c r="AG65" s="155">
        <f t="shared" si="28"/>
        <v>21.697015416057599</v>
      </c>
      <c r="AH65" s="155">
        <f t="shared" si="28"/>
        <v>14.847266729980154</v>
      </c>
      <c r="AI65" s="155">
        <f t="shared" si="28"/>
        <v>10.770143032504004</v>
      </c>
      <c r="AJ65" s="155">
        <f t="shared" si="28"/>
        <v>3.0877268191702738</v>
      </c>
      <c r="AK65" s="155">
        <f t="shared" si="28"/>
        <v>15.776954812387858</v>
      </c>
      <c r="AL65" s="155">
        <f t="shared" si="28"/>
        <v>13.477466880590118</v>
      </c>
      <c r="AM65" s="155">
        <f t="shared" si="28"/>
        <v>7.1382976864552639</v>
      </c>
      <c r="AN65" s="155">
        <f t="shared" si="28"/>
        <v>4.5740777592969755</v>
      </c>
      <c r="AO65" s="155">
        <f t="shared" si="28"/>
        <v>34.792434076643623</v>
      </c>
      <c r="AP65" s="155">
        <f t="shared" si="28"/>
        <v>168.47708725478287</v>
      </c>
      <c r="AQ65" s="155">
        <f t="shared" si="28"/>
        <v>18.894848837595895</v>
      </c>
      <c r="AR65" s="155">
        <f t="shared" si="28"/>
        <v>19.354655419862709</v>
      </c>
      <c r="AS65" s="155">
        <f t="shared" si="28"/>
        <v>71.153551993046491</v>
      </c>
      <c r="AT65" s="155">
        <f t="shared" si="28"/>
        <v>-59.838523701420804</v>
      </c>
      <c r="AU65" s="155">
        <f t="shared" si="28"/>
        <v>-113.39526967512066</v>
      </c>
      <c r="AV65" s="155">
        <f t="shared" si="28"/>
        <v>-68.576785956499933</v>
      </c>
      <c r="AW65" s="155">
        <f t="shared" si="28"/>
        <v>-198.3385604202752</v>
      </c>
      <c r="AX65" s="155">
        <f t="shared" si="28"/>
        <v>-97.072260719436002</v>
      </c>
      <c r="AY65" s="155">
        <f t="shared" si="28"/>
        <v>-223.54997120341778</v>
      </c>
      <c r="AZ65" s="155">
        <f t="shared" si="28"/>
        <v>-196.34234984354046</v>
      </c>
      <c r="BA65" s="155">
        <f t="shared" si="28"/>
        <v>13006.230556036637</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29.593506477550488</v>
      </c>
      <c r="F66" s="83">
        <f t="shared" ref="F66:BQ66" si="30">F62/F65</f>
        <v>41.486820472607057</v>
      </c>
      <c r="G66" s="83">
        <f t="shared" si="30"/>
        <v>79.683989225021008</v>
      </c>
      <c r="H66" s="83">
        <f t="shared" si="30"/>
        <v>144.78170500314417</v>
      </c>
      <c r="I66" s="83">
        <f t="shared" si="30"/>
        <v>27.736522958231181</v>
      </c>
      <c r="J66" s="83">
        <f t="shared" si="30"/>
        <v>38.845828560127543</v>
      </c>
      <c r="K66" s="83">
        <f t="shared" si="30"/>
        <v>66.434396442254808</v>
      </c>
      <c r="L66" s="83">
        <f t="shared" si="30"/>
        <v>127.40280385160689</v>
      </c>
      <c r="M66" s="83">
        <f t="shared" si="30"/>
        <v>11.713153869601467</v>
      </c>
      <c r="N66" s="83">
        <f t="shared" si="30"/>
        <v>8.750364770189714</v>
      </c>
      <c r="O66" s="83">
        <f t="shared" si="30"/>
        <v>25.530334148118115</v>
      </c>
      <c r="P66" s="83">
        <f t="shared" si="30"/>
        <v>107.91085480856243</v>
      </c>
      <c r="Q66" s="83">
        <f t="shared" si="30"/>
        <v>8.4548962046329006</v>
      </c>
      <c r="R66" s="83">
        <f t="shared" si="30"/>
        <v>3.981232644453458</v>
      </c>
      <c r="S66" s="83">
        <f t="shared" si="30"/>
        <v>21.614681166049184</v>
      </c>
      <c r="T66" s="83">
        <f t="shared" si="30"/>
        <v>99.878995961503776</v>
      </c>
      <c r="U66" s="83">
        <f t="shared" si="30"/>
        <v>8.1328378116996944</v>
      </c>
      <c r="V66" s="83">
        <f t="shared" si="30"/>
        <v>6.7358864817647506</v>
      </c>
      <c r="W66" s="83">
        <f t="shared" si="30"/>
        <v>19.24894705086875</v>
      </c>
      <c r="X66" s="83">
        <f t="shared" si="30"/>
        <v>76.819463412917997</v>
      </c>
      <c r="Y66" s="83">
        <f t="shared" si="30"/>
        <v>6.0127707810432414</v>
      </c>
      <c r="Z66" s="83">
        <f t="shared" si="30"/>
        <v>12.490474554594002</v>
      </c>
      <c r="AA66" s="83">
        <f t="shared" si="30"/>
        <v>23.921063484467432</v>
      </c>
      <c r="AB66" s="83">
        <f t="shared" si="30"/>
        <v>69.534289690571939</v>
      </c>
      <c r="AC66" s="83">
        <f t="shared" si="30"/>
        <v>7.9575243334664947</v>
      </c>
      <c r="AD66" s="83">
        <f t="shared" si="30"/>
        <v>20.391281728780729</v>
      </c>
      <c r="AE66" s="83">
        <f t="shared" si="30"/>
        <v>22.768403631358446</v>
      </c>
      <c r="AF66" s="83">
        <f t="shared" si="30"/>
        <v>91.185599084293685</v>
      </c>
      <c r="AG66" s="83">
        <f t="shared" si="30"/>
        <v>16.822590250356257</v>
      </c>
      <c r="AH66" s="83">
        <f t="shared" si="30"/>
        <v>24.583649410903249</v>
      </c>
      <c r="AI66" s="83">
        <f t="shared" si="30"/>
        <v>33.889986316657051</v>
      </c>
      <c r="AJ66" s="83">
        <f t="shared" si="30"/>
        <v>118.2099393423936</v>
      </c>
      <c r="AK66" s="83">
        <f t="shared" si="30"/>
        <v>23.135009533868143</v>
      </c>
      <c r="AL66" s="83">
        <f t="shared" si="30"/>
        <v>27.082240545191997</v>
      </c>
      <c r="AM66" s="83">
        <f t="shared" si="30"/>
        <v>51.132639185471085</v>
      </c>
      <c r="AN66" s="83">
        <f t="shared" si="30"/>
        <v>79.797506559245633</v>
      </c>
      <c r="AO66" s="83">
        <f t="shared" si="30"/>
        <v>10.49078656572139</v>
      </c>
      <c r="AP66" s="83">
        <f t="shared" si="30"/>
        <v>2.1664667044487858</v>
      </c>
      <c r="AQ66" s="83">
        <f t="shared" si="30"/>
        <v>19.317434245557116</v>
      </c>
      <c r="AR66" s="83">
        <f t="shared" si="30"/>
        <v>18.858511922946398</v>
      </c>
      <c r="AS66" s="83">
        <f t="shared" si="30"/>
        <v>5.1297509368986915</v>
      </c>
      <c r="AT66" s="83">
        <f t="shared" si="30"/>
        <v>-6.0997494159658459</v>
      </c>
      <c r="AU66" s="83">
        <f t="shared" si="30"/>
        <v>-3.2188291543882834</v>
      </c>
      <c r="AV66" s="83">
        <f t="shared" si="30"/>
        <v>-5.3225008274888994</v>
      </c>
      <c r="AW66" s="83">
        <f t="shared" si="30"/>
        <v>-1.8402876335623932</v>
      </c>
      <c r="AX66" s="83">
        <f t="shared" si="30"/>
        <v>-3.7600855001713067</v>
      </c>
      <c r="AY66" s="83">
        <f t="shared" si="30"/>
        <v>-1.6327445628157595</v>
      </c>
      <c r="AZ66" s="83">
        <f t="shared" si="30"/>
        <v>-1.8589978183049043</v>
      </c>
      <c r="BA66" s="83">
        <f t="shared" si="30"/>
        <v>2.8063472996839273E-2</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40145481945</v>
      </c>
      <c r="F67" s="76">
        <f>股权价值增加表!F5</f>
        <v>28554442773</v>
      </c>
      <c r="G67" s="76">
        <f>股权价值增加表!G5</f>
        <v>18502281993</v>
      </c>
      <c r="H67" s="76">
        <f>股权价值增加表!H5</f>
        <v>8769816428</v>
      </c>
      <c r="I67" s="76">
        <f>股权价值增加表!I5</f>
        <v>36952049176</v>
      </c>
      <c r="J67" s="76">
        <f>股权价值增加表!J5</f>
        <v>26339402126</v>
      </c>
      <c r="K67" s="76">
        <f>股权价值增加表!K5</f>
        <v>17387349042</v>
      </c>
      <c r="L67" s="76">
        <f>股权价值增加表!L5</f>
        <v>8666420881</v>
      </c>
      <c r="M67" s="76">
        <f>股权价值增加表!M5</f>
        <v>36978471968</v>
      </c>
      <c r="N67" s="76">
        <f>股权价值增加表!N5</f>
        <v>26457911669</v>
      </c>
      <c r="O67" s="76">
        <f>股权价值增加表!O5</f>
        <v>18349421416</v>
      </c>
      <c r="P67" s="76">
        <f>股权价值增加表!P5</f>
        <v>9049763725</v>
      </c>
      <c r="Q67" s="76">
        <f>股权价值增加表!Q5</f>
        <v>33735439375</v>
      </c>
      <c r="R67" s="76">
        <f>股权价值增加表!R5</f>
        <v>24600897211</v>
      </c>
      <c r="S67" s="76">
        <f>股权价值增加表!S5</f>
        <v>16123107208</v>
      </c>
      <c r="T67" s="76">
        <f>股权价值增加表!T5</f>
        <v>7850871338</v>
      </c>
      <c r="U67" s="76">
        <f>股权价值增加表!U5</f>
        <v>32306787587</v>
      </c>
      <c r="V67" s="76">
        <f>股权价值增加表!V5</f>
        <v>23418244893</v>
      </c>
      <c r="W67" s="76">
        <f>股权价值增加表!W5</f>
        <v>14851293435</v>
      </c>
      <c r="X67" s="76">
        <f>股权价值增加表!X5</f>
        <v>6889499243</v>
      </c>
      <c r="Y67" s="76">
        <f>股权价值增加表!Y5</f>
        <v>28320619201</v>
      </c>
      <c r="Z67" s="76">
        <f>股权价值增加表!Z5</f>
        <v>20093014059</v>
      </c>
      <c r="AA67" s="76">
        <f>股权价值增加表!AA5</f>
        <v>13153769399</v>
      </c>
      <c r="AB67" s="76">
        <f>股权价值增加表!AB5</f>
        <v>6067181712</v>
      </c>
      <c r="AC67" s="76">
        <f>股权价值增加表!AC5</f>
        <v>26420323917</v>
      </c>
      <c r="AD67" s="76">
        <f>股权价值增加表!AD5</f>
        <v>18749656390</v>
      </c>
      <c r="AE67" s="76">
        <f>股权价值增加表!AE5</f>
        <v>12251230572</v>
      </c>
      <c r="AF67" s="76">
        <f>股权价值增加表!AF5</f>
        <v>5816045791</v>
      </c>
      <c r="AG67" s="76">
        <f>股权价值增加表!AG5</f>
        <v>24218767128</v>
      </c>
      <c r="AH67" s="76">
        <f>股权价值增加表!AH5</f>
        <v>16837695232</v>
      </c>
      <c r="AI67" s="76">
        <f>股权价值增加表!AI5</f>
        <v>6420993050</v>
      </c>
      <c r="AJ67" s="76">
        <f>股权价值增加表!AJ5</f>
        <v>2834170107</v>
      </c>
      <c r="AK67" s="76">
        <f>股权价值增加表!AK5</f>
        <v>11932465796</v>
      </c>
      <c r="AL67" s="76">
        <f>股权价值增加表!AL5</f>
        <v>8132230138</v>
      </c>
      <c r="AM67" s="76">
        <f>股权价值增加表!AM5</f>
        <v>5113318889</v>
      </c>
      <c r="AN67" s="76">
        <f>股权价值增加表!AN5</f>
        <v>2299111384</v>
      </c>
      <c r="AO67" s="76">
        <f>股权价值增加表!AO5</f>
        <v>11708828992</v>
      </c>
      <c r="AP67" s="76">
        <f>股权价值增加表!AP5</f>
        <v>8402508820</v>
      </c>
      <c r="AQ67" s="76">
        <f>股权价值增加表!AQ5</f>
        <v>5477138675</v>
      </c>
      <c r="AR67" s="76">
        <f>股权价值增加表!AR5</f>
        <v>2224288390</v>
      </c>
      <c r="AS67" s="76">
        <f>股权价值增加表!AS5</f>
        <v>10061194227</v>
      </c>
      <c r="AT67" s="76">
        <f>股权价值增加表!AT5</f>
        <v>6984475987</v>
      </c>
      <c r="AU67" s="76">
        <f>股权价值增加表!AU5</f>
        <v>4548348620</v>
      </c>
      <c r="AV67" s="76">
        <f>股权价值增加表!AV5</f>
        <v>1831360245</v>
      </c>
      <c r="AW67" s="76">
        <f>股权价值增加表!AW5</f>
        <v>7969520393</v>
      </c>
      <c r="AX67" s="76">
        <f>股权价值增加表!AX5</f>
        <v>5632612830</v>
      </c>
      <c r="AY67" s="76">
        <f>股权价值增加表!AY5</f>
        <v>3568647876</v>
      </c>
      <c r="AZ67" s="76">
        <f>股权价值增加表!AZ5</f>
        <v>1865040685</v>
      </c>
      <c r="BA67" s="76">
        <f>股权价值增加表!BA5</f>
        <v>6059036676</v>
      </c>
      <c r="BB67" s="76">
        <f>股权价值增加表!BB5</f>
        <v>4382989782</v>
      </c>
      <c r="BC67" s="76">
        <f>股权价值增加表!BC5</f>
        <v>2853149756</v>
      </c>
      <c r="BD67" s="76">
        <f>股权价值增加表!BD5</f>
        <v>2921890812</v>
      </c>
      <c r="BE67" s="76">
        <f>股权价值增加表!BE5</f>
        <v>2342204700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1528204845</v>
      </c>
      <c r="F68" s="76">
        <f>资产资本表!F26</f>
        <v>1730611541</v>
      </c>
      <c r="G68" s="76">
        <f>资产资本表!G26</f>
        <v>1778724267</v>
      </c>
      <c r="H68" s="76">
        <f>资产资本表!H26</f>
        <v>1676413329</v>
      </c>
      <c r="I68" s="76">
        <f>资产资本表!I26</f>
        <v>1612490533</v>
      </c>
      <c r="J68" s="76">
        <f>资产资本表!J26</f>
        <v>1707199473</v>
      </c>
      <c r="K68" s="76">
        <f>资产资本表!K26</f>
        <v>1733847224</v>
      </c>
      <c r="L68" s="76">
        <f>资产资本表!L26</f>
        <v>1709012193</v>
      </c>
      <c r="M68" s="76">
        <f>资产资本表!M26</f>
        <v>1709462676</v>
      </c>
      <c r="N68" s="76">
        <f>资产资本表!N26</f>
        <v>1717963441</v>
      </c>
      <c r="O68" s="76">
        <f>资产资本表!O26</f>
        <v>1759489873</v>
      </c>
      <c r="P68" s="76">
        <f>资产资本表!P26</f>
        <v>1768481291</v>
      </c>
      <c r="Q68" s="76">
        <f>资产资本表!Q26</f>
        <v>1685566127</v>
      </c>
      <c r="R68" s="76">
        <f>资产资本表!R26</f>
        <v>1827082737</v>
      </c>
      <c r="S68" s="76">
        <f>资产资本表!S26</f>
        <v>1765858972</v>
      </c>
      <c r="T68" s="76">
        <f>资产资本表!T26</f>
        <v>1710023294</v>
      </c>
      <c r="U68" s="76">
        <f>资产资本表!U26</f>
        <v>1786848822</v>
      </c>
      <c r="V68" s="76">
        <f>资产资本表!V26</f>
        <v>1615545159</v>
      </c>
      <c r="W68" s="76">
        <f>资产资本表!W26</f>
        <v>1592234256</v>
      </c>
      <c r="X68" s="76">
        <f>资产资本表!X26</f>
        <v>1691324668</v>
      </c>
      <c r="Y68" s="76">
        <f>资产资本表!Y26</f>
        <v>1658125917</v>
      </c>
      <c r="Z68" s="76">
        <f>资产资本表!Z26</f>
        <v>1573329713</v>
      </c>
      <c r="AA68" s="76">
        <f>资产资本表!AA26</f>
        <v>1532366135</v>
      </c>
      <c r="AB68" s="76">
        <f>资产资本表!AB26</f>
        <v>1418428004</v>
      </c>
      <c r="AC68" s="76">
        <f>资产资本表!AC26</f>
        <v>1478370228</v>
      </c>
      <c r="AD68" s="76">
        <f>资产资本表!AD26</f>
        <v>1418642292</v>
      </c>
      <c r="AE68" s="76">
        <f>资产资本表!AE26</f>
        <v>1351998913</v>
      </c>
      <c r="AF68" s="76">
        <f>资产资本表!AF26</f>
        <v>1260480705</v>
      </c>
      <c r="AG68" s="76">
        <f>资产资本表!AG26</f>
        <v>1174006875</v>
      </c>
      <c r="AH68" s="76">
        <f>资产资本表!AH26</f>
        <v>1233054728</v>
      </c>
      <c r="AI68" s="76">
        <f>资产资本表!AI26</f>
        <v>849567183</v>
      </c>
      <c r="AJ68" s="76">
        <f>资产资本表!AJ26</f>
        <v>833835654</v>
      </c>
      <c r="AK68" s="76">
        <f>资产资本表!AK26</f>
        <v>826273918</v>
      </c>
      <c r="AL68" s="76">
        <f>资产资本表!AL26</f>
        <v>806989018</v>
      </c>
      <c r="AM68" s="76">
        <f>资产资本表!AM26</f>
        <v>747606938</v>
      </c>
      <c r="AN68" s="76">
        <f>资产资本表!AN26</f>
        <v>714898670</v>
      </c>
      <c r="AO68" s="76">
        <f>资产资本表!AO26</f>
        <v>675097409</v>
      </c>
      <c r="AP68" s="76">
        <f>资产资本表!AP26</f>
        <v>238918913</v>
      </c>
      <c r="AQ68" s="76">
        <f>资产资本表!AQ26</f>
        <v>262028843</v>
      </c>
      <c r="AR68" s="76">
        <f>资产资本表!AR26</f>
        <v>195212618</v>
      </c>
      <c r="AS68" s="76">
        <f>资产资本表!AS26</f>
        <v>190216238</v>
      </c>
      <c r="AT68" s="76">
        <f>资产资本表!AT26</f>
        <v>165434859</v>
      </c>
      <c r="AU68" s="76">
        <f>资产资本表!AU26</f>
        <v>189748621</v>
      </c>
      <c r="AV68" s="76">
        <f>资产资本表!AV26</f>
        <v>164991805</v>
      </c>
      <c r="AW68" s="76">
        <f>资产资本表!AW26</f>
        <v>182683997</v>
      </c>
      <c r="AX68" s="76">
        <f>资产资本表!AX26</f>
        <v>163589247</v>
      </c>
      <c r="AY68" s="76">
        <f>资产资本表!AY26</f>
        <v>158971704</v>
      </c>
      <c r="AZ68" s="76">
        <f>资产资本表!AZ26</f>
        <v>144826017</v>
      </c>
      <c r="BA68" s="76">
        <f>资产资本表!BA26</f>
        <v>34371680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25.56470915722155</v>
      </c>
      <c r="F69" s="155">
        <f t="shared" ref="F69:BQ69" si="32">F67/(F68+J68)*2</f>
        <v>16.611990977232931</v>
      </c>
      <c r="G69" s="155">
        <f t="shared" si="32"/>
        <v>10.534892764692202</v>
      </c>
      <c r="H69" s="155">
        <f t="shared" si="32"/>
        <v>5.1809241532621728</v>
      </c>
      <c r="I69" s="155">
        <f t="shared" si="32"/>
        <v>22.247182215503624</v>
      </c>
      <c r="J69" s="155">
        <f t="shared" si="32"/>
        <v>15.379941210002253</v>
      </c>
      <c r="K69" s="155">
        <f t="shared" si="32"/>
        <v>9.9545784212647952</v>
      </c>
      <c r="L69" s="155">
        <f t="shared" si="32"/>
        <v>4.9842916576978986</v>
      </c>
      <c r="M69" s="155">
        <f t="shared" si="32"/>
        <v>21.783892929169944</v>
      </c>
      <c r="N69" s="155">
        <f t="shared" si="32"/>
        <v>14.926695078441373</v>
      </c>
      <c r="O69" s="155">
        <f t="shared" si="32"/>
        <v>10.409989038120283</v>
      </c>
      <c r="P69" s="155">
        <f t="shared" si="32"/>
        <v>5.2032495596092483</v>
      </c>
      <c r="Q69" s="155">
        <f t="shared" si="32"/>
        <v>19.430534582115694</v>
      </c>
      <c r="R69" s="155">
        <f t="shared" si="32"/>
        <v>14.29192927855134</v>
      </c>
      <c r="S69" s="155">
        <f t="shared" si="32"/>
        <v>9.6025369835265337</v>
      </c>
      <c r="T69" s="155">
        <f t="shared" si="32"/>
        <v>4.6163294233405452</v>
      </c>
      <c r="U69" s="155">
        <f t="shared" si="32"/>
        <v>18.755892297995743</v>
      </c>
      <c r="V69" s="155">
        <f t="shared" si="32"/>
        <v>14.687465537531446</v>
      </c>
      <c r="W69" s="155">
        <f t="shared" si="32"/>
        <v>9.50604338255682</v>
      </c>
      <c r="X69" s="155">
        <f t="shared" si="32"/>
        <v>4.4308985116614448</v>
      </c>
      <c r="Y69" s="155">
        <f t="shared" si="32"/>
        <v>18.05876232058943</v>
      </c>
      <c r="Z69" s="155">
        <f t="shared" si="32"/>
        <v>13.431284801743992</v>
      </c>
      <c r="AA69" s="155">
        <f t="shared" si="32"/>
        <v>9.1207383116230307</v>
      </c>
      <c r="AB69" s="155">
        <f t="shared" si="32"/>
        <v>4.5295919876753068</v>
      </c>
      <c r="AC69" s="155">
        <f t="shared" si="32"/>
        <v>19.921996677709974</v>
      </c>
      <c r="AD69" s="155">
        <f t="shared" si="32"/>
        <v>14.141627982822865</v>
      </c>
      <c r="AE69" s="155">
        <f t="shared" si="32"/>
        <v>11.129559629628307</v>
      </c>
      <c r="AF69" s="155">
        <f t="shared" si="32"/>
        <v>5.554123440812984</v>
      </c>
      <c r="AG69" s="155">
        <f t="shared" si="32"/>
        <v>24.21536737517431</v>
      </c>
      <c r="AH69" s="155">
        <f t="shared" si="32"/>
        <v>16.507190362965872</v>
      </c>
      <c r="AI69" s="155">
        <f t="shared" si="32"/>
        <v>8.0404421353631488</v>
      </c>
      <c r="AJ69" s="155">
        <f t="shared" si="32"/>
        <v>3.6599823004891316</v>
      </c>
      <c r="AK69" s="155">
        <f t="shared" si="32"/>
        <v>15.895422513287414</v>
      </c>
      <c r="AL69" s="155">
        <f t="shared" si="32"/>
        <v>15.550565966594625</v>
      </c>
      <c r="AM69" s="155">
        <f t="shared" si="32"/>
        <v>10.12903659958541</v>
      </c>
      <c r="AN69" s="155">
        <f t="shared" si="32"/>
        <v>5.0523741751459301</v>
      </c>
      <c r="AO69" s="155">
        <f t="shared" si="32"/>
        <v>27.062624130785263</v>
      </c>
      <c r="AP69" s="155">
        <f t="shared" si="32"/>
        <v>41.560185173689931</v>
      </c>
      <c r="AQ69" s="155">
        <f t="shared" si="32"/>
        <v>24.247064590189474</v>
      </c>
      <c r="AR69" s="155">
        <f t="shared" si="32"/>
        <v>12.350144795418018</v>
      </c>
      <c r="AS69" s="155">
        <f t="shared" si="32"/>
        <v>53.961855116556848</v>
      </c>
      <c r="AT69" s="155">
        <f t="shared" si="32"/>
        <v>42.455709837868234</v>
      </c>
      <c r="AU69" s="155">
        <f t="shared" si="32"/>
        <v>26.085939326880357</v>
      </c>
      <c r="AV69" s="155">
        <f t="shared" si="32"/>
        <v>11.822174936082277</v>
      </c>
      <c r="AW69" s="155">
        <f t="shared" si="32"/>
        <v>73.4329597193627</v>
      </c>
      <c r="AX69" s="155">
        <f t="shared" si="32"/>
        <v>68.862873731547893</v>
      </c>
      <c r="AY69" s="155">
        <f t="shared" si="32"/>
        <v>44.896642436442654</v>
      </c>
      <c r="AZ69" s="155">
        <f t="shared" si="32"/>
        <v>25.75560280719451</v>
      </c>
      <c r="BA69" s="155">
        <f t="shared" si="32"/>
        <v>352.55982110854052</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14.277494719586683</v>
      </c>
      <c r="F70" s="83">
        <f t="shared" ref="F70:BQ70" si="34">F62/F69</f>
        <v>21.972080318382055</v>
      </c>
      <c r="G70" s="83">
        <f t="shared" si="34"/>
        <v>34.646769374179215</v>
      </c>
      <c r="H70" s="83">
        <f t="shared" si="34"/>
        <v>70.450751488067525</v>
      </c>
      <c r="I70" s="83">
        <f t="shared" si="34"/>
        <v>16.40657214312915</v>
      </c>
      <c r="J70" s="83">
        <f t="shared" si="34"/>
        <v>23.732210352184211</v>
      </c>
      <c r="K70" s="83">
        <f t="shared" si="34"/>
        <v>36.666545237143687</v>
      </c>
      <c r="L70" s="83">
        <f t="shared" si="34"/>
        <v>73.230064584258912</v>
      </c>
      <c r="M70" s="83">
        <f t="shared" si="34"/>
        <v>16.755499174862496</v>
      </c>
      <c r="N70" s="83">
        <f t="shared" si="34"/>
        <v>24.452834206224896</v>
      </c>
      <c r="O70" s="83">
        <f t="shared" si="34"/>
        <v>35.062476882867834</v>
      </c>
      <c r="P70" s="83">
        <f t="shared" si="34"/>
        <v>70.148470838944462</v>
      </c>
      <c r="Q70" s="83">
        <f t="shared" si="34"/>
        <v>18.784866595279077</v>
      </c>
      <c r="R70" s="83">
        <f t="shared" si="34"/>
        <v>25.538889319007122</v>
      </c>
      <c r="S70" s="83">
        <f t="shared" si="34"/>
        <v>38.010788255871283</v>
      </c>
      <c r="T70" s="83">
        <f t="shared" si="34"/>
        <v>79.067147624805472</v>
      </c>
      <c r="U70" s="83">
        <f t="shared" si="34"/>
        <v>19.460551073808627</v>
      </c>
      <c r="V70" s="83">
        <f t="shared" si="34"/>
        <v>24.851122139984017</v>
      </c>
      <c r="W70" s="83">
        <f t="shared" si="34"/>
        <v>38.39662678899186</v>
      </c>
      <c r="X70" s="83">
        <f t="shared" si="34"/>
        <v>82.376068655008922</v>
      </c>
      <c r="Y70" s="83">
        <f t="shared" si="34"/>
        <v>20.211794890497597</v>
      </c>
      <c r="Z70" s="83">
        <f t="shared" si="34"/>
        <v>27.175360018619099</v>
      </c>
      <c r="AA70" s="83">
        <f t="shared" si="34"/>
        <v>40.018690102627055</v>
      </c>
      <c r="AB70" s="83">
        <f t="shared" si="34"/>
        <v>80.581209299455381</v>
      </c>
      <c r="AC70" s="83">
        <f t="shared" si="34"/>
        <v>18.321456724685923</v>
      </c>
      <c r="AD70" s="83">
        <f t="shared" si="34"/>
        <v>25.810323991222752</v>
      </c>
      <c r="AE70" s="83">
        <f t="shared" si="34"/>
        <v>32.795547366341744</v>
      </c>
      <c r="AF70" s="83">
        <f t="shared" si="34"/>
        <v>65.716940555893217</v>
      </c>
      <c r="AG70" s="83">
        <f t="shared" si="34"/>
        <v>15.073072993069658</v>
      </c>
      <c r="AH70" s="83">
        <f t="shared" si="34"/>
        <v>22.111576347897639</v>
      </c>
      <c r="AI70" s="83">
        <f t="shared" si="34"/>
        <v>45.395513561955966</v>
      </c>
      <c r="AJ70" s="83">
        <f t="shared" si="34"/>
        <v>99.72725823051664</v>
      </c>
      <c r="AK70" s="83">
        <f t="shared" si="34"/>
        <v>22.962585593109374</v>
      </c>
      <c r="AL70" s="83">
        <f t="shared" si="34"/>
        <v>23.471814516853261</v>
      </c>
      <c r="AM70" s="83">
        <f t="shared" si="34"/>
        <v>36.035016401751356</v>
      </c>
      <c r="AN70" s="83">
        <f t="shared" si="34"/>
        <v>72.243263730453521</v>
      </c>
      <c r="AO70" s="83">
        <f t="shared" si="34"/>
        <v>13.487236057969408</v>
      </c>
      <c r="AP70" s="83">
        <f t="shared" si="34"/>
        <v>8.78244402604507</v>
      </c>
      <c r="AQ70" s="83">
        <f t="shared" si="34"/>
        <v>15.053368569310507</v>
      </c>
      <c r="AR70" s="83">
        <f t="shared" si="34"/>
        <v>29.55430936610697</v>
      </c>
      <c r="AS70" s="83">
        <f t="shared" si="34"/>
        <v>6.7640372854418205</v>
      </c>
      <c r="AT70" s="83">
        <f t="shared" si="34"/>
        <v>8.5971946151384202</v>
      </c>
      <c r="AU70" s="83">
        <f t="shared" si="34"/>
        <v>13.992212257577565</v>
      </c>
      <c r="AV70" s="83">
        <f t="shared" si="34"/>
        <v>30.874183639931527</v>
      </c>
      <c r="AW70" s="83">
        <f t="shared" si="34"/>
        <v>4.9705200688480122</v>
      </c>
      <c r="AX70" s="83">
        <f t="shared" si="34"/>
        <v>5.3003887322928245</v>
      </c>
      <c r="AY70" s="83">
        <f t="shared" si="34"/>
        <v>8.1297838812046468</v>
      </c>
      <c r="AZ70" s="83">
        <f t="shared" si="34"/>
        <v>14.171673741530203</v>
      </c>
      <c r="BA70" s="83">
        <f t="shared" si="34"/>
        <v>1.035285299533975</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3605114097</v>
      </c>
      <c r="F71" s="76">
        <f>资产资本表!F35+资产资本表!F36-资产资本表!F24</f>
        <v>3607999319</v>
      </c>
      <c r="G71" s="76">
        <f>资产资本表!G35+资产资本表!G36-资产资本表!G24</f>
        <v>3310286545</v>
      </c>
      <c r="H71" s="76">
        <f>资产资本表!H35+资产资本表!H36-资产资本表!H24</f>
        <v>3993502086</v>
      </c>
      <c r="I71" s="76">
        <f>资产资本表!I35+资产资本表!I36-资产资本表!I24</f>
        <v>3140570164</v>
      </c>
      <c r="J71" s="76">
        <f>资产资本表!J35+资产资本表!J36-资产资本表!J24</f>
        <v>3430024333</v>
      </c>
      <c r="K71" s="76">
        <f>资产资本表!K35+资产资本表!K36-资产资本表!K24</f>
        <v>2977769591</v>
      </c>
      <c r="L71" s="76">
        <f>资产资本表!L35+资产资本表!L36-资产资本表!L24</f>
        <v>1226102173</v>
      </c>
      <c r="M71" s="76">
        <f>资产资本表!M35+资产资本表!M36-资产资本表!M24</f>
        <v>3011462566</v>
      </c>
      <c r="N71" s="76">
        <f>资产资本表!N35+资产资本表!N36-资产资本表!N24</f>
        <v>2994578718</v>
      </c>
      <c r="O71" s="76">
        <f>资产资本表!O35+资产资本表!O36-资产资本表!O24</f>
        <v>3578552891</v>
      </c>
      <c r="P71" s="76">
        <f>资产资本表!P35+资产资本表!P36-资产资本表!P24</f>
        <v>5877874572</v>
      </c>
      <c r="Q71" s="76">
        <f>资产资本表!Q35+资产资本表!Q36-资产资本表!Q24</f>
        <v>3753354516</v>
      </c>
      <c r="R71" s="76">
        <f>资产资本表!R35+资产资本表!R36-资产资本表!R24</f>
        <v>4524482165</v>
      </c>
      <c r="S71" s="76">
        <f>资产资本表!S35+资产资本表!S36-资产资本表!S24</f>
        <v>3914934626</v>
      </c>
      <c r="T71" s="76">
        <f>资产资本表!T35+资产资本表!T36-资产资本表!T24</f>
        <v>4789370717</v>
      </c>
      <c r="U71" s="76">
        <f>资产资本表!U35+资产资本表!U36-资产资本表!U24</f>
        <v>3304444064</v>
      </c>
      <c r="V71" s="76">
        <f>资产资本表!V35+资产资本表!V36-资产资本表!V24</f>
        <v>4034770141</v>
      </c>
      <c r="W71" s="76">
        <f>资产资本表!W35+资产资本表!W36-资产资本表!W24</f>
        <v>3111221731</v>
      </c>
      <c r="X71" s="76">
        <f>资产资本表!X35+资产资本表!X36-资产资本表!X24</f>
        <v>4994265481</v>
      </c>
      <c r="Y71" s="76">
        <f>资产资本表!Y35+资产资本表!Y36-资产资本表!Y24</f>
        <v>3635472056</v>
      </c>
      <c r="Z71" s="76">
        <f>资产资本表!Z35+资产资本表!Z36-资产资本表!Z24</f>
        <v>3707408757</v>
      </c>
      <c r="AA71" s="76">
        <f>资产资本表!AA35+资产资本表!AA36-资产资本表!AA24</f>
        <v>3396366331</v>
      </c>
      <c r="AB71" s="76">
        <f>资产资本表!AB35+资产资本表!AB36-资产资本表!AB24</f>
        <v>2697294942</v>
      </c>
      <c r="AC71" s="76">
        <f>资产资本表!AC35+资产资本表!AC36-资产资本表!AC24</f>
        <v>3646990795</v>
      </c>
      <c r="AD71" s="76">
        <f>资产资本表!AD35+资产资本表!AD36-资产资本表!AD24</f>
        <v>3324235106</v>
      </c>
      <c r="AE71" s="76">
        <f>资产资本表!AE35+资产资本表!AE36-资产资本表!AE24</f>
        <v>2978473240</v>
      </c>
      <c r="AF71" s="76">
        <f>资产资本表!AF35+资产资本表!AF36-资产资本表!AF24</f>
        <v>2373339827</v>
      </c>
      <c r="AG71" s="76">
        <f>资产资本表!AG35+资产资本表!AG36-资产资本表!AG24</f>
        <v>2602445129</v>
      </c>
      <c r="AH71" s="76">
        <f>资产资本表!AH35+资产资本表!AH36-资产资本表!AH24</f>
        <v>3237898196</v>
      </c>
      <c r="AI71" s="76">
        <f>资产资本表!AI35+资产资本表!AI36-资产资本表!AI24</f>
        <v>2045969615</v>
      </c>
      <c r="AJ71" s="76">
        <f>资产资本表!AJ35+资产资本表!AJ36-资产资本表!AJ24</f>
        <v>1362188851</v>
      </c>
      <c r="AK71" s="76">
        <f>资产资本表!AK35+资产资本表!AK36-资产资本表!AK24</f>
        <v>2417403347</v>
      </c>
      <c r="AL71" s="76">
        <f>资产资本表!AL35+资产资本表!AL36-资产资本表!AL24</f>
        <v>1313126454</v>
      </c>
      <c r="AM71" s="76">
        <f>资产资本表!AM35+资产资本表!AM36-资产资本表!AM24</f>
        <v>1237979211</v>
      </c>
      <c r="AN71" s="76">
        <f>资产资本表!AN35+资产资本表!AN36-资产资本表!AN24</f>
        <v>1118292847</v>
      </c>
      <c r="AO71" s="76">
        <f>资产资本表!AO35+资产资本表!AO36-资产资本表!AO24</f>
        <v>1916734362</v>
      </c>
      <c r="AP71" s="76">
        <f>资产资本表!AP35+资产资本表!AP36-资产资本表!AP24</f>
        <v>1484281394</v>
      </c>
      <c r="AQ71" s="76">
        <f>资产资本表!AQ35+资产资本表!AQ36-资产资本表!AQ24</f>
        <v>1342416856</v>
      </c>
      <c r="AR71" s="76">
        <f>资产资本表!AR35+资产资本表!AR36-资产资本表!AR24</f>
        <v>1012431296</v>
      </c>
      <c r="AS71" s="76">
        <f>资产资本表!AS35+资产资本表!AS36-资产资本表!AS24</f>
        <v>1185566407</v>
      </c>
      <c r="AT71" s="76">
        <f>资产资本表!AT35+资产资本表!AT36-资产资本表!AT24</f>
        <v>1184217985</v>
      </c>
      <c r="AU71" s="76">
        <f>资产资本表!AU35+资产资本表!AU36-资产资本表!AU24</f>
        <v>1196138478</v>
      </c>
      <c r="AV71" s="76">
        <f>资产资本表!AV35+资产资本表!AV36-资产资本表!AV24</f>
        <v>952300470</v>
      </c>
      <c r="AW71" s="76">
        <f>资产资本表!AW35+资产资本表!AW36-资产资本表!AW24</f>
        <v>1822191401</v>
      </c>
      <c r="AX71" s="76">
        <f>资产资本表!AX35+资产资本表!AX36-资产资本表!AX24</f>
        <v>866801124</v>
      </c>
      <c r="AY71" s="76">
        <f>资产资本表!AY35+资产资本表!AY36-资产资本表!AY24</f>
        <v>1057455027</v>
      </c>
      <c r="AZ71" s="76">
        <f>资产资本表!AZ35+资产资本表!AZ36-资产资本表!AZ24</f>
        <v>1499267126</v>
      </c>
      <c r="BA71" s="76">
        <f>资产资本表!BA35+资产资本表!BA36-资产资本表!BA24</f>
        <v>743416322</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11.902567743082809</v>
      </c>
      <c r="F72" s="155">
        <f t="shared" ref="F72:BQ72" si="36">F67/(F71+J71)*2</f>
        <v>8.11433555352877</v>
      </c>
      <c r="G72" s="155">
        <f t="shared" si="36"/>
        <v>5.8848972060131111</v>
      </c>
      <c r="H72" s="155">
        <f t="shared" si="36"/>
        <v>3.3603376780446452</v>
      </c>
      <c r="I72" s="155">
        <f t="shared" si="36"/>
        <v>12.012955976584994</v>
      </c>
      <c r="J72" s="155">
        <f t="shared" si="36"/>
        <v>8.19954226491868</v>
      </c>
      <c r="K72" s="155">
        <f t="shared" si="36"/>
        <v>5.3039944541275847</v>
      </c>
      <c r="L72" s="155">
        <f t="shared" si="36"/>
        <v>2.4398787304870324</v>
      </c>
      <c r="M72" s="155">
        <f t="shared" si="36"/>
        <v>10.932585913192915</v>
      </c>
      <c r="N72" s="155">
        <f t="shared" si="36"/>
        <v>7.037557503708805</v>
      </c>
      <c r="O72" s="155">
        <f t="shared" si="36"/>
        <v>4.8974316363033452</v>
      </c>
      <c r="P72" s="155">
        <f t="shared" si="36"/>
        <v>1.6967386574174053</v>
      </c>
      <c r="Q72" s="155">
        <f t="shared" si="36"/>
        <v>9.5597625782627542</v>
      </c>
      <c r="R72" s="155">
        <f t="shared" si="36"/>
        <v>5.748375285947553</v>
      </c>
      <c r="S72" s="155">
        <f t="shared" si="36"/>
        <v>4.5894530063900199</v>
      </c>
      <c r="T72" s="155">
        <f t="shared" si="36"/>
        <v>1.6048984608820387</v>
      </c>
      <c r="U72" s="155">
        <f t="shared" si="36"/>
        <v>9.3104259556958446</v>
      </c>
      <c r="V72" s="155">
        <f t="shared" si="36"/>
        <v>6.0495230610208512</v>
      </c>
      <c r="W72" s="155">
        <f t="shared" si="36"/>
        <v>4.5643004116138535</v>
      </c>
      <c r="X72" s="155">
        <f t="shared" si="36"/>
        <v>1.7914438330090721</v>
      </c>
      <c r="Y72" s="155">
        <f t="shared" si="36"/>
        <v>7.7777586457886621</v>
      </c>
      <c r="Z72" s="155">
        <f t="shared" si="36"/>
        <v>5.7150260879189236</v>
      </c>
      <c r="AA72" s="155">
        <f t="shared" si="36"/>
        <v>4.1267766043362917</v>
      </c>
      <c r="AB72" s="155">
        <f t="shared" si="36"/>
        <v>2.3930659526466083</v>
      </c>
      <c r="AC72" s="155">
        <f t="shared" si="36"/>
        <v>8.4552667595284241</v>
      </c>
      <c r="AD72" s="155">
        <f t="shared" si="36"/>
        <v>5.7145003086985442</v>
      </c>
      <c r="AE72" s="155">
        <f t="shared" si="36"/>
        <v>4.8766523674593572</v>
      </c>
      <c r="AF72" s="155">
        <f t="shared" si="36"/>
        <v>3.1139077182049144</v>
      </c>
      <c r="AG72" s="155">
        <f t="shared" si="36"/>
        <v>9.6492024585165979</v>
      </c>
      <c r="AH72" s="155">
        <f t="shared" si="36"/>
        <v>7.3995183620901726</v>
      </c>
      <c r="AI72" s="155">
        <f t="shared" si="36"/>
        <v>3.9105317349424493</v>
      </c>
      <c r="AJ72" s="155">
        <f t="shared" si="36"/>
        <v>2.2851771970623105</v>
      </c>
      <c r="AK72" s="155">
        <f t="shared" si="36"/>
        <v>5.5062698036667301</v>
      </c>
      <c r="AL72" s="155">
        <f t="shared" si="36"/>
        <v>5.8141183408877035</v>
      </c>
      <c r="AM72" s="155">
        <f t="shared" si="36"/>
        <v>3.9632046834924894</v>
      </c>
      <c r="AN72" s="155">
        <f t="shared" si="36"/>
        <v>2.1580563505165107</v>
      </c>
      <c r="AO72" s="155">
        <f t="shared" si="36"/>
        <v>7.5484808623338226</v>
      </c>
      <c r="AP72" s="155">
        <f t="shared" si="36"/>
        <v>6.2975535135022414</v>
      </c>
      <c r="AQ72" s="155">
        <f t="shared" si="36"/>
        <v>4.3151619361155911</v>
      </c>
      <c r="AR72" s="155">
        <f t="shared" si="36"/>
        <v>2.2642158369826042</v>
      </c>
      <c r="AS72" s="155">
        <f t="shared" si="36"/>
        <v>6.6901624859816504</v>
      </c>
      <c r="AT72" s="155">
        <f t="shared" si="36"/>
        <v>6.8107371173205387</v>
      </c>
      <c r="AU72" s="155">
        <f t="shared" si="36"/>
        <v>4.0365297556180169</v>
      </c>
      <c r="AV72" s="155">
        <f t="shared" si="36"/>
        <v>1.4940320209714504</v>
      </c>
      <c r="AW72" s="155">
        <f t="shared" si="36"/>
        <v>6.2125790482740921</v>
      </c>
      <c r="AX72" s="155">
        <f t="shared" si="36"/>
        <v>12.996321010769709</v>
      </c>
      <c r="AY72" s="155">
        <f t="shared" si="36"/>
        <v>6.7495028816956015</v>
      </c>
      <c r="AZ72" s="155">
        <f t="shared" si="36"/>
        <v>2.4879364759712606</v>
      </c>
      <c r="BA72" s="155">
        <f t="shared" si="36"/>
        <v>16.300520977800108</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30.665651973467671</v>
      </c>
      <c r="F73" s="83">
        <f t="shared" ref="F73:BQ73" si="38">F62/F72</f>
        <v>44.9821180788202</v>
      </c>
      <c r="G73" s="83">
        <f t="shared" si="38"/>
        <v>62.023173425535411</v>
      </c>
      <c r="H73" s="83">
        <f t="shared" si="38"/>
        <v>108.62003613053278</v>
      </c>
      <c r="I73" s="83">
        <f t="shared" si="38"/>
        <v>30.383862282642035</v>
      </c>
      <c r="J73" s="83">
        <f t="shared" si="38"/>
        <v>44.514679991544618</v>
      </c>
      <c r="K73" s="83">
        <f t="shared" si="38"/>
        <v>68.816059887837156</v>
      </c>
      <c r="L73" s="83">
        <f t="shared" si="38"/>
        <v>149.59759902785871</v>
      </c>
      <c r="M73" s="83">
        <f t="shared" si="38"/>
        <v>33.386428691087232</v>
      </c>
      <c r="N73" s="83">
        <f t="shared" si="38"/>
        <v>51.86458509328618</v>
      </c>
      <c r="O73" s="83">
        <f t="shared" si="38"/>
        <v>74.528860657156102</v>
      </c>
      <c r="P73" s="83">
        <f t="shared" si="38"/>
        <v>215.11857374403439</v>
      </c>
      <c r="Q73" s="83">
        <f t="shared" si="38"/>
        <v>38.180864536316712</v>
      </c>
      <c r="R73" s="83">
        <f t="shared" si="38"/>
        <v>63.496202290806764</v>
      </c>
      <c r="S73" s="83">
        <f t="shared" si="38"/>
        <v>79.53017483604269</v>
      </c>
      <c r="T73" s="83">
        <f t="shared" si="38"/>
        <v>227.42871832489581</v>
      </c>
      <c r="U73" s="83">
        <f t="shared" si="38"/>
        <v>39.203362095018193</v>
      </c>
      <c r="V73" s="83">
        <f t="shared" si="38"/>
        <v>60.335334921164282</v>
      </c>
      <c r="W73" s="83">
        <f t="shared" si="38"/>
        <v>79.968443591324146</v>
      </c>
      <c r="X73" s="83">
        <f t="shared" si="38"/>
        <v>203.74627061955539</v>
      </c>
      <c r="Y73" s="83">
        <f t="shared" si="38"/>
        <v>46.928686865030528</v>
      </c>
      <c r="Z73" s="83">
        <f t="shared" si="38"/>
        <v>63.866725083124081</v>
      </c>
      <c r="AA73" s="83">
        <f t="shared" si="38"/>
        <v>88.446755178477332</v>
      </c>
      <c r="AB73" s="83">
        <f t="shared" si="38"/>
        <v>152.52400360981639</v>
      </c>
      <c r="AC73" s="83">
        <f t="shared" si="38"/>
        <v>43.168360074349344</v>
      </c>
      <c r="AD73" s="83">
        <f t="shared" si="38"/>
        <v>63.872601326908907</v>
      </c>
      <c r="AE73" s="83">
        <f t="shared" si="38"/>
        <v>74.846425887469607</v>
      </c>
      <c r="AF73" s="83">
        <f t="shared" si="38"/>
        <v>117.21606194881487</v>
      </c>
      <c r="AG73" s="83">
        <f t="shared" si="38"/>
        <v>37.826960473592614</v>
      </c>
      <c r="AH73" s="83">
        <f t="shared" si="38"/>
        <v>49.327534866322964</v>
      </c>
      <c r="AI73" s="83">
        <f t="shared" si="38"/>
        <v>93.337690303994336</v>
      </c>
      <c r="AJ73" s="83">
        <f t="shared" si="38"/>
        <v>159.72503159458381</v>
      </c>
      <c r="AK73" s="83">
        <f t="shared" si="38"/>
        <v>66.288070329742936</v>
      </c>
      <c r="AL73" s="83">
        <f t="shared" si="38"/>
        <v>62.778219946632795</v>
      </c>
      <c r="AM73" s="83">
        <f t="shared" si="38"/>
        <v>92.097186279652746</v>
      </c>
      <c r="AN73" s="83">
        <f t="shared" si="38"/>
        <v>169.1336743420257</v>
      </c>
      <c r="AO73" s="83">
        <f t="shared" si="38"/>
        <v>48.35410020330238</v>
      </c>
      <c r="AP73" s="83">
        <f t="shared" si="38"/>
        <v>57.95901522987036</v>
      </c>
      <c r="AQ73" s="83">
        <f t="shared" si="38"/>
        <v>84.585469885879775</v>
      </c>
      <c r="AR73" s="83">
        <f t="shared" si="38"/>
        <v>161.2037130198751</v>
      </c>
      <c r="AS73" s="83">
        <f t="shared" si="38"/>
        <v>54.557718256441326</v>
      </c>
      <c r="AT73" s="83">
        <f t="shared" si="38"/>
        <v>53.59184970915414</v>
      </c>
      <c r="AU73" s="83">
        <f t="shared" si="38"/>
        <v>90.424206459024688</v>
      </c>
      <c r="AV73" s="83">
        <f t="shared" si="38"/>
        <v>244.30533942818005</v>
      </c>
      <c r="AW73" s="83">
        <f t="shared" si="38"/>
        <v>58.751767529042567</v>
      </c>
      <c r="AX73" s="83">
        <f t="shared" si="38"/>
        <v>28.084871072169896</v>
      </c>
      <c r="AY73" s="83">
        <f t="shared" si="38"/>
        <v>54.078056769168334</v>
      </c>
      <c r="AZ73" s="83">
        <f t="shared" si="38"/>
        <v>146.70792583540879</v>
      </c>
      <c r="BA73" s="83">
        <f t="shared" si="38"/>
        <v>22.39192235003398</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43.871001197137169</v>
      </c>
      <c r="F74" s="256">
        <f t="shared" ref="F74:BQ74" si="40">F66+F70</f>
        <v>63.458900790989112</v>
      </c>
      <c r="G74" s="256">
        <f t="shared" si="40"/>
        <v>114.33075859920022</v>
      </c>
      <c r="H74" s="256">
        <f t="shared" si="40"/>
        <v>215.23245649121168</v>
      </c>
      <c r="I74" s="256">
        <f t="shared" si="40"/>
        <v>44.143095101360331</v>
      </c>
      <c r="J74" s="256">
        <f t="shared" si="40"/>
        <v>62.578038912311754</v>
      </c>
      <c r="K74" s="256">
        <f t="shared" si="40"/>
        <v>103.10094167939849</v>
      </c>
      <c r="L74" s="256">
        <f t="shared" si="40"/>
        <v>200.63286843586582</v>
      </c>
      <c r="M74" s="256">
        <f t="shared" si="40"/>
        <v>28.468653044463963</v>
      </c>
      <c r="N74" s="256">
        <f t="shared" si="40"/>
        <v>33.203198976414612</v>
      </c>
      <c r="O74" s="256">
        <f t="shared" si="40"/>
        <v>60.592811030985949</v>
      </c>
      <c r="P74" s="256">
        <f t="shared" si="40"/>
        <v>178.05932564750691</v>
      </c>
      <c r="Q74" s="256">
        <f t="shared" si="40"/>
        <v>27.239762799911979</v>
      </c>
      <c r="R74" s="256">
        <f t="shared" si="40"/>
        <v>29.520121963460582</v>
      </c>
      <c r="S74" s="256">
        <f t="shared" si="40"/>
        <v>59.625469421920471</v>
      </c>
      <c r="T74" s="256">
        <f t="shared" si="40"/>
        <v>178.94614358630923</v>
      </c>
      <c r="U74" s="256">
        <f t="shared" si="40"/>
        <v>27.593388885508322</v>
      </c>
      <c r="V74" s="256">
        <f t="shared" si="40"/>
        <v>31.587008621748769</v>
      </c>
      <c r="W74" s="256">
        <f t="shared" si="40"/>
        <v>57.64557383986061</v>
      </c>
      <c r="X74" s="256">
        <f t="shared" si="40"/>
        <v>159.19553206792693</v>
      </c>
      <c r="Y74" s="256">
        <f t="shared" si="40"/>
        <v>26.224565671540837</v>
      </c>
      <c r="Z74" s="256">
        <f t="shared" si="40"/>
        <v>39.665834573213104</v>
      </c>
      <c r="AA74" s="256">
        <f t="shared" si="40"/>
        <v>63.939753587094486</v>
      </c>
      <c r="AB74" s="256">
        <f t="shared" si="40"/>
        <v>150.11549899002733</v>
      </c>
      <c r="AC74" s="256">
        <f t="shared" si="40"/>
        <v>26.278981058152418</v>
      </c>
      <c r="AD74" s="256">
        <f t="shared" si="40"/>
        <v>46.201605720003485</v>
      </c>
      <c r="AE74" s="256">
        <f t="shared" si="40"/>
        <v>55.563950997700189</v>
      </c>
      <c r="AF74" s="256">
        <f t="shared" si="40"/>
        <v>156.90253964018689</v>
      </c>
      <c r="AG74" s="256">
        <f t="shared" si="40"/>
        <v>31.895663243425915</v>
      </c>
      <c r="AH74" s="256">
        <f t="shared" si="40"/>
        <v>46.695225758800888</v>
      </c>
      <c r="AI74" s="256">
        <f t="shared" si="40"/>
        <v>79.285499878613024</v>
      </c>
      <c r="AJ74" s="256">
        <f t="shared" si="40"/>
        <v>217.93719757291024</v>
      </c>
      <c r="AK74" s="256">
        <f t="shared" si="40"/>
        <v>46.097595126977517</v>
      </c>
      <c r="AL74" s="256">
        <f t="shared" si="40"/>
        <v>50.554055062045258</v>
      </c>
      <c r="AM74" s="256">
        <f t="shared" si="40"/>
        <v>87.167655587222441</v>
      </c>
      <c r="AN74" s="256">
        <f t="shared" si="40"/>
        <v>152.04077028969914</v>
      </c>
      <c r="AO74" s="256">
        <f t="shared" si="40"/>
        <v>23.978022623690798</v>
      </c>
      <c r="AP74" s="256">
        <f t="shared" si="40"/>
        <v>10.948910730493855</v>
      </c>
      <c r="AQ74" s="256">
        <f t="shared" si="40"/>
        <v>34.370802814867623</v>
      </c>
      <c r="AR74" s="256">
        <f t="shared" si="40"/>
        <v>48.412821289053369</v>
      </c>
      <c r="AS74" s="256">
        <f t="shared" si="40"/>
        <v>11.893788222340511</v>
      </c>
      <c r="AT74" s="256">
        <f t="shared" si="40"/>
        <v>2.4974451991725743</v>
      </c>
      <c r="AU74" s="256">
        <f t="shared" si="40"/>
        <v>10.773383103189282</v>
      </c>
      <c r="AV74" s="256">
        <f t="shared" si="40"/>
        <v>25.551682812442628</v>
      </c>
      <c r="AW74" s="256">
        <f t="shared" si="40"/>
        <v>3.130232435285619</v>
      </c>
      <c r="AX74" s="256">
        <f t="shared" si="40"/>
        <v>1.5403032321215178</v>
      </c>
      <c r="AY74" s="256">
        <f t="shared" si="40"/>
        <v>6.4970393183888877</v>
      </c>
      <c r="AZ74" s="256">
        <f t="shared" si="40"/>
        <v>12.312675923225299</v>
      </c>
      <c r="BA74" s="256">
        <f t="shared" si="40"/>
        <v>1.0633487725308142</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13.205349223669497</v>
      </c>
      <c r="F75" s="256">
        <f t="shared" ref="F75:BQ75" si="42">F74-F73</f>
        <v>18.476782712168912</v>
      </c>
      <c r="G75" s="256">
        <f t="shared" si="42"/>
        <v>52.307585173664812</v>
      </c>
      <c r="H75" s="256">
        <f t="shared" si="42"/>
        <v>106.6124203606789</v>
      </c>
      <c r="I75" s="256">
        <f t="shared" si="42"/>
        <v>13.759232818718296</v>
      </c>
      <c r="J75" s="256">
        <f t="shared" si="42"/>
        <v>18.063358920767136</v>
      </c>
      <c r="K75" s="256">
        <f t="shared" si="42"/>
        <v>34.284881791561332</v>
      </c>
      <c r="L75" s="256">
        <f t="shared" si="42"/>
        <v>51.03526940800711</v>
      </c>
      <c r="M75" s="256">
        <f t="shared" si="42"/>
        <v>-4.9177756466232694</v>
      </c>
      <c r="N75" s="256">
        <f t="shared" si="42"/>
        <v>-18.661386116871569</v>
      </c>
      <c r="O75" s="256">
        <f t="shared" si="42"/>
        <v>-13.936049626170153</v>
      </c>
      <c r="P75" s="256">
        <f t="shared" si="42"/>
        <v>-37.059248096527483</v>
      </c>
      <c r="Q75" s="256">
        <f t="shared" si="42"/>
        <v>-10.941101736404732</v>
      </c>
      <c r="R75" s="256">
        <f t="shared" si="42"/>
        <v>-33.976080327346182</v>
      </c>
      <c r="S75" s="256">
        <f t="shared" si="42"/>
        <v>-19.904705414122219</v>
      </c>
      <c r="T75" s="256">
        <f t="shared" si="42"/>
        <v>-48.482574738586578</v>
      </c>
      <c r="U75" s="256">
        <f t="shared" si="42"/>
        <v>-11.609973209509871</v>
      </c>
      <c r="V75" s="256">
        <f t="shared" si="42"/>
        <v>-28.748326299415513</v>
      </c>
      <c r="W75" s="256">
        <f t="shared" si="42"/>
        <v>-22.322869751463536</v>
      </c>
      <c r="X75" s="256">
        <f t="shared" si="42"/>
        <v>-44.550738551628456</v>
      </c>
      <c r="Y75" s="256">
        <f t="shared" si="42"/>
        <v>-20.704121193489691</v>
      </c>
      <c r="Z75" s="256">
        <f t="shared" si="42"/>
        <v>-24.200890509910977</v>
      </c>
      <c r="AA75" s="256">
        <f t="shared" si="42"/>
        <v>-24.507001591382846</v>
      </c>
      <c r="AB75" s="256">
        <f t="shared" si="42"/>
        <v>-2.4085046197890563</v>
      </c>
      <c r="AC75" s="256">
        <f t="shared" si="42"/>
        <v>-16.889379016196926</v>
      </c>
      <c r="AD75" s="256">
        <f t="shared" si="42"/>
        <v>-17.670995606905421</v>
      </c>
      <c r="AE75" s="256">
        <f t="shared" si="42"/>
        <v>-19.282474889769418</v>
      </c>
      <c r="AF75" s="256">
        <f t="shared" si="42"/>
        <v>39.686477691372019</v>
      </c>
      <c r="AG75" s="256">
        <f t="shared" si="42"/>
        <v>-5.9312972301666989</v>
      </c>
      <c r="AH75" s="256">
        <f t="shared" si="42"/>
        <v>-2.6323091075220759</v>
      </c>
      <c r="AI75" s="256">
        <f t="shared" si="42"/>
        <v>-14.052190425381312</v>
      </c>
      <c r="AJ75" s="256">
        <f t="shared" si="42"/>
        <v>58.212165978326425</v>
      </c>
      <c r="AK75" s="256">
        <f t="shared" si="42"/>
        <v>-20.19047520276542</v>
      </c>
      <c r="AL75" s="256">
        <f t="shared" si="42"/>
        <v>-12.224164884587537</v>
      </c>
      <c r="AM75" s="256">
        <f t="shared" si="42"/>
        <v>-4.9295306924303048</v>
      </c>
      <c r="AN75" s="256">
        <f t="shared" si="42"/>
        <v>-17.09290405232656</v>
      </c>
      <c r="AO75" s="256">
        <f t="shared" si="42"/>
        <v>-24.376077579611582</v>
      </c>
      <c r="AP75" s="256">
        <f t="shared" si="42"/>
        <v>-47.010104499376503</v>
      </c>
      <c r="AQ75" s="256">
        <f t="shared" si="42"/>
        <v>-50.214667071012151</v>
      </c>
      <c r="AR75" s="256">
        <f t="shared" si="42"/>
        <v>-112.79089173082173</v>
      </c>
      <c r="AS75" s="256">
        <f t="shared" si="42"/>
        <v>-42.663930034100815</v>
      </c>
      <c r="AT75" s="256">
        <f t="shared" si="42"/>
        <v>-51.094404509981565</v>
      </c>
      <c r="AU75" s="256">
        <f t="shared" si="42"/>
        <v>-79.650823355835399</v>
      </c>
      <c r="AV75" s="256">
        <f t="shared" si="42"/>
        <v>-218.75365661573741</v>
      </c>
      <c r="AW75" s="256">
        <f t="shared" si="42"/>
        <v>-55.621535093756947</v>
      </c>
      <c r="AX75" s="256">
        <f t="shared" si="42"/>
        <v>-26.54456784004838</v>
      </c>
      <c r="AY75" s="256">
        <f t="shared" si="42"/>
        <v>-47.581017450779449</v>
      </c>
      <c r="AZ75" s="256">
        <f t="shared" si="42"/>
        <v>-134.39524991218349</v>
      </c>
      <c r="BA75" s="256">
        <f t="shared" si="42"/>
        <v>-21.328573577503164</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-2280869479</v>
      </c>
      <c r="F76" s="120">
        <f t="shared" ref="F76:BQ76" si="44">F71-F64-F68</f>
        <v>-2516894573</v>
      </c>
      <c r="G76" s="120">
        <f t="shared" si="44"/>
        <v>-4707520079</v>
      </c>
      <c r="H76" s="120">
        <f t="shared" si="44"/>
        <v>-4355482372</v>
      </c>
      <c r="I76" s="120">
        <f t="shared" si="44"/>
        <v>-3135944961</v>
      </c>
      <c r="J76" s="120">
        <f t="shared" si="44"/>
        <v>-3371567597</v>
      </c>
      <c r="K76" s="120">
        <f t="shared" si="44"/>
        <v>-4461545903</v>
      </c>
      <c r="L76" s="120">
        <f t="shared" si="44"/>
        <v>-3688168477</v>
      </c>
      <c r="M76" s="120">
        <f t="shared" si="44"/>
        <v>-816107070</v>
      </c>
      <c r="N76" s="120">
        <f t="shared" si="44"/>
        <v>-353104068</v>
      </c>
      <c r="O76" s="120">
        <f t="shared" si="44"/>
        <v>-201951820</v>
      </c>
      <c r="P76" s="120">
        <f t="shared" si="44"/>
        <v>-443105094</v>
      </c>
      <c r="Q76" s="120">
        <f t="shared" si="44"/>
        <v>814344756</v>
      </c>
      <c r="R76" s="120">
        <f t="shared" si="44"/>
        <v>2389788427</v>
      </c>
      <c r="S76" s="120">
        <f t="shared" si="44"/>
        <v>313456101</v>
      </c>
      <c r="T76" s="120">
        <f t="shared" si="44"/>
        <v>-574774275</v>
      </c>
      <c r="U76" s="120">
        <f t="shared" si="44"/>
        <v>270672170</v>
      </c>
      <c r="V76" s="120">
        <f t="shared" si="44"/>
        <v>1841476160</v>
      </c>
      <c r="W76" s="120">
        <f t="shared" si="44"/>
        <v>230075838</v>
      </c>
      <c r="X76" s="120">
        <f t="shared" si="44"/>
        <v>-116516621</v>
      </c>
      <c r="Y76" s="120">
        <f t="shared" si="44"/>
        <v>936257296</v>
      </c>
      <c r="Z76" s="120">
        <f t="shared" si="44"/>
        <v>1320474947</v>
      </c>
      <c r="AA76" s="120">
        <f t="shared" si="44"/>
        <v>587488899</v>
      </c>
      <c r="AB76" s="120">
        <f t="shared" si="44"/>
        <v>-345985725</v>
      </c>
      <c r="AC76" s="120">
        <f t="shared" si="44"/>
        <v>1695399198</v>
      </c>
      <c r="AD76" s="120">
        <f t="shared" si="44"/>
        <v>427875668</v>
      </c>
      <c r="AE76" s="120">
        <f t="shared" si="44"/>
        <v>-14079333</v>
      </c>
      <c r="AF76" s="120">
        <f t="shared" si="44"/>
        <v>-1525787950</v>
      </c>
      <c r="AG76" s="120">
        <f t="shared" si="44"/>
        <v>-60776562</v>
      </c>
      <c r="AH76" s="120">
        <f t="shared" si="44"/>
        <v>-234854314</v>
      </c>
      <c r="AI76" s="120">
        <f t="shared" si="44"/>
        <v>110712972</v>
      </c>
      <c r="AJ76" s="120">
        <f t="shared" si="44"/>
        <v>-2276345076</v>
      </c>
      <c r="AK76" s="120">
        <f t="shared" si="44"/>
        <v>-792424497</v>
      </c>
      <c r="AL76" s="120">
        <f t="shared" si="44"/>
        <v>-1428398051</v>
      </c>
      <c r="AM76" s="120">
        <f t="shared" si="44"/>
        <v>-1027559469</v>
      </c>
      <c r="AN76" s="120">
        <f t="shared" si="44"/>
        <v>-1057074594</v>
      </c>
      <c r="AO76" s="120">
        <f t="shared" si="44"/>
        <v>693935437</v>
      </c>
      <c r="AP76" s="120">
        <f t="shared" si="44"/>
        <v>768695284</v>
      </c>
      <c r="AQ76" s="120">
        <f t="shared" si="44"/>
        <v>-248896855</v>
      </c>
      <c r="AR76" s="120">
        <f t="shared" si="44"/>
        <v>152769498</v>
      </c>
      <c r="AS76" s="120">
        <f t="shared" si="44"/>
        <v>244187827</v>
      </c>
      <c r="AT76" s="120">
        <f t="shared" si="44"/>
        <v>1285286222</v>
      </c>
      <c r="AU76" s="120">
        <f t="shared" si="44"/>
        <v>1107082496</v>
      </c>
      <c r="AV76" s="120">
        <f t="shared" si="44"/>
        <v>882666511</v>
      </c>
      <c r="AW76" s="120">
        <f t="shared" si="44"/>
        <v>1804324820</v>
      </c>
      <c r="AX76" s="120">
        <f t="shared" si="44"/>
        <v>945584540</v>
      </c>
      <c r="AY76" s="120">
        <f t="shared" si="44"/>
        <v>967927328</v>
      </c>
      <c r="AZ76" s="120">
        <f t="shared" si="44"/>
        <v>1390305650</v>
      </c>
      <c r="BA76" s="120">
        <f t="shared" si="44"/>
        <v>707029505</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38352</v>
      </c>
      <c r="BE80" s="1">
        <v>37986</v>
      </c>
      <c r="BF80" s="1">
        <v>25569</v>
      </c>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55636499436</v>
      </c>
      <c r="F81" s="76">
        <f>股权价值增加表!F4</f>
        <v>41740560803</v>
      </c>
      <c r="G81" s="76">
        <f>股权价值增加表!G4</f>
        <v>27356568247</v>
      </c>
      <c r="H81" s="76">
        <f>股权价值增加表!H4</f>
        <v>12451185731</v>
      </c>
      <c r="I81" s="76">
        <f>股权价值增加表!I4</f>
        <v>44624879986</v>
      </c>
      <c r="J81" s="76">
        <f>股权价值增加表!J4</f>
        <v>31590274924</v>
      </c>
      <c r="K81" s="76">
        <f>股权价值增加表!K4</f>
        <v>21225197228</v>
      </c>
      <c r="L81" s="76">
        <f>股权价值增加表!L4</f>
        <v>11112711644</v>
      </c>
      <c r="M81" s="76">
        <f>股权价值增加表!M4</f>
        <v>52531366878</v>
      </c>
      <c r="N81" s="76">
        <f>股权价值增加表!N4</f>
        <v>40405491363</v>
      </c>
      <c r="O81" s="76">
        <f>股权价值增加表!O4</f>
        <v>27568608083</v>
      </c>
      <c r="P81" s="76">
        <f>股权价值增加表!P4</f>
        <v>13879124264</v>
      </c>
      <c r="Q81" s="76">
        <f>股权价值增加表!Q4</f>
        <v>53970730405</v>
      </c>
      <c r="R81" s="76">
        <f>股权价值增加表!R4</f>
        <v>40584960018</v>
      </c>
      <c r="S81" s="76">
        <f>股权价值增加表!S4</f>
        <v>26381464422</v>
      </c>
      <c r="T81" s="76">
        <f>股权价值增加表!T4</f>
        <v>12924921593</v>
      </c>
      <c r="U81" s="76">
        <f>股权价值增加表!U4</f>
        <v>51342739663</v>
      </c>
      <c r="V81" s="76">
        <f>股权价值增加表!V4</f>
        <v>37696880493</v>
      </c>
      <c r="W81" s="76">
        <f>股权价值增加表!W4</f>
        <v>24322872530</v>
      </c>
      <c r="X81" s="76">
        <f>股权价值增加表!X4</f>
        <v>11983767548</v>
      </c>
      <c r="Y81" s="76">
        <f>股权价值增加表!Y4</f>
        <v>45962439573</v>
      </c>
      <c r="Z81" s="76">
        <f>股权价值增加表!Z4</f>
        <v>33478802188</v>
      </c>
      <c r="AA81" s="76">
        <f>股权价值增加表!AA4</f>
        <v>22255045433</v>
      </c>
      <c r="AB81" s="76">
        <f>股权价值增加表!AB4</f>
        <v>11190000000</v>
      </c>
      <c r="AC81" s="76">
        <f>股权价值增加表!AC4</f>
        <v>45007038465</v>
      </c>
      <c r="AD81" s="76">
        <f>股权价值增加表!AD4</f>
        <v>33270504198</v>
      </c>
      <c r="AE81" s="76">
        <f>股权价值增加表!AE4</f>
        <v>21852185048</v>
      </c>
      <c r="AF81" s="76">
        <f>股权价值增加表!AF4</f>
        <v>10894379545</v>
      </c>
      <c r="AG81" s="76">
        <f>股权价值增加表!AG4</f>
        <v>42013761549</v>
      </c>
      <c r="AH81" s="76">
        <f>股权价值增加表!AH4</f>
        <v>30987977369</v>
      </c>
      <c r="AI81" s="76">
        <f>股权价值增加表!AI4</f>
        <v>14020686374</v>
      </c>
      <c r="AJ81" s="76">
        <f>股权价值增加表!AJ4</f>
        <v>6584835335</v>
      </c>
      <c r="AK81" s="76">
        <f>股权价值增加表!AK4</f>
        <v>23123142326</v>
      </c>
      <c r="AL81" s="76">
        <f>股权价值增加表!AL4</f>
        <v>16248452158</v>
      </c>
      <c r="AM81" s="76">
        <f>股权价值增加表!AM4</f>
        <v>10162139870</v>
      </c>
      <c r="AN81" s="76">
        <f>股权价值增加表!AN4</f>
        <v>4859769970</v>
      </c>
      <c r="AO81" s="76">
        <f>股权价值增加表!AO4</f>
        <v>22595317577</v>
      </c>
      <c r="AP81" s="76">
        <f>股权价值增加表!AP4</f>
        <v>17703917791</v>
      </c>
      <c r="AQ81" s="76">
        <f>股权价值增加表!AQ4</f>
        <v>11607032225</v>
      </c>
      <c r="AR81" s="76">
        <f>股权价值增加表!AR4</f>
        <v>5507283336</v>
      </c>
      <c r="AS81" s="76">
        <f>股权价值增加表!AS4</f>
        <v>20860262089</v>
      </c>
      <c r="AT81" s="76">
        <f>股权价值增加表!AT4</f>
        <v>15225187083</v>
      </c>
      <c r="AU81" s="76">
        <f>股权价值增加表!AU4</f>
        <v>9646345314</v>
      </c>
      <c r="AV81" s="76">
        <f>股权价值增加表!AV4</f>
        <v>4499404773</v>
      </c>
      <c r="AW81" s="76">
        <f>股权价值增加表!AW4</f>
        <v>16144984825</v>
      </c>
      <c r="AX81" s="76">
        <f>股权价值增加表!AX4</f>
        <v>11763831167</v>
      </c>
      <c r="AY81" s="76">
        <f>股权价值增加表!AY4</f>
        <v>7762102659</v>
      </c>
      <c r="AZ81" s="76">
        <f>股权价值增加表!AZ4</f>
        <v>3520864128</v>
      </c>
      <c r="BA81" s="76">
        <f>股权价值增加表!BA4</f>
        <v>13104668212</v>
      </c>
      <c r="BB81" s="76">
        <f>股权价值增加表!BB4</f>
        <v>9638307308</v>
      </c>
      <c r="BC81" s="76">
        <f>股权价值增加表!BC4</f>
        <v>6487495242</v>
      </c>
      <c r="BD81" s="76">
        <f>股权价值增加表!BD4</f>
        <v>7201886346</v>
      </c>
      <c r="BE81" s="76">
        <f>股权价值增加表!BE4</f>
        <v>5138521408</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105176773051</v>
      </c>
      <c r="F82" s="76">
        <f>投资和筹资活动现金流表!F34</f>
        <v>101272545283</v>
      </c>
      <c r="G82" s="76">
        <f>投资和筹资活动现金流表!G34</f>
        <v>102184921208</v>
      </c>
      <c r="H82" s="76">
        <f>投资和筹资活动现金流表!H34</f>
        <v>101636422011</v>
      </c>
      <c r="I82" s="76">
        <f>投资和筹资活动现金流表!I34</f>
        <v>101307937990</v>
      </c>
      <c r="J82" s="76">
        <f>投资和筹资活动现金流表!J34</f>
        <v>99081297504</v>
      </c>
      <c r="K82" s="76">
        <f>投资和筹资活动现金流表!K34</f>
        <v>97367642262</v>
      </c>
      <c r="L82" s="76">
        <f>投资和筹资活动现金流表!L34</f>
        <v>98663516773</v>
      </c>
      <c r="M82" s="76">
        <f>投资和筹资活动现金流表!M34</f>
        <v>98614062189</v>
      </c>
      <c r="N82" s="76">
        <f>投资和筹资活动现金流表!N34</f>
        <v>90001302330</v>
      </c>
      <c r="O82" s="76">
        <f>投资和筹资活动现金流表!O34</f>
        <v>89089118508</v>
      </c>
      <c r="P82" s="76">
        <f>投资和筹资活动现金流表!P34</f>
        <v>89254828108</v>
      </c>
      <c r="Q82" s="76">
        <f>投资和筹资活动现金流表!Q34</f>
        <v>89818951854</v>
      </c>
      <c r="R82" s="76">
        <f>投资和筹资活动现金流表!R34</f>
        <v>89256381429</v>
      </c>
      <c r="S82" s="76">
        <f>投资和筹资活动现金流表!S34</f>
        <v>88939548020</v>
      </c>
      <c r="T82" s="76">
        <f>投资和筹资活动现金流表!T34</f>
        <v>88946610761</v>
      </c>
      <c r="U82" s="76">
        <f>投资和筹资活动现金流表!U34</f>
        <v>89361069473</v>
      </c>
      <c r="V82" s="76">
        <f>投资和筹资活动现金流表!V34</f>
        <v>87086000452</v>
      </c>
      <c r="W82" s="76">
        <f>投资和筹资活动现金流表!W34</f>
        <v>86545013930</v>
      </c>
      <c r="X82" s="76">
        <f>投资和筹资活动现金流表!X34</f>
        <v>86536255799</v>
      </c>
      <c r="Y82" s="76">
        <f>投资和筹资活动现金流表!AZ34</f>
        <v>31537736633</v>
      </c>
      <c r="Z82" s="76">
        <f>投资和筹资活动现金流表!BA34</f>
        <v>16712546651</v>
      </c>
      <c r="AA82" s="76">
        <f>投资和筹资活动现金流表!BB34</f>
        <v>0</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51212132273</v>
      </c>
      <c r="AQ82" s="76">
        <f>投资和筹资活动现金流表!BR34</f>
        <v>45831757630</v>
      </c>
      <c r="AR82" s="76">
        <f>投资和筹资活动现金流表!BS34</f>
        <v>42518008725</v>
      </c>
      <c r="AS82" s="76">
        <f>投资和筹资活动现金流表!AS34</f>
        <v>42112575802</v>
      </c>
      <c r="AT82" s="76">
        <f>投资和筹资活动现金流表!AT34</f>
        <v>33529562137</v>
      </c>
      <c r="AU82" s="76">
        <f>投资和筹资活动现金流表!AU34</f>
        <v>33429044248</v>
      </c>
      <c r="AV82" s="76">
        <f>投资和筹资活动现金流表!AV34</f>
        <v>33840190373</v>
      </c>
      <c r="AW82" s="76">
        <f>投资和筹资活动现金流表!AW34</f>
        <v>33411004617</v>
      </c>
      <c r="AX82" s="76">
        <f>投资和筹资活动现金流表!AX34</f>
        <v>32594609265</v>
      </c>
      <c r="AY82" s="76">
        <f>投资和筹资活动现金流表!AY34</f>
        <v>31435560207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0.52898085596353084</v>
      </c>
      <c r="F83" s="155">
        <f t="shared" ref="F83:BQ83" si="46">F81/F82</f>
        <v>0.4121606767792646</v>
      </c>
      <c r="G83" s="155">
        <f t="shared" si="46"/>
        <v>0.26771629241965172</v>
      </c>
      <c r="H83" s="155">
        <f t="shared" si="46"/>
        <v>0.12250712377155919</v>
      </c>
      <c r="I83" s="155">
        <f t="shared" si="46"/>
        <v>0.44048749655140423</v>
      </c>
      <c r="J83" s="155">
        <f t="shared" si="46"/>
        <v>0.31883186554682202</v>
      </c>
      <c r="K83" s="155">
        <f t="shared" si="46"/>
        <v>0.21799025564249111</v>
      </c>
      <c r="L83" s="155">
        <f t="shared" si="46"/>
        <v>0.11263242997477539</v>
      </c>
      <c r="M83" s="155">
        <f t="shared" si="46"/>
        <v>0.53269651114584815</v>
      </c>
      <c r="N83" s="155">
        <f t="shared" si="46"/>
        <v>0.44894340767257651</v>
      </c>
      <c r="O83" s="155">
        <f t="shared" si="46"/>
        <v>0.3094497795544402</v>
      </c>
      <c r="P83" s="155">
        <f t="shared" si="46"/>
        <v>0.15549998311806731</v>
      </c>
      <c r="Q83" s="155">
        <f t="shared" si="46"/>
        <v>0.60088354730223303</v>
      </c>
      <c r="R83" s="155">
        <f t="shared" si="46"/>
        <v>0.45470093418792434</v>
      </c>
      <c r="S83" s="155">
        <f t="shared" si="46"/>
        <v>0.29662242511135262</v>
      </c>
      <c r="T83" s="155">
        <f t="shared" si="46"/>
        <v>0.14531100715832029</v>
      </c>
      <c r="U83" s="155">
        <f t="shared" si="46"/>
        <v>0.57455377342493597</v>
      </c>
      <c r="V83" s="155">
        <f t="shared" si="46"/>
        <v>0.43286958061390979</v>
      </c>
      <c r="W83" s="155">
        <f t="shared" si="46"/>
        <v>0.28104302519002439</v>
      </c>
      <c r="X83" s="155">
        <f t="shared" si="46"/>
        <v>0.13848262138628931</v>
      </c>
      <c r="Y83" s="155">
        <f t="shared" si="46"/>
        <v>1.4573791425763409</v>
      </c>
      <c r="Z83" s="155">
        <f t="shared" si="46"/>
        <v>2.0032136865267502</v>
      </c>
      <c r="AA83" s="155" t="e">
        <f t="shared" si="46"/>
        <v>#DIV/0!</v>
      </c>
      <c r="AB83" s="155">
        <f t="shared" si="46"/>
        <v>1.9644386057815679</v>
      </c>
      <c r="AC83" s="155">
        <f t="shared" si="46"/>
        <v>7.7872193800961789</v>
      </c>
      <c r="AD83" s="155">
        <f t="shared" si="46"/>
        <v>5.6960357712877974</v>
      </c>
      <c r="AE83" s="155">
        <f t="shared" si="46"/>
        <v>4.0211467679843764</v>
      </c>
      <c r="AF83" s="155">
        <f t="shared" si="46"/>
        <v>1.9737438910925225</v>
      </c>
      <c r="AG83" s="155">
        <f t="shared" si="46"/>
        <v>7.5188228799731602</v>
      </c>
      <c r="AH83" s="155">
        <f t="shared" si="46"/>
        <v>5.5458903053499951</v>
      </c>
      <c r="AI83" s="155">
        <f t="shared" si="46"/>
        <v>2.7091880324700335</v>
      </c>
      <c r="AJ83" s="155">
        <f t="shared" si="46"/>
        <v>1.4492757098391993</v>
      </c>
      <c r="AK83" s="155">
        <f t="shared" si="46"/>
        <v>5.162983337337324</v>
      </c>
      <c r="AL83" s="155">
        <f t="shared" si="46"/>
        <v>3.5941728265047992</v>
      </c>
      <c r="AM83" s="155">
        <f t="shared" si="46"/>
        <v>2.8065422749285398</v>
      </c>
      <c r="AN83" s="155">
        <f t="shared" si="46"/>
        <v>1.3188003189037409</v>
      </c>
      <c r="AO83" s="155">
        <f t="shared" si="46"/>
        <v>6.4124969653924602</v>
      </c>
      <c r="AP83" s="155">
        <f t="shared" si="46"/>
        <v>0.3456977283551585</v>
      </c>
      <c r="AQ83" s="155">
        <f t="shared" si="46"/>
        <v>0.25325304603641052</v>
      </c>
      <c r="AR83" s="155">
        <f t="shared" si="46"/>
        <v>0.12952825170200866</v>
      </c>
      <c r="AS83" s="155">
        <f t="shared" si="46"/>
        <v>0.4953451953895755</v>
      </c>
      <c r="AT83" s="155">
        <f t="shared" si="46"/>
        <v>0.45408249057326483</v>
      </c>
      <c r="AU83" s="155">
        <f t="shared" si="46"/>
        <v>0.28856180399405595</v>
      </c>
      <c r="AV83" s="155">
        <f t="shared" si="46"/>
        <v>0.13296038596136062</v>
      </c>
      <c r="AW83" s="155">
        <f t="shared" si="46"/>
        <v>0.48322356690780854</v>
      </c>
      <c r="AX83" s="155">
        <f t="shared" si="46"/>
        <v>0.36091339740746542</v>
      </c>
      <c r="AY83" s="155">
        <f t="shared" si="46"/>
        <v>0.24692108579860944</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73991938165</v>
      </c>
      <c r="F84" s="76">
        <f>资产资本表!F52</f>
        <v>68698816712</v>
      </c>
      <c r="G84" s="76">
        <f>资产资本表!G52</f>
        <v>68403057722</v>
      </c>
      <c r="H84" s="76">
        <f>资产资本表!H52</f>
        <v>69589444768</v>
      </c>
      <c r="I84" s="76">
        <f>资产资本表!I52</f>
        <v>70714240844</v>
      </c>
      <c r="J84" s="76">
        <f>资产资本表!J52</f>
        <v>67475233015</v>
      </c>
      <c r="K84" s="76">
        <f>资产资本表!K52</f>
        <v>68116779254</v>
      </c>
      <c r="L84" s="76">
        <f>资产资本表!L52</f>
        <v>69137648496</v>
      </c>
      <c r="M84" s="76">
        <f>资产资本表!M52</f>
        <v>69850739173</v>
      </c>
      <c r="N84" s="76">
        <f>资产资本表!N52</f>
        <v>60834509210</v>
      </c>
      <c r="O84" s="76">
        <f>资产资本表!O52</f>
        <v>60990880703</v>
      </c>
      <c r="P84" s="76">
        <f>资产资本表!P52</f>
        <v>62010659882</v>
      </c>
      <c r="Q84" s="76">
        <f>资产资本表!Q52</f>
        <v>63277422372</v>
      </c>
      <c r="R84" s="76">
        <f>资产资本表!R52</f>
        <v>61276548672</v>
      </c>
      <c r="S84" s="76">
        <f>资产资本表!S52</f>
        <v>61871915948</v>
      </c>
      <c r="T84" s="76">
        <f>资产资本表!T52</f>
        <v>62933882243</v>
      </c>
      <c r="U84" s="76">
        <f>资产资本表!U52</f>
        <v>64078559186</v>
      </c>
      <c r="V84" s="76">
        <f>资产资本表!V52</f>
        <v>61874145692</v>
      </c>
      <c r="W84" s="76">
        <f>资产资本表!W52</f>
        <v>62305013693</v>
      </c>
      <c r="X84" s="76">
        <f>资产资本表!X52</f>
        <v>63221747842</v>
      </c>
      <c r="Y84" s="76">
        <f>资产资本表!Y52</f>
        <v>64281842637</v>
      </c>
      <c r="Z84" s="76">
        <f>资产资本表!Z52</f>
        <v>62786743080</v>
      </c>
      <c r="AA84" s="76">
        <f>资产资本表!AA52</f>
        <v>63716884994</v>
      </c>
      <c r="AB84" s="76">
        <f>资产资本表!AB52</f>
        <v>64614673082</v>
      </c>
      <c r="AC84" s="76">
        <f>资产资本表!AC52</f>
        <v>65741380000</v>
      </c>
      <c r="AD84" s="76">
        <f>资产资本表!AD52</f>
        <v>60115419853</v>
      </c>
      <c r="AE84" s="76">
        <f>资产资本表!AE52</f>
        <v>60986663871</v>
      </c>
      <c r="AF84" s="76">
        <f>资产资本表!AF52</f>
        <v>61887199781</v>
      </c>
      <c r="AG84" s="76">
        <f>资产资本表!AG52</f>
        <v>62829156878</v>
      </c>
      <c r="AH84" s="76">
        <f>资产资本表!AH52</f>
        <v>62717940497</v>
      </c>
      <c r="AI84" s="76">
        <f>资产资本表!AI52</f>
        <v>49090157499</v>
      </c>
      <c r="AJ84" s="76">
        <f>资产资本表!AJ52</f>
        <v>48651967926</v>
      </c>
      <c r="AK84" s="76">
        <f>资产资本表!AK52</f>
        <v>48289566375</v>
      </c>
      <c r="AL84" s="76">
        <f>资产资本表!AL52</f>
        <v>48907137903</v>
      </c>
      <c r="AM84" s="76">
        <f>资产资本表!AM52</f>
        <v>49347447509</v>
      </c>
      <c r="AN84" s="76">
        <f>资产资本表!AN52</f>
        <v>46790793078</v>
      </c>
      <c r="AO84" s="76">
        <f>资产资本表!AO52</f>
        <v>46452245989</v>
      </c>
      <c r="AP84" s="76">
        <f>资产资本表!AP52</f>
        <v>42560073803</v>
      </c>
      <c r="AQ84" s="76">
        <f>资产资本表!AQ52</f>
        <v>38560629628</v>
      </c>
      <c r="AR84" s="76">
        <f>资产资本表!AR52</f>
        <v>35608180031</v>
      </c>
      <c r="AS84" s="76">
        <f>资产资本表!AS52</f>
        <v>34142005444</v>
      </c>
      <c r="AT84" s="76">
        <f>资产资本表!AT52</f>
        <v>27077285099</v>
      </c>
      <c r="AU84" s="76">
        <f>资产资本表!AU52</f>
        <v>27436073274</v>
      </c>
      <c r="AV84" s="76">
        <f>资产资本表!AV52</f>
        <v>27725907430</v>
      </c>
      <c r="AW84" s="76">
        <f>资产资本表!AW52</f>
        <v>26852455334</v>
      </c>
      <c r="AX84" s="76">
        <f>资产资本表!AX52</f>
        <v>23907360399</v>
      </c>
      <c r="AY84" s="76">
        <f>资产资本表!AY52</f>
        <v>22900042620</v>
      </c>
      <c r="AZ84" s="76">
        <f>资产资本表!AZ52</f>
        <v>22705302383</v>
      </c>
      <c r="BA84" s="76">
        <f>资产资本表!BA52</f>
        <v>12514823657</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0.75192650464070998</v>
      </c>
      <c r="F85" s="155">
        <f t="shared" ref="F85:BQ85" si="48">F81/F84</f>
        <v>0.60758776934958392</v>
      </c>
      <c r="G85" s="155">
        <f t="shared" si="48"/>
        <v>0.39993194979939467</v>
      </c>
      <c r="H85" s="155">
        <f t="shared" si="48"/>
        <v>0.17892348146346401</v>
      </c>
      <c r="I85" s="155">
        <f t="shared" si="48"/>
        <v>0.63105930931854659</v>
      </c>
      <c r="J85" s="155">
        <f t="shared" si="48"/>
        <v>0.46817585523531813</v>
      </c>
      <c r="K85" s="155">
        <f t="shared" si="48"/>
        <v>0.31160012937272868</v>
      </c>
      <c r="L85" s="155">
        <f t="shared" si="48"/>
        <v>0.16073314446965797</v>
      </c>
      <c r="M85" s="155">
        <f t="shared" si="48"/>
        <v>0.75205169623037282</v>
      </c>
      <c r="N85" s="155">
        <f t="shared" si="48"/>
        <v>0.66418701963256954</v>
      </c>
      <c r="O85" s="155">
        <f t="shared" si="48"/>
        <v>0.45201196908842084</v>
      </c>
      <c r="P85" s="155">
        <f t="shared" si="48"/>
        <v>0.22381836107550809</v>
      </c>
      <c r="Q85" s="155">
        <f t="shared" si="48"/>
        <v>0.85292239130274417</v>
      </c>
      <c r="R85" s="155">
        <f t="shared" si="48"/>
        <v>0.66232450909143792</v>
      </c>
      <c r="S85" s="155">
        <f t="shared" si="48"/>
        <v>0.42638835435728539</v>
      </c>
      <c r="T85" s="155">
        <f t="shared" si="48"/>
        <v>0.20537302216784203</v>
      </c>
      <c r="U85" s="155">
        <f t="shared" si="48"/>
        <v>0.80124678699419716</v>
      </c>
      <c r="V85" s="155">
        <f t="shared" si="48"/>
        <v>0.60925092494447175</v>
      </c>
      <c r="W85" s="155">
        <f t="shared" si="48"/>
        <v>0.39038387263419683</v>
      </c>
      <c r="X85" s="155">
        <f t="shared" si="48"/>
        <v>0.18955134834217355</v>
      </c>
      <c r="Y85" s="155">
        <f t="shared" si="48"/>
        <v>0.71501434444793699</v>
      </c>
      <c r="Z85" s="155">
        <f t="shared" si="48"/>
        <v>0.53321450589247543</v>
      </c>
      <c r="AA85" s="155">
        <f t="shared" si="48"/>
        <v>0.34928018585804504</v>
      </c>
      <c r="AB85" s="155">
        <f t="shared" si="48"/>
        <v>0.17318047846189982</v>
      </c>
      <c r="AC85" s="155">
        <f t="shared" si="48"/>
        <v>0.68460744914390292</v>
      </c>
      <c r="AD85" s="155">
        <f t="shared" si="48"/>
        <v>0.55344376333653222</v>
      </c>
      <c r="AE85" s="155">
        <f t="shared" si="48"/>
        <v>0.35831087750958313</v>
      </c>
      <c r="AF85" s="155">
        <f t="shared" si="48"/>
        <v>0.17603607181374986</v>
      </c>
      <c r="AG85" s="155">
        <f t="shared" si="48"/>
        <v>0.66869847753299017</v>
      </c>
      <c r="AH85" s="155">
        <f t="shared" si="48"/>
        <v>0.49408474072075526</v>
      </c>
      <c r="AI85" s="155">
        <f t="shared" si="48"/>
        <v>0.2856109470474934</v>
      </c>
      <c r="AJ85" s="155">
        <f t="shared" si="48"/>
        <v>0.13534571397020534</v>
      </c>
      <c r="AK85" s="155">
        <f t="shared" si="48"/>
        <v>0.47884344511262966</v>
      </c>
      <c r="AL85" s="155">
        <f t="shared" si="48"/>
        <v>0.33223068972521713</v>
      </c>
      <c r="AM85" s="155">
        <f t="shared" si="48"/>
        <v>0.20593040538006807</v>
      </c>
      <c r="AN85" s="155">
        <f t="shared" si="48"/>
        <v>0.10386167128859709</v>
      </c>
      <c r="AO85" s="155">
        <f t="shared" si="48"/>
        <v>0.48642034622719049</v>
      </c>
      <c r="AP85" s="155">
        <f t="shared" si="48"/>
        <v>0.41597479066758752</v>
      </c>
      <c r="AQ85" s="155">
        <f t="shared" si="48"/>
        <v>0.30100733149263192</v>
      </c>
      <c r="AR85" s="155">
        <f t="shared" si="48"/>
        <v>0.15466343214411502</v>
      </c>
      <c r="AS85" s="155">
        <f t="shared" si="48"/>
        <v>0.61098526046500623</v>
      </c>
      <c r="AT85" s="155">
        <f t="shared" si="48"/>
        <v>0.56228632329030237</v>
      </c>
      <c r="AU85" s="155">
        <f t="shared" si="48"/>
        <v>0.35159351040009912</v>
      </c>
      <c r="AV85" s="155">
        <f t="shared" si="48"/>
        <v>0.16228160554743654</v>
      </c>
      <c r="AW85" s="155">
        <f t="shared" si="48"/>
        <v>0.60124799107504956</v>
      </c>
      <c r="AX85" s="155">
        <f t="shared" si="48"/>
        <v>0.49205897140748583</v>
      </c>
      <c r="AY85" s="155">
        <f t="shared" si="48"/>
        <v>0.33895581714860579</v>
      </c>
      <c r="AZ85" s="155">
        <f t="shared" si="48"/>
        <v>0.15506792504274924</v>
      </c>
      <c r="BA85" s="155">
        <f t="shared" si="48"/>
        <v>1.047131671301663</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1798810132</v>
      </c>
      <c r="F86" s="76">
        <f>资产资本表!F53</f>
        <v>4215703231</v>
      </c>
      <c r="G86" s="76">
        <f>资产资本表!G53</f>
        <v>3851652442</v>
      </c>
      <c r="H86" s="76">
        <f>资产资本表!H53</f>
        <v>3289716242</v>
      </c>
      <c r="I86" s="76">
        <f>资产资本表!I53</f>
        <v>2356979372</v>
      </c>
      <c r="J86" s="76">
        <f>资产资本表!J53</f>
        <v>6554346607</v>
      </c>
      <c r="K86" s="76">
        <f>资产资本表!K53</f>
        <v>5021800936</v>
      </c>
      <c r="L86" s="76">
        <f>资产资本表!L53</f>
        <v>4972884287</v>
      </c>
      <c r="M86" s="76">
        <f>资产资本表!M53</f>
        <v>4839477125</v>
      </c>
      <c r="N86" s="76">
        <f>资产资本表!N53</f>
        <v>4466562550</v>
      </c>
      <c r="O86" s="76">
        <f>资产资本表!O53</f>
        <v>3846832837</v>
      </c>
      <c r="P86" s="76">
        <f>资产资本表!P53</f>
        <v>3558232199</v>
      </c>
      <c r="Q86" s="76">
        <f>资产资本表!Q53</f>
        <v>3344020582</v>
      </c>
      <c r="R86" s="76">
        <f>资产资本表!R53</f>
        <v>3892608823</v>
      </c>
      <c r="S86" s="76">
        <f>资产资本表!S53</f>
        <v>3652656504</v>
      </c>
      <c r="T86" s="76">
        <f>资产资本表!T53</f>
        <v>3236233233</v>
      </c>
      <c r="U86" s="76">
        <f>资产资本表!U53</f>
        <v>2989370072</v>
      </c>
      <c r="V86" s="76">
        <f>资产资本表!V53</f>
        <v>2507566126</v>
      </c>
      <c r="W86" s="76">
        <f>资产资本表!W53</f>
        <v>2100837750</v>
      </c>
      <c r="X86" s="76">
        <f>资产资本表!X53</f>
        <v>1949902461</v>
      </c>
      <c r="Y86" s="76">
        <f>资产资本表!Y53</f>
        <v>1779723164</v>
      </c>
      <c r="Z86" s="76">
        <f>资产资本表!Z53</f>
        <v>2286234492</v>
      </c>
      <c r="AA86" s="76">
        <f>资产资本表!AA53</f>
        <v>1461675288</v>
      </c>
      <c r="AB86" s="76">
        <f>资产资本表!AB53</f>
        <v>852316278</v>
      </c>
      <c r="AC86" s="76">
        <f>资产资本表!AC53</f>
        <v>659101827</v>
      </c>
      <c r="AD86" s="76">
        <f>资产资本表!AD53</f>
        <v>5185258571</v>
      </c>
      <c r="AE86" s="76">
        <f>资产资本表!AE53</f>
        <v>4960142521</v>
      </c>
      <c r="AF86" s="76">
        <f>资产资本表!AF53</f>
        <v>4775593828</v>
      </c>
      <c r="AG86" s="76">
        <f>资产资本表!AG53</f>
        <v>4696744833</v>
      </c>
      <c r="AH86" s="76">
        <f>资产资本表!AH53</f>
        <v>5221872558</v>
      </c>
      <c r="AI86" s="76">
        <f>资产资本表!AI53</f>
        <v>3094176095</v>
      </c>
      <c r="AJ86" s="76">
        <f>资产资本表!AJ53</f>
        <v>2779758912</v>
      </c>
      <c r="AK86" s="76">
        <f>资产资本表!AK53</f>
        <v>2357942872</v>
      </c>
      <c r="AL86" s="76">
        <f>资产资本表!AL53</f>
        <v>2228990224</v>
      </c>
      <c r="AM86" s="76">
        <f>资产资本表!AM53</f>
        <v>2350371712</v>
      </c>
      <c r="AN86" s="76">
        <f>资产资本表!AN53</f>
        <v>3362966459</v>
      </c>
      <c r="AO86" s="76">
        <f>资产资本表!AO53</f>
        <v>3798405996</v>
      </c>
      <c r="AP86" s="76">
        <f>资产资本表!AP53</f>
        <v>3741648633</v>
      </c>
      <c r="AQ86" s="76">
        <f>资产资本表!AQ53</f>
        <v>2333941131</v>
      </c>
      <c r="AR86" s="76">
        <f>资产资本表!AR53</f>
        <v>1947207629</v>
      </c>
      <c r="AS86" s="76">
        <f>资产资本表!AS53</f>
        <v>3049860372</v>
      </c>
      <c r="AT86" s="76">
        <f>资产资本表!AT53</f>
        <v>1526918370</v>
      </c>
      <c r="AU86" s="76">
        <f>资产资本表!AU53</f>
        <v>1052359754</v>
      </c>
      <c r="AV86" s="76">
        <f>资产资本表!AV53</f>
        <v>1147497829</v>
      </c>
      <c r="AW86" s="76">
        <f>资产资本表!AW53</f>
        <v>1624443852</v>
      </c>
      <c r="AX86" s="76">
        <f>资产资本表!AX53</f>
        <v>3727101002</v>
      </c>
      <c r="AY86" s="76">
        <f>资产资本表!AY53</f>
        <v>3529015077</v>
      </c>
      <c r="AZ86" s="76">
        <f>资产资本表!AZ53</f>
        <v>3773658493</v>
      </c>
      <c r="BA86" s="76">
        <f>资产资本表!BA53</f>
        <v>1820072069</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30.929611995314243</v>
      </c>
      <c r="F87" s="54">
        <f t="shared" ref="F87:BQ87" si="50">F81/F86</f>
        <v>9.9012094817449441</v>
      </c>
      <c r="G87" s="54">
        <f t="shared" si="50"/>
        <v>7.1025536854501059</v>
      </c>
      <c r="H87" s="54">
        <f t="shared" si="50"/>
        <v>3.7848813742762926</v>
      </c>
      <c r="I87" s="54">
        <f t="shared" si="50"/>
        <v>18.933080414757232</v>
      </c>
      <c r="J87" s="54">
        <f t="shared" si="50"/>
        <v>4.8197443342806725</v>
      </c>
      <c r="K87" s="54">
        <f t="shared" si="50"/>
        <v>4.2266106320228696</v>
      </c>
      <c r="L87" s="54">
        <f t="shared" si="50"/>
        <v>2.2346612152328973</v>
      </c>
      <c r="M87" s="54">
        <f t="shared" si="50"/>
        <v>10.854760859728209</v>
      </c>
      <c r="N87" s="54">
        <f t="shared" si="50"/>
        <v>9.0462163936336228</v>
      </c>
      <c r="O87" s="54">
        <f t="shared" si="50"/>
        <v>7.1665729318510545</v>
      </c>
      <c r="P87" s="54">
        <f t="shared" si="50"/>
        <v>3.9005673288833056</v>
      </c>
      <c r="Q87" s="54">
        <f t="shared" si="50"/>
        <v>16.139473152620685</v>
      </c>
      <c r="R87" s="54">
        <f t="shared" si="50"/>
        <v>10.426159386527187</v>
      </c>
      <c r="S87" s="54">
        <f t="shared" si="50"/>
        <v>7.2225418385522513</v>
      </c>
      <c r="T87" s="54">
        <f t="shared" si="50"/>
        <v>3.9938164719415328</v>
      </c>
      <c r="U87" s="54">
        <f t="shared" si="50"/>
        <v>17.175103258008399</v>
      </c>
      <c r="V87" s="54">
        <f t="shared" si="50"/>
        <v>15.033254797205695</v>
      </c>
      <c r="W87" s="54">
        <f t="shared" si="50"/>
        <v>11.577701576430641</v>
      </c>
      <c r="X87" s="54">
        <f t="shared" si="50"/>
        <v>6.1458292338654577</v>
      </c>
      <c r="Y87" s="54">
        <f t="shared" si="50"/>
        <v>25.82561181577114</v>
      </c>
      <c r="Z87" s="54">
        <f t="shared" si="50"/>
        <v>14.643643206831646</v>
      </c>
      <c r="AA87" s="54">
        <f t="shared" si="50"/>
        <v>15.225710946684623</v>
      </c>
      <c r="AB87" s="54">
        <f t="shared" si="50"/>
        <v>13.128929118023954</v>
      </c>
      <c r="AC87" s="54">
        <f t="shared" si="50"/>
        <v>68.285409964430272</v>
      </c>
      <c r="AD87" s="54">
        <f t="shared" si="50"/>
        <v>6.4163635703867392</v>
      </c>
      <c r="AE87" s="54">
        <f t="shared" si="50"/>
        <v>4.4055558797924306</v>
      </c>
      <c r="AF87" s="54">
        <f t="shared" si="50"/>
        <v>2.2812617524389682</v>
      </c>
      <c r="AG87" s="54">
        <f t="shared" si="50"/>
        <v>8.9452936113976875</v>
      </c>
      <c r="AH87" s="54">
        <f t="shared" si="50"/>
        <v>5.9342653473083864</v>
      </c>
      <c r="AI87" s="54">
        <f t="shared" si="50"/>
        <v>4.5313149425000647</v>
      </c>
      <c r="AJ87" s="54">
        <f t="shared" si="50"/>
        <v>2.3688512361895073</v>
      </c>
      <c r="AK87" s="54">
        <f t="shared" si="50"/>
        <v>9.8064896315265777</v>
      </c>
      <c r="AL87" s="54">
        <f t="shared" si="50"/>
        <v>7.2896022526476543</v>
      </c>
      <c r="AM87" s="54">
        <f t="shared" si="50"/>
        <v>4.3236309465930125</v>
      </c>
      <c r="AN87" s="54">
        <f t="shared" si="50"/>
        <v>1.44508428176387</v>
      </c>
      <c r="AO87" s="54">
        <f t="shared" si="50"/>
        <v>5.9486315051088603</v>
      </c>
      <c r="AP87" s="54">
        <f t="shared" si="50"/>
        <v>4.7315821252850387</v>
      </c>
      <c r="AQ87" s="54">
        <f t="shared" si="50"/>
        <v>4.9731469533796053</v>
      </c>
      <c r="AR87" s="54">
        <f t="shared" si="50"/>
        <v>2.8282979452110601</v>
      </c>
      <c r="AS87" s="54">
        <f t="shared" si="50"/>
        <v>6.8397433143211446</v>
      </c>
      <c r="AT87" s="54">
        <f t="shared" si="50"/>
        <v>9.9711860058373656</v>
      </c>
      <c r="AU87" s="54">
        <f t="shared" si="50"/>
        <v>9.1663951204276106</v>
      </c>
      <c r="AV87" s="54">
        <f t="shared" si="50"/>
        <v>3.9210573295123856</v>
      </c>
      <c r="AW87" s="54">
        <f t="shared" si="50"/>
        <v>9.9387767728151672</v>
      </c>
      <c r="AX87" s="54">
        <f t="shared" si="50"/>
        <v>3.1562952441287235</v>
      </c>
      <c r="AY87" s="54">
        <f t="shared" si="50"/>
        <v>2.1995096336053428</v>
      </c>
      <c r="AZ87" s="54">
        <f t="shared" si="50"/>
        <v>0.93301079960761568</v>
      </c>
      <c r="BA87" s="54">
        <f t="shared" si="50"/>
        <v>7.2000820380701089</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4707985</v>
      </c>
      <c r="AE88" s="76">
        <f>资产资本表!AE54</f>
        <v>4978856</v>
      </c>
      <c r="AF88" s="76">
        <f>资产资本表!AF54</f>
        <v>4707985</v>
      </c>
      <c r="AG88" s="76">
        <f>资产资本表!AG54</f>
        <v>4707985</v>
      </c>
      <c r="AH88" s="76">
        <f>资产资本表!AH54</f>
        <v>4707985</v>
      </c>
      <c r="AI88" s="76">
        <f>资产资本表!AI54</f>
        <v>4707985</v>
      </c>
      <c r="AJ88" s="76">
        <f>资产资本表!AJ54</f>
        <v>4707985</v>
      </c>
      <c r="AK88" s="76">
        <f>资产资本表!AK54</f>
        <v>4707985</v>
      </c>
      <c r="AL88" s="76">
        <f>资产资本表!AL54</f>
        <v>12463620</v>
      </c>
      <c r="AM88" s="76">
        <f>资产资本表!AM54</f>
        <v>8158660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25870811</v>
      </c>
      <c r="K89" s="76">
        <f>资产资本表!K55</f>
        <v>17493176</v>
      </c>
      <c r="L89" s="76">
        <f>资产资本表!L55</f>
        <v>0</v>
      </c>
      <c r="M89" s="76">
        <f>资产资本表!M55</f>
        <v>0</v>
      </c>
      <c r="N89" s="76">
        <f>资产资本表!N55</f>
        <v>3720299</v>
      </c>
      <c r="O89" s="76">
        <f>资产资本表!O55</f>
        <v>1066570</v>
      </c>
      <c r="P89" s="76">
        <f>资产资本表!P55</f>
        <v>525044</v>
      </c>
      <c r="Q89" s="76">
        <f>资产资本表!Q55</f>
        <v>0</v>
      </c>
      <c r="R89" s="76">
        <f>资产资本表!R55</f>
        <v>0</v>
      </c>
      <c r="S89" s="76">
        <f>资产资本表!S55</f>
        <v>0</v>
      </c>
      <c r="T89" s="76">
        <f>资产资本表!T55</f>
        <v>0</v>
      </c>
      <c r="U89" s="76">
        <f>资产资本表!U55</f>
        <v>0</v>
      </c>
      <c r="V89" s="76">
        <f>资产资本表!V55</f>
        <v>4335418</v>
      </c>
      <c r="W89" s="76">
        <f>资产资本表!W55</f>
        <v>121569</v>
      </c>
      <c r="X89" s="76">
        <f>资产资本表!X55</f>
        <v>3090198</v>
      </c>
      <c r="Y89" s="76">
        <f>资产资本表!Y55</f>
        <v>0</v>
      </c>
      <c r="Z89" s="76">
        <f>资产资本表!Z55</f>
        <v>20416433</v>
      </c>
      <c r="AA89" s="76">
        <f>资产资本表!AA55</f>
        <v>10280545</v>
      </c>
      <c r="AB89" s="76">
        <f>资产资本表!AB55</f>
        <v>0</v>
      </c>
      <c r="AC89" s="76">
        <f>资产资本表!AC55</f>
        <v>0</v>
      </c>
      <c r="AD89" s="76">
        <f>资产资本表!AD55</f>
        <v>1652181</v>
      </c>
      <c r="AE89" s="76">
        <f>资产资本表!AE55</f>
        <v>1326882</v>
      </c>
      <c r="AF89" s="76">
        <f>资产资本表!AF55</f>
        <v>0</v>
      </c>
      <c r="AG89" s="76">
        <f>资产资本表!AG55</f>
        <v>0</v>
      </c>
      <c r="AH89" s="76">
        <f>资产资本表!AH55</f>
        <v>0</v>
      </c>
      <c r="AI89" s="76">
        <f>资产资本表!AI55</f>
        <v>-138184</v>
      </c>
      <c r="AJ89" s="76">
        <f>资产资本表!AJ55</f>
        <v>44724</v>
      </c>
      <c r="AK89" s="76">
        <f>资产资本表!AK55</f>
        <v>0</v>
      </c>
      <c r="AL89" s="76">
        <f>资产资本表!AL55</f>
        <v>-400443</v>
      </c>
      <c r="AM89" s="76">
        <f>资产资本表!AM55</f>
        <v>-555926</v>
      </c>
      <c r="AN89" s="76">
        <f>资产资本表!AN55</f>
        <v>-413160</v>
      </c>
      <c r="AO89" s="76">
        <f>资产资本表!AO55</f>
        <v>0</v>
      </c>
      <c r="AP89" s="76">
        <f>资产资本表!AP55</f>
        <v>0</v>
      </c>
      <c r="AQ89" s="76">
        <f>资产资本表!AQ55</f>
        <v>-22622</v>
      </c>
      <c r="AR89" s="76">
        <f>资产资本表!AR55</f>
        <v>-583640</v>
      </c>
      <c r="AS89" s="76">
        <f>资产资本表!AS55</f>
        <v>0</v>
      </c>
      <c r="AT89" s="76">
        <f>资产资本表!AT55</f>
        <v>3860</v>
      </c>
      <c r="AU89" s="76">
        <f>资产资本表!AU55</f>
        <v>-107839</v>
      </c>
      <c r="AV89" s="76">
        <f>资产资本表!AV55</f>
        <v>606531</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5837763475</v>
      </c>
      <c r="F92" s="76">
        <f>资产资本表!F58</f>
        <v>5585812656</v>
      </c>
      <c r="G92" s="76">
        <f>资产资本表!G58</f>
        <v>5632945435</v>
      </c>
      <c r="H92" s="76">
        <f>资产资本表!H58</f>
        <v>4473588207</v>
      </c>
      <c r="I92" s="76">
        <f>资产资本表!I58</f>
        <v>4503874335</v>
      </c>
      <c r="J92" s="76">
        <f>资产资本表!J58</f>
        <v>3934432413</v>
      </c>
      <c r="K92" s="76">
        <f>资产资本表!K58</f>
        <v>3962843096</v>
      </c>
      <c r="L92" s="76">
        <f>资产资本表!L58</f>
        <v>3991291816</v>
      </c>
      <c r="M92" s="76">
        <f>资产资本表!M58</f>
        <v>4019831595</v>
      </c>
      <c r="N92" s="76">
        <f>资产资本表!N58</f>
        <v>4048138979</v>
      </c>
      <c r="O92" s="76">
        <f>资产资本表!O58</f>
        <v>4076693491</v>
      </c>
      <c r="P92" s="76">
        <f>资产资本表!P58</f>
        <v>4105290459</v>
      </c>
      <c r="Q92" s="76">
        <f>资产资本表!Q58</f>
        <v>4133699753</v>
      </c>
      <c r="R92" s="76">
        <f>资产资本表!R58</f>
        <v>4161896674</v>
      </c>
      <c r="S92" s="76">
        <f>资产资本表!S58</f>
        <v>4189340778</v>
      </c>
      <c r="T92" s="76">
        <f>资产资本表!T58</f>
        <v>4217748007</v>
      </c>
      <c r="U92" s="76">
        <f>资产资本表!U58</f>
        <v>4246232249</v>
      </c>
      <c r="V92" s="76">
        <f>资产资本表!V58</f>
        <v>4266746858</v>
      </c>
      <c r="W92" s="76">
        <f>资产资本表!W58</f>
        <v>4292030904</v>
      </c>
      <c r="X92" s="76">
        <f>资产资本表!X58</f>
        <v>4319142924</v>
      </c>
      <c r="Y92" s="76">
        <f>资产资本表!Y58</f>
        <v>4346532326</v>
      </c>
      <c r="Z92" s="76">
        <f>资产资本表!Z58</f>
        <v>4363407863</v>
      </c>
      <c r="AA92" s="76">
        <f>资产资本表!AA58</f>
        <v>4389130052</v>
      </c>
      <c r="AB92" s="76">
        <f>资产资本表!AB58</f>
        <v>4415342125</v>
      </c>
      <c r="AC92" s="76">
        <f>资产资本表!AC58</f>
        <v>4441561063</v>
      </c>
      <c r="AD92" s="76">
        <f>资产资本表!AD58</f>
        <v>4466275363</v>
      </c>
      <c r="AE92" s="76">
        <f>资产资本表!AE58</f>
        <v>4492412980</v>
      </c>
      <c r="AF92" s="76">
        <f>资产资本表!AF58</f>
        <v>4516926468</v>
      </c>
      <c r="AG92" s="76">
        <f>资产资本表!AG58</f>
        <v>4542202487</v>
      </c>
      <c r="AH92" s="76">
        <f>资产资本表!AH58</f>
        <v>4576665631</v>
      </c>
      <c r="AI92" s="76">
        <f>资产资本表!AI58</f>
        <v>4592737917</v>
      </c>
      <c r="AJ92" s="76">
        <f>资产资本表!AJ58</f>
        <v>4618687283</v>
      </c>
      <c r="AK92" s="76">
        <f>资产资本表!AK58</f>
        <v>4644636650</v>
      </c>
      <c r="AL92" s="76">
        <f>资产资本表!AL58</f>
        <v>4648792024</v>
      </c>
      <c r="AM92" s="76">
        <f>资产资本表!AM58</f>
        <v>4674741390</v>
      </c>
      <c r="AN92" s="76">
        <f>资产资本表!AN58</f>
        <v>4700690757</v>
      </c>
      <c r="AO92" s="76">
        <f>资产资本表!AO58</f>
        <v>4726640123</v>
      </c>
      <c r="AP92" s="76">
        <f>资产资本表!AP58</f>
        <v>4752753802</v>
      </c>
      <c r="AQ92" s="76">
        <f>资产资本表!AQ58</f>
        <v>4778703170</v>
      </c>
      <c r="AR92" s="76">
        <f>资产资本表!AR58</f>
        <v>4804652536</v>
      </c>
      <c r="AS92" s="76">
        <f>资产资本表!AS58</f>
        <v>4830601903</v>
      </c>
      <c r="AT92" s="76">
        <f>资产资本表!AT58</f>
        <v>4856257331</v>
      </c>
      <c r="AU92" s="76">
        <f>资产资本表!AU58</f>
        <v>4882206698</v>
      </c>
      <c r="AV92" s="76">
        <f>资产资本表!AV58</f>
        <v>4908156064</v>
      </c>
      <c r="AW92" s="76">
        <f>资产资本表!AW58</f>
        <v>4934105431</v>
      </c>
      <c r="AX92" s="76">
        <f>资产资本表!AX58</f>
        <v>4959987298</v>
      </c>
      <c r="AY92" s="76">
        <f>资产资本表!AY58</f>
        <v>4985666664</v>
      </c>
      <c r="AZ92" s="76">
        <f>资产资本表!AZ58</f>
        <v>5037565397</v>
      </c>
      <c r="BA92" s="76">
        <f>资产资本表!BA58</f>
        <v>2377012212</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9.5304476918705578</v>
      </c>
      <c r="F93" s="155">
        <f t="shared" ref="F93:BQ93" si="52">F81/F92</f>
        <v>7.4726030702380219</v>
      </c>
      <c r="G93" s="155">
        <f t="shared" si="52"/>
        <v>4.8565299562501441</v>
      </c>
      <c r="H93" s="155">
        <f t="shared" si="52"/>
        <v>2.783265950030255</v>
      </c>
      <c r="I93" s="155">
        <f t="shared" si="52"/>
        <v>9.908109477925743</v>
      </c>
      <c r="J93" s="155">
        <f t="shared" si="52"/>
        <v>8.029182257552737</v>
      </c>
      <c r="K93" s="155">
        <f t="shared" si="52"/>
        <v>5.3560528927890712</v>
      </c>
      <c r="L93" s="155">
        <f t="shared" si="52"/>
        <v>2.7842393280922662</v>
      </c>
      <c r="M93" s="155">
        <f t="shared" si="52"/>
        <v>13.068051642596236</v>
      </c>
      <c r="N93" s="155">
        <f t="shared" si="52"/>
        <v>9.9812510322907073</v>
      </c>
      <c r="O93" s="155">
        <f t="shared" si="52"/>
        <v>6.7624922363828501</v>
      </c>
      <c r="P93" s="155">
        <f t="shared" si="52"/>
        <v>3.3807898375553163</v>
      </c>
      <c r="Q93" s="155">
        <f t="shared" si="52"/>
        <v>13.056277337470185</v>
      </c>
      <c r="R93" s="155">
        <f t="shared" si="52"/>
        <v>9.7515539661376991</v>
      </c>
      <c r="S93" s="155">
        <f t="shared" si="52"/>
        <v>6.2972829903311345</v>
      </c>
      <c r="T93" s="155">
        <f t="shared" si="52"/>
        <v>3.0644129453796456</v>
      </c>
      <c r="U93" s="155">
        <f t="shared" si="52"/>
        <v>12.0913639792292</v>
      </c>
      <c r="V93" s="155">
        <f t="shared" si="52"/>
        <v>8.8350403123446792</v>
      </c>
      <c r="W93" s="155">
        <f t="shared" si="52"/>
        <v>5.6669844821788358</v>
      </c>
      <c r="X93" s="155">
        <f t="shared" si="52"/>
        <v>2.7745707328670006</v>
      </c>
      <c r="Y93" s="155">
        <f t="shared" si="52"/>
        <v>10.574507705386843</v>
      </c>
      <c r="Z93" s="155">
        <f t="shared" si="52"/>
        <v>7.6726272764659953</v>
      </c>
      <c r="AA93" s="155">
        <f t="shared" si="52"/>
        <v>5.0704912293175317</v>
      </c>
      <c r="AB93" s="155">
        <f t="shared" si="52"/>
        <v>2.5343449461461609</v>
      </c>
      <c r="AC93" s="155">
        <f t="shared" si="52"/>
        <v>10.13315765034209</v>
      </c>
      <c r="AD93" s="155">
        <f t="shared" si="52"/>
        <v>7.4492729386152723</v>
      </c>
      <c r="AE93" s="155">
        <f t="shared" si="52"/>
        <v>4.8642422558399785</v>
      </c>
      <c r="AF93" s="155">
        <f t="shared" si="52"/>
        <v>2.4119010176899787</v>
      </c>
      <c r="AG93" s="155">
        <f t="shared" si="52"/>
        <v>9.2496452259108626</v>
      </c>
      <c r="AH93" s="155">
        <f t="shared" si="52"/>
        <v>6.7708633025544271</v>
      </c>
      <c r="AI93" s="155">
        <f t="shared" si="52"/>
        <v>3.0527947876369099</v>
      </c>
      <c r="AJ93" s="155">
        <f t="shared" si="52"/>
        <v>1.4256941272549022</v>
      </c>
      <c r="AK93" s="155">
        <f t="shared" si="52"/>
        <v>4.9784609795041774</v>
      </c>
      <c r="AL93" s="155">
        <f t="shared" si="52"/>
        <v>3.495198768651131</v>
      </c>
      <c r="AM93" s="155">
        <f t="shared" si="52"/>
        <v>2.1738400100032056</v>
      </c>
      <c r="AN93" s="155">
        <f t="shared" si="52"/>
        <v>1.0338416673683775</v>
      </c>
      <c r="AO93" s="155">
        <f t="shared" si="52"/>
        <v>4.7804184344499543</v>
      </c>
      <c r="AP93" s="155">
        <f t="shared" si="52"/>
        <v>3.7249810380563027</v>
      </c>
      <c r="AQ93" s="155">
        <f t="shared" si="52"/>
        <v>2.4289083904326287</v>
      </c>
      <c r="AR93" s="155">
        <f t="shared" si="52"/>
        <v>1.1462396697233299</v>
      </c>
      <c r="AS93" s="155">
        <f t="shared" si="52"/>
        <v>4.3183566992024183</v>
      </c>
      <c r="AT93" s="155">
        <f t="shared" si="52"/>
        <v>3.1351689264507798</v>
      </c>
      <c r="AU93" s="155">
        <f t="shared" si="52"/>
        <v>1.9758166564212927</v>
      </c>
      <c r="AV93" s="155">
        <f t="shared" si="52"/>
        <v>0.91671998899992602</v>
      </c>
      <c r="AW93" s="155">
        <f t="shared" si="52"/>
        <v>3.2721199517878725</v>
      </c>
      <c r="AX93" s="155">
        <f t="shared" si="52"/>
        <v>2.3717462284114101</v>
      </c>
      <c r="AY93" s="155">
        <f t="shared" si="52"/>
        <v>1.5568835989473202</v>
      </c>
      <c r="AZ93" s="155">
        <f t="shared" si="52"/>
        <v>0.69892177084128082</v>
      </c>
      <c r="BA93" s="155">
        <f t="shared" si="52"/>
        <v>5.513084091803564</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47878302</v>
      </c>
      <c r="F94" s="76">
        <f>资产资本表!F59</f>
        <v>47878302</v>
      </c>
      <c r="G94" s="76">
        <f>资产资本表!G59</f>
        <v>31669811</v>
      </c>
      <c r="H94" s="76">
        <f>资产资本表!H59</f>
        <v>20864151</v>
      </c>
      <c r="I94" s="76">
        <f>资产资本表!I59</f>
        <v>16471698</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76079943</v>
      </c>
      <c r="F96" s="76">
        <f>资产资本表!F61</f>
        <v>58178771</v>
      </c>
      <c r="G96" s="76">
        <f>资产资本表!G61</f>
        <v>20153870</v>
      </c>
      <c r="H96" s="76">
        <f>资产资本表!H61</f>
        <v>2398348</v>
      </c>
      <c r="I96" s="76">
        <f>资产资本表!I61</f>
        <v>1811288</v>
      </c>
      <c r="J96" s="76">
        <f>资产资本表!J61</f>
        <v>4715682</v>
      </c>
      <c r="K96" s="76">
        <f>资产资本表!K61</f>
        <v>4031268</v>
      </c>
      <c r="L96" s="76">
        <f>资产资本表!L61</f>
        <v>3711716</v>
      </c>
      <c r="M96" s="76">
        <f>资产资本表!M61</f>
        <v>4074166</v>
      </c>
      <c r="N96" s="76">
        <f>资产资本表!N61</f>
        <v>6854756</v>
      </c>
      <c r="O96" s="76">
        <f>资产资本表!O61</f>
        <v>11767572</v>
      </c>
      <c r="P96" s="76">
        <f>资产资本表!P61</f>
        <v>27577459</v>
      </c>
      <c r="Q96" s="76">
        <f>资产资本表!Q61</f>
        <v>35429098</v>
      </c>
      <c r="R96" s="76">
        <f>资产资本表!R61</f>
        <v>44401007</v>
      </c>
      <c r="S96" s="76">
        <f>资产资本表!S61</f>
        <v>45769243</v>
      </c>
      <c r="T96" s="76">
        <f>资产资本表!T61</f>
        <v>45617699</v>
      </c>
      <c r="U96" s="76">
        <f>资产资本表!U61</f>
        <v>59987636</v>
      </c>
      <c r="V96" s="76">
        <f>资产资本表!V61</f>
        <v>62812709</v>
      </c>
      <c r="W96" s="76">
        <f>资产资本表!W61</f>
        <v>66318280</v>
      </c>
      <c r="X96" s="76">
        <f>资产资本表!X61</f>
        <v>73447372</v>
      </c>
      <c r="Y96" s="76">
        <f>资产资本表!Y61</f>
        <v>79962023</v>
      </c>
      <c r="Z96" s="76">
        <f>资产资本表!Z61</f>
        <v>71692679</v>
      </c>
      <c r="AA96" s="76">
        <f>资产资本表!AA61</f>
        <v>50526199</v>
      </c>
      <c r="AB96" s="76">
        <f>资产资本表!AB61</f>
        <v>0</v>
      </c>
      <c r="AC96" s="76">
        <f>资产资本表!AC61</f>
        <v>53015</v>
      </c>
      <c r="AD96" s="76">
        <f>资产资本表!AD61</f>
        <v>95706</v>
      </c>
      <c r="AE96" s="76">
        <f>资产资本表!AE61</f>
        <v>138145</v>
      </c>
      <c r="AF96" s="76">
        <f>资产资本表!AF61</f>
        <v>240517</v>
      </c>
      <c r="AG96" s="76">
        <f>资产资本表!AG61</f>
        <v>1727727</v>
      </c>
      <c r="AH96" s="76">
        <f>资产资本表!AH61</f>
        <v>11019693</v>
      </c>
      <c r="AI96" s="76">
        <f>资产资本表!AI61</f>
        <v>2697557</v>
      </c>
      <c r="AJ96" s="76">
        <f>资产资本表!AJ61</f>
        <v>3968654</v>
      </c>
      <c r="AK96" s="76">
        <f>资产资本表!AK61</f>
        <v>5140111</v>
      </c>
      <c r="AL96" s="76">
        <f>资产资本表!AL61</f>
        <v>6357611</v>
      </c>
      <c r="AM96" s="76">
        <f>资产资本表!AM61</f>
        <v>7685476</v>
      </c>
      <c r="AN96" s="76">
        <f>资产资本表!AN61</f>
        <v>9020239</v>
      </c>
      <c r="AO96" s="76">
        <f>资产资本表!AO61</f>
        <v>10008748</v>
      </c>
      <c r="AP96" s="76">
        <f>资产资本表!AP61</f>
        <v>10747480</v>
      </c>
      <c r="AQ96" s="76">
        <f>资产资本表!AQ61</f>
        <v>11597768</v>
      </c>
      <c r="AR96" s="76">
        <f>资产资本表!AR61</f>
        <v>11643614</v>
      </c>
      <c r="AS96" s="76">
        <f>资产资本表!AS61</f>
        <v>8358225</v>
      </c>
      <c r="AT96" s="76">
        <f>资产资本表!AT61</f>
        <v>0</v>
      </c>
      <c r="AU96" s="76">
        <f>资产资本表!AU61</f>
        <v>0</v>
      </c>
      <c r="AV96" s="76">
        <f>资产资本表!AV61</f>
        <v>0</v>
      </c>
      <c r="AW96" s="76">
        <f>资产资本表!AW61</f>
        <v>0</v>
      </c>
      <c r="AX96" s="76">
        <f>资产资本表!AX61</f>
        <v>160566</v>
      </c>
      <c r="AY96" s="76">
        <f>资产资本表!AY61</f>
        <v>20835846</v>
      </c>
      <c r="AZ96" s="76">
        <f>资产资本表!AZ61</f>
        <v>21210360</v>
      </c>
      <c r="BA96" s="76">
        <f>资产资本表!BA61</f>
        <v>638713</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1365120150</v>
      </c>
      <c r="F97" s="76">
        <f>资产资本表!F62</f>
        <v>1355401674</v>
      </c>
      <c r="G97" s="76">
        <f>资产资本表!G62</f>
        <v>1356805200</v>
      </c>
      <c r="H97" s="76">
        <f>资产资本表!H62</f>
        <v>1291864008</v>
      </c>
      <c r="I97" s="76">
        <f>资产资本表!I62</f>
        <v>1292134859</v>
      </c>
      <c r="J97" s="76">
        <f>资产资本表!J62</f>
        <v>1262318906</v>
      </c>
      <c r="K97" s="76">
        <f>资产资本表!K62</f>
        <v>1263791968</v>
      </c>
      <c r="L97" s="76">
        <f>资产资本表!L62</f>
        <v>1244527027</v>
      </c>
      <c r="M97" s="76">
        <f>资产资本表!M62</f>
        <v>1244936576</v>
      </c>
      <c r="N97" s="76">
        <f>资产资本表!N62</f>
        <v>1328197336</v>
      </c>
      <c r="O97" s="76">
        <f>资产资本表!O62</f>
        <v>1340613814</v>
      </c>
      <c r="P97" s="76">
        <f>资产资本表!P62</f>
        <v>1413416058</v>
      </c>
      <c r="Q97" s="76">
        <f>资产资本表!Q62</f>
        <v>1293233042</v>
      </c>
      <c r="R97" s="76">
        <f>资产资本表!R62</f>
        <v>1285266110</v>
      </c>
      <c r="S97" s="76">
        <f>资产资本表!S62</f>
        <v>1282702012</v>
      </c>
      <c r="T97" s="76">
        <f>资产资本表!T62</f>
        <v>1296032407</v>
      </c>
      <c r="U97" s="76">
        <f>资产资本表!U62</f>
        <v>1314823158</v>
      </c>
      <c r="V97" s="76">
        <f>资产资本表!V62</f>
        <v>1330693973</v>
      </c>
      <c r="W97" s="76">
        <f>资产资本表!W62</f>
        <v>1350458036</v>
      </c>
      <c r="X97" s="76">
        <f>资产资本表!X62</f>
        <v>1378511235</v>
      </c>
      <c r="Y97" s="76">
        <f>资产资本表!Y62</f>
        <v>1389986163</v>
      </c>
      <c r="Z97" s="76">
        <f>资产资本表!Z62</f>
        <v>12843820</v>
      </c>
      <c r="AA97" s="76">
        <f>资产资本表!AA62</f>
        <v>12843820</v>
      </c>
      <c r="AB97" s="76">
        <f>资产资本表!AB62</f>
        <v>92968322</v>
      </c>
      <c r="AC97" s="76">
        <f>资产资本表!AC62</f>
        <v>92968322</v>
      </c>
      <c r="AD97" s="76">
        <f>资产资本表!AD62</f>
        <v>100049930</v>
      </c>
      <c r="AE97" s="76">
        <f>资产资本表!AE62</f>
        <v>100049930</v>
      </c>
      <c r="AF97" s="76">
        <f>资产资本表!AF62</f>
        <v>252621076</v>
      </c>
      <c r="AG97" s="76">
        <f>资产资本表!AG62</f>
        <v>243100326</v>
      </c>
      <c r="AH97" s="76">
        <f>资产资本表!AH62</f>
        <v>103587576</v>
      </c>
      <c r="AI97" s="76">
        <f>资产资本表!AI62</f>
        <v>103587576</v>
      </c>
      <c r="AJ97" s="76">
        <f>资产资本表!AJ62</f>
        <v>93703407</v>
      </c>
      <c r="AK97" s="76">
        <f>资产资本表!AK62</f>
        <v>93703407</v>
      </c>
      <c r="AL97" s="76">
        <f>资产资本表!AL62</f>
        <v>86030617</v>
      </c>
      <c r="AM97" s="76">
        <f>资产资本表!AM62</f>
        <v>86030617</v>
      </c>
      <c r="AN97" s="76">
        <f>资产资本表!AN62</f>
        <v>81149858</v>
      </c>
      <c r="AO97" s="76">
        <f>资产资本表!AO62</f>
        <v>81149858</v>
      </c>
      <c r="AP97" s="76">
        <f>资产资本表!AP62</f>
        <v>81749858</v>
      </c>
      <c r="AQ97" s="76">
        <f>资产资本表!AQ62</f>
        <v>81749858</v>
      </c>
      <c r="AR97" s="76">
        <f>资产资本表!AR62</f>
        <v>81749858</v>
      </c>
      <c r="AS97" s="76">
        <f>资产资本表!AS62</f>
        <v>81749858</v>
      </c>
      <c r="AT97" s="76">
        <f>资产资本表!AT62</f>
        <v>69097477</v>
      </c>
      <c r="AU97" s="76">
        <f>资产资本表!AU62</f>
        <v>58512361</v>
      </c>
      <c r="AV97" s="76">
        <f>资产资本表!AV62</f>
        <v>58022519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1996349112</v>
      </c>
      <c r="F99" s="93">
        <f>资产资本表!F64</f>
        <v>2123538089</v>
      </c>
      <c r="G99" s="93">
        <f>资产资本表!G64</f>
        <v>1992239254</v>
      </c>
      <c r="H99" s="93">
        <f>资产资本表!H64</f>
        <v>2940782562</v>
      </c>
      <c r="I99" s="93">
        <f>资产资本表!I64</f>
        <v>3084913161</v>
      </c>
      <c r="J99" s="93">
        <f>资产资本表!J64</f>
        <v>1119838100</v>
      </c>
      <c r="K99" s="93">
        <f>资产资本表!K64</f>
        <v>442027940</v>
      </c>
      <c r="L99" s="93">
        <f>资产资本表!L64</f>
        <v>419378302</v>
      </c>
      <c r="M99" s="93">
        <f>资产资本表!M64</f>
        <v>229933758</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63448731</v>
      </c>
      <c r="AI99" s="93">
        <f>资产资本表!AI64</f>
        <v>5200000000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72353089504.5</v>
      </c>
      <c r="F100" s="197">
        <f t="shared" ref="F100:BQ100" si="54">(F84+J84)/2</f>
        <v>68087024863.5</v>
      </c>
      <c r="G100" s="197">
        <f t="shared" si="54"/>
        <v>68259918488</v>
      </c>
      <c r="H100" s="197">
        <f t="shared" si="54"/>
        <v>69363546632</v>
      </c>
      <c r="I100" s="197">
        <f t="shared" si="54"/>
        <v>70282490008.5</v>
      </c>
      <c r="J100" s="197">
        <f t="shared" si="54"/>
        <v>64154871112.5</v>
      </c>
      <c r="K100" s="197">
        <f t="shared" si="54"/>
        <v>64553829978.5</v>
      </c>
      <c r="L100" s="197">
        <f t="shared" si="54"/>
        <v>65574154189</v>
      </c>
      <c r="M100" s="197">
        <f t="shared" si="54"/>
        <v>66564080772.5</v>
      </c>
      <c r="N100" s="197">
        <f t="shared" si="54"/>
        <v>61055528941</v>
      </c>
      <c r="O100" s="197">
        <f t="shared" si="54"/>
        <v>61431398325.5</v>
      </c>
      <c r="P100" s="197">
        <f t="shared" si="54"/>
        <v>62472271062.5</v>
      </c>
      <c r="Q100" s="197">
        <f t="shared" si="54"/>
        <v>63677990779</v>
      </c>
      <c r="R100" s="197">
        <f t="shared" si="54"/>
        <v>61575347182</v>
      </c>
      <c r="S100" s="197">
        <f t="shared" si="54"/>
        <v>62088464820.5</v>
      </c>
      <c r="T100" s="197">
        <f t="shared" si="54"/>
        <v>63077815042.5</v>
      </c>
      <c r="U100" s="197">
        <f t="shared" si="54"/>
        <v>64180200911.5</v>
      </c>
      <c r="V100" s="197">
        <f t="shared" si="54"/>
        <v>62330444386</v>
      </c>
      <c r="W100" s="197">
        <f t="shared" si="54"/>
        <v>63010949343.5</v>
      </c>
      <c r="X100" s="197">
        <f t="shared" si="54"/>
        <v>63918210462</v>
      </c>
      <c r="Y100" s="197">
        <f t="shared" si="54"/>
        <v>65011611318.5</v>
      </c>
      <c r="Z100" s="197">
        <f t="shared" si="54"/>
        <v>61451081466.5</v>
      </c>
      <c r="AA100" s="197">
        <f t="shared" si="54"/>
        <v>62351774432.5</v>
      </c>
      <c r="AB100" s="197">
        <f t="shared" si="54"/>
        <v>63250936431.5</v>
      </c>
      <c r="AC100" s="197">
        <f t="shared" si="54"/>
        <v>64285268439</v>
      </c>
      <c r="AD100" s="197">
        <f t="shared" si="54"/>
        <v>61416680175</v>
      </c>
      <c r="AE100" s="197">
        <f t="shared" si="54"/>
        <v>55038410685</v>
      </c>
      <c r="AF100" s="197">
        <f t="shared" si="54"/>
        <v>55269583853.5</v>
      </c>
      <c r="AG100" s="197">
        <f t="shared" si="54"/>
        <v>55559361626.5</v>
      </c>
      <c r="AH100" s="197">
        <f t="shared" si="54"/>
        <v>55812539200</v>
      </c>
      <c r="AI100" s="197">
        <f t="shared" si="54"/>
        <v>49218802504</v>
      </c>
      <c r="AJ100" s="197">
        <f t="shared" si="54"/>
        <v>47721380502</v>
      </c>
      <c r="AK100" s="197">
        <f t="shared" si="54"/>
        <v>47370906182</v>
      </c>
      <c r="AL100" s="197">
        <f t="shared" si="54"/>
        <v>45733605853</v>
      </c>
      <c r="AM100" s="197">
        <f t="shared" si="54"/>
        <v>43954038568.5</v>
      </c>
      <c r="AN100" s="197">
        <f t="shared" si="54"/>
        <v>41199486554.5</v>
      </c>
      <c r="AO100" s="197">
        <f t="shared" si="54"/>
        <v>40297125716.5</v>
      </c>
      <c r="AP100" s="197">
        <f t="shared" si="54"/>
        <v>34818679451</v>
      </c>
      <c r="AQ100" s="197">
        <f t="shared" si="54"/>
        <v>32998351451</v>
      </c>
      <c r="AR100" s="197">
        <f t="shared" si="54"/>
        <v>31667043730.5</v>
      </c>
      <c r="AS100" s="197">
        <f t="shared" si="54"/>
        <v>30497230389</v>
      </c>
      <c r="AT100" s="197">
        <f t="shared" si="54"/>
        <v>25492322749</v>
      </c>
      <c r="AU100" s="197">
        <f t="shared" si="54"/>
        <v>25168057947</v>
      </c>
      <c r="AV100" s="197">
        <f t="shared" si="54"/>
        <v>25215604906.5</v>
      </c>
      <c r="AW100" s="197">
        <f t="shared" si="54"/>
        <v>19683639495.5</v>
      </c>
      <c r="AX100" s="197">
        <f t="shared" si="54"/>
        <v>11953680199.5</v>
      </c>
      <c r="AY100" s="197">
        <f t="shared" si="54"/>
        <v>11450021310</v>
      </c>
      <c r="AZ100" s="197">
        <f t="shared" si="54"/>
        <v>11352651191.5</v>
      </c>
      <c r="BA100" s="197">
        <f t="shared" si="54"/>
        <v>6257411828.5</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0.97785098348355992</v>
      </c>
      <c r="F101" s="252">
        <f t="shared" ref="F101:BQ101" si="56">F100/F84</f>
        <v>0.99109457953162772</v>
      </c>
      <c r="G101" s="252">
        <f t="shared" si="56"/>
        <v>0.99790741468631794</v>
      </c>
      <c r="H101" s="252">
        <f t="shared" si="56"/>
        <v>0.99675384482872209</v>
      </c>
      <c r="I101" s="252">
        <f t="shared" si="56"/>
        <v>0.99389442875512912</v>
      </c>
      <c r="J101" s="252">
        <f t="shared" si="56"/>
        <v>0.95079139775979915</v>
      </c>
      <c r="K101" s="252">
        <f t="shared" si="56"/>
        <v>0.94769351524660095</v>
      </c>
      <c r="L101" s="252">
        <f t="shared" si="56"/>
        <v>0.94845797644960161</v>
      </c>
      <c r="M101" s="252">
        <f t="shared" si="56"/>
        <v>0.95294740700796454</v>
      </c>
      <c r="N101" s="252">
        <f t="shared" si="56"/>
        <v>1.0036331308310065</v>
      </c>
      <c r="O101" s="252">
        <f t="shared" si="56"/>
        <v>1.0072226801354967</v>
      </c>
      <c r="P101" s="252">
        <f t="shared" si="56"/>
        <v>1.0074440617367788</v>
      </c>
      <c r="Q101" s="252">
        <f t="shared" si="56"/>
        <v>1.0063303527859448</v>
      </c>
      <c r="R101" s="252">
        <f t="shared" si="56"/>
        <v>1.0048762294299471</v>
      </c>
      <c r="S101" s="252">
        <f t="shared" si="56"/>
        <v>1.0034999542067196</v>
      </c>
      <c r="T101" s="252">
        <f t="shared" si="56"/>
        <v>1.0022870478408474</v>
      </c>
      <c r="U101" s="252">
        <f t="shared" si="56"/>
        <v>1.0015862049145794</v>
      </c>
      <c r="V101" s="252">
        <f t="shared" si="56"/>
        <v>1.0073746261689234</v>
      </c>
      <c r="W101" s="252">
        <f t="shared" si="56"/>
        <v>1.0113303185194438</v>
      </c>
      <c r="X101" s="252">
        <f t="shared" si="56"/>
        <v>1.0110161873686339</v>
      </c>
      <c r="Y101" s="252">
        <f t="shared" si="56"/>
        <v>1.0113526409879225</v>
      </c>
      <c r="Z101" s="252">
        <f t="shared" si="56"/>
        <v>0.97872701229623971</v>
      </c>
      <c r="AA101" s="252">
        <f t="shared" si="56"/>
        <v>0.97857537195001687</v>
      </c>
      <c r="AB101" s="252">
        <f t="shared" si="56"/>
        <v>0.97889431942541383</v>
      </c>
      <c r="AC101" s="252">
        <f t="shared" si="56"/>
        <v>0.97785091275844838</v>
      </c>
      <c r="AD101" s="252">
        <f t="shared" si="56"/>
        <v>1.0216460323354968</v>
      </c>
      <c r="AE101" s="252">
        <f t="shared" si="56"/>
        <v>0.90246632938339033</v>
      </c>
      <c r="AF101" s="252">
        <f t="shared" si="56"/>
        <v>0.89306971472424457</v>
      </c>
      <c r="AG101" s="252">
        <f t="shared" si="56"/>
        <v>0.88429264989793999</v>
      </c>
      <c r="AH101" s="252">
        <f t="shared" si="56"/>
        <v>0.88989751190362654</v>
      </c>
      <c r="AI101" s="252">
        <f t="shared" si="56"/>
        <v>1.0026205865198665</v>
      </c>
      <c r="AJ101" s="252">
        <f t="shared" si="56"/>
        <v>0.98087256356381247</v>
      </c>
      <c r="AK101" s="252">
        <f t="shared" si="56"/>
        <v>0.98097601072111507</v>
      </c>
      <c r="AL101" s="252">
        <f t="shared" si="56"/>
        <v>0.93511106586743586</v>
      </c>
      <c r="AM101" s="252">
        <f t="shared" si="56"/>
        <v>0.89070541207797327</v>
      </c>
      <c r="AN101" s="252">
        <f t="shared" si="56"/>
        <v>0.88050413007150097</v>
      </c>
      <c r="AO101" s="252">
        <f t="shared" si="56"/>
        <v>0.86749574446932998</v>
      </c>
      <c r="AP101" s="252">
        <f t="shared" si="56"/>
        <v>0.81810665113427694</v>
      </c>
      <c r="AQ101" s="252">
        <f t="shared" si="56"/>
        <v>0.85575240262775509</v>
      </c>
      <c r="AR101" s="252">
        <f t="shared" si="56"/>
        <v>0.8893193559157222</v>
      </c>
      <c r="AS101" s="252">
        <f t="shared" si="56"/>
        <v>0.89324660319153804</v>
      </c>
      <c r="AT101" s="252">
        <f t="shared" si="56"/>
        <v>0.94146524128231246</v>
      </c>
      <c r="AU101" s="252">
        <f t="shared" si="56"/>
        <v>0.91733455059878044</v>
      </c>
      <c r="AV101" s="252">
        <f t="shared" si="56"/>
        <v>0.90946004094409549</v>
      </c>
      <c r="AW101" s="252">
        <f t="shared" si="56"/>
        <v>0.73302941018495993</v>
      </c>
      <c r="AX101" s="252">
        <f t="shared" si="56"/>
        <v>0.5</v>
      </c>
      <c r="AY101" s="252">
        <f t="shared" si="56"/>
        <v>0.5</v>
      </c>
      <c r="AZ101" s="252">
        <f t="shared" si="56"/>
        <v>0.5</v>
      </c>
      <c r="BA101" s="252">
        <f t="shared" si="56"/>
        <v>0.5</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CA1" workbookViewId="0">
      <selection activeCell="E27" sqref="E27:CL27"/>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1.44140625" bestFit="1" customWidth="1"/>
    <col min="10" max="10" width="21.44140625" hidden="1" customWidth="1"/>
    <col min="11" max="11" width="22.6640625" hidden="1" customWidth="1"/>
    <col min="12" max="12" width="20.44140625" hidden="1" customWidth="1"/>
    <col min="13" max="13" width="21.44140625" bestFit="1" customWidth="1"/>
    <col min="14" max="14" width="22.6640625" hidden="1" customWidth="1"/>
    <col min="15" max="16" width="21.44140625" hidden="1" customWidth="1"/>
    <col min="17" max="17" width="22.6640625" bestFit="1" customWidth="1"/>
    <col min="18" max="18" width="22.6640625" hidden="1" customWidth="1"/>
    <col min="19" max="20" width="21.44140625" hidden="1" customWidth="1"/>
    <col min="21" max="21" width="21.44140625" bestFit="1" customWidth="1"/>
    <col min="22" max="22" width="22.6640625" hidden="1" customWidth="1"/>
    <col min="23" max="24" width="21.44140625" hidden="1" customWidth="1"/>
    <col min="25" max="25" width="21.44140625" bestFit="1" customWidth="1"/>
    <col min="26" max="28" width="21.44140625" hidden="1" customWidth="1"/>
    <col min="29" max="29" width="22.6640625" bestFit="1" customWidth="1"/>
    <col min="30" max="30" width="22.6640625" hidden="1" customWidth="1"/>
    <col min="31" max="32" width="21.44140625" hidden="1" customWidth="1"/>
    <col min="33" max="33" width="22.6640625" bestFit="1" customWidth="1"/>
    <col min="34" max="34" width="22.6640625" hidden="1" customWidth="1"/>
    <col min="35" max="36" width="21.44140625" hidden="1" customWidth="1"/>
    <col min="37" max="37" width="21.44140625" bestFit="1" customWidth="1"/>
    <col min="38" max="39" width="21.44140625" hidden="1" customWidth="1"/>
    <col min="40" max="40" width="19.332031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6" width="19.33203125" hidden="1" customWidth="1"/>
    <col min="57" max="57" width="19.33203125" bestFit="1" customWidth="1"/>
    <col min="58" max="58" width="10.5546875" hidden="1" customWidth="1"/>
    <col min="59"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46474159672</v>
      </c>
      <c r="F2" s="26">
        <f>现金流量表!F4</f>
        <v>35754531190</v>
      </c>
      <c r="G2" s="26">
        <f>现金流量表!G4</f>
        <v>21750717233</v>
      </c>
      <c r="H2" s="26">
        <f>现金流量表!H4</f>
        <v>9867668110</v>
      </c>
      <c r="I2" s="26">
        <f>现金流量表!I4</f>
        <v>33299488242</v>
      </c>
      <c r="J2" s="26">
        <f>现金流量表!J4</f>
        <v>23644896543</v>
      </c>
      <c r="K2" s="26">
        <f>现金流量表!K4</f>
        <v>14215164387</v>
      </c>
      <c r="L2" s="26">
        <f>现金流量表!L4</f>
        <v>8050420519</v>
      </c>
      <c r="M2" s="26">
        <f>现金流量表!M4</f>
        <v>45757039261</v>
      </c>
      <c r="N2" s="26">
        <f>现金流量表!N4</f>
        <v>39100291805</v>
      </c>
      <c r="O2" s="26">
        <f>现金流量表!O4</f>
        <v>24535451683</v>
      </c>
      <c r="P2" s="26">
        <f>现金流量表!P4</f>
        <v>12652732761</v>
      </c>
      <c r="Q2" s="26">
        <f>现金流量表!Q4</f>
        <v>49434415975</v>
      </c>
      <c r="R2" s="26">
        <f>现金流量表!R4</f>
        <v>38721410062</v>
      </c>
      <c r="S2" s="26">
        <f>现金流量表!S4</f>
        <v>24090936372</v>
      </c>
      <c r="T2" s="26">
        <f>现金流量表!T4</f>
        <v>10519320117</v>
      </c>
      <c r="U2" s="26">
        <f>现金流量表!U4</f>
        <v>43676367197</v>
      </c>
      <c r="V2" s="26">
        <f>现金流量表!V4</f>
        <v>32436915624</v>
      </c>
      <c r="W2" s="26">
        <f>现金流量表!W4</f>
        <v>20323621432</v>
      </c>
      <c r="X2" s="26">
        <f>现金流量表!X4</f>
        <v>9982920859</v>
      </c>
      <c r="Y2" s="26">
        <f>现金流量表!Y4</f>
        <v>37051319075</v>
      </c>
      <c r="Z2" s="26">
        <f>现金流量表!Z4</f>
        <v>28752266035</v>
      </c>
      <c r="AA2" s="26">
        <f>现金流量表!AA4</f>
        <v>17874634171</v>
      </c>
      <c r="AB2" s="26">
        <f>现金流量表!AB4</f>
        <v>8043501099</v>
      </c>
      <c r="AC2" s="26">
        <f>现金流量表!AC4</f>
        <v>38135887748</v>
      </c>
      <c r="AD2" s="26">
        <f>现金流量表!AD4</f>
        <v>27998583118</v>
      </c>
      <c r="AE2" s="26">
        <f>现金流量表!AE4</f>
        <v>17814894130</v>
      </c>
      <c r="AF2" s="26">
        <f>现金流量表!AF4</f>
        <v>7927037142</v>
      </c>
      <c r="AG2" s="26">
        <f>现金流量表!AG4</f>
        <v>37658775143</v>
      </c>
      <c r="AH2" s="26">
        <f>现金流量表!AH4</f>
        <v>27089057765</v>
      </c>
      <c r="AI2" s="26">
        <f>现金流量表!AI4</f>
        <v>13716875395</v>
      </c>
      <c r="AJ2" s="26">
        <f>现金流量表!AJ4</f>
        <v>4639074401</v>
      </c>
      <c r="AK2" s="26">
        <f>现金流量表!AK4</f>
        <v>20355170108</v>
      </c>
      <c r="AL2" s="26">
        <f>现金流量表!AL4</f>
        <v>13521736110</v>
      </c>
      <c r="AM2" s="26">
        <f>现金流量表!AM4</f>
        <v>8666819914</v>
      </c>
      <c r="AN2" s="26">
        <f>现金流量表!AN4</f>
        <v>3607261946</v>
      </c>
      <c r="AO2" s="26">
        <f>现金流量表!AO4</f>
        <v>21192248524</v>
      </c>
      <c r="AP2" s="26">
        <f>现金流量表!AP4</f>
        <v>16754474916</v>
      </c>
      <c r="AQ2" s="26">
        <f>现金流量表!AQ4</f>
        <v>10413852650</v>
      </c>
      <c r="AR2" s="26">
        <f>现金流量表!AR4</f>
        <v>5122585512</v>
      </c>
      <c r="AS2" s="26">
        <f>现金流量表!AS4</f>
        <v>19746845685</v>
      </c>
      <c r="AT2" s="26">
        <f>现金流量表!AT4</f>
        <v>14755708053</v>
      </c>
      <c r="AU2" s="26">
        <f>现金流量表!AU4</f>
        <v>8561907766</v>
      </c>
      <c r="AV2" s="26">
        <f>现金流量表!AV4</f>
        <v>4190909978</v>
      </c>
      <c r="AW2" s="26">
        <f>现金流量表!AW4</f>
        <v>15839308061</v>
      </c>
      <c r="AX2" s="26">
        <f>现金流量表!AX4</f>
        <v>11507216196</v>
      </c>
      <c r="AY2" s="26">
        <f>现金流量表!AY4</f>
        <v>7563795630</v>
      </c>
      <c r="AZ2" s="26">
        <f>现金流量表!AZ4</f>
        <v>3267052377</v>
      </c>
      <c r="BA2" s="26">
        <f>现金流量表!BA4</f>
        <v>16085353654</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55636499436</v>
      </c>
      <c r="F3" s="26">
        <f>利润表!F3</f>
        <v>41740560803</v>
      </c>
      <c r="G3" s="26">
        <f>利润表!G3</f>
        <v>27356568247</v>
      </c>
      <c r="H3" s="26">
        <f>利润表!H3</f>
        <v>12451185731</v>
      </c>
      <c r="I3" s="26">
        <f>利润表!I3</f>
        <v>44624879986</v>
      </c>
      <c r="J3" s="26">
        <f>利润表!J3</f>
        <v>31590274924</v>
      </c>
      <c r="K3" s="26">
        <f>利润表!K3</f>
        <v>21225197228</v>
      </c>
      <c r="L3" s="26">
        <f>利润表!L3</f>
        <v>11112711644</v>
      </c>
      <c r="M3" s="26">
        <f>利润表!M3</f>
        <v>52531366878</v>
      </c>
      <c r="N3" s="26">
        <f>利润表!N3</f>
        <v>40405491363</v>
      </c>
      <c r="O3" s="26">
        <f>利润表!O3</f>
        <v>27568608083</v>
      </c>
      <c r="P3" s="26">
        <f>利润表!P3</f>
        <v>13879124264</v>
      </c>
      <c r="Q3" s="26">
        <f>利润表!Q3</f>
        <v>53970730405</v>
      </c>
      <c r="R3" s="26">
        <f>利润表!R3</f>
        <v>40584960018</v>
      </c>
      <c r="S3" s="26">
        <f>利润表!S3</f>
        <v>26381464422</v>
      </c>
      <c r="T3" s="26">
        <f>利润表!T3</f>
        <v>12924921593</v>
      </c>
      <c r="U3" s="26">
        <f>利润表!U3</f>
        <v>51342739663</v>
      </c>
      <c r="V3" s="26">
        <f>利润表!V3</f>
        <v>37696880493</v>
      </c>
      <c r="W3" s="26">
        <f>利润表!W3</f>
        <v>24322872530</v>
      </c>
      <c r="X3" s="26">
        <f>利润表!X3</f>
        <v>11983767548</v>
      </c>
      <c r="Y3" s="26">
        <f>利润表!Y3</f>
        <v>45962439573</v>
      </c>
      <c r="Z3" s="26">
        <f>利润表!Z3</f>
        <v>33478802188</v>
      </c>
      <c r="AA3" s="26">
        <f>利润表!AA3</f>
        <v>22255045433</v>
      </c>
      <c r="AB3" s="26">
        <f>利润表!AB3</f>
        <v>11190000000</v>
      </c>
      <c r="AC3" s="26">
        <f>利润表!AC3</f>
        <v>45007038465</v>
      </c>
      <c r="AD3" s="26">
        <f>利润表!AD3</f>
        <v>33270504198</v>
      </c>
      <c r="AE3" s="26">
        <f>利润表!AE3</f>
        <v>21852185048</v>
      </c>
      <c r="AF3" s="26">
        <f>利润表!AF3</f>
        <v>10894379545</v>
      </c>
      <c r="AG3" s="26">
        <f>利润表!AG3</f>
        <v>42013761549</v>
      </c>
      <c r="AH3" s="26">
        <f>利润表!AH3</f>
        <v>30987977369</v>
      </c>
      <c r="AI3" s="26">
        <f>利润表!AI3</f>
        <v>14020686374</v>
      </c>
      <c r="AJ3" s="26">
        <f>利润表!AJ3</f>
        <v>6584835335</v>
      </c>
      <c r="AK3" s="26">
        <f>利润表!AK3</f>
        <v>23123142326</v>
      </c>
      <c r="AL3" s="26">
        <f>利润表!AL3</f>
        <v>16248452158</v>
      </c>
      <c r="AM3" s="26">
        <f>利润表!AM3</f>
        <v>10162139870</v>
      </c>
      <c r="AN3" s="26">
        <f>利润表!AN3</f>
        <v>4859769970</v>
      </c>
      <c r="AO3" s="26">
        <f>利润表!AO3</f>
        <v>22595317577</v>
      </c>
      <c r="AP3" s="26">
        <f>利润表!AP3</f>
        <v>17703917791</v>
      </c>
      <c r="AQ3" s="26">
        <f>利润表!AQ3</f>
        <v>11607032225</v>
      </c>
      <c r="AR3" s="26">
        <f>利润表!AR3</f>
        <v>5507283336</v>
      </c>
      <c r="AS3" s="26">
        <f>利润表!AS3</f>
        <v>20860262089</v>
      </c>
      <c r="AT3" s="26">
        <f>利润表!AT3</f>
        <v>15225187083</v>
      </c>
      <c r="AU3" s="26">
        <f>利润表!AU3</f>
        <v>9646345314</v>
      </c>
      <c r="AV3" s="26">
        <f>利润表!AV3</f>
        <v>4499404773</v>
      </c>
      <c r="AW3" s="26">
        <f>利润表!AW3</f>
        <v>16160436796</v>
      </c>
      <c r="AX3" s="26">
        <f>利润表!AX3</f>
        <v>11774465678</v>
      </c>
      <c r="AY3" s="26">
        <f>利润表!AY3</f>
        <v>7772936196</v>
      </c>
      <c r="AZ3" s="26">
        <f>利润表!AZ3</f>
        <v>3520864128</v>
      </c>
      <c r="BA3" s="26">
        <f>利润表!BA3</f>
        <v>13112679355</v>
      </c>
      <c r="BB3" s="26">
        <f>利润表!BB3</f>
        <v>9644973783</v>
      </c>
      <c r="BC3" s="26">
        <f>利润表!BC3</f>
        <v>6492134852</v>
      </c>
      <c r="BD3" s="26">
        <f>利润表!BD3</f>
        <v>7206098555</v>
      </c>
      <c r="BE3" s="26">
        <f>利润表!BE3</f>
        <v>5139796162</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0.71394685855200146</v>
      </c>
      <c r="F5" s="28">
        <f t="shared" ref="F5:BQ5" si="2">(F2/(1+F4))/F3</f>
        <v>0.73212788184017374</v>
      </c>
      <c r="G5" s="28">
        <f t="shared" si="2"/>
        <v>0.67955733488027625</v>
      </c>
      <c r="H5" s="28">
        <f t="shared" si="2"/>
        <v>0.67735752640194613</v>
      </c>
      <c r="I5" s="28">
        <f t="shared" si="2"/>
        <v>0.63778549254289219</v>
      </c>
      <c r="J5" s="28">
        <f t="shared" si="2"/>
        <v>0.63973211164622745</v>
      </c>
      <c r="K5" s="28">
        <f t="shared" si="2"/>
        <v>0.57241932881802904</v>
      </c>
      <c r="L5" s="28">
        <f t="shared" si="2"/>
        <v>0.61917392610521327</v>
      </c>
      <c r="M5" s="28">
        <f t="shared" si="2"/>
        <v>0.74448054351572257</v>
      </c>
      <c r="N5" s="28">
        <f t="shared" si="2"/>
        <v>0.82709185552409159</v>
      </c>
      <c r="O5" s="28">
        <f t="shared" si="2"/>
        <v>0.76066486421064283</v>
      </c>
      <c r="P5" s="28">
        <f t="shared" si="2"/>
        <v>0.77917751144995484</v>
      </c>
      <c r="Q5" s="28">
        <f t="shared" si="2"/>
        <v>0.78286206742823283</v>
      </c>
      <c r="R5" s="28">
        <f t="shared" si="2"/>
        <v>0.81545533765551281</v>
      </c>
      <c r="S5" s="28">
        <f t="shared" si="2"/>
        <v>0.78049283308630391</v>
      </c>
      <c r="T5" s="28">
        <f t="shared" si="2"/>
        <v>0.69562293513185847</v>
      </c>
      <c r="U5" s="28">
        <f t="shared" si="2"/>
        <v>0.72707901094740757</v>
      </c>
      <c r="V5" s="28">
        <f t="shared" si="2"/>
        <v>0.73544174332516465</v>
      </c>
      <c r="W5" s="28">
        <f t="shared" si="2"/>
        <v>0.71416797449075842</v>
      </c>
      <c r="X5" s="28">
        <f t="shared" si="2"/>
        <v>0.71199737114579509</v>
      </c>
      <c r="Y5" s="28">
        <f t="shared" si="2"/>
        <v>0.68899289018156018</v>
      </c>
      <c r="Z5" s="28">
        <f t="shared" si="2"/>
        <v>0.73403421713544059</v>
      </c>
      <c r="AA5" s="28">
        <f t="shared" si="2"/>
        <v>0.68647198000167764</v>
      </c>
      <c r="AB5" s="28">
        <f t="shared" si="2"/>
        <v>0.61436883504044371</v>
      </c>
      <c r="AC5" s="28">
        <f t="shared" si="2"/>
        <v>0.72421507756701176</v>
      </c>
      <c r="AD5" s="28">
        <f t="shared" si="2"/>
        <v>0.71926811745780694</v>
      </c>
      <c r="AE5" s="28">
        <f t="shared" si="2"/>
        <v>0.69679097105714027</v>
      </c>
      <c r="AF5" s="28">
        <f t="shared" si="2"/>
        <v>0.62190282544565245</v>
      </c>
      <c r="AG5" s="28">
        <f t="shared" si="2"/>
        <v>0.76610582140259498</v>
      </c>
      <c r="AH5" s="28">
        <f t="shared" si="2"/>
        <v>0.74716205414388714</v>
      </c>
      <c r="AI5" s="28">
        <f t="shared" si="2"/>
        <v>0.83618054146566745</v>
      </c>
      <c r="AJ5" s="28">
        <f t="shared" si="2"/>
        <v>0.60214426843455093</v>
      </c>
      <c r="AK5" s="28">
        <f t="shared" si="2"/>
        <v>0.75238828026097448</v>
      </c>
      <c r="AL5" s="28">
        <f t="shared" si="2"/>
        <v>0.71127017502194811</v>
      </c>
      <c r="AM5" s="28">
        <f t="shared" si="2"/>
        <v>0.72893489784589904</v>
      </c>
      <c r="AN5" s="28">
        <f t="shared" si="2"/>
        <v>0.63441888966116411</v>
      </c>
      <c r="AO5" s="28">
        <f t="shared" si="2"/>
        <v>0.8016277206447926</v>
      </c>
      <c r="AP5" s="28">
        <f t="shared" si="2"/>
        <v>0.80886412825804066</v>
      </c>
      <c r="AQ5" s="28">
        <f t="shared" si="2"/>
        <v>0.76683932534561061</v>
      </c>
      <c r="AR5" s="28">
        <f t="shared" si="2"/>
        <v>0.79499781439692685</v>
      </c>
      <c r="AS5" s="28">
        <f t="shared" si="2"/>
        <v>0.80908120006388984</v>
      </c>
      <c r="AT5" s="28">
        <f t="shared" si="2"/>
        <v>0.82834557078758397</v>
      </c>
      <c r="AU5" s="28">
        <f t="shared" si="2"/>
        <v>0.75861579150079406</v>
      </c>
      <c r="AV5" s="28">
        <f t="shared" si="2"/>
        <v>0.79609960003279312</v>
      </c>
      <c r="AW5" s="28">
        <f t="shared" si="2"/>
        <v>0.83771684568313809</v>
      </c>
      <c r="AX5" s="28">
        <f t="shared" si="2"/>
        <v>0.83530138750375316</v>
      </c>
      <c r="AY5" s="28">
        <f t="shared" si="2"/>
        <v>0.8317040596667199</v>
      </c>
      <c r="AZ5" s="28">
        <f t="shared" si="2"/>
        <v>0.79308725286156767</v>
      </c>
      <c r="BA5" s="28">
        <f t="shared" si="2"/>
        <v>1.048463486678411</v>
      </c>
      <c r="BB5" s="28">
        <f t="shared" si="2"/>
        <v>0</v>
      </c>
      <c r="BC5" s="28">
        <f t="shared" si="2"/>
        <v>0</v>
      </c>
      <c r="BD5" s="28">
        <f t="shared" si="2"/>
        <v>0</v>
      </c>
      <c r="BE5" s="28">
        <f t="shared" si="2"/>
        <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8942716686</v>
      </c>
      <c r="F6" s="26">
        <f>现金流量表!F8</f>
        <v>6834210458</v>
      </c>
      <c r="G6" s="26">
        <f>现金流量表!G8</f>
        <v>4030453892</v>
      </c>
      <c r="H6" s="26">
        <f>现金流量表!H8</f>
        <v>2598307049</v>
      </c>
      <c r="I6" s="26">
        <f>现金流量表!I8</f>
        <v>7511724240</v>
      </c>
      <c r="J6" s="26">
        <f>现金流量表!J8</f>
        <v>5787961608</v>
      </c>
      <c r="K6" s="26">
        <f>现金流量表!K8</f>
        <v>3444863388</v>
      </c>
      <c r="L6" s="26">
        <f>现金流量表!L8</f>
        <v>3245730073</v>
      </c>
      <c r="M6" s="26">
        <f>现金流量表!M8</f>
        <v>10684001679</v>
      </c>
      <c r="N6" s="26">
        <f>现金流量表!N8</f>
        <v>9997258622</v>
      </c>
      <c r="O6" s="26">
        <f>现金流量表!O8</f>
        <v>5353611064</v>
      </c>
      <c r="P6" s="26">
        <f>现金流量表!P8</f>
        <v>4122724478</v>
      </c>
      <c r="Q6" s="26">
        <f>现金流量表!Q8</f>
        <v>11323852793</v>
      </c>
      <c r="R6" s="26">
        <f>现金流量表!R8</f>
        <v>8052639455</v>
      </c>
      <c r="S6" s="26">
        <f>现金流量表!S8</f>
        <v>5380645136</v>
      </c>
      <c r="T6" s="26">
        <f>现金流量表!T8</f>
        <v>3319124353</v>
      </c>
      <c r="U6" s="26">
        <f>现金流量表!U8</f>
        <v>11707162459</v>
      </c>
      <c r="V6" s="26">
        <f>现金流量表!V8</f>
        <v>7691817890</v>
      </c>
      <c r="W6" s="26">
        <f>现金流量表!W8</f>
        <v>4552215166</v>
      </c>
      <c r="X6" s="26">
        <f>现金流量表!X8</f>
        <v>2840576029</v>
      </c>
      <c r="Y6" s="26">
        <f>现金流量表!Y8</f>
        <v>9297494027</v>
      </c>
      <c r="Z6" s="26">
        <f>现金流量表!Z8</f>
        <v>8589057900</v>
      </c>
      <c r="AA6" s="26">
        <f>现金流量表!AA8</f>
        <v>5169648188</v>
      </c>
      <c r="AB6" s="26">
        <f>现金流量表!AB8</f>
        <v>2920983806</v>
      </c>
      <c r="AC6" s="26">
        <f>现金流量表!AC8</f>
        <v>9682466838</v>
      </c>
      <c r="AD6" s="26">
        <f>现金流量表!AD8</f>
        <v>6815070675</v>
      </c>
      <c r="AE6" s="26">
        <f>现金流量表!AE8</f>
        <v>4543920833</v>
      </c>
      <c r="AF6" s="26">
        <f>现金流量表!AF8</f>
        <v>2324491206</v>
      </c>
      <c r="AG6" s="26">
        <f>现金流量表!AG8</f>
        <v>8709320516</v>
      </c>
      <c r="AH6" s="26">
        <f>现金流量表!AH8</f>
        <v>6904310263</v>
      </c>
      <c r="AI6" s="26">
        <f>现金流量表!AI8</f>
        <v>2557130937</v>
      </c>
      <c r="AJ6" s="26">
        <f>现金流量表!AJ8</f>
        <v>1445468387</v>
      </c>
      <c r="AK6" s="26">
        <f>现金流量表!AK8</f>
        <v>5362829379</v>
      </c>
      <c r="AL6" s="26">
        <f>现金流量表!AL8</f>
        <v>3722156094</v>
      </c>
      <c r="AM6" s="26">
        <f>现金流量表!AM8</f>
        <v>2516407041</v>
      </c>
      <c r="AN6" s="26">
        <f>现金流量表!AN8</f>
        <v>1431246547</v>
      </c>
      <c r="AO6" s="26">
        <f>现金流量表!AO8</f>
        <v>5287023304</v>
      </c>
      <c r="AP6" s="26">
        <f>现金流量表!AP8</f>
        <v>3905718273</v>
      </c>
      <c r="AQ6" s="26">
        <f>现金流量表!AQ8</f>
        <v>2434261428</v>
      </c>
      <c r="AR6" s="26">
        <f>现金流量表!AR8</f>
        <v>1411588559</v>
      </c>
      <c r="AS6" s="26">
        <f>现金流量表!AS8</f>
        <v>5570627529</v>
      </c>
      <c r="AT6" s="26">
        <f>现金流量表!AT8</f>
        <v>3889918547</v>
      </c>
      <c r="AU6" s="26">
        <f>现金流量表!AU8</f>
        <v>2683188968</v>
      </c>
      <c r="AV6" s="26">
        <f>现金流量表!AV8</f>
        <v>1313387851</v>
      </c>
      <c r="AW6" s="26">
        <f>现金流量表!AW8</f>
        <v>4285359760</v>
      </c>
      <c r="AX6" s="26">
        <f>现金流量表!AX8</f>
        <v>2772407540</v>
      </c>
      <c r="AY6" s="26">
        <f>现金流量表!AY8</f>
        <v>1733804626</v>
      </c>
      <c r="AZ6" s="26">
        <f>现金流量表!AZ8</f>
        <v>1245290432</v>
      </c>
      <c r="BA6" s="26">
        <f>现金流量表!BA8</f>
        <v>3882936146</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15814395647</v>
      </c>
      <c r="F7" s="26">
        <f>现金流量表!F9</f>
        <v>10879002896</v>
      </c>
      <c r="G7" s="26">
        <f>现金流量表!G9</f>
        <v>7224303448</v>
      </c>
      <c r="H7" s="26">
        <f>现金流量表!H9</f>
        <v>3579269339</v>
      </c>
      <c r="I7" s="26">
        <f>现金流量表!I9</f>
        <v>14443983431</v>
      </c>
      <c r="J7" s="26">
        <f>现金流量表!J9</f>
        <v>10160470490</v>
      </c>
      <c r="K7" s="26">
        <f>现金流量表!K9</f>
        <v>6825905253</v>
      </c>
      <c r="L7" s="26">
        <f>现金流量表!L9</f>
        <v>3493643395</v>
      </c>
      <c r="M7" s="26">
        <f>现金流量表!M9</f>
        <v>14051621733</v>
      </c>
      <c r="N7" s="26">
        <f>现金流量表!N9</f>
        <v>9932254624</v>
      </c>
      <c r="O7" s="26">
        <f>现金流量表!O9</f>
        <v>6768964439</v>
      </c>
      <c r="P7" s="26">
        <f>现金流量表!P9</f>
        <v>3471164896</v>
      </c>
      <c r="Q7" s="26">
        <f>现金流量表!Q9</f>
        <v>13202389317</v>
      </c>
      <c r="R7" s="26">
        <f>现金流量表!R9</f>
        <v>9344332190</v>
      </c>
      <c r="S7" s="26">
        <f>现金流量表!S9</f>
        <v>6189510098</v>
      </c>
      <c r="T7" s="26">
        <f>现金流量表!T9</f>
        <v>3036447054</v>
      </c>
      <c r="U7" s="26">
        <f>现金流量表!U9</f>
        <v>11617864485</v>
      </c>
      <c r="V7" s="26">
        <f>现金流量表!V9</f>
        <v>7955861514</v>
      </c>
      <c r="W7" s="26">
        <f>现金流量表!W9</f>
        <v>5383882270</v>
      </c>
      <c r="X7" s="26">
        <f>现金流量表!X9</f>
        <v>2677842315</v>
      </c>
      <c r="Y7" s="26">
        <f>现金流量表!Y9</f>
        <v>9635072418</v>
      </c>
      <c r="Z7" s="26">
        <f>现金流量表!Z9</f>
        <v>7109773202</v>
      </c>
      <c r="AA7" s="26">
        <f>现金流量表!AA9</f>
        <v>4773059528</v>
      </c>
      <c r="AB7" s="26">
        <f>现金流量表!AB9</f>
        <v>2436964869</v>
      </c>
      <c r="AC7" s="26">
        <f>现金流量表!AC9</f>
        <v>8100067769</v>
      </c>
      <c r="AD7" s="26">
        <f>现金流量表!AD9</f>
        <v>5783548410</v>
      </c>
      <c r="AE7" s="26">
        <f>现金流量表!AE9</f>
        <v>3738404785</v>
      </c>
      <c r="AF7" s="26">
        <f>现金流量表!AF9</f>
        <v>1808053041</v>
      </c>
      <c r="AG7" s="26">
        <f>现金流量表!AG9</f>
        <v>6779382327</v>
      </c>
      <c r="AH7" s="26">
        <f>现金流量表!AH9</f>
        <v>4926588412</v>
      </c>
      <c r="AI7" s="26">
        <f>现金流量表!AI9</f>
        <v>1344560816</v>
      </c>
      <c r="AJ7" s="26">
        <f>现金流量表!AJ9</f>
        <v>651753195</v>
      </c>
      <c r="AK7" s="26">
        <f>现金流量表!AK9</f>
        <v>2497220314</v>
      </c>
      <c r="AL7" s="26">
        <f>现金流量表!AL9</f>
        <v>1745566918</v>
      </c>
      <c r="AM7" s="26">
        <f>现金流量表!AM9</f>
        <v>1204678094</v>
      </c>
      <c r="AN7" s="26">
        <f>现金流量表!AN9</f>
        <v>603669765</v>
      </c>
      <c r="AO7" s="26">
        <f>现金流量表!AO9</f>
        <v>2324378401</v>
      </c>
      <c r="AP7" s="26">
        <f>现金流量表!AP9</f>
        <v>1694171965</v>
      </c>
      <c r="AQ7" s="26">
        <f>现金流量表!AQ9</f>
        <v>1139756784</v>
      </c>
      <c r="AR7" s="26">
        <f>现金流量表!AR9</f>
        <v>573713399</v>
      </c>
      <c r="AS7" s="26">
        <f>现金流量表!AS9</f>
        <v>2099958008</v>
      </c>
      <c r="AT7" s="26">
        <f>现金流量表!AT9</f>
        <v>1522586119</v>
      </c>
      <c r="AU7" s="26">
        <f>现金流量表!AU9</f>
        <v>988836945</v>
      </c>
      <c r="AV7" s="26">
        <f>现金流量表!AV9</f>
        <v>497347636</v>
      </c>
      <c r="AW7" s="26">
        <f>现金流量表!AW9</f>
        <v>1738257624</v>
      </c>
      <c r="AX7" s="26">
        <f>现金流量表!AX9</f>
        <v>1237573718</v>
      </c>
      <c r="AY7" s="26">
        <f>现金流量表!AY9</f>
        <v>842085625</v>
      </c>
      <c r="AZ7" s="26">
        <f>现金流量表!AZ9</f>
        <v>411497297</v>
      </c>
      <c r="BA7" s="26">
        <f>现金流量表!BA9</f>
        <v>1530870707</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40145481945</v>
      </c>
      <c r="F8" s="58">
        <f>利润表!F6</f>
        <v>28554442773</v>
      </c>
      <c r="G8" s="58">
        <f>利润表!G6</f>
        <v>18502281993</v>
      </c>
      <c r="H8" s="58">
        <f>利润表!H6</f>
        <v>8769816428</v>
      </c>
      <c r="I8" s="58">
        <f>利润表!I6</f>
        <v>36952049176</v>
      </c>
      <c r="J8" s="58">
        <f>利润表!J6</f>
        <v>26339402126</v>
      </c>
      <c r="K8" s="58">
        <f>利润表!K6</f>
        <v>17387349042</v>
      </c>
      <c r="L8" s="58">
        <f>利润表!L6</f>
        <v>8666420881</v>
      </c>
      <c r="M8" s="58">
        <f>利润表!M6</f>
        <v>36978471968</v>
      </c>
      <c r="N8" s="58">
        <f>利润表!N6</f>
        <v>26457911669</v>
      </c>
      <c r="O8" s="58">
        <f>利润表!O6</f>
        <v>18349421416</v>
      </c>
      <c r="P8" s="58">
        <f>利润表!P6</f>
        <v>9049763725</v>
      </c>
      <c r="Q8" s="58">
        <f>利润表!Q6</f>
        <v>33735439375</v>
      </c>
      <c r="R8" s="58">
        <f>利润表!R6</f>
        <v>24600897211</v>
      </c>
      <c r="S8" s="58">
        <f>利润表!S6</f>
        <v>16123107208</v>
      </c>
      <c r="T8" s="58">
        <f>利润表!T6</f>
        <v>7850871338</v>
      </c>
      <c r="U8" s="58">
        <f>利润表!U6</f>
        <v>32306787587</v>
      </c>
      <c r="V8" s="58">
        <f>利润表!V6</f>
        <v>23418244893</v>
      </c>
      <c r="W8" s="58">
        <f>利润表!W6</f>
        <v>14851293435</v>
      </c>
      <c r="X8" s="58">
        <f>利润表!X6</f>
        <v>6889499243</v>
      </c>
      <c r="Y8" s="58">
        <f>利润表!Y6</f>
        <v>28320619201</v>
      </c>
      <c r="Z8" s="58">
        <f>利润表!Z6</f>
        <v>20093014059</v>
      </c>
      <c r="AA8" s="58">
        <f>利润表!AA6</f>
        <v>13153769399</v>
      </c>
      <c r="AB8" s="58">
        <f>利润表!AB6</f>
        <v>6067181712</v>
      </c>
      <c r="AC8" s="58">
        <f>利润表!AC6</f>
        <v>26420323917</v>
      </c>
      <c r="AD8" s="58">
        <f>利润表!AD6</f>
        <v>18749656390</v>
      </c>
      <c r="AE8" s="58">
        <f>利润表!AE6</f>
        <v>12251230572</v>
      </c>
      <c r="AF8" s="58">
        <f>利润表!AF6</f>
        <v>5816045791</v>
      </c>
      <c r="AG8" s="58">
        <f>利润表!AG6</f>
        <v>24218767128</v>
      </c>
      <c r="AH8" s="58">
        <f>利润表!AH6</f>
        <v>16837695232</v>
      </c>
      <c r="AI8" s="58">
        <f>利润表!AI6</f>
        <v>6420993050</v>
      </c>
      <c r="AJ8" s="58">
        <f>利润表!AJ6</f>
        <v>2834170107</v>
      </c>
      <c r="AK8" s="58">
        <f>利润表!AK6</f>
        <v>11932465796</v>
      </c>
      <c r="AL8" s="58">
        <f>利润表!AL6</f>
        <v>8132230138</v>
      </c>
      <c r="AM8" s="58">
        <f>利润表!AM6</f>
        <v>5113318889</v>
      </c>
      <c r="AN8" s="58">
        <f>利润表!AN6</f>
        <v>2299111384</v>
      </c>
      <c r="AO8" s="58">
        <f>利润表!AO6</f>
        <v>11708828992</v>
      </c>
      <c r="AP8" s="58">
        <f>利润表!AP6</f>
        <v>8402508820</v>
      </c>
      <c r="AQ8" s="58">
        <f>利润表!AQ6</f>
        <v>5477138675</v>
      </c>
      <c r="AR8" s="58">
        <f>利润表!AR6</f>
        <v>2224288390</v>
      </c>
      <c r="AS8" s="58">
        <f>利润表!AS6</f>
        <v>10061194227</v>
      </c>
      <c r="AT8" s="58">
        <f>利润表!AT6</f>
        <v>6984475987</v>
      </c>
      <c r="AU8" s="58">
        <f>利润表!AU6</f>
        <v>4548348620</v>
      </c>
      <c r="AV8" s="58">
        <f>利润表!AV6</f>
        <v>1831360245</v>
      </c>
      <c r="AW8" s="58">
        <f>利润表!AW6</f>
        <v>7969520393</v>
      </c>
      <c r="AX8" s="58">
        <f>利润表!AX6</f>
        <v>5632612830</v>
      </c>
      <c r="AY8" s="58">
        <f>利润表!AY6</f>
        <v>3568647876</v>
      </c>
      <c r="AZ8" s="58">
        <f>利润表!AZ6</f>
        <v>1865040685</v>
      </c>
      <c r="BA8" s="58">
        <f>利润表!BA6</f>
        <v>6059036676</v>
      </c>
      <c r="BB8" s="58">
        <f>利润表!BB6</f>
        <v>4382989782</v>
      </c>
      <c r="BC8" s="58">
        <f>利润表!BC6</f>
        <v>2853149756</v>
      </c>
      <c r="BD8" s="58">
        <f>利润表!BD6</f>
        <v>2921890812</v>
      </c>
      <c r="BE8" s="58">
        <f>利润表!BE6</f>
        <v>2342204700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224327406</v>
      </c>
      <c r="F9" s="58">
        <f>利润表!F7</f>
        <v>162578759</v>
      </c>
      <c r="G9" s="58">
        <f>利润表!G7</f>
        <v>104503004</v>
      </c>
      <c r="H9" s="58">
        <f>利润表!H7</f>
        <v>34269528</v>
      </c>
      <c r="I9" s="58">
        <f>利润表!I7</f>
        <v>185665759</v>
      </c>
      <c r="J9" s="58">
        <f>利润表!J7</f>
        <v>114060085</v>
      </c>
      <c r="K9" s="58">
        <f>利润表!K7</f>
        <v>78684006</v>
      </c>
      <c r="L9" s="58">
        <f>利润表!L7</f>
        <v>41480182</v>
      </c>
      <c r="M9" s="58">
        <f>利润表!M7</f>
        <v>199041610</v>
      </c>
      <c r="N9" s="58">
        <f>利润表!N7</f>
        <v>145756408</v>
      </c>
      <c r="O9" s="58">
        <f>利润表!O7</f>
        <v>100033097</v>
      </c>
      <c r="P9" s="58">
        <f>利润表!P7</f>
        <v>37583743</v>
      </c>
      <c r="Q9" s="58">
        <f>利润表!Q7</f>
        <v>219634835</v>
      </c>
      <c r="R9" s="58">
        <f>利润表!R7</f>
        <v>157406161</v>
      </c>
      <c r="S9" s="58">
        <f>利润表!S7</f>
        <v>101605944</v>
      </c>
      <c r="T9" s="58">
        <f>利润表!T7</f>
        <v>51921241</v>
      </c>
      <c r="U9" s="58">
        <f>利润表!U7</f>
        <v>1529889334</v>
      </c>
      <c r="V9" s="58">
        <f>利润表!V7</f>
        <v>1122285146</v>
      </c>
      <c r="W9" s="58">
        <f>利润表!W7</f>
        <v>719620121</v>
      </c>
      <c r="X9" s="58">
        <f>利润表!X7</f>
        <v>335413523</v>
      </c>
      <c r="Y9" s="58">
        <f>利润表!Y7</f>
        <v>1358348339</v>
      </c>
      <c r="Z9" s="58">
        <f>利润表!Z7</f>
        <v>992581379</v>
      </c>
      <c r="AA9" s="58">
        <f>利润表!AA7</f>
        <v>661927401</v>
      </c>
      <c r="AB9" s="58">
        <f>利润表!AB7</f>
        <v>374444265</v>
      </c>
      <c r="AC9" s="58">
        <f>利润表!AC7</f>
        <v>1510026935</v>
      </c>
      <c r="AD9" s="58">
        <f>利润表!AD7</f>
        <v>1113802228</v>
      </c>
      <c r="AE9" s="58">
        <f>利润表!AE7</f>
        <v>724648730</v>
      </c>
      <c r="AF9" s="58">
        <f>利润表!AF7</f>
        <v>357631436</v>
      </c>
      <c r="AG9" s="58">
        <f>利润表!AG7</f>
        <v>1370252998</v>
      </c>
      <c r="AH9" s="58">
        <f>利润表!AH7</f>
        <v>1017955057</v>
      </c>
      <c r="AI9" s="58">
        <f>利润表!AI7</f>
        <v>460756949</v>
      </c>
      <c r="AJ9" s="58">
        <f>利润表!AJ7</f>
        <v>216581231</v>
      </c>
      <c r="AK9" s="58">
        <f>利润表!AK7</f>
        <v>759243213</v>
      </c>
      <c r="AL9" s="58">
        <f>利润表!AL7</f>
        <v>534744145</v>
      </c>
      <c r="AM9" s="58">
        <f>利润表!AM7</f>
        <v>334473596</v>
      </c>
      <c r="AN9" s="58">
        <f>利润表!AN7</f>
        <v>159804006</v>
      </c>
      <c r="AO9" s="58">
        <f>利润表!AO7</f>
        <v>743330934</v>
      </c>
      <c r="AP9" s="58">
        <f>利润表!AP7</f>
        <v>582342917</v>
      </c>
      <c r="AQ9" s="58">
        <f>利润表!AQ7</f>
        <v>382218117</v>
      </c>
      <c r="AR9" s="58">
        <f>利润表!AR7</f>
        <v>181489229</v>
      </c>
      <c r="AS9" s="58">
        <f>利润表!AS7</f>
        <v>693033813</v>
      </c>
      <c r="AT9" s="58">
        <f>利润表!AT7</f>
        <v>506087704</v>
      </c>
      <c r="AU9" s="58">
        <f>利润表!AU7</f>
        <v>316784635</v>
      </c>
      <c r="AV9" s="58">
        <f>利润表!AV7</f>
        <v>147871066</v>
      </c>
      <c r="AW9" s="58">
        <f>利润表!AW7</f>
        <v>530362752</v>
      </c>
      <c r="AX9" s="58">
        <f>利润表!AX7</f>
        <v>386441854</v>
      </c>
      <c r="AY9" s="58">
        <f>利润表!AY7</f>
        <v>254985072</v>
      </c>
      <c r="AZ9" s="58">
        <f>利润表!AZ7</f>
        <v>113823473</v>
      </c>
      <c r="BA9" s="58">
        <f>利润表!BA7</f>
        <v>428585989</v>
      </c>
      <c r="BB9" s="58">
        <f>利润表!BB7</f>
        <v>312281157</v>
      </c>
      <c r="BC9" s="58">
        <f>利润表!BC7</f>
        <v>210194846</v>
      </c>
      <c r="BD9" s="58">
        <f>利润表!BD7</f>
        <v>233341136</v>
      </c>
      <c r="BE9" s="58">
        <f>利润表!BE7</f>
        <v>166488094</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192683970</v>
      </c>
      <c r="F10" s="58">
        <f>利润表!F8</f>
        <v>141390745</v>
      </c>
      <c r="G10" s="58">
        <f>利润表!G8</f>
        <v>93457746</v>
      </c>
      <c r="H10" s="58">
        <f>利润表!H8</f>
        <v>45581153</v>
      </c>
      <c r="I10" s="58">
        <f>利润表!I8</f>
        <v>192509572</v>
      </c>
      <c r="J10" s="58">
        <f>利润表!J8</f>
        <v>137543703</v>
      </c>
      <c r="K10" s="58">
        <f>利润表!K8</f>
        <v>96293780</v>
      </c>
      <c r="L10" s="58">
        <f>利润表!L8</f>
        <v>50908393</v>
      </c>
      <c r="M10" s="58">
        <f>利润表!M8</f>
        <v>209931685</v>
      </c>
      <c r="N10" s="58">
        <f>利润表!N8</f>
        <v>118329769</v>
      </c>
      <c r="O10" s="58">
        <f>利润表!O8</f>
        <v>80893129</v>
      </c>
      <c r="P10" s="58">
        <f>利润表!P8</f>
        <v>46358595</v>
      </c>
      <c r="Q10" s="58">
        <f>利润表!Q8</f>
        <v>179688179</v>
      </c>
      <c r="R10" s="58">
        <f>利润表!R8</f>
        <v>139226085</v>
      </c>
      <c r="S10" s="58">
        <f>利润表!S8</f>
        <v>80690414</v>
      </c>
      <c r="T10" s="58">
        <f>利润表!T8</f>
        <v>38721807</v>
      </c>
      <c r="U10" s="58">
        <f>利润表!U8</f>
        <v>188873682</v>
      </c>
      <c r="V10" s="58">
        <f>利润表!V8</f>
        <v>0</v>
      </c>
      <c r="W10" s="58">
        <f>利润表!W8</f>
        <v>0</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557663846</v>
      </c>
      <c r="F11" s="58">
        <f>利润表!F9</f>
        <v>427776755</v>
      </c>
      <c r="G11" s="58">
        <f>利润表!G9</f>
        <v>267480500</v>
      </c>
      <c r="H11" s="58">
        <f>利润表!H9</f>
        <v>117236521</v>
      </c>
      <c r="I11" s="58">
        <f>利润表!I9</f>
        <v>521650309</v>
      </c>
      <c r="J11" s="58">
        <f>利润表!J9</f>
        <v>398320266</v>
      </c>
      <c r="K11" s="58">
        <f>利润表!K9</f>
        <v>259377080</v>
      </c>
      <c r="L11" s="58">
        <f>利润表!L9</f>
        <v>123777207</v>
      </c>
      <c r="M11" s="58">
        <f>利润表!M9</f>
        <v>586964341</v>
      </c>
      <c r="N11" s="58">
        <f>利润表!N9</f>
        <v>415924401</v>
      </c>
      <c r="O11" s="58">
        <f>利润表!O9</f>
        <v>266347735</v>
      </c>
      <c r="P11" s="58">
        <f>利润表!P9</f>
        <v>235454201</v>
      </c>
      <c r="Q11" s="58">
        <f>利润表!Q9</f>
        <v>3734755280</v>
      </c>
      <c r="R11" s="58">
        <f>利润表!R9</f>
        <v>2732386958</v>
      </c>
      <c r="S11" s="58">
        <f>利润表!S9</f>
        <v>1761681617</v>
      </c>
      <c r="T11" s="58">
        <f>利润表!T9</f>
        <v>825470861</v>
      </c>
      <c r="U11" s="58">
        <f>利润表!U9</f>
        <v>3152158506</v>
      </c>
      <c r="V11" s="58">
        <f>利润表!V9</f>
        <v>2346986559</v>
      </c>
      <c r="W11" s="58">
        <f>利润表!W9</f>
        <v>1499607197</v>
      </c>
      <c r="X11" s="58">
        <f>利润表!X9</f>
        <v>694334478</v>
      </c>
      <c r="Y11" s="58">
        <f>利润表!Y9</f>
        <v>2701801783</v>
      </c>
      <c r="Z11" s="58">
        <f>利润表!Z9</f>
        <v>1952934501</v>
      </c>
      <c r="AA11" s="58">
        <f>利润表!AA9</f>
        <v>1286130359</v>
      </c>
      <c r="AB11" s="58">
        <f>利润表!AB9</f>
        <v>571017908</v>
      </c>
      <c r="AC11" s="58">
        <f>利润表!AC9</f>
        <v>2401922722</v>
      </c>
      <c r="AD11" s="58">
        <f>利润表!AD9</f>
        <v>1855355217</v>
      </c>
      <c r="AE11" s="58">
        <f>利润表!AE9</f>
        <v>1089773527</v>
      </c>
      <c r="AF11" s="58">
        <f>利润表!AF9</f>
        <v>530936104</v>
      </c>
      <c r="AG11" s="58">
        <f>利润表!AG9</f>
        <v>2210950908</v>
      </c>
      <c r="AH11" s="58">
        <f>利润表!AH9</f>
        <v>1671860140</v>
      </c>
      <c r="AI11" s="58">
        <f>利润表!AI9</f>
        <v>633541578</v>
      </c>
      <c r="AJ11" s="58">
        <f>利润表!AJ9</f>
        <v>316239722</v>
      </c>
      <c r="AK11" s="58">
        <f>利润表!AK9</f>
        <v>1220904093</v>
      </c>
      <c r="AL11" s="58">
        <f>利润表!AL9</f>
        <v>881432485</v>
      </c>
      <c r="AM11" s="58">
        <f>利润表!AM9</f>
        <v>570320112</v>
      </c>
      <c r="AN11" s="58">
        <f>利润表!AN9</f>
        <v>270413178</v>
      </c>
      <c r="AO11" s="58">
        <f>利润表!AO9</f>
        <v>1128531363</v>
      </c>
      <c r="AP11" s="58">
        <f>利润表!AP9</f>
        <v>822330431</v>
      </c>
      <c r="AQ11" s="58">
        <f>利润表!AQ9</f>
        <v>528278196</v>
      </c>
      <c r="AR11" s="58">
        <f>利润表!AR9</f>
        <v>254476398</v>
      </c>
      <c r="AS11" s="58">
        <f>利润表!AS9</f>
        <v>882315983</v>
      </c>
      <c r="AT11" s="58">
        <f>利润表!AT9</f>
        <v>624879667</v>
      </c>
      <c r="AU11" s="58">
        <f>利润表!AU9</f>
        <v>370194693</v>
      </c>
      <c r="AV11" s="58">
        <f>利润表!AV9</f>
        <v>169885039</v>
      </c>
      <c r="AW11" s="58">
        <f>利润表!AW9</f>
        <v>866023882</v>
      </c>
      <c r="AX11" s="58">
        <f>利润表!AX9</f>
        <v>632700365</v>
      </c>
      <c r="AY11" s="58">
        <f>利润表!AY9</f>
        <v>389031799</v>
      </c>
      <c r="AZ11" s="58">
        <f>利润表!AZ9</f>
        <v>192065102</v>
      </c>
      <c r="BA11" s="58">
        <f>利润表!BA9</f>
        <v>701557894</v>
      </c>
      <c r="BB11" s="58">
        <f>利润表!BB9</f>
        <v>537425334</v>
      </c>
      <c r="BC11" s="58">
        <f>利润表!BC9</f>
        <v>344151872</v>
      </c>
      <c r="BD11" s="58">
        <f>利润表!BD9</f>
        <v>340513283</v>
      </c>
      <c r="BE11" s="58">
        <f>利润表!BE9</f>
        <v>293578689</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41120157167</v>
      </c>
      <c r="F12" s="58">
        <f t="shared" ref="F12:BQ12" si="4">SUM(F8:F11)</f>
        <v>29286189032</v>
      </c>
      <c r="G12" s="58">
        <f t="shared" si="4"/>
        <v>18967723243</v>
      </c>
      <c r="H12" s="58">
        <f t="shared" si="4"/>
        <v>8966903630</v>
      </c>
      <c r="I12" s="58">
        <f t="shared" si="4"/>
        <v>37851874816</v>
      </c>
      <c r="J12" s="58">
        <f t="shared" si="4"/>
        <v>26989326180</v>
      </c>
      <c r="K12" s="58">
        <f t="shared" si="4"/>
        <v>17821703908</v>
      </c>
      <c r="L12" s="58">
        <f t="shared" si="4"/>
        <v>8882586663</v>
      </c>
      <c r="M12" s="58">
        <f t="shared" si="4"/>
        <v>37974409604</v>
      </c>
      <c r="N12" s="58">
        <f t="shared" si="4"/>
        <v>27137922247</v>
      </c>
      <c r="O12" s="58">
        <f t="shared" si="4"/>
        <v>18796695377</v>
      </c>
      <c r="P12" s="58">
        <f t="shared" si="4"/>
        <v>9369160264</v>
      </c>
      <c r="Q12" s="58">
        <f t="shared" si="4"/>
        <v>37869517669</v>
      </c>
      <c r="R12" s="58">
        <f t="shared" si="4"/>
        <v>27629916415</v>
      </c>
      <c r="S12" s="58">
        <f t="shared" si="4"/>
        <v>18067085183</v>
      </c>
      <c r="T12" s="58">
        <f t="shared" si="4"/>
        <v>8766985247</v>
      </c>
      <c r="U12" s="58">
        <f t="shared" si="4"/>
        <v>37177709109</v>
      </c>
      <c r="V12" s="58">
        <f t="shared" si="4"/>
        <v>26887516598</v>
      </c>
      <c r="W12" s="58">
        <f t="shared" si="4"/>
        <v>17070520753</v>
      </c>
      <c r="X12" s="58">
        <f t="shared" si="4"/>
        <v>7919247244</v>
      </c>
      <c r="Y12" s="58">
        <f t="shared" si="4"/>
        <v>32380769323</v>
      </c>
      <c r="Z12" s="58">
        <f t="shared" si="4"/>
        <v>23038529939</v>
      </c>
      <c r="AA12" s="58">
        <f t="shared" si="4"/>
        <v>15101827159</v>
      </c>
      <c r="AB12" s="58">
        <f t="shared" si="4"/>
        <v>7012643885</v>
      </c>
      <c r="AC12" s="58">
        <f t="shared" si="4"/>
        <v>30332273574</v>
      </c>
      <c r="AD12" s="58">
        <f t="shared" si="4"/>
        <v>21718813835</v>
      </c>
      <c r="AE12" s="58">
        <f t="shared" si="4"/>
        <v>14065652829</v>
      </c>
      <c r="AF12" s="58">
        <f t="shared" si="4"/>
        <v>6704613331</v>
      </c>
      <c r="AG12" s="58">
        <f t="shared" si="4"/>
        <v>27799971034</v>
      </c>
      <c r="AH12" s="58">
        <f t="shared" si="4"/>
        <v>19527510429</v>
      </c>
      <c r="AI12" s="58">
        <f t="shared" si="4"/>
        <v>7515291577</v>
      </c>
      <c r="AJ12" s="58">
        <f t="shared" si="4"/>
        <v>3366991060</v>
      </c>
      <c r="AK12" s="58">
        <f t="shared" si="4"/>
        <v>13912613102</v>
      </c>
      <c r="AL12" s="58">
        <f t="shared" si="4"/>
        <v>9548406768</v>
      </c>
      <c r="AM12" s="58">
        <f t="shared" si="4"/>
        <v>6018112597</v>
      </c>
      <c r="AN12" s="58">
        <f t="shared" si="4"/>
        <v>2729328568</v>
      </c>
      <c r="AO12" s="58">
        <f t="shared" si="4"/>
        <v>13580691289</v>
      </c>
      <c r="AP12" s="58">
        <f t="shared" si="4"/>
        <v>9807182168</v>
      </c>
      <c r="AQ12" s="58">
        <f t="shared" si="4"/>
        <v>6387634988</v>
      </c>
      <c r="AR12" s="58">
        <f t="shared" si="4"/>
        <v>2660254017</v>
      </c>
      <c r="AS12" s="58">
        <f t="shared" si="4"/>
        <v>11636544023</v>
      </c>
      <c r="AT12" s="58">
        <f t="shared" si="4"/>
        <v>8115443358</v>
      </c>
      <c r="AU12" s="58">
        <f t="shared" si="4"/>
        <v>5235327948</v>
      </c>
      <c r="AV12" s="58">
        <f t="shared" si="4"/>
        <v>2149116350</v>
      </c>
      <c r="AW12" s="58">
        <f t="shared" si="4"/>
        <v>9365907027</v>
      </c>
      <c r="AX12" s="58">
        <f t="shared" si="4"/>
        <v>6651755049</v>
      </c>
      <c r="AY12" s="58">
        <f t="shared" si="4"/>
        <v>4212664747</v>
      </c>
      <c r="AZ12" s="58">
        <f t="shared" si="4"/>
        <v>2170929260</v>
      </c>
      <c r="BA12" s="58">
        <f t="shared" si="4"/>
        <v>7189180559</v>
      </c>
      <c r="BB12" s="58">
        <f t="shared" si="4"/>
        <v>5232696273</v>
      </c>
      <c r="BC12" s="58">
        <f t="shared" si="4"/>
        <v>3407496474</v>
      </c>
      <c r="BD12" s="58">
        <f t="shared" si="4"/>
        <v>3495745231</v>
      </c>
      <c r="BE12" s="58">
        <f t="shared" si="4"/>
        <v>2802271483</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0.57046822916078854</v>
      </c>
      <c r="F13" s="28">
        <f t="shared" ref="F13:BQ13" si="6">(F6/(1+F4)+F7)/F12</f>
        <v>0.57092469072669472</v>
      </c>
      <c r="G13" s="28">
        <f t="shared" si="6"/>
        <v>0.56248900817667769</v>
      </c>
      <c r="H13" s="28">
        <f t="shared" si="6"/>
        <v>0.64682802825612118</v>
      </c>
      <c r="I13" s="28">
        <f t="shared" si="6"/>
        <v>0.55120811480613363</v>
      </c>
      <c r="J13" s="28">
        <f t="shared" si="6"/>
        <v>0.55975633191348295</v>
      </c>
      <c r="K13" s="28">
        <f t="shared" si="6"/>
        <v>0.54822103349307216</v>
      </c>
      <c r="L13" s="28">
        <f t="shared" si="6"/>
        <v>0.70562460016624196</v>
      </c>
      <c r="M13" s="28">
        <f t="shared" si="6"/>
        <v>0.61049657760116127</v>
      </c>
      <c r="N13" s="28">
        <f t="shared" si="6"/>
        <v>0.68085242284646341</v>
      </c>
      <c r="O13" s="28">
        <f t="shared" si="6"/>
        <v>0.60354760044780786</v>
      </c>
      <c r="P13" s="28">
        <f t="shared" si="6"/>
        <v>0.74658356074020249</v>
      </c>
      <c r="Q13" s="28">
        <f t="shared" si="6"/>
        <v>0.60420352267686972</v>
      </c>
      <c r="R13" s="28">
        <f t="shared" si="6"/>
        <v>0.58729566065487226</v>
      </c>
      <c r="S13" s="28">
        <f t="shared" si="6"/>
        <v>0.59712742732471102</v>
      </c>
      <c r="T13" s="28">
        <f t="shared" si="6"/>
        <v>0.66993445407899199</v>
      </c>
      <c r="U13" s="28">
        <f t="shared" si="6"/>
        <v>0.58163848077433888</v>
      </c>
      <c r="V13" s="28">
        <f t="shared" si="6"/>
        <v>0.54040189192731658</v>
      </c>
      <c r="W13" s="28">
        <f t="shared" si="6"/>
        <v>0.54331467664994637</v>
      </c>
      <c r="X13" s="28">
        <f t="shared" si="6"/>
        <v>0.64471848365352791</v>
      </c>
      <c r="Y13" s="28">
        <f t="shared" si="6"/>
        <v>0.54296574408331855</v>
      </c>
      <c r="Z13" s="28">
        <f t="shared" si="6"/>
        <v>0.62724698010103919</v>
      </c>
      <c r="AA13" s="28">
        <f t="shared" si="6"/>
        <v>0.60863908426528202</v>
      </c>
      <c r="AB13" s="28">
        <f t="shared" si="6"/>
        <v>0.7035195719988504</v>
      </c>
      <c r="AC13" s="28">
        <f t="shared" si="6"/>
        <v>0.53987645901651338</v>
      </c>
      <c r="AD13" s="28">
        <f t="shared" si="6"/>
        <v>0.53448568733814694</v>
      </c>
      <c r="AE13" s="28">
        <f t="shared" si="6"/>
        <v>0.54189435053758639</v>
      </c>
      <c r="AF13" s="28">
        <f t="shared" si="6"/>
        <v>0.56599798887236097</v>
      </c>
      <c r="AG13" s="28">
        <f t="shared" si="6"/>
        <v>0.51162808761539835</v>
      </c>
      <c r="AH13" s="28">
        <f t="shared" si="6"/>
        <v>0.55448482971110968</v>
      </c>
      <c r="AI13" s="28">
        <f t="shared" si="6"/>
        <v>0.4697279908925478</v>
      </c>
      <c r="AJ13" s="28">
        <f t="shared" si="6"/>
        <v>0.56049933818712483</v>
      </c>
      <c r="AK13" s="28">
        <f t="shared" si="6"/>
        <v>0.50895077121265253</v>
      </c>
      <c r="AL13" s="28">
        <f t="shared" si="6"/>
        <v>0.51599151906509932</v>
      </c>
      <c r="AM13" s="28">
        <f t="shared" si="6"/>
        <v>0.557559083289772</v>
      </c>
      <c r="AN13" s="28">
        <f t="shared" si="6"/>
        <v>0.66937980037607081</v>
      </c>
      <c r="AO13" s="28">
        <f t="shared" si="6"/>
        <v>0.50389200314824545</v>
      </c>
      <c r="AP13" s="28">
        <f t="shared" si="6"/>
        <v>0.51313339804924962</v>
      </c>
      <c r="AQ13" s="28">
        <f t="shared" si="6"/>
        <v>0.50414936249906506</v>
      </c>
      <c r="AR13" s="28">
        <f t="shared" si="6"/>
        <v>0.66918397096184057</v>
      </c>
      <c r="AS13" s="28">
        <f t="shared" si="6"/>
        <v>0.58962335421024259</v>
      </c>
      <c r="AT13" s="28">
        <f t="shared" si="6"/>
        <v>0.59729365507298593</v>
      </c>
      <c r="AU13" s="28">
        <f t="shared" si="6"/>
        <v>0.62692554924421795</v>
      </c>
      <c r="AV13" s="28">
        <f t="shared" si="6"/>
        <v>0.75375228279446982</v>
      </c>
      <c r="AW13" s="28">
        <f t="shared" si="6"/>
        <v>0.57666152973788753</v>
      </c>
      <c r="AX13" s="28">
        <f t="shared" si="6"/>
        <v>0.54228587574934528</v>
      </c>
      <c r="AY13" s="28">
        <f t="shared" si="6"/>
        <v>0.55166267915847889</v>
      </c>
      <c r="AZ13" s="28">
        <f t="shared" si="6"/>
        <v>0.67982320786500283</v>
      </c>
      <c r="BA13" s="28">
        <f t="shared" si="6"/>
        <v>0.67457195015972926</v>
      </c>
      <c r="BB13" s="28">
        <f t="shared" si="6"/>
        <v>0</v>
      </c>
      <c r="BC13" s="28">
        <f t="shared" si="6"/>
        <v>0</v>
      </c>
      <c r="BD13" s="28">
        <f t="shared" si="6"/>
        <v>0</v>
      </c>
      <c r="BE13" s="28">
        <f t="shared" si="6"/>
        <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17493600297</v>
      </c>
      <c r="F14" s="26">
        <f>现金流量表!F13</f>
        <v>13998595036</v>
      </c>
      <c r="G14" s="26">
        <f>现金流量表!G13</f>
        <v>7625976938</v>
      </c>
      <c r="H14" s="26">
        <f>现金流量表!H13</f>
        <v>3097364355</v>
      </c>
      <c r="I14" s="26">
        <f>现金流量表!I13</f>
        <v>6274640003</v>
      </c>
      <c r="J14" s="26">
        <f>现金流量表!J13</f>
        <v>2332006652</v>
      </c>
      <c r="K14" s="26">
        <f>现金流量表!K13</f>
        <v>353421153</v>
      </c>
      <c r="L14" s="26">
        <f>现金流量表!L13</f>
        <v>-302637060</v>
      </c>
      <c r="M14" s="26">
        <f>现金流量表!M13</f>
        <v>14117651285</v>
      </c>
      <c r="N14" s="26">
        <f>现金流量表!N13</f>
        <v>12809315672</v>
      </c>
      <c r="O14" s="26">
        <f>现金流量表!O13</f>
        <v>8040005961</v>
      </c>
      <c r="P14" s="26">
        <f>现金流量表!P13</f>
        <v>2663458836</v>
      </c>
      <c r="Q14" s="26">
        <f>现金流量表!Q13</f>
        <v>17313230619</v>
      </c>
      <c r="R14" s="26">
        <f>现金流量表!R13</f>
        <v>15309057896</v>
      </c>
      <c r="S14" s="26">
        <f>现金流量表!S13</f>
        <v>7459069158</v>
      </c>
      <c r="T14" s="26">
        <f>现金流量表!T13</f>
        <v>2268839024</v>
      </c>
      <c r="U14" s="26">
        <f>现金流量表!U13</f>
        <v>14759830013</v>
      </c>
      <c r="V14" s="26">
        <f>现金流量表!V13</f>
        <v>12137120382</v>
      </c>
      <c r="W14" s="26">
        <f>现金流量表!W13</f>
        <v>6573965098</v>
      </c>
      <c r="X14" s="26">
        <f>现金流量表!X13</f>
        <v>2089278091</v>
      </c>
      <c r="Y14" s="26">
        <f>现金流量表!Y13</f>
        <v>12915917791</v>
      </c>
      <c r="Z14" s="26">
        <f>现金流量表!Z13</f>
        <v>9210995717</v>
      </c>
      <c r="AA14" s="26">
        <f>现金流量表!AA13</f>
        <v>4039651036</v>
      </c>
      <c r="AB14" s="26">
        <f>现金流量表!AB13</f>
        <v>1119292295</v>
      </c>
      <c r="AC14" s="26">
        <f>现金流量表!AC13</f>
        <v>15107820257</v>
      </c>
      <c r="AD14" s="26">
        <f>现金流量表!AD13</f>
        <v>11299838322</v>
      </c>
      <c r="AE14" s="26">
        <f>现金流量表!AE13</f>
        <v>6388008239</v>
      </c>
      <c r="AF14" s="26">
        <f>现金流量表!AF13</f>
        <v>1600579659</v>
      </c>
      <c r="AG14" s="26">
        <f>现金流量表!AG13</f>
        <v>16915795774</v>
      </c>
      <c r="AH14" s="26">
        <f>现金流量表!AH13</f>
        <v>12529096550</v>
      </c>
      <c r="AI14" s="26">
        <f>现金流量表!AI13</f>
        <v>8046192691</v>
      </c>
      <c r="AJ14" s="26">
        <f>现金流量表!AJ13</f>
        <v>2046203002</v>
      </c>
      <c r="AK14" s="26">
        <f>现金流量表!AK13</f>
        <v>8634902635</v>
      </c>
      <c r="AL14" s="26">
        <f>现金流量表!AL13</f>
        <v>5422420296</v>
      </c>
      <c r="AM14" s="26">
        <f>现金流量表!AM13</f>
        <v>3205779682</v>
      </c>
      <c r="AN14" s="26">
        <f>现金流量表!AN13</f>
        <v>828963590</v>
      </c>
      <c r="AO14" s="26">
        <f>现金流量表!AO13</f>
        <v>8747383174</v>
      </c>
      <c r="AP14" s="26">
        <f>现金流量表!AP13</f>
        <v>7303177792</v>
      </c>
      <c r="AQ14" s="26">
        <f>现金流量表!AQ13</f>
        <v>3879142654</v>
      </c>
      <c r="AR14" s="26">
        <f>现金流量表!AR13</f>
        <v>1832300032</v>
      </c>
      <c r="AS14" s="26">
        <f>现金流量表!AS13</f>
        <v>9132967053</v>
      </c>
      <c r="AT14" s="26">
        <f>现金流量表!AT13</f>
        <v>6826011035</v>
      </c>
      <c r="AU14" s="26">
        <f>现金流量表!AU13</f>
        <v>3467539080</v>
      </c>
      <c r="AV14" s="26">
        <f>现金流量表!AV13</f>
        <v>1498770562</v>
      </c>
      <c r="AW14" s="26">
        <f>现金流量表!AW13</f>
        <v>5102891768</v>
      </c>
      <c r="AX14" s="26">
        <f>现金流量表!AX13</f>
        <v>3102937889</v>
      </c>
      <c r="AY14" s="26">
        <f>现金流量表!AY13</f>
        <v>1632034828</v>
      </c>
      <c r="AZ14" s="26">
        <f>现金流量表!AZ13</f>
        <v>867633114</v>
      </c>
      <c r="BA14" s="26">
        <f>现金流量表!BA13</f>
        <v>8870400957</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11077389138.07021</v>
      </c>
      <c r="F15" s="26">
        <f>股权价值增加表!F17</f>
        <v>9672488671.2355042</v>
      </c>
      <c r="G15" s="26">
        <f>股权价值增加表!G17</f>
        <v>6531099981.038373</v>
      </c>
      <c r="H15" s="26">
        <f>股权价值增加表!H17</f>
        <v>2716747279.7468796</v>
      </c>
      <c r="I15" s="26">
        <f>股权价值增加表!I17</f>
        <v>5300687594.5967007</v>
      </c>
      <c r="J15" s="26">
        <f>股权价值增加表!J17</f>
        <v>3698321542.3712516</v>
      </c>
      <c r="K15" s="26">
        <f>股权价值增加表!K17</f>
        <v>2732744905.3853908</v>
      </c>
      <c r="L15" s="26">
        <f>股权价值增加表!L17</f>
        <v>1750322188.9933169</v>
      </c>
      <c r="M15" s="26">
        <f>股权价值增加表!M17</f>
        <v>11155351466.714634</v>
      </c>
      <c r="N15" s="26">
        <f>股权价值增加表!N17</f>
        <v>10156368119.711779</v>
      </c>
      <c r="O15" s="26">
        <f>股权价值增加表!O17</f>
        <v>6684020505.993166</v>
      </c>
      <c r="P15" s="26">
        <f>股权价值增加表!P17</f>
        <v>3463219454.0120273</v>
      </c>
      <c r="Q15" s="26">
        <f>股权价值增加表!Q17</f>
        <v>12454652313.785465</v>
      </c>
      <c r="R15" s="26">
        <f>股权价值增加表!R17</f>
        <v>9978599506.1118793</v>
      </c>
      <c r="S15" s="26">
        <f>股权价值增加表!S17</f>
        <v>6453247171.8106775</v>
      </c>
      <c r="T15" s="26">
        <f>股权价值增加表!T17</f>
        <v>3228546804.5751991</v>
      </c>
      <c r="U15" s="26">
        <f>股权价值增加表!U17</f>
        <v>11070539188.939714</v>
      </c>
      <c r="V15" s="26">
        <f>股权价值增加表!V17</f>
        <v>8469896979.0597258</v>
      </c>
      <c r="W15" s="26">
        <f>股权价值增加表!W17</f>
        <v>5685667699.6138163</v>
      </c>
      <c r="X15" s="26">
        <f>股权价值增加表!X17</f>
        <v>3157596890.006072</v>
      </c>
      <c r="Y15" s="26">
        <f>股权价值增加表!Y17</f>
        <v>10539745313.867237</v>
      </c>
      <c r="Z15" s="26">
        <f>股权价值增加表!Z17</f>
        <v>8114573303.1085644</v>
      </c>
      <c r="AA15" s="26">
        <f>股权价值增加表!AA17</f>
        <v>5574601458.2782879</v>
      </c>
      <c r="AB15" s="26">
        <f>股权价值增加表!AB17</f>
        <v>3220409782.2647715</v>
      </c>
      <c r="AC15" s="26">
        <f>股权价值增加表!AC17</f>
        <v>11142221398.849859</v>
      </c>
      <c r="AD15" s="26">
        <f>股权价值增加表!AD17</f>
        <v>8813852486.676096</v>
      </c>
      <c r="AE15" s="26">
        <f>股权价值增加表!AE17</f>
        <v>5896769807.1053886</v>
      </c>
      <c r="AF15" s="26">
        <f>股权价值增加表!AF17</f>
        <v>3244122023.2272778</v>
      </c>
      <c r="AG15" s="26">
        <f>股权价值增加表!AG17</f>
        <v>10762858342.266582</v>
      </c>
      <c r="AH15" s="26">
        <f>股权价值增加表!AH17</f>
        <v>8614758910.1789284</v>
      </c>
      <c r="AI15" s="26">
        <f>股权价值增加表!AI17</f>
        <v>4873485953.1756868</v>
      </c>
      <c r="AJ15" s="26">
        <f>股权价值增加表!AJ17</f>
        <v>2417407410.02739</v>
      </c>
      <c r="AK15" s="26">
        <f>股权价值增加表!AK17</f>
        <v>6859362389.1660767</v>
      </c>
      <c r="AL15" s="26">
        <f>股权价值增加表!AL17</f>
        <v>5011014616.4263105</v>
      </c>
      <c r="AM15" s="26">
        <f>股权价值增加表!AM17</f>
        <v>3102144100.7278895</v>
      </c>
      <c r="AN15" s="26">
        <f>股权价值增加表!AN17</f>
        <v>1597102441.8160377</v>
      </c>
      <c r="AO15" s="26">
        <f>股权价值增加表!AO17</f>
        <v>6792321962.2725506</v>
      </c>
      <c r="AP15" s="26">
        <f>股权价值增加表!AP17</f>
        <v>5861578827.2887373</v>
      </c>
      <c r="AQ15" s="26">
        <f>股权价值增加表!AQ17</f>
        <v>3876152207.8228669</v>
      </c>
      <c r="AR15" s="26">
        <f>股权价值增加表!AR17</f>
        <v>2136158454.3955398</v>
      </c>
      <c r="AS15" s="26">
        <f>股权价值增加表!AS17</f>
        <v>6076227930.4870129</v>
      </c>
      <c r="AT15" s="26">
        <f>股权价值增加表!AT17</f>
        <v>4627495800.328805</v>
      </c>
      <c r="AU15" s="26">
        <f>股权价值增加表!AU17</f>
        <v>2929560748.1604538</v>
      </c>
      <c r="AV15" s="26">
        <f>股权价值增加表!AV17</f>
        <v>1572831930.0704546</v>
      </c>
      <c r="AW15" s="26">
        <f>股权价值增加表!AW17</f>
        <v>4502672687.0322638</v>
      </c>
      <c r="AX15" s="26">
        <f>股权价值增加表!AX17</f>
        <v>3412599641.104003</v>
      </c>
      <c r="AY15" s="26">
        <f>股权价值增加表!AY17</f>
        <v>2409632660.9581552</v>
      </c>
      <c r="AZ15" s="26">
        <f>股权价值增加表!AZ17</f>
        <v>951591841.95597255</v>
      </c>
      <c r="BA15" s="26">
        <f>股权价值增加表!BA17</f>
        <v>3842111173.2268667</v>
      </c>
      <c r="BB15" s="26">
        <f>股权价值增加表!BB17</f>
        <v>2832855745.2400618</v>
      </c>
      <c r="BC15" s="26">
        <f>股权价值增加表!BC17</f>
        <v>2012099353.279176</v>
      </c>
      <c r="BD15" s="26">
        <f>股权价值增加表!BD17</f>
        <v>2383911572.3994789</v>
      </c>
      <c r="BE15" s="26">
        <f>股权价值增加表!BE17</f>
        <v>1523082887.204072</v>
      </c>
      <c r="BF15" s="26" t="e">
        <f>股权价值增加表!BF17</f>
        <v>#DIV/0!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1.5792169146499404</v>
      </c>
      <c r="F16" s="28">
        <f t="shared" ref="F16:BQ16" si="8">F14/F15</f>
        <v>1.4472588711971999</v>
      </c>
      <c r="G16" s="28">
        <f t="shared" si="8"/>
        <v>1.1676405138706134</v>
      </c>
      <c r="H16" s="28">
        <f t="shared" si="8"/>
        <v>1.140100287608858</v>
      </c>
      <c r="I16" s="28">
        <f t="shared" si="8"/>
        <v>1.1837407677819205</v>
      </c>
      <c r="J16" s="28">
        <f t="shared" si="8"/>
        <v>0.63055811272288353</v>
      </c>
      <c r="K16" s="28">
        <f t="shared" si="8"/>
        <v>0.12932826342609469</v>
      </c>
      <c r="L16" s="28">
        <f t="shared" si="8"/>
        <v>-0.17290362991630653</v>
      </c>
      <c r="M16" s="28">
        <f t="shared" si="8"/>
        <v>1.2655496626102982</v>
      </c>
      <c r="N16" s="28">
        <f t="shared" si="8"/>
        <v>1.2612102595158305</v>
      </c>
      <c r="O16" s="28">
        <f t="shared" si="8"/>
        <v>1.2028697329385811</v>
      </c>
      <c r="P16" s="28">
        <f t="shared" si="8"/>
        <v>0.76907018783186532</v>
      </c>
      <c r="Q16" s="28">
        <f t="shared" si="8"/>
        <v>1.3901014803790872</v>
      </c>
      <c r="R16" s="28">
        <f t="shared" si="8"/>
        <v>1.5341890298957506</v>
      </c>
      <c r="S16" s="28">
        <f t="shared" si="8"/>
        <v>1.1558629259674096</v>
      </c>
      <c r="T16" s="28">
        <f t="shared" si="8"/>
        <v>0.70274311054893501</v>
      </c>
      <c r="U16" s="28">
        <f t="shared" si="8"/>
        <v>1.333253038636651</v>
      </c>
      <c r="V16" s="28">
        <f t="shared" si="8"/>
        <v>1.4329714295235012</v>
      </c>
      <c r="W16" s="28">
        <f t="shared" si="8"/>
        <v>1.156234490884249</v>
      </c>
      <c r="X16" s="28">
        <f t="shared" si="8"/>
        <v>0.66166713604660987</v>
      </c>
      <c r="Y16" s="28">
        <f t="shared" si="8"/>
        <v>1.2254487567177179</v>
      </c>
      <c r="Z16" s="28">
        <f t="shared" si="8"/>
        <v>1.135117691705541</v>
      </c>
      <c r="AA16" s="28">
        <f t="shared" si="8"/>
        <v>0.72465288617199974</v>
      </c>
      <c r="AB16" s="28">
        <f t="shared" si="8"/>
        <v>0.3475620714991281</v>
      </c>
      <c r="AC16" s="28">
        <f t="shared" si="8"/>
        <v>1.3559073829352812</v>
      </c>
      <c r="AD16" s="28">
        <f t="shared" si="8"/>
        <v>1.2820543955190957</v>
      </c>
      <c r="AE16" s="28">
        <f t="shared" si="8"/>
        <v>1.0833063605946915</v>
      </c>
      <c r="AF16" s="28">
        <f t="shared" si="8"/>
        <v>0.49337837712026966</v>
      </c>
      <c r="AG16" s="28">
        <f t="shared" si="8"/>
        <v>1.5716824691049174</v>
      </c>
      <c r="AH16" s="28">
        <f t="shared" si="8"/>
        <v>1.4543757614848645</v>
      </c>
      <c r="AI16" s="28">
        <f t="shared" si="8"/>
        <v>1.6510138263057672</v>
      </c>
      <c r="AJ16" s="28">
        <f t="shared" si="8"/>
        <v>0.84644524274740096</v>
      </c>
      <c r="AK16" s="28">
        <f t="shared" si="8"/>
        <v>1.2588491677649625</v>
      </c>
      <c r="AL16" s="28">
        <f t="shared" si="8"/>
        <v>1.0821002753065387</v>
      </c>
      <c r="AM16" s="28">
        <f t="shared" si="8"/>
        <v>1.0334077263682862</v>
      </c>
      <c r="AN16" s="28">
        <f t="shared" si="8"/>
        <v>0.51904221563733866</v>
      </c>
      <c r="AO16" s="28">
        <f t="shared" si="8"/>
        <v>1.287834001772397</v>
      </c>
      <c r="AP16" s="28">
        <f t="shared" si="8"/>
        <v>1.2459403869141639</v>
      </c>
      <c r="AQ16" s="28">
        <f t="shared" si="8"/>
        <v>1.0007714986452538</v>
      </c>
      <c r="AR16" s="28">
        <f t="shared" si="8"/>
        <v>0.8577547364193443</v>
      </c>
      <c r="AS16" s="28">
        <f t="shared" si="8"/>
        <v>1.5030652499350841</v>
      </c>
      <c r="AT16" s="28">
        <f t="shared" si="8"/>
        <v>1.4750982668671424</v>
      </c>
      <c r="AU16" s="28">
        <f t="shared" si="8"/>
        <v>1.183637882292544</v>
      </c>
      <c r="AV16" s="28">
        <f t="shared" si="8"/>
        <v>0.95291209018935863</v>
      </c>
      <c r="AW16" s="28">
        <f t="shared" si="8"/>
        <v>1.133302845373676</v>
      </c>
      <c r="AX16" s="28">
        <f t="shared" si="8"/>
        <v>0.90925927894552994</v>
      </c>
      <c r="AY16" s="28">
        <f t="shared" si="8"/>
        <v>0.6772961100846987</v>
      </c>
      <c r="AZ16" s="28">
        <f t="shared" si="8"/>
        <v>0.9117702314645767</v>
      </c>
      <c r="BA16" s="28">
        <f t="shared" si="8"/>
        <v>2.3087309442818733</v>
      </c>
      <c r="BB16" s="28">
        <f t="shared" si="8"/>
        <v>0</v>
      </c>
      <c r="BC16" s="28">
        <f t="shared" si="8"/>
        <v>0</v>
      </c>
      <c r="BD16" s="28">
        <f t="shared" si="8"/>
        <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12786153802</v>
      </c>
      <c r="F17" s="26">
        <f>股权价值增加表!F42</f>
        <v>11130921215</v>
      </c>
      <c r="G17" s="26">
        <f>股权价值增加表!G42</f>
        <v>7550033359</v>
      </c>
      <c r="H17" s="26">
        <f>股权价值增加表!H42</f>
        <v>3115532031</v>
      </c>
      <c r="I17" s="26">
        <f>股权价值增加表!I42</f>
        <v>6927699521</v>
      </c>
      <c r="J17" s="26">
        <f>股权价值增加表!J42</f>
        <v>5072621947</v>
      </c>
      <c r="K17" s="26">
        <f>股权价值增加表!K42</f>
        <v>3640863816</v>
      </c>
      <c r="L17" s="26">
        <f>股权价值增加表!L42</f>
        <v>2045246096</v>
      </c>
      <c r="M17" s="26">
        <f>股权价值增加表!M42</f>
        <v>12487446311</v>
      </c>
      <c r="N17" s="26">
        <f>股权价值增加表!N42</f>
        <v>11193508206</v>
      </c>
      <c r="O17" s="26">
        <f>股权价值增加表!O42</f>
        <v>7344015995</v>
      </c>
      <c r="P17" s="26">
        <f>股权价值增加表!P42</f>
        <v>3717090622</v>
      </c>
      <c r="Q17" s="26">
        <f>股权价值增加表!Q42</f>
        <v>13629184859</v>
      </c>
      <c r="R17" s="26">
        <f>股权价值增加表!R42</f>
        <v>10904467590</v>
      </c>
      <c r="S17" s="26">
        <f>股权价值增加表!S42</f>
        <v>7187980108</v>
      </c>
      <c r="T17" s="26">
        <f>股权价值增加表!T42</f>
        <v>3527512971</v>
      </c>
      <c r="U17" s="26">
        <f>股权价值增加表!U42</f>
        <v>12599219775</v>
      </c>
      <c r="V17" s="26">
        <f>股权价值增加表!V42</f>
        <v>9627992726</v>
      </c>
      <c r="W17" s="26">
        <f>股权价值增加表!W42</f>
        <v>6480152040</v>
      </c>
      <c r="X17" s="26">
        <f>股权价值增加表!X42</f>
        <v>3410043784</v>
      </c>
      <c r="Y17" s="26">
        <f>股权价值增加表!Y42</f>
        <v>11411065952</v>
      </c>
      <c r="Z17" s="26">
        <f>股权价值增加表!Z42</f>
        <v>8753275986</v>
      </c>
      <c r="AA17" s="26">
        <f>股权价值增加表!AA42</f>
        <v>6065554422</v>
      </c>
      <c r="AB17" s="26">
        <f>股权价值增加表!AB42</f>
        <v>3417334728</v>
      </c>
      <c r="AC17" s="26">
        <f>股权价值增加表!AC42</f>
        <v>11606536280</v>
      </c>
      <c r="AD17" s="26">
        <f>股权价值增加表!AD42</f>
        <v>9202195330</v>
      </c>
      <c r="AE17" s="26">
        <f>股权价值增加表!AE42</f>
        <v>6185234799</v>
      </c>
      <c r="AF17" s="26">
        <f>股权价值增加表!AF42</f>
        <v>3417506676</v>
      </c>
      <c r="AG17" s="26">
        <f>股权价值增加表!AG42</f>
        <v>10326077400</v>
      </c>
      <c r="AH17" s="26">
        <f>股权价值增加表!AH42</f>
        <v>8247559691</v>
      </c>
      <c r="AI17" s="26">
        <f>股权价值增加表!AI42</f>
        <v>4643973356</v>
      </c>
      <c r="AJ17" s="26">
        <f>股权价值增加表!AJ42</f>
        <v>2298056642</v>
      </c>
      <c r="AK17" s="26">
        <f>股权价值增加表!AK42</f>
        <v>6528710334</v>
      </c>
      <c r="AL17" s="26">
        <f>股权价值增加表!AL42</f>
        <v>4596366796</v>
      </c>
      <c r="AM17" s="26">
        <f>股权价值增加表!AM42</f>
        <v>2835388043</v>
      </c>
      <c r="AN17" s="26">
        <f>股权价值增加表!AN42</f>
        <v>1462764381</v>
      </c>
      <c r="AO17" s="26">
        <f>股权价值增加表!AO42</f>
        <v>6678092790</v>
      </c>
      <c r="AP17" s="26">
        <f>股权价值增加表!AP42</f>
        <v>5567806338</v>
      </c>
      <c r="AQ17" s="26">
        <f>股权价值增加表!AQ42</f>
        <v>3720193735</v>
      </c>
      <c r="AR17" s="26">
        <f>股权价值增加表!AR42</f>
        <v>2090060432</v>
      </c>
      <c r="AS17" s="26">
        <f>股权价值增加表!AS42</f>
        <v>6108463100</v>
      </c>
      <c r="AT17" s="26">
        <f>股权价值增加表!AT42</f>
        <v>4664475866</v>
      </c>
      <c r="AU17" s="26">
        <f>股权价值增加表!AU42</f>
        <v>2957643893</v>
      </c>
      <c r="AV17" s="26">
        <f>股权价值增加表!AV42</f>
        <v>1585727585</v>
      </c>
      <c r="AW17" s="26">
        <f>股权价值增加表!AW42</f>
        <v>4354407877</v>
      </c>
      <c r="AX17" s="26">
        <f>股权价值增加表!AX42</f>
        <v>3247466977</v>
      </c>
      <c r="AY17" s="26">
        <f>股权价值增加表!AY42</f>
        <v>2264447370</v>
      </c>
      <c r="AZ17" s="26">
        <f>股权价值增加表!AZ42</f>
        <v>869436573</v>
      </c>
      <c r="BA17" s="26">
        <f>股权价值增加表!BA42</f>
        <v>3553233715</v>
      </c>
      <c r="BB17" s="26">
        <f>股权价值增加表!BB42</f>
        <v>2654440568</v>
      </c>
      <c r="BC17" s="26">
        <f>股权价值增加表!BC42</f>
        <v>1892205409</v>
      </c>
      <c r="BD17" s="26">
        <f>股权价值增加表!BD42</f>
        <v>2386134361</v>
      </c>
      <c r="BE17" s="26">
        <f>股权价值增加表!BE42</f>
        <v>1526058455</v>
      </c>
      <c r="BF17" s="26">
        <f>股权价值增加表!BF42</f>
        <v>0</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1.3681675168230547</v>
      </c>
      <c r="F18" s="28">
        <f t="shared" ref="F18:BQ18" si="10">F14/F17</f>
        <v>1.2576313106174475</v>
      </c>
      <c r="G18" s="28">
        <f t="shared" si="10"/>
        <v>1.0100587077419296</v>
      </c>
      <c r="H18" s="28">
        <f t="shared" si="10"/>
        <v>0.99416867622633021</v>
      </c>
      <c r="I18" s="28">
        <f t="shared" si="10"/>
        <v>0.90573212420365889</v>
      </c>
      <c r="J18" s="28">
        <f t="shared" si="10"/>
        <v>0.45972411828939319</v>
      </c>
      <c r="K18" s="28">
        <f t="shared" si="10"/>
        <v>9.7070687304169137E-2</v>
      </c>
      <c r="L18" s="28">
        <f t="shared" si="10"/>
        <v>-0.14797097551824395</v>
      </c>
      <c r="M18" s="28">
        <f t="shared" si="10"/>
        <v>1.1305475061433479</v>
      </c>
      <c r="N18" s="28">
        <f t="shared" si="10"/>
        <v>1.1443521938130072</v>
      </c>
      <c r="O18" s="28">
        <f t="shared" si="10"/>
        <v>1.0947696691393167</v>
      </c>
      <c r="P18" s="28">
        <f t="shared" si="10"/>
        <v>0.7165439605470022</v>
      </c>
      <c r="Q18" s="28">
        <f t="shared" si="10"/>
        <v>1.2703056564360302</v>
      </c>
      <c r="R18" s="28">
        <f t="shared" si="10"/>
        <v>1.4039252966407323</v>
      </c>
      <c r="S18" s="28">
        <f t="shared" si="10"/>
        <v>1.0377142181707328</v>
      </c>
      <c r="T18" s="28">
        <f t="shared" si="10"/>
        <v>0.64318375088974267</v>
      </c>
      <c r="U18" s="28">
        <f t="shared" si="10"/>
        <v>1.1714876219785602</v>
      </c>
      <c r="V18" s="28">
        <f t="shared" si="10"/>
        <v>1.2606075562587624</v>
      </c>
      <c r="W18" s="28">
        <f t="shared" si="10"/>
        <v>1.0144769840924905</v>
      </c>
      <c r="X18" s="28">
        <f t="shared" si="10"/>
        <v>0.61268365550112247</v>
      </c>
      <c r="Y18" s="28">
        <f t="shared" si="10"/>
        <v>1.1318765350520341</v>
      </c>
      <c r="Z18" s="28">
        <f t="shared" si="10"/>
        <v>1.0522912486401752</v>
      </c>
      <c r="AA18" s="28">
        <f t="shared" si="10"/>
        <v>0.66599864661143415</v>
      </c>
      <c r="AB18" s="28">
        <f t="shared" si="10"/>
        <v>0.32753370216533262</v>
      </c>
      <c r="AC18" s="28">
        <f t="shared" si="10"/>
        <v>1.3016648457846376</v>
      </c>
      <c r="AD18" s="28">
        <f t="shared" si="10"/>
        <v>1.2279502789037189</v>
      </c>
      <c r="AE18" s="28">
        <f t="shared" si="10"/>
        <v>1.0327834668512152</v>
      </c>
      <c r="AF18" s="28">
        <f t="shared" si="10"/>
        <v>0.46834719306924333</v>
      </c>
      <c r="AG18" s="28">
        <f t="shared" si="10"/>
        <v>1.6381627910323431</v>
      </c>
      <c r="AH18" s="28">
        <f t="shared" si="10"/>
        <v>1.5191277201269788</v>
      </c>
      <c r="AI18" s="28">
        <f t="shared" si="10"/>
        <v>1.7326095724912682</v>
      </c>
      <c r="AJ18" s="28">
        <f t="shared" si="10"/>
        <v>0.89040581707298061</v>
      </c>
      <c r="AK18" s="28">
        <f t="shared" si="10"/>
        <v>1.3226046482766194</v>
      </c>
      <c r="AL18" s="28">
        <f t="shared" si="10"/>
        <v>1.1797187945746357</v>
      </c>
      <c r="AM18" s="28">
        <f t="shared" si="10"/>
        <v>1.1306317277856983</v>
      </c>
      <c r="AN18" s="28">
        <f t="shared" si="10"/>
        <v>0.56671026500747146</v>
      </c>
      <c r="AO18" s="28">
        <f t="shared" si="10"/>
        <v>1.3098624785655306</v>
      </c>
      <c r="AP18" s="28">
        <f t="shared" si="10"/>
        <v>1.3116795643835844</v>
      </c>
      <c r="AQ18" s="28">
        <f t="shared" si="10"/>
        <v>1.0427259788931396</v>
      </c>
      <c r="AR18" s="28">
        <f t="shared" si="10"/>
        <v>0.8766732310446419</v>
      </c>
      <c r="AS18" s="28">
        <f t="shared" si="10"/>
        <v>1.4951333753657283</v>
      </c>
      <c r="AT18" s="28">
        <f t="shared" si="10"/>
        <v>1.4634036558653298</v>
      </c>
      <c r="AU18" s="28">
        <f t="shared" si="10"/>
        <v>1.1723991141079539</v>
      </c>
      <c r="AV18" s="28">
        <f t="shared" si="10"/>
        <v>0.94516269766474426</v>
      </c>
      <c r="AW18" s="28">
        <f t="shared" si="10"/>
        <v>1.1718910841939028</v>
      </c>
      <c r="AX18" s="28">
        <f t="shared" si="10"/>
        <v>0.95549482442050404</v>
      </c>
      <c r="AY18" s="28">
        <f t="shared" si="10"/>
        <v>0.72072102430890239</v>
      </c>
      <c r="AZ18" s="28">
        <f t="shared" si="10"/>
        <v>0.99792571527814022</v>
      </c>
      <c r="BA18" s="28">
        <f t="shared" si="10"/>
        <v>2.4964304823388179</v>
      </c>
      <c r="BB18" s="28">
        <f t="shared" si="10"/>
        <v>0</v>
      </c>
      <c r="BC18" s="28">
        <f t="shared" si="10"/>
        <v>0</v>
      </c>
      <c r="BD18" s="28">
        <f t="shared" si="10"/>
        <v>0</v>
      </c>
      <c r="BE18" s="28">
        <f t="shared" si="10"/>
        <v>0</v>
      </c>
      <c r="BF18" s="28" t="e">
        <f t="shared" si="10"/>
        <v>#DIV/0!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32650148</v>
      </c>
      <c r="F19" s="26">
        <f>现金流量表!F48</f>
        <v>0</v>
      </c>
      <c r="G19" s="26">
        <f>现金流量表!G48</f>
        <v>-1003257</v>
      </c>
      <c r="H19" s="26">
        <f>现金流量表!H48</f>
        <v>0</v>
      </c>
      <c r="I19" s="26">
        <f>现金流量表!I48</f>
        <v>3425188</v>
      </c>
      <c r="J19" s="26">
        <f>现金流量表!J48</f>
        <v>0</v>
      </c>
      <c r="K19" s="26">
        <f>现金流量表!K48</f>
        <v>0</v>
      </c>
      <c r="L19" s="26">
        <f>现金流量表!L48</f>
        <v>0</v>
      </c>
      <c r="M19" s="26">
        <f>现金流量表!M48</f>
        <v>0</v>
      </c>
      <c r="N19" s="26">
        <f>现金流量表!N48</f>
        <v>0</v>
      </c>
      <c r="O19" s="26">
        <f>现金流量表!O48</f>
        <v>0</v>
      </c>
      <c r="P19" s="26">
        <f>现金流量表!P48</f>
        <v>0</v>
      </c>
      <c r="Q19" s="26">
        <f>现金流量表!Q48</f>
        <v>4946883</v>
      </c>
      <c r="R19" s="26">
        <f>现金流量表!R48</f>
        <v>0</v>
      </c>
      <c r="S19" s="26">
        <f>现金流量表!S48</f>
        <v>-36400</v>
      </c>
      <c r="T19" s="26">
        <f>现金流量表!T48</f>
        <v>0</v>
      </c>
      <c r="U19" s="26">
        <f>现金流量表!U48</f>
        <v>-246823</v>
      </c>
      <c r="V19" s="26">
        <f>现金流量表!V48</f>
        <v>0</v>
      </c>
      <c r="W19" s="26">
        <f>现金流量表!W48</f>
        <v>0</v>
      </c>
      <c r="X19" s="26">
        <f>现金流量表!X48</f>
        <v>0</v>
      </c>
      <c r="Y19" s="26">
        <f>现金流量表!Y48</f>
        <v>283803</v>
      </c>
      <c r="Z19" s="26">
        <f>现金流量表!Z48</f>
        <v>0</v>
      </c>
      <c r="AA19" s="26">
        <f>现金流量表!AA48</f>
        <v>0</v>
      </c>
      <c r="AB19" s="26">
        <f>现金流量表!AB48</f>
        <v>0</v>
      </c>
      <c r="AC19" s="26">
        <f>现金流量表!AC48</f>
        <v>768232</v>
      </c>
      <c r="AD19" s="26">
        <f>现金流量表!AD48</f>
        <v>0</v>
      </c>
      <c r="AE19" s="26">
        <f>现金流量表!AE48</f>
        <v>0</v>
      </c>
      <c r="AF19" s="26">
        <f>现金流量表!AF48</f>
        <v>0</v>
      </c>
      <c r="AG19" s="26">
        <f>现金流量表!AG48</f>
        <v>-654880</v>
      </c>
      <c r="AH19" s="26">
        <f>现金流量表!AH48</f>
        <v>0</v>
      </c>
      <c r="AI19" s="26">
        <f>现金流量表!AI48</f>
        <v>0</v>
      </c>
      <c r="AJ19" s="26">
        <f>现金流量表!AJ48</f>
        <v>0</v>
      </c>
      <c r="AK19" s="26">
        <f>现金流量表!AK48</f>
        <v>516448</v>
      </c>
      <c r="AL19" s="26">
        <f>现金流量表!AL48</f>
        <v>0</v>
      </c>
      <c r="AM19" s="26">
        <f>现金流量表!AM48</f>
        <v>544948</v>
      </c>
      <c r="AN19" s="26">
        <f>现金流量表!AN48</f>
        <v>0</v>
      </c>
      <c r="AO19" s="26">
        <f>现金流量表!AO48</f>
        <v>-29120</v>
      </c>
      <c r="AP19" s="26">
        <f>现金流量表!AP48</f>
        <v>0</v>
      </c>
      <c r="AQ19" s="26">
        <f>现金流量表!AQ48</f>
        <v>0</v>
      </c>
      <c r="AR19" s="26">
        <f>现金流量表!AR48</f>
        <v>0</v>
      </c>
      <c r="AS19" s="26">
        <f>现金流量表!AS48</f>
        <v>199414</v>
      </c>
      <c r="AT19" s="26">
        <f>现金流量表!AT48</f>
        <v>0</v>
      </c>
      <c r="AU19" s="26">
        <f>现金流量表!AU48</f>
        <v>0</v>
      </c>
      <c r="AV19" s="26">
        <f>现金流量表!AV48</f>
        <v>0</v>
      </c>
      <c r="AW19" s="26">
        <f>现金流量表!AW48</f>
        <v>212458</v>
      </c>
      <c r="AX19" s="26">
        <f>现金流量表!AX48</f>
        <v>92818</v>
      </c>
      <c r="AY19" s="26">
        <f>现金流量表!AY48</f>
        <v>92818</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5461019302</v>
      </c>
      <c r="F20" s="26">
        <f>现金流量表!F49</f>
        <v>0</v>
      </c>
      <c r="G20" s="26">
        <f>现金流量表!G49</f>
        <v>2589176230</v>
      </c>
      <c r="H20" s="26">
        <f>现金流量表!H49</f>
        <v>0</v>
      </c>
      <c r="I20" s="26">
        <f>现金流量表!I49</f>
        <v>5119309018</v>
      </c>
      <c r="J20" s="26">
        <f>现金流量表!J49</f>
        <v>0</v>
      </c>
      <c r="K20" s="26">
        <f>现金流量表!K49</f>
        <v>2551981274</v>
      </c>
      <c r="L20" s="26">
        <f>现金流量表!L49</f>
        <v>0</v>
      </c>
      <c r="M20" s="26">
        <f>现金流量表!M49</f>
        <v>5020579521</v>
      </c>
      <c r="N20" s="26">
        <f>现金流量表!N49</f>
        <v>0</v>
      </c>
      <c r="O20" s="26">
        <f>现金流量表!O49</f>
        <v>2410598700</v>
      </c>
      <c r="P20" s="26">
        <f>现金流量表!P49</f>
        <v>0</v>
      </c>
      <c r="Q20" s="26">
        <f>现金流量表!Q49</f>
        <v>4817340897</v>
      </c>
      <c r="R20" s="26">
        <f>现金流量表!R49</f>
        <v>0</v>
      </c>
      <c r="S20" s="26">
        <f>现金流量表!S49</f>
        <v>2405687650</v>
      </c>
      <c r="T20" s="26">
        <f>现金流量表!T49</f>
        <v>0</v>
      </c>
      <c r="U20" s="26">
        <f>现金流量表!U49</f>
        <v>4710162112</v>
      </c>
      <c r="V20" s="26">
        <f>现金流量表!V49</f>
        <v>0</v>
      </c>
      <c r="W20" s="26">
        <f>现金流量表!W49</f>
        <v>2289789922</v>
      </c>
      <c r="X20" s="26">
        <f>现金流量表!X49</f>
        <v>0</v>
      </c>
      <c r="Y20" s="26">
        <f>现金流量表!Y49</f>
        <v>4369515680</v>
      </c>
      <c r="Z20" s="26">
        <f>现金流量表!Z49</f>
        <v>0</v>
      </c>
      <c r="AA20" s="26">
        <f>现金流量表!AA49</f>
        <v>2166445663</v>
      </c>
      <c r="AB20" s="26">
        <f>现金流量表!AB49</f>
        <v>0</v>
      </c>
      <c r="AC20" s="26">
        <f>现金流量表!AC49</f>
        <v>3983709370</v>
      </c>
      <c r="AD20" s="26">
        <f>现金流量表!AD49</f>
        <v>0</v>
      </c>
      <c r="AE20" s="26">
        <f>现金流量表!AE49</f>
        <v>1996747541</v>
      </c>
      <c r="AF20" s="26">
        <f>现金流量表!AF49</f>
        <v>0</v>
      </c>
      <c r="AG20" s="26">
        <f>现金流量表!AG49</f>
        <v>4007101655</v>
      </c>
      <c r="AH20" s="26">
        <f>现金流量表!AH49</f>
        <v>0</v>
      </c>
      <c r="AI20" s="26">
        <f>现金流量表!AI49</f>
        <v>1579575258</v>
      </c>
      <c r="AJ20" s="26">
        <f>现金流量表!AJ49</f>
        <v>0</v>
      </c>
      <c r="AK20" s="26">
        <f>现金流量表!AK49</f>
        <v>3029928146</v>
      </c>
      <c r="AL20" s="26">
        <f>现金流量表!AL49</f>
        <v>0</v>
      </c>
      <c r="AM20" s="26">
        <f>现金流量表!AM49</f>
        <v>1491385357</v>
      </c>
      <c r="AN20" s="26">
        <f>现金流量表!AN49</f>
        <v>0</v>
      </c>
      <c r="AO20" s="26">
        <f>现金流量表!AO49</f>
        <v>2505398047</v>
      </c>
      <c r="AP20" s="26">
        <f>现金流量表!AP49</f>
        <v>0</v>
      </c>
      <c r="AQ20" s="26">
        <f>现金流量表!AQ49</f>
        <v>1146631492</v>
      </c>
      <c r="AR20" s="26">
        <f>现金流量表!AR49</f>
        <v>0</v>
      </c>
      <c r="AS20" s="26">
        <f>现金流量表!AS49</f>
        <v>1714239075</v>
      </c>
      <c r="AT20" s="26">
        <f>现金流量表!AT49</f>
        <v>0</v>
      </c>
      <c r="AU20" s="26">
        <f>现金流量表!AU49</f>
        <v>816923597</v>
      </c>
      <c r="AV20" s="26">
        <f>现金流量表!AV49</f>
        <v>0</v>
      </c>
      <c r="AW20" s="26">
        <f>现金流量表!AW49</f>
        <v>1798528698</v>
      </c>
      <c r="AX20" s="26">
        <f>现金流量表!AX49</f>
        <v>1330599503</v>
      </c>
      <c r="AY20" s="26">
        <f>现金流量表!AY49</f>
        <v>962345915</v>
      </c>
      <c r="AZ20" s="26">
        <f>现金流量表!AZ49</f>
        <v>0</v>
      </c>
      <c r="BA20" s="26">
        <f>现金流量表!BA49</f>
        <v>1012226671</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121652898</v>
      </c>
      <c r="F21" s="26">
        <f>现金流量表!F50</f>
        <v>0</v>
      </c>
      <c r="G21" s="26">
        <f>现金流量表!G50</f>
        <v>60681861</v>
      </c>
      <c r="H21" s="26">
        <f>现金流量表!H50</f>
        <v>0</v>
      </c>
      <c r="I21" s="26">
        <f>现金流量表!I50</f>
        <v>114966707</v>
      </c>
      <c r="J21" s="26">
        <f>现金流量表!J50</f>
        <v>0</v>
      </c>
      <c r="K21" s="26">
        <f>现金流量表!K50</f>
        <v>57069925</v>
      </c>
      <c r="L21" s="26">
        <f>现金流量表!L50</f>
        <v>0</v>
      </c>
      <c r="M21" s="26">
        <f>现金流量表!M50</f>
        <v>114262204</v>
      </c>
      <c r="N21" s="26">
        <f>现金流量表!N50</f>
        <v>0</v>
      </c>
      <c r="O21" s="26">
        <f>现金流量表!O50</f>
        <v>57123407</v>
      </c>
      <c r="P21" s="26">
        <f>现金流量表!P50</f>
        <v>0</v>
      </c>
      <c r="Q21" s="26">
        <f>现金流量表!Q50</f>
        <v>114052729</v>
      </c>
      <c r="R21" s="26">
        <f>现金流量表!R50</f>
        <v>0</v>
      </c>
      <c r="S21" s="26">
        <f>现金流量表!S50</f>
        <v>56969028</v>
      </c>
      <c r="T21" s="26">
        <f>现金流量表!T50</f>
        <v>0</v>
      </c>
      <c r="U21" s="26">
        <f>现金流量表!U50</f>
        <v>110315189</v>
      </c>
      <c r="V21" s="26">
        <f>现金流量表!V50</f>
        <v>0</v>
      </c>
      <c r="W21" s="26">
        <f>现金流量表!W50</f>
        <v>54781422</v>
      </c>
      <c r="X21" s="26">
        <f>现金流量表!X50</f>
        <v>0</v>
      </c>
      <c r="Y21" s="26">
        <f>现金流量表!Y50</f>
        <v>109135917</v>
      </c>
      <c r="Z21" s="26">
        <f>现金流量表!Z50</f>
        <v>0</v>
      </c>
      <c r="AA21" s="26">
        <f>现金流量表!AA50</f>
        <v>52435311</v>
      </c>
      <c r="AB21" s="26">
        <f>现金流量表!AB50</f>
        <v>0</v>
      </c>
      <c r="AC21" s="26">
        <f>现金流量表!AC50</f>
        <v>104796624</v>
      </c>
      <c r="AD21" s="26">
        <f>现金流量表!AD50</f>
        <v>0</v>
      </c>
      <c r="AE21" s="26">
        <f>现金流量表!AE50</f>
        <v>52322507</v>
      </c>
      <c r="AF21" s="26">
        <f>现金流量表!AF50</f>
        <v>0</v>
      </c>
      <c r="AG21" s="26">
        <f>现金流量表!AG50</f>
        <v>105438341</v>
      </c>
      <c r="AH21" s="26">
        <f>现金流量表!AH50</f>
        <v>0</v>
      </c>
      <c r="AI21" s="26">
        <f>现金流量表!AI50</f>
        <v>51898733</v>
      </c>
      <c r="AJ21" s="26">
        <f>现金流量表!AJ50</f>
        <v>0</v>
      </c>
      <c r="AK21" s="26">
        <f>现金流量表!AK50</f>
        <v>103961778</v>
      </c>
      <c r="AL21" s="26">
        <f>现金流量表!AL50</f>
        <v>0</v>
      </c>
      <c r="AM21" s="26">
        <f>现金流量表!AM50</f>
        <v>51898733</v>
      </c>
      <c r="AN21" s="26">
        <f>现金流量表!AN50</f>
        <v>0</v>
      </c>
      <c r="AO21" s="26">
        <f>现金流量表!AO50</f>
        <v>103961780</v>
      </c>
      <c r="AP21" s="26">
        <f>现金流量表!AP50</f>
        <v>0</v>
      </c>
      <c r="AQ21" s="26">
        <f>现金流量表!AQ50</f>
        <v>51898733</v>
      </c>
      <c r="AR21" s="26">
        <f>现金流量表!AR50</f>
        <v>0</v>
      </c>
      <c r="AS21" s="26">
        <f>现金流量表!AS50</f>
        <v>103916779</v>
      </c>
      <c r="AT21" s="26">
        <f>现金流量表!AT50</f>
        <v>0</v>
      </c>
      <c r="AU21" s="26">
        <f>现金流量表!AU50</f>
        <v>51898733</v>
      </c>
      <c r="AV21" s="26">
        <f>现金流量表!AV50</f>
        <v>0</v>
      </c>
      <c r="AW21" s="26">
        <f>现金流量表!AW50</f>
        <v>103864966</v>
      </c>
      <c r="AX21" s="26">
        <f>现金流量表!AX50</f>
        <v>77848010</v>
      </c>
      <c r="AY21" s="26">
        <f>现金流量表!AY50</f>
        <v>51898733</v>
      </c>
      <c r="AZ21" s="26">
        <f>现金流量表!AZ50</f>
        <v>0</v>
      </c>
      <c r="BA21" s="26">
        <f>现金流量表!BA50</f>
        <v>103797467</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23912566</v>
      </c>
      <c r="F22" s="26">
        <f>现金流量表!F51</f>
        <v>0</v>
      </c>
      <c r="G22" s="26">
        <f>现金流量表!G51</f>
        <v>3277060</v>
      </c>
      <c r="H22" s="26">
        <f>现金流量表!H51</f>
        <v>0</v>
      </c>
      <c r="I22" s="26">
        <f>现金流量表!I51</f>
        <v>4499497</v>
      </c>
      <c r="J22" s="26">
        <f>现金流量表!J51</f>
        <v>0</v>
      </c>
      <c r="K22" s="26">
        <f>现金流量表!K51</f>
        <v>810515</v>
      </c>
      <c r="L22" s="26">
        <f>现金流量表!L51</f>
        <v>0</v>
      </c>
      <c r="M22" s="26">
        <f>现金流量表!M51</f>
        <v>35127835</v>
      </c>
      <c r="N22" s="26">
        <f>现金流量表!N51</f>
        <v>0</v>
      </c>
      <c r="O22" s="26">
        <f>现金流量表!O51</f>
        <v>24580833</v>
      </c>
      <c r="P22" s="26">
        <f>现金流量表!P51</f>
        <v>0</v>
      </c>
      <c r="Q22" s="26">
        <f>现金流量表!Q51</f>
        <v>35645836</v>
      </c>
      <c r="R22" s="26">
        <f>现金流量表!R51</f>
        <v>0</v>
      </c>
      <c r="S22" s="26">
        <f>现金流量表!S51</f>
        <v>14467233</v>
      </c>
      <c r="T22" s="26">
        <f>现金流量表!T51</f>
        <v>0</v>
      </c>
      <c r="U22" s="26">
        <f>现金流量表!U51</f>
        <v>31520824</v>
      </c>
      <c r="V22" s="26">
        <f>现金流量表!V51</f>
        <v>0</v>
      </c>
      <c r="W22" s="26">
        <f>现金流量表!W51</f>
        <v>15889266</v>
      </c>
      <c r="X22" s="26">
        <f>现金流量表!X51</f>
        <v>0</v>
      </c>
      <c r="Y22" s="26">
        <f>现金流量表!Y51</f>
        <v>31242686</v>
      </c>
      <c r="Z22" s="26">
        <f>现金流量表!Z51</f>
        <v>0</v>
      </c>
      <c r="AA22" s="26">
        <f>现金流量表!AA51</f>
        <v>7265547</v>
      </c>
      <c r="AB22" s="26">
        <f>现金流量表!AB51</f>
        <v>0</v>
      </c>
      <c r="AC22" s="26">
        <f>现金流量表!AC51</f>
        <v>1924702</v>
      </c>
      <c r="AD22" s="26">
        <f>现金流量表!AD51</f>
        <v>0</v>
      </c>
      <c r="AE22" s="26">
        <f>现金流量表!AE51</f>
        <v>1839572</v>
      </c>
      <c r="AF22" s="26">
        <f>现金流量表!AF51</f>
        <v>0</v>
      </c>
      <c r="AG22" s="26">
        <f>现金流量表!AG51</f>
        <v>5209033</v>
      </c>
      <c r="AH22" s="26">
        <f>现金流量表!AH51</f>
        <v>0</v>
      </c>
      <c r="AI22" s="26">
        <f>现金流量表!AI51</f>
        <v>2442554</v>
      </c>
      <c r="AJ22" s="26">
        <f>现金流量表!AJ51</f>
        <v>0</v>
      </c>
      <c r="AK22" s="26">
        <f>现金流量表!AK51</f>
        <v>5370017</v>
      </c>
      <c r="AL22" s="26">
        <f>现金流量表!AL51</f>
        <v>0</v>
      </c>
      <c r="AM22" s="26">
        <f>现金流量表!AM51</f>
        <v>2761034</v>
      </c>
      <c r="AN22" s="26">
        <f>现金流量表!AN51</f>
        <v>0</v>
      </c>
      <c r="AO22" s="26">
        <f>现金流量表!AO51</f>
        <v>6826343</v>
      </c>
      <c r="AP22" s="26">
        <f>现金流量表!AP51</f>
        <v>0</v>
      </c>
      <c r="AQ22" s="26">
        <f>现金流量表!AQ51</f>
        <v>4449580</v>
      </c>
      <c r="AR22" s="26">
        <f>现金流量表!AR51</f>
        <v>0</v>
      </c>
      <c r="AS22" s="26">
        <f>现金流量表!AS51</f>
        <v>2684340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17651389</v>
      </c>
      <c r="F23" s="26">
        <f>现金流量表!F54</f>
        <v>0</v>
      </c>
      <c r="G23" s="26">
        <f>现金流量表!G54</f>
        <v>4279635</v>
      </c>
      <c r="H23" s="26">
        <f>现金流量表!H54</f>
        <v>0</v>
      </c>
      <c r="I23" s="26">
        <f>现金流量表!I54</f>
        <v>46720455</v>
      </c>
      <c r="J23" s="26">
        <f>现金流量表!J54</f>
        <v>0</v>
      </c>
      <c r="K23" s="26">
        <f>现金流量表!K54</f>
        <v>3928763</v>
      </c>
      <c r="L23" s="26">
        <f>现金流量表!L54</f>
        <v>0</v>
      </c>
      <c r="M23" s="26">
        <f>现金流量表!M54</f>
        <v>147149015</v>
      </c>
      <c r="N23" s="26">
        <f>现金流量表!N54</f>
        <v>0</v>
      </c>
      <c r="O23" s="26">
        <f>现金流量表!O54</f>
        <v>137315264</v>
      </c>
      <c r="P23" s="26">
        <f>现金流量表!P54</f>
        <v>0</v>
      </c>
      <c r="Q23" s="26">
        <f>现金流量表!Q54</f>
        <v>44515558</v>
      </c>
      <c r="R23" s="26">
        <f>现金流量表!R54</f>
        <v>0</v>
      </c>
      <c r="S23" s="26">
        <f>现金流量表!S54</f>
        <v>6769251</v>
      </c>
      <c r="T23" s="26">
        <f>现金流量表!T54</f>
        <v>0</v>
      </c>
      <c r="U23" s="26">
        <f>现金流量表!U54</f>
        <v>73263779</v>
      </c>
      <c r="V23" s="26">
        <f>现金流量表!V54</f>
        <v>0</v>
      </c>
      <c r="W23" s="26">
        <f>现金流量表!W54</f>
        <v>29792214</v>
      </c>
      <c r="X23" s="26">
        <f>现金流量表!X54</f>
        <v>0</v>
      </c>
      <c r="Y23" s="26">
        <f>现金流量表!Y54</f>
        <v>10364189</v>
      </c>
      <c r="Z23" s="26">
        <f>现金流量表!Z54</f>
        <v>0</v>
      </c>
      <c r="AA23" s="26">
        <f>现金流量表!AA54</f>
        <v>2557295</v>
      </c>
      <c r="AB23" s="26">
        <f>现金流量表!AB54</f>
        <v>0</v>
      </c>
      <c r="AC23" s="26">
        <f>现金流量表!AC54</f>
        <v>25804111</v>
      </c>
      <c r="AD23" s="26">
        <f>现金流量表!AD54</f>
        <v>0</v>
      </c>
      <c r="AE23" s="26">
        <f>现金流量表!AE54</f>
        <v>4650109</v>
      </c>
      <c r="AF23" s="26">
        <f>现金流量表!AF54</f>
        <v>0</v>
      </c>
      <c r="AG23" s="26">
        <f>现金流量表!AG54</f>
        <v>19596898</v>
      </c>
      <c r="AH23" s="26">
        <f>现金流量表!AH54</f>
        <v>0</v>
      </c>
      <c r="AI23" s="26">
        <f>现金流量表!AI54</f>
        <v>4308621</v>
      </c>
      <c r="AJ23" s="26">
        <f>现金流量表!AJ54</f>
        <v>0</v>
      </c>
      <c r="AK23" s="26">
        <f>现金流量表!AK54</f>
        <v>46231859</v>
      </c>
      <c r="AL23" s="26">
        <f>现金流量表!AL54</f>
        <v>0</v>
      </c>
      <c r="AM23" s="26">
        <f>现金流量表!AM54</f>
        <v>643613</v>
      </c>
      <c r="AN23" s="26">
        <f>现金流量表!AN54</f>
        <v>0</v>
      </c>
      <c r="AO23" s="26">
        <f>现金流量表!AO54</f>
        <v>-56435937</v>
      </c>
      <c r="AP23" s="26">
        <f>现金流量表!AP54</f>
        <v>0</v>
      </c>
      <c r="AQ23" s="26">
        <f>现金流量表!AQ54</f>
        <v>46465788</v>
      </c>
      <c r="AR23" s="26">
        <f>现金流量表!AR54</f>
        <v>0</v>
      </c>
      <c r="AS23" s="26">
        <f>现金流量表!AS54</f>
        <v>76727325</v>
      </c>
      <c r="AT23" s="26">
        <f>现金流量表!AT54</f>
        <v>0</v>
      </c>
      <c r="AU23" s="26">
        <f>现金流量表!AU54</f>
        <v>0</v>
      </c>
      <c r="AV23" s="26">
        <f>现金流量表!AV54</f>
        <v>0</v>
      </c>
      <c r="AW23" s="26">
        <f>现金流量表!AW54</f>
        <v>44621365</v>
      </c>
      <c r="AX23" s="26">
        <f>现金流量表!AX54</f>
        <v>34359112</v>
      </c>
      <c r="AY23" s="26">
        <f>现金流量表!AY54</f>
        <v>132977</v>
      </c>
      <c r="AZ23" s="26">
        <f>现金流量表!AZ54</f>
        <v>0</v>
      </c>
      <c r="BA23" s="26">
        <f>现金流量表!BA54</f>
        <v>79873783</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32094060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5656886303</v>
      </c>
      <c r="F25" s="28">
        <f t="shared" ref="F25:BQ25" si="12">SUM(F19:F24)</f>
        <v>0</v>
      </c>
      <c r="G25" s="28">
        <f t="shared" si="12"/>
        <v>2656411529</v>
      </c>
      <c r="H25" s="28">
        <f t="shared" si="12"/>
        <v>0</v>
      </c>
      <c r="I25" s="28">
        <f t="shared" si="12"/>
        <v>5288920865</v>
      </c>
      <c r="J25" s="28">
        <f t="shared" si="12"/>
        <v>0</v>
      </c>
      <c r="K25" s="28">
        <f t="shared" si="12"/>
        <v>2613790477</v>
      </c>
      <c r="L25" s="28">
        <f t="shared" si="12"/>
        <v>0</v>
      </c>
      <c r="M25" s="28">
        <f t="shared" si="12"/>
        <v>5317118575</v>
      </c>
      <c r="N25" s="28">
        <f t="shared" si="12"/>
        <v>0</v>
      </c>
      <c r="O25" s="28">
        <f t="shared" si="12"/>
        <v>2629618204</v>
      </c>
      <c r="P25" s="28">
        <f t="shared" si="12"/>
        <v>0</v>
      </c>
      <c r="Q25" s="28">
        <f t="shared" si="12"/>
        <v>5016501903</v>
      </c>
      <c r="R25" s="28">
        <f t="shared" si="12"/>
        <v>0</v>
      </c>
      <c r="S25" s="28">
        <f t="shared" si="12"/>
        <v>2483856762</v>
      </c>
      <c r="T25" s="28">
        <f t="shared" si="12"/>
        <v>0</v>
      </c>
      <c r="U25" s="28">
        <f t="shared" si="12"/>
        <v>4925015081</v>
      </c>
      <c r="V25" s="28">
        <f t="shared" si="12"/>
        <v>0</v>
      </c>
      <c r="W25" s="28">
        <f t="shared" si="12"/>
        <v>2390252824</v>
      </c>
      <c r="X25" s="28">
        <f t="shared" si="12"/>
        <v>0</v>
      </c>
      <c r="Y25" s="28">
        <f t="shared" si="12"/>
        <v>4520542275</v>
      </c>
      <c r="Z25" s="28">
        <f t="shared" si="12"/>
        <v>0</v>
      </c>
      <c r="AA25" s="28">
        <f t="shared" si="12"/>
        <v>2228703816</v>
      </c>
      <c r="AB25" s="28">
        <f t="shared" si="12"/>
        <v>0</v>
      </c>
      <c r="AC25" s="28">
        <f t="shared" si="12"/>
        <v>4117003039</v>
      </c>
      <c r="AD25" s="28">
        <f t="shared" si="12"/>
        <v>0</v>
      </c>
      <c r="AE25" s="28">
        <f t="shared" si="12"/>
        <v>2055559729</v>
      </c>
      <c r="AF25" s="28">
        <f t="shared" si="12"/>
        <v>0</v>
      </c>
      <c r="AG25" s="28">
        <f t="shared" si="12"/>
        <v>4136691047</v>
      </c>
      <c r="AH25" s="28">
        <f t="shared" si="12"/>
        <v>0</v>
      </c>
      <c r="AI25" s="28">
        <f t="shared" si="12"/>
        <v>1638225166</v>
      </c>
      <c r="AJ25" s="28">
        <f t="shared" si="12"/>
        <v>0</v>
      </c>
      <c r="AK25" s="28">
        <f t="shared" si="12"/>
        <v>3186008248</v>
      </c>
      <c r="AL25" s="28">
        <f t="shared" si="12"/>
        <v>0</v>
      </c>
      <c r="AM25" s="28">
        <f t="shared" si="12"/>
        <v>1547233685</v>
      </c>
      <c r="AN25" s="28">
        <f t="shared" si="12"/>
        <v>0</v>
      </c>
      <c r="AO25" s="28">
        <f t="shared" si="12"/>
        <v>2559721113</v>
      </c>
      <c r="AP25" s="28">
        <f t="shared" si="12"/>
        <v>0</v>
      </c>
      <c r="AQ25" s="28">
        <f t="shared" si="12"/>
        <v>1249445593</v>
      </c>
      <c r="AR25" s="28">
        <f t="shared" si="12"/>
        <v>0</v>
      </c>
      <c r="AS25" s="28">
        <f t="shared" si="12"/>
        <v>1897766933</v>
      </c>
      <c r="AT25" s="28">
        <f t="shared" si="12"/>
        <v>0</v>
      </c>
      <c r="AU25" s="28">
        <f t="shared" si="12"/>
        <v>900916390</v>
      </c>
      <c r="AV25" s="28">
        <f t="shared" si="12"/>
        <v>0</v>
      </c>
      <c r="AW25" s="28">
        <f t="shared" si="12"/>
        <v>1947227487</v>
      </c>
      <c r="AX25" s="28">
        <f t="shared" si="12"/>
        <v>1442899443</v>
      </c>
      <c r="AY25" s="28">
        <f t="shared" si="12"/>
        <v>1014470443</v>
      </c>
      <c r="AZ25" s="28">
        <f t="shared" si="12"/>
        <v>0</v>
      </c>
      <c r="BA25" s="28">
        <f t="shared" si="12"/>
        <v>1195897921</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11836713994</v>
      </c>
      <c r="F26" s="28">
        <f t="shared" ref="F26:BQ26" si="14">F14-F25</f>
        <v>13998595036</v>
      </c>
      <c r="G26" s="28">
        <f t="shared" si="14"/>
        <v>4969565409</v>
      </c>
      <c r="H26" s="28">
        <f t="shared" si="14"/>
        <v>3097364355</v>
      </c>
      <c r="I26" s="28">
        <f t="shared" si="14"/>
        <v>985719138</v>
      </c>
      <c r="J26" s="28">
        <f t="shared" si="14"/>
        <v>2332006652</v>
      </c>
      <c r="K26" s="28">
        <f t="shared" si="14"/>
        <v>-2260369324</v>
      </c>
      <c r="L26" s="28">
        <f t="shared" si="14"/>
        <v>-302637060</v>
      </c>
      <c r="M26" s="28">
        <f t="shared" si="14"/>
        <v>8800532710</v>
      </c>
      <c r="N26" s="28">
        <f t="shared" si="14"/>
        <v>12809315672</v>
      </c>
      <c r="O26" s="28">
        <f t="shared" si="14"/>
        <v>5410387757</v>
      </c>
      <c r="P26" s="28">
        <f t="shared" si="14"/>
        <v>2663458836</v>
      </c>
      <c r="Q26" s="28">
        <f t="shared" si="14"/>
        <v>12296728716</v>
      </c>
      <c r="R26" s="28">
        <f t="shared" si="14"/>
        <v>15309057896</v>
      </c>
      <c r="S26" s="28">
        <f t="shared" si="14"/>
        <v>4975212396</v>
      </c>
      <c r="T26" s="28">
        <f t="shared" si="14"/>
        <v>2268839024</v>
      </c>
      <c r="U26" s="28">
        <f t="shared" si="14"/>
        <v>9834814932</v>
      </c>
      <c r="V26" s="28">
        <f t="shared" si="14"/>
        <v>12137120382</v>
      </c>
      <c r="W26" s="28">
        <f t="shared" si="14"/>
        <v>4183712274</v>
      </c>
      <c r="X26" s="28">
        <f t="shared" si="14"/>
        <v>2089278091</v>
      </c>
      <c r="Y26" s="28">
        <f t="shared" si="14"/>
        <v>8395375516</v>
      </c>
      <c r="Z26" s="28">
        <f t="shared" si="14"/>
        <v>9210995717</v>
      </c>
      <c r="AA26" s="28">
        <f t="shared" si="14"/>
        <v>1810947220</v>
      </c>
      <c r="AB26" s="28">
        <f t="shared" si="14"/>
        <v>1119292295</v>
      </c>
      <c r="AC26" s="28">
        <f t="shared" si="14"/>
        <v>10990817218</v>
      </c>
      <c r="AD26" s="28">
        <f t="shared" si="14"/>
        <v>11299838322</v>
      </c>
      <c r="AE26" s="28">
        <f t="shared" si="14"/>
        <v>4332448510</v>
      </c>
      <c r="AF26" s="28">
        <f t="shared" si="14"/>
        <v>1600579659</v>
      </c>
      <c r="AG26" s="28">
        <f t="shared" si="14"/>
        <v>12779104727</v>
      </c>
      <c r="AH26" s="28">
        <f t="shared" si="14"/>
        <v>12529096550</v>
      </c>
      <c r="AI26" s="28">
        <f t="shared" si="14"/>
        <v>6407967525</v>
      </c>
      <c r="AJ26" s="28">
        <f t="shared" si="14"/>
        <v>2046203002</v>
      </c>
      <c r="AK26" s="28">
        <f t="shared" si="14"/>
        <v>5448894387</v>
      </c>
      <c r="AL26" s="28">
        <f t="shared" si="14"/>
        <v>5422420296</v>
      </c>
      <c r="AM26" s="28">
        <f t="shared" si="14"/>
        <v>1658545997</v>
      </c>
      <c r="AN26" s="28">
        <f t="shared" si="14"/>
        <v>828963590</v>
      </c>
      <c r="AO26" s="28">
        <f t="shared" si="14"/>
        <v>6187662061</v>
      </c>
      <c r="AP26" s="28">
        <f t="shared" si="14"/>
        <v>7303177792</v>
      </c>
      <c r="AQ26" s="28">
        <f t="shared" si="14"/>
        <v>2629697061</v>
      </c>
      <c r="AR26" s="28">
        <f t="shared" si="14"/>
        <v>1832300032</v>
      </c>
      <c r="AS26" s="28">
        <f t="shared" si="14"/>
        <v>7235200120</v>
      </c>
      <c r="AT26" s="28">
        <f t="shared" si="14"/>
        <v>6826011035</v>
      </c>
      <c r="AU26" s="28">
        <f t="shared" si="14"/>
        <v>2566622690</v>
      </c>
      <c r="AV26" s="28">
        <f t="shared" si="14"/>
        <v>1498770562</v>
      </c>
      <c r="AW26" s="28">
        <f t="shared" si="14"/>
        <v>3155664281</v>
      </c>
      <c r="AX26" s="28">
        <f t="shared" si="14"/>
        <v>1660038446</v>
      </c>
      <c r="AY26" s="28">
        <f t="shared" si="14"/>
        <v>617564385</v>
      </c>
      <c r="AZ26" s="28">
        <f t="shared" si="14"/>
        <v>867633114</v>
      </c>
      <c r="BA26" s="28">
        <f t="shared" si="14"/>
        <v>7674503036</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752</v>
      </c>
      <c r="E27" s="26">
        <f>E26</f>
        <v>11836713994</v>
      </c>
      <c r="F27" s="193">
        <f t="shared" ref="F27:BQ27" si="16">F26</f>
        <v>13998595036</v>
      </c>
      <c r="G27" s="193">
        <f t="shared" si="16"/>
        <v>4969565409</v>
      </c>
      <c r="H27" s="193">
        <f t="shared" si="16"/>
        <v>3097364355</v>
      </c>
      <c r="I27" s="193">
        <f t="shared" si="16"/>
        <v>985719138</v>
      </c>
      <c r="J27" s="193">
        <f t="shared" si="16"/>
        <v>2332006652</v>
      </c>
      <c r="K27" s="193">
        <f t="shared" si="16"/>
        <v>-2260369324</v>
      </c>
      <c r="L27" s="193">
        <f t="shared" si="16"/>
        <v>-302637060</v>
      </c>
      <c r="M27" s="193">
        <f t="shared" si="16"/>
        <v>8800532710</v>
      </c>
      <c r="N27" s="193">
        <f t="shared" si="16"/>
        <v>12809315672</v>
      </c>
      <c r="O27" s="193">
        <f t="shared" si="16"/>
        <v>5410387757</v>
      </c>
      <c r="P27" s="193">
        <f t="shared" si="16"/>
        <v>2663458836</v>
      </c>
      <c r="Q27" s="193">
        <f t="shared" si="16"/>
        <v>12296728716</v>
      </c>
      <c r="R27" s="193">
        <f t="shared" si="16"/>
        <v>15309057896</v>
      </c>
      <c r="S27" s="193">
        <f t="shared" si="16"/>
        <v>4975212396</v>
      </c>
      <c r="T27" s="193">
        <f t="shared" si="16"/>
        <v>2268839024</v>
      </c>
      <c r="U27" s="193">
        <f t="shared" si="16"/>
        <v>9834814932</v>
      </c>
      <c r="V27" s="193">
        <f t="shared" si="16"/>
        <v>12137120382</v>
      </c>
      <c r="W27" s="193">
        <f t="shared" si="16"/>
        <v>4183712274</v>
      </c>
      <c r="X27" s="193">
        <f t="shared" si="16"/>
        <v>2089278091</v>
      </c>
      <c r="Y27" s="193">
        <f t="shared" si="16"/>
        <v>8395375516</v>
      </c>
      <c r="Z27" s="193">
        <f t="shared" si="16"/>
        <v>9210995717</v>
      </c>
      <c r="AA27" s="193">
        <f t="shared" si="16"/>
        <v>1810947220</v>
      </c>
      <c r="AB27" s="193">
        <f t="shared" si="16"/>
        <v>1119292295</v>
      </c>
      <c r="AC27" s="193">
        <f t="shared" si="16"/>
        <v>10990817218</v>
      </c>
      <c r="AD27" s="193">
        <f t="shared" si="16"/>
        <v>11299838322</v>
      </c>
      <c r="AE27" s="193">
        <f t="shared" si="16"/>
        <v>4332448510</v>
      </c>
      <c r="AF27" s="193">
        <f t="shared" si="16"/>
        <v>1600579659</v>
      </c>
      <c r="AG27" s="193">
        <f t="shared" si="16"/>
        <v>12779104727</v>
      </c>
      <c r="AH27" s="193">
        <f t="shared" si="16"/>
        <v>12529096550</v>
      </c>
      <c r="AI27" s="193">
        <f t="shared" si="16"/>
        <v>6407967525</v>
      </c>
      <c r="AJ27" s="193">
        <f t="shared" si="16"/>
        <v>2046203002</v>
      </c>
      <c r="AK27" s="193">
        <f t="shared" si="16"/>
        <v>5448894387</v>
      </c>
      <c r="AL27" s="193">
        <f t="shared" si="16"/>
        <v>5422420296</v>
      </c>
      <c r="AM27" s="193">
        <f t="shared" si="16"/>
        <v>1658545997</v>
      </c>
      <c r="AN27" s="193">
        <f t="shared" si="16"/>
        <v>828963590</v>
      </c>
      <c r="AO27" s="193">
        <f t="shared" si="16"/>
        <v>6187662061</v>
      </c>
      <c r="AP27" s="193">
        <f t="shared" si="16"/>
        <v>7303177792</v>
      </c>
      <c r="AQ27" s="193">
        <f t="shared" si="16"/>
        <v>2629697061</v>
      </c>
      <c r="AR27" s="193">
        <f t="shared" si="16"/>
        <v>1832300032</v>
      </c>
      <c r="AS27" s="193">
        <f t="shared" si="16"/>
        <v>7235200120</v>
      </c>
      <c r="AT27" s="193">
        <f t="shared" si="16"/>
        <v>6826011035</v>
      </c>
      <c r="AU27" s="193">
        <f t="shared" si="16"/>
        <v>2566622690</v>
      </c>
      <c r="AV27" s="193">
        <f t="shared" si="16"/>
        <v>1498770562</v>
      </c>
      <c r="AW27" s="193">
        <f t="shared" si="16"/>
        <v>3155664281</v>
      </c>
      <c r="AX27" s="193">
        <f t="shared" si="16"/>
        <v>1660038446</v>
      </c>
      <c r="AY27" s="193">
        <f t="shared" si="16"/>
        <v>617564385</v>
      </c>
      <c r="AZ27" s="193">
        <f t="shared" si="16"/>
        <v>867633114</v>
      </c>
      <c r="BA27" s="193">
        <f t="shared" si="16"/>
        <v>7674503036</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510</v>
      </c>
      <c r="E28" s="63">
        <f>(E27-I27)/I27</f>
        <v>11.008201461946253</v>
      </c>
      <c r="F28" s="63">
        <f t="shared" ref="F28:BQ28" si="18">(F27-J27)/J27</f>
        <v>5.0028109370933302</v>
      </c>
      <c r="G28" s="63">
        <f t="shared" si="18"/>
        <v>-3.1985634631626243</v>
      </c>
      <c r="H28" s="63">
        <f t="shared" si="18"/>
        <v>-11.234583811381198</v>
      </c>
      <c r="I28" s="63">
        <f t="shared" si="18"/>
        <v>-0.88799324194546403</v>
      </c>
      <c r="J28" s="63">
        <f t="shared" si="18"/>
        <v>-0.81794447793198233</v>
      </c>
      <c r="K28" s="63">
        <f t="shared" si="18"/>
        <v>-1.4177832394869512</v>
      </c>
      <c r="L28" s="63">
        <f t="shared" si="18"/>
        <v>-1.1136255818597529</v>
      </c>
      <c r="M28" s="63">
        <f t="shared" si="18"/>
        <v>-0.28431919470183098</v>
      </c>
      <c r="N28" s="63">
        <f t="shared" si="18"/>
        <v>-0.16328517672228157</v>
      </c>
      <c r="O28" s="63">
        <f t="shared" si="18"/>
        <v>8.7468700100095179E-2</v>
      </c>
      <c r="P28" s="63">
        <f t="shared" si="18"/>
        <v>0.17393028232751342</v>
      </c>
      <c r="Q28" s="63">
        <f t="shared" si="18"/>
        <v>0.25032639668587514</v>
      </c>
      <c r="R28" s="63">
        <f t="shared" si="18"/>
        <v>0.26134185162274187</v>
      </c>
      <c r="S28" s="63">
        <f t="shared" si="18"/>
        <v>0.18918607929107317</v>
      </c>
      <c r="T28" s="63">
        <f t="shared" si="18"/>
        <v>8.594400801573332E-2</v>
      </c>
      <c r="U28" s="63">
        <f t="shared" si="18"/>
        <v>0.17145622768829105</v>
      </c>
      <c r="V28" s="63">
        <f t="shared" si="18"/>
        <v>0.31767734508870576</v>
      </c>
      <c r="W28" s="63">
        <f t="shared" si="18"/>
        <v>1.3102342397367053</v>
      </c>
      <c r="X28" s="63">
        <f t="shared" si="18"/>
        <v>0.86660633717665325</v>
      </c>
      <c r="Y28" s="63">
        <f t="shared" si="18"/>
        <v>-0.23614638024817347</v>
      </c>
      <c r="Z28" s="63">
        <f t="shared" si="18"/>
        <v>-0.18485597275610294</v>
      </c>
      <c r="AA28" s="63">
        <f t="shared" si="18"/>
        <v>-0.5820037524231304</v>
      </c>
      <c r="AB28" s="63">
        <f t="shared" si="18"/>
        <v>-0.3006956644074158</v>
      </c>
      <c r="AC28" s="63">
        <f t="shared" si="18"/>
        <v>-0.13993840313568001</v>
      </c>
      <c r="AD28" s="63">
        <f t="shared" si="18"/>
        <v>-9.8112279931309179E-2</v>
      </c>
      <c r="AE28" s="63">
        <f t="shared" si="18"/>
        <v>-0.32389661884249327</v>
      </c>
      <c r="AF28" s="63">
        <f t="shared" si="18"/>
        <v>-0.21778061246339625</v>
      </c>
      <c r="AG28" s="63">
        <f t="shared" si="18"/>
        <v>1.3452656299392503</v>
      </c>
      <c r="AH28" s="63">
        <f t="shared" si="18"/>
        <v>1.3106096292908977</v>
      </c>
      <c r="AI28" s="63">
        <f t="shared" si="18"/>
        <v>2.8636055536541143</v>
      </c>
      <c r="AJ28" s="63">
        <f t="shared" si="18"/>
        <v>1.4683870638998753</v>
      </c>
      <c r="AK28" s="63">
        <f t="shared" si="18"/>
        <v>-0.11939366867760169</v>
      </c>
      <c r="AL28" s="63">
        <f t="shared" si="18"/>
        <v>-0.25752590852439705</v>
      </c>
      <c r="AM28" s="63">
        <f t="shared" si="18"/>
        <v>-0.36930149803289453</v>
      </c>
      <c r="AN28" s="63">
        <f t="shared" si="18"/>
        <v>-0.54758305107097216</v>
      </c>
      <c r="AO28" s="63">
        <f t="shared" si="18"/>
        <v>-0.14478356391336417</v>
      </c>
      <c r="AP28" s="63">
        <f t="shared" si="18"/>
        <v>6.9904187753777922E-2</v>
      </c>
      <c r="AQ28" s="63">
        <f t="shared" si="18"/>
        <v>2.4574851319497999E-2</v>
      </c>
      <c r="AR28" s="63">
        <f t="shared" si="18"/>
        <v>0.22253537563143036</v>
      </c>
      <c r="AS28" s="63">
        <f t="shared" si="18"/>
        <v>1.2927661106292441</v>
      </c>
      <c r="AT28" s="63">
        <f t="shared" si="18"/>
        <v>3.1119596063861281</v>
      </c>
      <c r="AU28" s="63">
        <f t="shared" si="18"/>
        <v>3.1560406531539216</v>
      </c>
      <c r="AV28" s="63">
        <f t="shared" si="18"/>
        <v>0.7274243430962456</v>
      </c>
      <c r="AW28" s="63">
        <f t="shared" si="18"/>
        <v>-0.58881190531852956</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3.7750598265481106E-2</v>
      </c>
      <c r="F31" s="112"/>
      <c r="G31" s="112"/>
      <c r="H31" s="112"/>
      <c r="I31" s="112">
        <f>POWER(E27/Y27,1/6)-1</f>
        <v>5.8924926001585609E-2</v>
      </c>
      <c r="M31" s="112">
        <f>POWER(E27/AC27,1/7)-1</f>
        <v>1.0648572583914495E-2</v>
      </c>
      <c r="Q31" s="115" t="s">
        <v>603</v>
      </c>
      <c r="R31" s="115"/>
      <c r="S31" s="115"/>
      <c r="T31" s="115"/>
      <c r="U31" s="115">
        <f>POWER(E14/U14,1/5)-1</f>
        <v>3.4569256577761998E-2</v>
      </c>
      <c r="V31" s="115"/>
      <c r="W31" s="115"/>
      <c r="X31" s="115"/>
      <c r="Y31" s="115">
        <f>POWER(E14/Y14,1/6)-1</f>
        <v>5.1862537629667083E-2</v>
      </c>
      <c r="Z31" s="115"/>
      <c r="AA31" s="115"/>
      <c r="AB31" s="115"/>
      <c r="AC31" s="115">
        <f>POWER(E14/AC14,1/7)-1</f>
        <v>2.1166996000368199E-2</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5" width="19.33203125" bestFit="1" customWidth="1"/>
    <col min="6" max="8" width="20.44140625" bestFit="1" customWidth="1"/>
    <col min="9" max="9" width="21.5546875" bestFit="1" customWidth="1"/>
    <col min="10" max="11" width="20.44140625" bestFit="1" customWidth="1"/>
    <col min="12" max="12" width="40.21875" bestFit="1" customWidth="1"/>
    <col min="13" max="18" width="20.44140625" bestFit="1" customWidth="1"/>
    <col min="19" max="19" width="21.5546875" bestFit="1" customWidth="1"/>
    <col min="20" max="74" width="9.44140625" bestFit="1" customWidth="1"/>
  </cols>
  <sheetData>
    <row r="1" spans="1:10" ht="16.2" customHeight="1" x14ac:dyDescent="0.25">
      <c r="A1" s="68" t="s">
        <v>514</v>
      </c>
      <c r="B1" s="69">
        <f>自由现金流分析表!E1</f>
        <v>43100</v>
      </c>
      <c r="C1" s="191" t="s">
        <v>750</v>
      </c>
      <c r="D1" s="274">
        <v>0.08</v>
      </c>
      <c r="E1" s="262" t="s">
        <v>751</v>
      </c>
      <c r="F1" s="63">
        <f>平均资本成本表!E13</f>
        <v>8.0357202858139798E-2</v>
      </c>
    </row>
    <row r="2" spans="1:10" x14ac:dyDescent="0.25">
      <c r="A2" s="70" t="s">
        <v>515</v>
      </c>
      <c r="B2" s="71">
        <f>(自由现金流分析表!E27+自由现金流分析表!I27+自由现金流分析表!M27)/3</f>
        <v>7207655280.666667</v>
      </c>
      <c r="C2" t="s">
        <v>548</v>
      </c>
      <c r="D2" s="63"/>
      <c r="E2" s="63"/>
      <c r="F2" s="56"/>
    </row>
    <row r="3" spans="1:10" s="63" customFormat="1" x14ac:dyDescent="0.25">
      <c r="A3" s="72" t="s">
        <v>516</v>
      </c>
      <c r="B3" s="98">
        <v>0</v>
      </c>
      <c r="D3" s="190"/>
      <c r="E3" s="190"/>
      <c r="F3" s="260"/>
    </row>
    <row r="4" spans="1:10" s="63" customFormat="1" x14ac:dyDescent="0.25">
      <c r="A4" s="72" t="s">
        <v>517</v>
      </c>
      <c r="B4" s="98">
        <f>F1</f>
        <v>8.0357202858139798E-2</v>
      </c>
      <c r="D4" s="190"/>
      <c r="E4" s="190"/>
      <c r="F4" s="261"/>
    </row>
    <row r="5" spans="1:10" x14ac:dyDescent="0.25">
      <c r="A5" s="70" t="s">
        <v>518</v>
      </c>
      <c r="B5" s="71">
        <f>B2*(1+B3)/(B4-B3)</f>
        <v>89695198741.43512</v>
      </c>
      <c r="D5" s="63"/>
      <c r="E5" s="63"/>
    </row>
    <row r="6" spans="1:10" x14ac:dyDescent="0.25">
      <c r="A6" s="70" t="s">
        <v>519</v>
      </c>
      <c r="B6" s="71">
        <f>资产资本表!E17</f>
        <v>13585000499</v>
      </c>
      <c r="D6" s="190"/>
      <c r="E6" s="190"/>
      <c r="F6" s="190"/>
      <c r="G6" s="190"/>
    </row>
    <row r="7" spans="1:10" x14ac:dyDescent="0.25">
      <c r="A7" s="70" t="s">
        <v>520</v>
      </c>
      <c r="B7" s="71">
        <f>资产资本表!E19</f>
        <v>20059833772</v>
      </c>
      <c r="D7" s="190"/>
      <c r="E7" s="190"/>
      <c r="F7" s="190"/>
      <c r="G7" s="190"/>
    </row>
    <row r="8" spans="1:10" x14ac:dyDescent="0.25">
      <c r="A8" s="70" t="s">
        <v>521</v>
      </c>
      <c r="B8" s="197">
        <f>资产资本表!E89</f>
        <v>7462160520</v>
      </c>
      <c r="C8" s="272" t="s">
        <v>748</v>
      </c>
      <c r="D8" s="273">
        <f>B2/B4</f>
        <v>89695198741.43512</v>
      </c>
      <c r="E8" s="63"/>
      <c r="F8" s="190"/>
      <c r="G8" s="190"/>
    </row>
    <row r="9" spans="1:10" x14ac:dyDescent="0.25">
      <c r="A9" s="70" t="s">
        <v>522</v>
      </c>
      <c r="B9" s="197">
        <f>B5+B6+B7-B8</f>
        <v>115877872492.43512</v>
      </c>
      <c r="C9" s="272" t="s">
        <v>749</v>
      </c>
      <c r="D9" s="273">
        <f>(D8+资产资本结构分析表!$E$2+资产资本结构分析表!$E$3)/B55</f>
        <v>8.2945550109236805</v>
      </c>
      <c r="E9" s="190"/>
      <c r="F9" s="190"/>
      <c r="G9" s="190"/>
    </row>
    <row r="10" spans="1:10" x14ac:dyDescent="0.25">
      <c r="A10" s="70" t="s">
        <v>523</v>
      </c>
      <c r="B10" s="73">
        <f>资产资本表!E103/资产资本表!E107</f>
        <v>1.4955417435024385E-2</v>
      </c>
      <c r="D10" s="190"/>
      <c r="E10" s="190"/>
      <c r="F10" s="190"/>
      <c r="G10" s="190"/>
    </row>
    <row r="11" spans="1:10" x14ac:dyDescent="0.25">
      <c r="A11" s="70" t="s">
        <v>549</v>
      </c>
      <c r="B11" s="197">
        <f>B9*(1-B10)</f>
        <v>114144870537.82822</v>
      </c>
      <c r="C11" s="269" t="s">
        <v>745</v>
      </c>
      <c r="D11" s="270">
        <f>资产资本结构分析表!E2</f>
        <v>13585000499</v>
      </c>
      <c r="E11" s="63"/>
      <c r="F11" s="190"/>
      <c r="G11" s="190"/>
    </row>
    <row r="12" spans="1:10" x14ac:dyDescent="0.25">
      <c r="A12" s="70" t="s">
        <v>524</v>
      </c>
      <c r="B12" s="268">
        <f>B55</f>
        <v>14870000000</v>
      </c>
      <c r="C12" s="269" t="s">
        <v>746</v>
      </c>
      <c r="D12" s="271">
        <f>D11/B55</f>
        <v>0.91358443167451242</v>
      </c>
      <c r="E12" s="190"/>
      <c r="F12" s="190"/>
      <c r="G12" s="190"/>
    </row>
    <row r="13" spans="1:10" ht="15" thickBot="1" x14ac:dyDescent="0.3">
      <c r="A13" s="74" t="s">
        <v>525</v>
      </c>
      <c r="B13" s="75">
        <f>B11/B12</f>
        <v>7.6761849722816553</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7207655280.666667</v>
      </c>
      <c r="D19" s="89">
        <f>C19*(1+$D$17)</f>
        <v>7928420808.7333345</v>
      </c>
      <c r="E19" s="89">
        <f>D19*(1+$D$17)</f>
        <v>8721262889.6066685</v>
      </c>
      <c r="F19" s="89">
        <f>E19*(1+$D$17)</f>
        <v>9593389178.567337</v>
      </c>
      <c r="G19" s="89">
        <f>F19*(1+$D$17)</f>
        <v>10552728096.424072</v>
      </c>
      <c r="H19" s="89">
        <f>G19*(1+$D$17)</f>
        <v>11608000906.066481</v>
      </c>
      <c r="I19" s="89">
        <f>H19*(1+I17)</f>
        <v>12072320942.309141</v>
      </c>
      <c r="J19" s="76"/>
    </row>
    <row r="20" spans="1:10" s="26" customFormat="1" x14ac:dyDescent="0.25">
      <c r="A20" s="99" t="s">
        <v>528</v>
      </c>
      <c r="B20" s="95">
        <f>B4</f>
        <v>8.0357202858139798E-2</v>
      </c>
      <c r="C20" s="89"/>
      <c r="D20" s="89">
        <f t="shared" ref="D20:I20" si="0">(1+$B$20)^D18</f>
        <v>1.0803572028581399</v>
      </c>
      <c r="E20" s="89">
        <f t="shared" si="0"/>
        <v>1.1671716857674639</v>
      </c>
      <c r="F20" s="89">
        <f t="shared" si="0"/>
        <v>1.2609623376909571</v>
      </c>
      <c r="G20" s="89">
        <f t="shared" si="0"/>
        <v>1.3622897440572634</v>
      </c>
      <c r="H20" s="89">
        <f t="shared" si="0"/>
        <v>1.4717595373720365</v>
      </c>
      <c r="I20" s="89">
        <f t="shared" si="0"/>
        <v>1.5900260170750431</v>
      </c>
      <c r="J20" s="76"/>
    </row>
    <row r="21" spans="1:10" s="26" customFormat="1" x14ac:dyDescent="0.25">
      <c r="A21" s="301" t="s">
        <v>529</v>
      </c>
      <c r="B21" s="301"/>
      <c r="C21" s="89"/>
      <c r="D21" s="89">
        <f>D19/D20</f>
        <v>7338703150.9192467</v>
      </c>
      <c r="E21" s="89">
        <f>E19/E20</f>
        <v>7472133702.3113918</v>
      </c>
      <c r="F21" s="89">
        <f>F19/F20</f>
        <v>7607990256.1836329</v>
      </c>
      <c r="G21" s="89">
        <f>G19/G20</f>
        <v>7746316921.5347862</v>
      </c>
      <c r="H21" s="89">
        <f>H19/H20</f>
        <v>7887158609.342968</v>
      </c>
      <c r="I21" s="89">
        <f>I19/((B20-I17)*I20)</f>
        <v>188133218034.55905</v>
      </c>
      <c r="J21" s="76"/>
    </row>
    <row r="22" spans="1:10" s="26" customFormat="1" x14ac:dyDescent="0.25">
      <c r="A22" s="301" t="s">
        <v>547</v>
      </c>
      <c r="B22" s="301"/>
      <c r="C22" s="89"/>
      <c r="D22" s="297">
        <f>SUM(D21:H21)</f>
        <v>38052302640.292023</v>
      </c>
      <c r="E22" s="298"/>
      <c r="F22" s="298"/>
      <c r="G22" s="298"/>
      <c r="H22" s="299"/>
      <c r="I22" s="89">
        <f>I21</f>
        <v>188133218034.55905</v>
      </c>
      <c r="J22" s="76"/>
    </row>
    <row r="23" spans="1:10" x14ac:dyDescent="0.25">
      <c r="A23" s="92" t="s">
        <v>530</v>
      </c>
      <c r="B23" s="76">
        <f>D22+I22</f>
        <v>226185520674.85107</v>
      </c>
      <c r="C23" s="77"/>
      <c r="D23" s="77"/>
      <c r="E23" s="77"/>
      <c r="F23" s="77"/>
      <c r="G23" s="77"/>
      <c r="H23" s="77"/>
      <c r="I23" s="79"/>
      <c r="J23" s="77"/>
    </row>
    <row r="24" spans="1:10" x14ac:dyDescent="0.25">
      <c r="A24" s="92" t="s">
        <v>531</v>
      </c>
      <c r="B24" s="76">
        <f>B23</f>
        <v>226185520674.85107</v>
      </c>
      <c r="C24" s="77"/>
      <c r="D24" s="77"/>
      <c r="E24" s="77"/>
      <c r="F24" s="77"/>
      <c r="G24" s="77"/>
      <c r="H24" s="77"/>
      <c r="I24" s="79"/>
      <c r="J24" s="77"/>
    </row>
    <row r="25" spans="1:10" x14ac:dyDescent="0.25">
      <c r="A25" s="70" t="s">
        <v>532</v>
      </c>
      <c r="B25" s="71">
        <f>资产资本表!E17</f>
        <v>13585000499</v>
      </c>
      <c r="C25" s="77"/>
      <c r="D25" s="77"/>
      <c r="E25" s="77"/>
      <c r="F25" s="77"/>
      <c r="G25" s="77"/>
      <c r="H25" s="77"/>
      <c r="I25" s="79"/>
      <c r="J25" s="77"/>
    </row>
    <row r="26" spans="1:10" x14ac:dyDescent="0.25">
      <c r="A26" s="70" t="s">
        <v>533</v>
      </c>
      <c r="B26" s="71">
        <f>资产资本表!E19</f>
        <v>20059833772</v>
      </c>
      <c r="C26" s="77"/>
      <c r="D26" s="77"/>
      <c r="E26" s="77"/>
      <c r="F26" s="77"/>
      <c r="G26" s="77"/>
      <c r="H26" s="77"/>
      <c r="I26" s="79"/>
      <c r="J26" s="77"/>
    </row>
    <row r="27" spans="1:10" x14ac:dyDescent="0.25">
      <c r="A27" s="70" t="s">
        <v>534</v>
      </c>
      <c r="B27" s="71">
        <f>资产资本表!E89</f>
        <v>7462160520</v>
      </c>
      <c r="C27" s="77"/>
      <c r="D27" s="77"/>
      <c r="E27" s="77"/>
      <c r="F27" s="77"/>
      <c r="G27" s="77"/>
      <c r="H27" s="77"/>
      <c r="I27" s="79"/>
      <c r="J27" s="77"/>
    </row>
    <row r="28" spans="1:10" s="2" customFormat="1" x14ac:dyDescent="0.25">
      <c r="A28" s="82" t="s">
        <v>535</v>
      </c>
      <c r="B28" s="83">
        <f>B24+B25+B26-B27</f>
        <v>252368194425.85107</v>
      </c>
      <c r="C28" s="80"/>
      <c r="D28" s="80"/>
      <c r="E28" s="80"/>
      <c r="F28" s="80"/>
      <c r="G28" s="80"/>
      <c r="H28" s="80"/>
      <c r="I28" s="81"/>
      <c r="J28" s="80"/>
    </row>
    <row r="29" spans="1:10" x14ac:dyDescent="0.25">
      <c r="A29" s="70" t="s">
        <v>536</v>
      </c>
      <c r="B29" s="78">
        <f>资产资本表!E103/资产资本表!E107</f>
        <v>1.4955417435024385E-2</v>
      </c>
      <c r="C29" s="302" t="s">
        <v>543</v>
      </c>
      <c r="D29" s="302"/>
      <c r="E29" s="302"/>
      <c r="F29" s="77"/>
      <c r="G29" s="77"/>
      <c r="H29" s="77"/>
      <c r="I29" s="79"/>
      <c r="J29" s="77"/>
    </row>
    <row r="30" spans="1:10" s="2" customFormat="1" x14ac:dyDescent="0.25">
      <c r="A30" s="82" t="s">
        <v>537</v>
      </c>
      <c r="B30" s="83">
        <f>B28*(1-B29)</f>
        <v>248593922730.88907</v>
      </c>
      <c r="C30" s="91">
        <v>0.4</v>
      </c>
      <c r="D30" s="91">
        <v>0.3</v>
      </c>
      <c r="E30" s="91">
        <v>0.2</v>
      </c>
      <c r="F30" s="80"/>
      <c r="G30" s="80"/>
      <c r="H30" s="80"/>
      <c r="I30" s="81"/>
      <c r="J30" s="80"/>
    </row>
    <row r="31" spans="1:10" x14ac:dyDescent="0.25">
      <c r="A31" s="70" t="s">
        <v>747</v>
      </c>
      <c r="B31" s="101">
        <f>B55</f>
        <v>14870000000</v>
      </c>
      <c r="C31" s="215">
        <f>$B$32*(1-C30)</f>
        <v>10.030689552019734</v>
      </c>
      <c r="D31" s="215">
        <f>$B$32*(1-D30)</f>
        <v>11.702471144023022</v>
      </c>
      <c r="E31" s="215">
        <f>$B$32*(1-E30)</f>
        <v>13.374252736026314</v>
      </c>
      <c r="F31" s="77"/>
      <c r="G31" s="77"/>
      <c r="H31" s="77"/>
      <c r="I31" s="79"/>
      <c r="J31" s="77"/>
    </row>
    <row r="32" spans="1:10" s="2" customFormat="1" ht="15" thickBot="1" x14ac:dyDescent="0.3">
      <c r="A32" s="84" t="s">
        <v>538</v>
      </c>
      <c r="B32" s="85">
        <f>B30/B31</f>
        <v>16.717815920032891</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7207655280.666667</v>
      </c>
      <c r="D39" s="89">
        <f>$C$39*(1+$D$37)^D38</f>
        <v>8288803572.7666664</v>
      </c>
      <c r="E39" s="89">
        <f>$C$39*(1+$D$37)^E38</f>
        <v>9532124108.6816654</v>
      </c>
      <c r="F39" s="89">
        <f>$C$39*(1+$D$37)^F38</f>
        <v>10961942724.983913</v>
      </c>
      <c r="G39" s="89">
        <f>$C$39*(1+$D$37)^G38</f>
        <v>12606234133.731501</v>
      </c>
      <c r="H39" s="89">
        <f>$C$39*(1+$D$37)^H38</f>
        <v>14497169253.791225</v>
      </c>
      <c r="I39" s="89">
        <f>H39*(1+$I$37)</f>
        <v>15801914486.632437</v>
      </c>
      <c r="J39" s="89">
        <f t="shared" ref="J39:N39" si="1">I39*(1+$I$37)</f>
        <v>17224086790.429356</v>
      </c>
      <c r="K39" s="89">
        <f t="shared" si="1"/>
        <v>18774254601.568001</v>
      </c>
      <c r="L39" s="89">
        <f t="shared" si="1"/>
        <v>20463937515.709122</v>
      </c>
      <c r="M39" s="89">
        <f t="shared" si="1"/>
        <v>22305691892.122944</v>
      </c>
      <c r="N39" s="89">
        <f t="shared" si="1"/>
        <v>24313204162.414009</v>
      </c>
      <c r="O39" s="89">
        <f t="shared" ref="O39" si="2">N39*(1+$I$37)</f>
        <v>26501392537.031273</v>
      </c>
      <c r="P39" s="89">
        <f t="shared" ref="P39" si="3">O39*(1+$I$37)</f>
        <v>28886517865.36409</v>
      </c>
      <c r="Q39" s="89">
        <f t="shared" ref="Q39" si="4">P39*(1+$I$37)</f>
        <v>31486304473.246861</v>
      </c>
      <c r="R39" s="89">
        <f t="shared" ref="R39" si="5">Q39*(1+$I$37)</f>
        <v>34320071875.839081</v>
      </c>
      <c r="S39" s="89">
        <f>R39*(1+S37)</f>
        <v>35006473313.355865</v>
      </c>
    </row>
    <row r="40" spans="1:19" s="23" customFormat="1" x14ac:dyDescent="0.25">
      <c r="A40" s="210" t="s">
        <v>528</v>
      </c>
      <c r="B40" s="209">
        <f>B4</f>
        <v>8.0357202858139798E-2</v>
      </c>
      <c r="C40" s="215"/>
      <c r="D40" s="215">
        <f>(1+$B$40)^D38</f>
        <v>1.0803572028581399</v>
      </c>
      <c r="E40" s="215">
        <f t="shared" ref="E40:R40" si="6">(1+$B$40)^E38</f>
        <v>1.1671716857674639</v>
      </c>
      <c r="F40" s="215">
        <f t="shared" si="6"/>
        <v>1.2609623376909571</v>
      </c>
      <c r="G40" s="215">
        <f t="shared" si="6"/>
        <v>1.3622897440572634</v>
      </c>
      <c r="H40" s="215">
        <f t="shared" si="6"/>
        <v>1.4717595373720365</v>
      </c>
      <c r="I40" s="215">
        <f t="shared" si="6"/>
        <v>1.5900260170750431</v>
      </c>
      <c r="J40" s="215">
        <f t="shared" si="6"/>
        <v>1.7177960602788627</v>
      </c>
      <c r="K40" s="215">
        <f t="shared" si="6"/>
        <v>1.8558333467636043</v>
      </c>
      <c r="L40" s="215">
        <f t="shared" si="6"/>
        <v>2.0049629234803881</v>
      </c>
      <c r="M40" s="215">
        <f t="shared" si="6"/>
        <v>2.1660761358455503</v>
      </c>
      <c r="N40" s="215">
        <f t="shared" si="6"/>
        <v>2.3401359552998673</v>
      </c>
      <c r="O40" s="215">
        <f t="shared" si="6"/>
        <v>2.528182734975525</v>
      </c>
      <c r="P40" s="215">
        <f t="shared" si="6"/>
        <v>2.7313404278724005</v>
      </c>
      <c r="Q40" s="215">
        <f t="shared" si="6"/>
        <v>2.9508233047095813</v>
      </c>
      <c r="R40" s="215">
        <f t="shared" si="6"/>
        <v>3.1879432116046558</v>
      </c>
      <c r="S40" s="183">
        <f>(1+$B$40)^S38</f>
        <v>3.4441174109598007</v>
      </c>
    </row>
    <row r="41" spans="1:19" s="193" customFormat="1" x14ac:dyDescent="0.25">
      <c r="A41" s="313" t="s">
        <v>529</v>
      </c>
      <c r="B41" s="314"/>
      <c r="C41" s="89"/>
      <c r="D41" s="89">
        <f t="shared" ref="D41:R41" si="7">D39/D40</f>
        <v>7672280566.87012</v>
      </c>
      <c r="E41" s="89">
        <f t="shared" si="7"/>
        <v>8166856877.1130686</v>
      </c>
      <c r="F41" s="89">
        <f t="shared" si="7"/>
        <v>8693314936.7943459</v>
      </c>
      <c r="G41" s="89">
        <f t="shared" si="7"/>
        <v>9253709931.1830406</v>
      </c>
      <c r="H41" s="89">
        <f t="shared" si="7"/>
        <v>9850229528.4440746</v>
      </c>
      <c r="I41" s="89">
        <f t="shared" si="7"/>
        <v>9938148380.5536041</v>
      </c>
      <c r="J41" s="89">
        <f t="shared" si="7"/>
        <v>10026851957.986935</v>
      </c>
      <c r="K41" s="89">
        <f t="shared" si="7"/>
        <v>10116347264.860018</v>
      </c>
      <c r="L41" s="89">
        <f t="shared" si="7"/>
        <v>10206641367.804472</v>
      </c>
      <c r="M41" s="89">
        <f t="shared" si="7"/>
        <v>10297741396.525606</v>
      </c>
      <c r="N41" s="89">
        <f t="shared" si="7"/>
        <v>10389654544.365347</v>
      </c>
      <c r="O41" s="89">
        <f t="shared" si="7"/>
        <v>10482388068.870279</v>
      </c>
      <c r="P41" s="89">
        <f t="shared" si="7"/>
        <v>10575949292.364656</v>
      </c>
      <c r="Q41" s="89">
        <f t="shared" si="7"/>
        <v>10670345602.528624</v>
      </c>
      <c r="R41" s="89">
        <f t="shared" si="7"/>
        <v>10765584452.981527</v>
      </c>
      <c r="S41" s="89">
        <f>S39/((B40-S37)*S40)</f>
        <v>168399697569.888</v>
      </c>
    </row>
    <row r="42" spans="1:19" s="23" customFormat="1" x14ac:dyDescent="0.25">
      <c r="A42" s="315" t="s">
        <v>547</v>
      </c>
      <c r="B42" s="316"/>
      <c r="C42" s="215"/>
      <c r="D42" s="308">
        <f>SUM(D41:H41)</f>
        <v>43636391840.404648</v>
      </c>
      <c r="E42" s="309"/>
      <c r="F42" s="309"/>
      <c r="G42" s="309"/>
      <c r="H42" s="310"/>
      <c r="I42" s="308">
        <f>SUM(I41:R41)</f>
        <v>103469652328.84106</v>
      </c>
      <c r="J42" s="309"/>
      <c r="K42" s="309"/>
      <c r="L42" s="309"/>
      <c r="M42" s="309"/>
      <c r="N42" s="309"/>
      <c r="O42" s="309"/>
      <c r="P42" s="309"/>
      <c r="Q42" s="309"/>
      <c r="R42" s="310"/>
      <c r="S42" s="215">
        <f>S41</f>
        <v>168399697569.888</v>
      </c>
    </row>
    <row r="43" spans="1:19" x14ac:dyDescent="0.25">
      <c r="A43" s="206" t="s">
        <v>545</v>
      </c>
      <c r="B43" s="197">
        <f>D42+I42+S42</f>
        <v>315505741739.13373</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315505741739.13373</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13585000499</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20059833772</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7462160520</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341688415490.13373</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1.4955417435024385E-2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336578322603.76672</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14870000000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22.634722434685052</v>
      </c>
      <c r="C52" s="208">
        <f>$B$52*(1-C51)</f>
        <v>13.58083346081103</v>
      </c>
      <c r="D52" s="208">
        <f>$B$52*(1-D51)</f>
        <v>15.844305704279536</v>
      </c>
      <c r="E52" s="208">
        <f>$B$52*(1-E51)</f>
        <v>18.107777947748044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601006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14870000000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124.87446310999999</v>
      </c>
      <c r="F64" s="168">
        <v>0</v>
      </c>
      <c r="G64" s="166">
        <v>16.47</v>
      </c>
      <c r="H64" s="168">
        <f>G64*D64</f>
        <v>55.997999999999998</v>
      </c>
      <c r="I64" s="168">
        <f>C64*D64</f>
        <v>59.125999999999998</v>
      </c>
      <c r="J64" s="168">
        <f>H64/E64</f>
        <v>0.44843436043983004</v>
      </c>
      <c r="K64" s="168">
        <f>I64/E64</f>
        <v>0.47348351718571002</v>
      </c>
      <c r="L64" s="263">
        <v>0</v>
      </c>
    </row>
    <row r="65" spans="1:12" s="26" customFormat="1" x14ac:dyDescent="0.25">
      <c r="A65" s="179">
        <f>股权价值增加表!I1</f>
        <v>42735</v>
      </c>
      <c r="B65" s="167">
        <v>42543</v>
      </c>
      <c r="C65" s="166">
        <v>23.13</v>
      </c>
      <c r="D65" s="166">
        <v>3.64</v>
      </c>
      <c r="E65" s="168">
        <f>股权价值增加表!I42/100000000</f>
        <v>69.276995209999995</v>
      </c>
      <c r="F65" s="168">
        <f>(E65-E64)/E64*100</f>
        <v>-44.522688238527238</v>
      </c>
      <c r="G65" s="166">
        <v>23.11</v>
      </c>
      <c r="H65" s="168">
        <f t="shared" ref="H65:H66" si="8">G65*D65</f>
        <v>84.120400000000004</v>
      </c>
      <c r="I65" s="168">
        <f t="shared" ref="I65:I66" si="9">C65*D65</f>
        <v>84.193200000000004</v>
      </c>
      <c r="J65" s="168">
        <f t="shared" ref="J65:J66" si="10">H65/E65</f>
        <v>1.2142616714972272</v>
      </c>
      <c r="K65" s="168">
        <f t="shared" ref="K65:K66" si="11">I65/E65</f>
        <v>1.2153125253886139</v>
      </c>
      <c r="L65" s="263">
        <f>K65/F65</f>
        <v>-2.7296476773317476E-2</v>
      </c>
    </row>
    <row r="66" spans="1:12" s="26" customFormat="1" x14ac:dyDescent="0.25">
      <c r="A66" s="179">
        <f>股权价值增加表!E1</f>
        <v>43100</v>
      </c>
      <c r="B66" s="167">
        <v>42872</v>
      </c>
      <c r="C66" s="166">
        <v>16.399999999999999</v>
      </c>
      <c r="D66" s="166">
        <v>9.09</v>
      </c>
      <c r="E66" s="168">
        <f>股权价值增加表!E42/100000000</f>
        <v>127.86153802</v>
      </c>
      <c r="F66" s="168">
        <f t="shared" ref="F66" si="12">(E66-E65)/E65*100</f>
        <v>84.565652179936706</v>
      </c>
      <c r="G66" s="166">
        <v>15.76</v>
      </c>
      <c r="H66" s="168">
        <f t="shared" si="8"/>
        <v>143.25839999999999</v>
      </c>
      <c r="I66" s="168">
        <f t="shared" si="9"/>
        <v>149.07599999999999</v>
      </c>
      <c r="J66" s="168">
        <f t="shared" si="10"/>
        <v>1.1204182447546629</v>
      </c>
      <c r="K66" s="168">
        <f t="shared" si="11"/>
        <v>1.165917462815766</v>
      </c>
      <c r="L66" s="263">
        <f t="shared" ref="L66" si="13">K66/F66</f>
        <v>1.3787127903122602E-2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-96.613524233282178</v>
      </c>
      <c r="G69" s="171">
        <v>10.119999999999999</v>
      </c>
      <c r="H69" s="172">
        <f>G69*D69</f>
        <v>91.990799999999993</v>
      </c>
      <c r="I69" s="172">
        <f>C69*D69</f>
        <v>105.8985</v>
      </c>
      <c r="J69" s="172">
        <f>H69/E69</f>
        <v>21.244988452655885</v>
      </c>
      <c r="K69" s="172">
        <f>I69/E69</f>
        <v>24.456928406466513</v>
      </c>
      <c r="L69" s="266">
        <f>K69/F69</f>
        <v>-0.25314187222290979</v>
      </c>
    </row>
    <row r="70" spans="1:12" s="26" customFormat="1" ht="15" thickBot="1" x14ac:dyDescent="0.3">
      <c r="A70" s="173" t="s">
        <v>626</v>
      </c>
      <c r="B70" s="174">
        <v>43305</v>
      </c>
      <c r="C70" s="175">
        <v>11.65</v>
      </c>
      <c r="D70" s="175">
        <v>9.09</v>
      </c>
      <c r="E70" s="175">
        <v>3.86</v>
      </c>
      <c r="F70" s="176">
        <f>(E70-E66)/E66*100</f>
        <v>-96.981109362694966</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-0.28288854128264551</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2019-02-14T01:35:57Z</dcterms:modified>
</cp:coreProperties>
</file>