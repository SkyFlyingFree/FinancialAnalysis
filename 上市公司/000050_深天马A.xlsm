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45" windowWidth="24795" windowHeight="11670" tabRatio="898" firstSheet="4" activeTab="11"/>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7"/>
  <calcPr calcId="144525"/>
</workbook>
</file>

<file path=xl/calcChain.xml><?xml version="1.0" encoding="utf-8"?>
<calcChain xmlns="http://schemas.openxmlformats.org/spreadsheetml/2006/main">
  <c r="CL27" i="12" l="1"/>
  <c r="F9" i="8" l="1"/>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E9" i="8"/>
  <c r="F53" i="10" l="1"/>
  <c r="F60" i="10" s="1"/>
  <c r="G53" i="10"/>
  <c r="G60" i="10" s="1"/>
  <c r="H53" i="10"/>
  <c r="H60" i="10" s="1"/>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B100" i="11" l="1"/>
  <c r="CB101" i="11" s="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Z6" i="10" l="1"/>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8" i="10" s="1"/>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C26" i="12" s="1"/>
  <c r="AC27" i="12" s="1"/>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53" i="11" s="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53" i="11" s="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BZ32" i="9" s="1"/>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AU32" i="9" s="1"/>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J5" i="12"/>
  <c r="R5" i="12"/>
  <c r="Z5" i="12"/>
  <c r="AH5" i="12"/>
  <c r="AP5" i="12"/>
  <c r="AX5" i="12"/>
  <c r="BF5" i="12"/>
  <c r="BN5" i="12"/>
  <c r="BV5" i="12"/>
  <c r="CD5" i="12"/>
  <c r="CC25" i="12"/>
  <c r="CK25" i="12"/>
  <c r="CK26"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13" i="12"/>
  <c r="BA13" i="12"/>
  <c r="CK18" i="12"/>
  <c r="AE13" i="12"/>
  <c r="X13" i="12"/>
  <c r="BL13" i="12"/>
  <c r="CJ13" i="12"/>
  <c r="Y26" i="12"/>
  <c r="Y27" i="12" s="1"/>
  <c r="CC26" i="12"/>
  <c r="CC27" i="12" s="1"/>
  <c r="R13" i="12"/>
  <c r="Z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CB9" i="10" l="1"/>
  <c r="CC9" i="10"/>
  <c r="D11" i="13"/>
  <c r="D12" i="13" s="1"/>
  <c r="CD74" i="11"/>
  <c r="CH27" i="12"/>
  <c r="CH28" i="12" s="1"/>
  <c r="CI27" i="12"/>
  <c r="CI28" i="12" s="1"/>
  <c r="CK27" i="12"/>
  <c r="CK28" i="12" s="1"/>
  <c r="CJ27" i="12"/>
  <c r="CF28" i="12" s="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AM29" i="9" l="1"/>
  <c r="CA29" i="9"/>
  <c r="CJ28" i="12"/>
  <c r="BP5" i="8"/>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R5" i="11" s="1"/>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R50" i="10" l="1"/>
  <c r="CH13" i="11"/>
  <c r="CD49" i="10"/>
  <c r="BY49" i="10"/>
  <c r="AP49" i="10"/>
  <c r="J49" i="10"/>
  <c r="AT13" i="11"/>
  <c r="BB4" i="11"/>
  <c r="CH23" i="10"/>
  <c r="CH24" i="10" s="1"/>
  <c r="BB12" i="11"/>
  <c r="BB14" i="11"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BB13" i="8"/>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F1" i="13" l="1"/>
  <c r="D8" i="13" s="1"/>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<sst xmlns="http://schemas.openxmlformats.org/spreadsheetml/2006/main" count="1039" uniqueCount="752">
  <si>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</si>
  <si>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</si>
  <si>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</si>
  <si>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</si>
  <si>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</si>
  <si>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</si>
  <si>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</si>
  <si>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</si>
  <si>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</si>
  <si>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</si>
  <si>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</si>
  <si>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</si>
  <si>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</si>
  <si>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</si>
  <si>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</si>
  <si>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</si>
  <si>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</si>
  <si>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</si>
  <si>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</si>
  <si>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</si>
  <si>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</si>
  <si>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</si>
  <si>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</si>
  <si>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</si>
  <si>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</si>
  <si>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</si>
  <si>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</si>
  <si>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</si>
  <si>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</si>
  <si>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</si>
  <si>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</si>
  <si>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</si>
  <si>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</si>
  <si>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</si>
  <si>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</si>
  <si>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</si>
  <si>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</si>
  <si>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</si>
  <si>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</si>
  <si>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</si>
  <si>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</si>
  <si>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</si>
  <si>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</si>
  <si>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</si>
  <si>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</si>
  <si>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</si>
  <si>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</si>
  <si>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</si>
  <si>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</si>
  <si>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</si>
  <si>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</si>
  <si>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</si>
  <si>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</si>
  <si>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</si>
  <si>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</si>
  <si>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</si>
  <si>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</si>
  <si>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</si>
  <si>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</si>
  <si>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</si>
  <si>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</si>
  <si>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</si>
  <si>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</si>
  <si>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</si>
  <si>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</si>
  <si>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</si>
  <si>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</si>
  <si>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</si>
  <si>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</si>
  <si>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</si>
  <si>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</si>
  <si>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</si>
  <si>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</si>
  <si>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</si>
  <si>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</si>
  <si>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</si>
  <si>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</si>
  <si>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</si>
  <si>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</si>
  <si>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</si>
  <si>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</si>
  <si>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</si>
  <si>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</si>
  <si>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</si>
  <si>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</si>
  <si>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</si>
  <si>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</si>
  <si>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</si>
  <si>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</si>
  <si>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</si>
  <si>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</si>
  <si>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</si>
  <si>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</si>
  <si>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</si>
  <si>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</si>
  <si>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</si>
  <si>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</si>
  <si>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</si>
  <si>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</si>
  <si>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</si>
  <si>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</si>
  <si>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</si>
  <si>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</si>
  <si>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</si>
  <si>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</si>
  <si>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</si>
  <si>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</si>
  <si>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</si>
  <si>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</si>
  <si>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</si>
  <si>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</si>
  <si>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</si>
  <si>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</si>
  <si>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</si>
  <si>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</si>
  <si>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</si>
  <si>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</si>
  <si>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</si>
  <si>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</si>
  <si>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</si>
  <si>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</si>
  <si>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</si>
  <si>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</si>
  <si>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</si>
  <si>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</si>
  <si>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</si>
  <si>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</si>
  <si>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</si>
  <si>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</si>
  <si>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</si>
  <si>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</si>
  <si>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</si>
  <si>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</si>
  <si>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</si>
  <si>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</si>
  <si>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</si>
  <si>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</si>
  <si>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</si>
  <si>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</si>
  <si>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</si>
  <si>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</si>
  <si>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</si>
  <si>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</si>
  <si>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</si>
  <si>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</si>
  <si>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</si>
  <si>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</si>
  <si>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</si>
  <si>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</si>
  <si>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</si>
  <si>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</si>
  <si>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</si>
  <si>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</si>
  <si>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</si>
  <si>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</si>
  <si>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</si>
  <si>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</si>
  <si>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</si>
  <si>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</si>
  <si>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</si>
  <si>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</si>
  <si>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</si>
  <si>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</si>
  <si>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</si>
  <si>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</si>
  <si>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</si>
  <si>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</si>
  <si>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</si>
  <si>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</si>
  <si>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</si>
  <si>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</si>
  <si>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</si>
  <si>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</si>
  <si>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</si>
  <si>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</si>
  <si>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</si>
  <si>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</si>
  <si>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</si>
  <si>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</si>
  <si>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</si>
  <si>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</si>
  <si>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</si>
  <si>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</si>
  <si>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</si>
  <si>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</si>
  <si>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</si>
  <si>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</si>
  <si>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</si>
  <si>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</si>
  <si>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</si>
  <si>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</si>
  <si>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</si>
  <si>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</si>
  <si>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</si>
  <si>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</si>
  <si>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</si>
  <si>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</si>
  <si>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</si>
  <si>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</si>
  <si>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</si>
  <si>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</si>
  <si>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</si>
  <si>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</si>
  <si>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</si>
  <si>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</si>
  <si>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</si>
  <si>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</si>
  <si>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</si>
  <si>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</si>
  <si>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</si>
  <si>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</si>
  <si>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</si>
  <si>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</si>
  <si>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</si>
  <si>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</si>
  <si>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</si>
  <si>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</si>
  <si>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</si>
  <si>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</si>
  <si>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</si>
  <si>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</si>
  <si>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</si>
  <si>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</si>
  <si>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</si>
  <si>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</si>
  <si>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</si>
  <si>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</si>
  <si>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</si>
  <si>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</si>
  <si>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</si>
  <si>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</si>
  <si>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</si>
  <si>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</si>
  <si>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</si>
  <si>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</si>
  <si>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</si>
  <si>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</si>
  <si>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</si>
  <si>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</si>
  <si>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</si>
  <si>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</si>
  <si>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</si>
  <si>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</si>
  <si>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</si>
  <si>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</si>
  <si>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</si>
  <si>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</si>
  <si>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</si>
  <si>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</si>
  <si>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</si>
  <si>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</si>
  <si>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</si>
  <si>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</si>
  <si>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</si>
  <si>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</si>
  <si>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</si>
  <si>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</si>
  <si>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</si>
  <si>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</si>
  <si>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</si>
  <si>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</si>
  <si>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</si>
  <si>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</si>
  <si>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</si>
  <si>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</si>
  <si>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</si>
  <si>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</si>
  <si>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</si>
  <si>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</si>
  <si>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</si>
  <si>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</si>
  <si>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</si>
  <si>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</si>
  <si>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</si>
  <si>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</si>
  <si>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</si>
  <si>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</si>
  <si>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</si>
  <si>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</si>
  <si>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</si>
  <si>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</si>
  <si>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</si>
  <si>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</si>
  <si>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</si>
  <si>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</si>
  <si>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</si>
  <si>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</si>
  <si>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</si>
  <si>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</si>
  <si>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</si>
  <si>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</si>
  <si>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</si>
  <si>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</si>
  <si>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</si>
  <si>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</si>
  <si>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</si>
  <si>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</si>
  <si>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</si>
  <si>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</si>
  <si>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</si>
  <si>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</si>
  <si>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</si>
  <si>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</si>
  <si>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</si>
  <si>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</si>
  <si>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</si>
  <si>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</si>
  <si>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</si>
  <si>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</si>
  <si>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</si>
  <si>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</si>
  <si>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</si>
  <si>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</si>
  <si>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</si>
  <si>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</si>
  <si>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</si>
  <si>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</si>
  <si>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</si>
  <si>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</si>
  <si>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</si>
  <si>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</si>
  <si>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</si>
  <si>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</si>
  <si>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</si>
  <si>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</si>
  <si>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</si>
  <si>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</si>
  <si>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</si>
  <si>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</si>
  <si>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</si>
  <si>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</si>
  <si>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</si>
  <si>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</si>
  <si>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</si>
  <si>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</si>
  <si>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</si>
  <si>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</si>
  <si>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</si>
  <si>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</si>
  <si>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</si>
  <si>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</si>
  <si>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</si>
  <si>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</si>
  <si>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</si>
  <si>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</si>
  <si>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</si>
  <si>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</si>
  <si>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</si>
  <si>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</si>
  <si>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</si>
  <si>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</si>
  <si>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</si>
  <si>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</si>
  <si>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</si>
  <si>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</si>
  <si>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</si>
  <si>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</si>
  <si>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</si>
  <si>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</si>
  <si>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</si>
  <si>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</si>
  <si>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</si>
  <si>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</si>
  <si>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</si>
  <si>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</si>
  <si>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</si>
  <si>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</si>
  <si>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</si>
  <si>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</si>
  <si>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</si>
  <si>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</si>
  <si>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</si>
  <si>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</si>
  <si>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</si>
  <si>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</si>
  <si>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</si>
  <si>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</si>
  <si>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</si>
  <si>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</si>
  <si>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</si>
  <si>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</si>
  <si>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</si>
  <si>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</si>
  <si>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</si>
  <si>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</si>
  <si>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</si>
  <si>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</si>
  <si>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</si>
  <si>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</si>
  <si>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</si>
  <si>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</si>
  <si>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</si>
  <si>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</si>
  <si>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</si>
  <si>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</si>
  <si>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</si>
  <si>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</si>
  <si>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</si>
  <si>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</si>
  <si>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</si>
  <si>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</si>
  <si>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</si>
  <si>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</si>
  <si>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</si>
  <si>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</si>
  <si>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</si>
  <si>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</si>
  <si>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</si>
  <si>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</si>
  <si>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</si>
  <si>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</si>
  <si>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</si>
  <si>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</si>
  <si>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</si>
  <si>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</si>
  <si>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</si>
  <si>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</si>
  <si>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</si>
  <si>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</si>
  <si>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</si>
  <si>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</si>
  <si>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</si>
  <si>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</si>
  <si>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</si>
  <si>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</si>
  <si>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</si>
  <si>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</si>
  <si>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</si>
  <si>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</si>
  <si>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</si>
  <si>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</si>
  <si>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</si>
  <si>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</si>
  <si>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</si>
  <si>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</si>
  <si>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</si>
  <si>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</si>
  <si>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</si>
  <si>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</si>
  <si>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</si>
  <si>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</si>
  <si>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</si>
  <si>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</si>
  <si>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</si>
  <si>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</si>
  <si>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</si>
  <si>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</si>
  <si>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</si>
  <si>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</si>
  <si>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</si>
  <si>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</si>
  <si>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</si>
  <si>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</si>
  <si>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</si>
  <si>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</si>
  <si>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</si>
  <si>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</si>
  <si>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</si>
  <si>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</si>
  <si>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</si>
  <si>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</si>
  <si>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</si>
  <si>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</si>
  <si>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</si>
  <si>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</si>
  <si>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</si>
  <si>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</si>
  <si>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</si>
  <si>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</si>
  <si>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</si>
  <si>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</si>
  <si>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</si>
  <si>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</si>
  <si>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</si>
  <si>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</si>
  <si>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</si>
  <si>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</si>
  <si>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</si>
  <si>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</si>
  <si>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</si>
  <si>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</si>
  <si>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</si>
  <si>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</si>
  <si>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</si>
  <si>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</si>
  <si>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</si>
  <si>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</si>
  <si>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</si>
  <si>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</si>
  <si>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</si>
  <si>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</si>
  <si>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</si>
  <si>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</si>
  <si>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</si>
  <si>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</si>
  <si>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</si>
  <si>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</si>
  <si>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</si>
  <si>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</si>
  <si>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</si>
  <si>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</si>
  <si>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</si>
  <si>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</si>
  <si>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</si>
  <si>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</si>
  <si>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</si>
  <si>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</si>
  <si>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</si>
  <si>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</si>
  <si>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</si>
  <si>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</si>
  <si>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</si>
  <si>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</si>
  <si>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</si>
  <si>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</si>
  <si>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</si>
  <si>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</si>
  <si>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</si>
  <si>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</si>
  <si>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</si>
  <si>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</si>
  <si>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</si>
  <si>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</si>
  <si>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</si>
  <si>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</si>
  <si>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</si>
  <si>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</si>
  <si>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</si>
  <si>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</si>
  <si>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</si>
  <si>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</si>
  <si>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</si>
  <si>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</si>
  <si>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</si>
  <si>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</si>
  <si>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</si>
  <si>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</si>
  <si>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</si>
  <si>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</si>
  <si>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</si>
  <si>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</si>
  <si>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</si>
  <si>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</si>
  <si>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</si>
  <si>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</si>
  <si>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</si>
  <si>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</si>
  <si>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</si>
  <si>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</si>
  <si>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</si>
  <si>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</si>
  <si>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</si>
  <si>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</si>
  <si>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</si>
  <si>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</si>
  <si>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</si>
  <si>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</si>
  <si>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</si>
  <si>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</si>
  <si>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</si>
  <si>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</si>
  <si>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</si>
  <si>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</si>
  <si>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</si>
  <si>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</si>
  <si>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</si>
  <si>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</si>
  <si>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</si>
  <si>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</si>
  <si>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</si>
  <si>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</si>
  <si>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</si>
  <si>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</si>
  <si>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</si>
  <si>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</si>
  <si>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</si>
  <si>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</si>
  <si>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</si>
  <si>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</si>
  <si>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</si>
  <si>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</si>
  <si>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</si>
  <si>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</si>
  <si>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</si>
  <si>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</si>
  <si>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</si>
  <si>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</si>
  <si>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</si>
  <si>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</si>
  <si>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</si>
  <si>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</si>
  <si>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</si>
  <si>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</si>
  <si>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</si>
  <si>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</si>
  <si>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</si>
  <si>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</si>
  <si>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</si>
  <si>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</si>
  <si>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</si>
  <si>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</si>
  <si>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</si>
  <si>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</si>
  <si>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</si>
  <si>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</si>
  <si>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</si>
  <si>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</si>
  <si>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</si>
  <si>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</si>
  <si>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</si>
  <si>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</si>
  <si>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</si>
  <si>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</si>
  <si>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</si>
  <si>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</si>
  <si>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</si>
  <si>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</si>
  <si>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</si>
  <si>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</si>
  <si>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</si>
  <si>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</si>
  <si>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</si>
  <si>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</si>
  <si>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</si>
  <si>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</si>
  <si>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</si>
  <si>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</si>
  <si>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</si>
  <si>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</si>
  <si>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</si>
  <si>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</si>
  <si>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</si>
  <si>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</si>
  <si>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</si>
  <si>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</si>
  <si>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</si>
  <si>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</si>
  <si>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</si>
  <si>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</si>
  <si>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</si>
  <si>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</si>
  <si>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</si>
  <si>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</si>
  <si>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</si>
  <si>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</si>
  <si>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</si>
  <si>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</si>
  <si>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</si>
  <si>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</si>
  <si>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</si>
  <si>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</si>
  <si>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</si>
  <si>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</si>
  <si>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</si>
  <si>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</si>
  <si>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</si>
  <si>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</si>
  <si>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</si>
  <si>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</si>
  <si>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</si>
  <si>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</si>
  <si>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</si>
  <si>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</si>
  <si>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</si>
  <si>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</si>
  <si>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</si>
  <si>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</si>
  <si>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</si>
  <si>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</si>
  <si>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</si>
  <si>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</si>
  <si>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</si>
  <si>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</si>
  <si>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</si>
  <si>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</si>
  <si>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</si>
  <si>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</si>
  <si>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</si>
  <si>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</si>
  <si>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</si>
  <si>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</si>
  <si>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</si>
  <si>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</si>
  <si>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</si>
  <si>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</si>
  <si>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</si>
  <si>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</si>
  <si>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</si>
  <si>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</si>
  <si>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</si>
  <si>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</si>
  <si>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</si>
  <si>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</si>
  <si>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</si>
  <si>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</si>
  <si>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</si>
  <si>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</si>
  <si>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</si>
  <si>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</si>
  <si>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</si>
  <si>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</si>
  <si>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</si>
  <si>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</si>
  <si>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</si>
  <si>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</si>
  <si>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</si>
  <si>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</si>
  <si>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</si>
  <si>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</si>
  <si>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</si>
  <si>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</si>
  <si>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</si>
  <si>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</si>
  <si>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</si>
  <si>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</si>
  <si>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</si>
  <si>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</si>
  <si>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</si>
  <si>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</si>
  <si>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</si>
  <si>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</si>
  <si>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</si>
  <si>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</si>
  <si>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</si>
  <si>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</si>
  <si>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</si>
  <si>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</si>
  <si>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</si>
  <si>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</si>
  <si>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</si>
  <si>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</si>
  <si>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</si>
  <si>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</si>
  <si>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</si>
  <si>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</si>
  <si>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</si>
  <si>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</si>
  <si>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</si>
  <si>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</si>
  <si>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</si>
  <si>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</si>
  <si>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</si>
  <si>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</si>
  <si>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</si>
  <si>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</si>
  <si>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</si>
  <si>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</si>
  <si>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</si>
  <si>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</si>
  <si>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WACC</t>
    <phoneticPr fontId="1" type="noConversion"/>
  </si>
  <si>
    <t>股权资本成本</t>
    <phoneticPr fontId="1" type="noConversion"/>
  </si>
  <si>
    <t>自由现金流=经营活动现金流量净额-保全性资本支出=(11)-(19) 
自由现金流=经营活动现金流量净额-资产折旧-资产推销-资产损失 
自由现金流=经营活动现金流量净额-保全性资本支出 + 比基期增加的扩张性营运现金支出（对于扩张公司，自由现金流=经营活动现金流量净额） =E14</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</si>
</sst>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_ "/>
    <numFmt numFmtId="178" formatCode="0.00_ "/>
    <numFmt numFmtId="179" formatCode="#,##0.00_ "/>
    <numFmt numFmtId="180" formatCode="0.00000000000000_ "/>
  </numFmts>
  <fonts count="3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7">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49" fontId="26" fillId="6" borderId="0" xfId="0" applyNumberFormat="1" applyFont="1" applyFill="1" applyAlignment="1">
      <alignment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0.20849252324296599</c:v>
                </c:pt>
                <c:pt idx="1">
                  <c:v>0.20183169552194355</c:v>
                </c:pt>
                <c:pt idx="2">
                  <c:v>0.16336930465166327</c:v>
                </c:pt>
                <c:pt idx="3">
                  <c:v>0.1865292913145058</c:v>
                </c:pt>
                <c:pt idx="4">
                  <c:v>0.18144844376417585</c:v>
                </c:pt>
                <c:pt idx="5">
                  <c:v>0.14366509426808874</c:v>
                </c:pt>
              </c:numCache>
            </c:numRef>
          </c:val>
          <c:smooth val="0"/>
          <c:extLst xmlns:c16r2="http://schemas.microsoft.com/office/drawing/2015/06/char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186636800"/>
        <c:axId val="212065024"/>
      </c:lineChart>
      <c:catAx>
        <c:axId val="186636800"/>
        <c:scaling>
          <c:orientation val="minMax"/>
        </c:scaling>
        <c:delete val="0"/>
        <c:axPos val="b"/>
        <c:majorTickMark val="out"/>
        <c:minorTickMark val="none"/>
        <c:tickLblPos val="nextTo"/>
        <c:crossAx val="212065024"/>
        <c:crosses val="autoZero"/>
        <c:auto val="1"/>
        <c:lblAlgn val="ctr"/>
        <c:lblOffset val="100"/>
        <c:noMultiLvlLbl val="0"/>
      </c:catAx>
      <c:valAx>
        <c:axId val="212065024"/>
        <c:scaling>
          <c:orientation val="minMax"/>
        </c:scaling>
        <c:delete val="0"/>
        <c:axPos val="l"/>
        <c:majorGridlines/>
        <c:numFmt formatCode="0.00%" sourceLinked="1"/>
        <c:majorTickMark val="out"/>
        <c:minorTickMark val="none"/>
        <c:tickLblPos val="nextTo"/>
        <c:crossAx val="18663680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2.9027433363361686E-2</c:v>
                </c:pt>
                <c:pt idx="1">
                  <c:v>4.338981856075521E-2</c:v>
                </c:pt>
                <c:pt idx="2">
                  <c:v>5.2760214040185778E-2</c:v>
                </c:pt>
                <c:pt idx="3">
                  <c:v>9.0737584285856168E-2</c:v>
                </c:pt>
                <c:pt idx="4">
                  <c:v>7.9445022175882687E-2</c:v>
                </c:pt>
                <c:pt idx="5">
                  <c:v>6.7140616865496813E-2</c:v>
                </c:pt>
              </c:numCache>
            </c:numRef>
          </c:val>
          <c:smooth val="0"/>
          <c:extLst xmlns:c16r2="http://schemas.microsoft.com/office/drawing/2015/06/char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187976192"/>
        <c:axId val="187245120"/>
      </c:lineChart>
      <c:catAx>
        <c:axId val="187976192"/>
        <c:scaling>
          <c:orientation val="minMax"/>
        </c:scaling>
        <c:delete val="0"/>
        <c:axPos val="b"/>
        <c:majorTickMark val="out"/>
        <c:minorTickMark val="none"/>
        <c:tickLblPos val="nextTo"/>
        <c:crossAx val="187245120"/>
        <c:crosses val="autoZero"/>
        <c:auto val="1"/>
        <c:lblAlgn val="ctr"/>
        <c:lblOffset val="100"/>
        <c:noMultiLvlLbl val="0"/>
      </c:catAx>
      <c:valAx>
        <c:axId val="187245120"/>
        <c:scaling>
          <c:orientation val="minMax"/>
        </c:scaling>
        <c:delete val="0"/>
        <c:axPos val="l"/>
        <c:majorGridlines/>
        <c:numFmt formatCode="0.00%" sourceLinked="1"/>
        <c:majorTickMark val="out"/>
        <c:minorTickMark val="none"/>
        <c:tickLblPos val="nextTo"/>
        <c:crossAx val="187976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3.5940497379021073E-2</c:v>
                </c:pt>
                <c:pt idx="1">
                  <c:v>7.2455136132914905E-2</c:v>
                </c:pt>
                <c:pt idx="2">
                  <c:v>6.8349487446913215E-2</c:v>
                </c:pt>
                <c:pt idx="3">
                  <c:v>9.845202258534283E-2</c:v>
                </c:pt>
                <c:pt idx="4">
                  <c:v>9.4211155396463533E-2</c:v>
                </c:pt>
                <c:pt idx="5">
                  <c:v>7.4206309839310342E-2</c:v>
                </c:pt>
              </c:numCache>
            </c:numRef>
          </c:val>
          <c:smooth val="0"/>
          <c:extLst xmlns:c16r2="http://schemas.microsoft.com/office/drawing/2015/06/char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2.2384158186068408E-2</c:v>
                </c:pt>
                <c:pt idx="1">
                  <c:v>6.2495462088271655E-2</c:v>
                </c:pt>
                <c:pt idx="2">
                  <c:v>6.3176025856512941E-2</c:v>
                </c:pt>
                <c:pt idx="3">
                  <c:v>8.4283787535342602E-2</c:v>
                </c:pt>
                <c:pt idx="4">
                  <c:v>8.3165099978801171E-2</c:v>
                </c:pt>
                <c:pt idx="5">
                  <c:v>6.7466604131011812E-2</c:v>
                </c:pt>
              </c:numCache>
            </c:numRef>
          </c:val>
          <c:smooth val="0"/>
          <c:extLst xmlns:c16r2="http://schemas.microsoft.com/office/drawing/2015/06/char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1.7585286231596376E-2</c:v>
                </c:pt>
                <c:pt idx="1">
                  <c:v>8.1726479059810953E-2</c:v>
                </c:pt>
                <c:pt idx="2">
                  <c:v>6.4172160227448774E-2</c:v>
                </c:pt>
                <c:pt idx="3">
                  <c:v>7.6314438960315659E-2</c:v>
                </c:pt>
                <c:pt idx="4">
                  <c:v>6.2594285312619791E-2</c:v>
                </c:pt>
                <c:pt idx="5">
                  <c:v>3.1811035800109529E-2</c:v>
                </c:pt>
              </c:numCache>
            </c:numRef>
          </c:val>
          <c:smooth val="0"/>
          <c:extLst xmlns:c16r2="http://schemas.microsoft.com/office/drawing/2015/06/char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1.1499091152902433E-2</c:v>
                </c:pt>
                <c:pt idx="1">
                  <c:v>7.0187165852732436E-2</c:v>
                </c:pt>
                <c:pt idx="2">
                  <c:v>5.9198253441971285E-2</c:v>
                </c:pt>
                <c:pt idx="3">
                  <c:v>6.6882601366927905E-2</c:v>
                </c:pt>
                <c:pt idx="4">
                  <c:v>5.5056818562891865E-2</c:v>
                </c:pt>
                <c:pt idx="5">
                  <c:v>2.9004513247204513E-2</c:v>
                </c:pt>
              </c:numCache>
            </c:numRef>
          </c:val>
          <c:smooth val="0"/>
          <c:extLst xmlns:c16r2="http://schemas.microsoft.com/office/drawing/2015/06/char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187977216"/>
        <c:axId val="187246848"/>
      </c:lineChart>
      <c:catAx>
        <c:axId val="187977216"/>
        <c:scaling>
          <c:orientation val="minMax"/>
        </c:scaling>
        <c:delete val="0"/>
        <c:axPos val="b"/>
        <c:majorTickMark val="out"/>
        <c:minorTickMark val="none"/>
        <c:tickLblPos val="nextTo"/>
        <c:crossAx val="187246848"/>
        <c:crosses val="autoZero"/>
        <c:auto val="1"/>
        <c:lblAlgn val="ctr"/>
        <c:lblOffset val="100"/>
        <c:noMultiLvlLbl val="0"/>
      </c:catAx>
      <c:valAx>
        <c:axId val="187246848"/>
        <c:scaling>
          <c:orientation val="minMax"/>
        </c:scaling>
        <c:delete val="0"/>
        <c:axPos val="l"/>
        <c:majorGridlines/>
        <c:numFmt formatCode="0.00%" sourceLinked="1"/>
        <c:majorTickMark val="out"/>
        <c:minorTickMark val="none"/>
        <c:tickLblPos val="nextTo"/>
        <c:crossAx val="187977216"/>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xmlns:c16r2="http://schemas.microsoft.com/office/drawing/2015/06/char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xmlns:c16r2="http://schemas.microsoft.com/office/drawing/2015/06/char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xmlns:c16r2="http://schemas.microsoft.com/office/drawing/2015/06/char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892487127.13999999</c:v>
                </c:pt>
              </c:numCache>
            </c:numRef>
          </c:val>
          <c:extLst xmlns:c16r2="http://schemas.microsoft.com/office/drawing/2015/06/char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xmlns:c16r2="http://schemas.microsoft.com/office/drawing/2015/06/char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xmlns:c16r2="http://schemas.microsoft.com/office/drawing/2015/06/char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xmlns:c16r2="http://schemas.microsoft.com/office/drawing/2015/06/char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693072188.64999998</c:v>
                </c:pt>
              </c:numCache>
            </c:numRef>
          </c:val>
          <c:extLst xmlns:c16r2="http://schemas.microsoft.com/office/drawing/2015/06/char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xmlns:c16r2="http://schemas.microsoft.com/office/drawing/2015/06/char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xmlns:c16r2="http://schemas.microsoft.com/office/drawing/2015/06/char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xmlns:c16r2="http://schemas.microsoft.com/office/drawing/2015/06/char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607948426</c:v>
                </c:pt>
              </c:numCache>
            </c:numRef>
          </c:val>
          <c:extLst xmlns:c16r2="http://schemas.microsoft.com/office/drawing/2015/06/char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xmlns:c16r2="http://schemas.microsoft.com/office/drawing/2015/06/char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xmlns:c16r2="http://schemas.microsoft.com/office/drawing/2015/06/char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xmlns:c16r2="http://schemas.microsoft.com/office/drawing/2015/06/char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774857641</c:v>
                </c:pt>
              </c:numCache>
            </c:numRef>
          </c:val>
          <c:extLst xmlns:c16r2="http://schemas.microsoft.com/office/drawing/2015/06/char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xmlns:c16r2="http://schemas.microsoft.com/office/drawing/2015/06/char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xmlns:c16r2="http://schemas.microsoft.com/office/drawing/2015/06/char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xmlns:c16r2="http://schemas.microsoft.com/office/drawing/2015/06/char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319603052</c:v>
                </c:pt>
              </c:numCache>
            </c:numRef>
          </c:val>
          <c:extLst xmlns:c16r2="http://schemas.microsoft.com/office/drawing/2015/06/char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xmlns:c16r2="http://schemas.microsoft.com/office/drawing/2015/06/char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xmlns:c16r2="http://schemas.microsoft.com/office/drawing/2015/06/char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xmlns:c16r2="http://schemas.microsoft.com/office/drawing/2015/06/char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149723022</c:v>
                </c:pt>
              </c:numCache>
            </c:numRef>
          </c:val>
          <c:extLst xmlns:c16r2="http://schemas.microsoft.com/office/drawing/2015/06/char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188376576"/>
        <c:axId val="187249152"/>
      </c:barChart>
      <c:catAx>
        <c:axId val="188376576"/>
        <c:scaling>
          <c:orientation val="minMax"/>
        </c:scaling>
        <c:delete val="0"/>
        <c:axPos val="b"/>
        <c:numFmt formatCode="General" sourceLinked="1"/>
        <c:majorTickMark val="out"/>
        <c:minorTickMark val="none"/>
        <c:tickLblPos val="nextTo"/>
        <c:crossAx val="187249152"/>
        <c:crosses val="autoZero"/>
        <c:auto val="1"/>
        <c:lblAlgn val="ctr"/>
        <c:lblOffset val="100"/>
        <c:noMultiLvlLbl val="0"/>
      </c:catAx>
      <c:valAx>
        <c:axId val="187249152"/>
        <c:scaling>
          <c:orientation val="minMax"/>
        </c:scaling>
        <c:delete val="0"/>
        <c:axPos val="l"/>
        <c:majorGridlines/>
        <c:numFmt formatCode="General" sourceLinked="1"/>
        <c:majorTickMark val="out"/>
        <c:minorTickMark val="none"/>
        <c:tickLblPos val="nextTo"/>
        <c:crossAx val="18837657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-996852751.32279968</c:v>
                </c:pt>
                <c:pt idx="1">
                  <c:v>-347134257.01639938</c:v>
                </c:pt>
                <c:pt idx="2">
                  <c:v>-436508964</c:v>
                </c:pt>
                <c:pt idx="3">
                  <c:v>-61385339.960000038</c:v>
                </c:pt>
                <c:pt idx="4">
                  <c:v>-14035399.960000008</c:v>
                </c:pt>
                <c:pt idx="5">
                  <c:v>-118796614.28</c:v>
                </c:pt>
              </c:numCache>
            </c:numRef>
          </c:val>
          <c:extLst xmlns:c16r2="http://schemas.microsoft.com/office/drawing/2015/06/char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188378624"/>
        <c:axId val="188571648"/>
      </c:barChart>
      <c:catAx>
        <c:axId val="188378624"/>
        <c:scaling>
          <c:orientation val="minMax"/>
        </c:scaling>
        <c:delete val="0"/>
        <c:axPos val="b"/>
        <c:majorTickMark val="out"/>
        <c:minorTickMark val="none"/>
        <c:tickLblPos val="nextTo"/>
        <c:crossAx val="188571648"/>
        <c:crosses val="autoZero"/>
        <c:auto val="1"/>
        <c:lblAlgn val="ctr"/>
        <c:lblOffset val="100"/>
        <c:noMultiLvlLbl val="0"/>
      </c:catAx>
      <c:valAx>
        <c:axId val="188571648"/>
        <c:scaling>
          <c:orientation val="minMax"/>
        </c:scaling>
        <c:delete val="0"/>
        <c:axPos val="l"/>
        <c:majorGridlines/>
        <c:numFmt formatCode="#,##0.00_ " sourceLinked="1"/>
        <c:majorTickMark val="out"/>
        <c:minorTickMark val="none"/>
        <c:tickLblPos val="nextTo"/>
        <c:crossAx val="18837862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xmlns:c16r2="http://schemas.microsoft.com/office/drawing/2015/06/char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xmlns:c16r2="http://schemas.microsoft.com/office/drawing/2015/06/char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xmlns:c16r2="http://schemas.microsoft.com/office/drawing/2015/06/char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14474797146.66</c:v>
                </c:pt>
              </c:numCache>
            </c:numRef>
          </c:val>
          <c:extLst xmlns:c16r2="http://schemas.microsoft.com/office/drawing/2015/06/char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xmlns:c16r2="http://schemas.microsoft.com/office/drawing/2015/06/char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xmlns:c16r2="http://schemas.microsoft.com/office/drawing/2015/06/char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xmlns:c16r2="http://schemas.microsoft.com/office/drawing/2015/06/char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13758959516.58</c:v>
                </c:pt>
              </c:numCache>
            </c:numRef>
          </c:val>
          <c:extLst xmlns:c16r2="http://schemas.microsoft.com/office/drawing/2015/06/char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xmlns:c16r2="http://schemas.microsoft.com/office/drawing/2015/06/char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xmlns:c16r2="http://schemas.microsoft.com/office/drawing/2015/06/char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xmlns:c16r2="http://schemas.microsoft.com/office/drawing/2015/06/char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13248334175</c:v>
                </c:pt>
              </c:numCache>
            </c:numRef>
          </c:val>
          <c:extLst xmlns:c16r2="http://schemas.microsoft.com/office/drawing/2015/06/char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xmlns:c16r2="http://schemas.microsoft.com/office/drawing/2015/06/char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xmlns:c16r2="http://schemas.microsoft.com/office/drawing/2015/06/char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xmlns:c16r2="http://schemas.microsoft.com/office/drawing/2015/06/char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8561115637</c:v>
                </c:pt>
              </c:numCache>
            </c:numRef>
          </c:val>
          <c:extLst xmlns:c16r2="http://schemas.microsoft.com/office/drawing/2015/06/char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xmlns:c16r2="http://schemas.microsoft.com/office/drawing/2015/06/char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xmlns:c16r2="http://schemas.microsoft.com/office/drawing/2015/06/char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xmlns:c16r2="http://schemas.microsoft.com/office/drawing/2015/06/char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3285724462</c:v>
                </c:pt>
              </c:numCache>
            </c:numRef>
          </c:val>
          <c:extLst xmlns:c16r2="http://schemas.microsoft.com/office/drawing/2015/06/char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xmlns:c16r2="http://schemas.microsoft.com/office/drawing/2015/06/char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xmlns:c16r2="http://schemas.microsoft.com/office/drawing/2015/06/char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xmlns:c16r2="http://schemas.microsoft.com/office/drawing/2015/06/char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3056111991</c:v>
                </c:pt>
              </c:numCache>
            </c:numRef>
          </c:val>
          <c:extLst xmlns:c16r2="http://schemas.microsoft.com/office/drawing/2015/06/char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188654080"/>
        <c:axId val="188573376"/>
      </c:barChart>
      <c:catAx>
        <c:axId val="188654080"/>
        <c:scaling>
          <c:orientation val="minMax"/>
        </c:scaling>
        <c:delete val="0"/>
        <c:axPos val="b"/>
        <c:numFmt formatCode="General" sourceLinked="0"/>
        <c:majorTickMark val="out"/>
        <c:minorTickMark val="none"/>
        <c:tickLblPos val="nextTo"/>
        <c:crossAx val="188573376"/>
        <c:crosses val="autoZero"/>
        <c:auto val="1"/>
        <c:lblAlgn val="ctr"/>
        <c:lblOffset val="100"/>
        <c:noMultiLvlLbl val="0"/>
      </c:catAx>
      <c:valAx>
        <c:axId val="188573376"/>
        <c:scaling>
          <c:orientation val="minMax"/>
        </c:scaling>
        <c:delete val="0"/>
        <c:axPos val="l"/>
        <c:majorGridlines/>
        <c:numFmt formatCode="General" sourceLinked="1"/>
        <c:majorTickMark val="out"/>
        <c:minorTickMark val="none"/>
        <c:tickLblPos val="nextTo"/>
        <c:crossAx val="188654080"/>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1"/>
                <c:pt idx="0">
                  <c:v>(10)期初长期资产净值 12,023,246,434.97  11,130,000,545.08  10,462,812,737.00  10,256,069,023.73  10,141,366,533.00  10,162,599,299.25  10,167,654,347.00  10,122,096,711.22  10,281,957,339.00  10,215,860,721.41  5,096,722,599.00  5,052,159,840.80  5,136,257,988.00</c:v>
                </c:pt>
              </c:strCache>
            </c:strRef>
          </c:tx>
          <c:invertIfNegative val="0"/>
          <c:cat>
            <c:numRef>
              <c:f>投资和筹资活动现金流表!$E$12</c:f>
              <c:numCache>
                <c:formatCode>#,##0.00_ </c:formatCode>
                <c:ptCount val="1"/>
                <c:pt idx="0">
                  <c:v>12023246434.969999</c:v>
                </c:pt>
              </c:numCache>
            </c:numRef>
          </c:cat>
          <c:val>
            <c:numRef>
              <c:f>投资和筹资活动现金流表!$E$12:$U$12</c:f>
              <c:numCache>
                <c:formatCode>#,##0.00_ </c:formatCode>
                <c:ptCount val="5"/>
                <c:pt idx="0">
                  <c:v>12023246434.969999</c:v>
                </c:pt>
                <c:pt idx="1">
                  <c:v>10141366533</c:v>
                </c:pt>
                <c:pt idx="2">
                  <c:v>10281957339</c:v>
                </c:pt>
                <c:pt idx="3">
                  <c:v>5136257988</c:v>
                </c:pt>
                <c:pt idx="4">
                  <c:v>5594190445</c:v>
                </c:pt>
              </c:numCache>
            </c:numRef>
          </c:val>
          <c:extLst xmlns:c16r2="http://schemas.microsoft.com/office/drawing/2015/06/char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188657152"/>
        <c:axId val="18857683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0.52271302132265418</c:v>
                </c:pt>
                <c:pt idx="1">
                  <c:v>0.18566107544216892</c:v>
                </c:pt>
                <c:pt idx="2">
                  <c:v>2.7913435305880526E-2</c:v>
                </c:pt>
                <c:pt idx="3">
                  <c:v>-9.4172405110893739E-2</c:v>
                </c:pt>
                <c:pt idx="4">
                  <c:v>-6.255401750091831E-2</c:v>
                </c:pt>
              </c:numCache>
            </c:numRef>
          </c:val>
          <c:smooth val="0"/>
          <c:extLst xmlns:c16r2="http://schemas.microsoft.com/office/drawing/2015/06/char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188994560"/>
        <c:axId val="188577408"/>
      </c:lineChart>
      <c:valAx>
        <c:axId val="188576832"/>
        <c:scaling>
          <c:orientation val="minMax"/>
        </c:scaling>
        <c:delete val="0"/>
        <c:axPos val="r"/>
        <c:numFmt formatCode="#,##0.00_ " sourceLinked="1"/>
        <c:majorTickMark val="out"/>
        <c:minorTickMark val="none"/>
        <c:tickLblPos val="nextTo"/>
        <c:crossAx val="188657152"/>
        <c:crosses val="max"/>
        <c:crossBetween val="between"/>
      </c:valAx>
      <c:catAx>
        <c:axId val="188657152"/>
        <c:scaling>
          <c:orientation val="minMax"/>
        </c:scaling>
        <c:delete val="1"/>
        <c:axPos val="b"/>
        <c:numFmt formatCode="#,##0.00_ " sourceLinked="1"/>
        <c:majorTickMark val="out"/>
        <c:minorTickMark val="none"/>
        <c:tickLblPos val="nextTo"/>
        <c:crossAx val="188576832"/>
        <c:crosses val="autoZero"/>
        <c:auto val="1"/>
        <c:lblAlgn val="ctr"/>
        <c:lblOffset val="100"/>
        <c:noMultiLvlLbl val="0"/>
      </c:catAx>
      <c:valAx>
        <c:axId val="188577408"/>
        <c:scaling>
          <c:orientation val="minMax"/>
        </c:scaling>
        <c:delete val="0"/>
        <c:axPos val="l"/>
        <c:numFmt formatCode="0.00%" sourceLinked="1"/>
        <c:majorTickMark val="out"/>
        <c:minorTickMark val="none"/>
        <c:tickLblPos val="nextTo"/>
        <c:crossAx val="188994560"/>
        <c:crosses val="autoZero"/>
        <c:crossBetween val="between"/>
      </c:valAx>
      <c:catAx>
        <c:axId val="188994560"/>
        <c:scaling>
          <c:orientation val="minMax"/>
        </c:scaling>
        <c:delete val="1"/>
        <c:axPos val="b"/>
        <c:majorTickMark val="out"/>
        <c:minorTickMark val="none"/>
        <c:tickLblPos val="nextTo"/>
        <c:crossAx val="188577408"/>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0.26140210862110963</c:v>
                </c:pt>
                <c:pt idx="1">
                  <c:v>0.32351909827614633</c:v>
                </c:pt>
                <c:pt idx="2">
                  <c:v>2.6722860989303081</c:v>
                </c:pt>
                <c:pt idx="3">
                  <c:v>4.2481630449899104</c:v>
                </c:pt>
                <c:pt idx="4">
                  <c:v>8.3721772630401095</c:v>
                </c:pt>
                <c:pt idx="5">
                  <c:v>1.9160995091224788</c:v>
                </c:pt>
              </c:numCache>
            </c:numRef>
          </c:val>
          <c:smooth val="0"/>
          <c:extLst xmlns:c16r2="http://schemas.microsoft.com/office/drawing/2015/06/char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183927808"/>
        <c:axId val="189276160"/>
      </c:lineChart>
      <c:catAx>
        <c:axId val="183927808"/>
        <c:scaling>
          <c:orientation val="minMax"/>
        </c:scaling>
        <c:delete val="0"/>
        <c:axPos val="b"/>
        <c:majorTickMark val="out"/>
        <c:minorTickMark val="none"/>
        <c:tickLblPos val="nextTo"/>
        <c:crossAx val="189276160"/>
        <c:crosses val="autoZero"/>
        <c:auto val="1"/>
        <c:lblAlgn val="ctr"/>
        <c:lblOffset val="100"/>
        <c:noMultiLvlLbl val="0"/>
      </c:catAx>
      <c:valAx>
        <c:axId val="189276160"/>
        <c:scaling>
          <c:orientation val="minMax"/>
        </c:scaling>
        <c:delete val="0"/>
        <c:axPos val="l"/>
        <c:majorGridlines/>
        <c:numFmt formatCode="#,##0.00_ " sourceLinked="1"/>
        <c:majorTickMark val="out"/>
        <c:minorTickMark val="none"/>
        <c:tickLblPos val="nextTo"/>
        <c:crossAx val="183927808"/>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7349609351.4099998</c:v>
                </c:pt>
                <c:pt idx="1">
                  <c:v>3031063680.1199999</c:v>
                </c:pt>
                <c:pt idx="2">
                  <c:v>1655604511</c:v>
                </c:pt>
                <c:pt idx="3">
                  <c:v>443381015</c:v>
                </c:pt>
                <c:pt idx="4">
                  <c:v>169810943</c:v>
                </c:pt>
                <c:pt idx="5">
                  <c:v>426358900</c:v>
                </c:pt>
              </c:numCache>
            </c:numRef>
          </c:val>
          <c:extLst xmlns:c16r2="http://schemas.microsoft.com/office/drawing/2015/06/char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0</c:v>
                </c:pt>
                <c:pt idx="2">
                  <c:v>13033451</c:v>
                </c:pt>
                <c:pt idx="3">
                  <c:v>-117196788</c:v>
                </c:pt>
                <c:pt idx="4">
                  <c:v>0</c:v>
                </c:pt>
                <c:pt idx="5">
                  <c:v>0</c:v>
                </c:pt>
              </c:numCache>
            </c:numRef>
          </c:val>
          <c:extLst xmlns:c16r2="http://schemas.microsoft.com/office/drawing/2015/06/char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1921203382</c:v>
                </c:pt>
                <c:pt idx="1">
                  <c:v>980606988.61000001</c:v>
                </c:pt>
                <c:pt idx="2">
                  <c:v>4459078030</c:v>
                </c:pt>
                <c:pt idx="3">
                  <c:v>1385683779</c:v>
                </c:pt>
                <c:pt idx="4">
                  <c:v>1421687316</c:v>
                </c:pt>
                <c:pt idx="5">
                  <c:v>816946079</c:v>
                </c:pt>
              </c:numCache>
            </c:numRef>
          </c:val>
          <c:extLst xmlns:c16r2="http://schemas.microsoft.com/office/drawing/2015/06/char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5181600029.2200003</c:v>
                </c:pt>
                <c:pt idx="1">
                  <c:v>-954897263.48000002</c:v>
                </c:pt>
                <c:pt idx="2">
                  <c:v>3637640639</c:v>
                </c:pt>
                <c:pt idx="3">
                  <c:v>-1994957265</c:v>
                </c:pt>
                <c:pt idx="4">
                  <c:v>-674218306</c:v>
                </c:pt>
                <c:pt idx="5">
                  <c:v>-525115887</c:v>
                </c:pt>
              </c:numCache>
            </c:numRef>
          </c:val>
          <c:extLst xmlns:c16r2="http://schemas.microsoft.com/office/drawing/2015/06/char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187666432"/>
        <c:axId val="189277888"/>
      </c:barChart>
      <c:catAx>
        <c:axId val="187666432"/>
        <c:scaling>
          <c:orientation val="minMax"/>
        </c:scaling>
        <c:delete val="0"/>
        <c:axPos val="b"/>
        <c:majorTickMark val="none"/>
        <c:minorTickMark val="none"/>
        <c:tickLblPos val="nextTo"/>
        <c:crossAx val="189277888"/>
        <c:crosses val="autoZero"/>
        <c:auto val="1"/>
        <c:lblAlgn val="ctr"/>
        <c:lblOffset val="100"/>
        <c:noMultiLvlLbl val="0"/>
      </c:catAx>
      <c:valAx>
        <c:axId val="189277888"/>
        <c:scaling>
          <c:orientation val="minMax"/>
        </c:scaling>
        <c:delete val="0"/>
        <c:axPos val="l"/>
        <c:majorGridlines/>
        <c:numFmt formatCode="#,##0.00_ " sourceLinked="1"/>
        <c:majorTickMark val="none"/>
        <c:minorTickMark val="none"/>
        <c:tickLblPos val="nextTo"/>
        <c:crossAx val="187666432"/>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-143368613.56999999</c:v>
                </c:pt>
                <c:pt idx="1">
                  <c:v>-84065924.640000001</c:v>
                </c:pt>
                <c:pt idx="2">
                  <c:v>4634336534.3699999</c:v>
                </c:pt>
                <c:pt idx="3">
                  <c:v>1618654329</c:v>
                </c:pt>
                <c:pt idx="4">
                  <c:v>-57423750</c:v>
                </c:pt>
                <c:pt idx="5">
                  <c:v>-34454250</c:v>
                </c:pt>
              </c:numCache>
            </c:numRef>
          </c:val>
          <c:extLst xmlns:c16r2="http://schemas.microsoft.com/office/drawing/2015/06/char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5235980051.54</c:v>
                </c:pt>
                <c:pt idx="1">
                  <c:v>-834057015.12</c:v>
                </c:pt>
                <c:pt idx="2">
                  <c:v>-378164715</c:v>
                </c:pt>
                <c:pt idx="3">
                  <c:v>-3293646170</c:v>
                </c:pt>
                <c:pt idx="4">
                  <c:v>-618344402</c:v>
                </c:pt>
                <c:pt idx="5">
                  <c:v>-529738961</c:v>
                </c:pt>
              </c:numCache>
            </c:numRef>
          </c:val>
          <c:extLst xmlns:c16r2="http://schemas.microsoft.com/office/drawing/2015/06/char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187667968"/>
        <c:axId val="189280192"/>
      </c:barChart>
      <c:catAx>
        <c:axId val="187667968"/>
        <c:scaling>
          <c:orientation val="minMax"/>
        </c:scaling>
        <c:delete val="0"/>
        <c:axPos val="b"/>
        <c:majorTickMark val="out"/>
        <c:minorTickMark val="none"/>
        <c:tickLblPos val="nextTo"/>
        <c:crossAx val="189280192"/>
        <c:crosses val="autoZero"/>
        <c:auto val="1"/>
        <c:lblAlgn val="ctr"/>
        <c:lblOffset val="100"/>
        <c:noMultiLvlLbl val="0"/>
      </c:catAx>
      <c:valAx>
        <c:axId val="189280192"/>
        <c:scaling>
          <c:orientation val="minMax"/>
        </c:scaling>
        <c:delete val="0"/>
        <c:axPos val="l"/>
        <c:majorGridlines/>
        <c:numFmt formatCode="#,##0.00_ " sourceLinked="1"/>
        <c:majorTickMark val="out"/>
        <c:minorTickMark val="none"/>
        <c:tickLblPos val="nextTo"/>
        <c:crossAx val="18766796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#,##0.00_ </c:formatCode>
                <c:ptCount val="6"/>
                <c:pt idx="0">
                  <c:v>6360000000</c:v>
                </c:pt>
                <c:pt idx="1">
                  <c:v>664000000</c:v>
                </c:pt>
                <c:pt idx="2">
                  <c:v>1968799090</c:v>
                </c:pt>
                <c:pt idx="3">
                  <c:v>1776183168</c:v>
                </c:pt>
                <c:pt idx="4">
                  <c:v>1174797578</c:v>
                </c:pt>
                <c:pt idx="5">
                  <c:v>884459569</c:v>
                </c:pt>
              </c:numCache>
            </c:numRef>
          </c:val>
          <c:extLst xmlns:c16r2="http://schemas.microsoft.com/office/drawing/2015/06/char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187668992"/>
        <c:axId val="189281920"/>
      </c:barChart>
      <c:catAx>
        <c:axId val="187668992"/>
        <c:scaling>
          <c:orientation val="minMax"/>
        </c:scaling>
        <c:delete val="0"/>
        <c:axPos val="b"/>
        <c:majorTickMark val="out"/>
        <c:minorTickMark val="none"/>
        <c:tickLblPos val="nextTo"/>
        <c:crossAx val="189281920"/>
        <c:crosses val="autoZero"/>
        <c:auto val="1"/>
        <c:lblAlgn val="ctr"/>
        <c:lblOffset val="100"/>
        <c:noMultiLvlLbl val="0"/>
      </c:catAx>
      <c:valAx>
        <c:axId val="189281920"/>
        <c:scaling>
          <c:orientation val="minMax"/>
        </c:scaling>
        <c:delete val="0"/>
        <c:axPos val="l"/>
        <c:majorGridlines/>
        <c:numFmt formatCode="#,##0.00_ " sourceLinked="1"/>
        <c:majorTickMark val="out"/>
        <c:minorTickMark val="none"/>
        <c:tickLblPos val="nextTo"/>
        <c:crossAx val="18766899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0</c:v>
                </c:pt>
                <c:pt idx="1">
                  <c:v>34000000</c:v>
                </c:pt>
                <c:pt idx="2">
                  <c:v>0</c:v>
                </c:pt>
                <c:pt idx="3">
                  <c:v>-532699944</c:v>
                </c:pt>
                <c:pt idx="4">
                  <c:v>83890000</c:v>
                </c:pt>
                <c:pt idx="5">
                  <c:v>11110000</c:v>
                </c:pt>
              </c:numCache>
            </c:numRef>
          </c:val>
          <c:extLst xmlns:c16r2="http://schemas.microsoft.com/office/drawing/2015/06/char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189530112"/>
        <c:axId val="189283648"/>
      </c:barChart>
      <c:catAx>
        <c:axId val="189530112"/>
        <c:scaling>
          <c:orientation val="minMax"/>
        </c:scaling>
        <c:delete val="0"/>
        <c:axPos val="b"/>
        <c:majorTickMark val="out"/>
        <c:minorTickMark val="none"/>
        <c:tickLblPos val="nextTo"/>
        <c:crossAx val="189283648"/>
        <c:crosses val="autoZero"/>
        <c:auto val="1"/>
        <c:lblAlgn val="ctr"/>
        <c:lblOffset val="100"/>
        <c:noMultiLvlLbl val="0"/>
      </c:catAx>
      <c:valAx>
        <c:axId val="189283648"/>
        <c:scaling>
          <c:orientation val="minMax"/>
        </c:scaling>
        <c:delete val="0"/>
        <c:axPos val="l"/>
        <c:majorGridlines/>
        <c:numFmt formatCode="#,##0.00_ " sourceLinked="1"/>
        <c:majorTickMark val="out"/>
        <c:minorTickMark val="none"/>
        <c:tickLblPos val="nextTo"/>
        <c:crossAx val="18953011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136325650.56</c:v>
                </c:pt>
                <c:pt idx="1">
                  <c:v>52057015.119999997</c:v>
                </c:pt>
                <c:pt idx="2">
                  <c:v>0</c:v>
                </c:pt>
                <c:pt idx="3">
                  <c:v>0</c:v>
                </c:pt>
                <c:pt idx="4">
                  <c:v>147578192</c:v>
                </c:pt>
                <c:pt idx="5">
                  <c:v>180132866</c:v>
                </c:pt>
              </c:numCache>
            </c:numRef>
          </c:val>
          <c:extLst xmlns:c16r2="http://schemas.microsoft.com/office/drawing/2015/06/char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7163731137.7200003</c:v>
                </c:pt>
                <c:pt idx="1">
                  <c:v>1762110241.79</c:v>
                </c:pt>
                <c:pt idx="2">
                  <c:v>2560204315</c:v>
                </c:pt>
                <c:pt idx="3">
                  <c:v>2940474151</c:v>
                </c:pt>
                <c:pt idx="4">
                  <c:v>2812429209</c:v>
                </c:pt>
                <c:pt idx="5">
                  <c:v>3335316591</c:v>
                </c:pt>
              </c:numCache>
            </c:numRef>
          </c:val>
          <c:extLst xmlns:c16r2="http://schemas.microsoft.com/office/drawing/2015/06/char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14474797146.66</c:v>
                </c:pt>
                <c:pt idx="1">
                  <c:v>13758959516.58</c:v>
                </c:pt>
                <c:pt idx="2">
                  <c:v>13248334175</c:v>
                </c:pt>
                <c:pt idx="3">
                  <c:v>8561115637</c:v>
                </c:pt>
                <c:pt idx="4">
                  <c:v>3285724462</c:v>
                </c:pt>
                <c:pt idx="5">
                  <c:v>3056111991</c:v>
                </c:pt>
              </c:numCache>
            </c:numRef>
          </c:val>
          <c:extLst xmlns:c16r2="http://schemas.microsoft.com/office/drawing/2015/06/char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21648020117.869995</c:v>
                </c:pt>
                <c:pt idx="1">
                  <c:v>15530717701.450003</c:v>
                </c:pt>
                <c:pt idx="2">
                  <c:v>15814986533</c:v>
                </c:pt>
                <c:pt idx="3">
                  <c:v>11664917488</c:v>
                </c:pt>
                <c:pt idx="4">
                  <c:v>6098153671</c:v>
                </c:pt>
                <c:pt idx="5">
                  <c:v>6391428582</c:v>
                </c:pt>
              </c:numCache>
            </c:numRef>
          </c:val>
          <c:extLst xmlns:c16r2="http://schemas.microsoft.com/office/drawing/2015/06/char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189112320"/>
        <c:axId val="189457536"/>
      </c:barChart>
      <c:catAx>
        <c:axId val="189112320"/>
        <c:scaling>
          <c:orientation val="minMax"/>
        </c:scaling>
        <c:delete val="0"/>
        <c:axPos val="b"/>
        <c:majorTickMark val="out"/>
        <c:minorTickMark val="none"/>
        <c:tickLblPos val="nextTo"/>
        <c:crossAx val="189457536"/>
        <c:crosses val="autoZero"/>
        <c:auto val="1"/>
        <c:lblAlgn val="ctr"/>
        <c:lblOffset val="100"/>
        <c:noMultiLvlLbl val="0"/>
      </c:catAx>
      <c:valAx>
        <c:axId val="189457536"/>
        <c:scaling>
          <c:orientation val="minMax"/>
        </c:scaling>
        <c:delete val="0"/>
        <c:axPos val="l"/>
        <c:majorGridlines/>
        <c:numFmt formatCode="#,##0.00_ " sourceLinked="1"/>
        <c:majorTickMark val="out"/>
        <c:minorTickMark val="none"/>
        <c:tickLblPos val="nextTo"/>
        <c:crossAx val="189112320"/>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6.0101320187343439E-2</c:v>
                </c:pt>
                <c:pt idx="1">
                  <c:v>7.3220616256195054E-2</c:v>
                </c:pt>
                <c:pt idx="2">
                  <c:v>6.7016606798143766E-2</c:v>
                </c:pt>
                <c:pt idx="3">
                  <c:v>5.8713595845368227E-2</c:v>
                </c:pt>
                <c:pt idx="4">
                  <c:v>6.2580343611716036E-2</c:v>
                </c:pt>
                <c:pt idx="5">
                  <c:v>6.2437873898603009E-2</c:v>
                </c:pt>
                <c:pt idx="6">
                  <c:v>3.5003134908403413E-2</c:v>
                </c:pt>
                <c:pt idx="7">
                  <c:v>3.1205111228960983E-2</c:v>
                </c:pt>
                <c:pt idx="8">
                  <c:v>2.9656654558686761E-2</c:v>
                </c:pt>
                <c:pt idx="9">
                  <c:v>3.7365702626077045E-2</c:v>
                </c:pt>
                <c:pt idx="10">
                  <c:v>4.3998989165010667E-2</c:v>
                </c:pt>
                <c:pt idx="11">
                  <c:v>5.5753777856724682E-2</c:v>
                </c:pt>
                <c:pt idx="12">
                  <c:v>5.6287520067933854E-2</c:v>
                </c:pt>
                <c:pt idx="13">
                  <c:v>4.8516172719450072E-2</c:v>
                </c:pt>
                <c:pt idx="14">
                  <c:v>5.4817369150544963E-2</c:v>
                </c:pt>
                <c:pt idx="15">
                  <c:v>5.5905676856978892E-2</c:v>
                </c:pt>
                <c:pt idx="16">
                  <c:v>6.2716485131840652E-2</c:v>
                </c:pt>
                <c:pt idx="17">
                  <c:v>6.7525884098200248E-2</c:v>
                </c:pt>
                <c:pt idx="18">
                  <c:v>5.0819888260534248E-2</c:v>
                </c:pt>
                <c:pt idx="19">
                  <c:v>5.3518920709702072E-2</c:v>
                </c:pt>
              </c:numCache>
            </c:numRef>
          </c:val>
          <c:smooth val="0"/>
          <c:extLst xmlns:c16r2="http://schemas.microsoft.com/office/drawing/2015/06/char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89113856"/>
        <c:axId val="189459840"/>
      </c:lineChart>
      <c:catAx>
        <c:axId val="189113856"/>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189459840"/>
        <c:crosses val="autoZero"/>
        <c:auto val="1"/>
        <c:lblAlgn val="ctr"/>
        <c:lblOffset val="100"/>
        <c:noMultiLvlLbl val="0"/>
      </c:catAx>
      <c:valAx>
        <c:axId val="189459840"/>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189113856"/>
        <c:crosses val="autoZero"/>
        <c:crossBetween val="between"/>
      </c:valAx>
      <c:spPr>
        <a:noFill/>
        <a:ln>
          <a:noFill/>
        </a:ln>
        <a:effectLst/>
      </c:spPr>
    </c:plotArea>
    <c:plotVisOnly val="1"/>
    <c:dispBlanksAs val="zero"/>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-3.877443731743721E-2</c:v>
                </c:pt>
                <c:pt idx="1">
                  <c:v>-0.39037288362423306</c:v>
                </c:pt>
                <c:pt idx="2">
                  <c:v>7.4107055307078102</c:v>
                </c:pt>
                <c:pt idx="3">
                  <c:v>-0.13445176177499693</c:v>
                </c:pt>
                <c:pt idx="4">
                  <c:v>0.93727544148163944</c:v>
                </c:pt>
                <c:pt idx="5">
                  <c:v>-0.29700693043744997</c:v>
                </c:pt>
              </c:numCache>
            </c:numRef>
          </c:val>
          <c:smooth val="0"/>
          <c:extLst xmlns:c16r2="http://schemas.microsoft.com/office/drawing/2015/06/char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-5.1288128828267887E-2</c:v>
                </c:pt>
                <c:pt idx="1">
                  <c:v>9.7811571887821552E-2</c:v>
                </c:pt>
                <c:pt idx="2">
                  <c:v>-1.0650575927918664E-2</c:v>
                </c:pt>
                <c:pt idx="3">
                  <c:v>0.83253166631757092</c:v>
                </c:pt>
                <c:pt idx="4">
                  <c:v>0.10221880521298136</c:v>
                </c:pt>
                <c:pt idx="5">
                  <c:v>9.6901374747331761E-3</c:v>
                </c:pt>
              </c:numCache>
            </c:numRef>
          </c:val>
          <c:smooth val="0"/>
          <c:extLst xmlns:c16r2="http://schemas.microsoft.com/office/drawing/2015/06/char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-0.16328632650583857</c:v>
                </c:pt>
                <c:pt idx="1">
                  <c:v>-0.37621650768168902</c:v>
                </c:pt>
                <c:pt idx="2">
                  <c:v>-6.1165164259402456</c:v>
                </c:pt>
                <c:pt idx="3">
                  <c:v>41.945484225823435</c:v>
                </c:pt>
                <c:pt idx="4">
                  <c:v>-0.97254616222520829</c:v>
                </c:pt>
                <c:pt idx="5">
                  <c:v>6.8670908908265771E-2</c:v>
                </c:pt>
              </c:numCache>
            </c:numRef>
          </c:val>
          <c:smooth val="0"/>
          <c:extLst xmlns:c16r2="http://schemas.microsoft.com/office/drawing/2015/06/char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0.41300208823282403</c:v>
                </c:pt>
                <c:pt idx="1">
                  <c:v>0.26368568719870761</c:v>
                </c:pt>
                <c:pt idx="2">
                  <c:v>-9.7364590900578377E-2</c:v>
                </c:pt>
                <c:pt idx="3">
                  <c:v>1.3009691090046587</c:v>
                </c:pt>
                <c:pt idx="4">
                  <c:v>9.7691203413162078E-2</c:v>
                </c:pt>
                <c:pt idx="5">
                  <c:v>3.029029831523854E-2</c:v>
                </c:pt>
              </c:numCache>
            </c:numRef>
          </c:val>
          <c:smooth val="0"/>
          <c:extLst xmlns:c16r2="http://schemas.microsoft.com/office/drawing/2015/06/char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0.30390685558175157</c:v>
                </c:pt>
                <c:pt idx="1">
                  <c:v>5.818740565200041E-2</c:v>
                </c:pt>
                <c:pt idx="2">
                  <c:v>0.45070281397411266</c:v>
                </c:pt>
                <c:pt idx="3">
                  <c:v>1.118414013704798</c:v>
                </c:pt>
                <c:pt idx="4">
                  <c:v>0.33068497522707935</c:v>
                </c:pt>
                <c:pt idx="5">
                  <c:v>2.2297307541286813E-2</c:v>
                </c:pt>
              </c:numCache>
            </c:numRef>
          </c:val>
          <c:smooth val="0"/>
          <c:extLst xmlns:c16r2="http://schemas.microsoft.com/office/drawing/2015/06/char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0.51601634180842471</c:v>
                </c:pt>
                <c:pt idx="1">
                  <c:v>0.18702272350526475</c:v>
                </c:pt>
                <c:pt idx="2">
                  <c:v>-1.2863908518444749E-2</c:v>
                </c:pt>
                <c:pt idx="3">
                  <c:v>1.0611981210603176</c:v>
                </c:pt>
                <c:pt idx="4">
                  <c:v>-9.2419405805472629E-2</c:v>
                </c:pt>
                <c:pt idx="5">
                  <c:v>-1.4565116087374206E-2</c:v>
                </c:pt>
              </c:numCache>
            </c:numRef>
          </c:val>
          <c:smooth val="0"/>
          <c:extLst xmlns:c16r2="http://schemas.microsoft.com/office/drawing/2015/06/char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11.039560989195685</c:v>
                </c:pt>
                <c:pt idx="1">
                  <c:v>-0.78094901028136299</c:v>
                </c:pt>
                <c:pt idx="2">
                  <c:v>-9.1522732775321525E-2</c:v>
                </c:pt>
                <c:pt idx="3">
                  <c:v>0.1572781206026535</c:v>
                </c:pt>
                <c:pt idx="4">
                  <c:v>-0.11410164096173972</c:v>
                </c:pt>
                <c:pt idx="5">
                  <c:v>0.31840853573498401</c:v>
                </c:pt>
              </c:numCache>
            </c:numRef>
          </c:val>
          <c:smooth val="0"/>
          <c:extLst xmlns:c16r2="http://schemas.microsoft.com/office/drawing/2015/06/char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1.6313708062019505</c:v>
                </c:pt>
                <c:pt idx="1">
                  <c:v>0.1195437321580224</c:v>
                </c:pt>
                <c:pt idx="2">
                  <c:v>-0.16139367887964257</c:v>
                </c:pt>
                <c:pt idx="3">
                  <c:v>-3.364336697893297E-2</c:v>
                </c:pt>
                <c:pt idx="4">
                  <c:v>-0.18459861608774733</c:v>
                </c:pt>
                <c:pt idx="5">
                  <c:v>-0.26687621008796525</c:v>
                </c:pt>
              </c:numCache>
            </c:numRef>
          </c:val>
          <c:smooth val="0"/>
          <c:extLst xmlns:c16r2="http://schemas.microsoft.com/office/drawing/2015/06/char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190120448"/>
        <c:axId val="189461568"/>
      </c:lineChart>
      <c:catAx>
        <c:axId val="190120448"/>
        <c:scaling>
          <c:orientation val="minMax"/>
        </c:scaling>
        <c:delete val="0"/>
        <c:axPos val="b"/>
        <c:majorTickMark val="out"/>
        <c:minorTickMark val="none"/>
        <c:tickLblPos val="nextTo"/>
        <c:crossAx val="189461568"/>
        <c:crosses val="autoZero"/>
        <c:auto val="1"/>
        <c:lblAlgn val="ctr"/>
        <c:lblOffset val="100"/>
        <c:noMultiLvlLbl val="0"/>
      </c:catAx>
      <c:valAx>
        <c:axId val="189461568"/>
        <c:scaling>
          <c:orientation val="minMax"/>
        </c:scaling>
        <c:delete val="0"/>
        <c:axPos val="l"/>
        <c:majorGridlines/>
        <c:numFmt formatCode="0.00%" sourceLinked="1"/>
        <c:majorTickMark val="out"/>
        <c:minorTickMark val="none"/>
        <c:tickLblPos val="nextTo"/>
        <c:crossAx val="190120448"/>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0.19968802852606257</c:v>
                </c:pt>
                <c:pt idx="1">
                  <c:v>0.28956987231440845</c:v>
                </c:pt>
                <c:pt idx="2">
                  <c:v>0.46645719631862553</c:v>
                </c:pt>
                <c:pt idx="3">
                  <c:v>7.5191114973791578E-2</c:v>
                </c:pt>
                <c:pt idx="4">
                  <c:v>0.16617227093160933</c:v>
                </c:pt>
                <c:pt idx="5">
                  <c:v>8.1840374071162542E-2</c:v>
                </c:pt>
              </c:numCache>
            </c:numRef>
          </c:val>
          <c:smooth val="0"/>
          <c:extLst xmlns:c16r2="http://schemas.microsoft.com/office/drawing/2015/06/char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1.4477433603791248E-2</c:v>
                </c:pt>
                <c:pt idx="1">
                  <c:v>2.1270803916496227E-2</c:v>
                </c:pt>
                <c:pt idx="2">
                  <c:v>1.9027371561278077E-2</c:v>
                </c:pt>
                <c:pt idx="3">
                  <c:v>2.6074515598836785E-2</c:v>
                </c:pt>
                <c:pt idx="4">
                  <c:v>2.72174897443643E-2</c:v>
                </c:pt>
                <c:pt idx="5">
                  <c:v>2.3560292361567689E-2</c:v>
                </c:pt>
              </c:numCache>
            </c:numRef>
          </c:val>
          <c:smooth val="0"/>
          <c:extLst xmlns:c16r2="http://schemas.microsoft.com/office/drawing/2015/06/char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0.83053505344760559</c:v>
                </c:pt>
                <c:pt idx="1">
                  <c:v>0.76362606059684812</c:v>
                </c:pt>
                <c:pt idx="2">
                  <c:v>0.63174877393365403</c:v>
                </c:pt>
                <c:pt idx="3">
                  <c:v>0.86766990091546203</c:v>
                </c:pt>
                <c:pt idx="4">
                  <c:v>0.80522657822671329</c:v>
                </c:pt>
                <c:pt idx="5">
                  <c:v>0.84651239915865184</c:v>
                </c:pt>
              </c:numCache>
            </c:numRef>
          </c:val>
          <c:smooth val="0"/>
          <c:extLst xmlns:c16r2="http://schemas.microsoft.com/office/drawing/2015/06/char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0.45140319695878472</c:v>
                </c:pt>
                <c:pt idx="1">
                  <c:v>0.15242639627765669</c:v>
                </c:pt>
                <c:pt idx="2">
                  <c:v>0.47893151137041184</c:v>
                </c:pt>
                <c:pt idx="3">
                  <c:v>0.45900414480467233</c:v>
                </c:pt>
                <c:pt idx="4">
                  <c:v>0.41468147154348517</c:v>
                </c:pt>
                <c:pt idx="5">
                  <c:v>0.39470740095628903</c:v>
                </c:pt>
              </c:numCache>
            </c:numRef>
          </c:val>
          <c:smooth val="0"/>
          <c:extLst xmlns:c16r2="http://schemas.microsoft.com/office/drawing/2015/06/char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0.54859680304121528</c:v>
                </c:pt>
                <c:pt idx="1">
                  <c:v>0.84757360372234325</c:v>
                </c:pt>
                <c:pt idx="2">
                  <c:v>0.5210684886295881</c:v>
                </c:pt>
                <c:pt idx="3">
                  <c:v>0.54099585519532767</c:v>
                </c:pt>
                <c:pt idx="4">
                  <c:v>0.58531852845651489</c:v>
                </c:pt>
                <c:pt idx="5">
                  <c:v>0.60529259904371102</c:v>
                </c:pt>
              </c:numCache>
            </c:numRef>
          </c:val>
          <c:smooth val="0"/>
          <c:extLst xmlns:c16r2="http://schemas.microsoft.com/office/drawing/2015/06/char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190121984"/>
        <c:axId val="189463872"/>
      </c:lineChart>
      <c:catAx>
        <c:axId val="190121984"/>
        <c:scaling>
          <c:orientation val="minMax"/>
        </c:scaling>
        <c:delete val="0"/>
        <c:axPos val="b"/>
        <c:majorTickMark val="out"/>
        <c:minorTickMark val="none"/>
        <c:tickLblPos val="nextTo"/>
        <c:crossAx val="189463872"/>
        <c:crosses val="autoZero"/>
        <c:auto val="1"/>
        <c:lblAlgn val="ctr"/>
        <c:lblOffset val="100"/>
        <c:noMultiLvlLbl val="0"/>
      </c:catAx>
      <c:valAx>
        <c:axId val="189463872"/>
        <c:scaling>
          <c:orientation val="minMax"/>
        </c:scaling>
        <c:delete val="0"/>
        <c:axPos val="l"/>
        <c:majorGridlines/>
        <c:numFmt formatCode="0.00%" sourceLinked="1"/>
        <c:majorTickMark val="out"/>
        <c:minorTickMark val="none"/>
        <c:tickLblPos val="nextTo"/>
        <c:crossAx val="190121984"/>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-0.12549805122838886</c:v>
                </c:pt>
                <c:pt idx="1">
                  <c:v>-2.6563388427153756</c:v>
                </c:pt>
                <c:pt idx="2">
                  <c:v>-2.3175332830689306</c:v>
                </c:pt>
                <c:pt idx="3">
                  <c:v>-0.30418879487139111</c:v>
                </c:pt>
                <c:pt idx="4">
                  <c:v>-17.123046019935579</c:v>
                </c:pt>
                <c:pt idx="5">
                  <c:v>-1.581461497987499</c:v>
                </c:pt>
              </c:numCache>
            </c:numRef>
          </c:val>
          <c:smooth val="0"/>
          <c:extLst xmlns:c16r2="http://schemas.microsoft.com/office/drawing/2015/06/char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190123520"/>
        <c:axId val="189761216"/>
      </c:lineChart>
      <c:catAx>
        <c:axId val="190123520"/>
        <c:scaling>
          <c:orientation val="minMax"/>
        </c:scaling>
        <c:delete val="0"/>
        <c:axPos val="b"/>
        <c:majorTickMark val="out"/>
        <c:minorTickMark val="none"/>
        <c:tickLblPos val="nextTo"/>
        <c:crossAx val="189761216"/>
        <c:crosses val="autoZero"/>
        <c:auto val="1"/>
        <c:lblAlgn val="ctr"/>
        <c:lblOffset val="100"/>
        <c:noMultiLvlLbl val="0"/>
      </c:catAx>
      <c:valAx>
        <c:axId val="189761216"/>
        <c:scaling>
          <c:orientation val="minMax"/>
        </c:scaling>
        <c:delete val="0"/>
        <c:axPos val="l"/>
        <c:majorGridlines/>
        <c:numFmt formatCode="0.00%" sourceLinked="1"/>
        <c:majorTickMark val="out"/>
        <c:minorTickMark val="none"/>
        <c:tickLblPos val="nextTo"/>
        <c:crossAx val="190123520"/>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4322850458.8299999</c:v>
                </c:pt>
                <c:pt idx="1">
                  <c:v>4497227941.7600002</c:v>
                </c:pt>
                <c:pt idx="2">
                  <c:v>7377014278</c:v>
                </c:pt>
                <c:pt idx="3">
                  <c:v>877098152</c:v>
                </c:pt>
                <c:pt idx="4">
                  <c:v>1013344044</c:v>
                </c:pt>
                <c:pt idx="5">
                  <c:v>523076906</c:v>
                </c:pt>
              </c:numCache>
            </c:numRef>
          </c:val>
          <c:extLst xmlns:c16r2="http://schemas.microsoft.com/office/drawing/2015/06/char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313407773.91000003</c:v>
                </c:pt>
                <c:pt idx="1">
                  <c:v>330350850.91000003</c:v>
                </c:pt>
                <c:pt idx="2">
                  <c:v>300917625</c:v>
                </c:pt>
                <c:pt idx="3">
                  <c:v>304157073</c:v>
                </c:pt>
                <c:pt idx="4">
                  <c:v>165976435</c:v>
                </c:pt>
                <c:pt idx="5">
                  <c:v>150583926</c:v>
                </c:pt>
              </c:numCache>
            </c:numRef>
          </c:val>
          <c:extLst xmlns:c16r2="http://schemas.microsoft.com/office/drawing/2015/06/char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17979439545.629997</c:v>
                </c:pt>
                <c:pt idx="1">
                  <c:v>11859660776.600002</c:v>
                </c:pt>
                <c:pt idx="2">
                  <c:v>9991098352</c:v>
                </c:pt>
                <c:pt idx="3">
                  <c:v>10121297801</c:v>
                </c:pt>
                <c:pt idx="4">
                  <c:v>4910395414</c:v>
                </c:pt>
                <c:pt idx="5">
                  <c:v>5410423543</c:v>
                </c:pt>
              </c:numCache>
            </c:numRef>
          </c:val>
          <c:extLst xmlns:c16r2="http://schemas.microsoft.com/office/drawing/2015/06/char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21648020117.869995</c:v>
                </c:pt>
                <c:pt idx="1">
                  <c:v>15530717701.450003</c:v>
                </c:pt>
                <c:pt idx="2">
                  <c:v>15814986533</c:v>
                </c:pt>
                <c:pt idx="3">
                  <c:v>11664917488</c:v>
                </c:pt>
                <c:pt idx="4">
                  <c:v>6098153671</c:v>
                </c:pt>
                <c:pt idx="5">
                  <c:v>6391428582</c:v>
                </c:pt>
              </c:numCache>
            </c:numRef>
          </c:val>
          <c:extLst xmlns:c16r2="http://schemas.microsoft.com/office/drawing/2015/06/char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190743040"/>
        <c:axId val="189762944"/>
      </c:barChart>
      <c:catAx>
        <c:axId val="190743040"/>
        <c:scaling>
          <c:orientation val="minMax"/>
        </c:scaling>
        <c:delete val="0"/>
        <c:axPos val="b"/>
        <c:majorTickMark val="out"/>
        <c:minorTickMark val="none"/>
        <c:tickLblPos val="nextTo"/>
        <c:crossAx val="189762944"/>
        <c:crosses val="autoZero"/>
        <c:auto val="1"/>
        <c:lblAlgn val="ctr"/>
        <c:lblOffset val="100"/>
        <c:noMultiLvlLbl val="0"/>
      </c:catAx>
      <c:valAx>
        <c:axId val="189762944"/>
        <c:scaling>
          <c:orientation val="minMax"/>
        </c:scaling>
        <c:delete val="0"/>
        <c:axPos val="l"/>
        <c:majorGridlines/>
        <c:numFmt formatCode="#,##0.00_ " sourceLinked="1"/>
        <c:majorTickMark val="out"/>
        <c:minorTickMark val="none"/>
        <c:tickLblPos val="nextTo"/>
        <c:crossAx val="190743040"/>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3233731137.7200003</c:v>
                </c:pt>
                <c:pt idx="1">
                  <c:v>268592114</c:v>
                </c:pt>
                <c:pt idx="2">
                  <c:v>1226162522</c:v>
                </c:pt>
                <c:pt idx="3">
                  <c:v>1349689823</c:v>
                </c:pt>
                <c:pt idx="4">
                  <c:v>1166262283</c:v>
                </c:pt>
                <c:pt idx="5">
                  <c:v>1316474143</c:v>
                </c:pt>
              </c:numCache>
            </c:numRef>
          </c:val>
          <c:extLst xmlns:c16r2="http://schemas.microsoft.com/office/drawing/2015/06/char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3930000000</c:v>
                </c:pt>
                <c:pt idx="1">
                  <c:v>1493518127.79</c:v>
                </c:pt>
                <c:pt idx="2">
                  <c:v>1334041793</c:v>
                </c:pt>
                <c:pt idx="3">
                  <c:v>1590784328</c:v>
                </c:pt>
                <c:pt idx="4">
                  <c:v>1646166926</c:v>
                </c:pt>
                <c:pt idx="5">
                  <c:v>2018842448</c:v>
                </c:pt>
              </c:numCache>
            </c:numRef>
          </c:val>
          <c:extLst xmlns:c16r2="http://schemas.microsoft.com/office/drawing/2015/06/char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190744576"/>
        <c:axId val="189765248"/>
      </c:barChart>
      <c:catAx>
        <c:axId val="190744576"/>
        <c:scaling>
          <c:orientation val="minMax"/>
        </c:scaling>
        <c:delete val="0"/>
        <c:axPos val="b"/>
        <c:majorTickMark val="out"/>
        <c:minorTickMark val="none"/>
        <c:tickLblPos val="nextTo"/>
        <c:crossAx val="189765248"/>
        <c:crosses val="autoZero"/>
        <c:auto val="1"/>
        <c:lblAlgn val="ctr"/>
        <c:lblOffset val="100"/>
        <c:noMultiLvlLbl val="0"/>
      </c:catAx>
      <c:valAx>
        <c:axId val="189765248"/>
        <c:scaling>
          <c:orientation val="minMax"/>
        </c:scaling>
        <c:delete val="0"/>
        <c:axPos val="l"/>
        <c:majorGridlines/>
        <c:numFmt formatCode="#,##0.00_ " sourceLinked="1"/>
        <c:majorTickMark val="out"/>
        <c:minorTickMark val="none"/>
        <c:tickLblPos val="nextTo"/>
        <c:crossAx val="19074457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1089119321.1099968</c:v>
                </c:pt>
                <c:pt idx="1">
                  <c:v>4228635827.7600021</c:v>
                </c:pt>
                <c:pt idx="2">
                  <c:v>6150851756</c:v>
                </c:pt>
                <c:pt idx="3">
                  <c:v>-472591671</c:v>
                </c:pt>
                <c:pt idx="4">
                  <c:v>-152918239</c:v>
                </c:pt>
                <c:pt idx="5">
                  <c:v>-793397237</c:v>
                </c:pt>
              </c:numCache>
            </c:numRef>
          </c:val>
          <c:extLst xmlns:c16r2="http://schemas.microsoft.com/office/drawing/2015/06/char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-1089119321.1099997</c:v>
                </c:pt>
                <c:pt idx="1">
                  <c:v>-4228635827.7600002</c:v>
                </c:pt>
                <c:pt idx="2">
                  <c:v>-6150851756</c:v>
                </c:pt>
                <c:pt idx="3">
                  <c:v>472591671</c:v>
                </c:pt>
                <c:pt idx="4">
                  <c:v>152918239</c:v>
                </c:pt>
                <c:pt idx="5">
                  <c:v>793397237</c:v>
                </c:pt>
              </c:numCache>
            </c:numRef>
          </c:val>
          <c:extLst xmlns:c16r2="http://schemas.microsoft.com/office/drawing/2015/06/char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190619648"/>
        <c:axId val="189766976"/>
      </c:barChart>
      <c:catAx>
        <c:axId val="190619648"/>
        <c:scaling>
          <c:orientation val="minMax"/>
        </c:scaling>
        <c:delete val="0"/>
        <c:axPos val="b"/>
        <c:majorTickMark val="out"/>
        <c:minorTickMark val="none"/>
        <c:tickLblPos val="nextTo"/>
        <c:crossAx val="189766976"/>
        <c:crosses val="autoZero"/>
        <c:auto val="1"/>
        <c:lblAlgn val="ctr"/>
        <c:lblOffset val="100"/>
        <c:noMultiLvlLbl val="0"/>
      </c:catAx>
      <c:valAx>
        <c:axId val="189766976"/>
        <c:scaling>
          <c:orientation val="minMax"/>
        </c:scaling>
        <c:delete val="0"/>
        <c:axPos val="l"/>
        <c:majorGridlines/>
        <c:numFmt formatCode="#,##0.00_ " sourceLinked="1"/>
        <c:majorTickMark val="out"/>
        <c:minorTickMark val="none"/>
        <c:tickLblPos val="nextTo"/>
        <c:crossAx val="19061964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0.79150747675703403</c:v>
                </c:pt>
                <c:pt idx="1">
                  <c:v>0.79816830447805642</c:v>
                </c:pt>
                <c:pt idx="2">
                  <c:v>0.83663069534833678</c:v>
                </c:pt>
                <c:pt idx="3">
                  <c:v>0.8134707086854942</c:v>
                </c:pt>
                <c:pt idx="4">
                  <c:v>0.8185515562358241</c:v>
                </c:pt>
                <c:pt idx="5">
                  <c:v>0.85633490573191129</c:v>
                </c:pt>
              </c:numCache>
            </c:numRef>
          </c:val>
          <c:smooth val="0"/>
          <c:extLst xmlns:c16r2="http://schemas.microsoft.com/office/drawing/2015/06/char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0.20849252324296599</c:v>
                </c:pt>
                <c:pt idx="1">
                  <c:v>0.20183169552194355</c:v>
                </c:pt>
                <c:pt idx="2">
                  <c:v>0.16336930465166327</c:v>
                </c:pt>
                <c:pt idx="3">
                  <c:v>0.1865292913145058</c:v>
                </c:pt>
                <c:pt idx="4">
                  <c:v>0.18144844376417585</c:v>
                </c:pt>
                <c:pt idx="5">
                  <c:v>0.14366509426808874</c:v>
                </c:pt>
              </c:numCache>
            </c:numRef>
          </c:val>
          <c:smooth val="0"/>
          <c:extLst xmlns:c16r2="http://schemas.microsoft.com/office/drawing/2015/06/char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4.6499009686642983E-3</c:v>
                </c:pt>
                <c:pt idx="1">
                  <c:v>4.4668843603107196E-3</c:v>
                </c:pt>
                <c:pt idx="2">
                  <c:v>8.720471628246466E-4</c:v>
                </c:pt>
                <c:pt idx="3">
                  <c:v>1.4784420536733168E-3</c:v>
                </c:pt>
                <c:pt idx="4">
                  <c:v>2.1077218308278847E-3</c:v>
                </c:pt>
                <c:pt idx="5">
                  <c:v>2.2701929798887876E-3</c:v>
                </c:pt>
              </c:numCache>
            </c:numRef>
          </c:val>
          <c:smooth val="0"/>
          <c:extLst xmlns:c16r2="http://schemas.microsoft.com/office/drawing/2015/06/char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2.8405020970055431E-2</c:v>
                </c:pt>
                <c:pt idx="1">
                  <c:v>3.1984253114238553E-2</c:v>
                </c:pt>
                <c:pt idx="2">
                  <c:v>3.153113296383607E-2</c:v>
                </c:pt>
                <c:pt idx="3">
                  <c:v>3.085457298115293E-2</c:v>
                </c:pt>
                <c:pt idx="4">
                  <c:v>2.1436107543586377E-2</c:v>
                </c:pt>
                <c:pt idx="5">
                  <c:v>2.2777478119678844E-2</c:v>
                </c:pt>
              </c:numCache>
            </c:numRef>
          </c:val>
          <c:smooth val="0"/>
          <c:extLst xmlns:c16r2="http://schemas.microsoft.com/office/drawing/2015/06/char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0.11153428470243099</c:v>
                </c:pt>
                <c:pt idx="1">
                  <c:v>0.13574212726348087</c:v>
                </c:pt>
                <c:pt idx="2">
                  <c:v>0.12065366062102835</c:v>
                </c:pt>
                <c:pt idx="3">
                  <c:v>0.10735069012096139</c:v>
                </c:pt>
                <c:pt idx="4">
                  <c:v>9.9431275878799477E-2</c:v>
                </c:pt>
                <c:pt idx="5">
                  <c:v>8.4417194568438575E-2</c:v>
                </c:pt>
              </c:numCache>
            </c:numRef>
          </c:val>
          <c:smooth val="0"/>
          <c:extLst xmlns:c16r2="http://schemas.microsoft.com/office/drawing/2015/06/char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1.9066837992854673E-2</c:v>
                </c:pt>
                <c:pt idx="1">
                  <c:v>1.0024846727820091E-2</c:v>
                </c:pt>
                <c:pt idx="2">
                  <c:v>8.3865068523414372E-3</c:v>
                </c:pt>
                <c:pt idx="3">
                  <c:v>9.1513478822582931E-3</c:v>
                </c:pt>
                <c:pt idx="4">
                  <c:v>1.0332195115338933E-2</c:v>
                </c:pt>
                <c:pt idx="5">
                  <c:v>8.4079734541229398E-3</c:v>
                </c:pt>
              </c:numCache>
            </c:numRef>
          </c:val>
          <c:smooth val="0"/>
          <c:extLst xmlns:c16r2="http://schemas.microsoft.com/office/drawing/2015/06/char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1.0191996839250552E-3</c:v>
                </c:pt>
                <c:pt idx="1">
                  <c:v>5.1287328772234959E-4</c:v>
                </c:pt>
                <c:pt idx="2">
                  <c:v>6.640304075195793E-4</c:v>
                </c:pt>
                <c:pt idx="3">
                  <c:v>5.3842902464456286E-4</c:v>
                </c:pt>
                <c:pt idx="4">
                  <c:v>7.4488530006085142E-4</c:v>
                </c:pt>
                <c:pt idx="5">
                  <c:v>8.2817543702328042E-4</c:v>
                </c:pt>
              </c:numCache>
            </c:numRef>
          </c:val>
          <c:smooth val="0"/>
          <c:extLst xmlns:c16r2="http://schemas.microsoft.com/office/drawing/2015/06/char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5.7368358459407786E-4</c:v>
                </c:pt>
                <c:pt idx="1">
                  <c:v>3.1422729734341751E-2</c:v>
                </c:pt>
                <c:pt idx="2">
                  <c:v>5.5931262549215655E-2</c:v>
                </c:pt>
                <c:pt idx="3">
                  <c:v>6.6377661275148034E-2</c:v>
                </c:pt>
                <c:pt idx="4">
                  <c:v>4.2925059309731103E-2</c:v>
                </c:pt>
                <c:pt idx="5">
                  <c:v>4.8673169382137768E-2</c:v>
                </c:pt>
              </c:numCache>
            </c:numRef>
          </c:val>
          <c:smooth val="0"/>
          <c:extLst xmlns:c16r2="http://schemas.microsoft.com/office/drawing/2015/06/char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0.16524892790252452</c:v>
                </c:pt>
                <c:pt idx="1">
                  <c:v>0.21415371448791432</c:v>
                </c:pt>
                <c:pt idx="2">
                  <c:v>0.21803864055676572</c:v>
                </c:pt>
                <c:pt idx="3">
                  <c:v>0.21575114333783857</c:v>
                </c:pt>
                <c:pt idx="4">
                  <c:v>0.17697724497834461</c:v>
                </c:pt>
                <c:pt idx="5">
                  <c:v>0.16737418394129019</c:v>
                </c:pt>
              </c:numCache>
            </c:numRef>
          </c:val>
          <c:smooth val="0"/>
          <c:extLst xmlns:c16r2="http://schemas.microsoft.com/office/drawing/2015/06/char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2.9027433363361686E-2</c:v>
                </c:pt>
                <c:pt idx="1">
                  <c:v>4.338981856075521E-2</c:v>
                </c:pt>
                <c:pt idx="2">
                  <c:v>5.2760214040185778E-2</c:v>
                </c:pt>
                <c:pt idx="3">
                  <c:v>9.0737584285856168E-2</c:v>
                </c:pt>
                <c:pt idx="4">
                  <c:v>7.9445022175882687E-2</c:v>
                </c:pt>
                <c:pt idx="5">
                  <c:v>6.7140616865496813E-2</c:v>
                </c:pt>
              </c:numCache>
            </c:numRef>
          </c:val>
          <c:smooth val="0"/>
          <c:extLst xmlns:c16r2="http://schemas.microsoft.com/office/drawing/2015/06/char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190622208"/>
        <c:axId val="190653568"/>
      </c:lineChart>
      <c:catAx>
        <c:axId val="190622208"/>
        <c:scaling>
          <c:orientation val="minMax"/>
        </c:scaling>
        <c:delete val="0"/>
        <c:axPos val="b"/>
        <c:majorTickMark val="out"/>
        <c:minorTickMark val="none"/>
        <c:tickLblPos val="nextTo"/>
        <c:crossAx val="190653568"/>
        <c:crosses val="autoZero"/>
        <c:auto val="1"/>
        <c:lblAlgn val="ctr"/>
        <c:lblOffset val="100"/>
        <c:noMultiLvlLbl val="0"/>
      </c:catAx>
      <c:valAx>
        <c:axId val="190653568"/>
        <c:scaling>
          <c:orientation val="minMax"/>
        </c:scaling>
        <c:delete val="0"/>
        <c:axPos val="l"/>
        <c:majorGridlines/>
        <c:numFmt formatCode="0.00%" sourceLinked="1"/>
        <c:majorTickMark val="out"/>
        <c:minorTickMark val="none"/>
        <c:tickLblPos val="nextTo"/>
        <c:crossAx val="190622208"/>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1.2351237669721618</c:v>
                </c:pt>
                <c:pt idx="1">
                  <c:v>0.69730654304520656</c:v>
                </c:pt>
                <c:pt idx="2">
                  <c:v>0.83677568522734813</c:v>
                </c:pt>
                <c:pt idx="3">
                  <c:v>1.0516134438702431</c:v>
                </c:pt>
                <c:pt idx="4">
                  <c:v>0.95871149255307708</c:v>
                </c:pt>
                <c:pt idx="5">
                  <c:v>0.9923313698057683</c:v>
                </c:pt>
              </c:numCache>
            </c:numRef>
          </c:val>
          <c:smooth val="0"/>
          <c:extLst xmlns:c16r2="http://schemas.microsoft.com/office/drawing/2015/06/char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-7.534125034765117E-2</c:v>
                </c:pt>
                <c:pt idx="1">
                  <c:v>-6.3477149002035115E-3</c:v>
                </c:pt>
                <c:pt idx="2">
                  <c:v>-4.5009819085425279E-3</c:v>
                </c:pt>
                <c:pt idx="3">
                  <c:v>-0.10076019306948475</c:v>
                </c:pt>
                <c:pt idx="4">
                  <c:v>1.5272143477635423E-2</c:v>
                </c:pt>
                <c:pt idx="5">
                  <c:v>-2.8344203163008862E-2</c:v>
                </c:pt>
              </c:numCache>
            </c:numRef>
          </c:val>
          <c:smooth val="0"/>
          <c:extLst xmlns:c16r2="http://schemas.microsoft.com/office/drawing/2015/06/char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-0.15978251662451073</c:v>
                </c:pt>
                <c:pt idx="1">
                  <c:v>0.30904117185499702</c:v>
                </c:pt>
                <c:pt idx="2">
                  <c:v>0.16772529668119443</c:v>
                </c:pt>
                <c:pt idx="3">
                  <c:v>4.9146749199241585E-2</c:v>
                </c:pt>
                <c:pt idx="4">
                  <c:v>2.601636396928747E-2</c:v>
                </c:pt>
                <c:pt idx="5">
                  <c:v>3.6012833357240565E-2</c:v>
                </c:pt>
              </c:numCache>
            </c:numRef>
          </c:val>
          <c:smooth val="0"/>
          <c:extLst xmlns:c16r2="http://schemas.microsoft.com/office/drawing/2015/06/char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189870080"/>
        <c:axId val="190655872"/>
      </c:lineChart>
      <c:catAx>
        <c:axId val="189870080"/>
        <c:scaling>
          <c:orientation val="minMax"/>
        </c:scaling>
        <c:delete val="0"/>
        <c:axPos val="b"/>
        <c:majorTickMark val="out"/>
        <c:minorTickMark val="none"/>
        <c:tickLblPos val="nextTo"/>
        <c:crossAx val="190655872"/>
        <c:crosses val="autoZero"/>
        <c:auto val="1"/>
        <c:lblAlgn val="ctr"/>
        <c:lblOffset val="100"/>
        <c:noMultiLvlLbl val="0"/>
      </c:catAx>
      <c:valAx>
        <c:axId val="190655872"/>
        <c:scaling>
          <c:orientation val="minMax"/>
        </c:scaling>
        <c:delete val="0"/>
        <c:axPos val="l"/>
        <c:majorGridlines/>
        <c:numFmt formatCode="0.00%" sourceLinked="1"/>
        <c:majorTickMark val="out"/>
        <c:minorTickMark val="none"/>
        <c:tickLblPos val="nextTo"/>
        <c:crossAx val="189870080"/>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1.1499091152902433E-2</c:v>
                </c:pt>
                <c:pt idx="1">
                  <c:v>7.0187165852732436E-2</c:v>
                </c:pt>
                <c:pt idx="2">
                  <c:v>5.9198253441971285E-2</c:v>
                </c:pt>
                <c:pt idx="3">
                  <c:v>6.6882601366927905E-2</c:v>
                </c:pt>
                <c:pt idx="4">
                  <c:v>5.5056818562891865E-2</c:v>
                </c:pt>
                <c:pt idx="5">
                  <c:v>2.9004513247204513E-2</c:v>
                </c:pt>
                <c:pt idx="6">
                  <c:v>6.7239794623555268E-2</c:v>
                </c:pt>
              </c:numCache>
            </c:numRef>
          </c:val>
          <c:smooth val="0"/>
          <c:extLst xmlns:c16r2="http://schemas.microsoft.com/office/drawing/2015/06/char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189871104"/>
        <c:axId val="190658176"/>
      </c:lineChart>
      <c:catAx>
        <c:axId val="189871104"/>
        <c:scaling>
          <c:orientation val="minMax"/>
        </c:scaling>
        <c:delete val="0"/>
        <c:axPos val="b"/>
        <c:majorTickMark val="out"/>
        <c:minorTickMark val="none"/>
        <c:tickLblPos val="nextTo"/>
        <c:crossAx val="190658176"/>
        <c:crosses val="autoZero"/>
        <c:auto val="1"/>
        <c:lblAlgn val="ctr"/>
        <c:lblOffset val="100"/>
        <c:noMultiLvlLbl val="0"/>
      </c:catAx>
      <c:valAx>
        <c:axId val="190658176"/>
        <c:scaling>
          <c:orientation val="minMax"/>
        </c:scaling>
        <c:delete val="0"/>
        <c:axPos val="l"/>
        <c:majorGridlines/>
        <c:numFmt formatCode="0.00%" sourceLinked="1"/>
        <c:majorTickMark val="out"/>
        <c:minorTickMark val="none"/>
        <c:tickLblPos val="nextTo"/>
        <c:crossAx val="189871104"/>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1.2351237669721618</c:v>
                </c:pt>
                <c:pt idx="1">
                  <c:v>0.69730654304520656</c:v>
                </c:pt>
                <c:pt idx="2">
                  <c:v>0.83677568522734813</c:v>
                </c:pt>
                <c:pt idx="3">
                  <c:v>1.0516134438702431</c:v>
                </c:pt>
                <c:pt idx="4">
                  <c:v>0.95871149255307708</c:v>
                </c:pt>
                <c:pt idx="5">
                  <c:v>0.9923313698057683</c:v>
                </c:pt>
              </c:numCache>
            </c:numRef>
          </c:val>
          <c:smooth val="0"/>
          <c:extLst xmlns:c16r2="http://schemas.microsoft.com/office/drawing/2015/06/char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-7.534125034765117E-2</c:v>
                </c:pt>
                <c:pt idx="1">
                  <c:v>-6.3477149002035115E-3</c:v>
                </c:pt>
                <c:pt idx="2">
                  <c:v>-4.5009819085425279E-3</c:v>
                </c:pt>
                <c:pt idx="3">
                  <c:v>-0.10076019306948475</c:v>
                </c:pt>
                <c:pt idx="4">
                  <c:v>1.5272143477635423E-2</c:v>
                </c:pt>
                <c:pt idx="5">
                  <c:v>-2.8344203163008862E-2</c:v>
                </c:pt>
              </c:numCache>
            </c:numRef>
          </c:val>
          <c:smooth val="0"/>
          <c:extLst xmlns:c16r2="http://schemas.microsoft.com/office/drawing/2015/06/char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-0.15978251662451073</c:v>
                </c:pt>
                <c:pt idx="1">
                  <c:v>0.30904117185499702</c:v>
                </c:pt>
                <c:pt idx="2">
                  <c:v>0.16772529668119443</c:v>
                </c:pt>
                <c:pt idx="3">
                  <c:v>4.9146749199241585E-2</c:v>
                </c:pt>
                <c:pt idx="4">
                  <c:v>2.601636396928747E-2</c:v>
                </c:pt>
                <c:pt idx="5">
                  <c:v>3.6012833357240565E-2</c:v>
                </c:pt>
              </c:numCache>
            </c:numRef>
          </c:val>
          <c:smooth val="0"/>
          <c:extLst xmlns:c16r2="http://schemas.microsoft.com/office/drawing/2015/06/char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189872128"/>
        <c:axId val="190659904"/>
      </c:lineChart>
      <c:catAx>
        <c:axId val="189872128"/>
        <c:scaling>
          <c:orientation val="minMax"/>
        </c:scaling>
        <c:delete val="0"/>
        <c:axPos val="b"/>
        <c:majorTickMark val="out"/>
        <c:minorTickMark val="none"/>
        <c:tickLblPos val="nextTo"/>
        <c:crossAx val="190659904"/>
        <c:crosses val="autoZero"/>
        <c:auto val="1"/>
        <c:lblAlgn val="ctr"/>
        <c:lblOffset val="100"/>
        <c:noMultiLvlLbl val="0"/>
      </c:catAx>
      <c:valAx>
        <c:axId val="190659904"/>
        <c:scaling>
          <c:orientation val="minMax"/>
        </c:scaling>
        <c:delete val="0"/>
        <c:axPos val="l"/>
        <c:majorGridlines/>
        <c:numFmt formatCode="0.00%" sourceLinked="1"/>
        <c:majorTickMark val="out"/>
        <c:minorTickMark val="none"/>
        <c:tickLblPos val="nextTo"/>
        <c:crossAx val="189872128"/>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0.51071110546563747</c:v>
                </c:pt>
                <c:pt idx="1">
                  <c:v>-0.12795977513434353</c:v>
                </c:pt>
                <c:pt idx="2">
                  <c:v>6.1117169645331426E-2</c:v>
                </c:pt>
                <c:pt idx="3">
                  <c:v>0.22485656509328966</c:v>
                </c:pt>
                <c:pt idx="4">
                  <c:v>0.33559582143741085</c:v>
                </c:pt>
                <c:pt idx="5">
                  <c:v>0.5713162954876132</c:v>
                </c:pt>
              </c:numCache>
            </c:numRef>
          </c:val>
          <c:smooth val="0"/>
          <c:extLst xmlns:c16r2="http://schemas.microsoft.com/office/drawing/2015/06/char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189873664"/>
        <c:axId val="191596224"/>
      </c:lineChart>
      <c:catAx>
        <c:axId val="189873664"/>
        <c:scaling>
          <c:orientation val="minMax"/>
        </c:scaling>
        <c:delete val="0"/>
        <c:axPos val="b"/>
        <c:majorTickMark val="out"/>
        <c:minorTickMark val="none"/>
        <c:tickLblPos val="nextTo"/>
        <c:crossAx val="191596224"/>
        <c:crosses val="autoZero"/>
        <c:auto val="1"/>
        <c:lblAlgn val="ctr"/>
        <c:lblOffset val="100"/>
        <c:noMultiLvlLbl val="0"/>
      </c:catAx>
      <c:valAx>
        <c:axId val="191596224"/>
        <c:scaling>
          <c:orientation val="minMax"/>
        </c:scaling>
        <c:delete val="0"/>
        <c:axPos val="l"/>
        <c:majorGridlines/>
        <c:numFmt formatCode="0.00%" sourceLinked="1"/>
        <c:majorTickMark val="out"/>
        <c:minorTickMark val="none"/>
        <c:tickLblPos val="nextTo"/>
        <c:crossAx val="189873664"/>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14012500489.6</c:v>
                </c:pt>
                <c:pt idx="1">
                  <c:v>10736756430.530001</c:v>
                </c:pt>
                <c:pt idx="2">
                  <c:v>10530002724</c:v>
                </c:pt>
                <c:pt idx="3">
                  <c:v>9322363339</c:v>
                </c:pt>
                <c:pt idx="4">
                  <c:v>4519377681</c:v>
                </c:pt>
                <c:pt idx="5">
                  <c:v>4333544367</c:v>
                </c:pt>
              </c:numCache>
            </c:numRef>
          </c:val>
          <c:extLst xmlns:c16r2="http://schemas.microsoft.com/office/drawing/2015/06/char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11090998905.58</c:v>
                </c:pt>
                <c:pt idx="1">
                  <c:v>8569738675.75</c:v>
                </c:pt>
                <c:pt idx="2">
                  <c:v>8809723501</c:v>
                </c:pt>
                <c:pt idx="3">
                  <c:v>7583469512</c:v>
                </c:pt>
                <c:pt idx="4">
                  <c:v>3699343634</c:v>
                </c:pt>
                <c:pt idx="5">
                  <c:v>3710965307</c:v>
                </c:pt>
              </c:numCache>
            </c:numRef>
          </c:val>
          <c:extLst xmlns:c16r2="http://schemas.microsoft.com/office/drawing/2015/06/char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2921501584.0200005</c:v>
                </c:pt>
                <c:pt idx="1">
                  <c:v>2167017754.7800007</c:v>
                </c:pt>
                <c:pt idx="2">
                  <c:v>1720279223</c:v>
                </c:pt>
                <c:pt idx="3">
                  <c:v>1738893827</c:v>
                </c:pt>
                <c:pt idx="4">
                  <c:v>820034047</c:v>
                </c:pt>
                <c:pt idx="5">
                  <c:v>622579060</c:v>
                </c:pt>
              </c:numCache>
            </c:numRef>
          </c:val>
          <c:extLst xmlns:c16r2="http://schemas.microsoft.com/office/drawing/2015/06/char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191386112"/>
        <c:axId val="191597952"/>
      </c:barChart>
      <c:catAx>
        <c:axId val="191386112"/>
        <c:scaling>
          <c:orientation val="minMax"/>
        </c:scaling>
        <c:delete val="0"/>
        <c:axPos val="b"/>
        <c:majorTickMark val="out"/>
        <c:minorTickMark val="none"/>
        <c:tickLblPos val="nextTo"/>
        <c:crossAx val="191597952"/>
        <c:crosses val="autoZero"/>
        <c:auto val="1"/>
        <c:lblAlgn val="ctr"/>
        <c:lblOffset val="100"/>
        <c:noMultiLvlLbl val="0"/>
      </c:catAx>
      <c:valAx>
        <c:axId val="191597952"/>
        <c:scaling>
          <c:orientation val="minMax"/>
        </c:scaling>
        <c:delete val="0"/>
        <c:axPos val="l"/>
        <c:majorGridlines/>
        <c:numFmt formatCode="#,##0.00_ " sourceLinked="1"/>
        <c:majorTickMark val="out"/>
        <c:minorTickMark val="none"/>
        <c:tickLblPos val="nextTo"/>
        <c:crossAx val="19138611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-0.12106616414338195</c:v>
                </c:pt>
                <c:pt idx="1">
                  <c:v>-1.4948040322576081E-2</c:v>
                </c:pt>
                <c:pt idx="2">
                  <c:v>-1.0765231847087721E-2</c:v>
                </c:pt>
                <c:pt idx="3">
                  <c:v>-0.30404771155856042</c:v>
                </c:pt>
                <c:pt idx="4">
                  <c:v>3.9177302488753903E-2</c:v>
                </c:pt>
                <c:pt idx="5">
                  <c:v>-6.0529866912886837E-2</c:v>
                </c:pt>
              </c:numCache>
            </c:numRef>
          </c:val>
          <c:smooth val="0"/>
          <c:extLst xmlns:c16r2="http://schemas.microsoft.com/office/drawing/2015/06/char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191386624"/>
        <c:axId val="191600256"/>
      </c:lineChart>
      <c:catAx>
        <c:axId val="191386624"/>
        <c:scaling>
          <c:orientation val="minMax"/>
        </c:scaling>
        <c:delete val="0"/>
        <c:axPos val="b"/>
        <c:majorTickMark val="out"/>
        <c:minorTickMark val="none"/>
        <c:tickLblPos val="nextTo"/>
        <c:crossAx val="191600256"/>
        <c:crosses val="autoZero"/>
        <c:auto val="1"/>
        <c:lblAlgn val="ctr"/>
        <c:lblOffset val="100"/>
        <c:noMultiLvlLbl val="0"/>
      </c:catAx>
      <c:valAx>
        <c:axId val="191600256"/>
        <c:scaling>
          <c:orientation val="minMax"/>
        </c:scaling>
        <c:delete val="0"/>
        <c:axPos val="l"/>
        <c:majorGridlines/>
        <c:numFmt formatCode="0.00%" sourceLinked="1"/>
        <c:majorTickMark val="out"/>
        <c:minorTickMark val="none"/>
        <c:tickLblPos val="nextTo"/>
        <c:crossAx val="191386624"/>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-1.2756818724026611E-2</c:v>
                </c:pt>
                <c:pt idx="1">
                  <c:v>4.6711161089438666E-2</c:v>
                </c:pt>
                <c:pt idx="2">
                  <c:v>1.5306731225306762E-2</c:v>
                </c:pt>
                <c:pt idx="3">
                  <c:v>3.6841513919476439E-2</c:v>
                </c:pt>
                <c:pt idx="4">
                  <c:v>1.0174163113839032E-2</c:v>
                </c:pt>
                <c:pt idx="5">
                  <c:v>2.0126113688885127E-2</c:v>
                </c:pt>
              </c:numCache>
            </c:numRef>
          </c:val>
          <c:smooth val="0"/>
          <c:extLst xmlns:c16r2="http://schemas.microsoft.com/office/drawing/2015/06/char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194855424"/>
        <c:axId val="191601984"/>
      </c:lineChart>
      <c:catAx>
        <c:axId val="194855424"/>
        <c:scaling>
          <c:orientation val="minMax"/>
        </c:scaling>
        <c:delete val="0"/>
        <c:axPos val="b"/>
        <c:majorTickMark val="out"/>
        <c:minorTickMark val="none"/>
        <c:tickLblPos val="nextTo"/>
        <c:crossAx val="191601984"/>
        <c:crosses val="autoZero"/>
        <c:auto val="1"/>
        <c:lblAlgn val="ctr"/>
        <c:lblOffset val="100"/>
        <c:noMultiLvlLbl val="0"/>
      </c:catAx>
      <c:valAx>
        <c:axId val="191601984"/>
        <c:scaling>
          <c:orientation val="minMax"/>
        </c:scaling>
        <c:delete val="0"/>
        <c:axPos val="l"/>
        <c:majorGridlines/>
        <c:numFmt formatCode="0.00%" sourceLinked="1"/>
        <c:majorTickMark val="out"/>
        <c:minorTickMark val="none"/>
        <c:tickLblPos val="nextTo"/>
        <c:crossAx val="194855424"/>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-14.480545600649409</c:v>
                </c:pt>
                <c:pt idx="1">
                  <c:v>-9.283660542250173</c:v>
                </c:pt>
                <c:pt idx="2">
                  <c:v>-5.6794791832854088</c:v>
                </c:pt>
                <c:pt idx="3">
                  <c:v>25.726483462387655</c:v>
                </c:pt>
                <c:pt idx="4">
                  <c:v>535.61229994436928</c:v>
                </c:pt>
                <c:pt idx="5">
                  <c:v>14.09997087402399</c:v>
                </c:pt>
              </c:numCache>
            </c:numRef>
          </c:val>
          <c:smooth val="0"/>
          <c:extLst xmlns:c16r2="http://schemas.microsoft.com/office/drawing/2015/06/char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0.77936247423273086</c:v>
                </c:pt>
                <c:pt idx="1">
                  <c:v>0.90531733013092786</c:v>
                </c:pt>
                <c:pt idx="2">
                  <c:v>1.0539384513107233</c:v>
                </c:pt>
                <c:pt idx="3">
                  <c:v>0.92106402976097945</c:v>
                </c:pt>
                <c:pt idx="4">
                  <c:v>0.92036940001101097</c:v>
                </c:pt>
                <c:pt idx="5">
                  <c:v>0.80096213033205776</c:v>
                </c:pt>
              </c:numCache>
            </c:numRef>
          </c:val>
          <c:smooth val="0"/>
          <c:extLst xmlns:c16r2="http://schemas.microsoft.com/office/drawing/2015/06/char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3.2414955416691771</c:v>
                </c:pt>
                <c:pt idx="1">
                  <c:v>2.3874165529462017</c:v>
                </c:pt>
                <c:pt idx="2">
                  <c:v>1.4274071226082559</c:v>
                </c:pt>
                <c:pt idx="3">
                  <c:v>10.628643234218101</c:v>
                </c:pt>
                <c:pt idx="4">
                  <c:v>4.4598650455974855</c:v>
                </c:pt>
                <c:pt idx="5">
                  <c:v>8.2847174426775396</c:v>
                </c:pt>
              </c:numCache>
            </c:numRef>
          </c:val>
          <c:smooth val="0"/>
          <c:extLst xmlns:c16r2="http://schemas.microsoft.com/office/drawing/2015/06/char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44.71012417714919</c:v>
                </c:pt>
                <c:pt idx="1">
                  <c:v>32.50107090977373</c:v>
                </c:pt>
                <c:pt idx="2">
                  <c:v>34.992974319799316</c:v>
                </c:pt>
                <c:pt idx="3">
                  <c:v>30.649832492963267</c:v>
                </c:pt>
                <c:pt idx="4">
                  <c:v>27.229032127361936</c:v>
                </c:pt>
                <c:pt idx="5">
                  <c:v>28.778266592677362</c:v>
                </c:pt>
              </c:numCache>
            </c:numRef>
          </c:val>
          <c:smooth val="0"/>
          <c:extLst xmlns:c16r2="http://schemas.microsoft.com/office/drawing/2015/06/char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194856448"/>
        <c:axId val="190841984"/>
      </c:lineChart>
      <c:catAx>
        <c:axId val="194856448"/>
        <c:scaling>
          <c:orientation val="minMax"/>
        </c:scaling>
        <c:delete val="0"/>
        <c:axPos val="b"/>
        <c:majorTickMark val="out"/>
        <c:minorTickMark val="none"/>
        <c:tickLblPos val="nextTo"/>
        <c:crossAx val="190841984"/>
        <c:crosses val="autoZero"/>
        <c:auto val="1"/>
        <c:lblAlgn val="ctr"/>
        <c:lblOffset val="100"/>
        <c:noMultiLvlLbl val="0"/>
      </c:catAx>
      <c:valAx>
        <c:axId val="190841984"/>
        <c:scaling>
          <c:orientation val="minMax"/>
        </c:scaling>
        <c:delete val="0"/>
        <c:axPos val="l"/>
        <c:majorGridlines/>
        <c:numFmt formatCode="#,##0.00_ " sourceLinked="1"/>
        <c:majorTickMark val="out"/>
        <c:minorTickMark val="none"/>
        <c:tickLblPos val="nextTo"/>
        <c:crossAx val="194856448"/>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0.77317122488929091</c:v>
                </c:pt>
                <c:pt idx="1">
                  <c:v>0.89299978076651565</c:v>
                </c:pt>
                <c:pt idx="2">
                  <c:v>1.0383218760248314</c:v>
                </c:pt>
                <c:pt idx="3">
                  <c:v>0.90667205004243601</c:v>
                </c:pt>
                <c:pt idx="4">
                  <c:v>0.87989693889184761</c:v>
                </c:pt>
                <c:pt idx="5">
                  <c:v>6.7988863904164347</c:v>
                </c:pt>
              </c:numCache>
            </c:numRef>
          </c:val>
          <c:smooth val="0"/>
          <c:extLst xmlns:c16r2="http://schemas.microsoft.com/office/drawing/2015/06/char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2.1160158602812262</c:v>
                </c:pt>
                <c:pt idx="1">
                  <c:v>1.7129108496903607</c:v>
                </c:pt>
                <c:pt idx="2">
                  <c:v>1.5382211563470689</c:v>
                </c:pt>
                <c:pt idx="3">
                  <c:v>1.1927236605668199</c:v>
                </c:pt>
                <c:pt idx="4">
                  <c:v>1.1336071258644007</c:v>
                </c:pt>
                <c:pt idx="5">
                  <c:v>0.98210577228893903</c:v>
                </c:pt>
              </c:numCache>
            </c:numRef>
          </c:val>
          <c:smooth val="0"/>
          <c:extLst xmlns:c16r2="http://schemas.microsoft.com/office/drawing/2015/06/char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1.4320017950109387</c:v>
                </c:pt>
                <c:pt idx="1">
                  <c:v>2.9106530847875112</c:v>
                </c:pt>
                <c:pt idx="2">
                  <c:v>6.8221380189922991</c:v>
                </c:pt>
                <c:pt idx="3">
                  <c:v>12.960025293724737</c:v>
                </c:pt>
                <c:pt idx="4">
                  <c:v>9.2946203668999274</c:v>
                </c:pt>
                <c:pt idx="5">
                  <c:v>9.8405145771407962</c:v>
                </c:pt>
              </c:numCache>
            </c:numRef>
          </c:val>
          <c:smooth val="0"/>
          <c:extLst xmlns:c16r2="http://schemas.microsoft.com/office/drawing/2015/06/char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13.750166324496044</c:v>
                </c:pt>
                <c:pt idx="1">
                  <c:v>10.278154555347616</c:v>
                </c:pt>
                <c:pt idx="2">
                  <c:v>10.994826989535069</c:v>
                </c:pt>
                <c:pt idx="3">
                  <c:v>15.694902678812767</c:v>
                </c:pt>
                <c:pt idx="4">
                  <c:v>22.348618496071879</c:v>
                </c:pt>
                <c:pt idx="5">
                  <c:v>21.067296920556167</c:v>
                </c:pt>
              </c:numCache>
            </c:numRef>
          </c:val>
          <c:smooth val="0"/>
          <c:extLst xmlns:c16r2="http://schemas.microsoft.com/office/drawing/2015/06/char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192385024"/>
        <c:axId val="190844288"/>
      </c:lineChart>
      <c:catAx>
        <c:axId val="192385024"/>
        <c:scaling>
          <c:orientation val="minMax"/>
        </c:scaling>
        <c:delete val="0"/>
        <c:axPos val="b"/>
        <c:majorTickMark val="out"/>
        <c:minorTickMark val="none"/>
        <c:tickLblPos val="nextTo"/>
        <c:crossAx val="190844288"/>
        <c:crosses val="autoZero"/>
        <c:auto val="1"/>
        <c:lblAlgn val="ctr"/>
        <c:lblOffset val="100"/>
        <c:noMultiLvlLbl val="0"/>
      </c:catAx>
      <c:valAx>
        <c:axId val="190844288"/>
        <c:scaling>
          <c:orientation val="minMax"/>
        </c:scaling>
        <c:delete val="0"/>
        <c:axPos val="l"/>
        <c:majorGridlines/>
        <c:numFmt formatCode="#,##0.00_ " sourceLinked="1"/>
        <c:majorTickMark val="out"/>
        <c:minorTickMark val="none"/>
        <c:tickLblPos val="nextTo"/>
        <c:crossAx val="192385024"/>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3.9852236288105152</c:v>
                </c:pt>
                <c:pt idx="1">
                  <c:v>4.0665050839152448</c:v>
                </c:pt>
                <c:pt idx="2">
                  <c:v>4.6266026998513299</c:v>
                </c:pt>
                <c:pt idx="3">
                  <c:v>5.33608230362805</c:v>
                </c:pt>
                <c:pt idx="4">
                  <c:v>4.2908415575901842</c:v>
                </c:pt>
                <c:pt idx="5">
                  <c:v>4.0517824472427355</c:v>
                </c:pt>
              </c:numCache>
            </c:numRef>
          </c:val>
          <c:smooth val="0"/>
          <c:extLst xmlns:c16r2="http://schemas.microsoft.com/office/drawing/2015/06/char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8.2615805246427261</c:v>
                </c:pt>
                <c:pt idx="1">
                  <c:v>6.9417877385043099</c:v>
                </c:pt>
                <c:pt idx="2">
                  <c:v>6.0870389588392957</c:v>
                </c:pt>
                <c:pt idx="3">
                  <c:v>7.5017831912225414</c:v>
                </c:pt>
                <c:pt idx="4">
                  <c:v>7.2101175382740426</c:v>
                </c:pt>
                <c:pt idx="5">
                  <c:v>7.7819725627960699</c:v>
                </c:pt>
              </c:numCache>
            </c:numRef>
          </c:val>
          <c:smooth val="0"/>
          <c:extLst xmlns:c16r2="http://schemas.microsoft.com/office/drawing/2015/06/char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2.4520948423519786</c:v>
                </c:pt>
                <c:pt idx="1">
                  <c:v>2.1152701654758048</c:v>
                </c:pt>
                <c:pt idx="2">
                  <c:v>2.6060058879362602</c:v>
                </c:pt>
                <c:pt idx="3">
                  <c:v>3.7494112026879125</c:v>
                </c:pt>
                <c:pt idx="4">
                  <c:v>3.3002864692124807</c:v>
                </c:pt>
                <c:pt idx="5">
                  <c:v>4.0446848171307659</c:v>
                </c:pt>
              </c:numCache>
            </c:numRef>
          </c:val>
          <c:smooth val="0"/>
          <c:extLst xmlns:c16r2="http://schemas.microsoft.com/office/drawing/2015/06/char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194857984"/>
        <c:axId val="190846592"/>
      </c:lineChart>
      <c:catAx>
        <c:axId val="194857984"/>
        <c:scaling>
          <c:orientation val="minMax"/>
        </c:scaling>
        <c:delete val="0"/>
        <c:axPos val="b"/>
        <c:majorTickMark val="out"/>
        <c:minorTickMark val="none"/>
        <c:tickLblPos val="nextTo"/>
        <c:crossAx val="190846592"/>
        <c:crosses val="autoZero"/>
        <c:auto val="1"/>
        <c:lblAlgn val="ctr"/>
        <c:lblOffset val="100"/>
        <c:noMultiLvlLbl val="0"/>
      </c:catAx>
      <c:valAx>
        <c:axId val="190846592"/>
        <c:scaling>
          <c:orientation val="minMax"/>
        </c:scaling>
        <c:delete val="0"/>
        <c:axPos val="l"/>
        <c:majorGridlines/>
        <c:numFmt formatCode="#,##0.00_ " sourceLinked="1"/>
        <c:majorTickMark val="out"/>
        <c:minorTickMark val="none"/>
        <c:tickLblPos val="nextTo"/>
        <c:crossAx val="19485798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3.6564606776192658E-2</c:v>
                </c:pt>
                <c:pt idx="1">
                  <c:v>5.0682129731588511E-2</c:v>
                </c:pt>
                <c:pt idx="2">
                  <c:v>7.4012583838336601E-2</c:v>
                </c:pt>
                <c:pt idx="3">
                  <c:v>9.206483438582326E-2</c:v>
                </c:pt>
                <c:pt idx="4">
                  <c:v>8.2986377066799288E-2</c:v>
                </c:pt>
                <c:pt idx="5">
                  <c:v>5.5810291699938321E-2</c:v>
                </c:pt>
              </c:numCache>
            </c:numRef>
          </c:val>
          <c:smooth val="0"/>
          <c:extLst xmlns:c16r2="http://schemas.microsoft.com/office/drawing/2015/06/char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192386560"/>
        <c:axId val="195239936"/>
      </c:lineChart>
      <c:catAx>
        <c:axId val="192386560"/>
        <c:scaling>
          <c:orientation val="minMax"/>
        </c:scaling>
        <c:delete val="0"/>
        <c:axPos val="b"/>
        <c:majorTickMark val="out"/>
        <c:minorTickMark val="none"/>
        <c:tickLblPos val="nextTo"/>
        <c:crossAx val="195239936"/>
        <c:crosses val="autoZero"/>
        <c:auto val="1"/>
        <c:lblAlgn val="ctr"/>
        <c:lblOffset val="100"/>
        <c:noMultiLvlLbl val="0"/>
      </c:catAx>
      <c:valAx>
        <c:axId val="195239936"/>
        <c:scaling>
          <c:orientation val="minMax"/>
        </c:scaling>
        <c:delete val="0"/>
        <c:axPos val="l"/>
        <c:majorGridlines/>
        <c:numFmt formatCode="0.00%" sourceLinked="1"/>
        <c:majorTickMark val="out"/>
        <c:minorTickMark val="none"/>
        <c:tickLblPos val="nextTo"/>
        <c:crossAx val="192386560"/>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4.4390962509629622E-2</c:v>
                </c:pt>
                <c:pt idx="1">
                  <c:v>5.0523440502712728E-2</c:v>
                </c:pt>
                <c:pt idx="2">
                  <c:v>5.7193189193328837E-2</c:v>
                </c:pt>
                <c:pt idx="3">
                  <c:v>0.10353347052696334</c:v>
                </c:pt>
                <c:pt idx="4">
                  <c:v>9.0321317405293436E-2</c:v>
                </c:pt>
                <c:pt idx="5">
                  <c:v>7.3637249091074095E-2</c:v>
                </c:pt>
              </c:numCache>
            </c:numRef>
          </c:val>
          <c:smooth val="0"/>
          <c:extLst xmlns:c16r2="http://schemas.microsoft.com/office/drawing/2015/06/char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192388608"/>
        <c:axId val="195241664"/>
      </c:lineChart>
      <c:catAx>
        <c:axId val="192388608"/>
        <c:scaling>
          <c:orientation val="minMax"/>
        </c:scaling>
        <c:delete val="0"/>
        <c:axPos val="b"/>
        <c:majorTickMark val="out"/>
        <c:minorTickMark val="none"/>
        <c:tickLblPos val="nextTo"/>
        <c:crossAx val="195241664"/>
        <c:crosses val="autoZero"/>
        <c:auto val="1"/>
        <c:lblAlgn val="ctr"/>
        <c:lblOffset val="100"/>
        <c:noMultiLvlLbl val="0"/>
      </c:catAx>
      <c:valAx>
        <c:axId val="195241664"/>
        <c:scaling>
          <c:orientation val="minMax"/>
        </c:scaling>
        <c:delete val="0"/>
        <c:axPos val="l"/>
        <c:majorGridlines/>
        <c:numFmt formatCode="0.00%" sourceLinked="1"/>
        <c:majorTickMark val="out"/>
        <c:minorTickMark val="none"/>
        <c:tickLblPos val="nextTo"/>
        <c:crossAx val="192388608"/>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161131020.41000038</c:v>
                </c:pt>
                <c:pt idx="1">
                  <c:v>753582504.31000066</c:v>
                </c:pt>
                <c:pt idx="2">
                  <c:v>623357770</c:v>
                </c:pt>
                <c:pt idx="3">
                  <c:v>623503911</c:v>
                </c:pt>
                <c:pt idx="4">
                  <c:v>248822557</c:v>
                </c:pt>
                <c:pt idx="5">
                  <c:v>125692345</c:v>
                </c:pt>
              </c:numCache>
            </c:numRef>
          </c:val>
          <c:extLst xmlns:c16r2="http://schemas.microsoft.com/office/drawing/2015/06/char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14474797146.66</c:v>
                </c:pt>
                <c:pt idx="1">
                  <c:v>13758959516.58</c:v>
                </c:pt>
                <c:pt idx="2">
                  <c:v>13248334175</c:v>
                </c:pt>
                <c:pt idx="3">
                  <c:v>8561115637</c:v>
                </c:pt>
                <c:pt idx="4">
                  <c:v>3285724462</c:v>
                </c:pt>
                <c:pt idx="5">
                  <c:v>3056111991</c:v>
                </c:pt>
              </c:numCache>
            </c:numRef>
          </c:val>
          <c:extLst xmlns:c16r2="http://schemas.microsoft.com/office/drawing/2015/06/char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194950656"/>
        <c:axId val="195244544"/>
      </c:barChart>
      <c:catAx>
        <c:axId val="194950656"/>
        <c:scaling>
          <c:orientation val="minMax"/>
        </c:scaling>
        <c:delete val="0"/>
        <c:axPos val="b"/>
        <c:majorTickMark val="out"/>
        <c:minorTickMark val="none"/>
        <c:tickLblPos val="nextTo"/>
        <c:crossAx val="195244544"/>
        <c:crosses val="autoZero"/>
        <c:auto val="1"/>
        <c:lblAlgn val="ctr"/>
        <c:lblOffset val="100"/>
        <c:noMultiLvlLbl val="0"/>
      </c:catAx>
      <c:valAx>
        <c:axId val="195244544"/>
        <c:scaling>
          <c:orientation val="minMax"/>
        </c:scaling>
        <c:delete val="0"/>
        <c:axPos val="l"/>
        <c:majorGridlines/>
        <c:numFmt formatCode="#,##0.00_ " sourceLinked="1"/>
        <c:majorTickMark val="out"/>
        <c:minorTickMark val="none"/>
        <c:tickLblPos val="nextTo"/>
        <c:crossAx val="19495065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14012500489.6</c:v>
                </c:pt>
                <c:pt idx="1">
                  <c:v>10736756430.530001</c:v>
                </c:pt>
                <c:pt idx="2">
                  <c:v>10530002724</c:v>
                </c:pt>
                <c:pt idx="3">
                  <c:v>9322363339</c:v>
                </c:pt>
                <c:pt idx="4">
                  <c:v>4519377681</c:v>
                </c:pt>
                <c:pt idx="5">
                  <c:v>4333544367</c:v>
                </c:pt>
              </c:numCache>
            </c:numRef>
          </c:val>
          <c:extLst xmlns:c16r2="http://schemas.microsoft.com/office/drawing/2015/06/char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622028383.90000033</c:v>
                </c:pt>
                <c:pt idx="1">
                  <c:v>542457874.71000075</c:v>
                </c:pt>
                <c:pt idx="2">
                  <c:v>602244438</c:v>
                </c:pt>
                <c:pt idx="3">
                  <c:v>965176630</c:v>
                </c:pt>
                <c:pt idx="4">
                  <c:v>408196146</c:v>
                </c:pt>
                <c:pt idx="5">
                  <c:v>319110286</c:v>
                </c:pt>
              </c:numCache>
            </c:numRef>
          </c:val>
          <c:extLst xmlns:c16r2="http://schemas.microsoft.com/office/drawing/2015/06/char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194951680"/>
        <c:axId val="195246272"/>
      </c:barChart>
      <c:catAx>
        <c:axId val="194951680"/>
        <c:scaling>
          <c:orientation val="minMax"/>
        </c:scaling>
        <c:delete val="0"/>
        <c:axPos val="b"/>
        <c:majorTickMark val="out"/>
        <c:minorTickMark val="none"/>
        <c:tickLblPos val="nextTo"/>
        <c:crossAx val="195246272"/>
        <c:crosses val="autoZero"/>
        <c:auto val="1"/>
        <c:lblAlgn val="ctr"/>
        <c:lblOffset val="100"/>
        <c:noMultiLvlLbl val="0"/>
      </c:catAx>
      <c:valAx>
        <c:axId val="195246272"/>
        <c:scaling>
          <c:orientation val="minMax"/>
        </c:scaling>
        <c:delete val="0"/>
        <c:axPos val="l"/>
        <c:majorGridlines/>
        <c:numFmt formatCode="#,##0.00_ " sourceLinked="1"/>
        <c:majorTickMark val="out"/>
        <c:minorTickMark val="none"/>
        <c:tickLblPos val="nextTo"/>
        <c:crossAx val="1949516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-37943077</c:v>
                </c:pt>
                <c:pt idx="1">
                  <c:v>-4938097.84</c:v>
                </c:pt>
                <c:pt idx="2">
                  <c:v>-3239448</c:v>
                </c:pt>
                <c:pt idx="3">
                  <c:v>-92478262</c:v>
                </c:pt>
                <c:pt idx="4">
                  <c:v>6502509</c:v>
                </c:pt>
                <c:pt idx="5">
                  <c:v>-9114825</c:v>
                </c:pt>
              </c:numCache>
            </c:numRef>
          </c:val>
          <c:extLst xmlns:c16r2="http://schemas.microsoft.com/office/drawing/2015/06/char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313407773.91000003</c:v>
                </c:pt>
                <c:pt idx="1">
                  <c:v>330350850.91000003</c:v>
                </c:pt>
                <c:pt idx="2">
                  <c:v>300917625</c:v>
                </c:pt>
                <c:pt idx="3">
                  <c:v>304157073</c:v>
                </c:pt>
                <c:pt idx="4">
                  <c:v>165976435</c:v>
                </c:pt>
                <c:pt idx="5">
                  <c:v>150583926</c:v>
                </c:pt>
              </c:numCache>
            </c:numRef>
          </c:val>
          <c:extLst xmlns:c16r2="http://schemas.microsoft.com/office/drawing/2015/06/char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194952704"/>
        <c:axId val="195076096"/>
      </c:barChart>
      <c:catAx>
        <c:axId val="194952704"/>
        <c:scaling>
          <c:orientation val="minMax"/>
        </c:scaling>
        <c:delete val="0"/>
        <c:axPos val="b"/>
        <c:majorTickMark val="out"/>
        <c:minorTickMark val="none"/>
        <c:tickLblPos val="nextTo"/>
        <c:crossAx val="195076096"/>
        <c:crosses val="autoZero"/>
        <c:auto val="1"/>
        <c:lblAlgn val="ctr"/>
        <c:lblOffset val="100"/>
        <c:noMultiLvlLbl val="0"/>
      </c:catAx>
      <c:valAx>
        <c:axId val="195076096"/>
        <c:scaling>
          <c:orientation val="minMax"/>
        </c:scaling>
        <c:delete val="0"/>
        <c:axPos val="l"/>
        <c:majorGridlines/>
        <c:numFmt formatCode="#,##0.00_ " sourceLinked="1"/>
        <c:majorTickMark val="out"/>
        <c:minorTickMark val="none"/>
        <c:tickLblPos val="nextTo"/>
        <c:crossAx val="19495270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0.805860547975772</c:v>
                </c:pt>
                <c:pt idx="1">
                  <c:v>0.82946557079343564</c:v>
                </c:pt>
                <c:pt idx="2">
                  <c:v>1.0145877652314206</c:v>
                </c:pt>
                <c:pt idx="3">
                  <c:v>1.0432755397718407</c:v>
                </c:pt>
                <c:pt idx="4">
                  <c:v>0.9794094270405822</c:v>
                </c:pt>
                <c:pt idx="5">
                  <c:v>0.98701251801602652</c:v>
                </c:pt>
              </c:numCache>
            </c:numRef>
          </c:val>
          <c:smooth val="0"/>
          <c:extLst xmlns:c16r2="http://schemas.microsoft.com/office/drawing/2015/06/char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0.79023245149353005</c:v>
                </c:pt>
                <c:pt idx="1">
                  <c:v>0.8168876317210666</c:v>
                </c:pt>
                <c:pt idx="2">
                  <c:v>0.74648690295520603</c:v>
                </c:pt>
                <c:pt idx="3">
                  <c:v>0.93390282570621641</c:v>
                </c:pt>
                <c:pt idx="4">
                  <c:v>0.79806487046928321</c:v>
                </c:pt>
                <c:pt idx="5">
                  <c:v>0.90334185911418674</c:v>
                </c:pt>
              </c:numCache>
            </c:numRef>
          </c:val>
          <c:smooth val="0"/>
          <c:extLst xmlns:c16r2="http://schemas.microsoft.com/office/drawing/2015/06/char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4.7233384387685167</c:v>
                </c:pt>
                <c:pt idx="1">
                  <c:v>2.1049125087183018</c:v>
                </c:pt>
                <c:pt idx="2">
                  <c:v>8.0262011543704403</c:v>
                </c:pt>
                <c:pt idx="3">
                  <c:v>1.6381395461841475</c:v>
                </c:pt>
                <c:pt idx="4">
                  <c:v>3.9596678886329402</c:v>
                </c:pt>
                <c:pt idx="5">
                  <c:v>2.8077912632816759</c:v>
                </c:pt>
              </c:numCache>
            </c:numRef>
          </c:val>
          <c:smooth val="0"/>
          <c:extLst xmlns:c16r2="http://schemas.microsoft.com/office/drawing/2015/06/char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11.923237233348788</c:v>
                </c:pt>
                <c:pt idx="1">
                  <c:v>1.3012602906802737</c:v>
                </c:pt>
                <c:pt idx="2">
                  <c:v>7.1533206845243944</c:v>
                </c:pt>
                <c:pt idx="3">
                  <c:v>2.2224139328614414</c:v>
                </c:pt>
                <c:pt idx="4">
                  <c:v>5.713659296572537</c:v>
                </c:pt>
                <c:pt idx="5">
                  <c:v>6.4995690787692757</c:v>
                </c:pt>
              </c:numCache>
            </c:numRef>
          </c:val>
          <c:smooth val="0"/>
          <c:extLst xmlns:c16r2="http://schemas.microsoft.com/office/drawing/2015/06/char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195164672"/>
        <c:axId val="195077824"/>
      </c:lineChart>
      <c:catAx>
        <c:axId val="195164672"/>
        <c:scaling>
          <c:orientation val="minMax"/>
        </c:scaling>
        <c:delete val="0"/>
        <c:axPos val="b"/>
        <c:majorTickMark val="out"/>
        <c:minorTickMark val="none"/>
        <c:tickLblPos val="nextTo"/>
        <c:crossAx val="195077824"/>
        <c:crosses val="autoZero"/>
        <c:auto val="1"/>
        <c:lblAlgn val="ctr"/>
        <c:lblOffset val="100"/>
        <c:noMultiLvlLbl val="0"/>
      </c:catAx>
      <c:valAx>
        <c:axId val="195077824"/>
        <c:scaling>
          <c:orientation val="minMax"/>
        </c:scaling>
        <c:delete val="0"/>
        <c:axPos val="l"/>
        <c:majorGridlines/>
        <c:numFmt formatCode="#,##0.00_ " sourceLinked="1"/>
        <c:majorTickMark val="out"/>
        <c:minorTickMark val="none"/>
        <c:tickLblPos val="nextTo"/>
        <c:crossAx val="195164672"/>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-3.1404601106296042</c:v>
                </c:pt>
                <c:pt idx="1">
                  <c:v>-1.0916784076894182</c:v>
                </c:pt>
                <c:pt idx="2">
                  <c:v>7.0423091806469946</c:v>
                </c:pt>
                <c:pt idx="3">
                  <c:v>-0.56351918951276625</c:v>
                </c:pt>
                <c:pt idx="4">
                  <c:v>2.143924339708748</c:v>
                </c:pt>
                <c:pt idx="5">
                  <c:v>5.0695168934424952</c:v>
                </c:pt>
              </c:numCache>
            </c:numRef>
          </c:val>
          <c:smooth val="0"/>
          <c:extLst xmlns:c16r2="http://schemas.microsoft.com/office/drawing/2015/06/char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1820288"/>
        <c:axId val="195080128"/>
      </c:lineChart>
      <c:catAx>
        <c:axId val="191820288"/>
        <c:scaling>
          <c:orientation val="minMax"/>
        </c:scaling>
        <c:delete val="0"/>
        <c:axPos val="b"/>
        <c:majorTickMark val="out"/>
        <c:minorTickMark val="none"/>
        <c:tickLblPos val="nextTo"/>
        <c:crossAx val="195080128"/>
        <c:crosses val="autoZero"/>
        <c:auto val="1"/>
        <c:lblAlgn val="ctr"/>
        <c:lblOffset val="100"/>
        <c:noMultiLvlLbl val="0"/>
      </c:catAx>
      <c:valAx>
        <c:axId val="195080128"/>
        <c:scaling>
          <c:orientation val="minMax"/>
        </c:scaling>
        <c:delete val="0"/>
        <c:axPos val="l"/>
        <c:majorGridlines/>
        <c:numFmt formatCode="0.00%" sourceLinked="1"/>
        <c:majorTickMark val="out"/>
        <c:minorTickMark val="none"/>
        <c:tickLblPos val="nextTo"/>
        <c:crossAx val="191820288"/>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1921203382</c:v>
                </c:pt>
                <c:pt idx="1">
                  <c:v>980606988.61000001</c:v>
                </c:pt>
                <c:pt idx="2">
                  <c:v>4459078030</c:v>
                </c:pt>
                <c:pt idx="3">
                  <c:v>1385683779</c:v>
                </c:pt>
                <c:pt idx="4">
                  <c:v>1421687316</c:v>
                </c:pt>
                <c:pt idx="5">
                  <c:v>816946079</c:v>
                </c:pt>
              </c:numCache>
            </c:numRef>
          </c:val>
          <c:smooth val="0"/>
          <c:extLst xmlns:c16r2="http://schemas.microsoft.com/office/drawing/2015/06/char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406746924.21593702</c:v>
                </c:pt>
                <c:pt idx="1">
                  <c:v>465865913.45171851</c:v>
                </c:pt>
                <c:pt idx="2">
                  <c:v>555565197.56197929</c:v>
                </c:pt>
                <c:pt idx="3">
                  <c:v>845888729.21588802</c:v>
                </c:pt>
                <c:pt idx="4">
                  <c:v>359042060.08823431</c:v>
                </c:pt>
                <c:pt idx="5">
                  <c:v>290956842.01437891</c:v>
                </c:pt>
              </c:numCache>
            </c:numRef>
          </c:val>
          <c:smooth val="0"/>
          <c:extLst xmlns:c16r2="http://schemas.microsoft.com/office/drawing/2015/06/char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161131020.41000038</c:v>
                </c:pt>
                <c:pt idx="1">
                  <c:v>753582504.31000066</c:v>
                </c:pt>
                <c:pt idx="2">
                  <c:v>623357770</c:v>
                </c:pt>
                <c:pt idx="3">
                  <c:v>623503911</c:v>
                </c:pt>
                <c:pt idx="4">
                  <c:v>248822557</c:v>
                </c:pt>
                <c:pt idx="5">
                  <c:v>125692345</c:v>
                </c:pt>
              </c:numCache>
            </c:numRef>
          </c:val>
          <c:smooth val="0"/>
          <c:extLst xmlns:c16r2="http://schemas.microsoft.com/office/drawing/2015/06/char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1821312"/>
        <c:axId val="195081856"/>
      </c:lineChart>
      <c:catAx>
        <c:axId val="191821312"/>
        <c:scaling>
          <c:orientation val="minMax"/>
        </c:scaling>
        <c:delete val="0"/>
        <c:axPos val="b"/>
        <c:majorTickMark val="out"/>
        <c:minorTickMark val="none"/>
        <c:tickLblPos val="nextTo"/>
        <c:crossAx val="195081856"/>
        <c:crosses val="autoZero"/>
        <c:auto val="1"/>
        <c:lblAlgn val="ctr"/>
        <c:lblOffset val="100"/>
        <c:noMultiLvlLbl val="0"/>
      </c:catAx>
      <c:valAx>
        <c:axId val="195081856"/>
        <c:scaling>
          <c:orientation val="minMax"/>
        </c:scaling>
        <c:delete val="0"/>
        <c:axPos val="l"/>
        <c:majorGridlines/>
        <c:numFmt formatCode="#,##0.00_ " sourceLinked="1"/>
        <c:majorTickMark val="out"/>
        <c:minorTickMark val="none"/>
        <c:tickLblPos val="nextTo"/>
        <c:crossAx val="191821312"/>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xmlns=""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xmlns=""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xmlns=""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xmlns=""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xmlns=""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xmlns=""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xmlns=""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xmlns=""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xmlns=""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xmlns=""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xmlns=""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xmlns=""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xmlns=""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xmlns=""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xmlns=""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xmlns=""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xmlns=""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xmlns=""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xmlns=""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xmlns=""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xmlns=""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xmlns=""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xmlns=""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xmlns=""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xmlns=""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xmlns=""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xmlns=""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xmlns=""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xmlns=""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xmlns=""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xmlns=""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79</xdr:col>
      <xdr:colOff>960119</xdr:colOff>
      <xdr:row>57</xdr:row>
      <xdr:rowOff>315277</xdr:rowOff>
    </xdr:from>
    <xdr:to>
      <xdr:col>83</xdr:col>
      <xdr:colOff>876300</xdr:colOff>
      <xdr:row>72</xdr:row>
      <xdr:rowOff>5715</xdr:rowOff>
    </xdr:to>
    <xdr:graphicFrame macro="">
      <xdr:nvGraphicFramePr>
        <xdr:cNvPr id="7" name="图表 6">
          <a:extLst>
            <a:ext uri="{FF2B5EF4-FFF2-40B4-BE49-F238E27FC236}">
              <a16:creationId xmlns:a16="http://schemas.microsoft.com/office/drawing/2014/main" xmlns=""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xmlns=""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xmlns=""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xmlns=""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xmlns=""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xmlns=""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222248</xdr:colOff>
      <xdr:row>37</xdr:row>
      <xdr:rowOff>9439</xdr:rowOff>
    </xdr:to>
    <xdr:pic>
      <xdr:nvPicPr>
        <xdr:cNvPr id="2" name="图片 1">
          <a:extLst>
            <a:ext uri="{FF2B5EF4-FFF2-40B4-BE49-F238E27FC236}">
              <a16:creationId xmlns:a16="http://schemas.microsoft.com/office/drawing/2014/main" xmlns=""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xmlns=""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xmlns=""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xmlns=""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270021</xdr:colOff>
      <xdr:row>27</xdr:row>
      <xdr:rowOff>38002</xdr:rowOff>
    </xdr:to>
    <xdr:pic>
      <xdr:nvPicPr>
        <xdr:cNvPr id="2" name="图片 1">
          <a:extLst>
            <a:ext uri="{FF2B5EF4-FFF2-40B4-BE49-F238E27FC236}">
              <a16:creationId xmlns:a16="http://schemas.microsoft.com/office/drawing/2014/main" xmlns=""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xmlns=""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917615</xdr:colOff>
      <xdr:row>47</xdr:row>
      <xdr:rowOff>38016</xdr:rowOff>
    </xdr:to>
    <xdr:pic>
      <xdr:nvPicPr>
        <xdr:cNvPr id="4" name="图片 3">
          <a:extLst>
            <a:ext uri="{FF2B5EF4-FFF2-40B4-BE49-F238E27FC236}">
              <a16:creationId xmlns:a16="http://schemas.microsoft.com/office/drawing/2014/main" xmlns=""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id="1" name="表1" displayName="表1" ref="A51:CK56" headerRowCount="0" totalsRowShown="0" headerRowDxfId="180" tableBorderDxfId="179" headerRowCellStyle="好" dataCellStyle="好">
  <tableColumns count="89">
    <tableColumn id="1" name="列1" headerRowDxfId="178" dataDxfId="177" headerRowCellStyle="好" dataCellStyle="好"/>
    <tableColumn id="2" name="列2" headerRowDxfId="176" headerRowCellStyle="好" dataCellStyle="好"/>
    <tableColumn id="3" name="列3" headerRowDxfId="175" headerRowCellStyle="好" dataCellStyle="好"/>
    <tableColumn id="4" name="列4" headerRowDxfId="174" headerRowCellStyle="好" dataCellStyle="好"/>
    <tableColumn id="5" name="列5" headerRowDxfId="173" headerRowCellStyle="好" dataCellStyle="好"/>
    <tableColumn id="6" name="列6" headerRowDxfId="172" headerRowCellStyle="好" dataCellStyle="好"/>
    <tableColumn id="7" name="列7" headerRowDxfId="171" headerRowCellStyle="好" dataCellStyle="好"/>
    <tableColumn id="8" name="列8" headerRowDxfId="170" headerRowCellStyle="好" dataCellStyle="好"/>
    <tableColumn id="9" name="列9" headerRowDxfId="169" headerRowCellStyle="好" dataCellStyle="好"/>
    <tableColumn id="10" name="列10" headerRowDxfId="168" headerRowCellStyle="好" dataCellStyle="好"/>
    <tableColumn id="11" name="列11" headerRowDxfId="167" headerRowCellStyle="好" dataCellStyle="好"/>
    <tableColumn id="12" name="列12" headerRowDxfId="166" headerRowCellStyle="好" dataCellStyle="好"/>
    <tableColumn id="13" name="列13" headerRowDxfId="165" headerRowCellStyle="好" dataCellStyle="好"/>
    <tableColumn id="14" name="列14" headerRowDxfId="164" headerRowCellStyle="好" dataCellStyle="好"/>
    <tableColumn id="15" name="列15" headerRowDxfId="163" headerRowCellStyle="好" dataCellStyle="好"/>
    <tableColumn id="16" name="列16" headerRowDxfId="162" headerRowCellStyle="好" dataCellStyle="好"/>
    <tableColumn id="17" name="列17" headerRowDxfId="161" headerRowCellStyle="好" dataCellStyle="好"/>
    <tableColumn id="18" name="列18" headerRowDxfId="160" headerRowCellStyle="好" dataCellStyle="好"/>
    <tableColumn id="19" name="列19" headerRowDxfId="159" headerRowCellStyle="好" dataCellStyle="好"/>
    <tableColumn id="20" name="列20" headerRowDxfId="158" headerRowCellStyle="好" dataCellStyle="好"/>
    <tableColumn id="21" name="列21" headerRowDxfId="157" headerRowCellStyle="好" dataCellStyle="好"/>
    <tableColumn id="22" name="列22" headerRowDxfId="156" headerRowCellStyle="好" dataCellStyle="好"/>
    <tableColumn id="23" name="列23" headerRowDxfId="155" headerRowCellStyle="好" dataCellStyle="好"/>
    <tableColumn id="24" name="列24" headerRowDxfId="154" headerRowCellStyle="好" dataCellStyle="好"/>
    <tableColumn id="25" name="列25" headerRowDxfId="153" headerRowCellStyle="好" dataCellStyle="好"/>
    <tableColumn id="26" name="列26" headerRowDxfId="152" headerRowCellStyle="好" dataCellStyle="好"/>
    <tableColumn id="27" name="列27" headerRowDxfId="151" headerRowCellStyle="好" dataCellStyle="好"/>
    <tableColumn id="28" name="列28" headerRowDxfId="150" headerRowCellStyle="好" dataCellStyle="好"/>
    <tableColumn id="29" name="列29" headerRowDxfId="149" headerRowCellStyle="好" dataCellStyle="好"/>
    <tableColumn id="30" name="列30" headerRowDxfId="148" headerRowCellStyle="好" dataCellStyle="好"/>
    <tableColumn id="31" name="列31" headerRowDxfId="147" headerRowCellStyle="好" dataCellStyle="好"/>
    <tableColumn id="32" name="列32" headerRowDxfId="146" headerRowCellStyle="好" dataCellStyle="好"/>
    <tableColumn id="33" name="列33" headerRowDxfId="145" headerRowCellStyle="好" dataCellStyle="好"/>
    <tableColumn id="34" name="列34" headerRowDxfId="144" headerRowCellStyle="好" dataCellStyle="好"/>
    <tableColumn id="35" name="列35" headerRowDxfId="143" headerRowCellStyle="好" dataCellStyle="好"/>
    <tableColumn id="36" name="列36" headerRowDxfId="142" headerRowCellStyle="好" dataCellStyle="好"/>
    <tableColumn id="37" name="列37" headerRowDxfId="141" headerRowCellStyle="好" dataCellStyle="好"/>
    <tableColumn id="38" name="列38" headerRowDxfId="140" headerRowCellStyle="好" dataCellStyle="好"/>
    <tableColumn id="39" name="列39" headerRowDxfId="139" headerRowCellStyle="好" dataCellStyle="好"/>
    <tableColumn id="40" name="列40" headerRowDxfId="138" headerRowCellStyle="好" dataCellStyle="好"/>
    <tableColumn id="41" name="列41" headerRowDxfId="137" headerRowCellStyle="好" dataCellStyle="好"/>
    <tableColumn id="42" name="列42" headerRowDxfId="136" headerRowCellStyle="好" dataCellStyle="好"/>
    <tableColumn id="43" name="列43" headerRowDxfId="135" headerRowCellStyle="好" dataCellStyle="好"/>
    <tableColumn id="44" name="列44" headerRowDxfId="134" headerRowCellStyle="好" dataCellStyle="好"/>
    <tableColumn id="45" name="列45" headerRowDxfId="133" headerRowCellStyle="好" dataCellStyle="好"/>
    <tableColumn id="46" name="列46" headerRowDxfId="132" headerRowCellStyle="好" dataCellStyle="好"/>
    <tableColumn id="47" name="列47" headerRowDxfId="131" headerRowCellStyle="好" dataCellStyle="好"/>
    <tableColumn id="48" name="列48" headerRowDxfId="130" headerRowCellStyle="好" dataCellStyle="好"/>
    <tableColumn id="49" name="列49" headerRowDxfId="129" headerRowCellStyle="好" dataCellStyle="好"/>
    <tableColumn id="50" name="列50" headerRowDxfId="128" headerRowCellStyle="好" dataCellStyle="好"/>
    <tableColumn id="51" name="列51" headerRowDxfId="127" headerRowCellStyle="好" dataCellStyle="好"/>
    <tableColumn id="52" name="列52" headerRowDxfId="126" headerRowCellStyle="好" dataCellStyle="好"/>
    <tableColumn id="53" name="列53" headerRowDxfId="125" headerRowCellStyle="好" dataCellStyle="好"/>
    <tableColumn id="54" name="列54" headerRowDxfId="124" headerRowCellStyle="好" dataCellStyle="好"/>
    <tableColumn id="55" name="列55" headerRowDxfId="123" headerRowCellStyle="好" dataCellStyle="好"/>
    <tableColumn id="56" name="列56" headerRowDxfId="122" headerRowCellStyle="好" dataCellStyle="好"/>
    <tableColumn id="57" name="列57" headerRowDxfId="121" headerRowCellStyle="好" dataCellStyle="好"/>
    <tableColumn id="58" name="列58" headerRowDxfId="120" headerRowCellStyle="好" dataCellStyle="好"/>
    <tableColumn id="59" name="列59" headerRowDxfId="119" headerRowCellStyle="好" dataCellStyle="好"/>
    <tableColumn id="60" name="列60" headerRowDxfId="118" headerRowCellStyle="好" dataCellStyle="好"/>
    <tableColumn id="61" name="列61" headerRowDxfId="117" headerRowCellStyle="好" dataCellStyle="好"/>
    <tableColumn id="62" name="列62" headerRowDxfId="116" headerRowCellStyle="好" dataCellStyle="好"/>
    <tableColumn id="63" name="列63" headerRowDxfId="115" headerRowCellStyle="好" dataCellStyle="好"/>
    <tableColumn id="64" name="列64" headerRowDxfId="114" headerRowCellStyle="好" dataCellStyle="好"/>
    <tableColumn id="65" name="列65" headerRowDxfId="113" headerRowCellStyle="好" dataCellStyle="好"/>
    <tableColumn id="66" name="列66" headerRowDxfId="112" headerRowCellStyle="好" dataCellStyle="好"/>
    <tableColumn id="67" name="列67" headerRowDxfId="111" headerRowCellStyle="好" dataCellStyle="好"/>
    <tableColumn id="68" name="列68" headerRowDxfId="110" headerRowCellStyle="好" dataCellStyle="好"/>
    <tableColumn id="69" name="列69" headerRowDxfId="109" headerRowCellStyle="好" dataCellStyle="好"/>
    <tableColumn id="70" name="列70" headerRowDxfId="108" headerRowCellStyle="好" dataCellStyle="好"/>
    <tableColumn id="71" name="列71" headerRowDxfId="107" headerRowCellStyle="好" dataCellStyle="好"/>
    <tableColumn id="72" name="列72" headerRowDxfId="106" headerRowCellStyle="好" dataCellStyle="好"/>
    <tableColumn id="73" name="列73" headerRowDxfId="105" headerRowCellStyle="好" dataCellStyle="好"/>
    <tableColumn id="74" name="列74" headerRowDxfId="104" headerRowCellStyle="好" dataCellStyle="好"/>
    <tableColumn id="75" name="列75" headerRowDxfId="103" headerRowCellStyle="好" dataCellStyle="好"/>
    <tableColumn id="76" name="列76" headerRowDxfId="102" headerRowCellStyle="好" dataCellStyle="好"/>
    <tableColumn id="77" name="列77" headerRowDxfId="101" headerRowCellStyle="好" dataCellStyle="好"/>
    <tableColumn id="78" name="列78" headerRowDxfId="100" headerRowCellStyle="好" dataCellStyle="好"/>
    <tableColumn id="79" name="列79" headerRowDxfId="99" headerRowCellStyle="好" dataCellStyle="好"/>
    <tableColumn id="80" name="列80" headerRowDxfId="98" headerRowCellStyle="好" dataCellStyle="好"/>
    <tableColumn id="81" name="列81" headerRowDxfId="97" headerRowCellStyle="好" dataCellStyle="好"/>
    <tableColumn id="82" name="列82" headerRowDxfId="96" headerRowCellStyle="好" dataCellStyle="好"/>
    <tableColumn id="83" name="列83" headerRowDxfId="95" headerRowCellStyle="好" dataCellStyle="好"/>
    <tableColumn id="84" name="列84" headerRowDxfId="94" headerRowCellStyle="好" dataCellStyle="好"/>
    <tableColumn id="85" name="列85" headerRowDxfId="93" headerRowCellStyle="好" dataCellStyle="好"/>
    <tableColumn id="86" name="列86" headerRowDxfId="92" headerRowCellStyle="好" dataCellStyle="好"/>
    <tableColumn id="87" name="列87" headerRowDxfId="91" headerRowCellStyle="好" dataCellStyle="好"/>
    <tableColumn id="88" name="列88" headerRowDxfId="90" headerRowCellStyle="好" dataCellStyle="好"/>
    <tableColumn id="89"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id="2" name="表2" displayName="表2" ref="A59:CK62" headerRowCount="0" totalsRowShown="0">
  <tableColumns count="89">
    <tableColumn id="1" name="列1" headerRowDxfId="88" dataDxfId="87" dataCellStyle="好"/>
    <tableColumn id="2" name="列2" dataCellStyle="好"/>
    <tableColumn id="3" name="列3" dataCellStyle="好"/>
    <tableColumn id="4" name="列4" dataCellStyle="好"/>
    <tableColumn id="5" name="列5" dataDxfId="86" dataCellStyle="好"/>
    <tableColumn id="6" name="列6" dataDxfId="85" dataCellStyle="好"/>
    <tableColumn id="7" name="列7" dataDxfId="84" dataCellStyle="好"/>
    <tableColumn id="8" name="列8" dataDxfId="83" dataCellStyle="好"/>
    <tableColumn id="9" name="列9" dataDxfId="82" dataCellStyle="好"/>
    <tableColumn id="10" name="列10" dataDxfId="81" dataCellStyle="好"/>
    <tableColumn id="11" name="列11" dataDxfId="80" dataCellStyle="好"/>
    <tableColumn id="12" name="列12" dataDxfId="79" dataCellStyle="好"/>
    <tableColumn id="13" name="列13" dataDxfId="78" dataCellStyle="好"/>
    <tableColumn id="14" name="列14" dataDxfId="77" dataCellStyle="好"/>
    <tableColumn id="15" name="列15" dataDxfId="76" dataCellStyle="好"/>
    <tableColumn id="16" name="列16" dataDxfId="75" dataCellStyle="好"/>
    <tableColumn id="17" name="列17" dataDxfId="74" dataCellStyle="好"/>
    <tableColumn id="18" name="列18" dataDxfId="73" dataCellStyle="好"/>
    <tableColumn id="19" name="列19" dataDxfId="72" dataCellStyle="好"/>
    <tableColumn id="20" name="列20" dataDxfId="71" dataCellStyle="好"/>
    <tableColumn id="21" name="列21" dataDxfId="70" dataCellStyle="好"/>
    <tableColumn id="22" name="列22" dataDxfId="69" dataCellStyle="好"/>
    <tableColumn id="23" name="列23" dataDxfId="68" dataCellStyle="好"/>
    <tableColumn id="24" name="列24" dataDxfId="67" dataCellStyle="好"/>
    <tableColumn id="25" name="列25" dataDxfId="66" dataCellStyle="好"/>
    <tableColumn id="26" name="列26" dataDxfId="65" dataCellStyle="好"/>
    <tableColumn id="27" name="列27" dataDxfId="64" dataCellStyle="好"/>
    <tableColumn id="28" name="列28" dataDxfId="63" dataCellStyle="好"/>
    <tableColumn id="29" name="列29" dataDxfId="62" dataCellStyle="好"/>
    <tableColumn id="30" name="列30" dataDxfId="61" dataCellStyle="好"/>
    <tableColumn id="31" name="列31" dataDxfId="60" dataCellStyle="好"/>
    <tableColumn id="32" name="列32" dataDxfId="59" dataCellStyle="好"/>
    <tableColumn id="33" name="列33" dataDxfId="58" dataCellStyle="好"/>
    <tableColumn id="34" name="列34" dataDxfId="57" dataCellStyle="好"/>
    <tableColumn id="35" name="列35" dataDxfId="56" dataCellStyle="好"/>
    <tableColumn id="36" name="列36" dataDxfId="55" dataCellStyle="好"/>
    <tableColumn id="37" name="列37" dataDxfId="54" dataCellStyle="好"/>
    <tableColumn id="38" name="列38" dataDxfId="53" dataCellStyle="好"/>
    <tableColumn id="39" name="列39" dataDxfId="52" dataCellStyle="好"/>
    <tableColumn id="40" name="列40" dataDxfId="51" dataCellStyle="好"/>
    <tableColumn id="41" name="列41" dataDxfId="50" dataCellStyle="好"/>
    <tableColumn id="42" name="列42" dataDxfId="49" dataCellStyle="好"/>
    <tableColumn id="43" name="列43" dataDxfId="48" dataCellStyle="好"/>
    <tableColumn id="44" name="列44" dataDxfId="47" dataCellStyle="好"/>
    <tableColumn id="45" name="列45" dataDxfId="46" dataCellStyle="好"/>
    <tableColumn id="46" name="列46" dataDxfId="45" dataCellStyle="好"/>
    <tableColumn id="47" name="列47" dataDxfId="44" dataCellStyle="好"/>
    <tableColumn id="48" name="列48" dataDxfId="43" dataCellStyle="好"/>
    <tableColumn id="49" name="列49" dataDxfId="42" dataCellStyle="好"/>
    <tableColumn id="50" name="列50" dataDxfId="41" dataCellStyle="好"/>
    <tableColumn id="51" name="列51" dataDxfId="40" dataCellStyle="好"/>
    <tableColumn id="52" name="列52" dataDxfId="39" dataCellStyle="好"/>
    <tableColumn id="53" name="列53" dataDxfId="38" dataCellStyle="好"/>
    <tableColumn id="54" name="列54" dataDxfId="37" dataCellStyle="好"/>
    <tableColumn id="55" name="列55" dataDxfId="36" dataCellStyle="好"/>
    <tableColumn id="56" name="列56" dataDxfId="35" dataCellStyle="好"/>
    <tableColumn id="57" name="列57" dataDxfId="34" dataCellStyle="好"/>
    <tableColumn id="58" name="列58" dataDxfId="33" dataCellStyle="好"/>
    <tableColumn id="59" name="列59" dataDxfId="32" dataCellStyle="好"/>
    <tableColumn id="60" name="列60" dataDxfId="31" dataCellStyle="好"/>
    <tableColumn id="61" name="列61" dataDxfId="30" dataCellStyle="好"/>
    <tableColumn id="62" name="列62" dataDxfId="29" dataCellStyle="好"/>
    <tableColumn id="63" name="列63" dataDxfId="28" dataCellStyle="好"/>
    <tableColumn id="64" name="列64" dataDxfId="27" dataCellStyle="好"/>
    <tableColumn id="65" name="列65" dataDxfId="26" dataCellStyle="好"/>
    <tableColumn id="66" name="列66" dataDxfId="25" dataCellStyle="好"/>
    <tableColumn id="67" name="列67" dataDxfId="24" dataCellStyle="好"/>
    <tableColumn id="68" name="列68" dataDxfId="23" dataCellStyle="好"/>
    <tableColumn id="69" name="列69" dataDxfId="22" dataCellStyle="好"/>
    <tableColumn id="70" name="列70" dataDxfId="21" dataCellStyle="好"/>
    <tableColumn id="71" name="列71" dataDxfId="20" dataCellStyle="好"/>
    <tableColumn id="72" name="列72" dataDxfId="19" dataCellStyle="好"/>
    <tableColumn id="73" name="列73" dataDxfId="18" dataCellStyle="好"/>
    <tableColumn id="74" name="列74" dataDxfId="17" dataCellStyle="好"/>
    <tableColumn id="75" name="列75" dataDxfId="16" dataCellStyle="好"/>
    <tableColumn id="76" name="列76" dataDxfId="15" dataCellStyle="好"/>
    <tableColumn id="77" name="列77" dataDxfId="14" dataCellStyle="好"/>
    <tableColumn id="78" name="列78" dataDxfId="13" dataCellStyle="好"/>
    <tableColumn id="79" name="列79" dataDxfId="12" dataCellStyle="好"/>
    <tableColumn id="80" name="列80" dataDxfId="11" dataCellStyle="好"/>
    <tableColumn id="81" name="列81" dataDxfId="10" dataCellStyle="好"/>
    <tableColumn id="82" name="列82" dataDxfId="9" dataCellStyle="好"/>
    <tableColumn id="83" name="列83" dataDxfId="8" dataCellStyle="好"/>
    <tableColumn id="84" name="列84" dataDxfId="7" dataCellStyle="好"/>
    <tableColumn id="85" name="列85" dataDxfId="6" dataCellStyle="好"/>
    <tableColumn id="86" name="列86" dataDxfId="5" dataCellStyle="好"/>
    <tableColumn id="87" name="列87" dataDxfId="4" dataCellStyle="好"/>
    <tableColumn id="88" name="列88" dataDxfId="3" dataCellStyle="好"/>
    <tableColumn id="89"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id="3" name="表3" displayName="表3" ref="A65:CK70" headerRowCount="0" totalsRowShown="0" headerRowCellStyle="好" dataCellStyle="好">
  <tableColumns count="89">
    <tableColumn id="1" name="列1" headerRowDxfId="1" dataDxfId="0" headerRowCellStyle="好" dataCellStyle="好"/>
    <tableColumn id="2" name="列2" headerRowCellStyle="好" dataCellStyle="好"/>
    <tableColumn id="3" name="列3" headerRowCellStyle="好" dataCellStyle="好"/>
    <tableColumn id="4" name="列4" headerRowCellStyle="好" dataCellStyle="好"/>
    <tableColumn id="5" name="列5" headerRowCellStyle="好" dataCellStyle="好"/>
    <tableColumn id="6" name="列6" headerRowCellStyle="好" dataCellStyle="好"/>
    <tableColumn id="7" name="列7" headerRowCellStyle="好" dataCellStyle="好"/>
    <tableColumn id="8" name="列8" headerRowCellStyle="好" dataCellStyle="好"/>
    <tableColumn id="9" name="列9" headerRowCellStyle="好" dataCellStyle="好"/>
    <tableColumn id="10" name="列10" headerRowCellStyle="好" dataCellStyle="好"/>
    <tableColumn id="11" name="列11" headerRowCellStyle="好" dataCellStyle="好"/>
    <tableColumn id="12" name="列12" headerRowCellStyle="好" dataCellStyle="好"/>
    <tableColumn id="13" name="列13" headerRowCellStyle="好" dataCellStyle="好"/>
    <tableColumn id="14" name="列14" headerRowCellStyle="好" dataCellStyle="好"/>
    <tableColumn id="15" name="列15" headerRowCellStyle="好" dataCellStyle="好"/>
    <tableColumn id="16" name="列16" headerRowCellStyle="好" dataCellStyle="好"/>
    <tableColumn id="17" name="列17" headerRowCellStyle="好" dataCellStyle="好"/>
    <tableColumn id="18" name="列18" headerRowCellStyle="好" dataCellStyle="好"/>
    <tableColumn id="19" name="列19" headerRowCellStyle="好" dataCellStyle="好"/>
    <tableColumn id="20" name="列20" headerRowCellStyle="好" dataCellStyle="好"/>
    <tableColumn id="21" name="列21" headerRowCellStyle="好" dataCellStyle="好"/>
    <tableColumn id="22" name="列22" headerRowCellStyle="好" dataCellStyle="好"/>
    <tableColumn id="23" name="列23" headerRowCellStyle="好" dataCellStyle="好"/>
    <tableColumn id="24" name="列24" headerRowCellStyle="好" dataCellStyle="好"/>
    <tableColumn id="25" name="列25" headerRowCellStyle="好" dataCellStyle="好"/>
    <tableColumn id="26" name="列26" headerRowCellStyle="好" dataCellStyle="好"/>
    <tableColumn id="27" name="列27" headerRowCellStyle="好" dataCellStyle="好"/>
    <tableColumn id="28" name="列28" headerRowCellStyle="好" dataCellStyle="好"/>
    <tableColumn id="29" name="列29" headerRowCellStyle="好" dataCellStyle="好"/>
    <tableColumn id="30" name="列30" headerRowCellStyle="好" dataCellStyle="好"/>
    <tableColumn id="31" name="列31" headerRowCellStyle="好" dataCellStyle="好"/>
    <tableColumn id="32" name="列32" headerRowCellStyle="好" dataCellStyle="好"/>
    <tableColumn id="33" name="列33" headerRowCellStyle="好" dataCellStyle="好"/>
    <tableColumn id="34" name="列34" headerRowCellStyle="好" dataCellStyle="好"/>
    <tableColumn id="35" name="列35" headerRowCellStyle="好" dataCellStyle="好"/>
    <tableColumn id="36" name="列36" headerRowCellStyle="好" dataCellStyle="好"/>
    <tableColumn id="37" name="列37" headerRowCellStyle="好" dataCellStyle="好"/>
    <tableColumn id="38" name="列38" headerRowCellStyle="好" dataCellStyle="好"/>
    <tableColumn id="39" name="列39" headerRowCellStyle="好" dataCellStyle="好"/>
    <tableColumn id="40" name="列40" headerRowCellStyle="好" dataCellStyle="好"/>
    <tableColumn id="41" name="列41" headerRowCellStyle="好" dataCellStyle="好"/>
    <tableColumn id="42" name="列42" headerRowCellStyle="好" dataCellStyle="好"/>
    <tableColumn id="43" name="列43" headerRowCellStyle="好" dataCellStyle="好"/>
    <tableColumn id="44" name="列44" headerRowCellStyle="好" dataCellStyle="好"/>
    <tableColumn id="45" name="列45" headerRowCellStyle="好" dataCellStyle="好"/>
    <tableColumn id="46" name="列46" headerRowCellStyle="好" dataCellStyle="好"/>
    <tableColumn id="47" name="列47" headerRowCellStyle="好" dataCellStyle="好"/>
    <tableColumn id="48" name="列48" headerRowCellStyle="好" dataCellStyle="好"/>
    <tableColumn id="49" name="列49" headerRowCellStyle="好" dataCellStyle="好"/>
    <tableColumn id="50" name="列50" headerRowCellStyle="好" dataCellStyle="好"/>
    <tableColumn id="51" name="列51" headerRowCellStyle="好" dataCellStyle="好"/>
    <tableColumn id="52" name="列52" headerRowCellStyle="好" dataCellStyle="好"/>
    <tableColumn id="53" name="列53" headerRowCellStyle="好" dataCellStyle="好"/>
    <tableColumn id="54" name="列54" headerRowCellStyle="好" dataCellStyle="好"/>
    <tableColumn id="55" name="列55" headerRowCellStyle="好" dataCellStyle="好"/>
    <tableColumn id="56" name="列56" headerRowCellStyle="好" dataCellStyle="好"/>
    <tableColumn id="57" name="列57" headerRowCellStyle="好" dataCellStyle="好"/>
    <tableColumn id="58" name="列58" headerRowCellStyle="好" dataCellStyle="好"/>
    <tableColumn id="59" name="列59" headerRowCellStyle="好" dataCellStyle="好"/>
    <tableColumn id="60" name="列60" headerRowCellStyle="好" dataCellStyle="好"/>
    <tableColumn id="61" name="列61" headerRowCellStyle="好" dataCellStyle="好"/>
    <tableColumn id="62" name="列62" headerRowCellStyle="好" dataCellStyle="好"/>
    <tableColumn id="63" name="列63" headerRowCellStyle="好" dataCellStyle="好"/>
    <tableColumn id="64" name="列64" headerRowCellStyle="好" dataCellStyle="好"/>
    <tableColumn id="65" name="列65" headerRowCellStyle="好" dataCellStyle="好"/>
    <tableColumn id="66" name="列66" headerRowCellStyle="好" dataCellStyle="好"/>
    <tableColumn id="67" name="列67" headerRowCellStyle="好" dataCellStyle="好"/>
    <tableColumn id="68" name="列68" headerRowCellStyle="好" dataCellStyle="好"/>
    <tableColumn id="69" name="列69" headerRowCellStyle="好" dataCellStyle="好"/>
    <tableColumn id="70" name="列70" headerRowCellStyle="好" dataCellStyle="好"/>
    <tableColumn id="71" name="列71" headerRowCellStyle="好" dataCellStyle="好"/>
    <tableColumn id="72" name="列72" headerRowCellStyle="好" dataCellStyle="好"/>
    <tableColumn id="73" name="列73" headerRowCellStyle="好" dataCellStyle="好"/>
    <tableColumn id="74" name="列74" headerRowCellStyle="好" dataCellStyle="好"/>
    <tableColumn id="75" name="列75" headerRowCellStyle="好" dataCellStyle="好"/>
    <tableColumn id="76" name="列76" headerRowCellStyle="好" dataCellStyle="好"/>
    <tableColumn id="77" name="列77" headerRowCellStyle="好" dataCellStyle="好"/>
    <tableColumn id="78" name="列78" headerRowCellStyle="好" dataCellStyle="好"/>
    <tableColumn id="79" name="列79" headerRowCellStyle="好" dataCellStyle="好"/>
    <tableColumn id="80" name="列80" headerRowCellStyle="好" dataCellStyle="好"/>
    <tableColumn id="81" name="列81" headerRowCellStyle="好" dataCellStyle="好"/>
    <tableColumn id="82" name="列82" headerRowCellStyle="好" dataCellStyle="好"/>
    <tableColumn id="83" name="列83" headerRowCellStyle="好" dataCellStyle="好"/>
    <tableColumn id="84" name="列84" headerRowCellStyle="好" dataCellStyle="好"/>
    <tableColumn id="85" name="列85" headerRowCellStyle="好" dataCellStyle="好"/>
    <tableColumn id="86" name="列86" headerRowCellStyle="好" dataCellStyle="好"/>
    <tableColumn id="87" name="列87" headerRowCellStyle="好" dataCellStyle="好"/>
    <tableColumn id="88" name="列88" headerRowCellStyle="好" dataCellStyle="好"/>
    <tableColumn id="89"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负债表"/>
  <dimension ref="A1:CI85"/>
  <sheetViews>
    <sheetView workbookViewId="0">
      <selection activeCell="Y25" sqref="Y25"/>
    </sheetView>
  </sheetViews>
  <sheetFormatPr defaultRowHeight="13.5"/>
  <cols>
    <col min="1" max="1" width="34" style="189" bestFit="1" customWidth="1"/>
    <col min="2" max="4" width="13.875" style="189" hidden="1" customWidth="1"/>
    <col min="5" max="5" width="13.875" style="189" bestFit="1" customWidth="1"/>
    <col min="6" max="8" width="13.875" style="189" hidden="1" customWidth="1"/>
    <col min="9" max="9" width="13.875" style="189" bestFit="1" customWidth="1"/>
    <col min="10" max="10" width="13.875" style="189" hidden="1" customWidth="1"/>
    <col min="11" max="11" width="12.75" style="189" hidden="1" customWidth="1"/>
    <col min="12" max="12" width="13.875" style="189" hidden="1" customWidth="1"/>
    <col min="13" max="13" width="12.75" style="189" bestFit="1" customWidth="1"/>
    <col min="14" max="14" width="13.875" style="189" hidden="1" customWidth="1"/>
    <col min="15" max="15" width="12.75" style="189" hidden="1" customWidth="1"/>
    <col min="16" max="16" width="13.875" style="189" hidden="1" customWidth="1"/>
    <col min="17" max="17" width="12.75" style="189" bestFit="1" customWidth="1"/>
    <col min="18" max="18" width="13.875" style="189" hidden="1" customWidth="1"/>
    <col min="19" max="19" width="11.625" style="189" hidden="1" customWidth="1"/>
    <col min="20" max="20" width="12.75" style="189" hidden="1" customWidth="1"/>
    <col min="21" max="21" width="11.625" style="189" bestFit="1" customWidth="1"/>
    <col min="22" max="23" width="11.625" style="189" hidden="1" customWidth="1"/>
    <col min="24" max="24" width="12.75" style="189" hidden="1" customWidth="1"/>
    <col min="25" max="25" width="11.625" style="189" bestFit="1" customWidth="1"/>
    <col min="26" max="27" width="11.625" style="189" hidden="1" customWidth="1"/>
    <col min="28" max="28" width="13.875" style="189" hidden="1" customWidth="1"/>
    <col min="29" max="29" width="11.625" style="189" bestFit="1" customWidth="1"/>
    <col min="30" max="30" width="13.875" style="189" hidden="1" customWidth="1"/>
    <col min="31" max="31" width="11.625" style="189" hidden="1" customWidth="1"/>
    <col min="32" max="32" width="13.875" style="189" hidden="1" customWidth="1"/>
    <col min="33" max="33" width="11.625" style="189" bestFit="1" customWidth="1"/>
    <col min="34" max="36" width="13.875" style="189" hidden="1" customWidth="1"/>
    <col min="37" max="37" width="13.875" style="189" bestFit="1" customWidth="1"/>
    <col min="38" max="38" width="13.875" style="189" hidden="1" customWidth="1"/>
    <col min="39" max="39" width="12.75" style="189" hidden="1" customWidth="1"/>
    <col min="40" max="40" width="13.875" style="189" hidden="1" customWidth="1"/>
    <col min="41" max="41" width="13.875" style="189" bestFit="1" customWidth="1"/>
    <col min="42" max="44" width="13.875" style="189" hidden="1" customWidth="1"/>
    <col min="45" max="45" width="12.75" style="189" bestFit="1" customWidth="1"/>
    <col min="46" max="48" width="13.875" style="189" hidden="1" customWidth="1"/>
    <col min="49" max="49" width="12.75" style="189" bestFit="1" customWidth="1"/>
    <col min="50" max="52" width="12.75" style="189" hidden="1" customWidth="1"/>
    <col min="53" max="53" width="12.75" style="189" bestFit="1" customWidth="1"/>
    <col min="54" max="56" width="12.75" style="189" hidden="1" customWidth="1"/>
    <col min="57" max="57" width="12.75" style="189" bestFit="1" customWidth="1"/>
    <col min="58" max="59" width="13.875" style="189" hidden="1" customWidth="1"/>
    <col min="60" max="60" width="12.75" style="189" hidden="1" customWidth="1"/>
    <col min="61" max="61" width="12.75" style="189" bestFit="1" customWidth="1"/>
    <col min="62" max="64" width="12.75" style="189" hidden="1" customWidth="1"/>
    <col min="65" max="65" width="13.875" style="189" bestFit="1" customWidth="1"/>
    <col min="66" max="68" width="12.75" style="189" hidden="1" customWidth="1"/>
    <col min="69" max="69" width="12.75" style="189" bestFit="1" customWidth="1"/>
    <col min="70" max="70" width="12.75" style="189" hidden="1" customWidth="1"/>
    <col min="71" max="71" width="12.75" style="189" bestFit="1" customWidth="1"/>
    <col min="72" max="72" width="12.75" style="189" hidden="1" customWidth="1"/>
    <col min="73" max="73" width="12.75" style="189" bestFit="1" customWidth="1"/>
    <col min="74" max="74" width="12.75" style="189" hidden="1" customWidth="1"/>
    <col min="75" max="75" width="12.75" style="189" bestFit="1" customWidth="1"/>
    <col min="76" max="76" width="12.75" style="189" hidden="1" customWidth="1"/>
    <col min="77" max="77" width="12.75" style="189" bestFit="1" customWidth="1"/>
    <col min="78" max="78" width="12.75" style="189" hidden="1" customWidth="1"/>
    <col min="79" max="79" width="12.75" style="189" bestFit="1" customWidth="1"/>
    <col min="80" max="80" width="10.5" style="189" hidden="1" customWidth="1"/>
    <col min="81" max="81" width="12.75" style="189" bestFit="1" customWidth="1"/>
    <col min="82" max="82" width="10.5" style="189" hidden="1" customWidth="1"/>
    <col min="83" max="84" width="12.75" style="189" bestFit="1" customWidth="1"/>
    <col min="85" max="85" width="10.5" style="189" bestFit="1" customWidth="1"/>
    <col min="86" max="86" width="9.5" style="189" bestFit="1" customWidth="1"/>
    <col min="87" max="87" width="9.5" style="189" hidden="1" customWidth="1"/>
    <col min="88" max="16384" width="9" style="189"/>
  </cols>
  <sheetData>
    <row r="1" spans="1:87">
      <c r="A1" s="189">
        <v>50</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20010630</v>
      </c>
      <c r="BS1" s="189">
        <v>20001231</v>
      </c>
      <c r="BT1" s="189">
        <v>20000630</v>
      </c>
      <c r="BU1" s="189">
        <v>19991231</v>
      </c>
      <c r="BV1" s="189">
        <v>19990630</v>
      </c>
      <c r="BW1" s="189">
        <v>19981231</v>
      </c>
      <c r="BX1" s="189">
        <v>19980630</v>
      </c>
      <c r="BY1" s="189">
        <v>19971231</v>
      </c>
      <c r="BZ1" s="189">
        <v>19970630</v>
      </c>
      <c r="CA1" s="189">
        <v>19961231</v>
      </c>
      <c r="CB1" s="189">
        <v>19960630</v>
      </c>
      <c r="CC1" s="189">
        <v>19951231</v>
      </c>
      <c r="CD1" s="189">
        <v>19950630</v>
      </c>
      <c r="CE1" s="189">
        <v>19941231</v>
      </c>
      <c r="CF1" s="189">
        <v>19931231</v>
      </c>
      <c r="CG1" s="189">
        <v>19921231</v>
      </c>
      <c r="CH1" s="189">
        <v>19911231</v>
      </c>
      <c r="CI1" s="189">
        <v>19700101</v>
      </c>
    </row>
    <row r="2" spans="1:87">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c r="BV2" s="189" t="s">
        <v>106</v>
      </c>
      <c r="BW2" s="189" t="s">
        <v>106</v>
      </c>
      <c r="BX2" s="189" t="s">
        <v>106</v>
      </c>
      <c r="BY2" s="189" t="s">
        <v>106</v>
      </c>
      <c r="BZ2" s="189" t="s">
        <v>106</v>
      </c>
      <c r="CA2" s="189" t="s">
        <v>106</v>
      </c>
      <c r="CB2" s="189" t="s">
        <v>106</v>
      </c>
      <c r="CC2" s="189" t="s">
        <v>106</v>
      </c>
      <c r="CD2" s="189" t="s">
        <v>106</v>
      </c>
      <c r="CE2" s="189" t="s">
        <v>106</v>
      </c>
      <c r="CF2" s="189" t="s">
        <v>106</v>
      </c>
      <c r="CG2" s="189" t="s">
        <v>106</v>
      </c>
      <c r="CH2" s="189" t="s">
        <v>106</v>
      </c>
    </row>
    <row r="3" spans="1:87">
      <c r="A3" s="189" t="s">
        <v>107</v>
      </c>
    </row>
    <row r="4" spans="1:87">
      <c r="A4" s="189" t="s">
        <v>108</v>
      </c>
      <c r="B4" s="189">
        <v>4073740696.8600001</v>
      </c>
      <c r="C4" s="189">
        <v>3587490442.7199998</v>
      </c>
      <c r="D4" s="189">
        <v>4990558562.4399996</v>
      </c>
      <c r="E4" s="189">
        <v>4290277164.6500001</v>
      </c>
      <c r="F4" s="189">
        <v>3144083068.9099998</v>
      </c>
      <c r="G4" s="189">
        <v>2487586006.3899999</v>
      </c>
      <c r="H4" s="189">
        <v>2037347704.3499999</v>
      </c>
      <c r="I4" s="189">
        <v>4463195250.29</v>
      </c>
      <c r="J4" s="189">
        <v>5061012865.3400002</v>
      </c>
      <c r="K4" s="189">
        <v>4674877450</v>
      </c>
      <c r="L4" s="189">
        <v>5543566520.8800001</v>
      </c>
      <c r="M4" s="189">
        <v>7341522190</v>
      </c>
      <c r="N4" s="189">
        <v>2626737484.3400002</v>
      </c>
      <c r="O4" s="189">
        <v>3176818634</v>
      </c>
      <c r="P4" s="189">
        <v>2512286470.3000002</v>
      </c>
      <c r="Q4" s="189">
        <v>833571561</v>
      </c>
      <c r="R4" s="189">
        <v>3201694825.0999999</v>
      </c>
      <c r="S4" s="189">
        <v>515598597</v>
      </c>
      <c r="T4" s="189">
        <v>789066231.25</v>
      </c>
      <c r="U4" s="189">
        <v>955188987</v>
      </c>
      <c r="V4" s="189">
        <v>375657785</v>
      </c>
      <c r="W4" s="189">
        <v>425414995</v>
      </c>
      <c r="X4" s="189">
        <v>476166573.50999999</v>
      </c>
      <c r="Y4" s="189">
        <v>472176166</v>
      </c>
      <c r="Z4" s="189">
        <v>501448106</v>
      </c>
      <c r="AA4" s="189">
        <v>545377287</v>
      </c>
      <c r="AB4" s="189">
        <v>742606677.33000004</v>
      </c>
      <c r="AC4" s="189">
        <v>706557839</v>
      </c>
      <c r="AD4" s="189">
        <v>820115869.16999996</v>
      </c>
      <c r="AE4" s="189">
        <v>1038700162</v>
      </c>
      <c r="AF4" s="189">
        <v>869834035.5</v>
      </c>
      <c r="AG4" s="189">
        <v>871651809</v>
      </c>
      <c r="AH4" s="189">
        <v>908677469.99000001</v>
      </c>
      <c r="AI4" s="189">
        <v>1444180255.23</v>
      </c>
      <c r="AJ4" s="189">
        <v>1060461646.34</v>
      </c>
      <c r="AK4" s="189">
        <v>1187834884.98</v>
      </c>
      <c r="AL4" s="189">
        <v>867015615.04999995</v>
      </c>
      <c r="AM4" s="189">
        <v>811155532.67999995</v>
      </c>
      <c r="AN4" s="189">
        <v>513436785.35000002</v>
      </c>
      <c r="AO4" s="189">
        <v>312283728.10000002</v>
      </c>
      <c r="AP4" s="189">
        <v>474434951.83999997</v>
      </c>
      <c r="AQ4" s="189">
        <v>634492803.25999999</v>
      </c>
      <c r="AR4" s="189">
        <v>727559188.16999996</v>
      </c>
      <c r="AS4" s="189">
        <v>716927049.91999996</v>
      </c>
      <c r="AT4" s="189">
        <v>1184021307.02</v>
      </c>
      <c r="AU4" s="189">
        <v>1637083795.79</v>
      </c>
      <c r="AV4" s="189">
        <v>325792804.25999999</v>
      </c>
      <c r="AW4" s="189">
        <v>122356099.13</v>
      </c>
      <c r="AX4" s="189">
        <v>163143405.16999999</v>
      </c>
      <c r="AY4" s="189">
        <v>169622133.06999999</v>
      </c>
      <c r="AZ4" s="189">
        <v>152620664.80000001</v>
      </c>
      <c r="BA4" s="189">
        <v>86803245.140000001</v>
      </c>
      <c r="BB4" s="189">
        <v>162998930.56</v>
      </c>
      <c r="BC4" s="189">
        <v>150919783.62</v>
      </c>
      <c r="BD4" s="189">
        <v>119436411.06999999</v>
      </c>
      <c r="BE4" s="189">
        <v>189887790.12</v>
      </c>
      <c r="BF4" s="189">
        <v>78010392.680000007</v>
      </c>
      <c r="BG4" s="189">
        <v>122892968.55</v>
      </c>
      <c r="BH4" s="189">
        <v>159401058.13</v>
      </c>
      <c r="BI4" s="189">
        <v>80133651.969999999</v>
      </c>
      <c r="BJ4" s="189">
        <v>120208425.98</v>
      </c>
      <c r="BK4" s="189">
        <v>156379116.71000001</v>
      </c>
      <c r="BL4" s="189">
        <v>201541801.53</v>
      </c>
      <c r="BM4" s="189">
        <v>186470525.56</v>
      </c>
      <c r="BN4" s="189">
        <v>129512168.59</v>
      </c>
      <c r="BO4" s="189">
        <v>235891915.81</v>
      </c>
      <c r="BP4" s="189">
        <v>218266046.78999999</v>
      </c>
      <c r="BQ4" s="189">
        <v>208720378.13</v>
      </c>
      <c r="BR4" s="189">
        <v>217292639.86000001</v>
      </c>
      <c r="BS4" s="189">
        <v>51608106.93</v>
      </c>
      <c r="BT4" s="189">
        <v>52122323.579999998</v>
      </c>
      <c r="BU4" s="189">
        <v>47519738.609999999</v>
      </c>
      <c r="BV4" s="189">
        <v>63053301.460000001</v>
      </c>
      <c r="BW4" s="189">
        <v>64515769.850000001</v>
      </c>
      <c r="BX4" s="189">
        <v>132379693.95</v>
      </c>
      <c r="BY4" s="189">
        <v>27156545.02</v>
      </c>
      <c r="BZ4" s="189">
        <v>0</v>
      </c>
      <c r="CA4" s="189">
        <v>25300084.43</v>
      </c>
      <c r="CB4" s="189">
        <v>0</v>
      </c>
      <c r="CC4" s="189">
        <v>17663466.109999999</v>
      </c>
      <c r="CD4" s="189">
        <v>0</v>
      </c>
      <c r="CE4" s="189">
        <v>5251851.1100000003</v>
      </c>
      <c r="CF4" s="189">
        <v>17082549.34</v>
      </c>
      <c r="CG4" s="189">
        <v>0</v>
      </c>
      <c r="CH4" s="189">
        <v>0</v>
      </c>
      <c r="CI4" s="189">
        <v>0</v>
      </c>
    </row>
    <row r="5" spans="1:87">
      <c r="A5" s="189" t="s">
        <v>109</v>
      </c>
      <c r="B5" s="189">
        <v>0</v>
      </c>
      <c r="C5" s="189">
        <v>0</v>
      </c>
      <c r="D5" s="189">
        <v>0</v>
      </c>
      <c r="E5" s="189">
        <v>0</v>
      </c>
      <c r="F5" s="189">
        <v>0</v>
      </c>
      <c r="G5" s="189">
        <v>0</v>
      </c>
      <c r="H5" s="189">
        <v>0</v>
      </c>
      <c r="I5" s="189">
        <v>0</v>
      </c>
      <c r="J5" s="189">
        <v>0</v>
      </c>
      <c r="K5" s="189">
        <v>0</v>
      </c>
      <c r="L5" s="189">
        <v>0</v>
      </c>
      <c r="M5" s="189">
        <v>0</v>
      </c>
      <c r="N5" s="189">
        <v>0</v>
      </c>
      <c r="O5" s="189">
        <v>0</v>
      </c>
      <c r="P5" s="189">
        <v>0</v>
      </c>
      <c r="Q5" s="189">
        <v>0</v>
      </c>
      <c r="R5" s="189">
        <v>0</v>
      </c>
      <c r="S5" s="189">
        <v>0</v>
      </c>
      <c r="T5" s="189">
        <v>0</v>
      </c>
      <c r="U5" s="189">
        <v>0</v>
      </c>
      <c r="V5" s="189">
        <v>0</v>
      </c>
      <c r="W5" s="189">
        <v>0</v>
      </c>
      <c r="X5" s="189">
        <v>0</v>
      </c>
      <c r="Y5" s="189">
        <v>0</v>
      </c>
      <c r="Z5" s="189">
        <v>0</v>
      </c>
      <c r="AA5" s="189">
        <v>0</v>
      </c>
      <c r="AB5" s="189">
        <v>0</v>
      </c>
      <c r="AC5" s="189">
        <v>0</v>
      </c>
      <c r="AD5" s="189">
        <v>18474856.640000001</v>
      </c>
      <c r="AE5" s="189">
        <v>0</v>
      </c>
      <c r="AF5" s="189">
        <v>0</v>
      </c>
      <c r="AG5" s="189">
        <v>0</v>
      </c>
      <c r="AH5" s="189">
        <v>0</v>
      </c>
      <c r="AI5" s="189">
        <v>0</v>
      </c>
      <c r="AJ5" s="189">
        <v>0</v>
      </c>
      <c r="AK5" s="189">
        <v>0</v>
      </c>
      <c r="AL5" s="189">
        <v>0</v>
      </c>
      <c r="AM5" s="189">
        <v>0</v>
      </c>
      <c r="AN5" s="189">
        <v>0</v>
      </c>
      <c r="AO5" s="189">
        <v>0</v>
      </c>
      <c r="AP5" s="189">
        <v>0</v>
      </c>
      <c r="AQ5" s="189">
        <v>0</v>
      </c>
      <c r="AR5" s="189">
        <v>0</v>
      </c>
      <c r="AS5" s="189">
        <v>0</v>
      </c>
      <c r="AT5" s="189">
        <v>0</v>
      </c>
      <c r="AU5" s="189">
        <v>0</v>
      </c>
      <c r="AV5" s="189">
        <v>0</v>
      </c>
      <c r="AW5" s="189">
        <v>0</v>
      </c>
      <c r="AX5" s="189">
        <v>0</v>
      </c>
      <c r="AY5" s="189">
        <v>0</v>
      </c>
      <c r="AZ5" s="189">
        <v>0</v>
      </c>
      <c r="BA5" s="189">
        <v>0</v>
      </c>
      <c r="BB5" s="189">
        <v>0</v>
      </c>
      <c r="BC5" s="189">
        <v>0</v>
      </c>
      <c r="BD5" s="189">
        <v>330782.53000000003</v>
      </c>
      <c r="BE5" s="189">
        <v>330782.53000000003</v>
      </c>
      <c r="BF5" s="189">
        <v>425131.96</v>
      </c>
      <c r="BG5" s="189">
        <v>425131.96</v>
      </c>
      <c r="BH5" s="189">
        <v>420901.96</v>
      </c>
      <c r="BI5" s="189">
        <v>420901.96</v>
      </c>
      <c r="BJ5" s="189">
        <v>494102.08</v>
      </c>
      <c r="BK5" s="189">
        <v>494102.08</v>
      </c>
      <c r="BL5" s="189">
        <v>494102.08</v>
      </c>
      <c r="BM5" s="189">
        <v>494102.08</v>
      </c>
      <c r="BN5" s="189">
        <v>568700</v>
      </c>
      <c r="BO5" s="189">
        <v>150841200.90000001</v>
      </c>
      <c r="BP5" s="189">
        <v>150568270.46000001</v>
      </c>
      <c r="BQ5" s="189">
        <v>145568270.46000001</v>
      </c>
      <c r="BR5" s="189">
        <v>150710680.46000001</v>
      </c>
      <c r="BS5" s="189">
        <v>682440</v>
      </c>
      <c r="BT5" s="189">
        <v>763524.49</v>
      </c>
      <c r="BU5" s="189">
        <v>868600</v>
      </c>
      <c r="BV5" s="189">
        <v>4800000</v>
      </c>
      <c r="BW5" s="189">
        <v>4800000</v>
      </c>
      <c r="BX5" s="189">
        <v>4800000</v>
      </c>
      <c r="BY5" s="189">
        <v>14800000</v>
      </c>
      <c r="BZ5" s="189">
        <v>0</v>
      </c>
      <c r="CA5" s="189">
        <v>697384</v>
      </c>
      <c r="CB5" s="189">
        <v>0</v>
      </c>
      <c r="CC5" s="189">
        <v>4324384</v>
      </c>
      <c r="CD5" s="189">
        <v>0</v>
      </c>
      <c r="CE5" s="189">
        <v>17643965.079999998</v>
      </c>
      <c r="CF5" s="189">
        <v>752439.03</v>
      </c>
      <c r="CG5" s="189">
        <v>0</v>
      </c>
      <c r="CH5" s="189">
        <v>0</v>
      </c>
      <c r="CI5" s="189">
        <v>0</v>
      </c>
    </row>
    <row r="6" spans="1:87">
      <c r="A6" s="189" t="s">
        <v>110</v>
      </c>
      <c r="B6" s="189">
        <v>0</v>
      </c>
      <c r="C6" s="189">
        <v>0</v>
      </c>
      <c r="D6" s="189">
        <v>0</v>
      </c>
      <c r="E6" s="189">
        <v>0</v>
      </c>
      <c r="F6" s="189">
        <v>0</v>
      </c>
      <c r="G6" s="189">
        <v>0</v>
      </c>
      <c r="H6" s="189">
        <v>0</v>
      </c>
      <c r="I6" s="189">
        <v>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c r="AR6" s="189">
        <v>0</v>
      </c>
      <c r="AS6" s="189">
        <v>0</v>
      </c>
      <c r="AT6" s="189">
        <v>0</v>
      </c>
      <c r="AU6" s="189">
        <v>0</v>
      </c>
      <c r="AV6" s="189">
        <v>0</v>
      </c>
      <c r="AW6" s="189">
        <v>0</v>
      </c>
      <c r="AX6" s="189">
        <v>0</v>
      </c>
      <c r="AY6" s="189">
        <v>0</v>
      </c>
      <c r="AZ6" s="189">
        <v>0</v>
      </c>
      <c r="BA6" s="189">
        <v>0</v>
      </c>
      <c r="BB6" s="189">
        <v>0</v>
      </c>
      <c r="BC6" s="189">
        <v>0</v>
      </c>
      <c r="BD6" s="189">
        <v>0</v>
      </c>
      <c r="BE6" s="189">
        <v>0</v>
      </c>
      <c r="BF6" s="189">
        <v>0</v>
      </c>
      <c r="BG6" s="189">
        <v>0</v>
      </c>
      <c r="BH6" s="189">
        <v>0</v>
      </c>
      <c r="BI6" s="189">
        <v>0</v>
      </c>
      <c r="BJ6" s="189">
        <v>0</v>
      </c>
      <c r="BK6" s="189">
        <v>0</v>
      </c>
      <c r="BL6" s="189">
        <v>0</v>
      </c>
      <c r="BM6" s="189">
        <v>0</v>
      </c>
      <c r="BN6" s="189">
        <v>0</v>
      </c>
      <c r="BO6" s="189">
        <v>0</v>
      </c>
      <c r="BP6" s="189">
        <v>0</v>
      </c>
      <c r="BQ6" s="189">
        <v>0</v>
      </c>
      <c r="BR6" s="189">
        <v>0</v>
      </c>
      <c r="BS6" s="189">
        <v>0</v>
      </c>
      <c r="BT6" s="189">
        <v>0</v>
      </c>
      <c r="BU6" s="189">
        <v>0</v>
      </c>
      <c r="BV6" s="189">
        <v>0</v>
      </c>
      <c r="BW6" s="189">
        <v>0</v>
      </c>
      <c r="BX6" s="189">
        <v>0</v>
      </c>
      <c r="BY6" s="189">
        <v>0</v>
      </c>
      <c r="BZ6" s="189">
        <v>0</v>
      </c>
      <c r="CA6" s="189">
        <v>0</v>
      </c>
      <c r="CB6" s="189">
        <v>0</v>
      </c>
      <c r="CC6" s="189">
        <v>0</v>
      </c>
      <c r="CD6" s="189">
        <v>0</v>
      </c>
      <c r="CE6" s="189">
        <v>0</v>
      </c>
      <c r="CF6" s="189">
        <v>0</v>
      </c>
      <c r="CG6" s="189">
        <v>0</v>
      </c>
      <c r="CH6" s="189">
        <v>0</v>
      </c>
      <c r="CI6" s="189">
        <v>0</v>
      </c>
    </row>
    <row r="7" spans="1:87">
      <c r="A7" s="189" t="s">
        <v>111</v>
      </c>
      <c r="B7" s="189">
        <v>264563389.61000001</v>
      </c>
      <c r="C7" s="189">
        <v>378757435.02999997</v>
      </c>
      <c r="D7" s="189">
        <v>424011443.60000002</v>
      </c>
      <c r="E7" s="189">
        <v>674976875.02999997</v>
      </c>
      <c r="F7" s="189">
        <v>827334094.30999994</v>
      </c>
      <c r="G7" s="189">
        <v>1086943794.73</v>
      </c>
      <c r="H7" s="189">
        <v>753106508.82000005</v>
      </c>
      <c r="I7" s="189">
        <v>1339096455.28</v>
      </c>
      <c r="J7" s="189">
        <v>1052984610.17</v>
      </c>
      <c r="K7" s="189">
        <v>70673005</v>
      </c>
      <c r="L7" s="189">
        <v>242139741.56999999</v>
      </c>
      <c r="M7" s="189">
        <v>192257071</v>
      </c>
      <c r="N7" s="189">
        <v>267576736.66</v>
      </c>
      <c r="O7" s="189">
        <v>154966371</v>
      </c>
      <c r="P7" s="189">
        <v>66289460.130000003</v>
      </c>
      <c r="Q7" s="189">
        <v>104903587</v>
      </c>
      <c r="R7" s="189">
        <v>148640580.63999999</v>
      </c>
      <c r="S7" s="189">
        <v>119727324</v>
      </c>
      <c r="T7" s="189">
        <v>82322108.170000002</v>
      </c>
      <c r="U7" s="189">
        <v>190879613</v>
      </c>
      <c r="V7" s="189">
        <v>193409494</v>
      </c>
      <c r="W7" s="189">
        <v>208406984</v>
      </c>
      <c r="X7" s="189">
        <v>162758090.74000001</v>
      </c>
      <c r="Y7" s="189">
        <v>139743040</v>
      </c>
      <c r="Z7" s="189">
        <v>337266829</v>
      </c>
      <c r="AA7" s="189">
        <v>147660074</v>
      </c>
      <c r="AB7" s="189">
        <v>99491391.379999995</v>
      </c>
      <c r="AC7" s="189">
        <v>106563124</v>
      </c>
      <c r="AD7" s="189">
        <v>72076370.790000007</v>
      </c>
      <c r="AE7" s="189">
        <v>42684464</v>
      </c>
      <c r="AF7" s="189">
        <v>54245003.530000001</v>
      </c>
      <c r="AG7" s="189">
        <v>79062076</v>
      </c>
      <c r="AH7" s="189">
        <v>76666803.129999995</v>
      </c>
      <c r="AI7" s="189">
        <v>24819405.829999998</v>
      </c>
      <c r="AJ7" s="189">
        <v>34591350.75</v>
      </c>
      <c r="AK7" s="189">
        <v>7262942.9000000004</v>
      </c>
      <c r="AL7" s="189">
        <v>3032089.91</v>
      </c>
      <c r="AM7" s="189">
        <v>6612454.75</v>
      </c>
      <c r="AN7" s="189">
        <v>16849404.050000001</v>
      </c>
      <c r="AO7" s="189">
        <v>59379743.609999999</v>
      </c>
      <c r="AP7" s="189">
        <v>105764336.28</v>
      </c>
      <c r="AQ7" s="189">
        <v>61620689.939999998</v>
      </c>
      <c r="AR7" s="189">
        <v>167916005.13</v>
      </c>
      <c r="AS7" s="189">
        <v>120493496.29000001</v>
      </c>
      <c r="AT7" s="189">
        <v>150450519.37</v>
      </c>
      <c r="AU7" s="189">
        <v>115759271</v>
      </c>
      <c r="AV7" s="189">
        <v>53105371.719999999</v>
      </c>
      <c r="AW7" s="189">
        <v>108695915.51000001</v>
      </c>
      <c r="AX7" s="189">
        <v>42873889.149999999</v>
      </c>
      <c r="AY7" s="189">
        <v>109812706.66</v>
      </c>
      <c r="AZ7" s="189">
        <v>60648234.259999998</v>
      </c>
      <c r="BA7" s="189">
        <v>79111161.090000004</v>
      </c>
      <c r="BB7" s="189">
        <v>59575379.859999999</v>
      </c>
      <c r="BC7" s="189">
        <v>24648148.02</v>
      </c>
      <c r="BD7" s="189">
        <v>15170000</v>
      </c>
      <c r="BE7" s="189">
        <v>22772341.039999999</v>
      </c>
      <c r="BF7" s="189">
        <v>1468573.2</v>
      </c>
      <c r="BG7" s="189">
        <v>7366160</v>
      </c>
      <c r="BH7" s="189">
        <v>36930611.509999998</v>
      </c>
      <c r="BI7" s="189">
        <v>35831915</v>
      </c>
      <c r="BJ7" s="189">
        <v>69057091.599999994</v>
      </c>
      <c r="BK7" s="189">
        <v>0</v>
      </c>
      <c r="BL7" s="189">
        <v>53278078.109999999</v>
      </c>
      <c r="BM7" s="189">
        <v>0</v>
      </c>
      <c r="BN7" s="189">
        <v>0</v>
      </c>
      <c r="BO7" s="189">
        <v>0</v>
      </c>
      <c r="BP7" s="189">
        <v>40020256.82</v>
      </c>
      <c r="BQ7" s="189">
        <v>0</v>
      </c>
      <c r="BR7" s="189">
        <v>0</v>
      </c>
      <c r="BS7" s="189">
        <v>0</v>
      </c>
      <c r="BT7" s="189">
        <v>0</v>
      </c>
      <c r="BU7" s="189">
        <v>0</v>
      </c>
      <c r="BV7" s="189">
        <v>0</v>
      </c>
      <c r="BW7" s="189">
        <v>0</v>
      </c>
      <c r="BX7" s="189">
        <v>0</v>
      </c>
      <c r="BY7" s="189">
        <v>0</v>
      </c>
      <c r="BZ7" s="189">
        <v>0</v>
      </c>
      <c r="CA7" s="189">
        <v>0</v>
      </c>
      <c r="CB7" s="189">
        <v>0</v>
      </c>
      <c r="CC7" s="189">
        <v>34670524.689999998</v>
      </c>
      <c r="CD7" s="189">
        <v>0</v>
      </c>
      <c r="CE7" s="189">
        <v>30532330.170000002</v>
      </c>
      <c r="CF7" s="189">
        <v>23004366.210000001</v>
      </c>
      <c r="CG7" s="189">
        <v>0</v>
      </c>
      <c r="CH7" s="189">
        <v>0</v>
      </c>
      <c r="CI7" s="189">
        <v>0</v>
      </c>
    </row>
    <row r="8" spans="1:87">
      <c r="A8" s="189" t="s">
        <v>112</v>
      </c>
      <c r="B8" s="189">
        <v>6891474994.5799999</v>
      </c>
      <c r="C8" s="189">
        <v>7092882159.0699997</v>
      </c>
      <c r="D8" s="189">
        <v>6579568724.3500004</v>
      </c>
      <c r="E8" s="189">
        <v>3330300808.23</v>
      </c>
      <c r="F8" s="189">
        <v>2839879143.9000001</v>
      </c>
      <c r="G8" s="189">
        <v>2108055502.96</v>
      </c>
      <c r="H8" s="189">
        <v>2492868826.7399998</v>
      </c>
      <c r="I8" s="189">
        <v>1966606321.3299999</v>
      </c>
      <c r="J8" s="189">
        <v>1920950877.6700001</v>
      </c>
      <c r="K8" s="189">
        <v>2484225464</v>
      </c>
      <c r="L8" s="189">
        <v>1715291792.51</v>
      </c>
      <c r="M8" s="189">
        <v>2049405478</v>
      </c>
      <c r="N8" s="189">
        <v>2042317686.6099999</v>
      </c>
      <c r="O8" s="189">
        <v>2250390852</v>
      </c>
      <c r="P8" s="189">
        <v>2307433279.2800002</v>
      </c>
      <c r="Q8" s="189">
        <v>2397152879</v>
      </c>
      <c r="R8" s="189">
        <v>2744427387.6599998</v>
      </c>
      <c r="S8" s="189">
        <v>1147564795</v>
      </c>
      <c r="T8" s="189">
        <v>1068325257.92</v>
      </c>
      <c r="U8" s="189">
        <v>943820702</v>
      </c>
      <c r="V8" s="189">
        <v>1264751305</v>
      </c>
      <c r="W8" s="189">
        <v>1011130852</v>
      </c>
      <c r="X8" s="189">
        <v>999728447.95000005</v>
      </c>
      <c r="Y8" s="189">
        <v>943567496</v>
      </c>
      <c r="Z8" s="189">
        <v>1089075872</v>
      </c>
      <c r="AA8" s="189">
        <v>1217859935</v>
      </c>
      <c r="AB8" s="189">
        <v>864891955.05999994</v>
      </c>
      <c r="AC8" s="189">
        <v>1028721209</v>
      </c>
      <c r="AD8" s="189">
        <v>902476811.40999997</v>
      </c>
      <c r="AE8" s="189">
        <v>834399423</v>
      </c>
      <c r="AF8" s="189">
        <v>813392309.29999995</v>
      </c>
      <c r="AG8" s="189">
        <v>745429008</v>
      </c>
      <c r="AH8" s="189">
        <v>574500511.02999997</v>
      </c>
      <c r="AI8" s="189">
        <v>505849627.55000001</v>
      </c>
      <c r="AJ8" s="189">
        <v>320870791.91000003</v>
      </c>
      <c r="AK8" s="189">
        <v>250903649.93000001</v>
      </c>
      <c r="AL8" s="189">
        <v>365549767.56</v>
      </c>
      <c r="AM8" s="189">
        <v>290514773.74000001</v>
      </c>
      <c r="AN8" s="189">
        <v>240562962.31</v>
      </c>
      <c r="AO8" s="189">
        <v>243372874.28999999</v>
      </c>
      <c r="AP8" s="189">
        <v>413785082.75999999</v>
      </c>
      <c r="AQ8" s="189">
        <v>344281564.83999997</v>
      </c>
      <c r="AR8" s="189">
        <v>384760209.11000001</v>
      </c>
      <c r="AS8" s="189">
        <v>444226676.19</v>
      </c>
      <c r="AT8" s="189">
        <v>351019047.93000001</v>
      </c>
      <c r="AU8" s="189">
        <v>319115220.38</v>
      </c>
      <c r="AV8" s="189">
        <v>385580585.30000001</v>
      </c>
      <c r="AW8" s="189">
        <v>383831554.36000001</v>
      </c>
      <c r="AX8" s="189">
        <v>345883878.37</v>
      </c>
      <c r="AY8" s="189">
        <v>360672043.19999999</v>
      </c>
      <c r="AZ8" s="189">
        <v>319119736.67000002</v>
      </c>
      <c r="BA8" s="189">
        <v>357478317.05000001</v>
      </c>
      <c r="BB8" s="189">
        <v>293589247.52999997</v>
      </c>
      <c r="BC8" s="189">
        <v>381041858.19999999</v>
      </c>
      <c r="BD8" s="189">
        <v>393306341.17000002</v>
      </c>
      <c r="BE8" s="189">
        <v>404955551.04000002</v>
      </c>
      <c r="BF8" s="189">
        <v>284672008.85000002</v>
      </c>
      <c r="BG8" s="189">
        <v>299115482.13</v>
      </c>
      <c r="BH8" s="189">
        <v>208211681.53999999</v>
      </c>
      <c r="BI8" s="189">
        <v>227901374.56</v>
      </c>
      <c r="BJ8" s="189">
        <v>149101133.22999999</v>
      </c>
      <c r="BK8" s="189">
        <v>167817405.83000001</v>
      </c>
      <c r="BL8" s="189">
        <v>67213341.400000006</v>
      </c>
      <c r="BM8" s="189">
        <v>92465678.950000003</v>
      </c>
      <c r="BN8" s="189">
        <v>101133162.09999999</v>
      </c>
      <c r="BO8" s="189">
        <v>89326143.409999996</v>
      </c>
      <c r="BP8" s="189">
        <v>41294619.32</v>
      </c>
      <c r="BQ8" s="189">
        <v>74583964.480000004</v>
      </c>
      <c r="BR8" s="189">
        <v>87091365.090000004</v>
      </c>
      <c r="BS8" s="189">
        <v>92844070.299999997</v>
      </c>
      <c r="BT8" s="189">
        <v>97564475.540000007</v>
      </c>
      <c r="BU8" s="189">
        <v>85381495.549999997</v>
      </c>
      <c r="BV8" s="189">
        <v>77297328.989999995</v>
      </c>
      <c r="BW8" s="189">
        <v>48491646.939999998</v>
      </c>
      <c r="BX8" s="189">
        <v>41334663.259999998</v>
      </c>
      <c r="BY8" s="189">
        <v>31536574.75</v>
      </c>
      <c r="BZ8" s="189">
        <v>0</v>
      </c>
      <c r="CA8" s="189">
        <v>47498759.57</v>
      </c>
      <c r="CB8" s="189">
        <v>0</v>
      </c>
      <c r="CC8" s="189">
        <v>1836800.57</v>
      </c>
      <c r="CD8" s="189">
        <v>0</v>
      </c>
      <c r="CE8" s="189">
        <v>1679936.44</v>
      </c>
      <c r="CF8" s="189">
        <v>746575.01</v>
      </c>
      <c r="CG8" s="189">
        <v>0</v>
      </c>
      <c r="CH8" s="189">
        <v>0</v>
      </c>
      <c r="CI8" s="189">
        <v>0</v>
      </c>
    </row>
    <row r="9" spans="1:87">
      <c r="A9" s="189" t="s">
        <v>113</v>
      </c>
      <c r="B9" s="189">
        <v>57086542.729999997</v>
      </c>
      <c r="C9" s="189">
        <v>40774172.689999998</v>
      </c>
      <c r="D9" s="189">
        <v>43066612.030000001</v>
      </c>
      <c r="E9" s="189">
        <v>25565521.949999999</v>
      </c>
      <c r="F9" s="189">
        <v>326922050.75999999</v>
      </c>
      <c r="G9" s="189">
        <v>138156760.63</v>
      </c>
      <c r="H9" s="189">
        <v>120241413.73</v>
      </c>
      <c r="I9" s="189">
        <v>32856111.98</v>
      </c>
      <c r="J9" s="189">
        <v>94068854.540000007</v>
      </c>
      <c r="K9" s="189">
        <v>68478245</v>
      </c>
      <c r="L9" s="189">
        <v>54264765.789999999</v>
      </c>
      <c r="M9" s="189">
        <v>55423229</v>
      </c>
      <c r="N9" s="189">
        <v>70853625.939999998</v>
      </c>
      <c r="O9" s="189">
        <v>72703572</v>
      </c>
      <c r="P9" s="189">
        <v>64141861.149999999</v>
      </c>
      <c r="Q9" s="189">
        <v>51403794</v>
      </c>
      <c r="R9" s="189">
        <v>102690457.22</v>
      </c>
      <c r="S9" s="189">
        <v>27661402</v>
      </c>
      <c r="T9" s="189">
        <v>21455254.890000001</v>
      </c>
      <c r="U9" s="189">
        <v>26994819</v>
      </c>
      <c r="V9" s="189">
        <v>18674285</v>
      </c>
      <c r="W9" s="189">
        <v>18043384</v>
      </c>
      <c r="X9" s="189">
        <v>22146835.420000002</v>
      </c>
      <c r="Y9" s="189">
        <v>18482986</v>
      </c>
      <c r="Z9" s="189">
        <v>104591963</v>
      </c>
      <c r="AA9" s="189">
        <v>85219460</v>
      </c>
      <c r="AB9" s="189">
        <v>36231798.579999998</v>
      </c>
      <c r="AC9" s="189">
        <v>49901392</v>
      </c>
      <c r="AD9" s="189">
        <v>70026895.609999999</v>
      </c>
      <c r="AE9" s="189">
        <v>24234640</v>
      </c>
      <c r="AF9" s="189">
        <v>50832706.770000003</v>
      </c>
      <c r="AG9" s="189">
        <v>114034246</v>
      </c>
      <c r="AH9" s="189">
        <v>108678656.27</v>
      </c>
      <c r="AI9" s="189">
        <v>133338178.65000001</v>
      </c>
      <c r="AJ9" s="189">
        <v>115384623.69</v>
      </c>
      <c r="AK9" s="189">
        <v>155708500.31999999</v>
      </c>
      <c r="AL9" s="189">
        <v>29040008.02</v>
      </c>
      <c r="AM9" s="189">
        <v>27570395.949999999</v>
      </c>
      <c r="AN9" s="189">
        <v>18092068.120000001</v>
      </c>
      <c r="AO9" s="189">
        <v>9399579.5700000003</v>
      </c>
      <c r="AP9" s="189">
        <v>28094798.09</v>
      </c>
      <c r="AQ9" s="189">
        <v>129700079.27</v>
      </c>
      <c r="AR9" s="189">
        <v>160081045.09999999</v>
      </c>
      <c r="AS9" s="189">
        <v>81081435.900000006</v>
      </c>
      <c r="AT9" s="189">
        <v>12739364.439999999</v>
      </c>
      <c r="AU9" s="189">
        <v>13484189.07</v>
      </c>
      <c r="AV9" s="189">
        <v>18487180.850000001</v>
      </c>
      <c r="AW9" s="189">
        <v>7463443.0599999996</v>
      </c>
      <c r="AX9" s="189">
        <v>17201673.440000001</v>
      </c>
      <c r="AY9" s="189">
        <v>8788316.6600000001</v>
      </c>
      <c r="AZ9" s="189">
        <v>6998274.3899999997</v>
      </c>
      <c r="BA9" s="189">
        <v>669531</v>
      </c>
      <c r="BB9" s="189">
        <v>406062.2</v>
      </c>
      <c r="BC9" s="189">
        <v>278218.73</v>
      </c>
      <c r="BD9" s="189">
        <v>15440880.73</v>
      </c>
      <c r="BE9" s="189">
        <v>184076.71</v>
      </c>
      <c r="BF9" s="189">
        <v>47784547.299999997</v>
      </c>
      <c r="BG9" s="189">
        <v>35190568.82</v>
      </c>
      <c r="BH9" s="189">
        <v>24002388.690000001</v>
      </c>
      <c r="BI9" s="189">
        <v>3199374.72</v>
      </c>
      <c r="BJ9" s="189">
        <v>17583892.420000002</v>
      </c>
      <c r="BK9" s="189">
        <v>11129271.279999999</v>
      </c>
      <c r="BL9" s="189">
        <v>14265719.74</v>
      </c>
      <c r="BM9" s="189">
        <v>13051521.17</v>
      </c>
      <c r="BN9" s="189">
        <v>169333800.58000001</v>
      </c>
      <c r="BO9" s="189">
        <v>25605036.079999998</v>
      </c>
      <c r="BP9" s="189">
        <v>18989783.100000001</v>
      </c>
      <c r="BQ9" s="189">
        <v>3476525.72</v>
      </c>
      <c r="BR9" s="189">
        <v>22623714.699999999</v>
      </c>
      <c r="BS9" s="189">
        <v>16989520.609999999</v>
      </c>
      <c r="BT9" s="189">
        <v>11648184.140000001</v>
      </c>
      <c r="BU9" s="189">
        <v>13914715.369999999</v>
      </c>
      <c r="BV9" s="189">
        <v>17737512.32</v>
      </c>
      <c r="BW9" s="189">
        <v>9000421.1799999997</v>
      </c>
      <c r="BX9" s="189">
        <v>23082493.109999999</v>
      </c>
      <c r="BY9" s="189">
        <v>30430855.48</v>
      </c>
      <c r="BZ9" s="189">
        <v>0</v>
      </c>
      <c r="CA9" s="189">
        <v>5108267.42</v>
      </c>
      <c r="CB9" s="189">
        <v>0</v>
      </c>
      <c r="CC9" s="189">
        <v>638038.91</v>
      </c>
      <c r="CD9" s="189">
        <v>0</v>
      </c>
      <c r="CE9" s="189">
        <v>1201851.03</v>
      </c>
      <c r="CF9" s="189">
        <v>667447.24</v>
      </c>
      <c r="CG9" s="189">
        <v>0</v>
      </c>
      <c r="CH9" s="189">
        <v>0</v>
      </c>
      <c r="CI9" s="189">
        <v>0</v>
      </c>
    </row>
    <row r="10" spans="1:87">
      <c r="A10" s="189" t="s">
        <v>114</v>
      </c>
      <c r="B10" s="189">
        <v>0</v>
      </c>
      <c r="C10" s="189">
        <v>0</v>
      </c>
      <c r="D10" s="189">
        <v>0</v>
      </c>
      <c r="E10" s="189">
        <v>0</v>
      </c>
      <c r="F10" s="189">
        <v>0</v>
      </c>
      <c r="G10" s="189">
        <v>0</v>
      </c>
      <c r="H10" s="189">
        <v>0</v>
      </c>
      <c r="I10" s="189">
        <v>0</v>
      </c>
      <c r="J10" s="189">
        <v>0</v>
      </c>
      <c r="K10" s="189">
        <v>0</v>
      </c>
      <c r="L10" s="189">
        <v>0</v>
      </c>
      <c r="M10" s="189">
        <v>0</v>
      </c>
      <c r="N10" s="189">
        <v>0</v>
      </c>
      <c r="O10" s="189">
        <v>0</v>
      </c>
      <c r="P10" s="189">
        <v>0</v>
      </c>
      <c r="Q10" s="189">
        <v>0</v>
      </c>
      <c r="R10" s="189">
        <v>0</v>
      </c>
      <c r="S10" s="189">
        <v>0</v>
      </c>
      <c r="T10" s="189">
        <v>0</v>
      </c>
      <c r="U10" s="189">
        <v>0</v>
      </c>
      <c r="V10" s="189">
        <v>0</v>
      </c>
      <c r="W10" s="189">
        <v>0</v>
      </c>
      <c r="X10" s="189">
        <v>0</v>
      </c>
      <c r="Y10" s="189">
        <v>0</v>
      </c>
      <c r="Z10" s="189">
        <v>0</v>
      </c>
      <c r="AA10" s="189">
        <v>0</v>
      </c>
      <c r="AB10" s="189">
        <v>0</v>
      </c>
      <c r="AC10" s="189">
        <v>0</v>
      </c>
      <c r="AD10" s="189">
        <v>0</v>
      </c>
      <c r="AE10" s="189">
        <v>0</v>
      </c>
      <c r="AF10" s="189">
        <v>0</v>
      </c>
      <c r="AG10" s="189">
        <v>0</v>
      </c>
      <c r="AH10" s="189">
        <v>0</v>
      </c>
      <c r="AI10" s="189">
        <v>0</v>
      </c>
      <c r="AJ10" s="189">
        <v>0</v>
      </c>
      <c r="AK10" s="189">
        <v>314981.7</v>
      </c>
      <c r="AL10" s="189">
        <v>0</v>
      </c>
      <c r="AM10" s="189">
        <v>0</v>
      </c>
      <c r="AN10" s="189">
        <v>0</v>
      </c>
      <c r="AO10" s="189">
        <v>0</v>
      </c>
      <c r="AP10" s="189">
        <v>0</v>
      </c>
      <c r="AQ10" s="189">
        <v>0</v>
      </c>
      <c r="AR10" s="189">
        <v>0</v>
      </c>
      <c r="AS10" s="189">
        <v>0</v>
      </c>
      <c r="AT10" s="189">
        <v>0</v>
      </c>
      <c r="AU10" s="189">
        <v>0</v>
      </c>
      <c r="AV10" s="189">
        <v>0</v>
      </c>
      <c r="AW10" s="189">
        <v>0</v>
      </c>
      <c r="AX10" s="189">
        <v>0</v>
      </c>
      <c r="AY10" s="189">
        <v>0</v>
      </c>
      <c r="AZ10" s="189">
        <v>0</v>
      </c>
      <c r="BA10" s="189">
        <v>0</v>
      </c>
      <c r="BB10" s="189">
        <v>0</v>
      </c>
      <c r="BC10" s="189">
        <v>0</v>
      </c>
      <c r="BD10" s="189">
        <v>0</v>
      </c>
      <c r="BE10" s="189">
        <v>0</v>
      </c>
      <c r="BF10" s="189">
        <v>0</v>
      </c>
      <c r="BG10" s="189">
        <v>0</v>
      </c>
      <c r="BH10" s="189">
        <v>0</v>
      </c>
      <c r="BI10" s="189">
        <v>0</v>
      </c>
      <c r="BJ10" s="189">
        <v>0</v>
      </c>
      <c r="BK10" s="189">
        <v>0</v>
      </c>
      <c r="BL10" s="189">
        <v>0</v>
      </c>
      <c r="BM10" s="189">
        <v>0</v>
      </c>
      <c r="BN10" s="189">
        <v>0</v>
      </c>
      <c r="BO10" s="189">
        <v>0</v>
      </c>
      <c r="BP10" s="189">
        <v>0</v>
      </c>
      <c r="BQ10" s="189">
        <v>0</v>
      </c>
      <c r="BR10" s="189">
        <v>0</v>
      </c>
      <c r="BS10" s="189">
        <v>0</v>
      </c>
      <c r="BT10" s="189">
        <v>0</v>
      </c>
      <c r="BU10" s="189">
        <v>0</v>
      </c>
      <c r="BV10" s="189">
        <v>0</v>
      </c>
      <c r="BW10" s="189">
        <v>0</v>
      </c>
      <c r="BX10" s="189">
        <v>0</v>
      </c>
      <c r="BY10" s="189">
        <v>0</v>
      </c>
      <c r="BZ10" s="189">
        <v>0</v>
      </c>
      <c r="CA10" s="189">
        <v>0</v>
      </c>
      <c r="CB10" s="189">
        <v>0</v>
      </c>
      <c r="CC10" s="189">
        <v>0</v>
      </c>
      <c r="CD10" s="189">
        <v>0</v>
      </c>
      <c r="CE10" s="189">
        <v>0</v>
      </c>
      <c r="CF10" s="189">
        <v>0</v>
      </c>
      <c r="CG10" s="189">
        <v>0</v>
      </c>
      <c r="CH10" s="189">
        <v>0</v>
      </c>
      <c r="CI10" s="189">
        <v>0</v>
      </c>
    </row>
    <row r="11" spans="1:87">
      <c r="A11" s="189" t="s">
        <v>115</v>
      </c>
      <c r="B11" s="189">
        <v>0</v>
      </c>
      <c r="C11" s="189">
        <v>0</v>
      </c>
      <c r="D11" s="189">
        <v>0</v>
      </c>
      <c r="E11" s="189">
        <v>0</v>
      </c>
      <c r="F11" s="189">
        <v>0</v>
      </c>
      <c r="G11" s="189">
        <v>0</v>
      </c>
      <c r="H11" s="189">
        <v>0</v>
      </c>
      <c r="I11" s="189">
        <v>0</v>
      </c>
      <c r="J11" s="189">
        <v>0</v>
      </c>
      <c r="K11" s="189">
        <v>0</v>
      </c>
      <c r="L11" s="189">
        <v>0</v>
      </c>
      <c r="M11" s="189">
        <v>0</v>
      </c>
      <c r="N11" s="189">
        <v>0</v>
      </c>
      <c r="O11" s="189">
        <v>0</v>
      </c>
      <c r="P11" s="189">
        <v>0</v>
      </c>
      <c r="Q11" s="189">
        <v>0</v>
      </c>
      <c r="R11" s="189">
        <v>0</v>
      </c>
      <c r="S11" s="189">
        <v>27904</v>
      </c>
      <c r="T11" s="189">
        <v>0</v>
      </c>
      <c r="U11" s="189">
        <v>0</v>
      </c>
      <c r="V11" s="189">
        <v>30380</v>
      </c>
      <c r="W11" s="189">
        <v>30380</v>
      </c>
      <c r="X11" s="189">
        <v>0</v>
      </c>
      <c r="Y11" s="189">
        <v>0</v>
      </c>
      <c r="Z11" s="189">
        <v>0</v>
      </c>
      <c r="AA11" s="189">
        <v>0</v>
      </c>
      <c r="AB11" s="189">
        <v>0</v>
      </c>
      <c r="AC11" s="189">
        <v>0</v>
      </c>
      <c r="AD11" s="189">
        <v>0</v>
      </c>
      <c r="AE11" s="189">
        <v>0</v>
      </c>
      <c r="AF11" s="189">
        <v>0</v>
      </c>
      <c r="AG11" s="189">
        <v>0</v>
      </c>
      <c r="AH11" s="189">
        <v>0</v>
      </c>
      <c r="AI11" s="189">
        <v>0</v>
      </c>
      <c r="AJ11" s="189">
        <v>0</v>
      </c>
      <c r="AK11" s="189">
        <v>0</v>
      </c>
      <c r="AL11" s="189">
        <v>0</v>
      </c>
      <c r="AM11" s="189">
        <v>0</v>
      </c>
      <c r="AN11" s="189">
        <v>0</v>
      </c>
      <c r="AO11" s="189">
        <v>0</v>
      </c>
      <c r="AP11" s="189">
        <v>0</v>
      </c>
      <c r="AQ11" s="189">
        <v>0</v>
      </c>
      <c r="AR11" s="189">
        <v>0</v>
      </c>
      <c r="AS11" s="189">
        <v>0</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0</v>
      </c>
      <c r="BT11" s="189">
        <v>0</v>
      </c>
      <c r="BU11" s="189">
        <v>0</v>
      </c>
      <c r="BV11" s="189">
        <v>0</v>
      </c>
      <c r="BW11" s="189">
        <v>0</v>
      </c>
      <c r="BX11" s="189">
        <v>0</v>
      </c>
      <c r="BY11" s="189">
        <v>0</v>
      </c>
      <c r="BZ11" s="189">
        <v>0</v>
      </c>
      <c r="CA11" s="189">
        <v>0</v>
      </c>
      <c r="CB11" s="189">
        <v>0</v>
      </c>
      <c r="CC11" s="189">
        <v>0</v>
      </c>
      <c r="CD11" s="189">
        <v>0</v>
      </c>
      <c r="CE11" s="189">
        <v>0</v>
      </c>
      <c r="CF11" s="189">
        <v>0</v>
      </c>
      <c r="CG11" s="189">
        <v>0</v>
      </c>
      <c r="CH11" s="189">
        <v>0</v>
      </c>
      <c r="CI11" s="189">
        <v>0</v>
      </c>
    </row>
    <row r="12" spans="1:87">
      <c r="A12" s="189" t="s">
        <v>116</v>
      </c>
      <c r="B12" s="189">
        <v>36685911.829999998</v>
      </c>
      <c r="C12" s="189">
        <v>53409516.880000003</v>
      </c>
      <c r="D12" s="189">
        <v>76421309.290000007</v>
      </c>
      <c r="E12" s="189">
        <v>351335393.70999998</v>
      </c>
      <c r="F12" s="189">
        <v>309620288.04000002</v>
      </c>
      <c r="G12" s="189">
        <v>311046244.63</v>
      </c>
      <c r="H12" s="189">
        <v>369641545.31</v>
      </c>
      <c r="I12" s="189">
        <v>138825158.30000001</v>
      </c>
      <c r="J12" s="189">
        <v>61738861.100000001</v>
      </c>
      <c r="K12" s="189">
        <v>43996356</v>
      </c>
      <c r="L12" s="189">
        <v>636911112.10000002</v>
      </c>
      <c r="M12" s="189">
        <v>26675030</v>
      </c>
      <c r="N12" s="189">
        <v>162007967.56</v>
      </c>
      <c r="O12" s="189">
        <v>96945637</v>
      </c>
      <c r="P12" s="189">
        <v>66388858.079999998</v>
      </c>
      <c r="Q12" s="189">
        <v>84566432</v>
      </c>
      <c r="R12" s="189">
        <v>182406917.36000001</v>
      </c>
      <c r="S12" s="189">
        <v>40288689</v>
      </c>
      <c r="T12" s="189">
        <v>78808451.709999993</v>
      </c>
      <c r="U12" s="189">
        <v>72921030</v>
      </c>
      <c r="V12" s="189">
        <v>202299906</v>
      </c>
      <c r="W12" s="189">
        <v>26672258</v>
      </c>
      <c r="X12" s="189">
        <v>61535707.740000002</v>
      </c>
      <c r="Y12" s="189">
        <v>48655602</v>
      </c>
      <c r="Z12" s="189">
        <v>67206035</v>
      </c>
      <c r="AA12" s="189">
        <v>61496040</v>
      </c>
      <c r="AB12" s="189">
        <v>68162336.319999993</v>
      </c>
      <c r="AC12" s="189">
        <v>41650753</v>
      </c>
      <c r="AD12" s="189">
        <v>65352631.82</v>
      </c>
      <c r="AE12" s="189">
        <v>41841350</v>
      </c>
      <c r="AF12" s="189">
        <v>49573980.32</v>
      </c>
      <c r="AG12" s="189">
        <v>24668071</v>
      </c>
      <c r="AH12" s="189">
        <v>55635131.579999998</v>
      </c>
      <c r="AI12" s="189">
        <v>19531393.18</v>
      </c>
      <c r="AJ12" s="189">
        <v>50132429.149999999</v>
      </c>
      <c r="AK12" s="189">
        <v>9227008.9100000001</v>
      </c>
      <c r="AL12" s="189">
        <v>31634885.699999999</v>
      </c>
      <c r="AM12" s="189">
        <v>21239022.800000001</v>
      </c>
      <c r="AN12" s="189">
        <v>17194102.920000002</v>
      </c>
      <c r="AO12" s="189">
        <v>53049719.82</v>
      </c>
      <c r="AP12" s="189">
        <v>39442861.25</v>
      </c>
      <c r="AQ12" s="189">
        <v>28400045.539999999</v>
      </c>
      <c r="AR12" s="189">
        <v>10421807.18</v>
      </c>
      <c r="AS12" s="189">
        <v>6798825.5599999996</v>
      </c>
      <c r="AT12" s="189">
        <v>23663530.239999998</v>
      </c>
      <c r="AU12" s="189">
        <v>12522324.33</v>
      </c>
      <c r="AV12" s="189">
        <v>7560842.7000000002</v>
      </c>
      <c r="AW12" s="189">
        <v>6820262.6200000001</v>
      </c>
      <c r="AX12" s="189">
        <v>8103878.9299999997</v>
      </c>
      <c r="AY12" s="189">
        <v>13325424.550000001</v>
      </c>
      <c r="AZ12" s="189">
        <v>14976079.4</v>
      </c>
      <c r="BA12" s="189">
        <v>12478431.59</v>
      </c>
      <c r="BB12" s="189">
        <v>3743498.33</v>
      </c>
      <c r="BC12" s="189">
        <v>4792655.13</v>
      </c>
      <c r="BD12" s="189">
        <v>4814886.91</v>
      </c>
      <c r="BE12" s="189">
        <v>3794982.87</v>
      </c>
      <c r="BF12" s="189">
        <v>3265777.95</v>
      </c>
      <c r="BG12" s="189">
        <v>5014834.45</v>
      </c>
      <c r="BH12" s="189">
        <v>5976904.21</v>
      </c>
      <c r="BI12" s="189">
        <v>5329706.22</v>
      </c>
      <c r="BJ12" s="189">
        <v>13736566.26</v>
      </c>
      <c r="BK12" s="189">
        <v>13253371.609999999</v>
      </c>
      <c r="BL12" s="189">
        <v>18804535.800000001</v>
      </c>
      <c r="BM12" s="189">
        <v>16548669.949999999</v>
      </c>
      <c r="BN12" s="189">
        <v>174985497.34</v>
      </c>
      <c r="BO12" s="189">
        <v>40660306.530000001</v>
      </c>
      <c r="BP12" s="189">
        <v>17914235.48</v>
      </c>
      <c r="BQ12" s="189">
        <v>13230581.220000001</v>
      </c>
      <c r="BR12" s="189">
        <v>10076252.83</v>
      </c>
      <c r="BS12" s="189">
        <v>11952896.51</v>
      </c>
      <c r="BT12" s="189">
        <v>10300603.33</v>
      </c>
      <c r="BU12" s="189">
        <v>7853883.04</v>
      </c>
      <c r="BV12" s="189">
        <v>9395068.6799999997</v>
      </c>
      <c r="BW12" s="189">
        <v>25966026.34</v>
      </c>
      <c r="BX12" s="189">
        <v>121865802.44</v>
      </c>
      <c r="BY12" s="189">
        <v>114164878.38</v>
      </c>
      <c r="BZ12" s="189">
        <v>0</v>
      </c>
      <c r="CA12" s="189">
        <v>107761454.51000001</v>
      </c>
      <c r="CB12" s="189">
        <v>0</v>
      </c>
      <c r="CC12" s="189">
        <v>1720374.25</v>
      </c>
      <c r="CD12" s="189">
        <v>0</v>
      </c>
      <c r="CE12" s="189">
        <v>1531038.69</v>
      </c>
      <c r="CF12" s="189">
        <v>8162756.8099999996</v>
      </c>
      <c r="CG12" s="189">
        <v>0</v>
      </c>
      <c r="CH12" s="189">
        <v>0</v>
      </c>
      <c r="CI12" s="189">
        <v>0</v>
      </c>
    </row>
    <row r="13" spans="1:87">
      <c r="A13" s="189" t="s">
        <v>117</v>
      </c>
      <c r="B13" s="189">
        <v>0</v>
      </c>
      <c r="C13" s="189">
        <v>0</v>
      </c>
      <c r="D13" s="189">
        <v>0</v>
      </c>
      <c r="E13" s="189">
        <v>0</v>
      </c>
      <c r="F13" s="189">
        <v>0</v>
      </c>
      <c r="G13" s="189">
        <v>0</v>
      </c>
      <c r="H13" s="189">
        <v>0</v>
      </c>
      <c r="I13" s="189">
        <v>0</v>
      </c>
      <c r="J13" s="189">
        <v>0</v>
      </c>
      <c r="K13" s="189">
        <v>0</v>
      </c>
      <c r="L13" s="189">
        <v>0</v>
      </c>
      <c r="M13" s="189">
        <v>0</v>
      </c>
      <c r="N13" s="189">
        <v>0</v>
      </c>
      <c r="O13" s="189">
        <v>0</v>
      </c>
      <c r="P13" s="189">
        <v>0</v>
      </c>
      <c r="Q13" s="189">
        <v>0</v>
      </c>
      <c r="R13" s="189">
        <v>0</v>
      </c>
      <c r="S13" s="189">
        <v>0</v>
      </c>
      <c r="T13" s="189">
        <v>0</v>
      </c>
      <c r="U13" s="189">
        <v>0</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v>0</v>
      </c>
      <c r="AO13" s="189">
        <v>0</v>
      </c>
      <c r="AP13" s="189">
        <v>0</v>
      </c>
      <c r="AQ13" s="189">
        <v>0</v>
      </c>
      <c r="AR13" s="189">
        <v>0</v>
      </c>
      <c r="AS13" s="189">
        <v>0</v>
      </c>
      <c r="AT13" s="189">
        <v>0</v>
      </c>
      <c r="AU13" s="189">
        <v>0</v>
      </c>
      <c r="AV13" s="189">
        <v>0</v>
      </c>
      <c r="AW13" s="189">
        <v>0</v>
      </c>
      <c r="AX13" s="189">
        <v>0</v>
      </c>
      <c r="AY13" s="189">
        <v>0</v>
      </c>
      <c r="AZ13" s="189">
        <v>0</v>
      </c>
      <c r="BA13" s="189">
        <v>0</v>
      </c>
      <c r="BB13" s="189">
        <v>0</v>
      </c>
      <c r="BC13" s="189">
        <v>0</v>
      </c>
      <c r="BD13" s="189">
        <v>0</v>
      </c>
      <c r="BE13" s="189">
        <v>0</v>
      </c>
      <c r="BF13" s="189">
        <v>0</v>
      </c>
      <c r="BG13" s="189">
        <v>0</v>
      </c>
      <c r="BH13" s="189">
        <v>0</v>
      </c>
      <c r="BI13" s="189">
        <v>0</v>
      </c>
      <c r="BJ13" s="189">
        <v>0</v>
      </c>
      <c r="BK13" s="189">
        <v>0</v>
      </c>
      <c r="BL13" s="189">
        <v>0</v>
      </c>
      <c r="BM13" s="189">
        <v>0</v>
      </c>
      <c r="BN13" s="189">
        <v>0</v>
      </c>
      <c r="BO13" s="189">
        <v>0</v>
      </c>
      <c r="BP13" s="189">
        <v>0</v>
      </c>
      <c r="BQ13" s="189">
        <v>0</v>
      </c>
      <c r="BR13" s="189">
        <v>0</v>
      </c>
      <c r="BS13" s="189">
        <v>0</v>
      </c>
      <c r="BT13" s="189">
        <v>0</v>
      </c>
      <c r="BU13" s="189">
        <v>0</v>
      </c>
      <c r="BV13" s="189">
        <v>0</v>
      </c>
      <c r="BW13" s="189">
        <v>0</v>
      </c>
      <c r="BX13" s="189">
        <v>0</v>
      </c>
      <c r="BY13" s="189">
        <v>0</v>
      </c>
      <c r="BZ13" s="189">
        <v>0</v>
      </c>
      <c r="CA13" s="189">
        <v>0</v>
      </c>
      <c r="CB13" s="189">
        <v>0</v>
      </c>
      <c r="CC13" s="189">
        <v>0</v>
      </c>
      <c r="CD13" s="189">
        <v>0</v>
      </c>
      <c r="CE13" s="189">
        <v>0</v>
      </c>
      <c r="CF13" s="189">
        <v>0</v>
      </c>
      <c r="CG13" s="189">
        <v>0</v>
      </c>
      <c r="CH13" s="189">
        <v>0</v>
      </c>
      <c r="CI13" s="189">
        <v>0</v>
      </c>
    </row>
    <row r="14" spans="1:87">
      <c r="A14" s="189" t="s">
        <v>118</v>
      </c>
      <c r="B14" s="189">
        <v>3015205954.9000001</v>
      </c>
      <c r="C14" s="189">
        <v>2779835486.3200002</v>
      </c>
      <c r="D14" s="189">
        <v>2621947836.7399998</v>
      </c>
      <c r="E14" s="189">
        <v>1602881187.3699999</v>
      </c>
      <c r="F14" s="189">
        <v>1501072303.74</v>
      </c>
      <c r="G14" s="189">
        <v>1402869620.76</v>
      </c>
      <c r="H14" s="189">
        <v>1259837211.6700001</v>
      </c>
      <c r="I14" s="189">
        <v>1082076944.4300001</v>
      </c>
      <c r="J14" s="189">
        <v>1338784306.5999999</v>
      </c>
      <c r="K14" s="189">
        <v>1276089954</v>
      </c>
      <c r="L14" s="189">
        <v>1245849428.25</v>
      </c>
      <c r="M14" s="189">
        <v>1386952360</v>
      </c>
      <c r="N14" s="189">
        <v>1457131037.3199999</v>
      </c>
      <c r="O14" s="189">
        <v>1494593554</v>
      </c>
      <c r="P14" s="189">
        <v>1454558035.3099999</v>
      </c>
      <c r="Q14" s="189">
        <v>1507631874</v>
      </c>
      <c r="R14" s="189">
        <v>1562086616.03</v>
      </c>
      <c r="S14" s="189">
        <v>540446777</v>
      </c>
      <c r="T14" s="189">
        <v>465614325.83999997</v>
      </c>
      <c r="U14" s="189">
        <v>514145967</v>
      </c>
      <c r="V14" s="189">
        <v>474724183</v>
      </c>
      <c r="W14" s="189">
        <v>458459969</v>
      </c>
      <c r="X14" s="189">
        <v>510574402.30000001</v>
      </c>
      <c r="Y14" s="189">
        <v>512007522</v>
      </c>
      <c r="Z14" s="189">
        <v>492772981</v>
      </c>
      <c r="AA14" s="189">
        <v>425906195</v>
      </c>
      <c r="AB14" s="189">
        <v>439996194.42000002</v>
      </c>
      <c r="AC14" s="189">
        <v>441726323</v>
      </c>
      <c r="AD14" s="189">
        <v>489012409.32999998</v>
      </c>
      <c r="AE14" s="189">
        <v>647602722</v>
      </c>
      <c r="AF14" s="189">
        <v>591887824.72000003</v>
      </c>
      <c r="AG14" s="189">
        <v>497124627</v>
      </c>
      <c r="AH14" s="189">
        <v>438706400.38999999</v>
      </c>
      <c r="AI14" s="189">
        <v>380365185.16000003</v>
      </c>
      <c r="AJ14" s="189">
        <v>336121562.14999998</v>
      </c>
      <c r="AK14" s="189">
        <v>277687544.02999997</v>
      </c>
      <c r="AL14" s="189">
        <v>302897877.91000003</v>
      </c>
      <c r="AM14" s="189">
        <v>328523098.20999998</v>
      </c>
      <c r="AN14" s="189">
        <v>311070112.31</v>
      </c>
      <c r="AO14" s="189">
        <v>334798422.24000001</v>
      </c>
      <c r="AP14" s="189">
        <v>543622966.25999999</v>
      </c>
      <c r="AQ14" s="189">
        <v>560971644.51999998</v>
      </c>
      <c r="AR14" s="189">
        <v>385544244.88999999</v>
      </c>
      <c r="AS14" s="189">
        <v>317012927.07999998</v>
      </c>
      <c r="AT14" s="189">
        <v>274001564.29000002</v>
      </c>
      <c r="AU14" s="189">
        <v>261795854.00999999</v>
      </c>
      <c r="AV14" s="189">
        <v>213481268.11000001</v>
      </c>
      <c r="AW14" s="189">
        <v>202258611.91999999</v>
      </c>
      <c r="AX14" s="189">
        <v>228801267.65000001</v>
      </c>
      <c r="AY14" s="189">
        <v>220822699.78</v>
      </c>
      <c r="AZ14" s="189">
        <v>214421140.46000001</v>
      </c>
      <c r="BA14" s="189">
        <v>206710042.36000001</v>
      </c>
      <c r="BB14" s="189">
        <v>195098355.34999999</v>
      </c>
      <c r="BC14" s="189">
        <v>216896007.91</v>
      </c>
      <c r="BD14" s="189">
        <v>219322594.53999999</v>
      </c>
      <c r="BE14" s="189">
        <v>243917278.03</v>
      </c>
      <c r="BF14" s="189">
        <v>287512917.74000001</v>
      </c>
      <c r="BG14" s="189">
        <v>244353402.96000001</v>
      </c>
      <c r="BH14" s="189">
        <v>204729002.84999999</v>
      </c>
      <c r="BI14" s="189">
        <v>184691486.18000001</v>
      </c>
      <c r="BJ14" s="189">
        <v>168730003.18000001</v>
      </c>
      <c r="BK14" s="189">
        <v>180426564.21000001</v>
      </c>
      <c r="BL14" s="189">
        <v>193027632.71000001</v>
      </c>
      <c r="BM14" s="189">
        <v>177336403.5</v>
      </c>
      <c r="BN14" s="189">
        <v>179777373.69</v>
      </c>
      <c r="BO14" s="189">
        <v>171701445.5</v>
      </c>
      <c r="BP14" s="189">
        <v>159206475.38</v>
      </c>
      <c r="BQ14" s="189">
        <v>169193245.99000001</v>
      </c>
      <c r="BR14" s="189">
        <v>199332473.38999999</v>
      </c>
      <c r="BS14" s="189">
        <v>205634710.5</v>
      </c>
      <c r="BT14" s="189">
        <v>171525850.50999999</v>
      </c>
      <c r="BU14" s="189">
        <v>146844752.84</v>
      </c>
      <c r="BV14" s="189">
        <v>134768586.56</v>
      </c>
      <c r="BW14" s="189">
        <v>79293410.75</v>
      </c>
      <c r="BX14" s="189">
        <v>80000557.359999999</v>
      </c>
      <c r="BY14" s="189">
        <v>92979222.510000005</v>
      </c>
      <c r="BZ14" s="189">
        <v>0</v>
      </c>
      <c r="CA14" s="189">
        <v>67395705.099999994</v>
      </c>
      <c r="CB14" s="189">
        <v>0</v>
      </c>
      <c r="CC14" s="189">
        <v>72545459.629999995</v>
      </c>
      <c r="CD14" s="189">
        <v>0</v>
      </c>
      <c r="CE14" s="189">
        <v>48126125.93</v>
      </c>
      <c r="CF14" s="189">
        <v>54055412.979999997</v>
      </c>
      <c r="CG14" s="189">
        <v>0</v>
      </c>
      <c r="CH14" s="189">
        <v>0</v>
      </c>
      <c r="CI14" s="189">
        <v>0</v>
      </c>
    </row>
    <row r="15" spans="1:87">
      <c r="A15" s="189" t="s">
        <v>119</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c r="BW15" s="189">
        <v>0</v>
      </c>
      <c r="BX15" s="189">
        <v>0</v>
      </c>
      <c r="BY15" s="189">
        <v>0</v>
      </c>
      <c r="BZ15" s="189">
        <v>0</v>
      </c>
      <c r="CA15" s="189">
        <v>0</v>
      </c>
      <c r="CB15" s="189">
        <v>0</v>
      </c>
      <c r="CC15" s="189">
        <v>0</v>
      </c>
      <c r="CD15" s="189">
        <v>0</v>
      </c>
      <c r="CE15" s="189">
        <v>0</v>
      </c>
      <c r="CF15" s="189">
        <v>0</v>
      </c>
      <c r="CG15" s="189">
        <v>0</v>
      </c>
      <c r="CH15" s="189">
        <v>0</v>
      </c>
      <c r="CI15" s="189">
        <v>0</v>
      </c>
    </row>
    <row r="16" spans="1:87">
      <c r="A16" s="189" t="s">
        <v>120</v>
      </c>
      <c r="B16" s="189">
        <v>0</v>
      </c>
      <c r="C16" s="189">
        <v>0</v>
      </c>
      <c r="D16" s="189">
        <v>0</v>
      </c>
      <c r="E16" s="189">
        <v>0</v>
      </c>
      <c r="F16" s="189">
        <v>0</v>
      </c>
      <c r="G16" s="189">
        <v>12500000</v>
      </c>
      <c r="H16" s="189">
        <v>12500000</v>
      </c>
      <c r="I16" s="189">
        <v>12500000</v>
      </c>
      <c r="J16" s="189">
        <v>0</v>
      </c>
      <c r="K16" s="189">
        <v>0</v>
      </c>
      <c r="L16" s="189">
        <v>0</v>
      </c>
      <c r="M16" s="189">
        <v>0</v>
      </c>
      <c r="N16" s="189">
        <v>0</v>
      </c>
      <c r="O16" s="189">
        <v>0</v>
      </c>
      <c r="P16" s="189">
        <v>0</v>
      </c>
      <c r="Q16" s="189">
        <v>0</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c r="AW16" s="189">
        <v>0</v>
      </c>
      <c r="AX16" s="189">
        <v>0</v>
      </c>
      <c r="AY16" s="189">
        <v>0</v>
      </c>
      <c r="AZ16" s="189">
        <v>0</v>
      </c>
      <c r="BA16" s="189">
        <v>0</v>
      </c>
      <c r="BB16" s="189">
        <v>0</v>
      </c>
      <c r="BC16" s="189">
        <v>0</v>
      </c>
      <c r="BD16" s="189">
        <v>0</v>
      </c>
      <c r="BE16" s="189">
        <v>0</v>
      </c>
      <c r="BF16" s="189">
        <v>0</v>
      </c>
      <c r="BG16" s="189">
        <v>0</v>
      </c>
      <c r="BH16" s="189">
        <v>0</v>
      </c>
      <c r="BI16" s="189">
        <v>0</v>
      </c>
      <c r="BJ16" s="189">
        <v>0</v>
      </c>
      <c r="BK16" s="189">
        <v>0</v>
      </c>
      <c r="BL16" s="189">
        <v>0</v>
      </c>
      <c r="BM16" s="189">
        <v>0</v>
      </c>
      <c r="BN16" s="189">
        <v>0</v>
      </c>
      <c r="BO16" s="189">
        <v>0</v>
      </c>
      <c r="BP16" s="189">
        <v>0</v>
      </c>
      <c r="BQ16" s="189">
        <v>0</v>
      </c>
      <c r="BR16" s="189">
        <v>0</v>
      </c>
      <c r="BS16" s="189">
        <v>0</v>
      </c>
      <c r="BT16" s="189">
        <v>0</v>
      </c>
      <c r="BU16" s="189">
        <v>0</v>
      </c>
      <c r="BV16" s="189">
        <v>0</v>
      </c>
      <c r="BW16" s="189">
        <v>0</v>
      </c>
      <c r="BX16" s="189">
        <v>0</v>
      </c>
      <c r="BY16" s="189">
        <v>0</v>
      </c>
      <c r="BZ16" s="189">
        <v>0</v>
      </c>
      <c r="CA16" s="189">
        <v>0</v>
      </c>
      <c r="CB16" s="189">
        <v>0</v>
      </c>
      <c r="CC16" s="189">
        <v>0</v>
      </c>
      <c r="CD16" s="189">
        <v>0</v>
      </c>
      <c r="CE16" s="189">
        <v>0</v>
      </c>
      <c r="CF16" s="189">
        <v>0</v>
      </c>
      <c r="CG16" s="189">
        <v>0</v>
      </c>
      <c r="CH16" s="189">
        <v>0</v>
      </c>
      <c r="CI16" s="189">
        <v>0</v>
      </c>
    </row>
    <row r="17" spans="1:87">
      <c r="A17" s="189" t="s">
        <v>121</v>
      </c>
      <c r="B17" s="189">
        <v>0</v>
      </c>
      <c r="C17" s="189">
        <v>0</v>
      </c>
      <c r="D17" s="189">
        <v>0</v>
      </c>
      <c r="E17" s="189">
        <v>0</v>
      </c>
      <c r="F17" s="189">
        <v>0</v>
      </c>
      <c r="G17" s="189">
        <v>0</v>
      </c>
      <c r="H17" s="189">
        <v>0</v>
      </c>
      <c r="I17" s="189">
        <v>0</v>
      </c>
      <c r="J17" s="189">
        <v>0</v>
      </c>
      <c r="K17" s="189">
        <v>0</v>
      </c>
      <c r="L17" s="189">
        <v>0</v>
      </c>
      <c r="M17" s="189">
        <v>0</v>
      </c>
      <c r="N17" s="189">
        <v>0</v>
      </c>
      <c r="O17" s="189">
        <v>0</v>
      </c>
      <c r="P17" s="189">
        <v>0</v>
      </c>
      <c r="Q17" s="189">
        <v>0</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c r="AW17" s="189">
        <v>141488</v>
      </c>
      <c r="AX17" s="189">
        <v>240972.17</v>
      </c>
      <c r="AY17" s="189">
        <v>107467.72</v>
      </c>
      <c r="AZ17" s="189">
        <v>53229.35</v>
      </c>
      <c r="BA17" s="189">
        <v>156440.28</v>
      </c>
      <c r="BB17" s="189">
        <v>235793.62</v>
      </c>
      <c r="BC17" s="189">
        <v>102656.95</v>
      </c>
      <c r="BD17" s="189">
        <v>198267.1</v>
      </c>
      <c r="BE17" s="189">
        <v>261401.25</v>
      </c>
      <c r="BF17" s="189">
        <v>259372.5</v>
      </c>
      <c r="BG17" s="189">
        <v>1037249.25</v>
      </c>
      <c r="BH17" s="189">
        <v>265551.51</v>
      </c>
      <c r="BI17" s="189">
        <v>258414.72</v>
      </c>
      <c r="BJ17" s="189">
        <v>315595.43</v>
      </c>
      <c r="BK17" s="189">
        <v>116400</v>
      </c>
      <c r="BL17" s="189">
        <v>392214.75</v>
      </c>
      <c r="BM17" s="189">
        <v>435229.5</v>
      </c>
      <c r="BN17" s="189">
        <v>652844.25</v>
      </c>
      <c r="BO17" s="189">
        <v>0</v>
      </c>
      <c r="BP17" s="189">
        <v>0</v>
      </c>
      <c r="BQ17" s="189">
        <v>0</v>
      </c>
      <c r="BR17" s="189">
        <v>0</v>
      </c>
      <c r="BS17" s="189">
        <v>0</v>
      </c>
      <c r="BT17" s="189">
        <v>0</v>
      </c>
      <c r="BU17" s="189">
        <v>0</v>
      </c>
      <c r="BV17" s="189">
        <v>1200000</v>
      </c>
      <c r="BW17" s="189">
        <v>0</v>
      </c>
      <c r="BX17" s="189">
        <v>0</v>
      </c>
      <c r="BY17" s="189">
        <v>0</v>
      </c>
      <c r="BZ17" s="189">
        <v>0</v>
      </c>
      <c r="CA17" s="189">
        <v>73440</v>
      </c>
      <c r="CB17" s="189">
        <v>0</v>
      </c>
      <c r="CC17" s="189">
        <v>90000</v>
      </c>
      <c r="CD17" s="189">
        <v>0</v>
      </c>
      <c r="CE17" s="189">
        <v>277889.15000000002</v>
      </c>
      <c r="CF17" s="189">
        <v>384575.9</v>
      </c>
      <c r="CG17" s="189">
        <v>0</v>
      </c>
      <c r="CH17" s="189">
        <v>0</v>
      </c>
      <c r="CI17" s="189">
        <v>0</v>
      </c>
    </row>
    <row r="18" spans="1:87">
      <c r="A18" s="189" t="s">
        <v>122</v>
      </c>
      <c r="B18" s="189">
        <v>0</v>
      </c>
      <c r="C18" s="189">
        <v>0</v>
      </c>
      <c r="D18" s="189">
        <v>0</v>
      </c>
      <c r="E18" s="189">
        <v>0</v>
      </c>
      <c r="F18" s="189">
        <v>0</v>
      </c>
      <c r="G18" s="189">
        <v>0</v>
      </c>
      <c r="H18" s="189">
        <v>0</v>
      </c>
      <c r="I18" s="189">
        <v>0</v>
      </c>
      <c r="J18" s="189">
        <v>0</v>
      </c>
      <c r="K18" s="189">
        <v>0</v>
      </c>
      <c r="L18" s="189">
        <v>0</v>
      </c>
      <c r="M18" s="189">
        <v>0</v>
      </c>
      <c r="N18" s="189">
        <v>0</v>
      </c>
      <c r="O18" s="189">
        <v>0</v>
      </c>
      <c r="P18" s="189">
        <v>0</v>
      </c>
      <c r="Q18" s="189">
        <v>0</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c r="AW18" s="189">
        <v>0</v>
      </c>
      <c r="AX18" s="189">
        <v>0</v>
      </c>
      <c r="AY18" s="189">
        <v>0</v>
      </c>
      <c r="AZ18" s="189">
        <v>0</v>
      </c>
      <c r="BA18" s="189">
        <v>0</v>
      </c>
      <c r="BB18" s="189">
        <v>0</v>
      </c>
      <c r="BC18" s="189">
        <v>0</v>
      </c>
      <c r="BD18" s="189">
        <v>0</v>
      </c>
      <c r="BE18" s="189">
        <v>0</v>
      </c>
      <c r="BF18" s="189">
        <v>0</v>
      </c>
      <c r="BG18" s="189">
        <v>0</v>
      </c>
      <c r="BH18" s="189">
        <v>0</v>
      </c>
      <c r="BI18" s="189">
        <v>0</v>
      </c>
      <c r="BJ18" s="189">
        <v>0</v>
      </c>
      <c r="BK18" s="189">
        <v>0</v>
      </c>
      <c r="BL18" s="189">
        <v>0</v>
      </c>
      <c r="BM18" s="189">
        <v>0</v>
      </c>
      <c r="BN18" s="189">
        <v>0</v>
      </c>
      <c r="BO18" s="189">
        <v>0</v>
      </c>
      <c r="BP18" s="189">
        <v>0</v>
      </c>
      <c r="BQ18" s="189">
        <v>0</v>
      </c>
      <c r="BR18" s="189">
        <v>0</v>
      </c>
      <c r="BS18" s="189">
        <v>0</v>
      </c>
      <c r="BT18" s="189">
        <v>0</v>
      </c>
      <c r="BU18" s="189">
        <v>0</v>
      </c>
      <c r="BV18" s="189">
        <v>0</v>
      </c>
      <c r="BW18" s="189">
        <v>0</v>
      </c>
      <c r="BX18" s="189">
        <v>0</v>
      </c>
      <c r="BY18" s="189">
        <v>0</v>
      </c>
      <c r="BZ18" s="189">
        <v>0</v>
      </c>
      <c r="CA18" s="189">
        <v>0</v>
      </c>
      <c r="CB18" s="189">
        <v>0</v>
      </c>
      <c r="CC18" s="189">
        <v>0</v>
      </c>
      <c r="CD18" s="189">
        <v>0</v>
      </c>
      <c r="CE18" s="189">
        <v>127058.25</v>
      </c>
      <c r="CF18" s="189">
        <v>0</v>
      </c>
      <c r="CG18" s="189">
        <v>0</v>
      </c>
      <c r="CH18" s="189">
        <v>0</v>
      </c>
      <c r="CI18" s="189">
        <v>0</v>
      </c>
    </row>
    <row r="19" spans="1:87">
      <c r="A19" s="189" t="s">
        <v>123</v>
      </c>
      <c r="B19" s="189">
        <v>1257566406.1900001</v>
      </c>
      <c r="C19" s="189">
        <v>1245671436.3699999</v>
      </c>
      <c r="D19" s="189">
        <v>1293092522.01</v>
      </c>
      <c r="E19" s="189">
        <v>984896826.91999996</v>
      </c>
      <c r="F19" s="189">
        <v>583115727.09000003</v>
      </c>
      <c r="G19" s="189">
        <v>498267228.60000002</v>
      </c>
      <c r="H19" s="189">
        <v>273470358.77999997</v>
      </c>
      <c r="I19" s="189">
        <v>352108139.55000001</v>
      </c>
      <c r="J19" s="189">
        <v>243536131.94</v>
      </c>
      <c r="K19" s="189">
        <v>341625621</v>
      </c>
      <c r="L19" s="189">
        <v>335972901.10000002</v>
      </c>
      <c r="M19" s="189">
        <v>166969262</v>
      </c>
      <c r="N19" s="189">
        <v>150591903.06</v>
      </c>
      <c r="O19" s="189">
        <v>202946745</v>
      </c>
      <c r="P19" s="189">
        <v>227968199.38</v>
      </c>
      <c r="Q19" s="189">
        <v>156998636</v>
      </c>
      <c r="R19" s="189">
        <v>83869750.920000002</v>
      </c>
      <c r="S19" s="189">
        <v>60582633</v>
      </c>
      <c r="T19" s="189">
        <v>21768043.390000001</v>
      </c>
      <c r="U19" s="189">
        <v>110211257</v>
      </c>
      <c r="V19" s="189">
        <v>26550889</v>
      </c>
      <c r="W19" s="189">
        <v>30915799</v>
      </c>
      <c r="X19" s="189">
        <v>65323961.609999999</v>
      </c>
      <c r="Y19" s="189">
        <v>56647420</v>
      </c>
      <c r="Z19" s="189">
        <v>0</v>
      </c>
      <c r="AA19" s="189">
        <v>0</v>
      </c>
      <c r="AB19" s="189">
        <v>0</v>
      </c>
      <c r="AC19" s="189">
        <v>0</v>
      </c>
      <c r="AD19" s="189">
        <v>0</v>
      </c>
      <c r="AE19" s="189">
        <v>0</v>
      </c>
      <c r="AF19" s="189">
        <v>110050.78</v>
      </c>
      <c r="AG19" s="189">
        <v>436453</v>
      </c>
      <c r="AH19" s="189">
        <v>819856.06</v>
      </c>
      <c r="AI19" s="189">
        <v>1164993.7</v>
      </c>
      <c r="AJ19" s="189">
        <v>0</v>
      </c>
      <c r="AK19" s="189">
        <v>0</v>
      </c>
      <c r="AL19" s="189">
        <v>0</v>
      </c>
      <c r="AM19" s="189">
        <v>0</v>
      </c>
      <c r="AN19" s="189">
        <v>0</v>
      </c>
      <c r="AO19" s="189">
        <v>0</v>
      </c>
      <c r="AP19" s="189">
        <v>0</v>
      </c>
      <c r="AQ19" s="189">
        <v>0</v>
      </c>
      <c r="AR19" s="189">
        <v>0</v>
      </c>
      <c r="AS19" s="189">
        <v>0</v>
      </c>
      <c r="AT19" s="189">
        <v>0</v>
      </c>
      <c r="AU19" s="189">
        <v>0</v>
      </c>
      <c r="AV19" s="189">
        <v>0</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c r="BQ19" s="189">
        <v>0</v>
      </c>
      <c r="BR19" s="189">
        <v>0</v>
      </c>
      <c r="BS19" s="189">
        <v>0</v>
      </c>
      <c r="BT19" s="189">
        <v>0</v>
      </c>
      <c r="BU19" s="189">
        <v>0</v>
      </c>
      <c r="BV19" s="189">
        <v>0</v>
      </c>
      <c r="BW19" s="189">
        <v>0</v>
      </c>
      <c r="BX19" s="189">
        <v>0</v>
      </c>
      <c r="BY19" s="189">
        <v>0</v>
      </c>
      <c r="BZ19" s="189">
        <v>0</v>
      </c>
      <c r="CA19" s="189">
        <v>0</v>
      </c>
      <c r="CB19" s="189">
        <v>0</v>
      </c>
      <c r="CC19" s="189">
        <v>0</v>
      </c>
      <c r="CD19" s="189">
        <v>0</v>
      </c>
      <c r="CE19" s="189">
        <v>0</v>
      </c>
      <c r="CF19" s="189">
        <v>20360648.09</v>
      </c>
      <c r="CG19" s="189">
        <v>0</v>
      </c>
      <c r="CH19" s="189">
        <v>0</v>
      </c>
      <c r="CI19" s="189">
        <v>0</v>
      </c>
    </row>
    <row r="20" spans="1:87">
      <c r="A20" s="189" t="s">
        <v>124</v>
      </c>
      <c r="B20" s="189">
        <v>15596323896.700001</v>
      </c>
      <c r="C20" s="189">
        <v>15178820649.08</v>
      </c>
      <c r="D20" s="189">
        <v>16028667010.459999</v>
      </c>
      <c r="E20" s="189">
        <v>11260233777.860001</v>
      </c>
      <c r="F20" s="189">
        <v>9532026676.75</v>
      </c>
      <c r="G20" s="189">
        <v>8045425158.6999998</v>
      </c>
      <c r="H20" s="189">
        <v>7319013569.3999996</v>
      </c>
      <c r="I20" s="189">
        <v>9387264381.1599998</v>
      </c>
      <c r="J20" s="189">
        <v>9773076507.3600006</v>
      </c>
      <c r="K20" s="189">
        <v>8959966095</v>
      </c>
      <c r="L20" s="189">
        <v>9773996262.2000008</v>
      </c>
      <c r="M20" s="189">
        <v>11219204620</v>
      </c>
      <c r="N20" s="189">
        <v>6777216441.4899998</v>
      </c>
      <c r="O20" s="189">
        <v>7449365365</v>
      </c>
      <c r="P20" s="189">
        <v>6699066163.6300001</v>
      </c>
      <c r="Q20" s="189">
        <v>5142728763</v>
      </c>
      <c r="R20" s="189">
        <v>8025816534.9300003</v>
      </c>
      <c r="S20" s="189">
        <v>2451898121</v>
      </c>
      <c r="T20" s="189">
        <v>2527359673.1700001</v>
      </c>
      <c r="U20" s="189">
        <v>2814162375</v>
      </c>
      <c r="V20" s="189">
        <v>2556098227</v>
      </c>
      <c r="W20" s="189">
        <v>2179074621</v>
      </c>
      <c r="X20" s="189">
        <v>2298234019.27</v>
      </c>
      <c r="Y20" s="189">
        <v>2191280232</v>
      </c>
      <c r="Z20" s="189">
        <v>2592361786</v>
      </c>
      <c r="AA20" s="189">
        <v>2483518991</v>
      </c>
      <c r="AB20" s="189">
        <v>2251380353.0900002</v>
      </c>
      <c r="AC20" s="189">
        <v>2375120640</v>
      </c>
      <c r="AD20" s="189">
        <v>2437535844.77</v>
      </c>
      <c r="AE20" s="189">
        <v>2629462761</v>
      </c>
      <c r="AF20" s="189">
        <v>2429875910.9200001</v>
      </c>
      <c r="AG20" s="189">
        <v>2332406290</v>
      </c>
      <c r="AH20" s="189">
        <v>2163684828.4499998</v>
      </c>
      <c r="AI20" s="189">
        <v>2509249039.3000002</v>
      </c>
      <c r="AJ20" s="189">
        <v>1917562403.99</v>
      </c>
      <c r="AK20" s="189">
        <v>1888939512.77</v>
      </c>
      <c r="AL20" s="189">
        <v>1599170244.1500001</v>
      </c>
      <c r="AM20" s="189">
        <v>1485615278.1300001</v>
      </c>
      <c r="AN20" s="189">
        <v>1117205435.0599999</v>
      </c>
      <c r="AO20" s="189">
        <v>1012284067.63</v>
      </c>
      <c r="AP20" s="189">
        <v>1605144996.48</v>
      </c>
      <c r="AQ20" s="189">
        <v>1759466827.3699999</v>
      </c>
      <c r="AR20" s="189">
        <v>1836282499.5799999</v>
      </c>
      <c r="AS20" s="189">
        <v>1686540410.9400001</v>
      </c>
      <c r="AT20" s="189">
        <v>1995895333.29</v>
      </c>
      <c r="AU20" s="189">
        <v>2359760654.5799999</v>
      </c>
      <c r="AV20" s="189">
        <v>1004008052.9400001</v>
      </c>
      <c r="AW20" s="189">
        <v>831567374.60000002</v>
      </c>
      <c r="AX20" s="189">
        <v>806248964.88</v>
      </c>
      <c r="AY20" s="189">
        <v>883150791.63999999</v>
      </c>
      <c r="AZ20" s="189">
        <v>768837359.33000004</v>
      </c>
      <c r="BA20" s="189">
        <v>743407168.50999999</v>
      </c>
      <c r="BB20" s="189">
        <v>715647267.45000005</v>
      </c>
      <c r="BC20" s="189">
        <v>778679328.55999994</v>
      </c>
      <c r="BD20" s="189">
        <v>768020164.04999995</v>
      </c>
      <c r="BE20" s="189">
        <v>866104203.59000003</v>
      </c>
      <c r="BF20" s="189">
        <v>703398722.17999995</v>
      </c>
      <c r="BG20" s="189">
        <v>715395798.12</v>
      </c>
      <c r="BH20" s="189">
        <v>639938100.39999998</v>
      </c>
      <c r="BI20" s="189">
        <v>537766825.33000004</v>
      </c>
      <c r="BJ20" s="189">
        <v>539226810.17999995</v>
      </c>
      <c r="BK20" s="189">
        <v>529616231.72000003</v>
      </c>
      <c r="BL20" s="189">
        <v>549017426.12</v>
      </c>
      <c r="BM20" s="189">
        <v>486802130.70999998</v>
      </c>
      <c r="BN20" s="189">
        <v>755963546.54999995</v>
      </c>
      <c r="BO20" s="189">
        <v>714026048.23000002</v>
      </c>
      <c r="BP20" s="189">
        <v>646259687.35000002</v>
      </c>
      <c r="BQ20" s="189">
        <v>614772966</v>
      </c>
      <c r="BR20" s="189">
        <v>687127126.33000004</v>
      </c>
      <c r="BS20" s="189">
        <v>379711744.85000002</v>
      </c>
      <c r="BT20" s="189">
        <v>337232725.06999999</v>
      </c>
      <c r="BU20" s="189">
        <v>296340893.97000003</v>
      </c>
      <c r="BV20" s="189">
        <v>308106323.06999999</v>
      </c>
      <c r="BW20" s="189">
        <v>231921800.12</v>
      </c>
      <c r="BX20" s="189">
        <v>403368599.39999998</v>
      </c>
      <c r="BY20" s="189">
        <v>310973465.42000002</v>
      </c>
      <c r="BZ20" s="189">
        <v>271527470.10000002</v>
      </c>
      <c r="CA20" s="189">
        <v>253692598.75</v>
      </c>
      <c r="CB20" s="189">
        <v>215760000</v>
      </c>
      <c r="CC20" s="189">
        <v>233471356.62</v>
      </c>
      <c r="CD20" s="189">
        <v>210230000</v>
      </c>
      <c r="CE20" s="189">
        <v>161089020.12</v>
      </c>
      <c r="CF20" s="189">
        <v>124687526.91</v>
      </c>
      <c r="CG20" s="189">
        <v>177301600</v>
      </c>
      <c r="CH20" s="189">
        <v>55502100</v>
      </c>
      <c r="CI20" s="189">
        <v>0</v>
      </c>
    </row>
    <row r="21" spans="1:87">
      <c r="A21" s="189" t="s">
        <v>125</v>
      </c>
    </row>
    <row r="22" spans="1:87">
      <c r="A22" s="189" t="s">
        <v>126</v>
      </c>
      <c r="B22" s="189">
        <v>0</v>
      </c>
      <c r="C22" s="189">
        <v>0</v>
      </c>
      <c r="D22" s="189">
        <v>0</v>
      </c>
      <c r="E22" s="189">
        <v>0</v>
      </c>
      <c r="F22" s="189">
        <v>0</v>
      </c>
      <c r="G22" s="189">
        <v>0</v>
      </c>
      <c r="H22" s="189">
        <v>0</v>
      </c>
      <c r="I22" s="189">
        <v>0</v>
      </c>
      <c r="J22" s="189">
        <v>0</v>
      </c>
      <c r="K22" s="189">
        <v>0</v>
      </c>
      <c r="L22" s="189">
        <v>0</v>
      </c>
      <c r="M22" s="189">
        <v>0</v>
      </c>
      <c r="N22" s="189">
        <v>0</v>
      </c>
      <c r="O22" s="189">
        <v>0</v>
      </c>
      <c r="P22" s="189">
        <v>0</v>
      </c>
      <c r="Q22" s="189">
        <v>0</v>
      </c>
      <c r="R22" s="189">
        <v>0</v>
      </c>
      <c r="S22" s="189">
        <v>0</v>
      </c>
      <c r="T22" s="189">
        <v>0</v>
      </c>
      <c r="U22" s="189">
        <v>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c r="AN22" s="189">
        <v>0</v>
      </c>
      <c r="AO22" s="189">
        <v>0</v>
      </c>
      <c r="AP22" s="189">
        <v>0</v>
      </c>
      <c r="AQ22" s="189">
        <v>0</v>
      </c>
      <c r="AR22" s="189">
        <v>0</v>
      </c>
      <c r="AS22" s="189">
        <v>0</v>
      </c>
      <c r="AT22" s="189">
        <v>0</v>
      </c>
      <c r="AU22" s="189">
        <v>0</v>
      </c>
      <c r="AV22" s="189">
        <v>0</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c r="BQ22" s="189">
        <v>0</v>
      </c>
      <c r="BR22" s="189">
        <v>0</v>
      </c>
      <c r="BS22" s="189">
        <v>0</v>
      </c>
      <c r="BT22" s="189">
        <v>0</v>
      </c>
      <c r="BU22" s="189">
        <v>0</v>
      </c>
      <c r="BV22" s="189">
        <v>0</v>
      </c>
      <c r="BW22" s="189">
        <v>0</v>
      </c>
      <c r="BX22" s="189">
        <v>0</v>
      </c>
      <c r="BY22" s="189">
        <v>0</v>
      </c>
      <c r="BZ22" s="189">
        <v>0</v>
      </c>
      <c r="CA22" s="189">
        <v>0</v>
      </c>
      <c r="CB22" s="189">
        <v>0</v>
      </c>
      <c r="CC22" s="189">
        <v>0</v>
      </c>
      <c r="CD22" s="189">
        <v>0</v>
      </c>
      <c r="CE22" s="189">
        <v>0</v>
      </c>
      <c r="CF22" s="189">
        <v>0</v>
      </c>
      <c r="CG22" s="189">
        <v>0</v>
      </c>
      <c r="CH22" s="189">
        <v>0</v>
      </c>
      <c r="CI22" s="189">
        <v>0</v>
      </c>
    </row>
    <row r="23" spans="1:87">
      <c r="A23" s="189" t="s">
        <v>127</v>
      </c>
      <c r="B23" s="189">
        <v>0</v>
      </c>
      <c r="C23" s="189">
        <v>0</v>
      </c>
      <c r="D23" s="189">
        <v>0</v>
      </c>
      <c r="E23" s="189">
        <v>0</v>
      </c>
      <c r="F23" s="189">
        <v>0</v>
      </c>
      <c r="G23" s="189">
        <v>0</v>
      </c>
      <c r="H23" s="189">
        <v>0</v>
      </c>
      <c r="I23" s="189">
        <v>0</v>
      </c>
      <c r="J23" s="189">
        <v>0</v>
      </c>
      <c r="K23" s="189">
        <v>0</v>
      </c>
      <c r="L23" s="189">
        <v>0</v>
      </c>
      <c r="M23" s="189">
        <v>0</v>
      </c>
      <c r="N23" s="189">
        <v>0</v>
      </c>
      <c r="O23" s="189">
        <v>0</v>
      </c>
      <c r="P23" s="189">
        <v>0</v>
      </c>
      <c r="Q23" s="189">
        <v>0</v>
      </c>
      <c r="R23" s="189">
        <v>38742614.969999999</v>
      </c>
      <c r="S23" s="189">
        <v>23886655</v>
      </c>
      <c r="T23" s="189">
        <v>24028706.170000002</v>
      </c>
      <c r="U23" s="189">
        <v>26340941</v>
      </c>
      <c r="V23" s="189">
        <v>17937684</v>
      </c>
      <c r="W23" s="189">
        <v>14607704</v>
      </c>
      <c r="X23" s="189">
        <v>16437053.439999999</v>
      </c>
      <c r="Y23" s="189">
        <v>17717764</v>
      </c>
      <c r="Z23" s="189">
        <v>15851430</v>
      </c>
      <c r="AA23" s="189">
        <v>17628680</v>
      </c>
      <c r="AB23" s="189">
        <v>19779378.960000001</v>
      </c>
      <c r="AC23" s="189">
        <v>17840224</v>
      </c>
      <c r="AD23" s="189">
        <v>0</v>
      </c>
      <c r="AE23" s="189">
        <v>0</v>
      </c>
      <c r="AF23" s="189">
        <v>0</v>
      </c>
      <c r="AG23" s="189">
        <v>0</v>
      </c>
      <c r="AH23" s="189">
        <v>0</v>
      </c>
      <c r="AI23" s="189">
        <v>0</v>
      </c>
      <c r="AJ23" s="189">
        <v>0</v>
      </c>
      <c r="AK23" s="189">
        <v>0</v>
      </c>
      <c r="AL23" s="189">
        <v>0</v>
      </c>
      <c r="AM23" s="189">
        <v>0</v>
      </c>
      <c r="AN23" s="189">
        <v>0</v>
      </c>
      <c r="AO23" s="189">
        <v>0</v>
      </c>
      <c r="AP23" s="189">
        <v>66779799.990000002</v>
      </c>
      <c r="AQ23" s="189">
        <v>88761799.989999995</v>
      </c>
      <c r="AR23" s="189">
        <v>170582550.94</v>
      </c>
      <c r="AS23" s="189">
        <v>210139462.05000001</v>
      </c>
      <c r="AT23" s="189">
        <v>203478014.44999999</v>
      </c>
      <c r="AU23" s="189">
        <v>0</v>
      </c>
      <c r="AV23" s="189">
        <v>0</v>
      </c>
      <c r="AW23" s="189">
        <v>0</v>
      </c>
      <c r="AX23" s="189">
        <v>0</v>
      </c>
      <c r="AY23" s="189">
        <v>0</v>
      </c>
      <c r="AZ23" s="189">
        <v>0</v>
      </c>
      <c r="BA23" s="189">
        <v>0</v>
      </c>
      <c r="BB23" s="189">
        <v>0</v>
      </c>
      <c r="BC23" s="189">
        <v>0</v>
      </c>
      <c r="BD23" s="189">
        <v>0</v>
      </c>
      <c r="BE23" s="189">
        <v>0</v>
      </c>
      <c r="BF23" s="189">
        <v>0</v>
      </c>
      <c r="BG23" s="189">
        <v>0</v>
      </c>
      <c r="BH23" s="189">
        <v>0</v>
      </c>
      <c r="BI23" s="189">
        <v>0</v>
      </c>
      <c r="BJ23" s="189">
        <v>0</v>
      </c>
      <c r="BK23" s="189">
        <v>0</v>
      </c>
      <c r="BL23" s="189">
        <v>0</v>
      </c>
      <c r="BM23" s="189">
        <v>0</v>
      </c>
      <c r="BN23" s="189">
        <v>0</v>
      </c>
      <c r="BO23" s="189">
        <v>0</v>
      </c>
      <c r="BP23" s="189">
        <v>0</v>
      </c>
      <c r="BQ23" s="189">
        <v>0</v>
      </c>
      <c r="BR23" s="189">
        <v>0</v>
      </c>
      <c r="BS23" s="189">
        <v>0</v>
      </c>
      <c r="BT23" s="189">
        <v>0</v>
      </c>
      <c r="BU23" s="189">
        <v>0</v>
      </c>
      <c r="BV23" s="189">
        <v>0</v>
      </c>
      <c r="BW23" s="189">
        <v>0</v>
      </c>
      <c r="BX23" s="189">
        <v>0</v>
      </c>
      <c r="BY23" s="189">
        <v>0</v>
      </c>
      <c r="BZ23" s="189">
        <v>0</v>
      </c>
      <c r="CA23" s="189">
        <v>0</v>
      </c>
      <c r="CB23" s="189">
        <v>0</v>
      </c>
      <c r="CC23" s="189">
        <v>0</v>
      </c>
      <c r="CD23" s="189">
        <v>0</v>
      </c>
      <c r="CE23" s="189">
        <v>0</v>
      </c>
      <c r="CF23" s="189">
        <v>0</v>
      </c>
      <c r="CG23" s="189">
        <v>0</v>
      </c>
      <c r="CH23" s="189">
        <v>0</v>
      </c>
      <c r="CI23" s="189">
        <v>0</v>
      </c>
    </row>
    <row r="24" spans="1:87">
      <c r="A24" s="189" t="s">
        <v>128</v>
      </c>
      <c r="B24" s="189">
        <v>0</v>
      </c>
      <c r="C24" s="189">
        <v>0</v>
      </c>
      <c r="D24" s="189">
        <v>0</v>
      </c>
      <c r="E24" s="189">
        <v>0</v>
      </c>
      <c r="F24" s="189">
        <v>0</v>
      </c>
      <c r="G24" s="189">
        <v>0</v>
      </c>
      <c r="H24" s="189">
        <v>0</v>
      </c>
      <c r="I24" s="189">
        <v>0</v>
      </c>
      <c r="J24" s="189">
        <v>0</v>
      </c>
      <c r="K24" s="189">
        <v>0</v>
      </c>
      <c r="L24" s="189">
        <v>0</v>
      </c>
      <c r="M24" s="189">
        <v>0</v>
      </c>
      <c r="N24" s="189">
        <v>0</v>
      </c>
      <c r="O24" s="189">
        <v>0</v>
      </c>
      <c r="P24" s="189">
        <v>0</v>
      </c>
      <c r="Q24" s="189">
        <v>0</v>
      </c>
      <c r="R24" s="189">
        <v>0</v>
      </c>
      <c r="S24" s="189">
        <v>0</v>
      </c>
      <c r="T24" s="189">
        <v>0</v>
      </c>
      <c r="U24" s="189">
        <v>0</v>
      </c>
      <c r="V24" s="189">
        <v>0</v>
      </c>
      <c r="W24" s="189">
        <v>0</v>
      </c>
      <c r="X24" s="189">
        <v>0</v>
      </c>
      <c r="Y24" s="189">
        <v>0</v>
      </c>
      <c r="Z24" s="189">
        <v>0</v>
      </c>
      <c r="AA24" s="189">
        <v>0</v>
      </c>
      <c r="AB24" s="189">
        <v>0</v>
      </c>
      <c r="AC24" s="189">
        <v>0</v>
      </c>
      <c r="AD24" s="189">
        <v>0</v>
      </c>
      <c r="AE24" s="189">
        <v>0</v>
      </c>
      <c r="AF24" s="189">
        <v>0</v>
      </c>
      <c r="AG24" s="189">
        <v>0</v>
      </c>
      <c r="AH24" s="189">
        <v>0</v>
      </c>
      <c r="AI24" s="189">
        <v>0</v>
      </c>
      <c r="AJ24" s="189">
        <v>0</v>
      </c>
      <c r="AK24" s="189">
        <v>0</v>
      </c>
      <c r="AL24" s="189">
        <v>0</v>
      </c>
      <c r="AM24" s="189">
        <v>0</v>
      </c>
      <c r="AN24" s="189">
        <v>0</v>
      </c>
      <c r="AO24" s="189">
        <v>0</v>
      </c>
      <c r="AP24" s="189">
        <v>0</v>
      </c>
      <c r="AQ24" s="189">
        <v>0</v>
      </c>
      <c r="AR24" s="189">
        <v>0</v>
      </c>
      <c r="AS24" s="189">
        <v>0</v>
      </c>
      <c r="AT24" s="189">
        <v>0</v>
      </c>
      <c r="AU24" s="189">
        <v>0</v>
      </c>
      <c r="AV24" s="189">
        <v>0</v>
      </c>
      <c r="AW24" s="189">
        <v>0</v>
      </c>
      <c r="AX24" s="189">
        <v>0</v>
      </c>
      <c r="AY24" s="189">
        <v>0</v>
      </c>
      <c r="AZ24" s="189">
        <v>0</v>
      </c>
      <c r="BA24" s="189">
        <v>0</v>
      </c>
      <c r="BB24" s="189">
        <v>0</v>
      </c>
      <c r="BC24" s="189">
        <v>0</v>
      </c>
      <c r="BD24" s="189">
        <v>0</v>
      </c>
      <c r="BE24" s="189">
        <v>0</v>
      </c>
      <c r="BF24" s="189">
        <v>0</v>
      </c>
      <c r="BG24" s="189">
        <v>0</v>
      </c>
      <c r="BH24" s="189">
        <v>0</v>
      </c>
      <c r="BI24" s="189">
        <v>0</v>
      </c>
      <c r="BJ24" s="189">
        <v>0</v>
      </c>
      <c r="BK24" s="189">
        <v>0</v>
      </c>
      <c r="BL24" s="189">
        <v>0</v>
      </c>
      <c r="BM24" s="189">
        <v>0</v>
      </c>
      <c r="BN24" s="189">
        <v>0</v>
      </c>
      <c r="BO24" s="189">
        <v>0</v>
      </c>
      <c r="BP24" s="189">
        <v>0</v>
      </c>
      <c r="BQ24" s="189">
        <v>0</v>
      </c>
      <c r="BR24" s="189">
        <v>0</v>
      </c>
      <c r="BS24" s="189">
        <v>0</v>
      </c>
      <c r="BT24" s="189">
        <v>0</v>
      </c>
      <c r="BU24" s="189">
        <v>0</v>
      </c>
      <c r="BV24" s="189">
        <v>0</v>
      </c>
      <c r="BW24" s="189">
        <v>0</v>
      </c>
      <c r="BX24" s="189">
        <v>0</v>
      </c>
      <c r="BY24" s="189">
        <v>0</v>
      </c>
      <c r="BZ24" s="189">
        <v>0</v>
      </c>
      <c r="CA24" s="189">
        <v>0</v>
      </c>
      <c r="CB24" s="189">
        <v>0</v>
      </c>
      <c r="CC24" s="189">
        <v>0</v>
      </c>
      <c r="CD24" s="189">
        <v>0</v>
      </c>
      <c r="CE24" s="189">
        <v>0</v>
      </c>
      <c r="CF24" s="189">
        <v>0</v>
      </c>
      <c r="CG24" s="189">
        <v>0</v>
      </c>
      <c r="CH24" s="189">
        <v>0</v>
      </c>
      <c r="CI24" s="189">
        <v>0</v>
      </c>
    </row>
    <row r="25" spans="1:87">
      <c r="A25" s="189" t="s">
        <v>129</v>
      </c>
      <c r="B25" s="189">
        <v>27928642.800000001</v>
      </c>
      <c r="C25" s="189">
        <v>28041315.27</v>
      </c>
      <c r="D25" s="189">
        <v>28152303.609999999</v>
      </c>
      <c r="E25" s="189">
        <v>28259923.690000001</v>
      </c>
      <c r="F25" s="189">
        <v>28367543.780000001</v>
      </c>
      <c r="G25" s="189">
        <v>28465013.27</v>
      </c>
      <c r="H25" s="189">
        <v>28562482.760000002</v>
      </c>
      <c r="I25" s="189">
        <v>28659952.25</v>
      </c>
      <c r="J25" s="189">
        <v>41247881.68</v>
      </c>
      <c r="K25" s="189">
        <v>41335811</v>
      </c>
      <c r="L25" s="189">
        <v>41441418.490000002</v>
      </c>
      <c r="M25" s="189">
        <v>41590482</v>
      </c>
      <c r="N25" s="189">
        <v>39708484.799999997</v>
      </c>
      <c r="O25" s="189">
        <v>39840452</v>
      </c>
      <c r="P25" s="189">
        <v>39252423.829999998</v>
      </c>
      <c r="Q25" s="189">
        <v>39375996</v>
      </c>
      <c r="R25" s="189">
        <v>39677468.450000003</v>
      </c>
      <c r="S25" s="189">
        <v>27888380</v>
      </c>
      <c r="T25" s="189">
        <v>27980201.73</v>
      </c>
      <c r="U25" s="189">
        <v>28072023</v>
      </c>
      <c r="V25" s="189">
        <v>0</v>
      </c>
      <c r="W25" s="189">
        <v>0</v>
      </c>
      <c r="X25" s="189">
        <v>0</v>
      </c>
      <c r="Y25" s="189">
        <v>0</v>
      </c>
      <c r="Z25" s="189">
        <v>0</v>
      </c>
      <c r="AA25" s="189">
        <v>0</v>
      </c>
      <c r="AB25" s="189">
        <v>0</v>
      </c>
      <c r="AC25" s="189">
        <v>0</v>
      </c>
      <c r="AD25" s="189">
        <v>0</v>
      </c>
      <c r="AE25" s="189">
        <v>0</v>
      </c>
      <c r="AF25" s="189">
        <v>0</v>
      </c>
      <c r="AG25" s="189">
        <v>0</v>
      </c>
      <c r="AH25" s="189">
        <v>0</v>
      </c>
      <c r="AI25" s="189">
        <v>0</v>
      </c>
      <c r="AJ25" s="189">
        <v>0</v>
      </c>
      <c r="AK25" s="189">
        <v>0</v>
      </c>
      <c r="AL25" s="189">
        <v>0</v>
      </c>
      <c r="AM25" s="189">
        <v>0</v>
      </c>
      <c r="AN25" s="189">
        <v>0</v>
      </c>
      <c r="AO25" s="189">
        <v>0</v>
      </c>
      <c r="AP25" s="189">
        <v>0</v>
      </c>
      <c r="AQ25" s="189">
        <v>0</v>
      </c>
      <c r="AR25" s="189">
        <v>0</v>
      </c>
      <c r="AS25" s="189">
        <v>0</v>
      </c>
      <c r="AT25" s="189">
        <v>0</v>
      </c>
      <c r="AU25" s="189">
        <v>0</v>
      </c>
      <c r="AV25" s="189">
        <v>0</v>
      </c>
      <c r="AW25" s="189">
        <v>0</v>
      </c>
      <c r="AX25" s="189">
        <v>0</v>
      </c>
      <c r="AY25" s="189">
        <v>0</v>
      </c>
      <c r="AZ25" s="189">
        <v>0</v>
      </c>
      <c r="BA25" s="189">
        <v>0</v>
      </c>
      <c r="BB25" s="189">
        <v>0</v>
      </c>
      <c r="BC25" s="189">
        <v>0</v>
      </c>
      <c r="BD25" s="189">
        <v>0</v>
      </c>
      <c r="BE25" s="189">
        <v>0</v>
      </c>
      <c r="BF25" s="189">
        <v>0</v>
      </c>
      <c r="BG25" s="189">
        <v>0</v>
      </c>
      <c r="BH25" s="189">
        <v>0</v>
      </c>
      <c r="BI25" s="189">
        <v>0</v>
      </c>
      <c r="BJ25" s="189">
        <v>0</v>
      </c>
      <c r="BK25" s="189">
        <v>0</v>
      </c>
      <c r="BL25" s="189">
        <v>0</v>
      </c>
      <c r="BM25" s="189">
        <v>0</v>
      </c>
      <c r="BN25" s="189">
        <v>0</v>
      </c>
      <c r="BO25" s="189">
        <v>0</v>
      </c>
      <c r="BP25" s="189">
        <v>0</v>
      </c>
      <c r="BQ25" s="189">
        <v>0</v>
      </c>
      <c r="BR25" s="189">
        <v>0</v>
      </c>
      <c r="BS25" s="189">
        <v>0</v>
      </c>
      <c r="BT25" s="189">
        <v>0</v>
      </c>
      <c r="BU25" s="189">
        <v>0</v>
      </c>
      <c r="BV25" s="189">
        <v>0</v>
      </c>
      <c r="BW25" s="189">
        <v>0</v>
      </c>
      <c r="BX25" s="189">
        <v>0</v>
      </c>
      <c r="BY25" s="189">
        <v>0</v>
      </c>
      <c r="BZ25" s="189">
        <v>0</v>
      </c>
      <c r="CA25" s="189">
        <v>0</v>
      </c>
      <c r="CB25" s="189">
        <v>0</v>
      </c>
      <c r="CC25" s="189">
        <v>0</v>
      </c>
      <c r="CD25" s="189">
        <v>0</v>
      </c>
      <c r="CE25" s="189">
        <v>0</v>
      </c>
      <c r="CF25" s="189">
        <v>0</v>
      </c>
      <c r="CG25" s="189">
        <v>0</v>
      </c>
      <c r="CH25" s="189">
        <v>0</v>
      </c>
      <c r="CI25" s="189">
        <v>0</v>
      </c>
    </row>
    <row r="26" spans="1:87">
      <c r="A26" s="189" t="s">
        <v>130</v>
      </c>
      <c r="B26" s="189">
        <v>31497023.199999999</v>
      </c>
      <c r="C26" s="189">
        <v>32090694.899999999</v>
      </c>
      <c r="D26" s="189">
        <v>31749723.829999998</v>
      </c>
      <c r="E26" s="189">
        <v>313407773.91000003</v>
      </c>
      <c r="F26" s="189">
        <v>326506232.54000002</v>
      </c>
      <c r="G26" s="189">
        <v>327578239.93000001</v>
      </c>
      <c r="H26" s="189">
        <v>328604800.81</v>
      </c>
      <c r="I26" s="189">
        <v>330350850.91000003</v>
      </c>
      <c r="J26" s="189">
        <v>331689783.13999999</v>
      </c>
      <c r="K26" s="189">
        <v>333346386</v>
      </c>
      <c r="L26" s="189">
        <v>300497495.66000003</v>
      </c>
      <c r="M26" s="189">
        <v>300917625</v>
      </c>
      <c r="N26" s="189">
        <v>301257779.44999999</v>
      </c>
      <c r="O26" s="189">
        <v>302151417</v>
      </c>
      <c r="P26" s="189">
        <v>303413324.44999999</v>
      </c>
      <c r="Q26" s="189">
        <v>304157073</v>
      </c>
      <c r="R26" s="189">
        <v>126249577.63</v>
      </c>
      <c r="S26" s="189">
        <v>288160300</v>
      </c>
      <c r="T26" s="189">
        <v>166483497.47999999</v>
      </c>
      <c r="U26" s="189">
        <v>165976435</v>
      </c>
      <c r="V26" s="189">
        <v>165648060</v>
      </c>
      <c r="W26" s="189">
        <v>160671791</v>
      </c>
      <c r="X26" s="189">
        <v>155291543</v>
      </c>
      <c r="Y26" s="189">
        <v>150583926</v>
      </c>
      <c r="Z26" s="189">
        <v>155643198</v>
      </c>
      <c r="AA26" s="189">
        <v>159047632</v>
      </c>
      <c r="AB26" s="189">
        <v>146890455.28</v>
      </c>
      <c r="AC26" s="189">
        <v>149138751</v>
      </c>
      <c r="AD26" s="189">
        <v>159853751.75</v>
      </c>
      <c r="AE26" s="189">
        <v>176165011</v>
      </c>
      <c r="AF26" s="189">
        <v>176997478.69999999</v>
      </c>
      <c r="AG26" s="189">
        <v>177808549</v>
      </c>
      <c r="AH26" s="189">
        <v>147630480.56</v>
      </c>
      <c r="AI26" s="189">
        <v>99630480.560000002</v>
      </c>
      <c r="AJ26" s="189">
        <v>45630480.560000002</v>
      </c>
      <c r="AK26" s="189">
        <v>32550000</v>
      </c>
      <c r="AL26" s="189">
        <v>34631000</v>
      </c>
      <c r="AM26" s="189">
        <v>34631000</v>
      </c>
      <c r="AN26" s="189">
        <v>5031000</v>
      </c>
      <c r="AO26" s="189">
        <v>5031000</v>
      </c>
      <c r="AP26" s="189">
        <v>7583403.1100000003</v>
      </c>
      <c r="AQ26" s="189">
        <v>7583403.1100000003</v>
      </c>
      <c r="AR26" s="189">
        <v>8000392.8200000003</v>
      </c>
      <c r="AS26" s="189">
        <v>8000392.8200000003</v>
      </c>
      <c r="AT26" s="189">
        <v>3235293.87</v>
      </c>
      <c r="AU26" s="189">
        <v>7695058.9500000002</v>
      </c>
      <c r="AV26" s="189">
        <v>11994707.42</v>
      </c>
      <c r="AW26" s="189">
        <v>166494707.41999999</v>
      </c>
      <c r="AX26" s="189">
        <v>167151773.53999999</v>
      </c>
      <c r="AY26" s="189">
        <v>73901773.540000007</v>
      </c>
      <c r="AZ26" s="189">
        <v>73901773.540000007</v>
      </c>
      <c r="BA26" s="189">
        <v>12101773.539999999</v>
      </c>
      <c r="BB26" s="189">
        <v>26465786.34</v>
      </c>
      <c r="BC26" s="189">
        <v>26465786.34</v>
      </c>
      <c r="BD26" s="189">
        <v>24773382.629999999</v>
      </c>
      <c r="BE26" s="189">
        <v>24773382.629999999</v>
      </c>
      <c r="BF26" s="189">
        <v>16639941.08</v>
      </c>
      <c r="BG26" s="189">
        <v>9548115.0800000001</v>
      </c>
      <c r="BH26" s="189">
        <v>9548115.0800000001</v>
      </c>
      <c r="BI26" s="189">
        <v>5409765.0800000001</v>
      </c>
      <c r="BJ26" s="189">
        <v>6017265.0800000001</v>
      </c>
      <c r="BK26" s="189">
        <v>6017265.0800000001</v>
      </c>
      <c r="BL26" s="189">
        <v>6017265.0800000001</v>
      </c>
      <c r="BM26" s="189">
        <v>6017265.0800000001</v>
      </c>
      <c r="BN26" s="189">
        <v>6017265.0800000001</v>
      </c>
      <c r="BO26" s="189">
        <v>6017265.0800000001</v>
      </c>
      <c r="BP26" s="189">
        <v>7284238.1100000003</v>
      </c>
      <c r="BQ26" s="189">
        <v>6017265.0800000001</v>
      </c>
      <c r="BR26" s="189">
        <v>7734238.1100000003</v>
      </c>
      <c r="BS26" s="189">
        <v>8184238.1100000003</v>
      </c>
      <c r="BT26" s="189">
        <v>8358022.2300000004</v>
      </c>
      <c r="BU26" s="189">
        <v>8059218.4000000004</v>
      </c>
      <c r="BV26" s="189">
        <v>7564970.96</v>
      </c>
      <c r="BW26" s="189">
        <v>7564970.96</v>
      </c>
      <c r="BX26" s="189">
        <v>7016490.8799999999</v>
      </c>
      <c r="BY26" s="189">
        <v>7016490.8799999999</v>
      </c>
      <c r="BZ26" s="189">
        <v>29297836.41</v>
      </c>
      <c r="CA26" s="189">
        <v>29216725.93</v>
      </c>
      <c r="CB26" s="189">
        <v>29160000</v>
      </c>
      <c r="CC26" s="189">
        <v>29722938.120000001</v>
      </c>
      <c r="CD26" s="189">
        <v>26390000</v>
      </c>
      <c r="CE26" s="189">
        <v>26590270.449999999</v>
      </c>
      <c r="CF26" s="189">
        <v>24565328.440000001</v>
      </c>
      <c r="CG26" s="189">
        <v>0</v>
      </c>
      <c r="CH26" s="189">
        <v>0</v>
      </c>
      <c r="CI26" s="189">
        <v>0</v>
      </c>
    </row>
    <row r="27" spans="1:87">
      <c r="A27" s="189" t="s">
        <v>131</v>
      </c>
      <c r="B27" s="189">
        <v>30130502.93</v>
      </c>
      <c r="C27" s="189">
        <v>30469796.059999999</v>
      </c>
      <c r="D27" s="189">
        <v>30809089.190000001</v>
      </c>
      <c r="E27" s="189">
        <v>32573294.18</v>
      </c>
      <c r="F27" s="189">
        <v>32938143.780000001</v>
      </c>
      <c r="G27" s="189">
        <v>33302993.010000002</v>
      </c>
      <c r="H27" s="189">
        <v>33667842.240000002</v>
      </c>
      <c r="I27" s="189">
        <v>34032691.469999999</v>
      </c>
      <c r="J27" s="189">
        <v>34397540.689999998</v>
      </c>
      <c r="K27" s="189">
        <v>34762390</v>
      </c>
      <c r="L27" s="189">
        <v>35127239.149999999</v>
      </c>
      <c r="M27" s="189">
        <v>35492088</v>
      </c>
      <c r="N27" s="189">
        <v>35925133</v>
      </c>
      <c r="O27" s="189">
        <v>36282923</v>
      </c>
      <c r="P27" s="189">
        <v>35621603.619999997</v>
      </c>
      <c r="Q27" s="189">
        <v>43526591</v>
      </c>
      <c r="R27" s="189">
        <v>42912341.32</v>
      </c>
      <c r="S27" s="189">
        <v>31037815</v>
      </c>
      <c r="T27" s="189">
        <v>31378382.550000001</v>
      </c>
      <c r="U27" s="189">
        <v>31814116</v>
      </c>
      <c r="V27" s="189">
        <v>45919839</v>
      </c>
      <c r="W27" s="189">
        <v>46417857</v>
      </c>
      <c r="X27" s="189">
        <v>32840760.190000001</v>
      </c>
      <c r="Y27" s="189">
        <v>33182976</v>
      </c>
      <c r="Z27" s="189">
        <v>33525190</v>
      </c>
      <c r="AA27" s="189">
        <v>33867404</v>
      </c>
      <c r="AB27" s="189">
        <v>35030288.939999998</v>
      </c>
      <c r="AC27" s="189">
        <v>19673150</v>
      </c>
      <c r="AD27" s="189">
        <v>19908470.530000001</v>
      </c>
      <c r="AE27" s="189">
        <v>20143791</v>
      </c>
      <c r="AF27" s="189">
        <v>20379111.789999999</v>
      </c>
      <c r="AG27" s="189">
        <v>20614433</v>
      </c>
      <c r="AH27" s="189">
        <v>20849752.920000002</v>
      </c>
      <c r="AI27" s="189">
        <v>21085073.550000001</v>
      </c>
      <c r="AJ27" s="189">
        <v>21320394.18</v>
      </c>
      <c r="AK27" s="189">
        <v>11374696.23</v>
      </c>
      <c r="AL27" s="189">
        <v>11495694.640000001</v>
      </c>
      <c r="AM27" s="189">
        <v>9322873.8399999999</v>
      </c>
      <c r="AN27" s="189">
        <v>9418316.2300000004</v>
      </c>
      <c r="AO27" s="189">
        <v>9513758.6199999992</v>
      </c>
      <c r="AP27" s="189">
        <v>4386354.46</v>
      </c>
      <c r="AQ27" s="189">
        <v>4433001.1900000004</v>
      </c>
      <c r="AR27" s="189">
        <v>4481077.5</v>
      </c>
      <c r="AS27" s="189">
        <v>4529868.5999999996</v>
      </c>
      <c r="AT27" s="189">
        <v>4578659.7</v>
      </c>
      <c r="AU27" s="189">
        <v>4627450.8</v>
      </c>
      <c r="AV27" s="189">
        <v>9234927.7300000004</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c r="BX27" s="189">
        <v>0</v>
      </c>
      <c r="BY27" s="189">
        <v>0</v>
      </c>
      <c r="BZ27" s="189">
        <v>0</v>
      </c>
      <c r="CA27" s="189">
        <v>0</v>
      </c>
      <c r="CB27" s="189">
        <v>0</v>
      </c>
      <c r="CC27" s="189">
        <v>0</v>
      </c>
      <c r="CD27" s="189">
        <v>0</v>
      </c>
      <c r="CE27" s="189">
        <v>0</v>
      </c>
      <c r="CF27" s="189">
        <v>0</v>
      </c>
      <c r="CG27" s="189">
        <v>0</v>
      </c>
      <c r="CH27" s="189">
        <v>0</v>
      </c>
      <c r="CI27" s="189">
        <v>0</v>
      </c>
    </row>
    <row r="28" spans="1:87">
      <c r="A28" s="189" t="s">
        <v>132</v>
      </c>
      <c r="B28" s="189">
        <v>29522077710.330002</v>
      </c>
      <c r="C28" s="189">
        <v>30204168497.16</v>
      </c>
      <c r="D28" s="189">
        <v>30350560631.900002</v>
      </c>
      <c r="E28" s="189">
        <v>6622115057.1800003</v>
      </c>
      <c r="F28" s="189">
        <v>6529609597.1999998</v>
      </c>
      <c r="G28" s="189">
        <v>6041124168.9099998</v>
      </c>
      <c r="H28" s="189">
        <v>6123151500.6000004</v>
      </c>
      <c r="I28" s="189">
        <v>6268134989.3199997</v>
      </c>
      <c r="J28" s="189">
        <v>6459390362.6400003</v>
      </c>
      <c r="K28" s="189">
        <v>6598863476</v>
      </c>
      <c r="L28" s="189">
        <v>6812488804.8900003</v>
      </c>
      <c r="M28" s="189">
        <v>6845571380</v>
      </c>
      <c r="N28" s="189">
        <v>7050355130.8800001</v>
      </c>
      <c r="O28" s="189">
        <v>7300912499</v>
      </c>
      <c r="P28" s="189">
        <v>7582244530.04</v>
      </c>
      <c r="Q28" s="189">
        <v>7816029519</v>
      </c>
      <c r="R28" s="189">
        <v>8071947724.4200001</v>
      </c>
      <c r="S28" s="189">
        <v>3788048550</v>
      </c>
      <c r="T28" s="189">
        <v>3874729665.0700002</v>
      </c>
      <c r="U28" s="189">
        <v>3986723070</v>
      </c>
      <c r="V28" s="189">
        <v>4087328114</v>
      </c>
      <c r="W28" s="189">
        <v>4202621533</v>
      </c>
      <c r="X28" s="189">
        <v>4332951924.8400002</v>
      </c>
      <c r="Y28" s="189">
        <v>4412502695</v>
      </c>
      <c r="Z28" s="189">
        <v>4498385230</v>
      </c>
      <c r="AA28" s="189">
        <v>4607263672</v>
      </c>
      <c r="AB28" s="189">
        <v>4445580010.5600004</v>
      </c>
      <c r="AC28" s="189">
        <v>4574048642</v>
      </c>
      <c r="AD28" s="189">
        <v>4682678319.6000004</v>
      </c>
      <c r="AE28" s="189">
        <v>4790543754</v>
      </c>
      <c r="AF28" s="189">
        <v>4888850900.54</v>
      </c>
      <c r="AG28" s="189">
        <v>4995034450</v>
      </c>
      <c r="AH28" s="189">
        <v>3203428879.0100002</v>
      </c>
      <c r="AI28" s="189">
        <v>3263335011.98</v>
      </c>
      <c r="AJ28" s="189">
        <v>3336112314.5999999</v>
      </c>
      <c r="AK28" s="189">
        <v>3416417873.8899999</v>
      </c>
      <c r="AL28" s="189">
        <v>3539545426.0999999</v>
      </c>
      <c r="AM28" s="189">
        <v>3607610568.8099999</v>
      </c>
      <c r="AN28" s="189">
        <v>3671977804.4000001</v>
      </c>
      <c r="AO28" s="189">
        <v>3744076083.5300002</v>
      </c>
      <c r="AP28" s="189">
        <v>3435968354.5500002</v>
      </c>
      <c r="AQ28" s="189">
        <v>1387930539.8</v>
      </c>
      <c r="AR28" s="189">
        <v>504260539.55000001</v>
      </c>
      <c r="AS28" s="189">
        <v>510361097.72000003</v>
      </c>
      <c r="AT28" s="189">
        <v>499449749.80000001</v>
      </c>
      <c r="AU28" s="189">
        <v>507878415.33999997</v>
      </c>
      <c r="AV28" s="189">
        <v>527532490.57999998</v>
      </c>
      <c r="AW28" s="189">
        <v>537722021.47000003</v>
      </c>
      <c r="AX28" s="189">
        <v>536690591.70999998</v>
      </c>
      <c r="AY28" s="189">
        <v>543398299.13</v>
      </c>
      <c r="AZ28" s="189">
        <v>556722441.57000005</v>
      </c>
      <c r="BA28" s="189">
        <v>569373460.89999998</v>
      </c>
      <c r="BB28" s="189">
        <v>580239933.60000002</v>
      </c>
      <c r="BC28" s="189">
        <v>591190255.88999999</v>
      </c>
      <c r="BD28" s="189">
        <v>603768202.26999998</v>
      </c>
      <c r="BE28" s="189">
        <v>584490661.57000005</v>
      </c>
      <c r="BF28" s="189">
        <v>593899574.30999994</v>
      </c>
      <c r="BG28" s="189">
        <v>585359737.99000001</v>
      </c>
      <c r="BH28" s="189">
        <v>585004559.86000001</v>
      </c>
      <c r="BI28" s="189">
        <v>595940536.23000002</v>
      </c>
      <c r="BJ28" s="189">
        <v>353184821.61000001</v>
      </c>
      <c r="BK28" s="189">
        <v>354270531.19</v>
      </c>
      <c r="BL28" s="189">
        <v>175530873.91</v>
      </c>
      <c r="BM28" s="189">
        <v>179234172.50999999</v>
      </c>
      <c r="BN28" s="189">
        <v>187368978.58000001</v>
      </c>
      <c r="BO28" s="189">
        <v>191271402.83000001</v>
      </c>
      <c r="BP28" s="189">
        <v>195421347.99000001</v>
      </c>
      <c r="BQ28" s="189">
        <v>194399206.31</v>
      </c>
      <c r="BR28" s="189">
        <v>203631182.38999999</v>
      </c>
      <c r="BS28" s="189">
        <v>205719372</v>
      </c>
      <c r="BT28" s="189">
        <v>218020347.34</v>
      </c>
      <c r="BU28" s="189">
        <v>212651751.69999999</v>
      </c>
      <c r="BV28" s="189">
        <v>218579504.99000001</v>
      </c>
      <c r="BW28" s="189">
        <v>225743490.75999999</v>
      </c>
      <c r="BX28" s="189">
        <v>87533711.549999997</v>
      </c>
      <c r="BY28" s="189">
        <v>90885305.290000007</v>
      </c>
      <c r="BZ28" s="189">
        <v>93160345.109999999</v>
      </c>
      <c r="CA28" s="189">
        <v>95668293.459999993</v>
      </c>
      <c r="CB28" s="189">
        <v>95990000</v>
      </c>
      <c r="CC28" s="189">
        <v>97771962.189999998</v>
      </c>
      <c r="CD28" s="189">
        <v>101730000</v>
      </c>
      <c r="CE28" s="189">
        <v>104529465.17</v>
      </c>
      <c r="CF28" s="189">
        <v>42091998.079999998</v>
      </c>
      <c r="CG28" s="189">
        <v>33919300</v>
      </c>
      <c r="CH28" s="189">
        <v>35843600</v>
      </c>
      <c r="CI28" s="189">
        <v>0</v>
      </c>
    </row>
    <row r="29" spans="1:87">
      <c r="A29" s="189" t="s">
        <v>133</v>
      </c>
      <c r="B29" s="189">
        <v>12011001473.709999</v>
      </c>
      <c r="C29" s="189">
        <v>10873263813.08</v>
      </c>
      <c r="D29" s="189">
        <v>9633965406.1700001</v>
      </c>
      <c r="E29" s="189">
        <v>9785253439.2199993</v>
      </c>
      <c r="F29" s="189">
        <v>9179464913.4899998</v>
      </c>
      <c r="G29" s="189">
        <v>8635934326.0300007</v>
      </c>
      <c r="H29" s="189">
        <v>7346779182.1899996</v>
      </c>
      <c r="I29" s="189">
        <v>3688779156.3499999</v>
      </c>
      <c r="J29" s="189">
        <v>2867459024.1599998</v>
      </c>
      <c r="K29" s="189">
        <v>2025416046</v>
      </c>
      <c r="L29" s="189">
        <v>1683891573.8900001</v>
      </c>
      <c r="M29" s="189">
        <v>1543504792</v>
      </c>
      <c r="N29" s="189">
        <v>1312363273.5799999</v>
      </c>
      <c r="O29" s="189">
        <v>1044078082</v>
      </c>
      <c r="P29" s="189">
        <v>858305252.01999998</v>
      </c>
      <c r="Q29" s="189">
        <v>719316755</v>
      </c>
      <c r="R29" s="189">
        <v>705808852</v>
      </c>
      <c r="S29" s="189">
        <v>565407380</v>
      </c>
      <c r="T29" s="189">
        <v>528124642.42000002</v>
      </c>
      <c r="U29" s="189">
        <v>486235855</v>
      </c>
      <c r="V29" s="189">
        <v>473033061</v>
      </c>
      <c r="W29" s="189">
        <v>458923850</v>
      </c>
      <c r="X29" s="189">
        <v>441336755.93000001</v>
      </c>
      <c r="Y29" s="189">
        <v>440377821</v>
      </c>
      <c r="Z29" s="189">
        <v>426689236</v>
      </c>
      <c r="AA29" s="189">
        <v>392613313</v>
      </c>
      <c r="AB29" s="189">
        <v>632716530.63999999</v>
      </c>
      <c r="AC29" s="189">
        <v>601560696</v>
      </c>
      <c r="AD29" s="189">
        <v>360883930.62</v>
      </c>
      <c r="AE29" s="189">
        <v>306078765</v>
      </c>
      <c r="AF29" s="189">
        <v>244999167.63</v>
      </c>
      <c r="AG29" s="189">
        <v>153105868</v>
      </c>
      <c r="AH29" s="189">
        <v>1819611801.3399999</v>
      </c>
      <c r="AI29" s="189">
        <v>1514094372.8399999</v>
      </c>
      <c r="AJ29" s="189">
        <v>1341467841.9100001</v>
      </c>
      <c r="AK29" s="189">
        <v>832457926.90999997</v>
      </c>
      <c r="AL29" s="189">
        <v>330308850.58999997</v>
      </c>
      <c r="AM29" s="189">
        <v>198020938.41999999</v>
      </c>
      <c r="AN29" s="189">
        <v>73285561.950000003</v>
      </c>
      <c r="AO29" s="189">
        <v>41282814.799999997</v>
      </c>
      <c r="AP29" s="189">
        <v>71030893.120000005</v>
      </c>
      <c r="AQ29" s="189">
        <v>1776624628.8599999</v>
      </c>
      <c r="AR29" s="189">
        <v>2309198511.8600001</v>
      </c>
      <c r="AS29" s="189">
        <v>2084618323.0999999</v>
      </c>
      <c r="AT29" s="189">
        <v>1693607805.98</v>
      </c>
      <c r="AU29" s="189">
        <v>568097102.70000005</v>
      </c>
      <c r="AV29" s="189">
        <v>341456480.54000002</v>
      </c>
      <c r="AW29" s="189">
        <v>12754698.35</v>
      </c>
      <c r="AX29" s="189">
        <v>5087541.68</v>
      </c>
      <c r="AY29" s="189">
        <v>5682599.6500000004</v>
      </c>
      <c r="AZ29" s="189">
        <v>5271075.29</v>
      </c>
      <c r="BA29" s="189">
        <v>4625839.29</v>
      </c>
      <c r="BB29" s="189">
        <v>4709664.9000000004</v>
      </c>
      <c r="BC29" s="189">
        <v>4978713.9000000004</v>
      </c>
      <c r="BD29" s="189">
        <v>4509263.9000000004</v>
      </c>
      <c r="BE29" s="189">
        <v>32781420.32</v>
      </c>
      <c r="BF29" s="189">
        <v>51070</v>
      </c>
      <c r="BG29" s="189">
        <v>19247187.969999999</v>
      </c>
      <c r="BH29" s="189">
        <v>15627995.869999999</v>
      </c>
      <c r="BI29" s="189">
        <v>14092386.039999999</v>
      </c>
      <c r="BJ29" s="189">
        <v>221294106.53999999</v>
      </c>
      <c r="BK29" s="189">
        <v>209840829.21000001</v>
      </c>
      <c r="BL29" s="189">
        <v>355568248.92000002</v>
      </c>
      <c r="BM29" s="189">
        <v>348235071.95999998</v>
      </c>
      <c r="BN29" s="189">
        <v>75658145.590000004</v>
      </c>
      <c r="BO29" s="189">
        <v>58594455.560000002</v>
      </c>
      <c r="BP29" s="189">
        <v>43157691.310000002</v>
      </c>
      <c r="BQ29" s="189">
        <v>29255763.309999999</v>
      </c>
      <c r="BR29" s="189">
        <v>17230015.84</v>
      </c>
      <c r="BS29" s="189">
        <v>3855280</v>
      </c>
      <c r="BT29" s="189">
        <v>0</v>
      </c>
      <c r="BU29" s="189">
        <v>529345.07999999996</v>
      </c>
      <c r="BV29" s="189">
        <v>529345.07999999996</v>
      </c>
      <c r="BW29" s="189">
        <v>529345.07999999996</v>
      </c>
      <c r="BX29" s="189">
        <v>603775.07999999996</v>
      </c>
      <c r="BY29" s="189">
        <v>603575.07999999996</v>
      </c>
      <c r="BZ29" s="189">
        <v>747608.2</v>
      </c>
      <c r="CA29" s="189">
        <v>529345.07999999996</v>
      </c>
      <c r="CB29" s="189">
        <v>520000</v>
      </c>
      <c r="CC29" s="189">
        <v>466371.9</v>
      </c>
      <c r="CD29" s="189">
        <v>460000</v>
      </c>
      <c r="CE29" s="189">
        <v>250506.3</v>
      </c>
      <c r="CF29" s="189">
        <v>90708549</v>
      </c>
      <c r="CG29" s="189">
        <v>2374100</v>
      </c>
      <c r="CH29" s="189">
        <v>37700</v>
      </c>
      <c r="CI29" s="189">
        <v>0</v>
      </c>
    </row>
    <row r="30" spans="1:87">
      <c r="A30" s="189" t="s">
        <v>134</v>
      </c>
      <c r="B30" s="189">
        <v>0</v>
      </c>
      <c r="C30" s="189">
        <v>0</v>
      </c>
      <c r="D30" s="189">
        <v>0</v>
      </c>
      <c r="E30" s="189">
        <v>0</v>
      </c>
      <c r="F30" s="189">
        <v>0</v>
      </c>
      <c r="G30" s="189">
        <v>0</v>
      </c>
      <c r="H30" s="189">
        <v>0</v>
      </c>
      <c r="I30" s="189">
        <v>0</v>
      </c>
      <c r="J30" s="189">
        <v>0</v>
      </c>
      <c r="K30" s="189">
        <v>0</v>
      </c>
      <c r="L30" s="189">
        <v>0</v>
      </c>
      <c r="M30" s="189">
        <v>0</v>
      </c>
      <c r="N30" s="189">
        <v>0</v>
      </c>
      <c r="O30" s="189">
        <v>0</v>
      </c>
      <c r="P30" s="189">
        <v>0</v>
      </c>
      <c r="Q30" s="189">
        <v>0</v>
      </c>
      <c r="R30" s="189">
        <v>0</v>
      </c>
      <c r="S30" s="189">
        <v>0</v>
      </c>
      <c r="T30" s="189">
        <v>0</v>
      </c>
      <c r="U30" s="189">
        <v>0</v>
      </c>
      <c r="V30" s="189">
        <v>0</v>
      </c>
      <c r="W30" s="189">
        <v>0</v>
      </c>
      <c r="X30" s="189">
        <v>0</v>
      </c>
      <c r="Y30" s="189">
        <v>0</v>
      </c>
      <c r="Z30" s="189">
        <v>0</v>
      </c>
      <c r="AA30" s="189">
        <v>0</v>
      </c>
      <c r="AB30" s="189">
        <v>0</v>
      </c>
      <c r="AC30" s="189">
        <v>0</v>
      </c>
      <c r="AD30" s="189">
        <v>0</v>
      </c>
      <c r="AE30" s="189">
        <v>0</v>
      </c>
      <c r="AF30" s="189">
        <v>0</v>
      </c>
      <c r="AG30" s="189">
        <v>0</v>
      </c>
      <c r="AH30" s="189">
        <v>0</v>
      </c>
      <c r="AI30" s="189">
        <v>0</v>
      </c>
      <c r="AJ30" s="189">
        <v>0</v>
      </c>
      <c r="AK30" s="189">
        <v>0</v>
      </c>
      <c r="AL30" s="189">
        <v>0</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0</v>
      </c>
      <c r="BD30" s="189">
        <v>0</v>
      </c>
      <c r="BE30" s="189">
        <v>0</v>
      </c>
      <c r="BF30" s="189">
        <v>0</v>
      </c>
      <c r="BG30" s="189">
        <v>0</v>
      </c>
      <c r="BH30" s="189">
        <v>0</v>
      </c>
      <c r="BI30" s="189">
        <v>11132301.35</v>
      </c>
      <c r="BJ30" s="189">
        <v>0</v>
      </c>
      <c r="BK30" s="189">
        <v>0</v>
      </c>
      <c r="BL30" s="189">
        <v>0</v>
      </c>
      <c r="BM30" s="189">
        <v>0</v>
      </c>
      <c r="BN30" s="189">
        <v>0</v>
      </c>
      <c r="BO30" s="189">
        <v>0</v>
      </c>
      <c r="BP30" s="189">
        <v>0</v>
      </c>
      <c r="BQ30" s="189">
        <v>0</v>
      </c>
      <c r="BR30" s="189">
        <v>0</v>
      </c>
      <c r="BS30" s="189">
        <v>0</v>
      </c>
      <c r="BT30" s="189">
        <v>0</v>
      </c>
      <c r="BU30" s="189">
        <v>0</v>
      </c>
      <c r="BV30" s="189">
        <v>0</v>
      </c>
      <c r="BW30" s="189">
        <v>0</v>
      </c>
      <c r="BX30" s="189">
        <v>0</v>
      </c>
      <c r="BY30" s="189">
        <v>0</v>
      </c>
      <c r="BZ30" s="189">
        <v>0</v>
      </c>
      <c r="CA30" s="189">
        <v>0</v>
      </c>
      <c r="CB30" s="189">
        <v>0</v>
      </c>
      <c r="CC30" s="189">
        <v>0</v>
      </c>
      <c r="CD30" s="189">
        <v>0</v>
      </c>
      <c r="CE30" s="189">
        <v>0</v>
      </c>
      <c r="CF30" s="189">
        <v>0</v>
      </c>
      <c r="CG30" s="189">
        <v>0</v>
      </c>
      <c r="CH30" s="189">
        <v>0</v>
      </c>
      <c r="CI30" s="189">
        <v>0</v>
      </c>
    </row>
    <row r="31" spans="1:87">
      <c r="A31" s="189" t="s">
        <v>135</v>
      </c>
      <c r="B31" s="189">
        <v>0</v>
      </c>
      <c r="C31" s="189">
        <v>0</v>
      </c>
      <c r="D31" s="189">
        <v>0</v>
      </c>
      <c r="E31" s="189">
        <v>0</v>
      </c>
      <c r="F31" s="189">
        <v>0</v>
      </c>
      <c r="G31" s="189">
        <v>0</v>
      </c>
      <c r="H31" s="189">
        <v>0</v>
      </c>
      <c r="I31" s="189">
        <v>0</v>
      </c>
      <c r="J31" s="189">
        <v>174598.04</v>
      </c>
      <c r="K31" s="189">
        <v>0</v>
      </c>
      <c r="L31" s="189">
        <v>303174.75</v>
      </c>
      <c r="M31" s="189">
        <v>0</v>
      </c>
      <c r="N31" s="189">
        <v>0</v>
      </c>
      <c r="O31" s="189">
        <v>0</v>
      </c>
      <c r="P31" s="189">
        <v>0</v>
      </c>
      <c r="Q31" s="189">
        <v>0</v>
      </c>
      <c r="R31" s="189">
        <v>0</v>
      </c>
      <c r="S31" s="189">
        <v>0</v>
      </c>
      <c r="T31" s="189">
        <v>0</v>
      </c>
      <c r="U31" s="189">
        <v>0</v>
      </c>
      <c r="V31" s="189">
        <v>0</v>
      </c>
      <c r="W31" s="189">
        <v>0</v>
      </c>
      <c r="X31" s="189">
        <v>0</v>
      </c>
      <c r="Y31" s="189">
        <v>0</v>
      </c>
      <c r="Z31" s="189">
        <v>0</v>
      </c>
      <c r="AA31" s="189">
        <v>0</v>
      </c>
      <c r="AB31" s="189">
        <v>0</v>
      </c>
      <c r="AC31" s="189">
        <v>0</v>
      </c>
      <c r="AD31" s="189">
        <v>0</v>
      </c>
      <c r="AE31" s="189">
        <v>0</v>
      </c>
      <c r="AF31" s="189">
        <v>0</v>
      </c>
      <c r="AG31" s="189">
        <v>0</v>
      </c>
      <c r="AH31" s="189">
        <v>0</v>
      </c>
      <c r="AI31" s="189">
        <v>0</v>
      </c>
      <c r="AJ31" s="189">
        <v>0</v>
      </c>
      <c r="AK31" s="189">
        <v>0</v>
      </c>
      <c r="AL31" s="189">
        <v>0</v>
      </c>
      <c r="AM31" s="189">
        <v>0</v>
      </c>
      <c r="AN31" s="189">
        <v>0</v>
      </c>
      <c r="AO31" s="189">
        <v>0</v>
      </c>
      <c r="AP31" s="189">
        <v>0</v>
      </c>
      <c r="AQ31" s="189">
        <v>0</v>
      </c>
      <c r="AR31" s="189">
        <v>0</v>
      </c>
      <c r="AS31" s="189">
        <v>0</v>
      </c>
      <c r="AT31" s="189">
        <v>7500</v>
      </c>
      <c r="AU31" s="189">
        <v>0</v>
      </c>
      <c r="AV31" s="189">
        <v>0</v>
      </c>
      <c r="AW31" s="189">
        <v>0</v>
      </c>
      <c r="AX31" s="189">
        <v>0</v>
      </c>
      <c r="AY31" s="189">
        <v>0</v>
      </c>
      <c r="AZ31" s="189">
        <v>0</v>
      </c>
      <c r="BA31" s="189">
        <v>0</v>
      </c>
      <c r="BB31" s="189">
        <v>0</v>
      </c>
      <c r="BC31" s="189">
        <v>0</v>
      </c>
      <c r="BD31" s="189">
        <v>0</v>
      </c>
      <c r="BE31" s="189">
        <v>0</v>
      </c>
      <c r="BF31" s="189">
        <v>0</v>
      </c>
      <c r="BG31" s="189">
        <v>0</v>
      </c>
      <c r="BH31" s="189">
        <v>0</v>
      </c>
      <c r="BI31" s="189">
        <v>0</v>
      </c>
      <c r="BJ31" s="189">
        <v>0</v>
      </c>
      <c r="BK31" s="189">
        <v>0</v>
      </c>
      <c r="BL31" s="189">
        <v>15945.6</v>
      </c>
      <c r="BM31" s="189">
        <v>0</v>
      </c>
      <c r="BN31" s="189">
        <v>-3483.36</v>
      </c>
      <c r="BO31" s="189">
        <v>17800.580000000002</v>
      </c>
      <c r="BP31" s="189">
        <v>0</v>
      </c>
      <c r="BQ31" s="189">
        <v>0</v>
      </c>
      <c r="BR31" s="189">
        <v>58980.88</v>
      </c>
      <c r="BS31" s="189">
        <v>0</v>
      </c>
      <c r="BT31" s="189">
        <v>0</v>
      </c>
      <c r="BU31" s="189">
        <v>0</v>
      </c>
      <c r="BV31" s="189">
        <v>0</v>
      </c>
      <c r="BW31" s="189">
        <v>0</v>
      </c>
      <c r="BX31" s="189">
        <v>93478.73</v>
      </c>
      <c r="BY31" s="189">
        <v>0</v>
      </c>
      <c r="BZ31" s="189">
        <v>0</v>
      </c>
      <c r="CA31" s="189">
        <v>0</v>
      </c>
      <c r="CB31" s="189">
        <v>0</v>
      </c>
      <c r="CC31" s="189">
        <v>-50000</v>
      </c>
      <c r="CD31" s="189">
        <v>0</v>
      </c>
      <c r="CE31" s="189">
        <v>0</v>
      </c>
      <c r="CF31" s="189">
        <v>0</v>
      </c>
      <c r="CG31" s="189">
        <v>0</v>
      </c>
      <c r="CH31" s="189">
        <v>0</v>
      </c>
      <c r="CI31" s="189">
        <v>0</v>
      </c>
    </row>
    <row r="32" spans="1:87">
      <c r="A32" s="189" t="s">
        <v>136</v>
      </c>
      <c r="B32" s="189">
        <v>0</v>
      </c>
      <c r="C32" s="189">
        <v>0</v>
      </c>
      <c r="D32" s="189">
        <v>0</v>
      </c>
      <c r="E32" s="189">
        <v>0</v>
      </c>
      <c r="F32" s="189">
        <v>0</v>
      </c>
      <c r="G32" s="189">
        <v>0</v>
      </c>
      <c r="H32" s="189">
        <v>0</v>
      </c>
      <c r="I32" s="189">
        <v>0</v>
      </c>
      <c r="J32" s="189">
        <v>0</v>
      </c>
      <c r="K32" s="189">
        <v>0</v>
      </c>
      <c r="L32" s="189">
        <v>0</v>
      </c>
      <c r="M32" s="189">
        <v>0</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0</v>
      </c>
      <c r="BS32" s="189">
        <v>0</v>
      </c>
      <c r="BT32" s="189">
        <v>0</v>
      </c>
      <c r="BU32" s="189">
        <v>0</v>
      </c>
      <c r="BV32" s="189">
        <v>0</v>
      </c>
      <c r="BW32" s="189">
        <v>0</v>
      </c>
      <c r="BX32" s="189">
        <v>0</v>
      </c>
      <c r="BY32" s="189">
        <v>0</v>
      </c>
      <c r="BZ32" s="189">
        <v>0</v>
      </c>
      <c r="CA32" s="189">
        <v>0</v>
      </c>
      <c r="CB32" s="189">
        <v>0</v>
      </c>
      <c r="CC32" s="189">
        <v>0</v>
      </c>
      <c r="CD32" s="189">
        <v>0</v>
      </c>
      <c r="CE32" s="189">
        <v>0</v>
      </c>
      <c r="CF32" s="189">
        <v>0</v>
      </c>
      <c r="CG32" s="189">
        <v>0</v>
      </c>
      <c r="CH32" s="189">
        <v>0</v>
      </c>
      <c r="CI32" s="189">
        <v>0</v>
      </c>
    </row>
    <row r="33" spans="1:87">
      <c r="A33" s="189" t="s">
        <v>137</v>
      </c>
      <c r="B33" s="189">
        <v>0</v>
      </c>
      <c r="C33" s="189">
        <v>0</v>
      </c>
      <c r="D33" s="189">
        <v>0</v>
      </c>
      <c r="E33" s="189">
        <v>0</v>
      </c>
      <c r="F33" s="189">
        <v>0</v>
      </c>
      <c r="G33" s="189">
        <v>0</v>
      </c>
      <c r="H33" s="189">
        <v>0</v>
      </c>
      <c r="I33" s="189">
        <v>0</v>
      </c>
      <c r="J33" s="189">
        <v>0</v>
      </c>
      <c r="K33" s="189">
        <v>0</v>
      </c>
      <c r="L33" s="189">
        <v>0</v>
      </c>
      <c r="M33" s="189">
        <v>0</v>
      </c>
      <c r="N33" s="189">
        <v>0</v>
      </c>
      <c r="O33" s="189">
        <v>0</v>
      </c>
      <c r="P33" s="189">
        <v>0</v>
      </c>
      <c r="Q33" s="189">
        <v>0</v>
      </c>
      <c r="R33" s="189">
        <v>0</v>
      </c>
      <c r="S33" s="189">
        <v>0</v>
      </c>
      <c r="T33" s="189">
        <v>0</v>
      </c>
      <c r="U33" s="189">
        <v>0</v>
      </c>
      <c r="V33" s="189">
        <v>0</v>
      </c>
      <c r="W33" s="189">
        <v>0</v>
      </c>
      <c r="X33" s="189">
        <v>0</v>
      </c>
      <c r="Y33" s="189">
        <v>0</v>
      </c>
      <c r="Z33" s="189">
        <v>0</v>
      </c>
      <c r="AA33" s="189">
        <v>0</v>
      </c>
      <c r="AB33" s="189">
        <v>0</v>
      </c>
      <c r="AC33" s="189">
        <v>0</v>
      </c>
      <c r="AD33" s="189">
        <v>0</v>
      </c>
      <c r="AE33" s="189">
        <v>0</v>
      </c>
      <c r="AF33" s="189">
        <v>0</v>
      </c>
      <c r="AG33" s="189">
        <v>0</v>
      </c>
      <c r="AH33" s="189">
        <v>0</v>
      </c>
      <c r="AI33" s="189">
        <v>0</v>
      </c>
      <c r="AJ33" s="189">
        <v>0</v>
      </c>
      <c r="AK33" s="189">
        <v>0</v>
      </c>
      <c r="AL33" s="189">
        <v>0</v>
      </c>
      <c r="AM33" s="189">
        <v>0</v>
      </c>
      <c r="AN33" s="189">
        <v>0</v>
      </c>
      <c r="AO33" s="189">
        <v>0</v>
      </c>
      <c r="AP33" s="189">
        <v>0</v>
      </c>
      <c r="AQ33" s="189">
        <v>0</v>
      </c>
      <c r="AR33" s="189">
        <v>0</v>
      </c>
      <c r="AS33" s="189">
        <v>0</v>
      </c>
      <c r="AT33" s="189">
        <v>0</v>
      </c>
      <c r="AU33" s="189">
        <v>0</v>
      </c>
      <c r="AV33" s="189">
        <v>0</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c r="BQ33" s="189">
        <v>0</v>
      </c>
      <c r="BR33" s="189">
        <v>0</v>
      </c>
      <c r="BS33" s="189">
        <v>0</v>
      </c>
      <c r="BT33" s="189">
        <v>0</v>
      </c>
      <c r="BU33" s="189">
        <v>0</v>
      </c>
      <c r="BV33" s="189">
        <v>0</v>
      </c>
      <c r="BW33" s="189">
        <v>0</v>
      </c>
      <c r="BX33" s="189">
        <v>0</v>
      </c>
      <c r="BY33" s="189">
        <v>0</v>
      </c>
      <c r="BZ33" s="189">
        <v>0</v>
      </c>
      <c r="CA33" s="189">
        <v>0</v>
      </c>
      <c r="CB33" s="189">
        <v>0</v>
      </c>
      <c r="CC33" s="189">
        <v>0</v>
      </c>
      <c r="CD33" s="189">
        <v>0</v>
      </c>
      <c r="CE33" s="189">
        <v>0</v>
      </c>
      <c r="CF33" s="189">
        <v>0</v>
      </c>
      <c r="CG33" s="189">
        <v>0</v>
      </c>
      <c r="CH33" s="189">
        <v>0</v>
      </c>
      <c r="CI33" s="189">
        <v>0</v>
      </c>
    </row>
    <row r="34" spans="1:87">
      <c r="A34" s="189" t="s">
        <v>138</v>
      </c>
      <c r="B34" s="189">
        <v>0</v>
      </c>
      <c r="C34" s="189">
        <v>0</v>
      </c>
      <c r="D34" s="189">
        <v>0</v>
      </c>
      <c r="E34" s="189">
        <v>0</v>
      </c>
      <c r="F34" s="189">
        <v>0</v>
      </c>
      <c r="G34" s="189">
        <v>0</v>
      </c>
      <c r="H34" s="189">
        <v>0</v>
      </c>
      <c r="I34" s="189">
        <v>0</v>
      </c>
      <c r="J34" s="189">
        <v>0</v>
      </c>
      <c r="K34" s="189">
        <v>0</v>
      </c>
      <c r="L34" s="189">
        <v>0</v>
      </c>
      <c r="M34" s="189">
        <v>0</v>
      </c>
      <c r="N34" s="189">
        <v>0</v>
      </c>
      <c r="O34" s="189">
        <v>0</v>
      </c>
      <c r="P34" s="189">
        <v>0</v>
      </c>
      <c r="Q34" s="189">
        <v>0</v>
      </c>
      <c r="R34" s="189">
        <v>0</v>
      </c>
      <c r="S34" s="189">
        <v>0</v>
      </c>
      <c r="T34" s="189">
        <v>0</v>
      </c>
      <c r="U34" s="189">
        <v>0</v>
      </c>
      <c r="V34" s="189">
        <v>0</v>
      </c>
      <c r="W34" s="189">
        <v>0</v>
      </c>
      <c r="X34" s="189">
        <v>0</v>
      </c>
      <c r="Y34" s="189">
        <v>0</v>
      </c>
      <c r="Z34" s="189">
        <v>0</v>
      </c>
      <c r="AA34" s="189">
        <v>0</v>
      </c>
      <c r="AB34" s="189">
        <v>0</v>
      </c>
      <c r="AC34" s="189">
        <v>0</v>
      </c>
      <c r="AD34" s="189">
        <v>0</v>
      </c>
      <c r="AE34" s="189">
        <v>0</v>
      </c>
      <c r="AF34" s="189">
        <v>0</v>
      </c>
      <c r="AG34" s="189">
        <v>0</v>
      </c>
      <c r="AH34" s="189">
        <v>0</v>
      </c>
      <c r="AI34" s="189">
        <v>0</v>
      </c>
      <c r="AJ34" s="189">
        <v>0</v>
      </c>
      <c r="AK34" s="189">
        <v>0</v>
      </c>
      <c r="AL34" s="189">
        <v>0</v>
      </c>
      <c r="AM34" s="189">
        <v>0</v>
      </c>
      <c r="AN34" s="189">
        <v>0</v>
      </c>
      <c r="AO34" s="189">
        <v>0</v>
      </c>
      <c r="AP34" s="189">
        <v>0</v>
      </c>
      <c r="AQ34" s="189">
        <v>0</v>
      </c>
      <c r="AR34" s="189">
        <v>0</v>
      </c>
      <c r="AS34" s="189">
        <v>0</v>
      </c>
      <c r="AT34" s="189">
        <v>0</v>
      </c>
      <c r="AU34" s="189">
        <v>0</v>
      </c>
      <c r="AV34" s="189">
        <v>0</v>
      </c>
      <c r="AW34" s="189">
        <v>0</v>
      </c>
      <c r="AX34" s="189">
        <v>0</v>
      </c>
      <c r="AY34" s="189">
        <v>0</v>
      </c>
      <c r="AZ34" s="189">
        <v>0</v>
      </c>
      <c r="BA34" s="189">
        <v>0</v>
      </c>
      <c r="BB34" s="189">
        <v>0</v>
      </c>
      <c r="BC34" s="189">
        <v>0</v>
      </c>
      <c r="BD34" s="189">
        <v>0</v>
      </c>
      <c r="BE34" s="189">
        <v>0</v>
      </c>
      <c r="BF34" s="189">
        <v>0</v>
      </c>
      <c r="BG34" s="189">
        <v>0</v>
      </c>
      <c r="BH34" s="189">
        <v>0</v>
      </c>
      <c r="BI34" s="189">
        <v>0</v>
      </c>
      <c r="BJ34" s="189">
        <v>0</v>
      </c>
      <c r="BK34" s="189">
        <v>0</v>
      </c>
      <c r="BL34" s="189">
        <v>0</v>
      </c>
      <c r="BM34" s="189">
        <v>0</v>
      </c>
      <c r="BN34" s="189">
        <v>0</v>
      </c>
      <c r="BO34" s="189">
        <v>0</v>
      </c>
      <c r="BP34" s="189">
        <v>0</v>
      </c>
      <c r="BQ34" s="189">
        <v>0</v>
      </c>
      <c r="BR34" s="189">
        <v>0</v>
      </c>
      <c r="BS34" s="189">
        <v>0</v>
      </c>
      <c r="BT34" s="189">
        <v>0</v>
      </c>
      <c r="BU34" s="189">
        <v>0</v>
      </c>
      <c r="BV34" s="189">
        <v>0</v>
      </c>
      <c r="BW34" s="189">
        <v>0</v>
      </c>
      <c r="BX34" s="189">
        <v>0</v>
      </c>
      <c r="BY34" s="189">
        <v>0</v>
      </c>
      <c r="BZ34" s="189">
        <v>0</v>
      </c>
      <c r="CA34" s="189">
        <v>0</v>
      </c>
      <c r="CB34" s="189">
        <v>0</v>
      </c>
      <c r="CC34" s="189">
        <v>0</v>
      </c>
      <c r="CD34" s="189">
        <v>0</v>
      </c>
      <c r="CE34" s="189">
        <v>0</v>
      </c>
      <c r="CF34" s="189">
        <v>0</v>
      </c>
      <c r="CG34" s="189">
        <v>0</v>
      </c>
      <c r="CH34" s="189">
        <v>0</v>
      </c>
      <c r="CI34" s="189">
        <v>0</v>
      </c>
    </row>
    <row r="35" spans="1:87">
      <c r="A35" s="189" t="s">
        <v>139</v>
      </c>
      <c r="B35" s="189">
        <v>2129397264.3199999</v>
      </c>
      <c r="C35" s="189">
        <v>2140908706.8199999</v>
      </c>
      <c r="D35" s="189">
        <v>2159663839.1799998</v>
      </c>
      <c r="E35" s="189">
        <v>1019078617.59</v>
      </c>
      <c r="F35" s="189">
        <v>1021912273.9299999</v>
      </c>
      <c r="G35" s="189">
        <v>1030548770.01</v>
      </c>
      <c r="H35" s="189">
        <v>1035354607.1900001</v>
      </c>
      <c r="I35" s="189">
        <v>1044619087.28</v>
      </c>
      <c r="J35" s="189">
        <v>957782963.70000005</v>
      </c>
      <c r="K35" s="189">
        <v>947167291</v>
      </c>
      <c r="L35" s="189">
        <v>952326736.48000002</v>
      </c>
      <c r="M35" s="189">
        <v>957723367</v>
      </c>
      <c r="N35" s="189">
        <v>968007005.13</v>
      </c>
      <c r="O35" s="189">
        <v>975671773</v>
      </c>
      <c r="P35" s="189">
        <v>743833126.11000001</v>
      </c>
      <c r="Q35" s="189">
        <v>593973950</v>
      </c>
      <c r="R35" s="189">
        <v>643514646.01999998</v>
      </c>
      <c r="S35" s="189">
        <v>198451128</v>
      </c>
      <c r="T35" s="189">
        <v>200786281.74000001</v>
      </c>
      <c r="U35" s="189">
        <v>202221792</v>
      </c>
      <c r="V35" s="189">
        <v>202654349</v>
      </c>
      <c r="W35" s="189">
        <v>204955006</v>
      </c>
      <c r="X35" s="189">
        <v>203699778.78999999</v>
      </c>
      <c r="Y35" s="189">
        <v>205700066</v>
      </c>
      <c r="Z35" s="189">
        <v>207041251</v>
      </c>
      <c r="AA35" s="189">
        <v>208005336</v>
      </c>
      <c r="AB35" s="189">
        <v>207400199.13999999</v>
      </c>
      <c r="AC35" s="189">
        <v>209585758</v>
      </c>
      <c r="AD35" s="189">
        <v>207345644</v>
      </c>
      <c r="AE35" s="189">
        <v>208464355</v>
      </c>
      <c r="AF35" s="189">
        <v>209931259.56999999</v>
      </c>
      <c r="AG35" s="189">
        <v>211994592</v>
      </c>
      <c r="AH35" s="189">
        <v>188852698.19999999</v>
      </c>
      <c r="AI35" s="189">
        <v>190439210.97999999</v>
      </c>
      <c r="AJ35" s="189">
        <v>190051979.22</v>
      </c>
      <c r="AK35" s="189">
        <v>191172525.22</v>
      </c>
      <c r="AL35" s="189">
        <v>189716089.72</v>
      </c>
      <c r="AM35" s="189">
        <v>191135570.40000001</v>
      </c>
      <c r="AN35" s="189">
        <v>192490797.66999999</v>
      </c>
      <c r="AO35" s="189">
        <v>163871803.75</v>
      </c>
      <c r="AP35" s="189">
        <v>160042604.43000001</v>
      </c>
      <c r="AQ35" s="189">
        <v>161073667.94</v>
      </c>
      <c r="AR35" s="189">
        <v>158873680.31</v>
      </c>
      <c r="AS35" s="189">
        <v>156359912.53</v>
      </c>
      <c r="AT35" s="189">
        <v>155623331.36000001</v>
      </c>
      <c r="AU35" s="189">
        <v>155926883.86000001</v>
      </c>
      <c r="AV35" s="189">
        <v>115407768.20999999</v>
      </c>
      <c r="AW35" s="189">
        <v>2016621.31</v>
      </c>
      <c r="AX35" s="189">
        <v>1527477.33</v>
      </c>
      <c r="AY35" s="189">
        <v>1441966.15</v>
      </c>
      <c r="AZ35" s="189">
        <v>1474196</v>
      </c>
      <c r="BA35" s="189">
        <v>1519340.31</v>
      </c>
      <c r="BB35" s="189">
        <v>876311.67</v>
      </c>
      <c r="BC35" s="189">
        <v>720613.94</v>
      </c>
      <c r="BD35" s="189">
        <v>739916.21</v>
      </c>
      <c r="BE35" s="189">
        <v>476988.71</v>
      </c>
      <c r="BF35" s="189">
        <v>132947.26</v>
      </c>
      <c r="BG35" s="189">
        <v>93930.81</v>
      </c>
      <c r="BH35" s="189">
        <v>83904.36</v>
      </c>
      <c r="BI35" s="189">
        <v>86192.639999999999</v>
      </c>
      <c r="BJ35" s="189">
        <v>36525.14</v>
      </c>
      <c r="BK35" s="189">
        <v>30146.67</v>
      </c>
      <c r="BL35" s="189">
        <v>0</v>
      </c>
      <c r="BM35" s="189">
        <v>0</v>
      </c>
      <c r="BN35" s="189">
        <v>0</v>
      </c>
      <c r="BO35" s="189">
        <v>0</v>
      </c>
      <c r="BP35" s="189">
        <v>0</v>
      </c>
      <c r="BQ35" s="189">
        <v>0</v>
      </c>
      <c r="BR35" s="189">
        <v>119132.95</v>
      </c>
      <c r="BS35" s="189">
        <v>238265.59</v>
      </c>
      <c r="BT35" s="189">
        <v>357398.23</v>
      </c>
      <c r="BU35" s="189">
        <v>476530.87</v>
      </c>
      <c r="BV35" s="189">
        <v>595663.51</v>
      </c>
      <c r="BW35" s="189">
        <v>714796.15</v>
      </c>
      <c r="BX35" s="189">
        <v>833928.79</v>
      </c>
      <c r="BY35" s="189">
        <v>953061.43</v>
      </c>
      <c r="BZ35" s="189">
        <v>0</v>
      </c>
      <c r="CA35" s="189">
        <v>1191326.71</v>
      </c>
      <c r="CB35" s="189">
        <v>0</v>
      </c>
      <c r="CC35" s="189">
        <v>1429591.88</v>
      </c>
      <c r="CD35" s="189">
        <v>0</v>
      </c>
      <c r="CE35" s="189">
        <v>1667857.16</v>
      </c>
      <c r="CF35" s="189">
        <v>1906122.44</v>
      </c>
      <c r="CG35" s="189">
        <v>0</v>
      </c>
      <c r="CH35" s="189">
        <v>0</v>
      </c>
      <c r="CI35" s="189">
        <v>0</v>
      </c>
    </row>
    <row r="36" spans="1:87">
      <c r="A36" s="189" t="s">
        <v>140</v>
      </c>
      <c r="B36" s="189">
        <v>0</v>
      </c>
      <c r="C36" s="189">
        <v>0</v>
      </c>
      <c r="D36" s="189">
        <v>0</v>
      </c>
      <c r="E36" s="189">
        <v>0</v>
      </c>
      <c r="F36" s="189">
        <v>0</v>
      </c>
      <c r="G36" s="189">
        <v>0</v>
      </c>
      <c r="H36" s="189">
        <v>0</v>
      </c>
      <c r="I36" s="189">
        <v>0</v>
      </c>
      <c r="J36" s="189">
        <v>0</v>
      </c>
      <c r="K36" s="189">
        <v>0</v>
      </c>
      <c r="L36" s="189">
        <v>0</v>
      </c>
      <c r="M36" s="189">
        <v>0</v>
      </c>
      <c r="N36" s="189">
        <v>0</v>
      </c>
      <c r="O36" s="189">
        <v>0</v>
      </c>
      <c r="P36" s="189">
        <v>0</v>
      </c>
      <c r="Q36" s="189">
        <v>0</v>
      </c>
      <c r="R36" s="189">
        <v>0</v>
      </c>
      <c r="S36" s="189">
        <v>0</v>
      </c>
      <c r="T36" s="189">
        <v>0</v>
      </c>
      <c r="U36" s="189">
        <v>0</v>
      </c>
      <c r="V36" s="189">
        <v>0</v>
      </c>
      <c r="W36" s="189">
        <v>0</v>
      </c>
      <c r="X36" s="189">
        <v>0</v>
      </c>
      <c r="Y36" s="189">
        <v>0</v>
      </c>
      <c r="Z36" s="189">
        <v>0</v>
      </c>
      <c r="AA36" s="189">
        <v>0</v>
      </c>
      <c r="AB36" s="189">
        <v>0</v>
      </c>
      <c r="AC36" s="189">
        <v>0</v>
      </c>
      <c r="AD36" s="189">
        <v>0</v>
      </c>
      <c r="AE36" s="189">
        <v>0</v>
      </c>
      <c r="AF36" s="189">
        <v>0</v>
      </c>
      <c r="AG36" s="189">
        <v>0</v>
      </c>
      <c r="AH36" s="189">
        <v>0</v>
      </c>
      <c r="AI36" s="189">
        <v>0</v>
      </c>
      <c r="AJ36" s="189">
        <v>0</v>
      </c>
      <c r="AK36" s="189">
        <v>0</v>
      </c>
      <c r="AL36" s="189">
        <v>0</v>
      </c>
      <c r="AM36" s="189">
        <v>0</v>
      </c>
      <c r="AN36" s="189">
        <v>0</v>
      </c>
      <c r="AO36" s="189">
        <v>0</v>
      </c>
      <c r="AP36" s="189">
        <v>0</v>
      </c>
      <c r="AQ36" s="189">
        <v>0</v>
      </c>
      <c r="AR36" s="189">
        <v>0</v>
      </c>
      <c r="AS36" s="189">
        <v>0</v>
      </c>
      <c r="AT36" s="189">
        <v>0</v>
      </c>
      <c r="AU36" s="189">
        <v>0</v>
      </c>
      <c r="AV36" s="189">
        <v>0</v>
      </c>
      <c r="AW36" s="189">
        <v>0</v>
      </c>
      <c r="AX36" s="189">
        <v>0</v>
      </c>
      <c r="AY36" s="189">
        <v>0</v>
      </c>
      <c r="AZ36" s="189">
        <v>0</v>
      </c>
      <c r="BA36" s="189">
        <v>0</v>
      </c>
      <c r="BB36" s="189">
        <v>0</v>
      </c>
      <c r="BC36" s="189">
        <v>0</v>
      </c>
      <c r="BD36" s="189">
        <v>0</v>
      </c>
      <c r="BE36" s="189">
        <v>0</v>
      </c>
      <c r="BF36" s="189">
        <v>0</v>
      </c>
      <c r="BG36" s="189">
        <v>0</v>
      </c>
      <c r="BH36" s="189">
        <v>0</v>
      </c>
      <c r="BI36" s="189">
        <v>0</v>
      </c>
      <c r="BJ36" s="189">
        <v>0</v>
      </c>
      <c r="BK36" s="189">
        <v>0</v>
      </c>
      <c r="BL36" s="189">
        <v>0</v>
      </c>
      <c r="BM36" s="189">
        <v>0</v>
      </c>
      <c r="BN36" s="189">
        <v>0</v>
      </c>
      <c r="BO36" s="189">
        <v>0</v>
      </c>
      <c r="BP36" s="189">
        <v>0</v>
      </c>
      <c r="BQ36" s="189">
        <v>0</v>
      </c>
      <c r="BR36" s="189">
        <v>0</v>
      </c>
      <c r="BS36" s="189">
        <v>0</v>
      </c>
      <c r="BT36" s="189">
        <v>0</v>
      </c>
      <c r="BU36" s="189">
        <v>0</v>
      </c>
      <c r="BV36" s="189">
        <v>0</v>
      </c>
      <c r="BW36" s="189">
        <v>0</v>
      </c>
      <c r="BX36" s="189">
        <v>0</v>
      </c>
      <c r="BY36" s="189">
        <v>0</v>
      </c>
      <c r="BZ36" s="189">
        <v>0</v>
      </c>
      <c r="CA36" s="189">
        <v>0</v>
      </c>
      <c r="CB36" s="189">
        <v>0</v>
      </c>
      <c r="CC36" s="189">
        <v>0</v>
      </c>
      <c r="CD36" s="189">
        <v>0</v>
      </c>
      <c r="CE36" s="189">
        <v>0</v>
      </c>
      <c r="CF36" s="189">
        <v>0</v>
      </c>
      <c r="CG36" s="189">
        <v>0</v>
      </c>
      <c r="CH36" s="189">
        <v>0</v>
      </c>
      <c r="CI36" s="189">
        <v>0</v>
      </c>
    </row>
    <row r="37" spans="1:87">
      <c r="A37" s="189" t="s">
        <v>141</v>
      </c>
      <c r="B37" s="189">
        <v>318993084.26999998</v>
      </c>
      <c r="C37" s="189">
        <v>318993084.26999998</v>
      </c>
      <c r="D37" s="189">
        <v>280286989.68000001</v>
      </c>
      <c r="E37" s="189">
        <v>268614996.52999997</v>
      </c>
      <c r="F37" s="189">
        <v>268763619.47000003</v>
      </c>
      <c r="G37" s="189">
        <v>268935657.30000001</v>
      </c>
      <c r="H37" s="189">
        <v>269093522.95999998</v>
      </c>
      <c r="I37" s="189">
        <v>268825484.07999998</v>
      </c>
      <c r="J37" s="189">
        <v>269616783.56</v>
      </c>
      <c r="K37" s="189">
        <v>269429341</v>
      </c>
      <c r="L37" s="189">
        <v>268571493.52999997</v>
      </c>
      <c r="M37" s="189">
        <v>268121065</v>
      </c>
      <c r="N37" s="189">
        <v>268018532.38999999</v>
      </c>
      <c r="O37" s="189">
        <v>267649933</v>
      </c>
      <c r="P37" s="189">
        <v>267800280.96000001</v>
      </c>
      <c r="Q37" s="189">
        <v>267812481</v>
      </c>
      <c r="R37" s="189">
        <v>267201255.22</v>
      </c>
      <c r="S37" s="189">
        <v>0</v>
      </c>
      <c r="T37" s="189">
        <v>0</v>
      </c>
      <c r="U37" s="189">
        <v>0</v>
      </c>
      <c r="V37" s="189">
        <v>0</v>
      </c>
      <c r="W37" s="189">
        <v>0</v>
      </c>
      <c r="X37" s="189">
        <v>0</v>
      </c>
      <c r="Y37" s="189">
        <v>0</v>
      </c>
      <c r="Z37" s="189">
        <v>0</v>
      </c>
      <c r="AA37" s="189">
        <v>0</v>
      </c>
      <c r="AB37" s="189">
        <v>0</v>
      </c>
      <c r="AC37" s="189">
        <v>0</v>
      </c>
      <c r="AD37" s="189">
        <v>0</v>
      </c>
      <c r="AE37" s="189">
        <v>0</v>
      </c>
      <c r="AF37" s="189">
        <v>0</v>
      </c>
      <c r="AG37" s="189">
        <v>0</v>
      </c>
      <c r="AH37" s="189">
        <v>0</v>
      </c>
      <c r="AI37" s="189">
        <v>0</v>
      </c>
      <c r="AJ37" s="189">
        <v>0</v>
      </c>
      <c r="AK37" s="189">
        <v>0</v>
      </c>
      <c r="AL37" s="189">
        <v>0</v>
      </c>
      <c r="AM37" s="189">
        <v>0</v>
      </c>
      <c r="AN37" s="189">
        <v>0</v>
      </c>
      <c r="AO37" s="189">
        <v>0</v>
      </c>
      <c r="AP37" s="189">
        <v>0</v>
      </c>
      <c r="AQ37" s="189">
        <v>0</v>
      </c>
      <c r="AR37" s="189">
        <v>0</v>
      </c>
      <c r="AS37" s="189">
        <v>0</v>
      </c>
      <c r="AT37" s="189">
        <v>4299648.47</v>
      </c>
      <c r="AU37" s="189">
        <v>4299648.47</v>
      </c>
      <c r="AV37" s="189">
        <v>0</v>
      </c>
      <c r="AW37" s="189">
        <v>0</v>
      </c>
      <c r="AX37" s="189">
        <v>0</v>
      </c>
      <c r="AY37" s="189">
        <v>0</v>
      </c>
      <c r="AZ37" s="189">
        <v>0</v>
      </c>
      <c r="BA37" s="189">
        <v>0</v>
      </c>
      <c r="BB37" s="189">
        <v>0</v>
      </c>
      <c r="BC37" s="189">
        <v>0</v>
      </c>
      <c r="BD37" s="189">
        <v>0</v>
      </c>
      <c r="BE37" s="189">
        <v>0</v>
      </c>
      <c r="BF37" s="189">
        <v>0</v>
      </c>
      <c r="BG37" s="189">
        <v>0</v>
      </c>
      <c r="BH37" s="189">
        <v>0</v>
      </c>
      <c r="BI37" s="189">
        <v>0</v>
      </c>
      <c r="BJ37" s="189">
        <v>0</v>
      </c>
      <c r="BK37" s="189">
        <v>0</v>
      </c>
      <c r="BL37" s="189">
        <v>0</v>
      </c>
      <c r="BM37" s="189">
        <v>0</v>
      </c>
      <c r="BN37" s="189">
        <v>0</v>
      </c>
      <c r="BO37" s="189">
        <v>0</v>
      </c>
      <c r="BP37" s="189">
        <v>0</v>
      </c>
      <c r="BQ37" s="189">
        <v>0</v>
      </c>
      <c r="BR37" s="189">
        <v>0</v>
      </c>
      <c r="BS37" s="189">
        <v>0</v>
      </c>
      <c r="BT37" s="189">
        <v>0</v>
      </c>
      <c r="BU37" s="189">
        <v>0</v>
      </c>
      <c r="BV37" s="189">
        <v>0</v>
      </c>
      <c r="BW37" s="189">
        <v>0</v>
      </c>
      <c r="BX37" s="189">
        <v>0</v>
      </c>
      <c r="BY37" s="189">
        <v>0</v>
      </c>
      <c r="BZ37" s="189">
        <v>0</v>
      </c>
      <c r="CA37" s="189">
        <v>0</v>
      </c>
      <c r="CB37" s="189">
        <v>0</v>
      </c>
      <c r="CC37" s="189">
        <v>0</v>
      </c>
      <c r="CD37" s="189">
        <v>0</v>
      </c>
      <c r="CE37" s="189">
        <v>0</v>
      </c>
      <c r="CF37" s="189">
        <v>0</v>
      </c>
      <c r="CG37" s="189">
        <v>0</v>
      </c>
      <c r="CH37" s="189">
        <v>0</v>
      </c>
      <c r="CI37" s="189">
        <v>0</v>
      </c>
    </row>
    <row r="38" spans="1:87">
      <c r="A38" s="189" t="s">
        <v>142</v>
      </c>
      <c r="B38" s="189">
        <v>408393666.47000003</v>
      </c>
      <c r="C38" s="189">
        <v>354785275.44999999</v>
      </c>
      <c r="D38" s="189">
        <v>296552349.56999999</v>
      </c>
      <c r="E38" s="189">
        <v>31255212.34</v>
      </c>
      <c r="F38" s="189">
        <v>26722101.329999998</v>
      </c>
      <c r="G38" s="189">
        <v>30921099.77</v>
      </c>
      <c r="H38" s="189">
        <v>34692310.090000004</v>
      </c>
      <c r="I38" s="189">
        <v>44889084.670000002</v>
      </c>
      <c r="J38" s="189">
        <v>55029109.909999996</v>
      </c>
      <c r="K38" s="189">
        <v>64107649</v>
      </c>
      <c r="L38" s="189">
        <v>73873233.370000005</v>
      </c>
      <c r="M38" s="189">
        <v>84617648</v>
      </c>
      <c r="N38" s="189">
        <v>95768614.75</v>
      </c>
      <c r="O38" s="189">
        <v>112478405</v>
      </c>
      <c r="P38" s="189">
        <v>129535268.04000001</v>
      </c>
      <c r="Q38" s="189">
        <v>132550551</v>
      </c>
      <c r="R38" s="189">
        <v>138101628.50999999</v>
      </c>
      <c r="S38" s="189">
        <v>58817870</v>
      </c>
      <c r="T38" s="189">
        <v>59457572.68</v>
      </c>
      <c r="U38" s="189">
        <v>60905724</v>
      </c>
      <c r="V38" s="189">
        <v>64072599</v>
      </c>
      <c r="W38" s="189">
        <v>63777622</v>
      </c>
      <c r="X38" s="189">
        <v>59642968.509999998</v>
      </c>
      <c r="Y38" s="189">
        <v>57866021</v>
      </c>
      <c r="Z38" s="189">
        <v>50521215</v>
      </c>
      <c r="AA38" s="189">
        <v>44061238</v>
      </c>
      <c r="AB38" s="189">
        <v>37361683.140000001</v>
      </c>
      <c r="AC38" s="189">
        <v>32778714</v>
      </c>
      <c r="AD38" s="189">
        <v>25083332.449999999</v>
      </c>
      <c r="AE38" s="189">
        <v>21691239</v>
      </c>
      <c r="AF38" s="189">
        <v>19395906.079999998</v>
      </c>
      <c r="AG38" s="189">
        <v>13933000</v>
      </c>
      <c r="AH38" s="189">
        <v>2338544.1</v>
      </c>
      <c r="AI38" s="189">
        <v>478232.39</v>
      </c>
      <c r="AJ38" s="189">
        <v>881605.04</v>
      </c>
      <c r="AK38" s="189">
        <v>1570896.8</v>
      </c>
      <c r="AL38" s="189">
        <v>2260555.21</v>
      </c>
      <c r="AM38" s="189">
        <v>2950213.45</v>
      </c>
      <c r="AN38" s="189">
        <v>1294768.8500000001</v>
      </c>
      <c r="AO38" s="189">
        <v>122133.31</v>
      </c>
      <c r="AP38" s="189">
        <v>132233.32</v>
      </c>
      <c r="AQ38" s="189">
        <v>171742.95</v>
      </c>
      <c r="AR38" s="189">
        <v>152400</v>
      </c>
      <c r="AS38" s="189">
        <v>162450</v>
      </c>
      <c r="AT38" s="189">
        <v>6006434.8399999999</v>
      </c>
      <c r="AU38" s="189">
        <v>5194330.3499999996</v>
      </c>
      <c r="AV38" s="189">
        <v>148965.29999999999</v>
      </c>
      <c r="AW38" s="189">
        <v>65523.19</v>
      </c>
      <c r="AX38" s="189">
        <v>17190</v>
      </c>
      <c r="AY38" s="189">
        <v>25709.8</v>
      </c>
      <c r="AZ38" s="189">
        <v>20832.86</v>
      </c>
      <c r="BA38" s="189">
        <v>127604.26</v>
      </c>
      <c r="BB38" s="189">
        <v>529480.84</v>
      </c>
      <c r="BC38" s="189">
        <v>725579.54</v>
      </c>
      <c r="BD38" s="189">
        <v>906848.24</v>
      </c>
      <c r="BE38" s="189">
        <v>1108066.94</v>
      </c>
      <c r="BF38" s="189">
        <v>1890464.1</v>
      </c>
      <c r="BG38" s="189">
        <v>1457366.84</v>
      </c>
      <c r="BH38" s="189">
        <v>1699364.96</v>
      </c>
      <c r="BI38" s="189">
        <v>1941363.08</v>
      </c>
      <c r="BJ38" s="189">
        <v>6687883.6100000003</v>
      </c>
      <c r="BK38" s="189">
        <v>7010469.54</v>
      </c>
      <c r="BL38" s="189">
        <v>2772609.86</v>
      </c>
      <c r="BM38" s="189">
        <v>3105724.89</v>
      </c>
      <c r="BN38" s="189">
        <v>3463564.95</v>
      </c>
      <c r="BO38" s="189">
        <v>3849405.21</v>
      </c>
      <c r="BP38" s="189">
        <v>4235245.47</v>
      </c>
      <c r="BQ38" s="189">
        <v>4621085.7300000004</v>
      </c>
      <c r="BR38" s="189">
        <v>4497313.88</v>
      </c>
      <c r="BS38" s="189">
        <v>4981740.62</v>
      </c>
      <c r="BT38" s="189">
        <v>3135028.22</v>
      </c>
      <c r="BU38" s="189">
        <v>3597144.24</v>
      </c>
      <c r="BV38" s="189">
        <v>4239606.21</v>
      </c>
      <c r="BW38" s="189">
        <v>5284720.6100000003</v>
      </c>
      <c r="BX38" s="189">
        <v>5974148.04</v>
      </c>
      <c r="BY38" s="189">
        <v>0</v>
      </c>
      <c r="BZ38" s="189">
        <v>0</v>
      </c>
      <c r="CA38" s="189">
        <v>0</v>
      </c>
      <c r="CB38" s="189">
        <v>0</v>
      </c>
      <c r="CC38" s="189">
        <v>0</v>
      </c>
      <c r="CD38" s="189">
        <v>0</v>
      </c>
      <c r="CE38" s="189">
        <v>0</v>
      </c>
      <c r="CF38" s="189">
        <v>0</v>
      </c>
      <c r="CG38" s="189">
        <v>0</v>
      </c>
      <c r="CH38" s="189">
        <v>0</v>
      </c>
      <c r="CI38" s="189">
        <v>0</v>
      </c>
    </row>
    <row r="39" spans="1:87">
      <c r="A39" s="189" t="s">
        <v>143</v>
      </c>
      <c r="B39" s="189">
        <v>380768502.64999998</v>
      </c>
      <c r="C39" s="189">
        <v>346805109.75</v>
      </c>
      <c r="D39" s="189">
        <v>309409124.56999999</v>
      </c>
      <c r="E39" s="189">
        <v>271732067.31</v>
      </c>
      <c r="F39" s="189">
        <v>264984112.34</v>
      </c>
      <c r="G39" s="189">
        <v>226382554.44</v>
      </c>
      <c r="H39" s="189">
        <v>202683759.09</v>
      </c>
      <c r="I39" s="189">
        <v>228666980.59999999</v>
      </c>
      <c r="J39" s="189">
        <v>270507307.04000002</v>
      </c>
      <c r="K39" s="189">
        <v>273963506</v>
      </c>
      <c r="L39" s="189">
        <v>278539140.00999999</v>
      </c>
      <c r="M39" s="189">
        <v>271274232</v>
      </c>
      <c r="N39" s="189">
        <v>282472303.36000001</v>
      </c>
      <c r="O39" s="189">
        <v>259400202</v>
      </c>
      <c r="P39" s="189">
        <v>260559923.28</v>
      </c>
      <c r="Q39" s="189">
        <v>261310824</v>
      </c>
      <c r="R39" s="189">
        <v>225384538.21000001</v>
      </c>
      <c r="S39" s="189">
        <v>60266644</v>
      </c>
      <c r="T39" s="189">
        <v>60680940.170000002</v>
      </c>
      <c r="U39" s="189">
        <v>60366650</v>
      </c>
      <c r="V39" s="189">
        <v>65427796</v>
      </c>
      <c r="W39" s="189">
        <v>81663635</v>
      </c>
      <c r="X39" s="189">
        <v>75470953.150000006</v>
      </c>
      <c r="Y39" s="189">
        <v>72340313</v>
      </c>
      <c r="Z39" s="189">
        <v>71389507</v>
      </c>
      <c r="AA39" s="189">
        <v>79205348</v>
      </c>
      <c r="AB39" s="189">
        <v>75826420.099999994</v>
      </c>
      <c r="AC39" s="189">
        <v>71759544</v>
      </c>
      <c r="AD39" s="189">
        <v>65057320.82</v>
      </c>
      <c r="AE39" s="189">
        <v>68816489</v>
      </c>
      <c r="AF39" s="189">
        <v>66728778.810000002</v>
      </c>
      <c r="AG39" s="189">
        <v>66617109</v>
      </c>
      <c r="AH39" s="189">
        <v>72403911.569999993</v>
      </c>
      <c r="AI39" s="189">
        <v>86007467.879999995</v>
      </c>
      <c r="AJ39" s="189">
        <v>99223333.390000001</v>
      </c>
      <c r="AK39" s="189">
        <v>101588291.45</v>
      </c>
      <c r="AL39" s="189">
        <v>72502257.370000005</v>
      </c>
      <c r="AM39" s="189">
        <v>72822016.540000007</v>
      </c>
      <c r="AN39" s="189">
        <v>60656858.759999998</v>
      </c>
      <c r="AO39" s="189">
        <v>47046272.450000003</v>
      </c>
      <c r="AP39" s="189">
        <v>21161570.98</v>
      </c>
      <c r="AQ39" s="189">
        <v>19784583.039999999</v>
      </c>
      <c r="AR39" s="189">
        <v>17140263.109999999</v>
      </c>
      <c r="AS39" s="189">
        <v>16731757.529999999</v>
      </c>
      <c r="AT39" s="189">
        <v>14144697.609999999</v>
      </c>
      <c r="AU39" s="189">
        <v>14084328.17</v>
      </c>
      <c r="AV39" s="189">
        <v>13908012.35</v>
      </c>
      <c r="AW39" s="189">
        <v>0</v>
      </c>
      <c r="AX39" s="189">
        <v>0</v>
      </c>
      <c r="AY39" s="189">
        <v>0</v>
      </c>
      <c r="AZ39" s="189">
        <v>0</v>
      </c>
      <c r="BA39" s="189">
        <v>0</v>
      </c>
      <c r="BB39" s="189">
        <v>0</v>
      </c>
      <c r="BC39" s="189">
        <v>0</v>
      </c>
      <c r="BD39" s="189">
        <v>0</v>
      </c>
      <c r="BE39" s="189">
        <v>0</v>
      </c>
      <c r="BF39" s="189">
        <v>0</v>
      </c>
      <c r="BG39" s="189">
        <v>0</v>
      </c>
      <c r="BH39" s="189">
        <v>0</v>
      </c>
      <c r="BI39" s="189">
        <v>0</v>
      </c>
      <c r="BJ39" s="189">
        <v>0</v>
      </c>
      <c r="BK39" s="189">
        <v>0</v>
      </c>
      <c r="BL39" s="189">
        <v>0</v>
      </c>
      <c r="BM39" s="189">
        <v>0</v>
      </c>
      <c r="BN39" s="189">
        <v>0</v>
      </c>
      <c r="BO39" s="189">
        <v>0</v>
      </c>
      <c r="BP39" s="189">
        <v>0</v>
      </c>
      <c r="BQ39" s="189">
        <v>0</v>
      </c>
      <c r="BR39" s="189">
        <v>0</v>
      </c>
      <c r="BS39" s="189">
        <v>0</v>
      </c>
      <c r="BT39" s="189">
        <v>0</v>
      </c>
      <c r="BU39" s="189">
        <v>0</v>
      </c>
      <c r="BV39" s="189">
        <v>0</v>
      </c>
      <c r="BW39" s="189">
        <v>0</v>
      </c>
      <c r="BX39" s="189">
        <v>0</v>
      </c>
      <c r="BY39" s="189">
        <v>0</v>
      </c>
      <c r="BZ39" s="189">
        <v>0</v>
      </c>
      <c r="CA39" s="189">
        <v>0</v>
      </c>
      <c r="CB39" s="189">
        <v>0</v>
      </c>
      <c r="CC39" s="189">
        <v>0</v>
      </c>
      <c r="CD39" s="189">
        <v>0</v>
      </c>
      <c r="CE39" s="189">
        <v>0</v>
      </c>
      <c r="CF39" s="189">
        <v>0</v>
      </c>
      <c r="CG39" s="189">
        <v>0</v>
      </c>
      <c r="CH39" s="189">
        <v>0</v>
      </c>
      <c r="CI39" s="189">
        <v>0</v>
      </c>
    </row>
    <row r="40" spans="1:87">
      <c r="A40" s="189" t="s">
        <v>144</v>
      </c>
      <c r="B40" s="189">
        <v>19410356.809999999</v>
      </c>
      <c r="C40" s="189">
        <v>34645686.539999999</v>
      </c>
      <c r="D40" s="189">
        <v>366047749.22000003</v>
      </c>
      <c r="E40" s="189">
        <v>19736400.379999999</v>
      </c>
      <c r="F40" s="189">
        <v>22818160.420000002</v>
      </c>
      <c r="G40" s="189">
        <v>17103101.34</v>
      </c>
      <c r="H40" s="189">
        <v>32051183.93</v>
      </c>
      <c r="I40" s="189">
        <v>355113642.12</v>
      </c>
      <c r="J40" s="189">
        <v>112321974.08</v>
      </c>
      <c r="K40" s="189">
        <v>143850182</v>
      </c>
      <c r="L40" s="189">
        <v>77580207.040000007</v>
      </c>
      <c r="M40" s="189">
        <v>60674919</v>
      </c>
      <c r="N40" s="189">
        <v>76741574.299999997</v>
      </c>
      <c r="O40" s="189">
        <v>96838594</v>
      </c>
      <c r="P40" s="189">
        <v>169331259.83000001</v>
      </c>
      <c r="Q40" s="189">
        <v>371716080</v>
      </c>
      <c r="R40" s="189">
        <v>222263944.84999999</v>
      </c>
      <c r="S40" s="189">
        <v>78644532</v>
      </c>
      <c r="T40" s="189">
        <v>102538656.95999999</v>
      </c>
      <c r="U40" s="189">
        <v>113942323</v>
      </c>
      <c r="V40" s="189">
        <v>168389548</v>
      </c>
      <c r="W40" s="189">
        <v>183116893</v>
      </c>
      <c r="X40" s="189">
        <v>192147977.91</v>
      </c>
      <c r="Y40" s="189">
        <v>221636627</v>
      </c>
      <c r="Z40" s="189">
        <v>0</v>
      </c>
      <c r="AA40" s="189">
        <v>0</v>
      </c>
      <c r="AB40" s="189">
        <v>0</v>
      </c>
      <c r="AC40" s="189">
        <v>658382</v>
      </c>
      <c r="AD40" s="189">
        <v>0</v>
      </c>
      <c r="AE40" s="189">
        <v>6486000</v>
      </c>
      <c r="AF40" s="189">
        <v>0</v>
      </c>
      <c r="AG40" s="189">
        <v>0</v>
      </c>
      <c r="AH40" s="189">
        <v>0</v>
      </c>
      <c r="AI40" s="189">
        <v>0</v>
      </c>
      <c r="AJ40" s="189">
        <v>0</v>
      </c>
      <c r="AK40" s="189">
        <v>0</v>
      </c>
      <c r="AL40" s="189">
        <v>0</v>
      </c>
      <c r="AM40" s="189">
        <v>0</v>
      </c>
      <c r="AN40" s="189">
        <v>0</v>
      </c>
      <c r="AO40" s="189">
        <v>0</v>
      </c>
      <c r="AP40" s="189">
        <v>0</v>
      </c>
      <c r="AQ40" s="189">
        <v>0</v>
      </c>
      <c r="AR40" s="189">
        <v>0</v>
      </c>
      <c r="AS40" s="189">
        <v>0</v>
      </c>
      <c r="AT40" s="189">
        <v>0</v>
      </c>
      <c r="AU40" s="189">
        <v>0</v>
      </c>
      <c r="AV40" s="189">
        <v>0</v>
      </c>
      <c r="AW40" s="189">
        <v>0</v>
      </c>
      <c r="AX40" s="189">
        <v>0</v>
      </c>
      <c r="AY40" s="189">
        <v>0</v>
      </c>
      <c r="AZ40" s="189">
        <v>0</v>
      </c>
      <c r="BA40" s="189">
        <v>0</v>
      </c>
      <c r="BB40" s="189">
        <v>0</v>
      </c>
      <c r="BC40" s="189">
        <v>0</v>
      </c>
      <c r="BD40" s="189">
        <v>0</v>
      </c>
      <c r="BE40" s="189">
        <v>0</v>
      </c>
      <c r="BF40" s="189">
        <v>0</v>
      </c>
      <c r="BG40" s="189">
        <v>0</v>
      </c>
      <c r="BH40" s="189">
        <v>0</v>
      </c>
      <c r="BI40" s="189">
        <v>0</v>
      </c>
      <c r="BJ40" s="189">
        <v>0</v>
      </c>
      <c r="BK40" s="189">
        <v>0</v>
      </c>
      <c r="BL40" s="189">
        <v>0</v>
      </c>
      <c r="BM40" s="189">
        <v>0</v>
      </c>
      <c r="BN40" s="189">
        <v>0</v>
      </c>
      <c r="BO40" s="189">
        <v>0</v>
      </c>
      <c r="BP40" s="189">
        <v>0</v>
      </c>
      <c r="BQ40" s="189">
        <v>0</v>
      </c>
      <c r="BR40" s="189">
        <v>0</v>
      </c>
      <c r="BS40" s="189">
        <v>0</v>
      </c>
      <c r="BT40" s="189">
        <v>0</v>
      </c>
      <c r="BU40" s="189">
        <v>0</v>
      </c>
      <c r="BV40" s="189">
        <v>0</v>
      </c>
      <c r="BW40" s="189">
        <v>0</v>
      </c>
      <c r="BX40" s="189">
        <v>358650</v>
      </c>
      <c r="BY40" s="189">
        <v>6013900.2800000003</v>
      </c>
      <c r="BZ40" s="189">
        <v>0</v>
      </c>
      <c r="CA40" s="189">
        <v>7586578.29</v>
      </c>
      <c r="CB40" s="189">
        <v>0</v>
      </c>
      <c r="CC40" s="189">
        <v>5890489.4299999997</v>
      </c>
      <c r="CD40" s="189">
        <v>0</v>
      </c>
      <c r="CE40" s="189">
        <v>5912777.7999999998</v>
      </c>
      <c r="CF40" s="189">
        <v>12517626.5</v>
      </c>
      <c r="CG40" s="189">
        <v>0</v>
      </c>
      <c r="CH40" s="189">
        <v>0</v>
      </c>
      <c r="CI40" s="189">
        <v>0</v>
      </c>
    </row>
    <row r="41" spans="1:87">
      <c r="A41" s="189" t="s">
        <v>145</v>
      </c>
      <c r="B41" s="189">
        <v>44879598227.489998</v>
      </c>
      <c r="C41" s="189">
        <v>44364171979.300003</v>
      </c>
      <c r="D41" s="189">
        <v>43487197206.919998</v>
      </c>
      <c r="E41" s="189">
        <v>18392026782.330002</v>
      </c>
      <c r="F41" s="189">
        <v>17702086698.279999</v>
      </c>
      <c r="G41" s="189">
        <v>16640295924.01</v>
      </c>
      <c r="H41" s="189">
        <v>15434641191.860001</v>
      </c>
      <c r="I41" s="189">
        <v>12292071919.049999</v>
      </c>
      <c r="J41" s="189">
        <v>11399617328.639999</v>
      </c>
      <c r="K41" s="189">
        <v>10732242078</v>
      </c>
      <c r="L41" s="189">
        <v>10524640517.26</v>
      </c>
      <c r="M41" s="189">
        <v>10409487598</v>
      </c>
      <c r="N41" s="189">
        <v>10430617831.639999</v>
      </c>
      <c r="O41" s="189">
        <v>10435304280</v>
      </c>
      <c r="P41" s="189">
        <v>10389896992.18</v>
      </c>
      <c r="Q41" s="189">
        <v>10549769820</v>
      </c>
      <c r="R41" s="189">
        <v>10521804591.6</v>
      </c>
      <c r="S41" s="189">
        <v>5120609254</v>
      </c>
      <c r="T41" s="189">
        <v>5076188546.9700003</v>
      </c>
      <c r="U41" s="189">
        <v>5162598929</v>
      </c>
      <c r="V41" s="189">
        <v>5290411050</v>
      </c>
      <c r="W41" s="189">
        <v>5416755891</v>
      </c>
      <c r="X41" s="189">
        <v>5509819715.7600002</v>
      </c>
      <c r="Y41" s="189">
        <v>5611908209</v>
      </c>
      <c r="Z41" s="189">
        <v>5459046257</v>
      </c>
      <c r="AA41" s="189">
        <v>5541692623</v>
      </c>
      <c r="AB41" s="189">
        <v>5600584966.7600002</v>
      </c>
      <c r="AC41" s="189">
        <v>5677043861</v>
      </c>
      <c r="AD41" s="189">
        <v>5520810769.7700005</v>
      </c>
      <c r="AE41" s="189">
        <v>5598389404</v>
      </c>
      <c r="AF41" s="189">
        <v>5627282603.1199999</v>
      </c>
      <c r="AG41" s="189">
        <v>5639108001</v>
      </c>
      <c r="AH41" s="189">
        <v>5455116067.6999998</v>
      </c>
      <c r="AI41" s="189">
        <v>5175069850.1800003</v>
      </c>
      <c r="AJ41" s="189">
        <v>5034687948.8999996</v>
      </c>
      <c r="AK41" s="189">
        <v>4587132210.5</v>
      </c>
      <c r="AL41" s="189">
        <v>4180459873.6300001</v>
      </c>
      <c r="AM41" s="189">
        <v>4116493181.46</v>
      </c>
      <c r="AN41" s="189">
        <v>4014155107.8600001</v>
      </c>
      <c r="AO41" s="189">
        <v>4010943866.46</v>
      </c>
      <c r="AP41" s="189">
        <v>3767085213.96</v>
      </c>
      <c r="AQ41" s="189">
        <v>3446363366.8800001</v>
      </c>
      <c r="AR41" s="189">
        <v>3172689416.0900002</v>
      </c>
      <c r="AS41" s="189">
        <v>2990903264.3499999</v>
      </c>
      <c r="AT41" s="189">
        <v>2584431136.0799999</v>
      </c>
      <c r="AU41" s="189">
        <v>1267803218.6400001</v>
      </c>
      <c r="AV41" s="189">
        <v>1019683352.13</v>
      </c>
      <c r="AW41" s="189">
        <v>719053571.74000001</v>
      </c>
      <c r="AX41" s="189">
        <v>710474574.25999999</v>
      </c>
      <c r="AY41" s="189">
        <v>624450348.26999998</v>
      </c>
      <c r="AZ41" s="189">
        <v>637390319.25999999</v>
      </c>
      <c r="BA41" s="189">
        <v>587748018.29999995</v>
      </c>
      <c r="BB41" s="189">
        <v>612821177.35000002</v>
      </c>
      <c r="BC41" s="189">
        <v>624080949.61000001</v>
      </c>
      <c r="BD41" s="189">
        <v>634697613.25</v>
      </c>
      <c r="BE41" s="189">
        <v>643630520.16999996</v>
      </c>
      <c r="BF41" s="189">
        <v>612613996.75</v>
      </c>
      <c r="BG41" s="189">
        <v>615706338.69000006</v>
      </c>
      <c r="BH41" s="189">
        <v>611963940.13</v>
      </c>
      <c r="BI41" s="189">
        <v>628602544.41999996</v>
      </c>
      <c r="BJ41" s="189">
        <v>587220601.98000002</v>
      </c>
      <c r="BK41" s="189">
        <v>577169241.69000006</v>
      </c>
      <c r="BL41" s="189">
        <v>539904943.37</v>
      </c>
      <c r="BM41" s="189">
        <v>536592234.44</v>
      </c>
      <c r="BN41" s="189">
        <v>272504470.83999997</v>
      </c>
      <c r="BO41" s="189">
        <v>259750329.25999999</v>
      </c>
      <c r="BP41" s="189">
        <v>250098522.88</v>
      </c>
      <c r="BQ41" s="189">
        <v>234293320.43000001</v>
      </c>
      <c r="BR41" s="189">
        <v>233270864.05000001</v>
      </c>
      <c r="BS41" s="189">
        <v>223063627.19999999</v>
      </c>
      <c r="BT41" s="189">
        <v>229888026.90000001</v>
      </c>
      <c r="BU41" s="189">
        <v>225341600.44999999</v>
      </c>
      <c r="BV41" s="189">
        <v>231576620.94999999</v>
      </c>
      <c r="BW41" s="189">
        <v>239837323.56</v>
      </c>
      <c r="BX41" s="189">
        <v>102414183.06999999</v>
      </c>
      <c r="BY41" s="189">
        <v>105565811.69</v>
      </c>
      <c r="BZ41" s="189">
        <v>130841451.81</v>
      </c>
      <c r="CA41" s="189">
        <v>134192269.47</v>
      </c>
      <c r="CB41" s="189">
        <v>131860000</v>
      </c>
      <c r="CC41" s="189">
        <v>135231353.52000001</v>
      </c>
      <c r="CD41" s="189">
        <v>137530000</v>
      </c>
      <c r="CE41" s="189">
        <v>139077935.13</v>
      </c>
      <c r="CF41" s="189">
        <v>171789624.46000001</v>
      </c>
      <c r="CG41" s="189">
        <v>0</v>
      </c>
      <c r="CH41" s="189">
        <v>0</v>
      </c>
      <c r="CI41" s="189">
        <v>0</v>
      </c>
    </row>
    <row r="42" spans="1:87">
      <c r="A42" s="189" t="s">
        <v>146</v>
      </c>
      <c r="B42" s="189">
        <v>60475922124.190002</v>
      </c>
      <c r="C42" s="189">
        <v>59542992628.379997</v>
      </c>
      <c r="D42" s="189">
        <v>59515864217.379997</v>
      </c>
      <c r="E42" s="189">
        <v>29652260560.189999</v>
      </c>
      <c r="F42" s="189">
        <v>27234113375.029999</v>
      </c>
      <c r="G42" s="189">
        <v>24685721082.709999</v>
      </c>
      <c r="H42" s="189">
        <v>22753654761.259998</v>
      </c>
      <c r="I42" s="189">
        <v>21679336300.209999</v>
      </c>
      <c r="J42" s="189">
        <v>21172693836</v>
      </c>
      <c r="K42" s="189">
        <v>19692208173</v>
      </c>
      <c r="L42" s="189">
        <v>20298636779.459999</v>
      </c>
      <c r="M42" s="189">
        <v>21628692218</v>
      </c>
      <c r="N42" s="189">
        <v>17207834273.130001</v>
      </c>
      <c r="O42" s="189">
        <v>17884669645</v>
      </c>
      <c r="P42" s="189">
        <v>17088963155.809999</v>
      </c>
      <c r="Q42" s="189">
        <v>15692498583</v>
      </c>
      <c r="R42" s="189">
        <v>18547621126.529999</v>
      </c>
      <c r="S42" s="189">
        <v>7572507375</v>
      </c>
      <c r="T42" s="189">
        <v>7603548220.1400003</v>
      </c>
      <c r="U42" s="189">
        <v>7976761304</v>
      </c>
      <c r="V42" s="189">
        <v>7846509277</v>
      </c>
      <c r="W42" s="189">
        <v>7595830512</v>
      </c>
      <c r="X42" s="189">
        <v>7808053735.0299997</v>
      </c>
      <c r="Y42" s="189">
        <v>7803188441</v>
      </c>
      <c r="Z42" s="189">
        <v>8051408043</v>
      </c>
      <c r="AA42" s="189">
        <v>8025211614</v>
      </c>
      <c r="AB42" s="189">
        <v>7851965319.8500004</v>
      </c>
      <c r="AC42" s="189">
        <v>8052164501</v>
      </c>
      <c r="AD42" s="189">
        <v>7958346614.54</v>
      </c>
      <c r="AE42" s="189">
        <v>8227852165</v>
      </c>
      <c r="AF42" s="189">
        <v>8057158514.04</v>
      </c>
      <c r="AG42" s="189">
        <v>7971514291</v>
      </c>
      <c r="AH42" s="189">
        <v>7618800896.1499996</v>
      </c>
      <c r="AI42" s="189">
        <v>7684318889.4799995</v>
      </c>
      <c r="AJ42" s="189">
        <v>6952250352.8900003</v>
      </c>
      <c r="AK42" s="189">
        <v>6476071723.2700005</v>
      </c>
      <c r="AL42" s="189">
        <v>5779630117.7799997</v>
      </c>
      <c r="AM42" s="189">
        <v>5602108459.5900002</v>
      </c>
      <c r="AN42" s="189">
        <v>5131360542.9200001</v>
      </c>
      <c r="AO42" s="189">
        <v>5023227934.0900002</v>
      </c>
      <c r="AP42" s="189">
        <v>5372230210.4399996</v>
      </c>
      <c r="AQ42" s="189">
        <v>5205830194.25</v>
      </c>
      <c r="AR42" s="189">
        <v>5008971915.6700001</v>
      </c>
      <c r="AS42" s="189">
        <v>4677443675.29</v>
      </c>
      <c r="AT42" s="189">
        <v>4580326469.3699999</v>
      </c>
      <c r="AU42" s="189">
        <v>3627563873.2199998</v>
      </c>
      <c r="AV42" s="189">
        <v>2023691405.0699999</v>
      </c>
      <c r="AW42" s="189">
        <v>1550620946.3399999</v>
      </c>
      <c r="AX42" s="189">
        <v>1516723539.1400001</v>
      </c>
      <c r="AY42" s="189">
        <v>1507601139.9100001</v>
      </c>
      <c r="AZ42" s="189">
        <v>1406227678.5899999</v>
      </c>
      <c r="BA42" s="189">
        <v>1331155186.8099999</v>
      </c>
      <c r="BB42" s="189">
        <v>1328468444.8</v>
      </c>
      <c r="BC42" s="189">
        <v>1402760278.1700001</v>
      </c>
      <c r="BD42" s="189">
        <v>1402717777.3</v>
      </c>
      <c r="BE42" s="189">
        <v>1509734723.76</v>
      </c>
      <c r="BF42" s="189">
        <v>1316012718.9300001</v>
      </c>
      <c r="BG42" s="189">
        <v>1331102136.8099999</v>
      </c>
      <c r="BH42" s="189">
        <v>1251902040.53</v>
      </c>
      <c r="BI42" s="189">
        <v>1166369369.75</v>
      </c>
      <c r="BJ42" s="189">
        <v>1126447412.1600001</v>
      </c>
      <c r="BK42" s="189">
        <v>1106785473.4100001</v>
      </c>
      <c r="BL42" s="189">
        <v>1088922369.49</v>
      </c>
      <c r="BM42" s="189">
        <v>1023394365.15</v>
      </c>
      <c r="BN42" s="189">
        <v>1028468017.39</v>
      </c>
      <c r="BO42" s="189">
        <v>973776377.49000001</v>
      </c>
      <c r="BP42" s="189">
        <v>896358210.23000002</v>
      </c>
      <c r="BQ42" s="189">
        <v>849066286.42999995</v>
      </c>
      <c r="BR42" s="189">
        <v>920397990.38</v>
      </c>
      <c r="BS42" s="189">
        <v>602775372.04999995</v>
      </c>
      <c r="BT42" s="189">
        <v>567120751.97000003</v>
      </c>
      <c r="BU42" s="189">
        <v>521682494.42000002</v>
      </c>
      <c r="BV42" s="189">
        <v>539682944.01999998</v>
      </c>
      <c r="BW42" s="189">
        <v>471759123.68000001</v>
      </c>
      <c r="BX42" s="189">
        <v>505782782.47000003</v>
      </c>
      <c r="BY42" s="189">
        <v>416539277.11000001</v>
      </c>
      <c r="BZ42" s="189">
        <v>402368921.91000003</v>
      </c>
      <c r="CA42" s="189">
        <v>387884868.22000003</v>
      </c>
      <c r="CB42" s="189">
        <v>347620000</v>
      </c>
      <c r="CC42" s="189">
        <v>368702710.13999999</v>
      </c>
      <c r="CD42" s="189">
        <v>347760000</v>
      </c>
      <c r="CE42" s="189">
        <v>300166955.25</v>
      </c>
      <c r="CF42" s="189">
        <v>296477151.37</v>
      </c>
      <c r="CG42" s="189">
        <v>220871400</v>
      </c>
      <c r="CH42" s="189">
        <v>97847700</v>
      </c>
      <c r="CI42" s="189">
        <v>0</v>
      </c>
    </row>
    <row r="43" spans="1:87">
      <c r="A43" s="189" t="s">
        <v>147</v>
      </c>
    </row>
    <row r="44" spans="1:87">
      <c r="A44" s="189" t="s">
        <v>148</v>
      </c>
      <c r="B44" s="189">
        <v>4923219254.2799997</v>
      </c>
      <c r="C44" s="189">
        <v>5354321209.8599997</v>
      </c>
      <c r="D44" s="189">
        <v>7077189642.4700003</v>
      </c>
      <c r="E44" s="189">
        <v>2960000000</v>
      </c>
      <c r="F44" s="189">
        <v>3335000000</v>
      </c>
      <c r="G44" s="189">
        <v>2500000000</v>
      </c>
      <c r="H44" s="189">
        <v>1350000000</v>
      </c>
      <c r="I44" s="189">
        <v>0</v>
      </c>
      <c r="J44" s="189">
        <v>0</v>
      </c>
      <c r="K44" s="189">
        <v>0</v>
      </c>
      <c r="L44" s="189">
        <v>440000000</v>
      </c>
      <c r="M44" s="189">
        <v>740000000</v>
      </c>
      <c r="N44" s="189">
        <v>532533427</v>
      </c>
      <c r="O44" s="189">
        <v>791887836</v>
      </c>
      <c r="P44" s="189">
        <v>337299438.75999999</v>
      </c>
      <c r="Q44" s="189">
        <v>411405240</v>
      </c>
      <c r="R44" s="189">
        <v>1049316844.85</v>
      </c>
      <c r="S44" s="189">
        <v>465942525</v>
      </c>
      <c r="T44" s="189">
        <v>568877389.02999997</v>
      </c>
      <c r="U44" s="189">
        <v>541566292</v>
      </c>
      <c r="V44" s="189">
        <v>579910185</v>
      </c>
      <c r="W44" s="189">
        <v>460202859</v>
      </c>
      <c r="X44" s="189">
        <v>732150291.17999995</v>
      </c>
      <c r="Y44" s="189">
        <v>642327230</v>
      </c>
      <c r="Z44" s="189">
        <v>695662847</v>
      </c>
      <c r="AA44" s="189">
        <v>678139890</v>
      </c>
      <c r="AB44" s="189">
        <v>331990800.61000001</v>
      </c>
      <c r="AC44" s="189">
        <v>322226830</v>
      </c>
      <c r="AD44" s="189">
        <v>321311056.18000001</v>
      </c>
      <c r="AE44" s="189">
        <v>520976868</v>
      </c>
      <c r="AF44" s="189">
        <v>515604041.60000002</v>
      </c>
      <c r="AG44" s="189">
        <v>410000000</v>
      </c>
      <c r="AH44" s="189">
        <v>624000000</v>
      </c>
      <c r="AI44" s="189">
        <v>650114457.65999997</v>
      </c>
      <c r="AJ44" s="189">
        <v>862408515.82000005</v>
      </c>
      <c r="AK44" s="189">
        <v>587542236.21000004</v>
      </c>
      <c r="AL44" s="189">
        <v>476803806.36000001</v>
      </c>
      <c r="AM44" s="189">
        <v>500815188.85000002</v>
      </c>
      <c r="AN44" s="189">
        <v>274000000</v>
      </c>
      <c r="AO44" s="189">
        <v>176895361.09</v>
      </c>
      <c r="AP44" s="189">
        <v>122139768.3</v>
      </c>
      <c r="AQ44" s="189">
        <v>99098194.780000001</v>
      </c>
      <c r="AR44" s="189">
        <v>103622759.27</v>
      </c>
      <c r="AS44" s="189">
        <v>15491450.1</v>
      </c>
      <c r="AT44" s="189">
        <v>56491450.100000001</v>
      </c>
      <c r="AU44" s="189">
        <v>405000000</v>
      </c>
      <c r="AV44" s="189">
        <v>345000000</v>
      </c>
      <c r="AW44" s="189">
        <v>332598500.05000001</v>
      </c>
      <c r="AX44" s="189">
        <v>318351000</v>
      </c>
      <c r="AY44" s="189">
        <v>343351000</v>
      </c>
      <c r="AZ44" s="189">
        <v>200351000</v>
      </c>
      <c r="BA44" s="189">
        <v>161157000</v>
      </c>
      <c r="BB44" s="189">
        <v>322478000</v>
      </c>
      <c r="BC44" s="189">
        <v>345421500</v>
      </c>
      <c r="BD44" s="189">
        <v>345609000</v>
      </c>
      <c r="BE44" s="189">
        <v>381974500</v>
      </c>
      <c r="BF44" s="189">
        <v>390703900</v>
      </c>
      <c r="BG44" s="189">
        <v>390951600</v>
      </c>
      <c r="BH44" s="189">
        <v>377257300</v>
      </c>
      <c r="BI44" s="189">
        <v>322427200</v>
      </c>
      <c r="BJ44" s="189">
        <v>298667970</v>
      </c>
      <c r="BK44" s="189">
        <v>322822200</v>
      </c>
      <c r="BL44" s="189">
        <v>314697100</v>
      </c>
      <c r="BM44" s="189">
        <v>284697100</v>
      </c>
      <c r="BN44" s="189">
        <v>274220674.54000002</v>
      </c>
      <c r="BO44" s="189">
        <v>175612300</v>
      </c>
      <c r="BP44" s="189">
        <v>125612300</v>
      </c>
      <c r="BQ44" s="189">
        <v>106296607.69</v>
      </c>
      <c r="BR44" s="189">
        <v>140370230.77000001</v>
      </c>
      <c r="BS44" s="189">
        <v>172575127.5</v>
      </c>
      <c r="BT44" s="189">
        <v>151089720.90000001</v>
      </c>
      <c r="BU44" s="189">
        <v>136129032.75</v>
      </c>
      <c r="BV44" s="189">
        <v>118991210.45999999</v>
      </c>
      <c r="BW44" s="189">
        <v>95047932.230000004</v>
      </c>
      <c r="BX44" s="189">
        <v>110702727.2</v>
      </c>
      <c r="BY44" s="189">
        <v>130771211.66</v>
      </c>
      <c r="BZ44" s="189">
        <v>0</v>
      </c>
      <c r="CA44" s="189">
        <v>136570027.87</v>
      </c>
      <c r="CB44" s="189">
        <v>0</v>
      </c>
      <c r="CC44" s="189">
        <v>152281013.96000001</v>
      </c>
      <c r="CD44" s="189">
        <v>0</v>
      </c>
      <c r="CE44" s="189">
        <v>141887599.06999999</v>
      </c>
      <c r="CF44" s="189">
        <v>126804724.88</v>
      </c>
      <c r="CG44" s="189">
        <v>0</v>
      </c>
      <c r="CH44" s="189">
        <v>0</v>
      </c>
      <c r="CI44" s="189">
        <v>0</v>
      </c>
    </row>
    <row r="45" spans="1:87">
      <c r="A45" s="189" t="s">
        <v>149</v>
      </c>
      <c r="B45" s="189">
        <v>0</v>
      </c>
      <c r="C45" s="189">
        <v>0</v>
      </c>
      <c r="D45" s="189">
        <v>0</v>
      </c>
      <c r="E45" s="189">
        <v>0</v>
      </c>
      <c r="F45" s="189">
        <v>0</v>
      </c>
      <c r="G45" s="189">
        <v>0</v>
      </c>
      <c r="H45" s="189">
        <v>0</v>
      </c>
      <c r="I45" s="189">
        <v>0</v>
      </c>
      <c r="J45" s="189">
        <v>0</v>
      </c>
      <c r="K45" s="189">
        <v>0</v>
      </c>
      <c r="L45" s="189">
        <v>0</v>
      </c>
      <c r="M45" s="189">
        <v>0</v>
      </c>
      <c r="N45" s="189">
        <v>0</v>
      </c>
      <c r="O45" s="189">
        <v>0</v>
      </c>
      <c r="P45" s="189">
        <v>0</v>
      </c>
      <c r="Q45" s="189">
        <v>0</v>
      </c>
      <c r="R45" s="189">
        <v>0</v>
      </c>
      <c r="S45" s="189">
        <v>0</v>
      </c>
      <c r="T45" s="189">
        <v>0</v>
      </c>
      <c r="U45" s="189">
        <v>0</v>
      </c>
      <c r="V45" s="189">
        <v>0</v>
      </c>
      <c r="W45" s="189">
        <v>0</v>
      </c>
      <c r="X45" s="189">
        <v>0</v>
      </c>
      <c r="Y45" s="189">
        <v>0</v>
      </c>
      <c r="Z45" s="189">
        <v>0</v>
      </c>
      <c r="AA45" s="189">
        <v>0</v>
      </c>
      <c r="AB45" s="189">
        <v>0</v>
      </c>
      <c r="AC45" s="189">
        <v>0</v>
      </c>
      <c r="AD45" s="189">
        <v>0</v>
      </c>
      <c r="AE45" s="189">
        <v>0</v>
      </c>
      <c r="AF45" s="189">
        <v>0</v>
      </c>
      <c r="AG45" s="189">
        <v>0</v>
      </c>
      <c r="AH45" s="189">
        <v>0</v>
      </c>
      <c r="AI45" s="189">
        <v>0</v>
      </c>
      <c r="AJ45" s="189">
        <v>43630.23</v>
      </c>
      <c r="AK45" s="189">
        <v>43630.23</v>
      </c>
      <c r="AL45" s="189">
        <v>0</v>
      </c>
      <c r="AM45" s="189">
        <v>0</v>
      </c>
      <c r="AN45" s="189">
        <v>0</v>
      </c>
      <c r="AO45" s="189">
        <v>0</v>
      </c>
      <c r="AP45" s="189">
        <v>0</v>
      </c>
      <c r="AQ45" s="189">
        <v>0</v>
      </c>
      <c r="AR45" s="189">
        <v>0</v>
      </c>
      <c r="AS45" s="189">
        <v>0</v>
      </c>
      <c r="AT45" s="189">
        <v>0</v>
      </c>
      <c r="AU45" s="189">
        <v>0</v>
      </c>
      <c r="AV45" s="189">
        <v>0</v>
      </c>
      <c r="AW45" s="189">
        <v>0</v>
      </c>
      <c r="AX45" s="189">
        <v>0</v>
      </c>
      <c r="AY45" s="189">
        <v>0</v>
      </c>
      <c r="AZ45" s="189">
        <v>0</v>
      </c>
      <c r="BA45" s="189">
        <v>0</v>
      </c>
      <c r="BB45" s="189">
        <v>0</v>
      </c>
      <c r="BC45" s="189">
        <v>0</v>
      </c>
      <c r="BD45" s="189">
        <v>0</v>
      </c>
      <c r="BE45" s="189">
        <v>0</v>
      </c>
      <c r="BF45" s="189">
        <v>0</v>
      </c>
      <c r="BG45" s="189">
        <v>0</v>
      </c>
      <c r="BH45" s="189">
        <v>0</v>
      </c>
      <c r="BI45" s="189">
        <v>0</v>
      </c>
      <c r="BJ45" s="189">
        <v>0</v>
      </c>
      <c r="BK45" s="189">
        <v>0</v>
      </c>
      <c r="BL45" s="189">
        <v>0</v>
      </c>
      <c r="BM45" s="189">
        <v>0</v>
      </c>
      <c r="BN45" s="189">
        <v>0</v>
      </c>
      <c r="BO45" s="189">
        <v>0</v>
      </c>
      <c r="BP45" s="189">
        <v>0</v>
      </c>
      <c r="BQ45" s="189">
        <v>0</v>
      </c>
      <c r="BR45" s="189">
        <v>0</v>
      </c>
      <c r="BS45" s="189">
        <v>0</v>
      </c>
      <c r="BT45" s="189">
        <v>0</v>
      </c>
      <c r="BU45" s="189">
        <v>0</v>
      </c>
      <c r="BV45" s="189">
        <v>0</v>
      </c>
      <c r="BW45" s="189">
        <v>0</v>
      </c>
      <c r="BX45" s="189">
        <v>0</v>
      </c>
      <c r="BY45" s="189">
        <v>0</v>
      </c>
      <c r="BZ45" s="189">
        <v>0</v>
      </c>
      <c r="CA45" s="189">
        <v>0</v>
      </c>
      <c r="CB45" s="189">
        <v>0</v>
      </c>
      <c r="CC45" s="189">
        <v>0</v>
      </c>
      <c r="CD45" s="189">
        <v>0</v>
      </c>
      <c r="CE45" s="189">
        <v>0</v>
      </c>
      <c r="CF45" s="189">
        <v>0</v>
      </c>
      <c r="CG45" s="189">
        <v>0</v>
      </c>
      <c r="CH45" s="189">
        <v>0</v>
      </c>
      <c r="CI45" s="189">
        <v>0</v>
      </c>
    </row>
    <row r="46" spans="1:87">
      <c r="A46" s="189" t="s">
        <v>150</v>
      </c>
      <c r="B46" s="189">
        <v>0</v>
      </c>
      <c r="C46" s="189">
        <v>1305197545.55</v>
      </c>
      <c r="D46" s="189">
        <v>2013713354.27</v>
      </c>
      <c r="E46" s="189">
        <v>1602677326.9000001</v>
      </c>
      <c r="F46" s="189">
        <v>1159702696.3800001</v>
      </c>
      <c r="G46" s="189">
        <v>986884096.33000004</v>
      </c>
      <c r="H46" s="189">
        <v>1332016080.5699999</v>
      </c>
      <c r="I46" s="189">
        <v>1411563110.9400001</v>
      </c>
      <c r="J46" s="189">
        <v>1391647418.5599999</v>
      </c>
      <c r="K46" s="189">
        <v>1135101997</v>
      </c>
      <c r="L46" s="189">
        <v>808350825.24000001</v>
      </c>
      <c r="M46" s="189">
        <v>1252100843</v>
      </c>
      <c r="N46" s="189">
        <v>712268019.73000002</v>
      </c>
      <c r="O46" s="189">
        <v>504882899</v>
      </c>
      <c r="P46" s="189">
        <v>670198412.88999999</v>
      </c>
      <c r="Q46" s="189">
        <v>502319302</v>
      </c>
      <c r="R46" s="189">
        <v>536613970.19999999</v>
      </c>
      <c r="S46" s="189">
        <v>219122855</v>
      </c>
      <c r="T46" s="189">
        <v>206135700.72999999</v>
      </c>
      <c r="U46" s="189">
        <v>210543997</v>
      </c>
      <c r="V46" s="189">
        <v>236213386</v>
      </c>
      <c r="W46" s="189">
        <v>180187615</v>
      </c>
      <c r="X46" s="189">
        <v>214823778.47999999</v>
      </c>
      <c r="Y46" s="189">
        <v>169784346</v>
      </c>
      <c r="Z46" s="189">
        <v>305253793</v>
      </c>
      <c r="AA46" s="189">
        <v>268691064</v>
      </c>
      <c r="AB46" s="189">
        <v>256993219.16</v>
      </c>
      <c r="AC46" s="189">
        <v>236513243</v>
      </c>
      <c r="AD46" s="189">
        <v>262156405.21000001</v>
      </c>
      <c r="AE46" s="189">
        <v>311817355</v>
      </c>
      <c r="AF46" s="189">
        <v>255965657.63999999</v>
      </c>
      <c r="AG46" s="189">
        <v>253316653</v>
      </c>
      <c r="AH46" s="189">
        <v>192999207.00999999</v>
      </c>
      <c r="AI46" s="189">
        <v>191437373.38</v>
      </c>
      <c r="AJ46" s="189">
        <v>111767074.48999999</v>
      </c>
      <c r="AK46" s="189">
        <v>157357343.30000001</v>
      </c>
      <c r="AL46" s="189">
        <v>148308102.84999999</v>
      </c>
      <c r="AM46" s="189">
        <v>95084747.170000002</v>
      </c>
      <c r="AN46" s="189">
        <v>49665110.859999999</v>
      </c>
      <c r="AO46" s="189">
        <v>87394166.060000002</v>
      </c>
      <c r="AP46" s="189">
        <v>98236806.569999993</v>
      </c>
      <c r="AQ46" s="189">
        <v>36541277.859999999</v>
      </c>
      <c r="AR46" s="189">
        <v>89720628.439999998</v>
      </c>
      <c r="AS46" s="189">
        <v>86751462.400000006</v>
      </c>
      <c r="AT46" s="189">
        <v>86802707.5</v>
      </c>
      <c r="AU46" s="189">
        <v>43037125.990000002</v>
      </c>
      <c r="AV46" s="189">
        <v>94729332.879999995</v>
      </c>
      <c r="AW46" s="189">
        <v>54402572.240000002</v>
      </c>
      <c r="AX46" s="189">
        <v>34460423.119999997</v>
      </c>
      <c r="AY46" s="189">
        <v>20959079.66</v>
      </c>
      <c r="AZ46" s="189">
        <v>14360394.720000001</v>
      </c>
      <c r="BA46" s="189">
        <v>5714996.7400000002</v>
      </c>
      <c r="BB46" s="189">
        <v>2784633.09</v>
      </c>
      <c r="BC46" s="189">
        <v>11679233.67</v>
      </c>
      <c r="BD46" s="189">
        <v>16434894.199999999</v>
      </c>
      <c r="BE46" s="189">
        <v>6815489.29</v>
      </c>
      <c r="BF46" s="189">
        <v>0</v>
      </c>
      <c r="BG46" s="189">
        <v>0</v>
      </c>
      <c r="BH46" s="189">
        <v>0</v>
      </c>
      <c r="BI46" s="189">
        <v>0</v>
      </c>
      <c r="BJ46" s="189">
        <v>0</v>
      </c>
      <c r="BK46" s="189">
        <v>0</v>
      </c>
      <c r="BL46" s="189">
        <v>0</v>
      </c>
      <c r="BM46" s="189">
        <v>0</v>
      </c>
      <c r="BN46" s="189">
        <v>0</v>
      </c>
      <c r="BO46" s="189">
        <v>0</v>
      </c>
      <c r="BP46" s="189">
        <v>0</v>
      </c>
      <c r="BQ46" s="189">
        <v>0</v>
      </c>
      <c r="BR46" s="189">
        <v>0</v>
      </c>
      <c r="BS46" s="189">
        <v>0</v>
      </c>
      <c r="BT46" s="189">
        <v>0</v>
      </c>
      <c r="BU46" s="189">
        <v>0</v>
      </c>
      <c r="BV46" s="189">
        <v>0</v>
      </c>
      <c r="BW46" s="189">
        <v>0</v>
      </c>
      <c r="BX46" s="189">
        <v>0</v>
      </c>
      <c r="BY46" s="189">
        <v>0</v>
      </c>
      <c r="BZ46" s="189">
        <v>0</v>
      </c>
      <c r="CA46" s="189">
        <v>0</v>
      </c>
      <c r="CB46" s="189">
        <v>0</v>
      </c>
      <c r="CC46" s="189">
        <v>0</v>
      </c>
      <c r="CD46" s="189">
        <v>0</v>
      </c>
      <c r="CE46" s="189">
        <v>0</v>
      </c>
      <c r="CF46" s="189">
        <v>0</v>
      </c>
      <c r="CG46" s="189">
        <v>0</v>
      </c>
      <c r="CH46" s="189">
        <v>0</v>
      </c>
      <c r="CI46" s="189">
        <v>0</v>
      </c>
    </row>
    <row r="47" spans="1:87">
      <c r="A47" s="189" t="s">
        <v>151</v>
      </c>
      <c r="B47" s="189">
        <v>0</v>
      </c>
      <c r="C47" s="189">
        <v>5967850185.0299997</v>
      </c>
      <c r="D47" s="189">
        <v>5006987852.8500004</v>
      </c>
      <c r="E47" s="189">
        <v>3419770351.8600001</v>
      </c>
      <c r="F47" s="189">
        <v>3346794290.9299998</v>
      </c>
      <c r="G47" s="189">
        <v>2173879532.0300002</v>
      </c>
      <c r="H47" s="189">
        <v>1677149414.8399999</v>
      </c>
      <c r="I47" s="189">
        <v>2670552709.5599999</v>
      </c>
      <c r="J47" s="189">
        <v>2337204398.3800001</v>
      </c>
      <c r="K47" s="189">
        <v>1098199090</v>
      </c>
      <c r="L47" s="189">
        <v>1767977098.71</v>
      </c>
      <c r="M47" s="189">
        <v>2856799449</v>
      </c>
      <c r="N47" s="189">
        <v>2343993885.6199999</v>
      </c>
      <c r="O47" s="189">
        <v>2119485542</v>
      </c>
      <c r="P47" s="189">
        <v>2035970458.48</v>
      </c>
      <c r="Q47" s="189">
        <v>2256699982</v>
      </c>
      <c r="R47" s="189">
        <v>2719355074.21</v>
      </c>
      <c r="S47" s="189">
        <v>1002293283</v>
      </c>
      <c r="T47" s="189">
        <v>822595616.83000004</v>
      </c>
      <c r="U47" s="189">
        <v>1153987545</v>
      </c>
      <c r="V47" s="189">
        <v>754623856</v>
      </c>
      <c r="W47" s="189">
        <v>756365723</v>
      </c>
      <c r="X47" s="189">
        <v>749962900.96000004</v>
      </c>
      <c r="Y47" s="189">
        <v>752993751</v>
      </c>
      <c r="Z47" s="189">
        <v>818817548</v>
      </c>
      <c r="AA47" s="189">
        <v>859084002</v>
      </c>
      <c r="AB47" s="189">
        <v>705609823.28999996</v>
      </c>
      <c r="AC47" s="189">
        <v>744076714</v>
      </c>
      <c r="AD47" s="189">
        <v>662803966.92999995</v>
      </c>
      <c r="AE47" s="189">
        <v>605643583</v>
      </c>
      <c r="AF47" s="189">
        <v>801385267.21000004</v>
      </c>
      <c r="AG47" s="189">
        <v>782717494</v>
      </c>
      <c r="AH47" s="189">
        <v>710573443.44000006</v>
      </c>
      <c r="AI47" s="189">
        <v>648231139.22000003</v>
      </c>
      <c r="AJ47" s="189">
        <v>504044094.26999998</v>
      </c>
      <c r="AK47" s="189">
        <v>359701411.30000001</v>
      </c>
      <c r="AL47" s="189">
        <v>464373849.63999999</v>
      </c>
      <c r="AM47" s="189">
        <v>410521735.38999999</v>
      </c>
      <c r="AN47" s="189">
        <v>273126919.22000003</v>
      </c>
      <c r="AO47" s="189">
        <v>291349002.94999999</v>
      </c>
      <c r="AP47" s="189">
        <v>456762788.17000002</v>
      </c>
      <c r="AQ47" s="189">
        <v>408494111.51999998</v>
      </c>
      <c r="AR47" s="189">
        <v>356382092.56</v>
      </c>
      <c r="AS47" s="189">
        <v>309069944.73000002</v>
      </c>
      <c r="AT47" s="189">
        <v>248856449.25999999</v>
      </c>
      <c r="AU47" s="189">
        <v>285857394.88</v>
      </c>
      <c r="AV47" s="189">
        <v>201640024.56999999</v>
      </c>
      <c r="AW47" s="189">
        <v>225622573.36000001</v>
      </c>
      <c r="AX47" s="189">
        <v>186325458.03999999</v>
      </c>
      <c r="AY47" s="189">
        <v>201936730.93000001</v>
      </c>
      <c r="AZ47" s="189">
        <v>176066060.47</v>
      </c>
      <c r="BA47" s="189">
        <v>176396197.59999999</v>
      </c>
      <c r="BB47" s="189">
        <v>108473076.90000001</v>
      </c>
      <c r="BC47" s="189">
        <v>145484488.94</v>
      </c>
      <c r="BD47" s="189">
        <v>142608339.72999999</v>
      </c>
      <c r="BE47" s="189">
        <v>239595830.18000001</v>
      </c>
      <c r="BF47" s="189">
        <v>167809923.31999999</v>
      </c>
      <c r="BG47" s="189">
        <v>183546735.41</v>
      </c>
      <c r="BH47" s="189">
        <v>121677356.94</v>
      </c>
      <c r="BI47" s="189">
        <v>120790489.02</v>
      </c>
      <c r="BJ47" s="189">
        <v>100082819.73</v>
      </c>
      <c r="BK47" s="189">
        <v>68715053.939999998</v>
      </c>
      <c r="BL47" s="189">
        <v>63765196.549999997</v>
      </c>
      <c r="BM47" s="189">
        <v>72645769.150000006</v>
      </c>
      <c r="BN47" s="189">
        <v>47345126.030000001</v>
      </c>
      <c r="BO47" s="189">
        <v>61784999.899999999</v>
      </c>
      <c r="BP47" s="189">
        <v>38955893.509999998</v>
      </c>
      <c r="BQ47" s="189">
        <v>18160706.890000001</v>
      </c>
      <c r="BR47" s="189">
        <v>37174380.460000001</v>
      </c>
      <c r="BS47" s="189">
        <v>41967092.030000001</v>
      </c>
      <c r="BT47" s="189">
        <v>36006124.200000003</v>
      </c>
      <c r="BU47" s="189">
        <v>30502564.760000002</v>
      </c>
      <c r="BV47" s="189">
        <v>46477176.469999999</v>
      </c>
      <c r="BW47" s="189">
        <v>13119390.359999999</v>
      </c>
      <c r="BX47" s="189">
        <v>14473591.310000001</v>
      </c>
      <c r="BY47" s="189">
        <v>31336922.5</v>
      </c>
      <c r="BZ47" s="189">
        <v>0</v>
      </c>
      <c r="CA47" s="189">
        <v>11600680.970000001</v>
      </c>
      <c r="CB47" s="189">
        <v>0</v>
      </c>
      <c r="CC47" s="189">
        <v>13975601.189999999</v>
      </c>
      <c r="CD47" s="189">
        <v>0</v>
      </c>
      <c r="CE47" s="189">
        <v>16724990</v>
      </c>
      <c r="CF47" s="189">
        <v>7641643.4100000001</v>
      </c>
      <c r="CG47" s="189">
        <v>0</v>
      </c>
      <c r="CH47" s="189">
        <v>0</v>
      </c>
      <c r="CI47" s="189">
        <v>0</v>
      </c>
    </row>
    <row r="48" spans="1:87">
      <c r="A48" s="189" t="s">
        <v>152</v>
      </c>
      <c r="B48" s="189">
        <v>308919479.00999999</v>
      </c>
      <c r="C48" s="189">
        <v>310551487.74000001</v>
      </c>
      <c r="D48" s="189">
        <v>185250362.84</v>
      </c>
      <c r="E48" s="189">
        <v>135651416.66999999</v>
      </c>
      <c r="F48" s="189">
        <v>158271390.27000001</v>
      </c>
      <c r="G48" s="189">
        <v>136464884.25999999</v>
      </c>
      <c r="H48" s="189">
        <v>171850144.00999999</v>
      </c>
      <c r="I48" s="189">
        <v>143101095.78999999</v>
      </c>
      <c r="J48" s="189">
        <v>152104670.53999999</v>
      </c>
      <c r="K48" s="189">
        <v>137480836</v>
      </c>
      <c r="L48" s="189">
        <v>145400659.41</v>
      </c>
      <c r="M48" s="189">
        <v>123682399</v>
      </c>
      <c r="N48" s="189">
        <v>104111759.23999999</v>
      </c>
      <c r="O48" s="189">
        <v>102617681</v>
      </c>
      <c r="P48" s="189">
        <v>330239624.66000003</v>
      </c>
      <c r="Q48" s="189">
        <v>68099306</v>
      </c>
      <c r="R48" s="189">
        <v>113051490.41</v>
      </c>
      <c r="S48" s="189">
        <v>65616570</v>
      </c>
      <c r="T48" s="189">
        <v>74215698.390000001</v>
      </c>
      <c r="U48" s="189">
        <v>74572186</v>
      </c>
      <c r="V48" s="189">
        <v>73445528</v>
      </c>
      <c r="W48" s="189">
        <v>48244623</v>
      </c>
      <c r="X48" s="189">
        <v>34196158.439999998</v>
      </c>
      <c r="Y48" s="189">
        <v>36915914</v>
      </c>
      <c r="Z48" s="189">
        <v>57617924</v>
      </c>
      <c r="AA48" s="189">
        <v>38334328</v>
      </c>
      <c r="AB48" s="189">
        <v>52188166.460000001</v>
      </c>
      <c r="AC48" s="189">
        <v>42598477</v>
      </c>
      <c r="AD48" s="189">
        <v>99134030.969999999</v>
      </c>
      <c r="AE48" s="189">
        <v>70008290</v>
      </c>
      <c r="AF48" s="189">
        <v>121782379.45</v>
      </c>
      <c r="AG48" s="189">
        <v>86421083</v>
      </c>
      <c r="AH48" s="189">
        <v>59424556.030000001</v>
      </c>
      <c r="AI48" s="189">
        <v>69510777.170000002</v>
      </c>
      <c r="AJ48" s="189">
        <v>66655076.18</v>
      </c>
      <c r="AK48" s="189">
        <v>30166040.52</v>
      </c>
      <c r="AL48" s="189">
        <v>31404065.579999998</v>
      </c>
      <c r="AM48" s="189">
        <v>28389984.98</v>
      </c>
      <c r="AN48" s="189">
        <v>22338797.34</v>
      </c>
      <c r="AO48" s="189">
        <v>16806145.190000001</v>
      </c>
      <c r="AP48" s="189">
        <v>15592114.42</v>
      </c>
      <c r="AQ48" s="189">
        <v>10618144.050000001</v>
      </c>
      <c r="AR48" s="189">
        <v>9730421.3399999999</v>
      </c>
      <c r="AS48" s="189">
        <v>14240613.74</v>
      </c>
      <c r="AT48" s="189">
        <v>338202.77</v>
      </c>
      <c r="AU48" s="189">
        <v>30400.02</v>
      </c>
      <c r="AV48" s="189">
        <v>518708.01</v>
      </c>
      <c r="AW48" s="189">
        <v>30922.45</v>
      </c>
      <c r="AX48" s="189">
        <v>11787412.58</v>
      </c>
      <c r="AY48" s="189">
        <v>4433804.67</v>
      </c>
      <c r="AZ48" s="189">
        <v>185431.13</v>
      </c>
      <c r="BA48" s="189">
        <v>0</v>
      </c>
      <c r="BB48" s="189">
        <v>36500</v>
      </c>
      <c r="BC48" s="189">
        <v>0</v>
      </c>
      <c r="BD48" s="189">
        <v>0</v>
      </c>
      <c r="BE48" s="189">
        <v>0</v>
      </c>
      <c r="BF48" s="189">
        <v>0</v>
      </c>
      <c r="BG48" s="189">
        <v>0</v>
      </c>
      <c r="BH48" s="189">
        <v>0</v>
      </c>
      <c r="BI48" s="189">
        <v>0</v>
      </c>
      <c r="BJ48" s="189">
        <v>0</v>
      </c>
      <c r="BK48" s="189">
        <v>920861.08</v>
      </c>
      <c r="BL48" s="189">
        <v>920861.08</v>
      </c>
      <c r="BM48" s="189">
        <v>3944861.08</v>
      </c>
      <c r="BN48" s="189">
        <v>2494214.4900000002</v>
      </c>
      <c r="BO48" s="189">
        <v>2415859.58</v>
      </c>
      <c r="BP48" s="189">
        <v>1544859.58</v>
      </c>
      <c r="BQ48" s="189">
        <v>1578819.58</v>
      </c>
      <c r="BR48" s="189">
        <v>10791501.58</v>
      </c>
      <c r="BS48" s="189">
        <v>9656901.3200000003</v>
      </c>
      <c r="BT48" s="189">
        <v>3051977.58</v>
      </c>
      <c r="BU48" s="189">
        <v>573135.57999999996</v>
      </c>
      <c r="BV48" s="189">
        <v>4285135.58</v>
      </c>
      <c r="BW48" s="189">
        <v>5656456.1799999997</v>
      </c>
      <c r="BX48" s="189">
        <v>949331.08</v>
      </c>
      <c r="BY48" s="189">
        <v>858078.88</v>
      </c>
      <c r="BZ48" s="189">
        <v>0</v>
      </c>
      <c r="CA48" s="189">
        <v>681778.76</v>
      </c>
      <c r="CB48" s="189">
        <v>0</v>
      </c>
      <c r="CC48" s="189">
        <v>1410553.86</v>
      </c>
      <c r="CD48" s="189">
        <v>0</v>
      </c>
      <c r="CE48" s="189">
        <v>1386461.63</v>
      </c>
      <c r="CF48" s="189">
        <v>1270397.46</v>
      </c>
      <c r="CG48" s="189">
        <v>0</v>
      </c>
      <c r="CH48" s="189">
        <v>0</v>
      </c>
      <c r="CI48" s="189">
        <v>0</v>
      </c>
    </row>
    <row r="49" spans="1:87">
      <c r="A49" s="189" t="s">
        <v>153</v>
      </c>
      <c r="B49" s="189">
        <v>0</v>
      </c>
      <c r="C49" s="189">
        <v>0</v>
      </c>
      <c r="D49" s="189">
        <v>0</v>
      </c>
      <c r="E49" s="189">
        <v>0</v>
      </c>
      <c r="F49" s="189">
        <v>0</v>
      </c>
      <c r="G49" s="189">
        <v>0</v>
      </c>
      <c r="H49" s="189">
        <v>0</v>
      </c>
      <c r="I49" s="189">
        <v>0</v>
      </c>
      <c r="J49" s="189">
        <v>0</v>
      </c>
      <c r="K49" s="189">
        <v>0</v>
      </c>
      <c r="L49" s="189">
        <v>0</v>
      </c>
      <c r="M49" s="189">
        <v>0</v>
      </c>
      <c r="N49" s="189">
        <v>0</v>
      </c>
      <c r="O49" s="189">
        <v>0</v>
      </c>
      <c r="P49" s="189">
        <v>0</v>
      </c>
      <c r="Q49" s="189">
        <v>0</v>
      </c>
      <c r="R49" s="189">
        <v>0</v>
      </c>
      <c r="S49" s="189">
        <v>0</v>
      </c>
      <c r="T49" s="189">
        <v>0</v>
      </c>
      <c r="U49" s="189">
        <v>0</v>
      </c>
      <c r="V49" s="189">
        <v>0</v>
      </c>
      <c r="W49" s="189">
        <v>0</v>
      </c>
      <c r="X49" s="189">
        <v>0</v>
      </c>
      <c r="Y49" s="189">
        <v>0</v>
      </c>
      <c r="Z49" s="189">
        <v>0</v>
      </c>
      <c r="AA49" s="189">
        <v>0</v>
      </c>
      <c r="AB49" s="189">
        <v>0</v>
      </c>
      <c r="AC49" s="189">
        <v>0</v>
      </c>
      <c r="AD49" s="189">
        <v>0</v>
      </c>
      <c r="AE49" s="189">
        <v>0</v>
      </c>
      <c r="AF49" s="189">
        <v>0</v>
      </c>
      <c r="AG49" s="189">
        <v>0</v>
      </c>
      <c r="AH49" s="189">
        <v>0</v>
      </c>
      <c r="AI49" s="189">
        <v>0</v>
      </c>
      <c r="AJ49" s="189">
        <v>0</v>
      </c>
      <c r="AK49" s="189">
        <v>0</v>
      </c>
      <c r="AL49" s="189">
        <v>0</v>
      </c>
      <c r="AM49" s="189">
        <v>0</v>
      </c>
      <c r="AN49" s="189">
        <v>0</v>
      </c>
      <c r="AO49" s="189">
        <v>0</v>
      </c>
      <c r="AP49" s="189">
        <v>0</v>
      </c>
      <c r="AQ49" s="189">
        <v>0</v>
      </c>
      <c r="AR49" s="189">
        <v>0</v>
      </c>
      <c r="AS49" s="189">
        <v>0</v>
      </c>
      <c r="AT49" s="189">
        <v>0</v>
      </c>
      <c r="AU49" s="189">
        <v>0</v>
      </c>
      <c r="AV49" s="189">
        <v>0</v>
      </c>
      <c r="AW49" s="189">
        <v>0</v>
      </c>
      <c r="AX49" s="189">
        <v>0</v>
      </c>
      <c r="AY49" s="189">
        <v>0</v>
      </c>
      <c r="AZ49" s="189">
        <v>0</v>
      </c>
      <c r="BA49" s="189">
        <v>0</v>
      </c>
      <c r="BB49" s="189">
        <v>0</v>
      </c>
      <c r="BC49" s="189">
        <v>0</v>
      </c>
      <c r="BD49" s="189">
        <v>0</v>
      </c>
      <c r="BE49" s="189">
        <v>0</v>
      </c>
      <c r="BF49" s="189">
        <v>0</v>
      </c>
      <c r="BG49" s="189">
        <v>0</v>
      </c>
      <c r="BH49" s="189">
        <v>0</v>
      </c>
      <c r="BI49" s="189">
        <v>0</v>
      </c>
      <c r="BJ49" s="189">
        <v>0</v>
      </c>
      <c r="BK49" s="189">
        <v>0</v>
      </c>
      <c r="BL49" s="189">
        <v>0</v>
      </c>
      <c r="BM49" s="189">
        <v>0</v>
      </c>
      <c r="BN49" s="189">
        <v>0</v>
      </c>
      <c r="BO49" s="189">
        <v>0</v>
      </c>
      <c r="BP49" s="189">
        <v>0</v>
      </c>
      <c r="BQ49" s="189">
        <v>0</v>
      </c>
      <c r="BR49" s="189">
        <v>0</v>
      </c>
      <c r="BS49" s="189">
        <v>0</v>
      </c>
      <c r="BT49" s="189">
        <v>0</v>
      </c>
      <c r="BU49" s="189">
        <v>0</v>
      </c>
      <c r="BV49" s="189">
        <v>0</v>
      </c>
      <c r="BW49" s="189">
        <v>0</v>
      </c>
      <c r="BX49" s="189">
        <v>0</v>
      </c>
      <c r="BY49" s="189">
        <v>0</v>
      </c>
      <c r="BZ49" s="189">
        <v>0</v>
      </c>
      <c r="CA49" s="189">
        <v>0</v>
      </c>
      <c r="CB49" s="189">
        <v>0</v>
      </c>
      <c r="CC49" s="189">
        <v>0</v>
      </c>
      <c r="CD49" s="189">
        <v>0</v>
      </c>
      <c r="CE49" s="189">
        <v>0</v>
      </c>
      <c r="CF49" s="189">
        <v>0</v>
      </c>
      <c r="CG49" s="189">
        <v>0</v>
      </c>
      <c r="CH49" s="189">
        <v>0</v>
      </c>
      <c r="CI49" s="189">
        <v>0</v>
      </c>
    </row>
    <row r="50" spans="1:87">
      <c r="A50" s="189" t="s">
        <v>154</v>
      </c>
      <c r="B50" s="189">
        <v>468352863.52999997</v>
      </c>
      <c r="C50" s="189">
        <v>378142389.44</v>
      </c>
      <c r="D50" s="189">
        <v>407267430.63</v>
      </c>
      <c r="E50" s="189">
        <v>364369356.68000001</v>
      </c>
      <c r="F50" s="189">
        <v>214246032.15000001</v>
      </c>
      <c r="G50" s="189">
        <v>239126370.69</v>
      </c>
      <c r="H50" s="189">
        <v>226332743.53</v>
      </c>
      <c r="I50" s="189">
        <v>270552512.37</v>
      </c>
      <c r="J50" s="189">
        <v>204931426.40000001</v>
      </c>
      <c r="K50" s="189">
        <v>230516320</v>
      </c>
      <c r="L50" s="189">
        <v>224531085.63</v>
      </c>
      <c r="M50" s="189">
        <v>252039973</v>
      </c>
      <c r="N50" s="189">
        <v>219955342.52000001</v>
      </c>
      <c r="O50" s="189">
        <v>206508725</v>
      </c>
      <c r="P50" s="189">
        <v>217181242.19999999</v>
      </c>
      <c r="Q50" s="189">
        <v>243913924</v>
      </c>
      <c r="R50" s="189">
        <v>188925226.18000001</v>
      </c>
      <c r="S50" s="189">
        <v>97587650</v>
      </c>
      <c r="T50" s="189">
        <v>81644946.209999993</v>
      </c>
      <c r="U50" s="189">
        <v>107810070</v>
      </c>
      <c r="V50" s="189">
        <v>67057282</v>
      </c>
      <c r="W50" s="189">
        <v>71962304</v>
      </c>
      <c r="X50" s="189">
        <v>57264041.710000001</v>
      </c>
      <c r="Y50" s="189">
        <v>77845662</v>
      </c>
      <c r="Z50" s="189">
        <v>27319199</v>
      </c>
      <c r="AA50" s="189">
        <v>30780225</v>
      </c>
      <c r="AB50" s="189">
        <v>29819986.539999999</v>
      </c>
      <c r="AC50" s="189">
        <v>74754535</v>
      </c>
      <c r="AD50" s="189">
        <v>33144185.969999999</v>
      </c>
      <c r="AE50" s="189">
        <v>46842376</v>
      </c>
      <c r="AF50" s="189">
        <v>36877499.799999997</v>
      </c>
      <c r="AG50" s="189">
        <v>52479952</v>
      </c>
      <c r="AH50" s="189">
        <v>42588411.32</v>
      </c>
      <c r="AI50" s="189">
        <v>39308776.159999996</v>
      </c>
      <c r="AJ50" s="189">
        <v>35041901.530000001</v>
      </c>
      <c r="AK50" s="189">
        <v>55050502.890000001</v>
      </c>
      <c r="AL50" s="189">
        <v>32876859.75</v>
      </c>
      <c r="AM50" s="189">
        <v>29590916.879999999</v>
      </c>
      <c r="AN50" s="189">
        <v>27458622.530000001</v>
      </c>
      <c r="AO50" s="189">
        <v>36402282.609999999</v>
      </c>
      <c r="AP50" s="189">
        <v>37098323.799999997</v>
      </c>
      <c r="AQ50" s="189">
        <v>30912650.789999999</v>
      </c>
      <c r="AR50" s="189">
        <v>28813201.510000002</v>
      </c>
      <c r="AS50" s="189">
        <v>33859012.229999997</v>
      </c>
      <c r="AT50" s="189">
        <v>34654179.880000003</v>
      </c>
      <c r="AU50" s="189">
        <v>24273469.640000001</v>
      </c>
      <c r="AV50" s="189">
        <v>17442802.100000001</v>
      </c>
      <c r="AW50" s="189">
        <v>15307193.119999999</v>
      </c>
      <c r="AX50" s="189">
        <v>15242529.390000001</v>
      </c>
      <c r="AY50" s="189">
        <v>13420072.4</v>
      </c>
      <c r="AZ50" s="189">
        <v>10495767.449999999</v>
      </c>
      <c r="BA50" s="189">
        <v>10877262.779999999</v>
      </c>
      <c r="BB50" s="189">
        <v>10893236.49</v>
      </c>
      <c r="BC50" s="189">
        <v>11475763.27</v>
      </c>
      <c r="BD50" s="189">
        <v>5328390.8600000003</v>
      </c>
      <c r="BE50" s="189">
        <v>1417502.19</v>
      </c>
      <c r="BF50" s="189">
        <v>2176502.31</v>
      </c>
      <c r="BG50" s="189">
        <v>1097044.8899999999</v>
      </c>
      <c r="BH50" s="189">
        <v>758483.26</v>
      </c>
      <c r="BI50" s="189">
        <v>638232.81999999995</v>
      </c>
      <c r="BJ50" s="189">
        <v>897854.07</v>
      </c>
      <c r="BK50" s="189">
        <v>499563.14</v>
      </c>
      <c r="BL50" s="189">
        <v>945568.38</v>
      </c>
      <c r="BM50" s="189">
        <v>776268.91</v>
      </c>
      <c r="BN50" s="189">
        <v>508133.76</v>
      </c>
      <c r="BO50" s="189">
        <v>368294.48</v>
      </c>
      <c r="BP50" s="189">
        <v>500916.15</v>
      </c>
      <c r="BQ50" s="189">
        <v>385108.67</v>
      </c>
      <c r="BR50" s="189">
        <v>842756.68</v>
      </c>
      <c r="BS50" s="189">
        <v>1012184.27</v>
      </c>
      <c r="BT50" s="189">
        <v>1356692.24</v>
      </c>
      <c r="BU50" s="189">
        <v>2446697.87</v>
      </c>
      <c r="BV50" s="189">
        <v>1686036.59</v>
      </c>
      <c r="BW50" s="189">
        <v>1841683.35</v>
      </c>
      <c r="BX50" s="189">
        <v>1560678.51</v>
      </c>
      <c r="BY50" s="189">
        <v>3094187.89</v>
      </c>
      <c r="BZ50" s="189">
        <v>0</v>
      </c>
      <c r="CA50" s="189">
        <v>3149492.58</v>
      </c>
      <c r="CB50" s="189">
        <v>0</v>
      </c>
      <c r="CC50" s="189">
        <v>1431850.01</v>
      </c>
      <c r="CD50" s="189">
        <v>0</v>
      </c>
      <c r="CE50" s="189">
        <v>679779.65</v>
      </c>
      <c r="CF50" s="189">
        <v>-619516.34</v>
      </c>
      <c r="CG50" s="189">
        <v>0</v>
      </c>
      <c r="CH50" s="189">
        <v>0</v>
      </c>
      <c r="CI50" s="189">
        <v>0</v>
      </c>
    </row>
    <row r="51" spans="1:87">
      <c r="A51" s="189" t="s">
        <v>155</v>
      </c>
      <c r="B51" s="189">
        <v>74380207.299999997</v>
      </c>
      <c r="C51" s="189">
        <v>102645711.84</v>
      </c>
      <c r="D51" s="189">
        <v>296055504.19</v>
      </c>
      <c r="E51" s="189">
        <v>150821716.71000001</v>
      </c>
      <c r="F51" s="189">
        <v>192745905.09999999</v>
      </c>
      <c r="G51" s="189">
        <v>109861428.81999999</v>
      </c>
      <c r="H51" s="189">
        <v>59622488.219999999</v>
      </c>
      <c r="I51" s="189">
        <v>98119591.920000002</v>
      </c>
      <c r="J51" s="189">
        <v>52998738.630000003</v>
      </c>
      <c r="K51" s="189">
        <v>34743309</v>
      </c>
      <c r="L51" s="189">
        <v>52688579.5</v>
      </c>
      <c r="M51" s="189">
        <v>70637354</v>
      </c>
      <c r="N51" s="189">
        <v>47175896.729999997</v>
      </c>
      <c r="O51" s="189">
        <v>39791111</v>
      </c>
      <c r="P51" s="189">
        <v>48240822.57</v>
      </c>
      <c r="Q51" s="189">
        <v>60269276</v>
      </c>
      <c r="R51" s="189">
        <v>38442586.280000001</v>
      </c>
      <c r="S51" s="189">
        <v>17812224</v>
      </c>
      <c r="T51" s="189">
        <v>18348086.920000002</v>
      </c>
      <c r="U51" s="189">
        <v>22200489</v>
      </c>
      <c r="V51" s="189">
        <v>26687641</v>
      </c>
      <c r="W51" s="189">
        <v>11397880</v>
      </c>
      <c r="X51" s="189">
        <v>11042538.52</v>
      </c>
      <c r="Y51" s="189">
        <v>10368291</v>
      </c>
      <c r="Z51" s="189">
        <v>-248016230</v>
      </c>
      <c r="AA51" s="189">
        <v>-263800284</v>
      </c>
      <c r="AB51" s="189">
        <v>-221272120.78999999</v>
      </c>
      <c r="AC51" s="189">
        <v>-235909870</v>
      </c>
      <c r="AD51" s="189">
        <v>-210102266.53</v>
      </c>
      <c r="AE51" s="189">
        <v>-245696830</v>
      </c>
      <c r="AF51" s="189">
        <v>-253551955.09999999</v>
      </c>
      <c r="AG51" s="189">
        <v>-235053385</v>
      </c>
      <c r="AH51" s="189">
        <v>-257640216.43000001</v>
      </c>
      <c r="AI51" s="189">
        <v>-241272548.84999999</v>
      </c>
      <c r="AJ51" s="189">
        <v>-223214449.81</v>
      </c>
      <c r="AK51" s="189">
        <v>-154216252.31999999</v>
      </c>
      <c r="AL51" s="189">
        <v>-66649759.770000003</v>
      </c>
      <c r="AM51" s="189">
        <v>-47753586.5</v>
      </c>
      <c r="AN51" s="189">
        <v>-39328478.43</v>
      </c>
      <c r="AO51" s="189">
        <v>-34048597.270000003</v>
      </c>
      <c r="AP51" s="189">
        <v>-45344053.439999998</v>
      </c>
      <c r="AQ51" s="189">
        <v>-38070359.32</v>
      </c>
      <c r="AR51" s="189">
        <v>-36281841.640000001</v>
      </c>
      <c r="AS51" s="189">
        <v>-5973233.6900000004</v>
      </c>
      <c r="AT51" s="189">
        <v>-22383487.52</v>
      </c>
      <c r="AU51" s="189">
        <v>-23040796.940000001</v>
      </c>
      <c r="AV51" s="189">
        <v>-20556560.93</v>
      </c>
      <c r="AW51" s="189">
        <v>-9271293.9900000002</v>
      </c>
      <c r="AX51" s="189">
        <v>-4025063.35</v>
      </c>
      <c r="AY51" s="189">
        <v>3043395.29</v>
      </c>
      <c r="AZ51" s="189">
        <v>2551284.89</v>
      </c>
      <c r="BA51" s="189">
        <v>1112572.6200000001</v>
      </c>
      <c r="BB51" s="189">
        <v>2196976.06</v>
      </c>
      <c r="BC51" s="189">
        <v>6163218.0099999998</v>
      </c>
      <c r="BD51" s="189">
        <v>3172588.13</v>
      </c>
      <c r="BE51" s="189">
        <v>9309044.3699999992</v>
      </c>
      <c r="BF51" s="189">
        <v>-23765358.030000001</v>
      </c>
      <c r="BG51" s="189">
        <v>-14675218.82</v>
      </c>
      <c r="BH51" s="189">
        <v>5129728.8099999996</v>
      </c>
      <c r="BI51" s="189">
        <v>8166393.3600000003</v>
      </c>
      <c r="BJ51" s="189">
        <v>1788874.69</v>
      </c>
      <c r="BK51" s="189">
        <v>-1013240.58</v>
      </c>
      <c r="BL51" s="189">
        <v>839069.02</v>
      </c>
      <c r="BM51" s="189">
        <v>-3445743.63</v>
      </c>
      <c r="BN51" s="189">
        <v>-5989066.1500000004</v>
      </c>
      <c r="BO51" s="189">
        <v>-4990293.17</v>
      </c>
      <c r="BP51" s="189">
        <v>-4696216.03</v>
      </c>
      <c r="BQ51" s="189">
        <v>862266.77</v>
      </c>
      <c r="BR51" s="189">
        <v>296701.2</v>
      </c>
      <c r="BS51" s="189">
        <v>1270247.55</v>
      </c>
      <c r="BT51" s="189">
        <v>-2260452.5499999998</v>
      </c>
      <c r="BU51" s="189">
        <v>-5630402.46</v>
      </c>
      <c r="BV51" s="189">
        <v>-2453658.64</v>
      </c>
      <c r="BW51" s="189">
        <v>-3581182.17</v>
      </c>
      <c r="BX51" s="189">
        <v>-5990845.6900000004</v>
      </c>
      <c r="BY51" s="189">
        <v>-4635076.83</v>
      </c>
      <c r="BZ51" s="189">
        <v>0</v>
      </c>
      <c r="CA51" s="189">
        <v>-544326.85</v>
      </c>
      <c r="CB51" s="189">
        <v>0</v>
      </c>
      <c r="CC51" s="189">
        <v>-281233.24</v>
      </c>
      <c r="CD51" s="189">
        <v>0</v>
      </c>
      <c r="CE51" s="189">
        <v>3102420.99</v>
      </c>
      <c r="CF51" s="189">
        <v>1174464.07</v>
      </c>
      <c r="CG51" s="189">
        <v>0</v>
      </c>
      <c r="CH51" s="189">
        <v>0</v>
      </c>
      <c r="CI51" s="189">
        <v>0</v>
      </c>
    </row>
    <row r="52" spans="1:87">
      <c r="A52" s="189" t="s">
        <v>156</v>
      </c>
      <c r="B52" s="189">
        <v>0</v>
      </c>
      <c r="C52" s="189">
        <v>49891881.439999998</v>
      </c>
      <c r="D52" s="189">
        <v>48603383.560000002</v>
      </c>
      <c r="E52" s="189">
        <v>13694297.9</v>
      </c>
      <c r="F52" s="189">
        <v>1567736.1</v>
      </c>
      <c r="G52" s="189">
        <v>5598395.8300000001</v>
      </c>
      <c r="H52" s="189">
        <v>730957.64</v>
      </c>
      <c r="I52" s="189">
        <v>0</v>
      </c>
      <c r="J52" s="189">
        <v>184027.77</v>
      </c>
      <c r="K52" s="189">
        <v>0</v>
      </c>
      <c r="L52" s="189">
        <v>202430.57</v>
      </c>
      <c r="M52" s="189">
        <v>251315</v>
      </c>
      <c r="N52" s="189">
        <v>10017569.390000001</v>
      </c>
      <c r="O52" s="189">
        <v>8710226</v>
      </c>
      <c r="P52" s="189">
        <v>6719253.7699999996</v>
      </c>
      <c r="Q52" s="189">
        <v>4670777</v>
      </c>
      <c r="R52" s="189">
        <v>20851897.449999999</v>
      </c>
      <c r="S52" s="189">
        <v>8682769</v>
      </c>
      <c r="T52" s="189">
        <v>7335521.5</v>
      </c>
      <c r="U52" s="189">
        <v>5438591</v>
      </c>
      <c r="V52" s="189">
        <v>12007587</v>
      </c>
      <c r="W52" s="189">
        <v>9663911</v>
      </c>
      <c r="X52" s="189">
        <v>8136761.5</v>
      </c>
      <c r="Y52" s="189">
        <v>6042913</v>
      </c>
      <c r="Z52" s="189">
        <v>14904796</v>
      </c>
      <c r="AA52" s="189">
        <v>12841206</v>
      </c>
      <c r="AB52" s="189">
        <v>10707154.699999999</v>
      </c>
      <c r="AC52" s="189">
        <v>7462752</v>
      </c>
      <c r="AD52" s="189">
        <v>14128803.17</v>
      </c>
      <c r="AE52" s="189">
        <v>11760789</v>
      </c>
      <c r="AF52" s="189">
        <v>8416935.0500000007</v>
      </c>
      <c r="AG52" s="189">
        <v>6268610</v>
      </c>
      <c r="AH52" s="189">
        <v>8779095.6300000008</v>
      </c>
      <c r="AI52" s="189">
        <v>7119075.8700000001</v>
      </c>
      <c r="AJ52" s="189">
        <v>4449749.1399999997</v>
      </c>
      <c r="AK52" s="189">
        <v>4935182.5599999996</v>
      </c>
      <c r="AL52" s="189">
        <v>3206872.28</v>
      </c>
      <c r="AM52" s="189">
        <v>2940559.34</v>
      </c>
      <c r="AN52" s="189">
        <v>3697195.22</v>
      </c>
      <c r="AO52" s="189">
        <v>4474585.54</v>
      </c>
      <c r="AP52" s="189">
        <v>3550548.81</v>
      </c>
      <c r="AQ52" s="189">
        <v>2723249.8</v>
      </c>
      <c r="AR52" s="189">
        <v>3733625.79</v>
      </c>
      <c r="AS52" s="189">
        <v>2682598.94</v>
      </c>
      <c r="AT52" s="189">
        <v>0</v>
      </c>
      <c r="AU52" s="189">
        <v>0</v>
      </c>
      <c r="AV52" s="189">
        <v>0</v>
      </c>
      <c r="AW52" s="189">
        <v>0</v>
      </c>
      <c r="AX52" s="189">
        <v>0</v>
      </c>
      <c r="AY52" s="189">
        <v>0</v>
      </c>
      <c r="AZ52" s="189">
        <v>0</v>
      </c>
      <c r="BA52" s="189">
        <v>0</v>
      </c>
      <c r="BB52" s="189">
        <v>0</v>
      </c>
      <c r="BC52" s="189">
        <v>0</v>
      </c>
      <c r="BD52" s="189">
        <v>0</v>
      </c>
      <c r="BE52" s="189">
        <v>0</v>
      </c>
      <c r="BF52" s="189">
        <v>0</v>
      </c>
      <c r="BG52" s="189">
        <v>0</v>
      </c>
      <c r="BH52" s="189">
        <v>0</v>
      </c>
      <c r="BI52" s="189">
        <v>0</v>
      </c>
      <c r="BJ52" s="189">
        <v>0</v>
      </c>
      <c r="BK52" s="189">
        <v>0</v>
      </c>
      <c r="BL52" s="189">
        <v>0</v>
      </c>
      <c r="BM52" s="189">
        <v>0</v>
      </c>
      <c r="BN52" s="189">
        <v>0</v>
      </c>
      <c r="BO52" s="189">
        <v>0</v>
      </c>
      <c r="BP52" s="189">
        <v>0</v>
      </c>
      <c r="BQ52" s="189">
        <v>0</v>
      </c>
      <c r="BR52" s="189">
        <v>0</v>
      </c>
      <c r="BS52" s="189">
        <v>0</v>
      </c>
      <c r="BT52" s="189">
        <v>0</v>
      </c>
      <c r="BU52" s="189">
        <v>0</v>
      </c>
      <c r="BV52" s="189">
        <v>0</v>
      </c>
      <c r="BW52" s="189">
        <v>0</v>
      </c>
      <c r="BX52" s="189">
        <v>0</v>
      </c>
      <c r="BY52" s="189">
        <v>0</v>
      </c>
      <c r="BZ52" s="189">
        <v>0</v>
      </c>
      <c r="CA52" s="189">
        <v>0</v>
      </c>
      <c r="CB52" s="189">
        <v>0</v>
      </c>
      <c r="CC52" s="189">
        <v>0</v>
      </c>
      <c r="CD52" s="189">
        <v>0</v>
      </c>
      <c r="CE52" s="189">
        <v>0</v>
      </c>
      <c r="CF52" s="189">
        <v>0</v>
      </c>
      <c r="CG52" s="189">
        <v>0</v>
      </c>
      <c r="CH52" s="189">
        <v>0</v>
      </c>
      <c r="CI52" s="189">
        <v>0</v>
      </c>
    </row>
    <row r="53" spans="1:87">
      <c r="A53" s="189" t="s">
        <v>157</v>
      </c>
      <c r="B53" s="189">
        <v>0</v>
      </c>
      <c r="C53" s="189">
        <v>0</v>
      </c>
      <c r="D53" s="189">
        <v>143368613.56999999</v>
      </c>
      <c r="E53" s="189">
        <v>0</v>
      </c>
      <c r="F53" s="189">
        <v>0</v>
      </c>
      <c r="G53" s="189">
        <v>0</v>
      </c>
      <c r="H53" s="189">
        <v>0</v>
      </c>
      <c r="I53" s="189">
        <v>0</v>
      </c>
      <c r="J53" s="189">
        <v>0</v>
      </c>
      <c r="K53" s="189">
        <v>84065925</v>
      </c>
      <c r="L53" s="189">
        <v>0</v>
      </c>
      <c r="M53" s="189">
        <v>0</v>
      </c>
      <c r="N53" s="189">
        <v>0</v>
      </c>
      <c r="O53" s="189">
        <v>113173848</v>
      </c>
      <c r="P53" s="189">
        <v>0</v>
      </c>
      <c r="Q53" s="189">
        <v>0</v>
      </c>
      <c r="R53" s="189">
        <v>0</v>
      </c>
      <c r="S53" s="189">
        <v>57423750</v>
      </c>
      <c r="T53" s="189">
        <v>0</v>
      </c>
      <c r="U53" s="189">
        <v>0</v>
      </c>
      <c r="V53" s="189">
        <v>0</v>
      </c>
      <c r="W53" s="189">
        <v>24500000</v>
      </c>
      <c r="X53" s="189">
        <v>0</v>
      </c>
      <c r="Y53" s="189">
        <v>0</v>
      </c>
      <c r="Z53" s="189">
        <v>0</v>
      </c>
      <c r="AA53" s="189">
        <v>0</v>
      </c>
      <c r="AB53" s="189">
        <v>0</v>
      </c>
      <c r="AC53" s="189">
        <v>0</v>
      </c>
      <c r="AD53" s="189">
        <v>0</v>
      </c>
      <c r="AE53" s="189">
        <v>0</v>
      </c>
      <c r="AF53" s="189">
        <v>0</v>
      </c>
      <c r="AG53" s="189">
        <v>0</v>
      </c>
      <c r="AH53" s="189">
        <v>0</v>
      </c>
      <c r="AI53" s="189">
        <v>0</v>
      </c>
      <c r="AJ53" s="189">
        <v>0</v>
      </c>
      <c r="AK53" s="189">
        <v>0</v>
      </c>
      <c r="AL53" s="189">
        <v>0</v>
      </c>
      <c r="AM53" s="189">
        <v>0</v>
      </c>
      <c r="AN53" s="189">
        <v>0</v>
      </c>
      <c r="AO53" s="189">
        <v>0</v>
      </c>
      <c r="AP53" s="189">
        <v>0</v>
      </c>
      <c r="AQ53" s="189">
        <v>0</v>
      </c>
      <c r="AR53" s="189">
        <v>0</v>
      </c>
      <c r="AS53" s="189">
        <v>0</v>
      </c>
      <c r="AT53" s="189">
        <v>0</v>
      </c>
      <c r="AU53" s="189">
        <v>0</v>
      </c>
      <c r="AV53" s="189">
        <v>0</v>
      </c>
      <c r="AW53" s="189">
        <v>0</v>
      </c>
      <c r="AX53" s="189">
        <v>0</v>
      </c>
      <c r="AY53" s="189">
        <v>0</v>
      </c>
      <c r="AZ53" s="189">
        <v>0</v>
      </c>
      <c r="BA53" s="189">
        <v>0</v>
      </c>
      <c r="BB53" s="189">
        <v>0</v>
      </c>
      <c r="BC53" s="189">
        <v>0</v>
      </c>
      <c r="BD53" s="189">
        <v>0</v>
      </c>
      <c r="BE53" s="189">
        <v>0</v>
      </c>
      <c r="BF53" s="189">
        <v>0</v>
      </c>
      <c r="BG53" s="189">
        <v>0</v>
      </c>
      <c r="BH53" s="189">
        <v>0</v>
      </c>
      <c r="BI53" s="189">
        <v>0</v>
      </c>
      <c r="BJ53" s="189">
        <v>0</v>
      </c>
      <c r="BK53" s="189">
        <v>0</v>
      </c>
      <c r="BL53" s="189">
        <v>0</v>
      </c>
      <c r="BM53" s="189">
        <v>0</v>
      </c>
      <c r="BN53" s="189">
        <v>0</v>
      </c>
      <c r="BO53" s="189">
        <v>19928205.93</v>
      </c>
      <c r="BP53" s="189">
        <v>12705.93</v>
      </c>
      <c r="BQ53" s="189">
        <v>19928205.93</v>
      </c>
      <c r="BR53" s="189">
        <v>9348645.9600000009</v>
      </c>
      <c r="BS53" s="189">
        <v>23265970.920000002</v>
      </c>
      <c r="BT53" s="189">
        <v>11638970.92</v>
      </c>
      <c r="BU53" s="189">
        <v>11638970.92</v>
      </c>
      <c r="BV53" s="189">
        <v>22103270.920000002</v>
      </c>
      <c r="BW53" s="189">
        <v>22103270.920000002</v>
      </c>
      <c r="BX53" s="189">
        <v>18269927.219999999</v>
      </c>
      <c r="BY53" s="189">
        <v>37589039.909999996</v>
      </c>
      <c r="BZ53" s="189">
        <v>0</v>
      </c>
      <c r="CA53" s="189">
        <v>32033249.530000001</v>
      </c>
      <c r="CB53" s="189">
        <v>0</v>
      </c>
      <c r="CC53" s="189">
        <v>35205689.530000001</v>
      </c>
      <c r="CD53" s="189">
        <v>0</v>
      </c>
      <c r="CE53" s="189">
        <v>7191812.5700000003</v>
      </c>
      <c r="CF53" s="189">
        <v>0</v>
      </c>
      <c r="CG53" s="189">
        <v>0</v>
      </c>
      <c r="CH53" s="189">
        <v>0</v>
      </c>
      <c r="CI53" s="189">
        <v>0</v>
      </c>
    </row>
    <row r="54" spans="1:87">
      <c r="A54" s="189" t="s">
        <v>158</v>
      </c>
      <c r="B54" s="189">
        <v>3167302470.5</v>
      </c>
      <c r="C54" s="189">
        <v>3096505424.79</v>
      </c>
      <c r="D54" s="189">
        <v>3018477127.4699998</v>
      </c>
      <c r="E54" s="189">
        <v>840110400.02999997</v>
      </c>
      <c r="F54" s="189">
        <v>661914176.24000001</v>
      </c>
      <c r="G54" s="189">
        <v>605448686.23000002</v>
      </c>
      <c r="H54" s="189">
        <v>567161962.17999995</v>
      </c>
      <c r="I54" s="189">
        <v>541209831.04999995</v>
      </c>
      <c r="J54" s="189">
        <v>401715734.72000003</v>
      </c>
      <c r="K54" s="189">
        <v>530853784</v>
      </c>
      <c r="L54" s="189">
        <v>429171348.88999999</v>
      </c>
      <c r="M54" s="189">
        <v>343650431</v>
      </c>
      <c r="N54" s="189">
        <v>321448856.52999997</v>
      </c>
      <c r="O54" s="189">
        <v>325681012</v>
      </c>
      <c r="P54" s="189">
        <v>263817084.88999999</v>
      </c>
      <c r="Q54" s="189">
        <v>294047640</v>
      </c>
      <c r="R54" s="189">
        <v>377071909.24000001</v>
      </c>
      <c r="S54" s="189">
        <v>153206572</v>
      </c>
      <c r="T54" s="189">
        <v>119215007.48999999</v>
      </c>
      <c r="U54" s="189">
        <v>117893346</v>
      </c>
      <c r="V54" s="189">
        <v>157713898</v>
      </c>
      <c r="W54" s="189">
        <v>176185065</v>
      </c>
      <c r="X54" s="189">
        <v>169612210.36000001</v>
      </c>
      <c r="Y54" s="189">
        <v>172251895</v>
      </c>
      <c r="Z54" s="189">
        <v>197658612</v>
      </c>
      <c r="AA54" s="189">
        <v>202557584</v>
      </c>
      <c r="AB54" s="189">
        <v>277197172.29000002</v>
      </c>
      <c r="AC54" s="189">
        <v>327334892</v>
      </c>
      <c r="AD54" s="189">
        <v>331141194.88</v>
      </c>
      <c r="AE54" s="189">
        <v>341687563</v>
      </c>
      <c r="AF54" s="189">
        <v>276079117.23000002</v>
      </c>
      <c r="AG54" s="189">
        <v>454720263</v>
      </c>
      <c r="AH54" s="189">
        <v>153136550.43000001</v>
      </c>
      <c r="AI54" s="189">
        <v>140773892.34</v>
      </c>
      <c r="AJ54" s="189">
        <v>163371728.33000001</v>
      </c>
      <c r="AK54" s="189">
        <v>302665233.94</v>
      </c>
      <c r="AL54" s="189">
        <v>233084309.09999999</v>
      </c>
      <c r="AM54" s="189">
        <v>276692881.44</v>
      </c>
      <c r="AN54" s="189">
        <v>313269527.12</v>
      </c>
      <c r="AO54" s="189">
        <v>324349901.92000002</v>
      </c>
      <c r="AP54" s="189">
        <v>331291343.81</v>
      </c>
      <c r="AQ54" s="189">
        <v>235970617.90000001</v>
      </c>
      <c r="AR54" s="189">
        <v>42900021.619999997</v>
      </c>
      <c r="AS54" s="189">
        <v>55786424.060000002</v>
      </c>
      <c r="AT54" s="189">
        <v>75868680.170000002</v>
      </c>
      <c r="AU54" s="189">
        <v>41300474.689999998</v>
      </c>
      <c r="AV54" s="189">
        <v>21576542.41</v>
      </c>
      <c r="AW54" s="189">
        <v>15481057.560000001</v>
      </c>
      <c r="AX54" s="189">
        <v>12472302.01</v>
      </c>
      <c r="AY54" s="189">
        <v>12832369.32</v>
      </c>
      <c r="AZ54" s="189">
        <v>11767082.5</v>
      </c>
      <c r="BA54" s="189">
        <v>12552217.369999999</v>
      </c>
      <c r="BB54" s="189">
        <v>11740896</v>
      </c>
      <c r="BC54" s="189">
        <v>17949477.09</v>
      </c>
      <c r="BD54" s="189">
        <v>13277002.710000001</v>
      </c>
      <c r="BE54" s="189">
        <v>6403707.6699999999</v>
      </c>
      <c r="BF54" s="189">
        <v>19413196.66</v>
      </c>
      <c r="BG54" s="189">
        <v>22229968.399999999</v>
      </c>
      <c r="BH54" s="189">
        <v>23281006.460000001</v>
      </c>
      <c r="BI54" s="189">
        <v>3833441.49</v>
      </c>
      <c r="BJ54" s="189">
        <v>33635224.409999996</v>
      </c>
      <c r="BK54" s="189">
        <v>34351949.759999998</v>
      </c>
      <c r="BL54" s="189">
        <v>37419444.43</v>
      </c>
      <c r="BM54" s="189">
        <v>2873061.49</v>
      </c>
      <c r="BN54" s="189">
        <v>5317965.78</v>
      </c>
      <c r="BO54" s="189">
        <v>4104756.75</v>
      </c>
      <c r="BP54" s="189">
        <v>4124414.12</v>
      </c>
      <c r="BQ54" s="189">
        <v>11641053.869999999</v>
      </c>
      <c r="BR54" s="189">
        <v>4787912.03</v>
      </c>
      <c r="BS54" s="189">
        <v>10956138.9</v>
      </c>
      <c r="BT54" s="189">
        <v>10408067.26</v>
      </c>
      <c r="BU54" s="189">
        <v>4953327.55</v>
      </c>
      <c r="BV54" s="189">
        <v>2296936.9700000002</v>
      </c>
      <c r="BW54" s="189">
        <v>1581058.58</v>
      </c>
      <c r="BX54" s="189">
        <v>1544792.53</v>
      </c>
      <c r="BY54" s="189">
        <v>1258404.81</v>
      </c>
      <c r="BZ54" s="189">
        <v>0</v>
      </c>
      <c r="CA54" s="189">
        <v>14449151.310000001</v>
      </c>
      <c r="CB54" s="189">
        <v>0</v>
      </c>
      <c r="CC54" s="189">
        <v>14215909.67</v>
      </c>
      <c r="CD54" s="189">
        <v>0</v>
      </c>
      <c r="CE54" s="189">
        <v>3980810.7</v>
      </c>
      <c r="CF54" s="189">
        <v>11515482.310000001</v>
      </c>
      <c r="CG54" s="189">
        <v>0</v>
      </c>
      <c r="CH54" s="189">
        <v>0</v>
      </c>
      <c r="CI54" s="189">
        <v>0</v>
      </c>
    </row>
    <row r="55" spans="1:87">
      <c r="A55" s="189" t="s">
        <v>159</v>
      </c>
      <c r="B55" s="189">
        <v>0</v>
      </c>
      <c r="C55" s="189">
        <v>0</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v>0</v>
      </c>
      <c r="AO55" s="189">
        <v>0</v>
      </c>
      <c r="AP55" s="189">
        <v>0</v>
      </c>
      <c r="AQ55" s="189">
        <v>0</v>
      </c>
      <c r="AR55" s="189">
        <v>0</v>
      </c>
      <c r="AS55" s="189">
        <v>0</v>
      </c>
      <c r="AT55" s="189">
        <v>0</v>
      </c>
      <c r="AU55" s="189">
        <v>0</v>
      </c>
      <c r="AV55" s="189">
        <v>0</v>
      </c>
      <c r="AW55" s="189">
        <v>3818281.85</v>
      </c>
      <c r="AX55" s="189">
        <v>8084130.0300000003</v>
      </c>
      <c r="AY55" s="189">
        <v>4029694.83</v>
      </c>
      <c r="AZ55" s="189">
        <v>4258715.62</v>
      </c>
      <c r="BA55" s="189">
        <v>804321.9</v>
      </c>
      <c r="BB55" s="189">
        <v>189041.58</v>
      </c>
      <c r="BC55" s="189">
        <v>2172719.87</v>
      </c>
      <c r="BD55" s="189">
        <v>7278054.1900000004</v>
      </c>
      <c r="BE55" s="189">
        <v>6857620.4400000004</v>
      </c>
      <c r="BF55" s="189">
        <v>3278736.8</v>
      </c>
      <c r="BG55" s="189">
        <v>3796923.89</v>
      </c>
      <c r="BH55" s="189">
        <v>4065960</v>
      </c>
      <c r="BI55" s="189">
        <v>1838127.5</v>
      </c>
      <c r="BJ55" s="189">
        <v>8723800.7300000004</v>
      </c>
      <c r="BK55" s="189">
        <v>4558669.84</v>
      </c>
      <c r="BL55" s="189">
        <v>3527320.77</v>
      </c>
      <c r="BM55" s="189">
        <v>260136.34</v>
      </c>
      <c r="BN55" s="189">
        <v>1103901.1299999999</v>
      </c>
      <c r="BO55" s="189">
        <v>1103901.1299999999</v>
      </c>
      <c r="BP55" s="189">
        <v>441561.13</v>
      </c>
      <c r="BQ55" s="189">
        <v>1103901.1299999999</v>
      </c>
      <c r="BR55" s="189">
        <v>1504170.42</v>
      </c>
      <c r="BS55" s="189">
        <v>441560</v>
      </c>
      <c r="BT55" s="189">
        <v>750000</v>
      </c>
      <c r="BU55" s="189">
        <v>1200000</v>
      </c>
      <c r="BV55" s="189">
        <v>0</v>
      </c>
      <c r="BW55" s="189">
        <v>0</v>
      </c>
      <c r="BX55" s="189">
        <v>0</v>
      </c>
      <c r="BY55" s="189">
        <v>0</v>
      </c>
      <c r="BZ55" s="189">
        <v>0</v>
      </c>
      <c r="CA55" s="189">
        <v>2163161.2200000002</v>
      </c>
      <c r="CB55" s="189">
        <v>0</v>
      </c>
      <c r="CC55" s="189">
        <v>2216604.84</v>
      </c>
      <c r="CD55" s="189">
        <v>0</v>
      </c>
      <c r="CE55" s="189">
        <v>1757949.23</v>
      </c>
      <c r="CF55" s="189">
        <v>625116.69999999995</v>
      </c>
      <c r="CG55" s="189">
        <v>0</v>
      </c>
      <c r="CH55" s="189">
        <v>0</v>
      </c>
      <c r="CI55" s="189">
        <v>0</v>
      </c>
    </row>
    <row r="56" spans="1:87">
      <c r="A56" s="189" t="s">
        <v>160</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c r="BT56" s="189">
        <v>0</v>
      </c>
      <c r="BU56" s="189">
        <v>0</v>
      </c>
      <c r="BV56" s="189">
        <v>0</v>
      </c>
      <c r="BW56" s="189">
        <v>0</v>
      </c>
      <c r="BX56" s="189">
        <v>0</v>
      </c>
      <c r="BY56" s="189">
        <v>0</v>
      </c>
      <c r="BZ56" s="189">
        <v>0</v>
      </c>
      <c r="CA56" s="189">
        <v>0</v>
      </c>
      <c r="CB56" s="189">
        <v>0</v>
      </c>
      <c r="CC56" s="189">
        <v>0</v>
      </c>
      <c r="CD56" s="189">
        <v>0</v>
      </c>
      <c r="CE56" s="189">
        <v>0</v>
      </c>
      <c r="CF56" s="189">
        <v>0</v>
      </c>
      <c r="CG56" s="189">
        <v>0</v>
      </c>
      <c r="CH56" s="189">
        <v>0</v>
      </c>
      <c r="CI56" s="189">
        <v>0</v>
      </c>
    </row>
    <row r="57" spans="1:87">
      <c r="A57" s="189" t="s">
        <v>161</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c r="BT57" s="189">
        <v>0</v>
      </c>
      <c r="BU57" s="189">
        <v>0</v>
      </c>
      <c r="BV57" s="189">
        <v>0</v>
      </c>
      <c r="BW57" s="189">
        <v>0</v>
      </c>
      <c r="BX57" s="189">
        <v>0</v>
      </c>
      <c r="BY57" s="189">
        <v>0</v>
      </c>
      <c r="BZ57" s="189">
        <v>0</v>
      </c>
      <c r="CA57" s="189">
        <v>0</v>
      </c>
      <c r="CB57" s="189">
        <v>0</v>
      </c>
      <c r="CC57" s="189">
        <v>0</v>
      </c>
      <c r="CD57" s="189">
        <v>0</v>
      </c>
      <c r="CE57" s="189">
        <v>0</v>
      </c>
      <c r="CF57" s="189">
        <v>0</v>
      </c>
      <c r="CG57" s="189">
        <v>0</v>
      </c>
      <c r="CH57" s="189">
        <v>0</v>
      </c>
      <c r="CI57" s="189">
        <v>0</v>
      </c>
    </row>
    <row r="58" spans="1:87">
      <c r="A58" s="189" t="s">
        <v>162</v>
      </c>
      <c r="B58" s="189">
        <v>2157300000</v>
      </c>
      <c r="C58" s="189">
        <v>2257800000</v>
      </c>
      <c r="D58" s="189">
        <v>2007870904.6199999</v>
      </c>
      <c r="E58" s="189">
        <v>260036839.81999999</v>
      </c>
      <c r="F58" s="189">
        <v>20000000</v>
      </c>
      <c r="G58" s="189">
        <v>270000000</v>
      </c>
      <c r="H58" s="189">
        <v>268083901</v>
      </c>
      <c r="I58" s="189">
        <v>268592114</v>
      </c>
      <c r="J58" s="189">
        <v>461073670</v>
      </c>
      <c r="K58" s="189">
        <v>469528759</v>
      </c>
      <c r="L58" s="189">
        <v>492081410.07999998</v>
      </c>
      <c r="M58" s="189">
        <v>485911207</v>
      </c>
      <c r="N58" s="189">
        <v>239203971</v>
      </c>
      <c r="O58" s="189">
        <v>864842094</v>
      </c>
      <c r="P58" s="189">
        <v>785038061</v>
      </c>
      <c r="Q58" s="189">
        <v>933613806</v>
      </c>
      <c r="R58" s="189">
        <v>1046304878</v>
      </c>
      <c r="S58" s="189">
        <v>871923200</v>
      </c>
      <c r="T58" s="189">
        <v>601844450</v>
      </c>
      <c r="U58" s="189">
        <v>619257400</v>
      </c>
      <c r="V58" s="189">
        <v>641945300</v>
      </c>
      <c r="W58" s="189">
        <v>662977600</v>
      </c>
      <c r="X58" s="189">
        <v>867307200</v>
      </c>
      <c r="Y58" s="189">
        <v>668104000</v>
      </c>
      <c r="Z58" s="189">
        <v>670768000</v>
      </c>
      <c r="AA58" s="189">
        <v>669995200</v>
      </c>
      <c r="AB58" s="189">
        <v>668526400</v>
      </c>
      <c r="AC58" s="189">
        <v>668843200</v>
      </c>
      <c r="AD58" s="189">
        <v>517111700</v>
      </c>
      <c r="AE58" s="189">
        <v>520962800</v>
      </c>
      <c r="AF58" s="189">
        <v>366415200</v>
      </c>
      <c r="AG58" s="189">
        <v>367608600</v>
      </c>
      <c r="AH58" s="189">
        <v>369019800</v>
      </c>
      <c r="AI58" s="189">
        <v>370636200</v>
      </c>
      <c r="AJ58" s="189">
        <v>257828750</v>
      </c>
      <c r="AK58" s="189">
        <v>330051200</v>
      </c>
      <c r="AL58" s="189">
        <v>0</v>
      </c>
      <c r="AM58" s="189">
        <v>0</v>
      </c>
      <c r="AN58" s="189">
        <v>0</v>
      </c>
      <c r="AO58" s="189">
        <v>0</v>
      </c>
      <c r="AP58" s="189">
        <v>92000000</v>
      </c>
      <c r="AQ58" s="189">
        <v>150000000</v>
      </c>
      <c r="AR58" s="189">
        <v>150000000</v>
      </c>
      <c r="AS58" s="189">
        <v>150000000</v>
      </c>
      <c r="AT58" s="189">
        <v>0</v>
      </c>
      <c r="AU58" s="189">
        <v>10000000</v>
      </c>
      <c r="AV58" s="189">
        <v>30000000</v>
      </c>
      <c r="AW58" s="189">
        <v>30000000</v>
      </c>
      <c r="AX58" s="189">
        <v>0</v>
      </c>
      <c r="AY58" s="189">
        <v>0</v>
      </c>
      <c r="AZ58" s="189">
        <v>100000000</v>
      </c>
      <c r="BA58" s="189">
        <v>100000000</v>
      </c>
      <c r="BB58" s="189">
        <v>100000000</v>
      </c>
      <c r="BC58" s="189">
        <v>100000000</v>
      </c>
      <c r="BD58" s="189">
        <v>0</v>
      </c>
      <c r="BE58" s="189">
        <v>0</v>
      </c>
      <c r="BF58" s="189">
        <v>0</v>
      </c>
      <c r="BG58" s="189">
        <v>0</v>
      </c>
      <c r="BH58" s="189">
        <v>0</v>
      </c>
      <c r="BI58" s="189">
        <v>0</v>
      </c>
      <c r="BJ58" s="189">
        <v>0</v>
      </c>
      <c r="BK58" s="189">
        <v>0</v>
      </c>
      <c r="BL58" s="189">
        <v>0</v>
      </c>
      <c r="BM58" s="189">
        <v>0</v>
      </c>
      <c r="BN58" s="189">
        <v>0</v>
      </c>
      <c r="BO58" s="189">
        <v>0</v>
      </c>
      <c r="BP58" s="189">
        <v>0</v>
      </c>
      <c r="BQ58" s="189">
        <v>0</v>
      </c>
      <c r="BR58" s="189">
        <v>0</v>
      </c>
      <c r="BS58" s="189">
        <v>0</v>
      </c>
      <c r="BT58" s="189">
        <v>0</v>
      </c>
      <c r="BU58" s="189">
        <v>0</v>
      </c>
      <c r="BV58" s="189">
        <v>0</v>
      </c>
      <c r="BW58" s="189">
        <v>0</v>
      </c>
      <c r="BX58" s="189">
        <v>0</v>
      </c>
      <c r="BY58" s="189">
        <v>0</v>
      </c>
      <c r="BZ58" s="189">
        <v>0</v>
      </c>
      <c r="CA58" s="189">
        <v>0</v>
      </c>
      <c r="CB58" s="189">
        <v>0</v>
      </c>
      <c r="CC58" s="189">
        <v>0</v>
      </c>
      <c r="CD58" s="189">
        <v>0</v>
      </c>
      <c r="CE58" s="189">
        <v>1366072.29</v>
      </c>
      <c r="CF58" s="189">
        <v>4433512.0599999996</v>
      </c>
      <c r="CG58" s="189">
        <v>0</v>
      </c>
      <c r="CH58" s="189">
        <v>0</v>
      </c>
      <c r="CI58" s="189">
        <v>0</v>
      </c>
    </row>
    <row r="59" spans="1:87">
      <c r="A59" s="189" t="s">
        <v>163</v>
      </c>
      <c r="B59" s="189">
        <v>647765297.58000004</v>
      </c>
      <c r="C59" s="189">
        <v>788529587.30999994</v>
      </c>
      <c r="D59" s="189">
        <v>363317429.73000002</v>
      </c>
      <c r="E59" s="189">
        <v>451901768.47000003</v>
      </c>
      <c r="F59" s="189">
        <v>0</v>
      </c>
      <c r="G59" s="189">
        <v>0</v>
      </c>
      <c r="H59" s="189">
        <v>0</v>
      </c>
      <c r="I59" s="189">
        <v>0</v>
      </c>
      <c r="J59" s="189">
        <v>0</v>
      </c>
      <c r="K59" s="189">
        <v>0</v>
      </c>
      <c r="L59" s="189">
        <v>0</v>
      </c>
      <c r="M59" s="189">
        <v>0</v>
      </c>
      <c r="N59" s="189">
        <v>0</v>
      </c>
      <c r="O59" s="189">
        <v>0</v>
      </c>
      <c r="P59" s="189">
        <v>0</v>
      </c>
      <c r="Q59" s="189">
        <v>0</v>
      </c>
      <c r="R59" s="189">
        <v>0</v>
      </c>
      <c r="S59" s="189">
        <v>0</v>
      </c>
      <c r="T59" s="189">
        <v>0</v>
      </c>
      <c r="U59" s="189">
        <v>0</v>
      </c>
      <c r="V59" s="189">
        <v>0</v>
      </c>
      <c r="W59" s="189">
        <v>0</v>
      </c>
      <c r="X59" s="189">
        <v>0</v>
      </c>
      <c r="Y59" s="189">
        <v>0</v>
      </c>
      <c r="Z59" s="189">
        <v>0</v>
      </c>
      <c r="AA59" s="189">
        <v>0</v>
      </c>
      <c r="AB59" s="189">
        <v>0</v>
      </c>
      <c r="AC59" s="189">
        <v>0</v>
      </c>
      <c r="AD59" s="189">
        <v>0</v>
      </c>
      <c r="AE59" s="189">
        <v>0</v>
      </c>
      <c r="AF59" s="189">
        <v>0</v>
      </c>
      <c r="AG59" s="189">
        <v>0</v>
      </c>
      <c r="AH59" s="189">
        <v>0</v>
      </c>
      <c r="AI59" s="189">
        <v>0</v>
      </c>
      <c r="AJ59" s="189">
        <v>0</v>
      </c>
      <c r="AK59" s="189">
        <v>0</v>
      </c>
      <c r="AL59" s="189">
        <v>0</v>
      </c>
      <c r="AM59" s="189">
        <v>0</v>
      </c>
      <c r="AN59" s="189">
        <v>0</v>
      </c>
      <c r="AO59" s="189">
        <v>0</v>
      </c>
      <c r="AP59" s="189">
        <v>0</v>
      </c>
      <c r="AQ59" s="189">
        <v>0</v>
      </c>
      <c r="AR59" s="189">
        <v>0</v>
      </c>
      <c r="AS59" s="189">
        <v>0</v>
      </c>
      <c r="AT59" s="189">
        <v>0</v>
      </c>
      <c r="AU59" s="189">
        <v>0</v>
      </c>
      <c r="AV59" s="189">
        <v>0</v>
      </c>
      <c r="AW59" s="189">
        <v>0</v>
      </c>
      <c r="AX59" s="189">
        <v>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0</v>
      </c>
      <c r="BO59" s="189">
        <v>0</v>
      </c>
      <c r="BP59" s="189">
        <v>0</v>
      </c>
      <c r="BQ59" s="189">
        <v>0</v>
      </c>
      <c r="BR59" s="189">
        <v>0</v>
      </c>
      <c r="BS59" s="189">
        <v>0</v>
      </c>
      <c r="BT59" s="189">
        <v>0</v>
      </c>
      <c r="BU59" s="189">
        <v>0</v>
      </c>
      <c r="BV59" s="189">
        <v>0</v>
      </c>
      <c r="BW59" s="189">
        <v>0</v>
      </c>
      <c r="BX59" s="189">
        <v>0</v>
      </c>
      <c r="BY59" s="189">
        <v>0</v>
      </c>
      <c r="BZ59" s="189">
        <v>0</v>
      </c>
      <c r="CA59" s="189">
        <v>0</v>
      </c>
      <c r="CB59" s="189">
        <v>0</v>
      </c>
      <c r="CC59" s="189">
        <v>0</v>
      </c>
      <c r="CD59" s="189">
        <v>0</v>
      </c>
      <c r="CE59" s="189">
        <v>0</v>
      </c>
      <c r="CF59" s="189">
        <v>212304.41</v>
      </c>
      <c r="CG59" s="189">
        <v>0</v>
      </c>
      <c r="CH59" s="189">
        <v>0</v>
      </c>
      <c r="CI59" s="189">
        <v>0</v>
      </c>
    </row>
    <row r="60" spans="1:87">
      <c r="A60" s="189" t="s">
        <v>164</v>
      </c>
      <c r="B60" s="189">
        <v>19617260237.07</v>
      </c>
      <c r="C60" s="189">
        <v>19611435423</v>
      </c>
      <c r="D60" s="189">
        <v>20568101606.200001</v>
      </c>
      <c r="E60" s="189">
        <v>10199033475.040001</v>
      </c>
      <c r="F60" s="189">
        <v>9090242227.1700001</v>
      </c>
      <c r="G60" s="189">
        <v>7027263394.1899996</v>
      </c>
      <c r="H60" s="189">
        <v>5652947691.9899998</v>
      </c>
      <c r="I60" s="189">
        <v>5403690965.6300001</v>
      </c>
      <c r="J60" s="189">
        <v>5001860085</v>
      </c>
      <c r="K60" s="189">
        <v>3720490020</v>
      </c>
      <c r="L60" s="189">
        <v>4360403438.0299997</v>
      </c>
      <c r="M60" s="189">
        <v>6125072971</v>
      </c>
      <c r="N60" s="189">
        <v>4530708727.7600002</v>
      </c>
      <c r="O60" s="189">
        <v>5077580974</v>
      </c>
      <c r="P60" s="189">
        <v>4694704399.2200003</v>
      </c>
      <c r="Q60" s="189">
        <v>4775039253</v>
      </c>
      <c r="R60" s="189">
        <v>6089933876.8199997</v>
      </c>
      <c r="S60" s="189">
        <v>2959611398</v>
      </c>
      <c r="T60" s="189">
        <v>2500212417.0999999</v>
      </c>
      <c r="U60" s="189">
        <v>2853269916</v>
      </c>
      <c r="V60" s="189">
        <v>2549604663</v>
      </c>
      <c r="W60" s="189">
        <v>2401687580</v>
      </c>
      <c r="X60" s="189">
        <v>2844495881.1500001</v>
      </c>
      <c r="Y60" s="189">
        <v>2536634002</v>
      </c>
      <c r="Z60" s="189">
        <v>2539986489</v>
      </c>
      <c r="AA60" s="189">
        <v>2496623215</v>
      </c>
      <c r="AB60" s="189">
        <v>2111760602.26</v>
      </c>
      <c r="AC60" s="189">
        <v>2187900773</v>
      </c>
      <c r="AD60" s="189">
        <v>2030829076.78</v>
      </c>
      <c r="AE60" s="189">
        <v>2184002794</v>
      </c>
      <c r="AF60" s="189">
        <v>2128974142.8800001</v>
      </c>
      <c r="AG60" s="189">
        <v>2178479270</v>
      </c>
      <c r="AH60" s="189">
        <v>1902880847.4300001</v>
      </c>
      <c r="AI60" s="189">
        <v>1875859142.95</v>
      </c>
      <c r="AJ60" s="189">
        <v>1782396070.1800001</v>
      </c>
      <c r="AK60" s="189">
        <v>1673296528.6300001</v>
      </c>
      <c r="AL60" s="189">
        <v>1323408105.79</v>
      </c>
      <c r="AM60" s="189">
        <v>1296282427.55</v>
      </c>
      <c r="AN60" s="189">
        <v>924227693.86000001</v>
      </c>
      <c r="AO60" s="189">
        <v>903622848.09000003</v>
      </c>
      <c r="AP60" s="189">
        <v>1111327640.4400001</v>
      </c>
      <c r="AQ60" s="189">
        <v>936287887.38</v>
      </c>
      <c r="AR60" s="189">
        <v>748620908.88999999</v>
      </c>
      <c r="AS60" s="189">
        <v>661908272.50999999</v>
      </c>
      <c r="AT60" s="189">
        <v>480628182.16000003</v>
      </c>
      <c r="AU60" s="189">
        <v>786458068.27999997</v>
      </c>
      <c r="AV60" s="189">
        <v>690350849.03999996</v>
      </c>
      <c r="AW60" s="189">
        <v>669049179.80999994</v>
      </c>
      <c r="AX60" s="189">
        <v>582917838.55999994</v>
      </c>
      <c r="AY60" s="189">
        <v>604372631.61000001</v>
      </c>
      <c r="AZ60" s="189">
        <v>520245411.31999999</v>
      </c>
      <c r="BA60" s="189">
        <v>468917320.74000001</v>
      </c>
      <c r="BB60" s="189">
        <v>559185089.13</v>
      </c>
      <c r="BC60" s="189">
        <v>640692285.38</v>
      </c>
      <c r="BD60" s="189">
        <v>534109392.81</v>
      </c>
      <c r="BE60" s="189">
        <v>652681747.00999999</v>
      </c>
      <c r="BF60" s="189">
        <v>559623022.27999997</v>
      </c>
      <c r="BG60" s="189">
        <v>587032372.19000006</v>
      </c>
      <c r="BH60" s="189">
        <v>532170032.22000003</v>
      </c>
      <c r="BI60" s="189">
        <v>457693884.19</v>
      </c>
      <c r="BJ60" s="189">
        <v>443869480.10000002</v>
      </c>
      <c r="BK60" s="189">
        <v>430855057.18000001</v>
      </c>
      <c r="BL60" s="189">
        <v>422171136.48000002</v>
      </c>
      <c r="BM60" s="189">
        <v>361751453.33999997</v>
      </c>
      <c r="BN60" s="189">
        <v>324976744.41000003</v>
      </c>
      <c r="BO60" s="189">
        <v>260303639.38999999</v>
      </c>
      <c r="BP60" s="189">
        <v>166479357.08000001</v>
      </c>
      <c r="BQ60" s="189">
        <v>159932285.31999999</v>
      </c>
      <c r="BR60" s="189">
        <v>205103951.87</v>
      </c>
      <c r="BS60" s="189">
        <v>261120837.28</v>
      </c>
      <c r="BT60" s="189">
        <v>212049200.78999999</v>
      </c>
      <c r="BU60" s="189">
        <v>181826527.90000001</v>
      </c>
      <c r="BV60" s="189">
        <v>193449517.91999999</v>
      </c>
      <c r="BW60" s="189">
        <v>135832019.02000001</v>
      </c>
      <c r="BX60" s="189">
        <v>141517726.55000001</v>
      </c>
      <c r="BY60" s="189">
        <v>200289407.47999999</v>
      </c>
      <c r="BZ60" s="189">
        <v>133667087.34999999</v>
      </c>
      <c r="CA60" s="189">
        <v>200105830.31999999</v>
      </c>
      <c r="CB60" s="189">
        <v>182560000</v>
      </c>
      <c r="CC60" s="189">
        <v>220458505.91</v>
      </c>
      <c r="CD60" s="189">
        <v>165700000</v>
      </c>
      <c r="CE60" s="189">
        <v>178077896.13</v>
      </c>
      <c r="CF60" s="189">
        <v>153058128.96000001</v>
      </c>
      <c r="CG60" s="189">
        <v>101451600</v>
      </c>
      <c r="CH60" s="189">
        <v>35957100</v>
      </c>
      <c r="CI60" s="189">
        <v>0</v>
      </c>
    </row>
    <row r="61" spans="1:87">
      <c r="A61" s="189" t="s">
        <v>165</v>
      </c>
    </row>
    <row r="62" spans="1:87">
      <c r="A62" s="189" t="s">
        <v>166</v>
      </c>
      <c r="B62" s="189">
        <v>11521550000</v>
      </c>
      <c r="C62" s="189">
        <v>10904650000</v>
      </c>
      <c r="D62" s="189">
        <v>10197250000</v>
      </c>
      <c r="E62" s="189">
        <v>3730000000</v>
      </c>
      <c r="F62" s="189">
        <v>1980000000</v>
      </c>
      <c r="G62" s="189">
        <v>1980000000</v>
      </c>
      <c r="H62" s="189">
        <v>1980000000</v>
      </c>
      <c r="I62" s="189">
        <v>1290000000</v>
      </c>
      <c r="J62" s="189">
        <v>1550000000</v>
      </c>
      <c r="K62" s="189">
        <v>1300000000</v>
      </c>
      <c r="L62" s="189">
        <v>1314000000</v>
      </c>
      <c r="M62" s="189">
        <v>900000000</v>
      </c>
      <c r="N62" s="189">
        <v>2680000000</v>
      </c>
      <c r="O62" s="189">
        <v>2680000000</v>
      </c>
      <c r="P62" s="189">
        <v>2456683400</v>
      </c>
      <c r="Q62" s="189">
        <v>1105593000</v>
      </c>
      <c r="R62" s="189">
        <v>2868475000</v>
      </c>
      <c r="S62" s="189">
        <v>868473600</v>
      </c>
      <c r="T62" s="189">
        <v>1379544100</v>
      </c>
      <c r="U62" s="189">
        <v>1444739600</v>
      </c>
      <c r="V62" s="189">
        <v>1669680700</v>
      </c>
      <c r="W62" s="189">
        <v>1743142200</v>
      </c>
      <c r="X62" s="189">
        <v>1506046950</v>
      </c>
      <c r="Y62" s="189">
        <v>1798515000</v>
      </c>
      <c r="Z62" s="189">
        <v>2050479500</v>
      </c>
      <c r="AA62" s="189">
        <v>2138634600</v>
      </c>
      <c r="AB62" s="189">
        <v>2377761050</v>
      </c>
      <c r="AC62" s="189">
        <v>2469360200</v>
      </c>
      <c r="AD62" s="189">
        <v>2723992750</v>
      </c>
      <c r="AE62" s="189">
        <v>2838263200</v>
      </c>
      <c r="AF62" s="189">
        <v>2755358840</v>
      </c>
      <c r="AG62" s="189">
        <v>2859732020</v>
      </c>
      <c r="AH62" s="189">
        <v>2967086810</v>
      </c>
      <c r="AI62" s="189">
        <v>3077445440</v>
      </c>
      <c r="AJ62" s="189">
        <v>2595721150</v>
      </c>
      <c r="AK62" s="189">
        <v>2483476000</v>
      </c>
      <c r="AL62" s="189">
        <v>2348787100</v>
      </c>
      <c r="AM62" s="189">
        <v>2242282730</v>
      </c>
      <c r="AN62" s="189">
        <v>2063590000</v>
      </c>
      <c r="AO62" s="189">
        <v>2063460000</v>
      </c>
      <c r="AP62" s="189">
        <v>2061830000</v>
      </c>
      <c r="AQ62" s="189">
        <v>2065910000</v>
      </c>
      <c r="AR62" s="189">
        <v>1971348000</v>
      </c>
      <c r="AS62" s="189">
        <v>1694577200</v>
      </c>
      <c r="AT62" s="189">
        <v>1911485600</v>
      </c>
      <c r="AU62" s="189">
        <v>1402930000</v>
      </c>
      <c r="AV62" s="189">
        <v>10000000</v>
      </c>
      <c r="AW62" s="189">
        <v>10000000</v>
      </c>
      <c r="AX62" s="189">
        <v>80000000</v>
      </c>
      <c r="AY62" s="189">
        <v>80000000</v>
      </c>
      <c r="AZ62" s="189">
        <v>80000000</v>
      </c>
      <c r="BA62" s="189">
        <v>70000000</v>
      </c>
      <c r="BB62" s="189">
        <v>0</v>
      </c>
      <c r="BC62" s="189">
        <v>0</v>
      </c>
      <c r="BD62" s="189">
        <v>100000000</v>
      </c>
      <c r="BE62" s="189">
        <v>100000000</v>
      </c>
      <c r="BF62" s="189">
        <v>0</v>
      </c>
      <c r="BG62" s="189">
        <v>0</v>
      </c>
      <c r="BH62" s="189">
        <v>0</v>
      </c>
      <c r="BI62" s="189">
        <v>0</v>
      </c>
      <c r="BJ62" s="189">
        <v>0</v>
      </c>
      <c r="BK62" s="189">
        <v>0</v>
      </c>
      <c r="BL62" s="189">
        <v>0</v>
      </c>
      <c r="BM62" s="189">
        <v>0</v>
      </c>
      <c r="BN62" s="189">
        <v>0</v>
      </c>
      <c r="BO62" s="189">
        <v>0</v>
      </c>
      <c r="BP62" s="189">
        <v>0</v>
      </c>
      <c r="BQ62" s="189">
        <v>0</v>
      </c>
      <c r="BR62" s="189">
        <v>0</v>
      </c>
      <c r="BS62" s="189">
        <v>0</v>
      </c>
      <c r="BT62" s="189">
        <v>0</v>
      </c>
      <c r="BU62" s="189">
        <v>0</v>
      </c>
      <c r="BV62" s="189">
        <v>0</v>
      </c>
      <c r="BW62" s="189">
        <v>0</v>
      </c>
      <c r="BX62" s="189">
        <v>20000000</v>
      </c>
      <c r="BY62" s="189">
        <v>20000000</v>
      </c>
      <c r="BZ62" s="189">
        <v>0</v>
      </c>
      <c r="CA62" s="189">
        <v>20000000</v>
      </c>
      <c r="CB62" s="189">
        <v>0</v>
      </c>
      <c r="CC62" s="189">
        <v>0</v>
      </c>
      <c r="CD62" s="189">
        <v>0</v>
      </c>
      <c r="CE62" s="189">
        <v>0</v>
      </c>
      <c r="CF62" s="189">
        <v>26974172.73</v>
      </c>
      <c r="CG62" s="189">
        <v>0</v>
      </c>
      <c r="CH62" s="189">
        <v>0</v>
      </c>
      <c r="CI62" s="189">
        <v>0</v>
      </c>
    </row>
    <row r="63" spans="1:87">
      <c r="A63" s="189" t="s">
        <v>167</v>
      </c>
      <c r="B63" s="189">
        <v>0</v>
      </c>
      <c r="C63" s="189">
        <v>0</v>
      </c>
      <c r="D63" s="189">
        <v>0</v>
      </c>
      <c r="E63" s="189">
        <v>0</v>
      </c>
      <c r="F63" s="189">
        <v>0</v>
      </c>
      <c r="G63" s="189">
        <v>0</v>
      </c>
      <c r="H63" s="189">
        <v>0</v>
      </c>
      <c r="I63" s="189">
        <v>0</v>
      </c>
      <c r="J63" s="189">
        <v>0</v>
      </c>
      <c r="K63" s="189">
        <v>0</v>
      </c>
      <c r="L63" s="189">
        <v>0</v>
      </c>
      <c r="M63" s="189">
        <v>0</v>
      </c>
      <c r="N63" s="189">
        <v>0</v>
      </c>
      <c r="O63" s="189">
        <v>0</v>
      </c>
      <c r="P63" s="189">
        <v>0</v>
      </c>
      <c r="Q63" s="189">
        <v>0</v>
      </c>
      <c r="R63" s="189">
        <v>0</v>
      </c>
      <c r="S63" s="189">
        <v>0</v>
      </c>
      <c r="T63" s="189">
        <v>0</v>
      </c>
      <c r="U63" s="189">
        <v>0</v>
      </c>
      <c r="V63" s="189">
        <v>0</v>
      </c>
      <c r="W63" s="189">
        <v>0</v>
      </c>
      <c r="X63" s="189">
        <v>0</v>
      </c>
      <c r="Y63" s="189">
        <v>0</v>
      </c>
      <c r="Z63" s="189">
        <v>0</v>
      </c>
      <c r="AA63" s="189">
        <v>0</v>
      </c>
      <c r="AB63" s="189">
        <v>0</v>
      </c>
      <c r="AC63" s="189">
        <v>0</v>
      </c>
      <c r="AD63" s="189">
        <v>0</v>
      </c>
      <c r="AE63" s="189">
        <v>0</v>
      </c>
      <c r="AF63" s="189">
        <v>0</v>
      </c>
      <c r="AG63" s="189">
        <v>0</v>
      </c>
      <c r="AH63" s="189">
        <v>0</v>
      </c>
      <c r="AI63" s="189">
        <v>0</v>
      </c>
      <c r="AJ63" s="189">
        <v>0</v>
      </c>
      <c r="AK63" s="189">
        <v>0</v>
      </c>
      <c r="AL63" s="189">
        <v>0</v>
      </c>
      <c r="AM63" s="189">
        <v>0</v>
      </c>
      <c r="AN63" s="189">
        <v>0</v>
      </c>
      <c r="AO63" s="189">
        <v>0</v>
      </c>
      <c r="AP63" s="189">
        <v>0</v>
      </c>
      <c r="AQ63" s="189">
        <v>0</v>
      </c>
      <c r="AR63" s="189">
        <v>0</v>
      </c>
      <c r="AS63" s="189">
        <v>0</v>
      </c>
      <c r="AT63" s="189">
        <v>0</v>
      </c>
      <c r="AU63" s="189">
        <v>0</v>
      </c>
      <c r="AV63" s="189">
        <v>0</v>
      </c>
      <c r="AW63" s="189">
        <v>0</v>
      </c>
      <c r="AX63" s="189">
        <v>0</v>
      </c>
      <c r="AY63" s="189">
        <v>0</v>
      </c>
      <c r="AZ63" s="189">
        <v>0</v>
      </c>
      <c r="BA63" s="189">
        <v>0</v>
      </c>
      <c r="BB63" s="189">
        <v>0</v>
      </c>
      <c r="BC63" s="189">
        <v>0</v>
      </c>
      <c r="BD63" s="189">
        <v>0</v>
      </c>
      <c r="BE63" s="189">
        <v>0</v>
      </c>
      <c r="BF63" s="189">
        <v>0</v>
      </c>
      <c r="BG63" s="189">
        <v>0</v>
      </c>
      <c r="BH63" s="189">
        <v>0</v>
      </c>
      <c r="BI63" s="189">
        <v>0</v>
      </c>
      <c r="BJ63" s="189">
        <v>0</v>
      </c>
      <c r="BK63" s="189">
        <v>0</v>
      </c>
      <c r="BL63" s="189">
        <v>0</v>
      </c>
      <c r="BM63" s="189">
        <v>0</v>
      </c>
      <c r="BN63" s="189">
        <v>0</v>
      </c>
      <c r="BO63" s="189">
        <v>0</v>
      </c>
      <c r="BP63" s="189">
        <v>0</v>
      </c>
      <c r="BQ63" s="189">
        <v>0</v>
      </c>
      <c r="BR63" s="189">
        <v>0</v>
      </c>
      <c r="BS63" s="189">
        <v>0</v>
      </c>
      <c r="BT63" s="189">
        <v>0</v>
      </c>
      <c r="BU63" s="189">
        <v>0</v>
      </c>
      <c r="BV63" s="189">
        <v>0</v>
      </c>
      <c r="BW63" s="189">
        <v>0</v>
      </c>
      <c r="BX63" s="189">
        <v>0</v>
      </c>
      <c r="BY63" s="189">
        <v>0</v>
      </c>
      <c r="BZ63" s="189">
        <v>0</v>
      </c>
      <c r="CA63" s="189">
        <v>0</v>
      </c>
      <c r="CB63" s="189">
        <v>0</v>
      </c>
      <c r="CC63" s="189">
        <v>0</v>
      </c>
      <c r="CD63" s="189">
        <v>0</v>
      </c>
      <c r="CE63" s="189">
        <v>0</v>
      </c>
      <c r="CF63" s="189">
        <v>0</v>
      </c>
      <c r="CG63" s="189">
        <v>0</v>
      </c>
      <c r="CH63" s="189">
        <v>0</v>
      </c>
      <c r="CI63" s="189">
        <v>0</v>
      </c>
    </row>
    <row r="64" spans="1:87">
      <c r="A64" s="189" t="s">
        <v>168</v>
      </c>
      <c r="B64" s="189">
        <v>191600000</v>
      </c>
      <c r="C64" s="189">
        <v>0</v>
      </c>
      <c r="D64" s="189">
        <v>0</v>
      </c>
      <c r="E64" s="189">
        <v>0</v>
      </c>
      <c r="F64" s="189">
        <v>13107.88</v>
      </c>
      <c r="G64" s="189">
        <v>37740.18</v>
      </c>
      <c r="H64" s="189">
        <v>63252.78</v>
      </c>
      <c r="I64" s="189">
        <v>85130.86</v>
      </c>
      <c r="J64" s="189">
        <v>98617.75</v>
      </c>
      <c r="K64" s="189">
        <v>105317</v>
      </c>
      <c r="L64" s="189">
        <v>109814.56</v>
      </c>
      <c r="M64" s="189">
        <v>114495</v>
      </c>
      <c r="N64" s="189">
        <v>36689825.990000002</v>
      </c>
      <c r="O64" s="189">
        <v>34588648</v>
      </c>
      <c r="P64" s="189">
        <v>35381892.369999997</v>
      </c>
      <c r="Q64" s="189">
        <v>35351870</v>
      </c>
      <c r="R64" s="189">
        <v>226547864.91</v>
      </c>
      <c r="S64" s="189">
        <v>0</v>
      </c>
      <c r="T64" s="189">
        <v>0</v>
      </c>
      <c r="U64" s="189">
        <v>0</v>
      </c>
      <c r="V64" s="189">
        <v>0</v>
      </c>
      <c r="W64" s="189">
        <v>0</v>
      </c>
      <c r="X64" s="189">
        <v>0</v>
      </c>
      <c r="Y64" s="189">
        <v>0</v>
      </c>
      <c r="Z64" s="189">
        <v>0</v>
      </c>
      <c r="AA64" s="189">
        <v>0</v>
      </c>
      <c r="AB64" s="189">
        <v>0</v>
      </c>
      <c r="AC64" s="189">
        <v>0</v>
      </c>
      <c r="AD64" s="189">
        <v>0</v>
      </c>
      <c r="AE64" s="189">
        <v>0</v>
      </c>
      <c r="AF64" s="189">
        <v>0</v>
      </c>
      <c r="AG64" s="189">
        <v>0</v>
      </c>
      <c r="AH64" s="189">
        <v>0</v>
      </c>
      <c r="AI64" s="189">
        <v>0</v>
      </c>
      <c r="AJ64" s="189">
        <v>0</v>
      </c>
      <c r="AK64" s="189">
        <v>0</v>
      </c>
      <c r="AL64" s="189">
        <v>0</v>
      </c>
      <c r="AM64" s="189">
        <v>0</v>
      </c>
      <c r="AN64" s="189">
        <v>0</v>
      </c>
      <c r="AO64" s="189">
        <v>0</v>
      </c>
      <c r="AP64" s="189">
        <v>0</v>
      </c>
      <c r="AQ64" s="189">
        <v>0</v>
      </c>
      <c r="AR64" s="189">
        <v>0</v>
      </c>
      <c r="AS64" s="189">
        <v>0</v>
      </c>
      <c r="AT64" s="189">
        <v>0</v>
      </c>
      <c r="AU64" s="189">
        <v>0</v>
      </c>
      <c r="AV64" s="189">
        <v>0</v>
      </c>
      <c r="AW64" s="189">
        <v>0</v>
      </c>
      <c r="AX64" s="189">
        <v>0</v>
      </c>
      <c r="AY64" s="189">
        <v>0</v>
      </c>
      <c r="AZ64" s="189">
        <v>0</v>
      </c>
      <c r="BA64" s="189">
        <v>0</v>
      </c>
      <c r="BB64" s="189">
        <v>0</v>
      </c>
      <c r="BC64" s="189">
        <v>0</v>
      </c>
      <c r="BD64" s="189">
        <v>0</v>
      </c>
      <c r="BE64" s="189">
        <v>0</v>
      </c>
      <c r="BF64" s="189">
        <v>0</v>
      </c>
      <c r="BG64" s="189">
        <v>0</v>
      </c>
      <c r="BH64" s="189">
        <v>0</v>
      </c>
      <c r="BI64" s="189">
        <v>0</v>
      </c>
      <c r="BJ64" s="189">
        <v>0</v>
      </c>
      <c r="BK64" s="189">
        <v>0</v>
      </c>
      <c r="BL64" s="189">
        <v>0</v>
      </c>
      <c r="BM64" s="189">
        <v>0</v>
      </c>
      <c r="BN64" s="189">
        <v>0</v>
      </c>
      <c r="BO64" s="189">
        <v>0</v>
      </c>
      <c r="BP64" s="189">
        <v>0</v>
      </c>
      <c r="BQ64" s="189">
        <v>0</v>
      </c>
      <c r="BR64" s="189">
        <v>0</v>
      </c>
      <c r="BS64" s="189">
        <v>0</v>
      </c>
      <c r="BT64" s="189">
        <v>0</v>
      </c>
      <c r="BU64" s="189">
        <v>0</v>
      </c>
      <c r="BV64" s="189">
        <v>0</v>
      </c>
      <c r="BW64" s="189">
        <v>0</v>
      </c>
      <c r="BX64" s="189">
        <v>0</v>
      </c>
      <c r="BY64" s="189">
        <v>1807653.68</v>
      </c>
      <c r="BZ64" s="189">
        <v>0</v>
      </c>
      <c r="CA64" s="189">
        <v>1280671.73</v>
      </c>
      <c r="CB64" s="189">
        <v>0</v>
      </c>
      <c r="CC64" s="189">
        <v>252937.26</v>
      </c>
      <c r="CD64" s="189">
        <v>0</v>
      </c>
      <c r="CE64" s="189">
        <v>0</v>
      </c>
      <c r="CF64" s="189">
        <v>0</v>
      </c>
      <c r="CG64" s="189">
        <v>0</v>
      </c>
      <c r="CH64" s="189">
        <v>0</v>
      </c>
      <c r="CI64" s="189">
        <v>0</v>
      </c>
    </row>
    <row r="65" spans="1:87">
      <c r="A65" s="189" t="s">
        <v>169</v>
      </c>
      <c r="B65" s="189">
        <v>216594306.63999999</v>
      </c>
      <c r="C65" s="189">
        <v>212378286.59999999</v>
      </c>
      <c r="D65" s="189">
        <v>207673795.5</v>
      </c>
      <c r="E65" s="189">
        <v>202047732.34</v>
      </c>
      <c r="F65" s="189">
        <v>205495180.16</v>
      </c>
      <c r="G65" s="189">
        <v>210533278.83000001</v>
      </c>
      <c r="H65" s="189">
        <v>220035499.52000001</v>
      </c>
      <c r="I65" s="189">
        <v>210811638.53</v>
      </c>
      <c r="J65" s="189">
        <v>236374270.47999999</v>
      </c>
      <c r="K65" s="189">
        <v>213413536</v>
      </c>
      <c r="L65" s="189">
        <v>188726125.02000001</v>
      </c>
      <c r="M65" s="189">
        <v>176676747</v>
      </c>
      <c r="N65" s="189">
        <v>173017632.50999999</v>
      </c>
      <c r="O65" s="189">
        <v>161815982</v>
      </c>
      <c r="P65" s="189">
        <v>164207424.37</v>
      </c>
      <c r="Q65" s="189">
        <v>0</v>
      </c>
      <c r="R65" s="189">
        <v>0</v>
      </c>
      <c r="S65" s="189">
        <v>0</v>
      </c>
      <c r="T65" s="189">
        <v>0</v>
      </c>
      <c r="U65" s="189">
        <v>0</v>
      </c>
      <c r="V65" s="189">
        <v>0</v>
      </c>
      <c r="W65" s="189">
        <v>0</v>
      </c>
      <c r="X65" s="189">
        <v>0</v>
      </c>
      <c r="Y65" s="189">
        <v>0</v>
      </c>
      <c r="Z65" s="189">
        <v>0</v>
      </c>
      <c r="AA65" s="189">
        <v>0</v>
      </c>
      <c r="AB65" s="189">
        <v>0</v>
      </c>
      <c r="AC65" s="189">
        <v>0</v>
      </c>
      <c r="AD65" s="189">
        <v>0</v>
      </c>
      <c r="AE65" s="189">
        <v>0</v>
      </c>
      <c r="AF65" s="189">
        <v>0</v>
      </c>
      <c r="AG65" s="189">
        <v>0</v>
      </c>
      <c r="AH65" s="189">
        <v>0</v>
      </c>
      <c r="AI65" s="189">
        <v>0</v>
      </c>
      <c r="AJ65" s="189">
        <v>0</v>
      </c>
      <c r="AK65" s="189">
        <v>0</v>
      </c>
      <c r="AL65" s="189">
        <v>0</v>
      </c>
      <c r="AM65" s="189">
        <v>0</v>
      </c>
      <c r="AN65" s="189">
        <v>0</v>
      </c>
      <c r="AO65" s="189">
        <v>0</v>
      </c>
      <c r="AP65" s="189">
        <v>0</v>
      </c>
      <c r="AQ65" s="189">
        <v>0</v>
      </c>
      <c r="AR65" s="189">
        <v>0</v>
      </c>
      <c r="AS65" s="189">
        <v>0</v>
      </c>
      <c r="AT65" s="189">
        <v>0</v>
      </c>
      <c r="AU65" s="189">
        <v>0</v>
      </c>
      <c r="AV65" s="189">
        <v>0</v>
      </c>
      <c r="AW65" s="189">
        <v>0</v>
      </c>
      <c r="AX65" s="189">
        <v>0</v>
      </c>
      <c r="AY65" s="189">
        <v>0</v>
      </c>
      <c r="AZ65" s="189">
        <v>0</v>
      </c>
      <c r="BA65" s="189">
        <v>0</v>
      </c>
      <c r="BB65" s="189">
        <v>0</v>
      </c>
      <c r="BC65" s="189">
        <v>0</v>
      </c>
      <c r="BD65" s="189">
        <v>0</v>
      </c>
      <c r="BE65" s="189">
        <v>0</v>
      </c>
      <c r="BF65" s="189">
        <v>0</v>
      </c>
      <c r="BG65" s="189">
        <v>0</v>
      </c>
      <c r="BH65" s="189">
        <v>0</v>
      </c>
      <c r="BI65" s="189">
        <v>0</v>
      </c>
      <c r="BJ65" s="189">
        <v>0</v>
      </c>
      <c r="BK65" s="189">
        <v>0</v>
      </c>
      <c r="BL65" s="189">
        <v>0</v>
      </c>
      <c r="BM65" s="189">
        <v>0</v>
      </c>
      <c r="BN65" s="189">
        <v>0</v>
      </c>
      <c r="BO65" s="189">
        <v>0</v>
      </c>
      <c r="BP65" s="189">
        <v>0</v>
      </c>
      <c r="BQ65" s="189">
        <v>0</v>
      </c>
      <c r="BR65" s="189">
        <v>0</v>
      </c>
      <c r="BS65" s="189">
        <v>0</v>
      </c>
      <c r="BT65" s="189">
        <v>0</v>
      </c>
      <c r="BU65" s="189">
        <v>0</v>
      </c>
      <c r="BV65" s="189">
        <v>0</v>
      </c>
      <c r="BW65" s="189">
        <v>0</v>
      </c>
      <c r="BX65" s="189">
        <v>0</v>
      </c>
      <c r="BY65" s="189">
        <v>0</v>
      </c>
      <c r="BZ65" s="189">
        <v>0</v>
      </c>
      <c r="CA65" s="189">
        <v>0</v>
      </c>
      <c r="CB65" s="189">
        <v>0</v>
      </c>
      <c r="CC65" s="189">
        <v>0</v>
      </c>
      <c r="CD65" s="189">
        <v>0</v>
      </c>
      <c r="CE65" s="189">
        <v>0</v>
      </c>
      <c r="CF65" s="189">
        <v>0</v>
      </c>
      <c r="CG65" s="189">
        <v>0</v>
      </c>
      <c r="CH65" s="189">
        <v>0</v>
      </c>
      <c r="CI65" s="189">
        <v>0</v>
      </c>
    </row>
    <row r="66" spans="1:87">
      <c r="A66" s="189" t="s">
        <v>170</v>
      </c>
      <c r="B66" s="189">
        <v>0</v>
      </c>
      <c r="C66" s="189">
        <v>191600000</v>
      </c>
      <c r="D66" s="189">
        <v>191600000</v>
      </c>
      <c r="E66" s="189">
        <v>191600000</v>
      </c>
      <c r="F66" s="189">
        <v>191600000</v>
      </c>
      <c r="G66" s="189">
        <v>191600000</v>
      </c>
      <c r="H66" s="189">
        <v>191600000</v>
      </c>
      <c r="I66" s="189">
        <v>191600000</v>
      </c>
      <c r="J66" s="189">
        <v>191600000</v>
      </c>
      <c r="K66" s="189">
        <v>191600000</v>
      </c>
      <c r="L66" s="189">
        <v>191600000</v>
      </c>
      <c r="M66" s="189">
        <v>191600000</v>
      </c>
      <c r="N66" s="189">
        <v>191600000</v>
      </c>
      <c r="O66" s="189">
        <v>191600000</v>
      </c>
      <c r="P66" s="189">
        <v>191600000</v>
      </c>
      <c r="Q66" s="189">
        <v>191600000</v>
      </c>
      <c r="R66" s="189">
        <v>191600000</v>
      </c>
      <c r="S66" s="189">
        <v>191600000</v>
      </c>
      <c r="T66" s="189">
        <v>191600000</v>
      </c>
      <c r="U66" s="189">
        <v>191600000</v>
      </c>
      <c r="V66" s="189">
        <v>191600000</v>
      </c>
      <c r="W66" s="189">
        <v>191600000</v>
      </c>
      <c r="X66" s="189">
        <v>191600000</v>
      </c>
      <c r="Y66" s="189">
        <v>191600000</v>
      </c>
      <c r="Z66" s="189">
        <v>191600000</v>
      </c>
      <c r="AA66" s="189">
        <v>191600000</v>
      </c>
      <c r="AB66" s="189">
        <v>191600000</v>
      </c>
      <c r="AC66" s="189">
        <v>191600000</v>
      </c>
      <c r="AD66" s="189">
        <v>191600000</v>
      </c>
      <c r="AE66" s="189">
        <v>191600000</v>
      </c>
      <c r="AF66" s="189">
        <v>191600000</v>
      </c>
      <c r="AG66" s="189">
        <v>191600000</v>
      </c>
      <c r="AH66" s="189">
        <v>114185253.81999999</v>
      </c>
      <c r="AI66" s="189">
        <v>124194462.2</v>
      </c>
      <c r="AJ66" s="189">
        <v>64524942.340000004</v>
      </c>
      <c r="AK66" s="189">
        <v>64031457.93</v>
      </c>
      <c r="AL66" s="189">
        <v>85151457.930000007</v>
      </c>
      <c r="AM66" s="189">
        <v>32151457.93</v>
      </c>
      <c r="AN66" s="189">
        <v>31221457.93</v>
      </c>
      <c r="AO66" s="189">
        <v>26221457.93</v>
      </c>
      <c r="AP66" s="189">
        <v>20240537.609999999</v>
      </c>
      <c r="AQ66" s="189">
        <v>18314614.530000001</v>
      </c>
      <c r="AR66" s="189">
        <v>13357079.68</v>
      </c>
      <c r="AS66" s="189">
        <v>13357079.68</v>
      </c>
      <c r="AT66" s="189">
        <v>13397079.68</v>
      </c>
      <c r="AU66" s="189">
        <v>7197079.6799999997</v>
      </c>
      <c r="AV66" s="189">
        <v>6897079.6799999997</v>
      </c>
      <c r="AW66" s="189">
        <v>3897079.68</v>
      </c>
      <c r="AX66" s="189">
        <v>3897079.68</v>
      </c>
      <c r="AY66" s="189">
        <v>3897079.68</v>
      </c>
      <c r="AZ66" s="189">
        <v>3897079.68</v>
      </c>
      <c r="BA66" s="189">
        <v>3897079.68</v>
      </c>
      <c r="BB66" s="189">
        <v>3697079.68</v>
      </c>
      <c r="BC66" s="189">
        <v>3697079.68</v>
      </c>
      <c r="BD66" s="189">
        <v>3697079.68</v>
      </c>
      <c r="BE66" s="189">
        <v>3697079.68</v>
      </c>
      <c r="BF66" s="189">
        <v>3697079.68</v>
      </c>
      <c r="BG66" s="189">
        <v>3735575.4</v>
      </c>
      <c r="BH66" s="189">
        <v>3349575.4</v>
      </c>
      <c r="BI66" s="189">
        <v>3379575.4</v>
      </c>
      <c r="BJ66" s="189">
        <v>1383800</v>
      </c>
      <c r="BK66" s="189">
        <v>1407800</v>
      </c>
      <c r="BL66" s="189">
        <v>1471000</v>
      </c>
      <c r="BM66" s="189">
        <v>1471000</v>
      </c>
      <c r="BN66" s="189">
        <v>0</v>
      </c>
      <c r="BO66" s="189">
        <v>0</v>
      </c>
      <c r="BP66" s="189">
        <v>0</v>
      </c>
      <c r="BQ66" s="189">
        <v>0</v>
      </c>
      <c r="BR66" s="189">
        <v>0</v>
      </c>
      <c r="BS66" s="189">
        <v>0</v>
      </c>
      <c r="BT66" s="189">
        <v>0</v>
      </c>
      <c r="BU66" s="189">
        <v>0</v>
      </c>
      <c r="BV66" s="189">
        <v>0</v>
      </c>
      <c r="BW66" s="189">
        <v>0</v>
      </c>
      <c r="BX66" s="189">
        <v>0</v>
      </c>
      <c r="BY66" s="189">
        <v>0</v>
      </c>
      <c r="BZ66" s="189">
        <v>0</v>
      </c>
      <c r="CA66" s="189">
        <v>0</v>
      </c>
      <c r="CB66" s="189">
        <v>0</v>
      </c>
      <c r="CC66" s="189">
        <v>0</v>
      </c>
      <c r="CD66" s="189">
        <v>0</v>
      </c>
      <c r="CE66" s="189">
        <v>0</v>
      </c>
      <c r="CF66" s="189">
        <v>0</v>
      </c>
      <c r="CG66" s="189">
        <v>0</v>
      </c>
      <c r="CH66" s="189">
        <v>0</v>
      </c>
      <c r="CI66" s="189">
        <v>0</v>
      </c>
    </row>
    <row r="67" spans="1:87">
      <c r="A67" s="189" t="s">
        <v>171</v>
      </c>
      <c r="B67" s="189">
        <v>10018902.41</v>
      </c>
      <c r="C67" s="189">
        <v>9888353.8300000001</v>
      </c>
      <c r="D67" s="189">
        <v>9685825.4900000002</v>
      </c>
      <c r="E67" s="189">
        <v>9491833.4900000002</v>
      </c>
      <c r="F67" s="189">
        <v>9658864.8100000005</v>
      </c>
      <c r="G67" s="189">
        <v>9855600.8200000003</v>
      </c>
      <c r="H67" s="189">
        <v>10032206.050000001</v>
      </c>
      <c r="I67" s="189">
        <v>9647943.0800000001</v>
      </c>
      <c r="J67" s="189">
        <v>7999777.6900000004</v>
      </c>
      <c r="K67" s="189">
        <v>7783176</v>
      </c>
      <c r="L67" s="189">
        <v>6914285.79</v>
      </c>
      <c r="M67" s="189">
        <v>6448043</v>
      </c>
      <c r="N67" s="189">
        <v>6322406.9199999999</v>
      </c>
      <c r="O67" s="189">
        <v>5941309</v>
      </c>
      <c r="P67" s="189">
        <v>6060938.1799999997</v>
      </c>
      <c r="Q67" s="189">
        <v>6047404</v>
      </c>
      <c r="R67" s="189">
        <v>6593551.96</v>
      </c>
      <c r="S67" s="189">
        <v>0</v>
      </c>
      <c r="T67" s="189">
        <v>0</v>
      </c>
      <c r="U67" s="189">
        <v>0</v>
      </c>
      <c r="V67" s="189">
        <v>0</v>
      </c>
      <c r="W67" s="189">
        <v>0</v>
      </c>
      <c r="X67" s="189">
        <v>0</v>
      </c>
      <c r="Y67" s="189">
        <v>0</v>
      </c>
      <c r="Z67" s="189">
        <v>0</v>
      </c>
      <c r="AA67" s="189">
        <v>0</v>
      </c>
      <c r="AB67" s="189">
        <v>0</v>
      </c>
      <c r="AC67" s="189">
        <v>0</v>
      </c>
      <c r="AD67" s="189">
        <v>0</v>
      </c>
      <c r="AE67" s="189">
        <v>0</v>
      </c>
      <c r="AF67" s="189">
        <v>0</v>
      </c>
      <c r="AG67" s="189">
        <v>0</v>
      </c>
      <c r="AH67" s="189">
        <v>0</v>
      </c>
      <c r="AI67" s="189">
        <v>0</v>
      </c>
      <c r="AJ67" s="189">
        <v>0</v>
      </c>
      <c r="AK67" s="189">
        <v>0</v>
      </c>
      <c r="AL67" s="189">
        <v>0</v>
      </c>
      <c r="AM67" s="189">
        <v>0</v>
      </c>
      <c r="AN67" s="189">
        <v>242255.53</v>
      </c>
      <c r="AO67" s="189">
        <v>242255.53</v>
      </c>
      <c r="AP67" s="189">
        <v>0</v>
      </c>
      <c r="AQ67" s="189">
        <v>0</v>
      </c>
      <c r="AR67" s="189">
        <v>0</v>
      </c>
      <c r="AS67" s="189">
        <v>0</v>
      </c>
      <c r="AT67" s="189">
        <v>0</v>
      </c>
      <c r="AU67" s="189">
        <v>0</v>
      </c>
      <c r="AV67" s="189">
        <v>0</v>
      </c>
      <c r="AW67" s="189">
        <v>0</v>
      </c>
      <c r="AX67" s="189">
        <v>0</v>
      </c>
      <c r="AY67" s="189">
        <v>0</v>
      </c>
      <c r="AZ67" s="189">
        <v>0</v>
      </c>
      <c r="BA67" s="189">
        <v>0</v>
      </c>
      <c r="BB67" s="189">
        <v>0</v>
      </c>
      <c r="BC67" s="189">
        <v>0</v>
      </c>
      <c r="BD67" s="189">
        <v>0</v>
      </c>
      <c r="BE67" s="189">
        <v>0</v>
      </c>
      <c r="BF67" s="189">
        <v>0</v>
      </c>
      <c r="BG67" s="189">
        <v>0</v>
      </c>
      <c r="BH67" s="189">
        <v>0</v>
      </c>
      <c r="BI67" s="189">
        <v>0</v>
      </c>
      <c r="BJ67" s="189">
        <v>0</v>
      </c>
      <c r="BK67" s="189">
        <v>0</v>
      </c>
      <c r="BL67" s="189">
        <v>0</v>
      </c>
      <c r="BM67" s="189">
        <v>0</v>
      </c>
      <c r="BN67" s="189">
        <v>0</v>
      </c>
      <c r="BO67" s="189">
        <v>0</v>
      </c>
      <c r="BP67" s="189">
        <v>0</v>
      </c>
      <c r="BQ67" s="189">
        <v>0</v>
      </c>
      <c r="BR67" s="189">
        <v>0</v>
      </c>
      <c r="BS67" s="189">
        <v>0</v>
      </c>
      <c r="BT67" s="189">
        <v>0</v>
      </c>
      <c r="BU67" s="189">
        <v>0</v>
      </c>
      <c r="BV67" s="189">
        <v>0</v>
      </c>
      <c r="BW67" s="189">
        <v>0</v>
      </c>
      <c r="BX67" s="189">
        <v>0</v>
      </c>
      <c r="BY67" s="189">
        <v>0</v>
      </c>
      <c r="BZ67" s="189">
        <v>0</v>
      </c>
      <c r="CA67" s="189">
        <v>0</v>
      </c>
      <c r="CB67" s="189">
        <v>0</v>
      </c>
      <c r="CC67" s="189">
        <v>0</v>
      </c>
      <c r="CD67" s="189">
        <v>0</v>
      </c>
      <c r="CE67" s="189">
        <v>0</v>
      </c>
      <c r="CF67" s="189">
        <v>0</v>
      </c>
      <c r="CG67" s="189">
        <v>0</v>
      </c>
      <c r="CH67" s="189">
        <v>0</v>
      </c>
      <c r="CI67" s="189">
        <v>0</v>
      </c>
    </row>
    <row r="68" spans="1:87">
      <c r="A68" s="189" t="s">
        <v>172</v>
      </c>
      <c r="B68" s="189">
        <v>55045146.149999999</v>
      </c>
      <c r="C68" s="189">
        <v>55804785.600000001</v>
      </c>
      <c r="D68" s="189">
        <v>50065548.020000003</v>
      </c>
      <c r="E68" s="189">
        <v>38346244.920000002</v>
      </c>
      <c r="F68" s="189">
        <v>38601595.560000002</v>
      </c>
      <c r="G68" s="189">
        <v>38856946.310000002</v>
      </c>
      <c r="H68" s="189">
        <v>39112297.07</v>
      </c>
      <c r="I68" s="189">
        <v>39367647.82</v>
      </c>
      <c r="J68" s="189">
        <v>39621569.93</v>
      </c>
      <c r="K68" s="189">
        <v>39877397</v>
      </c>
      <c r="L68" s="189">
        <v>40133223.82</v>
      </c>
      <c r="M68" s="189">
        <v>40389051</v>
      </c>
      <c r="N68" s="189">
        <v>40644877.710000001</v>
      </c>
      <c r="O68" s="189">
        <v>40900705</v>
      </c>
      <c r="P68" s="189">
        <v>41156531.600000001</v>
      </c>
      <c r="Q68" s="189">
        <v>41412359</v>
      </c>
      <c r="R68" s="189">
        <v>0</v>
      </c>
      <c r="S68" s="189">
        <v>0</v>
      </c>
      <c r="T68" s="189">
        <v>0</v>
      </c>
      <c r="U68" s="189">
        <v>0</v>
      </c>
      <c r="V68" s="189">
        <v>0</v>
      </c>
      <c r="W68" s="189">
        <v>0</v>
      </c>
      <c r="X68" s="189">
        <v>0</v>
      </c>
      <c r="Y68" s="189">
        <v>0</v>
      </c>
      <c r="Z68" s="189">
        <v>333142</v>
      </c>
      <c r="AA68" s="189">
        <v>0</v>
      </c>
      <c r="AB68" s="189">
        <v>1004834.77</v>
      </c>
      <c r="AC68" s="189">
        <v>0</v>
      </c>
      <c r="AD68" s="189">
        <v>809156.42</v>
      </c>
      <c r="AE68" s="189">
        <v>0</v>
      </c>
      <c r="AF68" s="189">
        <v>0</v>
      </c>
      <c r="AG68" s="189">
        <v>0</v>
      </c>
      <c r="AH68" s="189">
        <v>31495.17</v>
      </c>
      <c r="AI68" s="189">
        <v>31917.23</v>
      </c>
      <c r="AJ68" s="189">
        <v>32083.61</v>
      </c>
      <c r="AK68" s="189">
        <v>32092.54</v>
      </c>
      <c r="AL68" s="189">
        <v>47803</v>
      </c>
      <c r="AM68" s="189">
        <v>47823.3</v>
      </c>
      <c r="AN68" s="189">
        <v>0</v>
      </c>
      <c r="AO68" s="189">
        <v>0</v>
      </c>
      <c r="AP68" s="189">
        <v>11598489.199999999</v>
      </c>
      <c r="AQ68" s="189">
        <v>15555734.720000001</v>
      </c>
      <c r="AR68" s="189">
        <v>25084443.98</v>
      </c>
      <c r="AS68" s="189">
        <v>31021379.289999999</v>
      </c>
      <c r="AT68" s="189">
        <v>29852737.41</v>
      </c>
      <c r="AU68" s="189">
        <v>0</v>
      </c>
      <c r="AV68" s="189">
        <v>0</v>
      </c>
      <c r="AW68" s="189">
        <v>0</v>
      </c>
      <c r="AX68" s="189">
        <v>0</v>
      </c>
      <c r="AY68" s="189">
        <v>0</v>
      </c>
      <c r="AZ68" s="189">
        <v>0</v>
      </c>
      <c r="BA68" s="189">
        <v>0</v>
      </c>
      <c r="BB68" s="189">
        <v>0</v>
      </c>
      <c r="BC68" s="189">
        <v>0</v>
      </c>
      <c r="BD68" s="189">
        <v>0</v>
      </c>
      <c r="BE68" s="189">
        <v>0</v>
      </c>
      <c r="BF68" s="189">
        <v>0</v>
      </c>
      <c r="BG68" s="189">
        <v>0</v>
      </c>
      <c r="BH68" s="189">
        <v>0</v>
      </c>
      <c r="BI68" s="189">
        <v>0</v>
      </c>
      <c r="BJ68" s="189">
        <v>0</v>
      </c>
      <c r="BK68" s="189">
        <v>0</v>
      </c>
      <c r="BL68" s="189">
        <v>0</v>
      </c>
      <c r="BM68" s="189">
        <v>0</v>
      </c>
      <c r="BN68" s="189">
        <v>0</v>
      </c>
      <c r="BO68" s="189">
        <v>0</v>
      </c>
      <c r="BP68" s="189">
        <v>0</v>
      </c>
      <c r="BQ68" s="189">
        <v>0</v>
      </c>
      <c r="BR68" s="189">
        <v>0</v>
      </c>
      <c r="BS68" s="189">
        <v>0</v>
      </c>
      <c r="BT68" s="189">
        <v>0</v>
      </c>
      <c r="BU68" s="189">
        <v>0</v>
      </c>
      <c r="BV68" s="189">
        <v>0</v>
      </c>
      <c r="BW68" s="189">
        <v>0</v>
      </c>
      <c r="BX68" s="189">
        <v>0</v>
      </c>
      <c r="BY68" s="189">
        <v>0</v>
      </c>
      <c r="BZ68" s="189">
        <v>0</v>
      </c>
      <c r="CA68" s="189">
        <v>0</v>
      </c>
      <c r="CB68" s="189">
        <v>0</v>
      </c>
      <c r="CC68" s="189">
        <v>0</v>
      </c>
      <c r="CD68" s="189">
        <v>0</v>
      </c>
      <c r="CE68" s="189">
        <v>0</v>
      </c>
      <c r="CF68" s="189">
        <v>0</v>
      </c>
      <c r="CG68" s="189">
        <v>0</v>
      </c>
      <c r="CH68" s="189">
        <v>0</v>
      </c>
      <c r="CI68" s="189">
        <v>0</v>
      </c>
    </row>
    <row r="69" spans="1:87">
      <c r="A69" s="189" t="s">
        <v>173</v>
      </c>
      <c r="B69" s="189">
        <v>1086398008.6199999</v>
      </c>
      <c r="C69" s="189">
        <v>1227426910.3900001</v>
      </c>
      <c r="D69" s="189">
        <v>1345824559.3199999</v>
      </c>
      <c r="E69" s="189">
        <v>606944127.74000001</v>
      </c>
      <c r="F69" s="189">
        <v>1087489664.48</v>
      </c>
      <c r="G69" s="189">
        <v>808264908.46000004</v>
      </c>
      <c r="H69" s="189">
        <v>456711515.11000001</v>
      </c>
      <c r="I69" s="189">
        <v>571740460.77999997</v>
      </c>
      <c r="J69" s="189">
        <v>331838833.63999999</v>
      </c>
      <c r="K69" s="189">
        <v>277868326</v>
      </c>
      <c r="L69" s="189">
        <v>394022696.37</v>
      </c>
      <c r="M69" s="189">
        <v>506129438</v>
      </c>
      <c r="N69" s="189">
        <v>370064960.62</v>
      </c>
      <c r="O69" s="189">
        <v>379170699</v>
      </c>
      <c r="P69" s="189">
        <v>344485741.14999998</v>
      </c>
      <c r="Q69" s="189">
        <v>362719306</v>
      </c>
      <c r="R69" s="189">
        <v>267955011.25</v>
      </c>
      <c r="S69" s="189">
        <v>0</v>
      </c>
      <c r="T69" s="189">
        <v>0</v>
      </c>
      <c r="U69" s="189">
        <v>0</v>
      </c>
      <c r="V69" s="189">
        <v>0</v>
      </c>
      <c r="W69" s="189">
        <v>0</v>
      </c>
      <c r="X69" s="189">
        <v>0</v>
      </c>
      <c r="Y69" s="189">
        <v>0</v>
      </c>
      <c r="Z69" s="189">
        <v>0</v>
      </c>
      <c r="AA69" s="189">
        <v>0</v>
      </c>
      <c r="AB69" s="189">
        <v>0</v>
      </c>
      <c r="AC69" s="189">
        <v>0</v>
      </c>
      <c r="AD69" s="189">
        <v>0</v>
      </c>
      <c r="AE69" s="189">
        <v>0</v>
      </c>
      <c r="AF69" s="189">
        <v>0</v>
      </c>
      <c r="AG69" s="189">
        <v>0</v>
      </c>
      <c r="AH69" s="189">
        <v>0</v>
      </c>
      <c r="AI69" s="189">
        <v>0</v>
      </c>
      <c r="AJ69" s="189">
        <v>0</v>
      </c>
      <c r="AK69" s="189">
        <v>0</v>
      </c>
      <c r="AL69" s="189">
        <v>0</v>
      </c>
      <c r="AM69" s="189">
        <v>0</v>
      </c>
      <c r="AN69" s="189">
        <v>0</v>
      </c>
      <c r="AO69" s="189">
        <v>0</v>
      </c>
      <c r="AP69" s="189">
        <v>0</v>
      </c>
      <c r="AQ69" s="189">
        <v>0</v>
      </c>
      <c r="AR69" s="189">
        <v>0</v>
      </c>
      <c r="AS69" s="189">
        <v>0</v>
      </c>
      <c r="AT69" s="189">
        <v>0</v>
      </c>
      <c r="AU69" s="189">
        <v>0</v>
      </c>
      <c r="AV69" s="189">
        <v>0</v>
      </c>
      <c r="AW69" s="189">
        <v>0</v>
      </c>
      <c r="AX69" s="189">
        <v>0</v>
      </c>
      <c r="AY69" s="189">
        <v>0</v>
      </c>
      <c r="AZ69" s="189">
        <v>0</v>
      </c>
      <c r="BA69" s="189">
        <v>0</v>
      </c>
      <c r="BB69" s="189">
        <v>0</v>
      </c>
      <c r="BC69" s="189">
        <v>0</v>
      </c>
      <c r="BD69" s="189">
        <v>0</v>
      </c>
      <c r="BE69" s="189">
        <v>0</v>
      </c>
      <c r="BF69" s="189">
        <v>0</v>
      </c>
      <c r="BG69" s="189">
        <v>0</v>
      </c>
      <c r="BH69" s="189">
        <v>0</v>
      </c>
      <c r="BI69" s="189">
        <v>0</v>
      </c>
      <c r="BJ69" s="189">
        <v>0</v>
      </c>
      <c r="BK69" s="189">
        <v>0</v>
      </c>
      <c r="BL69" s="189">
        <v>0</v>
      </c>
      <c r="BM69" s="189">
        <v>0</v>
      </c>
      <c r="BN69" s="189">
        <v>0</v>
      </c>
      <c r="BO69" s="189">
        <v>0</v>
      </c>
      <c r="BP69" s="189">
        <v>0</v>
      </c>
      <c r="BQ69" s="189">
        <v>0</v>
      </c>
      <c r="BR69" s="189">
        <v>0</v>
      </c>
      <c r="BS69" s="189">
        <v>0</v>
      </c>
      <c r="BT69" s="189">
        <v>0</v>
      </c>
      <c r="BU69" s="189">
        <v>0</v>
      </c>
      <c r="BV69" s="189">
        <v>0</v>
      </c>
      <c r="BW69" s="189">
        <v>0</v>
      </c>
      <c r="BX69" s="189">
        <v>0</v>
      </c>
      <c r="BY69" s="189">
        <v>0</v>
      </c>
      <c r="BZ69" s="189">
        <v>0</v>
      </c>
      <c r="CA69" s="189">
        <v>0</v>
      </c>
      <c r="CB69" s="189">
        <v>0</v>
      </c>
      <c r="CC69" s="189">
        <v>0</v>
      </c>
      <c r="CD69" s="189">
        <v>0</v>
      </c>
      <c r="CE69" s="189">
        <v>0</v>
      </c>
      <c r="CF69" s="189">
        <v>0</v>
      </c>
      <c r="CG69" s="189">
        <v>0</v>
      </c>
      <c r="CH69" s="189">
        <v>0</v>
      </c>
      <c r="CI69" s="189">
        <v>0</v>
      </c>
    </row>
    <row r="70" spans="1:87">
      <c r="A70" s="189" t="s">
        <v>174</v>
      </c>
      <c r="B70" s="189">
        <v>1488000000</v>
      </c>
      <c r="C70" s="189">
        <v>1488000000</v>
      </c>
      <c r="D70" s="189">
        <v>1488000000</v>
      </c>
      <c r="E70" s="189">
        <v>200000000</v>
      </c>
      <c r="F70" s="189">
        <v>203386183.19</v>
      </c>
      <c r="G70" s="189">
        <v>203472251.27000001</v>
      </c>
      <c r="H70" s="189">
        <v>203551991.88</v>
      </c>
      <c r="I70" s="189">
        <v>203432996.93000001</v>
      </c>
      <c r="J70" s="189">
        <v>203809599.25999999</v>
      </c>
      <c r="K70" s="189">
        <v>441331501</v>
      </c>
      <c r="L70" s="189">
        <v>437520853.63999999</v>
      </c>
      <c r="M70" s="189">
        <v>433927298</v>
      </c>
      <c r="N70" s="189">
        <v>383508751.76999998</v>
      </c>
      <c r="O70" s="189">
        <v>616536351</v>
      </c>
      <c r="P70" s="189">
        <v>469507354.56</v>
      </c>
      <c r="Q70" s="189">
        <v>449839458</v>
      </c>
      <c r="R70" s="189">
        <v>565574242.64999998</v>
      </c>
      <c r="S70" s="189">
        <v>195779147</v>
      </c>
      <c r="T70" s="189">
        <v>195225533.24000001</v>
      </c>
      <c r="U70" s="189">
        <v>201427326</v>
      </c>
      <c r="V70" s="189">
        <v>212387996</v>
      </c>
      <c r="W70" s="189">
        <v>212212033</v>
      </c>
      <c r="X70" s="189">
        <v>216228995.40000001</v>
      </c>
      <c r="Y70" s="189">
        <v>220327448</v>
      </c>
      <c r="Z70" s="189">
        <v>227716124</v>
      </c>
      <c r="AA70" s="189">
        <v>242023443</v>
      </c>
      <c r="AB70" s="189">
        <v>262233799.44999999</v>
      </c>
      <c r="AC70" s="189">
        <v>284393635</v>
      </c>
      <c r="AD70" s="189">
        <v>253232844.84999999</v>
      </c>
      <c r="AE70" s="189">
        <v>287301148</v>
      </c>
      <c r="AF70" s="189">
        <v>310523998.43000001</v>
      </c>
      <c r="AG70" s="189">
        <v>251023271</v>
      </c>
      <c r="AH70" s="189">
        <v>141831193.59</v>
      </c>
      <c r="AI70" s="189">
        <v>175430729.06999999</v>
      </c>
      <c r="AJ70" s="189">
        <v>147163704.12</v>
      </c>
      <c r="AK70" s="189">
        <v>156551384.44</v>
      </c>
      <c r="AL70" s="189">
        <v>79554569.620000005</v>
      </c>
      <c r="AM70" s="189">
        <v>67957249.879999995</v>
      </c>
      <c r="AN70" s="189">
        <v>65878615.350000001</v>
      </c>
      <c r="AO70" s="189">
        <v>33066736.640000001</v>
      </c>
      <c r="AP70" s="189">
        <v>15842000</v>
      </c>
      <c r="AQ70" s="189">
        <v>0</v>
      </c>
      <c r="AR70" s="189">
        <v>0</v>
      </c>
      <c r="AS70" s="189">
        <v>0</v>
      </c>
      <c r="AT70" s="189">
        <v>0</v>
      </c>
      <c r="AU70" s="189">
        <v>0</v>
      </c>
      <c r="AV70" s="189">
        <v>0</v>
      </c>
      <c r="AW70" s="189">
        <v>0</v>
      </c>
      <c r="AX70" s="189">
        <v>0</v>
      </c>
      <c r="AY70" s="189">
        <v>0</v>
      </c>
      <c r="AZ70" s="189">
        <v>0</v>
      </c>
      <c r="BA70" s="189">
        <v>0</v>
      </c>
      <c r="BB70" s="189">
        <v>0</v>
      </c>
      <c r="BC70" s="189">
        <v>0</v>
      </c>
      <c r="BD70" s="189">
        <v>0</v>
      </c>
      <c r="BE70" s="189">
        <v>0</v>
      </c>
      <c r="BF70" s="189">
        <v>0</v>
      </c>
      <c r="BG70" s="189">
        <v>0</v>
      </c>
      <c r="BH70" s="189">
        <v>0</v>
      </c>
      <c r="BI70" s="189">
        <v>0</v>
      </c>
      <c r="BJ70" s="189">
        <v>0</v>
      </c>
      <c r="BK70" s="189">
        <v>0</v>
      </c>
      <c r="BL70" s="189">
        <v>0</v>
      </c>
      <c r="BM70" s="189">
        <v>0</v>
      </c>
      <c r="BN70" s="189">
        <v>0</v>
      </c>
      <c r="BO70" s="189">
        <v>0</v>
      </c>
      <c r="BP70" s="189">
        <v>0</v>
      </c>
      <c r="BQ70" s="189">
        <v>0</v>
      </c>
      <c r="BR70" s="189">
        <v>0</v>
      </c>
      <c r="BS70" s="189">
        <v>0</v>
      </c>
      <c r="BT70" s="189">
        <v>0</v>
      </c>
      <c r="BU70" s="189">
        <v>0</v>
      </c>
      <c r="BV70" s="189">
        <v>0</v>
      </c>
      <c r="BW70" s="189">
        <v>0</v>
      </c>
      <c r="BX70" s="189">
        <v>0</v>
      </c>
      <c r="BY70" s="189">
        <v>0</v>
      </c>
      <c r="BZ70" s="189">
        <v>0</v>
      </c>
      <c r="CA70" s="189">
        <v>0</v>
      </c>
      <c r="CB70" s="189">
        <v>0</v>
      </c>
      <c r="CC70" s="189">
        <v>0</v>
      </c>
      <c r="CD70" s="189">
        <v>0</v>
      </c>
      <c r="CE70" s="189">
        <v>0</v>
      </c>
      <c r="CF70" s="189">
        <v>0</v>
      </c>
      <c r="CG70" s="189">
        <v>0</v>
      </c>
      <c r="CH70" s="189">
        <v>0</v>
      </c>
      <c r="CI70" s="189">
        <v>0</v>
      </c>
    </row>
    <row r="71" spans="1:87">
      <c r="A71" s="189" t="s">
        <v>175</v>
      </c>
      <c r="B71" s="189">
        <v>14569206363.82</v>
      </c>
      <c r="C71" s="189">
        <v>14089748336.42</v>
      </c>
      <c r="D71" s="189">
        <v>13490099728.33</v>
      </c>
      <c r="E71" s="189">
        <v>4978429938.4899998</v>
      </c>
      <c r="F71" s="189">
        <v>3716244596.0799999</v>
      </c>
      <c r="G71" s="189">
        <v>3442620725.8699999</v>
      </c>
      <c r="H71" s="189">
        <v>3101106762.4099998</v>
      </c>
      <c r="I71" s="189">
        <v>2516685818</v>
      </c>
      <c r="J71" s="189">
        <v>2561342668.75</v>
      </c>
      <c r="K71" s="189">
        <v>2471979253</v>
      </c>
      <c r="L71" s="189">
        <v>2573026999.1999998</v>
      </c>
      <c r="M71" s="189">
        <v>2255285072</v>
      </c>
      <c r="N71" s="189">
        <v>3881848455.52</v>
      </c>
      <c r="O71" s="189">
        <v>4110553694</v>
      </c>
      <c r="P71" s="189">
        <v>3709083282.23</v>
      </c>
      <c r="Q71" s="189">
        <v>2356343693</v>
      </c>
      <c r="R71" s="189">
        <v>4126745670.77</v>
      </c>
      <c r="S71" s="189">
        <v>1255852747</v>
      </c>
      <c r="T71" s="189">
        <v>1766369633.24</v>
      </c>
      <c r="U71" s="189">
        <v>1837766926</v>
      </c>
      <c r="V71" s="189">
        <v>2073668696</v>
      </c>
      <c r="W71" s="189">
        <v>2146954233</v>
      </c>
      <c r="X71" s="189">
        <v>1913875945.4000001</v>
      </c>
      <c r="Y71" s="189">
        <v>2210442448</v>
      </c>
      <c r="Z71" s="189">
        <v>2470128766</v>
      </c>
      <c r="AA71" s="189">
        <v>2572258043</v>
      </c>
      <c r="AB71" s="189">
        <v>2832599684.2199998</v>
      </c>
      <c r="AC71" s="189">
        <v>2945353835</v>
      </c>
      <c r="AD71" s="189">
        <v>3169634751.27</v>
      </c>
      <c r="AE71" s="189">
        <v>3317164348</v>
      </c>
      <c r="AF71" s="189">
        <v>3257482838.4299998</v>
      </c>
      <c r="AG71" s="189">
        <v>3302355291</v>
      </c>
      <c r="AH71" s="189">
        <v>3223134752.5799999</v>
      </c>
      <c r="AI71" s="189">
        <v>3377102548.5</v>
      </c>
      <c r="AJ71" s="189">
        <v>2807441880.0700002</v>
      </c>
      <c r="AK71" s="189">
        <v>2704090934.9099998</v>
      </c>
      <c r="AL71" s="189">
        <v>2513540930.5500002</v>
      </c>
      <c r="AM71" s="189">
        <v>2342439261.1100001</v>
      </c>
      <c r="AN71" s="189">
        <v>2160932328.8099999</v>
      </c>
      <c r="AO71" s="189">
        <v>2122990450.0999999</v>
      </c>
      <c r="AP71" s="189">
        <v>2109511026.8099999</v>
      </c>
      <c r="AQ71" s="189">
        <v>2099780349.25</v>
      </c>
      <c r="AR71" s="189">
        <v>2009789523.6600001</v>
      </c>
      <c r="AS71" s="189">
        <v>1738955658.97</v>
      </c>
      <c r="AT71" s="189">
        <v>1954735417.0899999</v>
      </c>
      <c r="AU71" s="189">
        <v>1410127079.6800001</v>
      </c>
      <c r="AV71" s="189">
        <v>16897079.68</v>
      </c>
      <c r="AW71" s="189">
        <v>13897079.68</v>
      </c>
      <c r="AX71" s="189">
        <v>83897079.680000007</v>
      </c>
      <c r="AY71" s="189">
        <v>83897079.680000007</v>
      </c>
      <c r="AZ71" s="189">
        <v>83897079.680000007</v>
      </c>
      <c r="BA71" s="189">
        <v>73897079.680000007</v>
      </c>
      <c r="BB71" s="189">
        <v>3697079.68</v>
      </c>
      <c r="BC71" s="189">
        <v>3697079.68</v>
      </c>
      <c r="BD71" s="189">
        <v>103697079.68000001</v>
      </c>
      <c r="BE71" s="189">
        <v>103697079.68000001</v>
      </c>
      <c r="BF71" s="189">
        <v>3697079.68</v>
      </c>
      <c r="BG71" s="189">
        <v>3735575.4</v>
      </c>
      <c r="BH71" s="189">
        <v>3349575.4</v>
      </c>
      <c r="BI71" s="189">
        <v>3379575.4</v>
      </c>
      <c r="BJ71" s="189">
        <v>1383800</v>
      </c>
      <c r="BK71" s="189">
        <v>1407800</v>
      </c>
      <c r="BL71" s="189">
        <v>1471000</v>
      </c>
      <c r="BM71" s="189">
        <v>1471000</v>
      </c>
      <c r="BN71" s="189">
        <v>0</v>
      </c>
      <c r="BO71" s="189">
        <v>0</v>
      </c>
      <c r="BP71" s="189">
        <v>0</v>
      </c>
      <c r="BQ71" s="189">
        <v>0</v>
      </c>
      <c r="BR71" s="189">
        <v>0</v>
      </c>
      <c r="BS71" s="189">
        <v>0</v>
      </c>
      <c r="BT71" s="189">
        <v>3697526.77</v>
      </c>
      <c r="BU71" s="189">
        <v>3697526.77</v>
      </c>
      <c r="BV71" s="189">
        <v>2959396.63</v>
      </c>
      <c r="BW71" s="189">
        <v>2959396.63</v>
      </c>
      <c r="BX71" s="189">
        <v>21576294.460000001</v>
      </c>
      <c r="BY71" s="189">
        <v>21807653.68</v>
      </c>
      <c r="BZ71" s="189">
        <v>21620525.109999999</v>
      </c>
      <c r="CA71" s="189">
        <v>21280671.73</v>
      </c>
      <c r="CB71" s="189">
        <v>50000</v>
      </c>
      <c r="CC71" s="189">
        <v>252937.26</v>
      </c>
      <c r="CD71" s="189">
        <v>40000</v>
      </c>
      <c r="CE71" s="189">
        <v>0</v>
      </c>
      <c r="CF71" s="189">
        <v>26974172.73</v>
      </c>
      <c r="CG71" s="189">
        <v>42906700</v>
      </c>
      <c r="CH71" s="189">
        <v>27879300</v>
      </c>
      <c r="CI71" s="189">
        <v>0</v>
      </c>
    </row>
    <row r="72" spans="1:87">
      <c r="A72" s="189" t="s">
        <v>176</v>
      </c>
      <c r="B72" s="189">
        <v>34186466600.889999</v>
      </c>
      <c r="C72" s="189">
        <v>33701183759.419998</v>
      </c>
      <c r="D72" s="189">
        <v>34058201334.529999</v>
      </c>
      <c r="E72" s="189">
        <v>15177463413.530001</v>
      </c>
      <c r="F72" s="189">
        <v>12806486823.25</v>
      </c>
      <c r="G72" s="189">
        <v>10469884120.059999</v>
      </c>
      <c r="H72" s="189">
        <v>8754054454.3999996</v>
      </c>
      <c r="I72" s="189">
        <v>7920376783.6300001</v>
      </c>
      <c r="J72" s="189">
        <v>7563202753.75</v>
      </c>
      <c r="K72" s="189">
        <v>6192469273</v>
      </c>
      <c r="L72" s="189">
        <v>6933430437.2299995</v>
      </c>
      <c r="M72" s="189">
        <v>8380358043</v>
      </c>
      <c r="N72" s="189">
        <v>8412557183.2799997</v>
      </c>
      <c r="O72" s="189">
        <v>9188134668</v>
      </c>
      <c r="P72" s="189">
        <v>8403787681.4499998</v>
      </c>
      <c r="Q72" s="189">
        <v>7131382946</v>
      </c>
      <c r="R72" s="189">
        <v>10216679547.59</v>
      </c>
      <c r="S72" s="189">
        <v>4215464145</v>
      </c>
      <c r="T72" s="189">
        <v>4266582050.3400002</v>
      </c>
      <c r="U72" s="189">
        <v>4691036842</v>
      </c>
      <c r="V72" s="189">
        <v>4623273359</v>
      </c>
      <c r="W72" s="189">
        <v>4548641813</v>
      </c>
      <c r="X72" s="189">
        <v>4758371826.5500002</v>
      </c>
      <c r="Y72" s="189">
        <v>4747076450</v>
      </c>
      <c r="Z72" s="189">
        <v>5010115255</v>
      </c>
      <c r="AA72" s="189">
        <v>5068881258</v>
      </c>
      <c r="AB72" s="189">
        <v>4944360286.4799995</v>
      </c>
      <c r="AC72" s="189">
        <v>5133254608</v>
      </c>
      <c r="AD72" s="189">
        <v>5200463828.0500002</v>
      </c>
      <c r="AE72" s="189">
        <v>5501167142</v>
      </c>
      <c r="AF72" s="189">
        <v>5386456981.3100004</v>
      </c>
      <c r="AG72" s="189">
        <v>5480834561</v>
      </c>
      <c r="AH72" s="189">
        <v>5126015600.0100002</v>
      </c>
      <c r="AI72" s="189">
        <v>5252961691.4499998</v>
      </c>
      <c r="AJ72" s="189">
        <v>4589837950.25</v>
      </c>
      <c r="AK72" s="189">
        <v>4377387463.54</v>
      </c>
      <c r="AL72" s="189">
        <v>3836949036.3400002</v>
      </c>
      <c r="AM72" s="189">
        <v>3638721688.6599998</v>
      </c>
      <c r="AN72" s="189">
        <v>3085160022.6700001</v>
      </c>
      <c r="AO72" s="189">
        <v>3026613298.1900001</v>
      </c>
      <c r="AP72" s="189">
        <v>3220838667.25</v>
      </c>
      <c r="AQ72" s="189">
        <v>3036068236.6300001</v>
      </c>
      <c r="AR72" s="189">
        <v>2758410432.5500002</v>
      </c>
      <c r="AS72" s="189">
        <v>2400863931.48</v>
      </c>
      <c r="AT72" s="189">
        <v>2435363599.25</v>
      </c>
      <c r="AU72" s="189">
        <v>2196585147.96</v>
      </c>
      <c r="AV72" s="189">
        <v>707247928.72000003</v>
      </c>
      <c r="AW72" s="189">
        <v>682946259.49000001</v>
      </c>
      <c r="AX72" s="189">
        <v>666814918.24000001</v>
      </c>
      <c r="AY72" s="189">
        <v>688269711.28999996</v>
      </c>
      <c r="AZ72" s="189">
        <v>604142491</v>
      </c>
      <c r="BA72" s="189">
        <v>542814400.41999996</v>
      </c>
      <c r="BB72" s="189">
        <v>562882168.80999994</v>
      </c>
      <c r="BC72" s="189">
        <v>644389365.05999994</v>
      </c>
      <c r="BD72" s="189">
        <v>637806472.49000001</v>
      </c>
      <c r="BE72" s="189">
        <v>756378826.69000006</v>
      </c>
      <c r="BF72" s="189">
        <v>563320101.96000004</v>
      </c>
      <c r="BG72" s="189">
        <v>590767947.59000003</v>
      </c>
      <c r="BH72" s="189">
        <v>535519607.62</v>
      </c>
      <c r="BI72" s="189">
        <v>461073459.58999997</v>
      </c>
      <c r="BJ72" s="189">
        <v>445253280.10000002</v>
      </c>
      <c r="BK72" s="189">
        <v>432262857.18000001</v>
      </c>
      <c r="BL72" s="189">
        <v>423642136.48000002</v>
      </c>
      <c r="BM72" s="189">
        <v>363222453.33999997</v>
      </c>
      <c r="BN72" s="189">
        <v>324976744.41000003</v>
      </c>
      <c r="BO72" s="189">
        <v>260303639.38999999</v>
      </c>
      <c r="BP72" s="189">
        <v>166479357.08000001</v>
      </c>
      <c r="BQ72" s="189">
        <v>159932285.31999999</v>
      </c>
      <c r="BR72" s="189">
        <v>205103951.87</v>
      </c>
      <c r="BS72" s="189">
        <v>261120837.28</v>
      </c>
      <c r="BT72" s="189">
        <v>215746727.56</v>
      </c>
      <c r="BU72" s="189">
        <v>185524054.66999999</v>
      </c>
      <c r="BV72" s="189">
        <v>196408914.55000001</v>
      </c>
      <c r="BW72" s="189">
        <v>138791415.65000001</v>
      </c>
      <c r="BX72" s="189">
        <v>163094021.00999999</v>
      </c>
      <c r="BY72" s="189">
        <v>222097061.16</v>
      </c>
      <c r="BZ72" s="189">
        <v>155287612.46000001</v>
      </c>
      <c r="CA72" s="189">
        <v>221386502.05000001</v>
      </c>
      <c r="CB72" s="189">
        <v>182610000</v>
      </c>
      <c r="CC72" s="189">
        <v>220711443.16999999</v>
      </c>
      <c r="CD72" s="189">
        <v>165740000</v>
      </c>
      <c r="CE72" s="189">
        <v>178077896.13</v>
      </c>
      <c r="CF72" s="189">
        <v>180032301.69</v>
      </c>
      <c r="CG72" s="189">
        <v>0</v>
      </c>
      <c r="CH72" s="189">
        <v>0</v>
      </c>
      <c r="CI72" s="189">
        <v>0</v>
      </c>
    </row>
    <row r="73" spans="1:87">
      <c r="A73" s="189" t="s">
        <v>177</v>
      </c>
    </row>
    <row r="74" spans="1:87">
      <c r="A74" s="189" t="s">
        <v>178</v>
      </c>
      <c r="B74" s="189">
        <v>2048123051</v>
      </c>
      <c r="C74" s="189">
        <v>2048123051</v>
      </c>
      <c r="D74" s="189">
        <v>2048123051</v>
      </c>
      <c r="E74" s="189">
        <v>1401098744</v>
      </c>
      <c r="F74" s="189">
        <v>1401098744</v>
      </c>
      <c r="G74" s="189">
        <v>1401098744</v>
      </c>
      <c r="H74" s="189">
        <v>1401098744</v>
      </c>
      <c r="I74" s="189">
        <v>1401098744</v>
      </c>
      <c r="J74" s="189">
        <v>1401098744</v>
      </c>
      <c r="K74" s="189">
        <v>1401098744</v>
      </c>
      <c r="L74" s="189">
        <v>1401098744</v>
      </c>
      <c r="M74" s="189">
        <v>1401098744</v>
      </c>
      <c r="N74" s="189">
        <v>1131738475</v>
      </c>
      <c r="O74" s="189">
        <v>1131738475</v>
      </c>
      <c r="P74" s="189">
        <v>1131738475</v>
      </c>
      <c r="Q74" s="189">
        <v>1131738475</v>
      </c>
      <c r="R74" s="189">
        <v>1131738475</v>
      </c>
      <c r="S74" s="189">
        <v>574237500</v>
      </c>
      <c r="T74" s="189">
        <v>574237500</v>
      </c>
      <c r="U74" s="189">
        <v>574237500</v>
      </c>
      <c r="V74" s="189">
        <v>574237500</v>
      </c>
      <c r="W74" s="189">
        <v>574237500</v>
      </c>
      <c r="X74" s="189">
        <v>574237500</v>
      </c>
      <c r="Y74" s="189">
        <v>574237500</v>
      </c>
      <c r="Z74" s="189">
        <v>574237500</v>
      </c>
      <c r="AA74" s="189">
        <v>574237500</v>
      </c>
      <c r="AB74" s="189">
        <v>574237500</v>
      </c>
      <c r="AC74" s="189">
        <v>574237500</v>
      </c>
      <c r="AD74" s="189">
        <v>574237500</v>
      </c>
      <c r="AE74" s="189">
        <v>574237500</v>
      </c>
      <c r="AF74" s="189">
        <v>574237500</v>
      </c>
      <c r="AG74" s="189">
        <v>574237500</v>
      </c>
      <c r="AH74" s="189">
        <v>574237500</v>
      </c>
      <c r="AI74" s="189">
        <v>574237500</v>
      </c>
      <c r="AJ74" s="189">
        <v>574237500</v>
      </c>
      <c r="AK74" s="189">
        <v>574237500</v>
      </c>
      <c r="AL74" s="189">
        <v>574237500</v>
      </c>
      <c r="AM74" s="189">
        <v>574237500</v>
      </c>
      <c r="AN74" s="189">
        <v>574237500</v>
      </c>
      <c r="AO74" s="189">
        <v>574237500</v>
      </c>
      <c r="AP74" s="189">
        <v>382825000</v>
      </c>
      <c r="AQ74" s="189">
        <v>382825000</v>
      </c>
      <c r="AR74" s="189">
        <v>382825000</v>
      </c>
      <c r="AS74" s="189">
        <v>382825000</v>
      </c>
      <c r="AT74" s="189">
        <v>382825000</v>
      </c>
      <c r="AU74" s="189">
        <v>331925000</v>
      </c>
      <c r="AV74" s="189">
        <v>331925000</v>
      </c>
      <c r="AW74" s="189">
        <v>331925000</v>
      </c>
      <c r="AX74" s="189">
        <v>331925000</v>
      </c>
      <c r="AY74" s="189">
        <v>331925000</v>
      </c>
      <c r="AZ74" s="189">
        <v>265540000</v>
      </c>
      <c r="BA74" s="189">
        <v>265540000</v>
      </c>
      <c r="BB74" s="189">
        <v>265540000</v>
      </c>
      <c r="BC74" s="189">
        <v>265540000</v>
      </c>
      <c r="BD74" s="189">
        <v>265540000</v>
      </c>
      <c r="BE74" s="189">
        <v>265540000</v>
      </c>
      <c r="BF74" s="189">
        <v>265540000</v>
      </c>
      <c r="BG74" s="189">
        <v>265540000</v>
      </c>
      <c r="BH74" s="189">
        <v>132770000</v>
      </c>
      <c r="BI74" s="189">
        <v>132770000</v>
      </c>
      <c r="BJ74" s="189">
        <v>132770000</v>
      </c>
      <c r="BK74" s="189">
        <v>132770000</v>
      </c>
      <c r="BL74" s="189">
        <v>132770000</v>
      </c>
      <c r="BM74" s="189">
        <v>132770000</v>
      </c>
      <c r="BN74" s="189">
        <v>132770000</v>
      </c>
      <c r="BO74" s="189">
        <v>132770000</v>
      </c>
      <c r="BP74" s="189">
        <v>132770000</v>
      </c>
      <c r="BQ74" s="189">
        <v>132770000</v>
      </c>
      <c r="BR74" s="189">
        <v>132770000</v>
      </c>
      <c r="BS74" s="189">
        <v>116270000</v>
      </c>
      <c r="BT74" s="189">
        <v>116270000</v>
      </c>
      <c r="BU74" s="189">
        <v>116270000</v>
      </c>
      <c r="BV74" s="189">
        <v>116270000</v>
      </c>
      <c r="BW74" s="189">
        <v>116270000</v>
      </c>
      <c r="BX74" s="189">
        <v>116270000</v>
      </c>
      <c r="BY74" s="189">
        <v>91355000</v>
      </c>
      <c r="BZ74" s="189">
        <v>83050000</v>
      </c>
      <c r="CA74" s="189">
        <v>83050000</v>
      </c>
      <c r="CB74" s="189">
        <v>83050000</v>
      </c>
      <c r="CC74" s="189">
        <v>75500000</v>
      </c>
      <c r="CD74" s="189">
        <v>75500000</v>
      </c>
      <c r="CE74" s="189">
        <v>68728867.129999995</v>
      </c>
      <c r="CF74" s="189">
        <v>68728867.129999995</v>
      </c>
      <c r="CG74" s="189">
        <v>0</v>
      </c>
      <c r="CH74" s="189">
        <v>0</v>
      </c>
      <c r="CI74" s="189">
        <v>0</v>
      </c>
    </row>
    <row r="75" spans="1:87">
      <c r="A75" s="189" t="s">
        <v>179</v>
      </c>
      <c r="B75" s="189">
        <v>20135887538.27</v>
      </c>
      <c r="C75" s="189">
        <v>20135887538.27</v>
      </c>
      <c r="D75" s="189">
        <v>20214104987.41</v>
      </c>
      <c r="E75" s="189">
        <v>11337646689.75</v>
      </c>
      <c r="F75" s="189">
        <v>11337646689.75</v>
      </c>
      <c r="G75" s="189">
        <v>11337646689.75</v>
      </c>
      <c r="H75" s="189">
        <v>11337646689.75</v>
      </c>
      <c r="I75" s="189">
        <v>11337646689.75</v>
      </c>
      <c r="J75" s="189">
        <v>11337646690.040001</v>
      </c>
      <c r="K75" s="189">
        <v>11337646690</v>
      </c>
      <c r="L75" s="189">
        <v>11337646690.030001</v>
      </c>
      <c r="M75" s="189">
        <v>11337646346</v>
      </c>
      <c r="N75" s="189">
        <v>6967560510.0699997</v>
      </c>
      <c r="O75" s="189">
        <v>6967560496</v>
      </c>
      <c r="P75" s="189">
        <v>6967560496</v>
      </c>
      <c r="Q75" s="189">
        <v>6967560496</v>
      </c>
      <c r="R75" s="189">
        <v>6975595288.9899998</v>
      </c>
      <c r="S75" s="189">
        <v>543920670</v>
      </c>
      <c r="T75" s="189">
        <v>543644235.69000006</v>
      </c>
      <c r="U75" s="189">
        <v>545609635</v>
      </c>
      <c r="V75" s="189">
        <v>538588546</v>
      </c>
      <c r="W75" s="189">
        <v>536572198</v>
      </c>
      <c r="X75" s="189">
        <v>538127143.05999994</v>
      </c>
      <c r="Y75" s="189">
        <v>539215748</v>
      </c>
      <c r="Z75" s="189">
        <v>537629364</v>
      </c>
      <c r="AA75" s="189">
        <v>539607526</v>
      </c>
      <c r="AB75" s="189">
        <v>541435620.40999997</v>
      </c>
      <c r="AC75" s="189">
        <v>539787339</v>
      </c>
      <c r="AD75" s="189">
        <v>535741556.77999997</v>
      </c>
      <c r="AE75" s="189">
        <v>535741557</v>
      </c>
      <c r="AF75" s="189">
        <v>535741556.77999997</v>
      </c>
      <c r="AG75" s="189">
        <v>535741557</v>
      </c>
      <c r="AH75" s="189">
        <v>535741556.77999997</v>
      </c>
      <c r="AI75" s="189">
        <v>535741556.77999997</v>
      </c>
      <c r="AJ75" s="189">
        <v>535741556.77999997</v>
      </c>
      <c r="AK75" s="189">
        <v>535741556.77999997</v>
      </c>
      <c r="AL75" s="189">
        <v>536256189.83999997</v>
      </c>
      <c r="AM75" s="189">
        <v>536256189.83999997</v>
      </c>
      <c r="AN75" s="189">
        <v>536256189.83999997</v>
      </c>
      <c r="AO75" s="189">
        <v>536256189.83999997</v>
      </c>
      <c r="AP75" s="189">
        <v>780136624.14999998</v>
      </c>
      <c r="AQ75" s="189">
        <v>798161864.14999998</v>
      </c>
      <c r="AR75" s="189">
        <v>869340557.83000004</v>
      </c>
      <c r="AS75" s="189">
        <v>902963932.26999998</v>
      </c>
      <c r="AT75" s="189">
        <v>896834201.80999994</v>
      </c>
      <c r="AU75" s="189">
        <v>294692914.85000002</v>
      </c>
      <c r="AV75" s="189">
        <v>294692914.85000002</v>
      </c>
      <c r="AW75" s="189">
        <v>294692914.85000002</v>
      </c>
      <c r="AX75" s="189">
        <v>297636776.43000001</v>
      </c>
      <c r="AY75" s="189">
        <v>297636776.43000001</v>
      </c>
      <c r="AZ75" s="189">
        <v>364021776.43000001</v>
      </c>
      <c r="BA75" s="189">
        <v>364021776.43000001</v>
      </c>
      <c r="BB75" s="189">
        <v>363791776.43000001</v>
      </c>
      <c r="BC75" s="189">
        <v>363791776.43000001</v>
      </c>
      <c r="BD75" s="189">
        <v>363791776.43000001</v>
      </c>
      <c r="BE75" s="189">
        <v>363791776.43000001</v>
      </c>
      <c r="BF75" s="189">
        <v>363791776.43000001</v>
      </c>
      <c r="BG75" s="189">
        <v>363791776.43000001</v>
      </c>
      <c r="BH75" s="189">
        <v>496561776.43000001</v>
      </c>
      <c r="BI75" s="189">
        <v>496561776.43000001</v>
      </c>
      <c r="BJ75" s="189">
        <v>495447491.72000003</v>
      </c>
      <c r="BK75" s="189">
        <v>495447491.72000003</v>
      </c>
      <c r="BL75" s="189">
        <v>495447491.72000003</v>
      </c>
      <c r="BM75" s="189">
        <v>495489841.72000003</v>
      </c>
      <c r="BN75" s="189">
        <v>495447491.72000003</v>
      </c>
      <c r="BO75" s="189">
        <v>495447491.72000003</v>
      </c>
      <c r="BP75" s="189">
        <v>495938921.72000003</v>
      </c>
      <c r="BQ75" s="189">
        <v>495447491.72000003</v>
      </c>
      <c r="BR75" s="189">
        <v>495938921.72000003</v>
      </c>
      <c r="BS75" s="189">
        <v>159458137.28</v>
      </c>
      <c r="BT75" s="189">
        <v>159458137.28</v>
      </c>
      <c r="BU75" s="189">
        <v>159458137.28</v>
      </c>
      <c r="BV75" s="189">
        <v>159458137.28</v>
      </c>
      <c r="BW75" s="189">
        <v>159590137.28</v>
      </c>
      <c r="BX75" s="189">
        <v>159590137.28</v>
      </c>
      <c r="BY75" s="189">
        <v>52468946.350000001</v>
      </c>
      <c r="BZ75" s="189">
        <v>52468946.350000001</v>
      </c>
      <c r="CA75" s="189">
        <v>52468946.350000001</v>
      </c>
      <c r="CB75" s="189">
        <v>52470000</v>
      </c>
      <c r="CC75" s="189">
        <v>52468946.350000001</v>
      </c>
      <c r="CD75" s="189">
        <v>0</v>
      </c>
      <c r="CE75" s="189">
        <v>12722921.82</v>
      </c>
      <c r="CF75" s="189">
        <v>13228595.720000001</v>
      </c>
      <c r="CG75" s="189">
        <v>0</v>
      </c>
      <c r="CH75" s="189">
        <v>0</v>
      </c>
      <c r="CI75" s="189">
        <v>0</v>
      </c>
    </row>
    <row r="76" spans="1:87">
      <c r="A76" s="189" t="s">
        <v>180</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0</v>
      </c>
      <c r="BQ76" s="189">
        <v>0</v>
      </c>
      <c r="BR76" s="189">
        <v>0</v>
      </c>
      <c r="BS76" s="189">
        <v>0</v>
      </c>
      <c r="BT76" s="189">
        <v>0</v>
      </c>
      <c r="BU76" s="189">
        <v>0</v>
      </c>
      <c r="BV76" s="189">
        <v>0</v>
      </c>
      <c r="BW76" s="189">
        <v>0</v>
      </c>
      <c r="BX76" s="189">
        <v>0</v>
      </c>
      <c r="BY76" s="189">
        <v>0</v>
      </c>
      <c r="BZ76" s="189">
        <v>0</v>
      </c>
      <c r="CA76" s="189">
        <v>0</v>
      </c>
      <c r="CB76" s="189">
        <v>0</v>
      </c>
      <c r="CC76" s="189">
        <v>0</v>
      </c>
      <c r="CD76" s="189">
        <v>0</v>
      </c>
      <c r="CE76" s="189">
        <v>0</v>
      </c>
      <c r="CF76" s="189">
        <v>0</v>
      </c>
      <c r="CG76" s="189">
        <v>0</v>
      </c>
      <c r="CH76" s="189">
        <v>0</v>
      </c>
      <c r="CI76" s="189">
        <v>0</v>
      </c>
    </row>
    <row r="77" spans="1:87">
      <c r="A77" s="189" t="s">
        <v>181</v>
      </c>
      <c r="B77" s="189">
        <v>-58442802.649999999</v>
      </c>
      <c r="C77" s="189">
        <v>-71154179.980000004</v>
      </c>
      <c r="D77" s="189">
        <v>-81050131.450000003</v>
      </c>
      <c r="E77" s="189">
        <v>-85057448.390000001</v>
      </c>
      <c r="F77" s="189">
        <v>-78414173.560000002</v>
      </c>
      <c r="G77" s="189">
        <v>-68616986.109999999</v>
      </c>
      <c r="H77" s="189">
        <v>-62255201.079999998</v>
      </c>
      <c r="I77" s="189">
        <v>-77756687.489999995</v>
      </c>
      <c r="J77" s="189">
        <v>-35725748.210000001</v>
      </c>
      <c r="K77" s="189">
        <v>-32496805</v>
      </c>
      <c r="L77" s="189">
        <v>-77283925.060000002</v>
      </c>
      <c r="M77" s="189">
        <v>-103270219</v>
      </c>
      <c r="N77" s="189">
        <v>-109510720.26000001</v>
      </c>
      <c r="O77" s="189">
        <v>-132652739</v>
      </c>
      <c r="P77" s="189">
        <v>-124604103.48</v>
      </c>
      <c r="Q77" s="189">
        <v>-123386299</v>
      </c>
      <c r="R77" s="189">
        <v>13834616.35</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c r="AN77" s="189">
        <v>0</v>
      </c>
      <c r="AO77" s="189">
        <v>0</v>
      </c>
      <c r="AP77" s="189">
        <v>0</v>
      </c>
      <c r="AQ77" s="189">
        <v>0</v>
      </c>
      <c r="AR77" s="189">
        <v>0</v>
      </c>
      <c r="AS77" s="189">
        <v>0</v>
      </c>
      <c r="AT77" s="189">
        <v>0</v>
      </c>
      <c r="AU77" s="189">
        <v>0</v>
      </c>
      <c r="AV77" s="189">
        <v>0</v>
      </c>
      <c r="AW77" s="189">
        <v>0</v>
      </c>
      <c r="AX77" s="189">
        <v>0</v>
      </c>
      <c r="AY77" s="189">
        <v>0</v>
      </c>
      <c r="AZ77" s="189">
        <v>0</v>
      </c>
      <c r="BA77" s="189">
        <v>0</v>
      </c>
      <c r="BB77" s="189">
        <v>0</v>
      </c>
      <c r="BC77" s="189">
        <v>0</v>
      </c>
      <c r="BD77" s="189">
        <v>0</v>
      </c>
      <c r="BE77" s="189">
        <v>0</v>
      </c>
      <c r="BF77" s="189">
        <v>0</v>
      </c>
      <c r="BG77" s="189">
        <v>0</v>
      </c>
      <c r="BH77" s="189">
        <v>0</v>
      </c>
      <c r="BI77" s="189">
        <v>0</v>
      </c>
      <c r="BJ77" s="189">
        <v>0</v>
      </c>
      <c r="BK77" s="189">
        <v>0</v>
      </c>
      <c r="BL77" s="189">
        <v>0</v>
      </c>
      <c r="BM77" s="189">
        <v>0</v>
      </c>
      <c r="BN77" s="189">
        <v>0</v>
      </c>
      <c r="BO77" s="189">
        <v>0</v>
      </c>
      <c r="BP77" s="189">
        <v>0</v>
      </c>
      <c r="BQ77" s="189">
        <v>0</v>
      </c>
      <c r="BR77" s="189">
        <v>0</v>
      </c>
      <c r="BS77" s="189">
        <v>0</v>
      </c>
      <c r="BT77" s="189">
        <v>0</v>
      </c>
      <c r="BU77" s="189">
        <v>0</v>
      </c>
      <c r="BV77" s="189">
        <v>0</v>
      </c>
      <c r="BW77" s="189">
        <v>0</v>
      </c>
      <c r="BX77" s="189">
        <v>0</v>
      </c>
      <c r="BY77" s="189">
        <v>0</v>
      </c>
      <c r="BZ77" s="189">
        <v>0</v>
      </c>
      <c r="CA77" s="189">
        <v>0</v>
      </c>
      <c r="CB77" s="189">
        <v>0</v>
      </c>
      <c r="CC77" s="189">
        <v>0</v>
      </c>
      <c r="CD77" s="189">
        <v>0</v>
      </c>
      <c r="CE77" s="189">
        <v>0</v>
      </c>
      <c r="CF77" s="189">
        <v>0</v>
      </c>
      <c r="CG77" s="189">
        <v>0</v>
      </c>
      <c r="CH77" s="189">
        <v>0</v>
      </c>
      <c r="CI77" s="189">
        <v>0</v>
      </c>
    </row>
    <row r="78" spans="1:87">
      <c r="A78" s="189" t="s">
        <v>182</v>
      </c>
      <c r="B78" s="189">
        <v>0</v>
      </c>
      <c r="C78" s="189">
        <v>0</v>
      </c>
      <c r="D78" s="189">
        <v>0</v>
      </c>
      <c r="E78" s="189">
        <v>0</v>
      </c>
      <c r="F78" s="189">
        <v>0</v>
      </c>
      <c r="G78" s="189">
        <v>0</v>
      </c>
      <c r="H78" s="189">
        <v>0</v>
      </c>
      <c r="I78" s="189">
        <v>0</v>
      </c>
      <c r="J78" s="189">
        <v>0</v>
      </c>
      <c r="K78" s="189">
        <v>0</v>
      </c>
      <c r="L78" s="189">
        <v>0</v>
      </c>
      <c r="M78" s="189">
        <v>0</v>
      </c>
      <c r="N78" s="189">
        <v>0</v>
      </c>
      <c r="O78" s="189">
        <v>0</v>
      </c>
      <c r="P78" s="189">
        <v>0</v>
      </c>
      <c r="Q78" s="189">
        <v>0</v>
      </c>
      <c r="R78" s="189">
        <v>0</v>
      </c>
      <c r="S78" s="189">
        <v>0</v>
      </c>
      <c r="T78" s="189">
        <v>0</v>
      </c>
      <c r="U78" s="189">
        <v>0</v>
      </c>
      <c r="V78" s="189">
        <v>0</v>
      </c>
      <c r="W78" s="189">
        <v>0</v>
      </c>
      <c r="X78" s="189">
        <v>0</v>
      </c>
      <c r="Y78" s="189">
        <v>0</v>
      </c>
      <c r="Z78" s="189">
        <v>0</v>
      </c>
      <c r="AA78" s="189">
        <v>0</v>
      </c>
      <c r="AB78" s="189">
        <v>0</v>
      </c>
      <c r="AC78" s="189">
        <v>0</v>
      </c>
      <c r="AD78" s="189">
        <v>0</v>
      </c>
      <c r="AE78" s="189">
        <v>0</v>
      </c>
      <c r="AF78" s="189">
        <v>0</v>
      </c>
      <c r="AG78" s="189">
        <v>0</v>
      </c>
      <c r="AH78" s="189">
        <v>0</v>
      </c>
      <c r="AI78" s="189">
        <v>0</v>
      </c>
      <c r="AJ78" s="189">
        <v>0</v>
      </c>
      <c r="AK78" s="189">
        <v>0</v>
      </c>
      <c r="AL78" s="189">
        <v>0</v>
      </c>
      <c r="AM78" s="189">
        <v>0</v>
      </c>
      <c r="AN78" s="189">
        <v>0</v>
      </c>
      <c r="AO78" s="189">
        <v>0</v>
      </c>
      <c r="AP78" s="189">
        <v>0</v>
      </c>
      <c r="AQ78" s="189">
        <v>0</v>
      </c>
      <c r="AR78" s="189">
        <v>0</v>
      </c>
      <c r="AS78" s="189">
        <v>0</v>
      </c>
      <c r="AT78" s="189">
        <v>0</v>
      </c>
      <c r="AU78" s="189">
        <v>0</v>
      </c>
      <c r="AV78" s="189">
        <v>0</v>
      </c>
      <c r="AW78" s="189">
        <v>0</v>
      </c>
      <c r="AX78" s="189">
        <v>0</v>
      </c>
      <c r="AY78" s="189">
        <v>0</v>
      </c>
      <c r="AZ78" s="189">
        <v>0</v>
      </c>
      <c r="BA78" s="189">
        <v>0</v>
      </c>
      <c r="BB78" s="189">
        <v>0</v>
      </c>
      <c r="BC78" s="189">
        <v>0</v>
      </c>
      <c r="BD78" s="189">
        <v>0</v>
      </c>
      <c r="BE78" s="189">
        <v>0</v>
      </c>
      <c r="BF78" s="189">
        <v>0</v>
      </c>
      <c r="BG78" s="189">
        <v>0</v>
      </c>
      <c r="BH78" s="189">
        <v>0</v>
      </c>
      <c r="BI78" s="189">
        <v>0</v>
      </c>
      <c r="BJ78" s="189">
        <v>0</v>
      </c>
      <c r="BK78" s="189">
        <v>0</v>
      </c>
      <c r="BL78" s="189">
        <v>0</v>
      </c>
      <c r="BM78" s="189">
        <v>0</v>
      </c>
      <c r="BN78" s="189">
        <v>0</v>
      </c>
      <c r="BO78" s="189">
        <v>0</v>
      </c>
      <c r="BP78" s="189">
        <v>0</v>
      </c>
      <c r="BQ78" s="189">
        <v>0</v>
      </c>
      <c r="BR78" s="189">
        <v>0</v>
      </c>
      <c r="BS78" s="189">
        <v>0</v>
      </c>
      <c r="BT78" s="189">
        <v>0</v>
      </c>
      <c r="BU78" s="189">
        <v>0</v>
      </c>
      <c r="BV78" s="189">
        <v>0</v>
      </c>
      <c r="BW78" s="189">
        <v>0</v>
      </c>
      <c r="BX78" s="189">
        <v>0</v>
      </c>
      <c r="BY78" s="189">
        <v>0</v>
      </c>
      <c r="BZ78" s="189">
        <v>0</v>
      </c>
      <c r="CA78" s="189">
        <v>0</v>
      </c>
      <c r="CB78" s="189">
        <v>0</v>
      </c>
      <c r="CC78" s="189">
        <v>0</v>
      </c>
      <c r="CD78" s="189">
        <v>0</v>
      </c>
      <c r="CE78" s="189">
        <v>0</v>
      </c>
      <c r="CF78" s="189">
        <v>0</v>
      </c>
      <c r="CG78" s="189">
        <v>0</v>
      </c>
      <c r="CH78" s="189">
        <v>0</v>
      </c>
      <c r="CI78" s="189">
        <v>0</v>
      </c>
    </row>
    <row r="79" spans="1:87">
      <c r="A79" s="189" t="s">
        <v>183</v>
      </c>
      <c r="B79" s="189">
        <v>164412621.61000001</v>
      </c>
      <c r="C79" s="189">
        <v>164412621.61000001</v>
      </c>
      <c r="D79" s="189">
        <v>164412621.61000001</v>
      </c>
      <c r="E79" s="189">
        <v>164412621.61000001</v>
      </c>
      <c r="F79" s="189">
        <v>159041385.27000001</v>
      </c>
      <c r="G79" s="189">
        <v>159041385.27000001</v>
      </c>
      <c r="H79" s="189">
        <v>159041385.27000001</v>
      </c>
      <c r="I79" s="189">
        <v>159041385.27000001</v>
      </c>
      <c r="J79" s="189">
        <v>141705474</v>
      </c>
      <c r="K79" s="189">
        <v>141705474</v>
      </c>
      <c r="L79" s="189">
        <v>141705474</v>
      </c>
      <c r="M79" s="189">
        <v>141705474</v>
      </c>
      <c r="N79" s="189">
        <v>120847418</v>
      </c>
      <c r="O79" s="189">
        <v>120847418</v>
      </c>
      <c r="P79" s="189">
        <v>120847418</v>
      </c>
      <c r="Q79" s="189">
        <v>120847418</v>
      </c>
      <c r="R79" s="189">
        <v>104916920</v>
      </c>
      <c r="S79" s="189">
        <v>104916920</v>
      </c>
      <c r="T79" s="189">
        <v>104916920</v>
      </c>
      <c r="U79" s="189">
        <v>104916920</v>
      </c>
      <c r="V79" s="189">
        <v>95777205</v>
      </c>
      <c r="W79" s="189">
        <v>95777205</v>
      </c>
      <c r="X79" s="189">
        <v>95777205</v>
      </c>
      <c r="Y79" s="189">
        <v>95777205</v>
      </c>
      <c r="Z79" s="189">
        <v>94396274</v>
      </c>
      <c r="AA79" s="189">
        <v>94396274</v>
      </c>
      <c r="AB79" s="189">
        <v>94396273.659999996</v>
      </c>
      <c r="AC79" s="189">
        <v>94396274</v>
      </c>
      <c r="AD79" s="189">
        <v>91357090.760000005</v>
      </c>
      <c r="AE79" s="189">
        <v>91357091</v>
      </c>
      <c r="AF79" s="189">
        <v>91357090.760000005</v>
      </c>
      <c r="AG79" s="189">
        <v>91357091</v>
      </c>
      <c r="AH79" s="189">
        <v>87181957.760000005</v>
      </c>
      <c r="AI79" s="189">
        <v>87181957.760000005</v>
      </c>
      <c r="AJ79" s="189">
        <v>87181957.760000005</v>
      </c>
      <c r="AK79" s="189">
        <v>87181957.760000005</v>
      </c>
      <c r="AL79" s="189">
        <v>87181957.760000005</v>
      </c>
      <c r="AM79" s="189">
        <v>87181957.760000005</v>
      </c>
      <c r="AN79" s="189">
        <v>87181957.760000005</v>
      </c>
      <c r="AO79" s="189">
        <v>87181957.760000005</v>
      </c>
      <c r="AP79" s="189">
        <v>82732129.939999998</v>
      </c>
      <c r="AQ79" s="189">
        <v>82732129.939999998</v>
      </c>
      <c r="AR79" s="189">
        <v>82732129.939999998</v>
      </c>
      <c r="AS79" s="189">
        <v>82732129.939999998</v>
      </c>
      <c r="AT79" s="189">
        <v>72274024.609999999</v>
      </c>
      <c r="AU79" s="189">
        <v>72274024.609999999</v>
      </c>
      <c r="AV79" s="189">
        <v>72274024.609999999</v>
      </c>
      <c r="AW79" s="189">
        <v>72274024.609999999</v>
      </c>
      <c r="AX79" s="189">
        <v>62707481.710000001</v>
      </c>
      <c r="AY79" s="189">
        <v>62707481.710000001</v>
      </c>
      <c r="AZ79" s="189">
        <v>62707481.710000001</v>
      </c>
      <c r="BA79" s="189">
        <v>62707481.710000001</v>
      </c>
      <c r="BB79" s="189">
        <v>54397075.32</v>
      </c>
      <c r="BC79" s="189">
        <v>54397075.32</v>
      </c>
      <c r="BD79" s="189">
        <v>54397075.32</v>
      </c>
      <c r="BE79" s="189">
        <v>54397075.32</v>
      </c>
      <c r="BF79" s="189">
        <v>47188077.280000001</v>
      </c>
      <c r="BG79" s="189">
        <v>47188077.280000001</v>
      </c>
      <c r="BH79" s="189">
        <v>47188077.280000001</v>
      </c>
      <c r="BI79" s="189">
        <v>47188077.280000001</v>
      </c>
      <c r="BJ79" s="189">
        <v>44484453.210000001</v>
      </c>
      <c r="BK79" s="189">
        <v>44484453.210000001</v>
      </c>
      <c r="BL79" s="189">
        <v>44484453.210000001</v>
      </c>
      <c r="BM79" s="189">
        <v>44484453.210000001</v>
      </c>
      <c r="BN79" s="189">
        <v>45943167.859999999</v>
      </c>
      <c r="BO79" s="189">
        <v>45943167.859999999</v>
      </c>
      <c r="BP79" s="189">
        <v>46996229.469999999</v>
      </c>
      <c r="BQ79" s="189">
        <v>44484453.210000001</v>
      </c>
      <c r="BR79" s="189">
        <v>42872349.649999999</v>
      </c>
      <c r="BS79" s="189">
        <v>42248611.420000002</v>
      </c>
      <c r="BT79" s="189">
        <v>37994648.560000002</v>
      </c>
      <c r="BU79" s="189">
        <v>37994648.560000002</v>
      </c>
      <c r="BV79" s="189">
        <v>36192545.640000001</v>
      </c>
      <c r="BW79" s="189">
        <v>36192545.640000001</v>
      </c>
      <c r="BX79" s="189">
        <v>31905455.460000001</v>
      </c>
      <c r="BY79" s="189">
        <v>31905455.460000001</v>
      </c>
      <c r="BZ79" s="189">
        <v>22662485.5</v>
      </c>
      <c r="CA79" s="189">
        <v>22662485.5</v>
      </c>
      <c r="CB79" s="189">
        <v>20020000</v>
      </c>
      <c r="CC79" s="189">
        <v>20022320.620000001</v>
      </c>
      <c r="CD79" s="189">
        <v>0</v>
      </c>
      <c r="CE79" s="189">
        <v>11583475.75</v>
      </c>
      <c r="CF79" s="189">
        <v>6725070.3600000003</v>
      </c>
      <c r="CG79" s="189">
        <v>0</v>
      </c>
      <c r="CH79" s="189">
        <v>0</v>
      </c>
      <c r="CI79" s="189">
        <v>0</v>
      </c>
    </row>
    <row r="80" spans="1:87">
      <c r="A80" s="189" t="s">
        <v>184</v>
      </c>
      <c r="B80" s="189">
        <v>0</v>
      </c>
      <c r="C80" s="189">
        <v>0</v>
      </c>
      <c r="D80" s="189">
        <v>0</v>
      </c>
      <c r="E80" s="189">
        <v>0</v>
      </c>
      <c r="F80" s="189">
        <v>0</v>
      </c>
      <c r="G80" s="189">
        <v>0</v>
      </c>
      <c r="H80" s="189">
        <v>0</v>
      </c>
      <c r="I80" s="189">
        <v>0</v>
      </c>
      <c r="J80" s="189">
        <v>0</v>
      </c>
      <c r="K80" s="189">
        <v>0</v>
      </c>
      <c r="L80" s="189">
        <v>0</v>
      </c>
      <c r="M80" s="189">
        <v>0</v>
      </c>
      <c r="N80" s="189">
        <v>0</v>
      </c>
      <c r="O80" s="189">
        <v>0</v>
      </c>
      <c r="P80" s="189">
        <v>0</v>
      </c>
      <c r="Q80" s="189">
        <v>0</v>
      </c>
      <c r="R80" s="189">
        <v>0</v>
      </c>
      <c r="S80" s="189">
        <v>0</v>
      </c>
      <c r="T80" s="189">
        <v>0</v>
      </c>
      <c r="U80" s="189">
        <v>0</v>
      </c>
      <c r="V80" s="189">
        <v>0</v>
      </c>
      <c r="W80" s="189">
        <v>0</v>
      </c>
      <c r="X80" s="189">
        <v>0</v>
      </c>
      <c r="Y80" s="189">
        <v>0</v>
      </c>
      <c r="Z80" s="189">
        <v>0</v>
      </c>
      <c r="AA80" s="189">
        <v>0</v>
      </c>
      <c r="AB80" s="189">
        <v>0</v>
      </c>
      <c r="AC80" s="189">
        <v>0</v>
      </c>
      <c r="AD80" s="189">
        <v>0</v>
      </c>
      <c r="AE80" s="189">
        <v>0</v>
      </c>
      <c r="AF80" s="189">
        <v>0</v>
      </c>
      <c r="AG80" s="189">
        <v>0</v>
      </c>
      <c r="AH80" s="189">
        <v>0</v>
      </c>
      <c r="AI80" s="189">
        <v>0</v>
      </c>
      <c r="AJ80" s="189">
        <v>0</v>
      </c>
      <c r="AK80" s="189">
        <v>0</v>
      </c>
      <c r="AL80" s="189">
        <v>0</v>
      </c>
      <c r="AM80" s="189">
        <v>0</v>
      </c>
      <c r="AN80" s="189">
        <v>0</v>
      </c>
      <c r="AO80" s="189">
        <v>0</v>
      </c>
      <c r="AP80" s="189">
        <v>0</v>
      </c>
      <c r="AQ80" s="189">
        <v>0</v>
      </c>
      <c r="AR80" s="189">
        <v>0</v>
      </c>
      <c r="AS80" s="189">
        <v>0</v>
      </c>
      <c r="AT80" s="189">
        <v>0</v>
      </c>
      <c r="AU80" s="189">
        <v>0</v>
      </c>
      <c r="AV80" s="189">
        <v>0</v>
      </c>
      <c r="AW80" s="189">
        <v>0</v>
      </c>
      <c r="AX80" s="189">
        <v>0</v>
      </c>
      <c r="AY80" s="189">
        <v>0</v>
      </c>
      <c r="AZ80" s="189">
        <v>0</v>
      </c>
      <c r="BA80" s="189">
        <v>0</v>
      </c>
      <c r="BB80" s="189">
        <v>0</v>
      </c>
      <c r="BC80" s="189">
        <v>0</v>
      </c>
      <c r="BD80" s="189">
        <v>0</v>
      </c>
      <c r="BE80" s="189">
        <v>0</v>
      </c>
      <c r="BF80" s="189">
        <v>0</v>
      </c>
      <c r="BG80" s="189">
        <v>0</v>
      </c>
      <c r="BH80" s="189">
        <v>0</v>
      </c>
      <c r="BI80" s="189">
        <v>0</v>
      </c>
      <c r="BJ80" s="189">
        <v>0</v>
      </c>
      <c r="BK80" s="189">
        <v>0</v>
      </c>
      <c r="BL80" s="189">
        <v>0</v>
      </c>
      <c r="BM80" s="189">
        <v>0</v>
      </c>
      <c r="BN80" s="189">
        <v>0</v>
      </c>
      <c r="BO80" s="189">
        <v>0</v>
      </c>
      <c r="BP80" s="189">
        <v>0</v>
      </c>
      <c r="BQ80" s="189">
        <v>0</v>
      </c>
      <c r="BR80" s="189">
        <v>0</v>
      </c>
      <c r="BS80" s="189">
        <v>0</v>
      </c>
      <c r="BT80" s="189">
        <v>0</v>
      </c>
      <c r="BU80" s="189">
        <v>0</v>
      </c>
      <c r="BV80" s="189">
        <v>0</v>
      </c>
      <c r="BW80" s="189">
        <v>0</v>
      </c>
      <c r="BX80" s="189">
        <v>0</v>
      </c>
      <c r="BY80" s="189">
        <v>0</v>
      </c>
      <c r="BZ80" s="189">
        <v>0</v>
      </c>
      <c r="CA80" s="189">
        <v>0</v>
      </c>
      <c r="CB80" s="189">
        <v>0</v>
      </c>
      <c r="CC80" s="189">
        <v>0</v>
      </c>
      <c r="CD80" s="189">
        <v>0</v>
      </c>
      <c r="CE80" s="189">
        <v>0</v>
      </c>
      <c r="CF80" s="189">
        <v>0</v>
      </c>
      <c r="CG80" s="189">
        <v>0</v>
      </c>
      <c r="CH80" s="189">
        <v>0</v>
      </c>
      <c r="CI80" s="189">
        <v>0</v>
      </c>
    </row>
    <row r="81" spans="1:87">
      <c r="A81" s="189" t="s">
        <v>185</v>
      </c>
      <c r="B81" s="189">
        <v>3999475115.0700002</v>
      </c>
      <c r="C81" s="189">
        <v>3564539838.0599999</v>
      </c>
      <c r="D81" s="189">
        <v>3112072354.2800002</v>
      </c>
      <c r="E81" s="189">
        <v>1656696539.6900001</v>
      </c>
      <c r="F81" s="189">
        <v>1608253906.3199999</v>
      </c>
      <c r="G81" s="189">
        <v>1386667129.74</v>
      </c>
      <c r="H81" s="189">
        <v>1164068688.9200001</v>
      </c>
      <c r="I81" s="189">
        <v>938929385.04999995</v>
      </c>
      <c r="J81" s="189">
        <v>764765922.41999996</v>
      </c>
      <c r="K81" s="189">
        <v>651784797</v>
      </c>
      <c r="L81" s="189">
        <v>562039359.25999999</v>
      </c>
      <c r="M81" s="189">
        <v>471153830</v>
      </c>
      <c r="N81" s="189">
        <v>275890083.25</v>
      </c>
      <c r="O81" s="189">
        <v>194615429</v>
      </c>
      <c r="P81" s="189">
        <v>179747586.63</v>
      </c>
      <c r="Q81" s="189">
        <v>50510243</v>
      </c>
      <c r="R81" s="189">
        <v>-234560005.5</v>
      </c>
      <c r="S81" s="189">
        <v>292507530</v>
      </c>
      <c r="T81" s="189">
        <v>298217136.48000002</v>
      </c>
      <c r="U81" s="189">
        <v>268538846</v>
      </c>
      <c r="V81" s="189">
        <v>253366032</v>
      </c>
      <c r="W81" s="189">
        <v>155544402</v>
      </c>
      <c r="X81" s="189">
        <v>170045508.81999999</v>
      </c>
      <c r="Y81" s="189">
        <v>168587585</v>
      </c>
      <c r="Z81" s="189">
        <v>175328435</v>
      </c>
      <c r="AA81" s="189">
        <v>126400831</v>
      </c>
      <c r="AB81" s="189">
        <v>108324933.20999999</v>
      </c>
      <c r="AC81" s="189">
        <v>115551728</v>
      </c>
      <c r="AD81" s="189">
        <v>66653264.229999997</v>
      </c>
      <c r="AE81" s="189">
        <v>54282103</v>
      </c>
      <c r="AF81" s="189">
        <v>25311101.609999999</v>
      </c>
      <c r="AG81" s="189">
        <v>17457568</v>
      </c>
      <c r="AH81" s="189">
        <v>20319759.640000001</v>
      </c>
      <c r="AI81" s="189">
        <v>-3979355.66</v>
      </c>
      <c r="AJ81" s="189">
        <v>-43315720.409999996</v>
      </c>
      <c r="AK81" s="189">
        <v>-48749120.159999996</v>
      </c>
      <c r="AL81" s="189">
        <v>36240332.869999997</v>
      </c>
      <c r="AM81" s="189">
        <v>58254501.890000001</v>
      </c>
      <c r="AN81" s="189">
        <v>102551882.31</v>
      </c>
      <c r="AO81" s="189">
        <v>156888444.58000001</v>
      </c>
      <c r="AP81" s="189">
        <v>191746099.72999999</v>
      </c>
      <c r="AQ81" s="189">
        <v>194257784.72</v>
      </c>
      <c r="AR81" s="189">
        <v>199911492.09</v>
      </c>
      <c r="AS81" s="189">
        <v>190260700.27000001</v>
      </c>
      <c r="AT81" s="189">
        <v>174452654.33000001</v>
      </c>
      <c r="AU81" s="189">
        <v>152777788.47</v>
      </c>
      <c r="AV81" s="189">
        <v>191345102.77000001</v>
      </c>
      <c r="AW81" s="189">
        <v>161117416.16999999</v>
      </c>
      <c r="AX81" s="189">
        <v>150438318.75999999</v>
      </c>
      <c r="AY81" s="189">
        <v>119899052.53</v>
      </c>
      <c r="AZ81" s="189">
        <v>103665773.95999999</v>
      </c>
      <c r="BA81" s="189">
        <v>90165348.239999995</v>
      </c>
      <c r="BB81" s="189">
        <v>81857424.239999995</v>
      </c>
      <c r="BC81" s="189">
        <v>74642061.359999999</v>
      </c>
      <c r="BD81" s="189">
        <v>81182453.060000002</v>
      </c>
      <c r="BE81" s="189">
        <v>69627045.319999993</v>
      </c>
      <c r="BF81" s="189">
        <v>76172763.260000005</v>
      </c>
      <c r="BG81" s="189">
        <v>63814335.509999998</v>
      </c>
      <c r="BH81" s="189">
        <v>39862579.200000003</v>
      </c>
      <c r="BI81" s="189">
        <v>28776056.449999999</v>
      </c>
      <c r="BJ81" s="189">
        <v>8492187.1300000008</v>
      </c>
      <c r="BK81" s="189">
        <v>1820671.3</v>
      </c>
      <c r="BL81" s="189">
        <v>-7421711.9199999999</v>
      </c>
      <c r="BM81" s="189">
        <v>-12572383.119999999</v>
      </c>
      <c r="BN81" s="189">
        <v>29330613.399999999</v>
      </c>
      <c r="BO81" s="189">
        <v>39312078.520000003</v>
      </c>
      <c r="BP81" s="189">
        <v>54173701.960000001</v>
      </c>
      <c r="BQ81" s="189">
        <v>16432056.18</v>
      </c>
      <c r="BR81" s="189">
        <v>43712767.140000001</v>
      </c>
      <c r="BS81" s="189">
        <v>23677786.07</v>
      </c>
      <c r="BT81" s="189">
        <v>37651238.57</v>
      </c>
      <c r="BU81" s="189">
        <v>22435653.91</v>
      </c>
      <c r="BV81" s="189">
        <v>31353346.550000001</v>
      </c>
      <c r="BW81" s="189">
        <v>20915025.109999999</v>
      </c>
      <c r="BX81" s="189">
        <v>34923168.719999999</v>
      </c>
      <c r="BY81" s="189">
        <v>18712814.140000001</v>
      </c>
      <c r="BZ81" s="189">
        <v>26834734.059999999</v>
      </c>
      <c r="CA81" s="189">
        <v>8316934.3200000003</v>
      </c>
      <c r="CB81" s="189">
        <v>9470000</v>
      </c>
      <c r="CC81" s="189">
        <v>0</v>
      </c>
      <c r="CD81" s="189">
        <v>0</v>
      </c>
      <c r="CE81" s="189">
        <v>29053794.420000002</v>
      </c>
      <c r="CF81" s="189">
        <v>27762316.469999999</v>
      </c>
      <c r="CG81" s="189">
        <v>0</v>
      </c>
      <c r="CH81" s="189">
        <v>0</v>
      </c>
      <c r="CI81" s="189">
        <v>0</v>
      </c>
    </row>
    <row r="82" spans="1:87">
      <c r="A82" s="189" t="s">
        <v>186</v>
      </c>
      <c r="B82" s="189">
        <v>26289455523.299999</v>
      </c>
      <c r="C82" s="189">
        <v>25841808868.959999</v>
      </c>
      <c r="D82" s="189">
        <v>25457662882.849998</v>
      </c>
      <c r="E82" s="189">
        <v>14474797146.66</v>
      </c>
      <c r="F82" s="189">
        <v>14427626551.780001</v>
      </c>
      <c r="G82" s="189">
        <v>14215836962.65</v>
      </c>
      <c r="H82" s="189">
        <v>13999600306.860001</v>
      </c>
      <c r="I82" s="189">
        <v>13758959516.58</v>
      </c>
      <c r="J82" s="189">
        <v>13609491082.25</v>
      </c>
      <c r="K82" s="189">
        <v>13499738900</v>
      </c>
      <c r="L82" s="189">
        <v>13365206342.23</v>
      </c>
      <c r="M82" s="189">
        <v>13248334175</v>
      </c>
      <c r="N82" s="189">
        <v>8386525766.0600004</v>
      </c>
      <c r="O82" s="189">
        <v>8282109079</v>
      </c>
      <c r="P82" s="189">
        <v>8275289872.1499996</v>
      </c>
      <c r="Q82" s="189">
        <v>8147270333</v>
      </c>
      <c r="R82" s="189">
        <v>7916711172.8199997</v>
      </c>
      <c r="S82" s="189">
        <v>1509075071</v>
      </c>
      <c r="T82" s="189">
        <v>1514576669.53</v>
      </c>
      <c r="U82" s="189">
        <v>1486033795</v>
      </c>
      <c r="V82" s="189">
        <v>1455118035</v>
      </c>
      <c r="W82" s="189">
        <v>1354675249</v>
      </c>
      <c r="X82" s="189">
        <v>1371514117.45</v>
      </c>
      <c r="Y82" s="189">
        <v>1373011622</v>
      </c>
      <c r="Z82" s="189">
        <v>1376653494</v>
      </c>
      <c r="AA82" s="189">
        <v>1329101595</v>
      </c>
      <c r="AB82" s="189">
        <v>1313340511.1400001</v>
      </c>
      <c r="AC82" s="189">
        <v>1318953568</v>
      </c>
      <c r="AD82" s="189">
        <v>1263079302.6199999</v>
      </c>
      <c r="AE82" s="189">
        <v>1251903133</v>
      </c>
      <c r="AF82" s="189">
        <v>1223072094.3599999</v>
      </c>
      <c r="AG82" s="189">
        <v>1215025194</v>
      </c>
      <c r="AH82" s="189">
        <v>1214050650.0799999</v>
      </c>
      <c r="AI82" s="189">
        <v>1189126034.9200001</v>
      </c>
      <c r="AJ82" s="189">
        <v>1150368782.4400001</v>
      </c>
      <c r="AK82" s="189">
        <v>1145253364.5599999</v>
      </c>
      <c r="AL82" s="189">
        <v>1230771717.3199999</v>
      </c>
      <c r="AM82" s="189">
        <v>1252243999.8599999</v>
      </c>
      <c r="AN82" s="189">
        <v>1295791248.26</v>
      </c>
      <c r="AO82" s="189">
        <v>1351034958.72</v>
      </c>
      <c r="AP82" s="189">
        <v>1434395770.0899999</v>
      </c>
      <c r="AQ82" s="189">
        <v>1456029359.3199999</v>
      </c>
      <c r="AR82" s="189">
        <v>1533499200.8900001</v>
      </c>
      <c r="AS82" s="189">
        <v>1557966077.77</v>
      </c>
      <c r="AT82" s="189">
        <v>1525812010.9100001</v>
      </c>
      <c r="AU82" s="189">
        <v>851204388.75</v>
      </c>
      <c r="AV82" s="189">
        <v>889654058.5</v>
      </c>
      <c r="AW82" s="189">
        <v>859872190.13</v>
      </c>
      <c r="AX82" s="189">
        <v>843053558.48000002</v>
      </c>
      <c r="AY82" s="189">
        <v>812545325.34000003</v>
      </c>
      <c r="AZ82" s="189">
        <v>795125559.66999996</v>
      </c>
      <c r="BA82" s="189">
        <v>781625133.95000005</v>
      </c>
      <c r="BB82" s="189">
        <v>765586275.99000001</v>
      </c>
      <c r="BC82" s="189">
        <v>758370913.11000001</v>
      </c>
      <c r="BD82" s="189">
        <v>764911304.80999994</v>
      </c>
      <c r="BE82" s="189">
        <v>753355897.07000005</v>
      </c>
      <c r="BF82" s="189">
        <v>752692616.97000003</v>
      </c>
      <c r="BG82" s="189">
        <v>740334189.22000003</v>
      </c>
      <c r="BH82" s="189">
        <v>716382432.90999997</v>
      </c>
      <c r="BI82" s="189">
        <v>705295910.15999997</v>
      </c>
      <c r="BJ82" s="189">
        <v>681194132.05999994</v>
      </c>
      <c r="BK82" s="189">
        <v>674522616.23000002</v>
      </c>
      <c r="BL82" s="189">
        <v>665280233.00999999</v>
      </c>
      <c r="BM82" s="189">
        <v>660171911.80999994</v>
      </c>
      <c r="BN82" s="189">
        <v>703491272.98000002</v>
      </c>
      <c r="BO82" s="189">
        <v>713472738.10000002</v>
      </c>
      <c r="BP82" s="189">
        <v>729878853.14999998</v>
      </c>
      <c r="BQ82" s="189">
        <v>689134001.11000001</v>
      </c>
      <c r="BR82" s="189">
        <v>715294038.50999999</v>
      </c>
      <c r="BS82" s="189">
        <v>341654534.76999998</v>
      </c>
      <c r="BT82" s="189">
        <v>351374024.41000003</v>
      </c>
      <c r="BU82" s="189">
        <v>336158439.75</v>
      </c>
      <c r="BV82" s="189">
        <v>343274029.47000003</v>
      </c>
      <c r="BW82" s="189">
        <v>332967708.02999997</v>
      </c>
      <c r="BX82" s="189">
        <v>342688761.45999998</v>
      </c>
      <c r="BY82" s="189">
        <v>194442215.94999999</v>
      </c>
      <c r="BZ82" s="189">
        <v>185016165.91</v>
      </c>
      <c r="CA82" s="189">
        <v>166498366.16999999</v>
      </c>
      <c r="CB82" s="189">
        <v>165010000</v>
      </c>
      <c r="CC82" s="189">
        <v>147991266.97</v>
      </c>
      <c r="CD82" s="189">
        <v>182020000</v>
      </c>
      <c r="CE82" s="189">
        <v>122089059.12</v>
      </c>
      <c r="CF82" s="189">
        <v>116444849.68000001</v>
      </c>
      <c r="CG82" s="189">
        <v>76513100</v>
      </c>
      <c r="CH82" s="189">
        <v>34011300</v>
      </c>
      <c r="CI82" s="189">
        <v>0</v>
      </c>
    </row>
    <row r="83" spans="1:87">
      <c r="A83" s="189" t="s">
        <v>187</v>
      </c>
      <c r="B83" s="189">
        <v>0</v>
      </c>
      <c r="C83" s="189">
        <v>0</v>
      </c>
      <c r="D83" s="189">
        <v>0</v>
      </c>
      <c r="E83" s="189">
        <v>0</v>
      </c>
      <c r="F83" s="189">
        <v>0</v>
      </c>
      <c r="G83" s="189">
        <v>0</v>
      </c>
      <c r="H83" s="189">
        <v>0</v>
      </c>
      <c r="I83" s="189">
        <v>0</v>
      </c>
      <c r="J83" s="189">
        <v>0</v>
      </c>
      <c r="K83" s="189">
        <v>0</v>
      </c>
      <c r="L83" s="189">
        <v>0</v>
      </c>
      <c r="M83" s="189">
        <v>0</v>
      </c>
      <c r="N83" s="189">
        <v>408751323.79000002</v>
      </c>
      <c r="O83" s="189">
        <v>414425898</v>
      </c>
      <c r="P83" s="189">
        <v>409885602.20999998</v>
      </c>
      <c r="Q83" s="189">
        <v>413845304</v>
      </c>
      <c r="R83" s="189">
        <v>414230406.12</v>
      </c>
      <c r="S83" s="189">
        <v>1847968159</v>
      </c>
      <c r="T83" s="189">
        <v>1822389500.27</v>
      </c>
      <c r="U83" s="189">
        <v>1799690667</v>
      </c>
      <c r="V83" s="189">
        <v>1768117883</v>
      </c>
      <c r="W83" s="189">
        <v>1692513450</v>
      </c>
      <c r="X83" s="189">
        <v>1678167791.03</v>
      </c>
      <c r="Y83" s="189">
        <v>1683100369</v>
      </c>
      <c r="Z83" s="189">
        <v>1664639294</v>
      </c>
      <c r="AA83" s="189">
        <v>1627228761</v>
      </c>
      <c r="AB83" s="189">
        <v>1594264522.23</v>
      </c>
      <c r="AC83" s="189">
        <v>1599956325</v>
      </c>
      <c r="AD83" s="189">
        <v>1494803483.8699999</v>
      </c>
      <c r="AE83" s="189">
        <v>1474781890</v>
      </c>
      <c r="AF83" s="189">
        <v>1447629438.3699999</v>
      </c>
      <c r="AG83" s="189">
        <v>1275654536</v>
      </c>
      <c r="AH83" s="189">
        <v>1278734646.0599999</v>
      </c>
      <c r="AI83" s="189">
        <v>1242231163.1099999</v>
      </c>
      <c r="AJ83" s="189">
        <v>1212043620.2</v>
      </c>
      <c r="AK83" s="189">
        <v>953430895.16999996</v>
      </c>
      <c r="AL83" s="189">
        <v>711909364.12</v>
      </c>
      <c r="AM83" s="189">
        <v>711142771.07000005</v>
      </c>
      <c r="AN83" s="189">
        <v>750409271.99000001</v>
      </c>
      <c r="AO83" s="189">
        <v>645579677.17999995</v>
      </c>
      <c r="AP83" s="189">
        <v>716995773.10000002</v>
      </c>
      <c r="AQ83" s="189">
        <v>713732598.29999995</v>
      </c>
      <c r="AR83" s="189">
        <v>717062282.23000002</v>
      </c>
      <c r="AS83" s="189">
        <v>718613666.03999996</v>
      </c>
      <c r="AT83" s="189">
        <v>619150859.21000004</v>
      </c>
      <c r="AU83" s="189">
        <v>579774336.50999999</v>
      </c>
      <c r="AV83" s="189">
        <v>426789417.85000002</v>
      </c>
      <c r="AW83" s="189">
        <v>7802496.7199999997</v>
      </c>
      <c r="AX83" s="189">
        <v>6855062.4199999999</v>
      </c>
      <c r="AY83" s="189">
        <v>6786103.2800000003</v>
      </c>
      <c r="AZ83" s="189">
        <v>6959627.9199999999</v>
      </c>
      <c r="BA83" s="189">
        <v>6715652.4400000004</v>
      </c>
      <c r="BB83" s="189">
        <v>0</v>
      </c>
      <c r="BC83" s="189">
        <v>0</v>
      </c>
      <c r="BD83" s="189">
        <v>0</v>
      </c>
      <c r="BE83" s="189">
        <v>0</v>
      </c>
      <c r="BF83" s="189">
        <v>0</v>
      </c>
      <c r="BG83" s="189">
        <v>0</v>
      </c>
      <c r="BH83" s="189">
        <v>0</v>
      </c>
      <c r="BI83" s="189">
        <v>0</v>
      </c>
      <c r="BJ83" s="189">
        <v>0</v>
      </c>
      <c r="BK83" s="189">
        <v>0</v>
      </c>
      <c r="BL83" s="189">
        <v>0</v>
      </c>
      <c r="BM83" s="189">
        <v>0</v>
      </c>
      <c r="BN83" s="189">
        <v>0</v>
      </c>
      <c r="BO83" s="189">
        <v>0</v>
      </c>
      <c r="BP83" s="189">
        <v>0</v>
      </c>
      <c r="BQ83" s="189">
        <v>0</v>
      </c>
      <c r="BR83" s="189">
        <v>0</v>
      </c>
      <c r="BS83" s="189">
        <v>0</v>
      </c>
      <c r="BT83" s="189">
        <v>0</v>
      </c>
      <c r="BU83" s="189">
        <v>0</v>
      </c>
      <c r="BV83" s="189">
        <v>0</v>
      </c>
      <c r="BW83" s="189">
        <v>0</v>
      </c>
      <c r="BX83" s="189">
        <v>0</v>
      </c>
      <c r="BY83" s="189">
        <v>0</v>
      </c>
      <c r="BZ83" s="189">
        <v>0</v>
      </c>
      <c r="CA83" s="189">
        <v>0</v>
      </c>
      <c r="CB83" s="189">
        <v>0</v>
      </c>
      <c r="CC83" s="189">
        <v>0</v>
      </c>
      <c r="CD83" s="189">
        <v>0</v>
      </c>
      <c r="CE83" s="189">
        <v>0</v>
      </c>
      <c r="CF83" s="189">
        <v>0</v>
      </c>
      <c r="CG83" s="189">
        <v>0</v>
      </c>
      <c r="CH83" s="189">
        <v>0</v>
      </c>
      <c r="CI83" s="189">
        <v>0</v>
      </c>
    </row>
    <row r="84" spans="1:87">
      <c r="A84" s="189" t="s">
        <v>188</v>
      </c>
      <c r="B84" s="189">
        <v>26289455523.299999</v>
      </c>
      <c r="C84" s="189">
        <v>25841808868.959999</v>
      </c>
      <c r="D84" s="189">
        <v>25457662882.849998</v>
      </c>
      <c r="E84" s="189">
        <v>14474797146.66</v>
      </c>
      <c r="F84" s="189">
        <v>14427626551.780001</v>
      </c>
      <c r="G84" s="189">
        <v>14215836962.65</v>
      </c>
      <c r="H84" s="189">
        <v>13999600306.860001</v>
      </c>
      <c r="I84" s="189">
        <v>13758959516.58</v>
      </c>
      <c r="J84" s="189">
        <v>13609491082.25</v>
      </c>
      <c r="K84" s="189">
        <v>13499738900</v>
      </c>
      <c r="L84" s="189">
        <v>13365206342.23</v>
      </c>
      <c r="M84" s="189">
        <v>13248334175</v>
      </c>
      <c r="N84" s="189">
        <v>8795277089.8500004</v>
      </c>
      <c r="O84" s="189">
        <v>8696534977</v>
      </c>
      <c r="P84" s="189">
        <v>8685175474.3600006</v>
      </c>
      <c r="Q84" s="189">
        <v>8561115637</v>
      </c>
      <c r="R84" s="189">
        <v>8330941578.9399996</v>
      </c>
      <c r="S84" s="189">
        <v>3357043230</v>
      </c>
      <c r="T84" s="189">
        <v>3336966169.8000002</v>
      </c>
      <c r="U84" s="189">
        <v>3285724462</v>
      </c>
      <c r="V84" s="189">
        <v>3223235918</v>
      </c>
      <c r="W84" s="189">
        <v>3047188699</v>
      </c>
      <c r="X84" s="189">
        <v>3049681908.48</v>
      </c>
      <c r="Y84" s="189">
        <v>3056111991</v>
      </c>
      <c r="Z84" s="189">
        <v>3041292788</v>
      </c>
      <c r="AA84" s="189">
        <v>2956330356</v>
      </c>
      <c r="AB84" s="189">
        <v>2907605033.3699999</v>
      </c>
      <c r="AC84" s="189">
        <v>2918909893</v>
      </c>
      <c r="AD84" s="189">
        <v>2757882786.4899998</v>
      </c>
      <c r="AE84" s="189">
        <v>2726685023</v>
      </c>
      <c r="AF84" s="189">
        <v>2670701532.73</v>
      </c>
      <c r="AG84" s="189">
        <v>2490679730</v>
      </c>
      <c r="AH84" s="189">
        <v>2492785296.1399999</v>
      </c>
      <c r="AI84" s="189">
        <v>2431357198.0300002</v>
      </c>
      <c r="AJ84" s="189">
        <v>2362412402.6399999</v>
      </c>
      <c r="AK84" s="189">
        <v>2098684259.73</v>
      </c>
      <c r="AL84" s="189">
        <v>1942681081.4400001</v>
      </c>
      <c r="AM84" s="189">
        <v>1963386770.9300001</v>
      </c>
      <c r="AN84" s="189">
        <v>2046200520.25</v>
      </c>
      <c r="AO84" s="189">
        <v>1996614635.9000001</v>
      </c>
      <c r="AP84" s="189">
        <v>2151391543.1900001</v>
      </c>
      <c r="AQ84" s="189">
        <v>2169761957.6199999</v>
      </c>
      <c r="AR84" s="189">
        <v>2250561483.1199999</v>
      </c>
      <c r="AS84" s="189">
        <v>2276579743.8099999</v>
      </c>
      <c r="AT84" s="189">
        <v>2144962870.1199999</v>
      </c>
      <c r="AU84" s="189">
        <v>1430978725.26</v>
      </c>
      <c r="AV84" s="189">
        <v>1316443476.3499999</v>
      </c>
      <c r="AW84" s="189">
        <v>867674686.85000002</v>
      </c>
      <c r="AX84" s="189">
        <v>849908620.89999998</v>
      </c>
      <c r="AY84" s="189">
        <v>819331428.62</v>
      </c>
      <c r="AZ84" s="189">
        <v>802085187.59000003</v>
      </c>
      <c r="BA84" s="189">
        <v>788340786.38999999</v>
      </c>
      <c r="BB84" s="189">
        <v>765586275.99000001</v>
      </c>
      <c r="BC84" s="189">
        <v>758370913.11000001</v>
      </c>
      <c r="BD84" s="189">
        <v>764911304.80999994</v>
      </c>
      <c r="BE84" s="189">
        <v>753355897.07000005</v>
      </c>
      <c r="BF84" s="189">
        <v>752692616.97000003</v>
      </c>
      <c r="BG84" s="189">
        <v>740334189.22000003</v>
      </c>
      <c r="BH84" s="189">
        <v>716382432.90999997</v>
      </c>
      <c r="BI84" s="189">
        <v>705295910.15999997</v>
      </c>
      <c r="BJ84" s="189">
        <v>681194132.05999994</v>
      </c>
      <c r="BK84" s="189">
        <v>674522616.23000002</v>
      </c>
      <c r="BL84" s="189">
        <v>665280233.00999999</v>
      </c>
      <c r="BM84" s="189">
        <v>660171911.80999994</v>
      </c>
      <c r="BN84" s="189">
        <v>703491272.98000002</v>
      </c>
      <c r="BO84" s="189">
        <v>713472738.10000002</v>
      </c>
      <c r="BP84" s="189">
        <v>729878853.14999998</v>
      </c>
      <c r="BQ84" s="189">
        <v>689134001.11000001</v>
      </c>
      <c r="BR84" s="189">
        <v>715294038.50999999</v>
      </c>
      <c r="BS84" s="189">
        <v>341654534.76999998</v>
      </c>
      <c r="BT84" s="189">
        <v>351374024.41000003</v>
      </c>
      <c r="BU84" s="189">
        <v>336158439.75</v>
      </c>
      <c r="BV84" s="189">
        <v>343274029.47000003</v>
      </c>
      <c r="BW84" s="189">
        <v>332967708.02999997</v>
      </c>
      <c r="BX84" s="189">
        <v>342688761.45999998</v>
      </c>
      <c r="BY84" s="189">
        <v>194442215.94999999</v>
      </c>
      <c r="BZ84" s="189">
        <v>185016165.91</v>
      </c>
      <c r="CA84" s="189">
        <v>166498366.16999999</v>
      </c>
      <c r="CB84" s="189">
        <v>165010000</v>
      </c>
      <c r="CC84" s="189">
        <v>147991266.97</v>
      </c>
      <c r="CD84" s="189">
        <v>182020000</v>
      </c>
      <c r="CE84" s="189">
        <v>122089059.12</v>
      </c>
      <c r="CF84" s="189">
        <v>116444849.68000001</v>
      </c>
      <c r="CG84" s="189">
        <v>0</v>
      </c>
      <c r="CH84" s="189">
        <v>0</v>
      </c>
      <c r="CI84" s="189">
        <v>0</v>
      </c>
    </row>
    <row r="85" spans="1:87">
      <c r="A85" s="189" t="s">
        <v>189</v>
      </c>
      <c r="B85" s="189">
        <v>60475922124.190002</v>
      </c>
      <c r="C85" s="189">
        <v>59542992628.379997</v>
      </c>
      <c r="D85" s="189">
        <v>59515864217.379997</v>
      </c>
      <c r="E85" s="189">
        <v>29652260560.189999</v>
      </c>
      <c r="F85" s="189">
        <v>27234113375.029999</v>
      </c>
      <c r="G85" s="189">
        <v>24685721082.709999</v>
      </c>
      <c r="H85" s="189">
        <v>22753654761.259998</v>
      </c>
      <c r="I85" s="189">
        <v>21679336300.209999</v>
      </c>
      <c r="J85" s="189">
        <v>21172693836</v>
      </c>
      <c r="K85" s="189">
        <v>19692208173</v>
      </c>
      <c r="L85" s="189">
        <v>20298636779.459999</v>
      </c>
      <c r="M85" s="189">
        <v>21628692218</v>
      </c>
      <c r="N85" s="189">
        <v>17207834273.130001</v>
      </c>
      <c r="O85" s="189">
        <v>17884669645</v>
      </c>
      <c r="P85" s="189">
        <v>17088963155.809999</v>
      </c>
      <c r="Q85" s="189">
        <v>15692498583</v>
      </c>
      <c r="R85" s="189">
        <v>18547621126.529999</v>
      </c>
      <c r="S85" s="189">
        <v>7572507375</v>
      </c>
      <c r="T85" s="189">
        <v>7603548220.1400003</v>
      </c>
      <c r="U85" s="189">
        <v>7976761304</v>
      </c>
      <c r="V85" s="189">
        <v>7846509277</v>
      </c>
      <c r="W85" s="189">
        <v>7595830512</v>
      </c>
      <c r="X85" s="189">
        <v>7808053735.0299997</v>
      </c>
      <c r="Y85" s="189">
        <v>7803188441</v>
      </c>
      <c r="Z85" s="189">
        <v>8051408043</v>
      </c>
      <c r="AA85" s="189">
        <v>8025211614</v>
      </c>
      <c r="AB85" s="189">
        <v>7851965319.8500004</v>
      </c>
      <c r="AC85" s="189">
        <v>8052164501</v>
      </c>
      <c r="AD85" s="189">
        <v>7958346614.54</v>
      </c>
      <c r="AE85" s="189">
        <v>8227852165</v>
      </c>
      <c r="AF85" s="189">
        <v>8057158514.04</v>
      </c>
      <c r="AG85" s="189">
        <v>7971514291</v>
      </c>
      <c r="AH85" s="189">
        <v>7618800896.1499996</v>
      </c>
      <c r="AI85" s="189">
        <v>7684318889.4799995</v>
      </c>
      <c r="AJ85" s="189">
        <v>6952250352.8900003</v>
      </c>
      <c r="AK85" s="189">
        <v>6476071723.2700005</v>
      </c>
      <c r="AL85" s="189">
        <v>5779630117.7799997</v>
      </c>
      <c r="AM85" s="189">
        <v>5602108459.5900002</v>
      </c>
      <c r="AN85" s="189">
        <v>5131360542.9200001</v>
      </c>
      <c r="AO85" s="189">
        <v>5023227934.0900002</v>
      </c>
      <c r="AP85" s="189">
        <v>5372230210.4399996</v>
      </c>
      <c r="AQ85" s="189">
        <v>5205830194.25</v>
      </c>
      <c r="AR85" s="189">
        <v>5008971915.6700001</v>
      </c>
      <c r="AS85" s="189">
        <v>4677443675.29</v>
      </c>
      <c r="AT85" s="189">
        <v>4580326469.3699999</v>
      </c>
      <c r="AU85" s="189">
        <v>3627563873.2199998</v>
      </c>
      <c r="AV85" s="189">
        <v>2023691405.0699999</v>
      </c>
      <c r="AW85" s="189">
        <v>1550620946.3399999</v>
      </c>
      <c r="AX85" s="189">
        <v>1516723539.1400001</v>
      </c>
      <c r="AY85" s="189">
        <v>1507601139.9100001</v>
      </c>
      <c r="AZ85" s="189">
        <v>1406227678.5899999</v>
      </c>
      <c r="BA85" s="189">
        <v>1331155186.8099999</v>
      </c>
      <c r="BB85" s="189">
        <v>1328468444.8</v>
      </c>
      <c r="BC85" s="189">
        <v>1402760278.1700001</v>
      </c>
      <c r="BD85" s="189">
        <v>1402717777.3</v>
      </c>
      <c r="BE85" s="189">
        <v>1509734723.76</v>
      </c>
      <c r="BF85" s="189">
        <v>1316012718.9300001</v>
      </c>
      <c r="BG85" s="189">
        <v>1331102136.8099999</v>
      </c>
      <c r="BH85" s="189">
        <v>1251902040.53</v>
      </c>
      <c r="BI85" s="189">
        <v>1166369369.75</v>
      </c>
      <c r="BJ85" s="189">
        <v>1126447412.1600001</v>
      </c>
      <c r="BK85" s="189">
        <v>1106785473.4100001</v>
      </c>
      <c r="BL85" s="189">
        <v>1088922369.49</v>
      </c>
      <c r="BM85" s="189">
        <v>1023394365.15</v>
      </c>
      <c r="BN85" s="189">
        <v>1028468017.39</v>
      </c>
      <c r="BO85" s="189">
        <v>973776377.49000001</v>
      </c>
      <c r="BP85" s="189">
        <v>896358210.23000002</v>
      </c>
      <c r="BQ85" s="189">
        <v>849066286.42999995</v>
      </c>
      <c r="BR85" s="189">
        <v>920397990.38</v>
      </c>
      <c r="BS85" s="189">
        <v>602775372.04999995</v>
      </c>
      <c r="BT85" s="189">
        <v>567120751.97000003</v>
      </c>
      <c r="BU85" s="189">
        <v>521682494.42000002</v>
      </c>
      <c r="BV85" s="189">
        <v>539682944.01999998</v>
      </c>
      <c r="BW85" s="189">
        <v>471759123.68000001</v>
      </c>
      <c r="BX85" s="189">
        <v>505782782.47000003</v>
      </c>
      <c r="BY85" s="189">
        <v>416539277.11000001</v>
      </c>
      <c r="BZ85" s="189">
        <v>402368921.91000003</v>
      </c>
      <c r="CA85" s="189">
        <v>387884868.22000003</v>
      </c>
      <c r="CB85" s="189">
        <v>347620000</v>
      </c>
      <c r="CC85" s="189">
        <v>368702710.13999999</v>
      </c>
      <c r="CD85" s="189">
        <v>347760000</v>
      </c>
      <c r="CE85" s="189">
        <v>300166955.25</v>
      </c>
      <c r="CF85" s="189">
        <v>296477151.37</v>
      </c>
      <c r="CG85" s="189">
        <v>220871400</v>
      </c>
      <c r="CH85" s="189">
        <v>97847700</v>
      </c>
      <c r="CI85" s="189">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利润表"/>
  <dimension ref="A1:CI31"/>
  <sheetViews>
    <sheetView workbookViewId="0">
      <selection activeCell="A2" sqref="A2"/>
    </sheetView>
  </sheetViews>
  <sheetFormatPr defaultRowHeight="13.5"/>
  <cols>
    <col min="1" max="1" width="37" style="189" bestFit="1" customWidth="1"/>
    <col min="2" max="4" width="12.75" style="189" hidden="1" customWidth="1"/>
    <col min="5" max="5" width="12.75" style="189" bestFit="1" customWidth="1"/>
    <col min="6" max="8" width="12.75" style="189" hidden="1" customWidth="1"/>
    <col min="9" max="9" width="13.875" style="189" bestFit="1" customWidth="1"/>
    <col min="10" max="10" width="12.75" style="189" hidden="1" customWidth="1"/>
    <col min="11" max="11" width="11.625" style="189" hidden="1" customWidth="1"/>
    <col min="12" max="12" width="13.875" style="189" hidden="1" customWidth="1"/>
    <col min="13" max="13" width="12.75" style="189" bestFit="1" customWidth="1"/>
    <col min="14" max="14" width="12.75" style="189" hidden="1" customWidth="1"/>
    <col min="15" max="15" width="11.625" style="189" hidden="1" customWidth="1"/>
    <col min="16" max="16" width="13.875" style="189" hidden="1" customWidth="1"/>
    <col min="17" max="17" width="11.625" style="189" bestFit="1" customWidth="1"/>
    <col min="18" max="18" width="12.75" style="189" hidden="1" customWidth="1"/>
    <col min="19" max="19" width="11.625" style="189" hidden="1" customWidth="1"/>
    <col min="20" max="20" width="12.75" style="189" hidden="1" customWidth="1"/>
    <col min="21" max="21" width="11.625" style="189" bestFit="1" customWidth="1"/>
    <col min="22" max="23" width="11.625" style="189" hidden="1" customWidth="1"/>
    <col min="24" max="24" width="13.875" style="189" hidden="1" customWidth="1"/>
    <col min="25" max="25" width="11.625" style="189" bestFit="1" customWidth="1"/>
    <col min="26" max="27" width="11.625" style="189" hidden="1" customWidth="1"/>
    <col min="28" max="28" width="13.875" style="189" hidden="1" customWidth="1"/>
    <col min="29" max="29" width="11.625" style="189" bestFit="1" customWidth="1"/>
    <col min="30" max="30" width="12.75" style="189" hidden="1" customWidth="1"/>
    <col min="31" max="31" width="11.625" style="189" hidden="1" customWidth="1"/>
    <col min="32" max="32" width="12.75" style="189" hidden="1" customWidth="1"/>
    <col min="33" max="33" width="11.625" style="189" bestFit="1" customWidth="1"/>
    <col min="34" max="35" width="12.75" style="189" hidden="1" customWidth="1"/>
    <col min="36" max="36" width="13.875" style="189" hidden="1" customWidth="1"/>
    <col min="37" max="37" width="13.875" style="189" bestFit="1" customWidth="1"/>
    <col min="38" max="40" width="13.875" style="189" hidden="1" customWidth="1"/>
    <col min="41" max="41" width="13.875" style="189" bestFit="1" customWidth="1"/>
    <col min="42" max="43" width="13.875" style="189" hidden="1" customWidth="1"/>
    <col min="44" max="44" width="12.75" style="189" hidden="1" customWidth="1"/>
    <col min="45" max="45" width="12.75" style="189" bestFit="1" customWidth="1"/>
    <col min="46" max="48" width="12.75" style="189" hidden="1" customWidth="1"/>
    <col min="49" max="49" width="12.75" style="189" bestFit="1" customWidth="1"/>
    <col min="50" max="52" width="12.75" style="189" hidden="1" customWidth="1"/>
    <col min="53" max="53" width="12.75" style="189" bestFit="1" customWidth="1"/>
    <col min="54" max="56" width="12.75" style="189" hidden="1" customWidth="1"/>
    <col min="57" max="57" width="12.75" style="189" bestFit="1" customWidth="1"/>
    <col min="58" max="60" width="12.75" style="189" hidden="1" customWidth="1"/>
    <col min="61" max="61" width="12.75" style="189" bestFit="1" customWidth="1"/>
    <col min="62" max="64" width="12.75" style="189" hidden="1" customWidth="1"/>
    <col min="65" max="65" width="13.875" style="189" bestFit="1" customWidth="1"/>
    <col min="66" max="68" width="12.75" style="189" hidden="1" customWidth="1"/>
    <col min="69" max="69" width="12.75" style="189" bestFit="1" customWidth="1"/>
    <col min="70" max="70" width="12.75" style="189" hidden="1" customWidth="1"/>
    <col min="71" max="71" width="12.75" style="189" bestFit="1" customWidth="1"/>
    <col min="72" max="72" width="12.75" style="189" hidden="1" customWidth="1"/>
    <col min="73" max="73" width="12.75" style="189" bestFit="1" customWidth="1"/>
    <col min="74" max="74" width="12.75" style="189" hidden="1" customWidth="1"/>
    <col min="75" max="75" width="12.75" style="189" bestFit="1" customWidth="1"/>
    <col min="76" max="76" width="12.75" style="189" hidden="1" customWidth="1"/>
    <col min="77" max="77" width="12.75" style="189" bestFit="1" customWidth="1"/>
    <col min="78" max="78" width="12.75" style="189" hidden="1" customWidth="1"/>
    <col min="79" max="79" width="12.75" style="189" bestFit="1" customWidth="1"/>
    <col min="80" max="80" width="9.5" style="189" hidden="1" customWidth="1"/>
    <col min="81" max="81" width="12.75" style="189" bestFit="1" customWidth="1"/>
    <col min="82" max="82" width="9.5" style="189" hidden="1" customWidth="1"/>
    <col min="83" max="84" width="12.75" style="189" bestFit="1" customWidth="1"/>
    <col min="85" max="85" width="10.5" style="189" bestFit="1" customWidth="1"/>
    <col min="86" max="86" width="9.5" style="189" bestFit="1" customWidth="1"/>
    <col min="87" max="87" width="9.5" style="189" hidden="1" customWidth="1"/>
    <col min="88" max="16384" width="9" style="189"/>
  </cols>
  <sheetData>
    <row r="1" spans="1:87">
      <c r="A1" s="189">
        <v>50</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20010630</v>
      </c>
      <c r="BS1" s="189">
        <v>20001231</v>
      </c>
      <c r="BT1" s="189">
        <v>20000630</v>
      </c>
      <c r="BU1" s="189">
        <v>19991231</v>
      </c>
      <c r="BV1" s="189">
        <v>19990630</v>
      </c>
      <c r="BW1" s="189">
        <v>19981231</v>
      </c>
      <c r="BX1" s="189">
        <v>19980630</v>
      </c>
      <c r="BY1" s="189">
        <v>19971231</v>
      </c>
      <c r="BZ1" s="189">
        <v>19970630</v>
      </c>
      <c r="CA1" s="189">
        <v>19961231</v>
      </c>
      <c r="CB1" s="189">
        <v>19960630</v>
      </c>
      <c r="CC1" s="189">
        <v>19951231</v>
      </c>
      <c r="CD1" s="189">
        <v>19950630</v>
      </c>
      <c r="CE1" s="189">
        <v>19941231</v>
      </c>
      <c r="CF1" s="189">
        <v>19931231</v>
      </c>
      <c r="CG1" s="189">
        <v>19921231</v>
      </c>
      <c r="CH1" s="189">
        <v>19911231</v>
      </c>
      <c r="CI1" s="189">
        <v>19700101</v>
      </c>
    </row>
    <row r="2" spans="1:87">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c r="BV2" s="189" t="s">
        <v>106</v>
      </c>
      <c r="BW2" s="189" t="s">
        <v>106</v>
      </c>
      <c r="BX2" s="189" t="s">
        <v>106</v>
      </c>
      <c r="BY2" s="189" t="s">
        <v>106</v>
      </c>
      <c r="BZ2" s="189" t="s">
        <v>106</v>
      </c>
      <c r="CA2" s="189" t="s">
        <v>106</v>
      </c>
      <c r="CB2" s="189" t="s">
        <v>106</v>
      </c>
      <c r="CC2" s="189" t="s">
        <v>106</v>
      </c>
      <c r="CD2" s="189" t="s">
        <v>106</v>
      </c>
      <c r="CE2" s="189" t="s">
        <v>106</v>
      </c>
      <c r="CF2" s="189" t="s">
        <v>106</v>
      </c>
      <c r="CG2" s="189" t="s">
        <v>106</v>
      </c>
      <c r="CH2" s="189" t="s">
        <v>106</v>
      </c>
    </row>
    <row r="3" spans="1:87">
      <c r="A3" s="189" t="s">
        <v>190</v>
      </c>
      <c r="B3" s="189">
        <v>21739416742.669998</v>
      </c>
      <c r="C3" s="189">
        <v>13975822553.030001</v>
      </c>
      <c r="D3" s="189">
        <v>6573890689.21</v>
      </c>
      <c r="E3" s="189">
        <v>14012500489.6</v>
      </c>
      <c r="F3" s="189">
        <v>10101263607.549999</v>
      </c>
      <c r="G3" s="189">
        <v>6204369367.1700001</v>
      </c>
      <c r="H3" s="189">
        <v>2902672264.27</v>
      </c>
      <c r="I3" s="189">
        <v>10736756430.530001</v>
      </c>
      <c r="J3" s="189">
        <v>7753412466.4899998</v>
      </c>
      <c r="K3" s="189">
        <v>4970453217</v>
      </c>
      <c r="L3" s="189">
        <v>2451540177.1700001</v>
      </c>
      <c r="M3" s="189">
        <v>10530002724</v>
      </c>
      <c r="N3" s="189">
        <v>7798701732.9399996</v>
      </c>
      <c r="O3" s="189">
        <v>5137805297</v>
      </c>
      <c r="P3" s="189">
        <v>2440217347.02</v>
      </c>
      <c r="Q3" s="189">
        <v>9322363339</v>
      </c>
      <c r="R3" s="189">
        <v>6534329893.3699999</v>
      </c>
      <c r="S3" s="189">
        <v>2485591860</v>
      </c>
      <c r="T3" s="189">
        <v>1179748523.6800001</v>
      </c>
      <c r="U3" s="189">
        <v>4519377681</v>
      </c>
      <c r="V3" s="189">
        <v>3497195925</v>
      </c>
      <c r="W3" s="189">
        <v>2251106750</v>
      </c>
      <c r="X3" s="189">
        <v>1040384420.38</v>
      </c>
      <c r="Y3" s="189">
        <v>4333544367</v>
      </c>
      <c r="Z3" s="189">
        <v>3309222233</v>
      </c>
      <c r="AA3" s="189">
        <v>2237318777</v>
      </c>
      <c r="AB3" s="189">
        <v>983311090.32000005</v>
      </c>
      <c r="AC3" s="189">
        <v>4614967219</v>
      </c>
      <c r="AD3" s="189">
        <v>3351943781.3899999</v>
      </c>
      <c r="AE3" s="189">
        <v>2109214855</v>
      </c>
      <c r="AF3" s="189">
        <v>1016773975.08</v>
      </c>
      <c r="AG3" s="189">
        <v>3454211508</v>
      </c>
      <c r="AH3" s="189">
        <v>2331874989.3000002</v>
      </c>
      <c r="AI3" s="189">
        <v>1482501080.6800001</v>
      </c>
      <c r="AJ3" s="189">
        <v>654990128.36000001</v>
      </c>
      <c r="AK3" s="189">
        <v>2190447604.0900002</v>
      </c>
      <c r="AL3" s="189">
        <v>1582234481.26</v>
      </c>
      <c r="AM3" s="189">
        <v>877566161.70000005</v>
      </c>
      <c r="AN3" s="189">
        <v>348986536.45999998</v>
      </c>
      <c r="AO3" s="189">
        <v>1376252455.3199999</v>
      </c>
      <c r="AP3" s="189">
        <v>1039055393.03</v>
      </c>
      <c r="AQ3" s="189">
        <v>688263087.98000002</v>
      </c>
      <c r="AR3" s="189">
        <v>345739706.98000002</v>
      </c>
      <c r="AS3" s="189">
        <v>1723967890.71</v>
      </c>
      <c r="AT3" s="189">
        <v>1233069401.45</v>
      </c>
      <c r="AU3" s="189">
        <v>766793416.89999998</v>
      </c>
      <c r="AV3" s="189">
        <v>353680370.72000003</v>
      </c>
      <c r="AW3" s="189">
        <v>1513205426.75</v>
      </c>
      <c r="AX3" s="189">
        <v>1022552377.72</v>
      </c>
      <c r="AY3" s="189">
        <v>641419125.69000006</v>
      </c>
      <c r="AZ3" s="189">
        <v>253075070.75999999</v>
      </c>
      <c r="BA3" s="189">
        <v>1104280369.8399999</v>
      </c>
      <c r="BB3" s="189">
        <v>758512403.53999996</v>
      </c>
      <c r="BC3" s="189">
        <v>525850661.29000002</v>
      </c>
      <c r="BD3" s="189">
        <v>236277457.63</v>
      </c>
      <c r="BE3" s="189">
        <v>1072754620.9</v>
      </c>
      <c r="BF3" s="189">
        <v>659753380.72000003</v>
      </c>
      <c r="BG3" s="189">
        <v>441277597.62</v>
      </c>
      <c r="BH3" s="189">
        <v>175426441.06</v>
      </c>
      <c r="BI3" s="189">
        <v>638055748.60000002</v>
      </c>
      <c r="BJ3" s="189">
        <v>445798989.51999998</v>
      </c>
      <c r="BK3" s="189">
        <v>260779448.59999999</v>
      </c>
      <c r="BL3" s="189">
        <v>109367483.15000001</v>
      </c>
      <c r="BM3" s="189">
        <v>327547008.36000001</v>
      </c>
      <c r="BN3" s="189">
        <v>243626586.09999999</v>
      </c>
      <c r="BO3" s="189">
        <v>151362128.16999999</v>
      </c>
      <c r="BP3" s="189">
        <v>65069649.689999998</v>
      </c>
      <c r="BQ3" s="189">
        <v>280795687.04000002</v>
      </c>
      <c r="BR3" s="189">
        <v>153090814.44</v>
      </c>
      <c r="BS3" s="189">
        <v>319014408.5</v>
      </c>
      <c r="BT3" s="189">
        <v>156101669.24000001</v>
      </c>
      <c r="BU3" s="189">
        <v>269993020.33999997</v>
      </c>
      <c r="BV3" s="189">
        <v>124206604.95</v>
      </c>
      <c r="BW3" s="189">
        <v>174776297.27000001</v>
      </c>
      <c r="BX3" s="189">
        <v>98174201.739999995</v>
      </c>
      <c r="BY3" s="189">
        <v>225010527.81999999</v>
      </c>
      <c r="BZ3" s="189">
        <v>105162511.76000001</v>
      </c>
      <c r="CA3" s="189">
        <v>154784673.61000001</v>
      </c>
      <c r="CB3" s="189">
        <v>66190000</v>
      </c>
      <c r="CC3" s="189">
        <v>150285657</v>
      </c>
      <c r="CD3" s="189">
        <v>72870000</v>
      </c>
      <c r="CE3" s="189">
        <v>172123504.40000001</v>
      </c>
      <c r="CF3" s="189">
        <v>143231058.81999999</v>
      </c>
      <c r="CG3" s="189">
        <v>110910400</v>
      </c>
      <c r="CH3" s="189">
        <v>59300500</v>
      </c>
      <c r="CI3" s="189">
        <v>0</v>
      </c>
    </row>
    <row r="4" spans="1:87">
      <c r="A4" s="189" t="s">
        <v>191</v>
      </c>
      <c r="B4" s="189">
        <v>21739416742.669998</v>
      </c>
      <c r="C4" s="189">
        <v>13975822553.030001</v>
      </c>
      <c r="D4" s="189">
        <v>6573890689.21</v>
      </c>
      <c r="E4" s="189">
        <v>14012500489.6</v>
      </c>
      <c r="F4" s="189">
        <v>10101263607.549999</v>
      </c>
      <c r="G4" s="189">
        <v>6204369367.1700001</v>
      </c>
      <c r="H4" s="189">
        <v>2902672264.27</v>
      </c>
      <c r="I4" s="189">
        <v>10736756430.530001</v>
      </c>
      <c r="J4" s="189">
        <v>7753412466.4899998</v>
      </c>
      <c r="K4" s="189">
        <v>4970453217</v>
      </c>
      <c r="L4" s="189">
        <v>2451540177.1700001</v>
      </c>
      <c r="M4" s="189">
        <v>10530002724</v>
      </c>
      <c r="N4" s="189">
        <v>7798701732.9399996</v>
      </c>
      <c r="O4" s="189">
        <v>5137805297</v>
      </c>
      <c r="P4" s="189">
        <v>2440217347.02</v>
      </c>
      <c r="Q4" s="189">
        <v>9322363339</v>
      </c>
      <c r="R4" s="189">
        <v>6534329893.3699999</v>
      </c>
      <c r="S4" s="189">
        <v>2485591860</v>
      </c>
      <c r="T4" s="189">
        <v>1179748523.6800001</v>
      </c>
      <c r="U4" s="189">
        <v>4519377681</v>
      </c>
      <c r="V4" s="189">
        <v>3497195925</v>
      </c>
      <c r="W4" s="189">
        <v>2251106750</v>
      </c>
      <c r="X4" s="189">
        <v>1040384420.38</v>
      </c>
      <c r="Y4" s="189">
        <v>4333544367</v>
      </c>
      <c r="Z4" s="189">
        <v>3309222233</v>
      </c>
      <c r="AA4" s="189">
        <v>2237318777</v>
      </c>
      <c r="AB4" s="189">
        <v>983311090.32000005</v>
      </c>
      <c r="AC4" s="189">
        <v>4614967219</v>
      </c>
      <c r="AD4" s="189">
        <v>3351943781.3899999</v>
      </c>
      <c r="AE4" s="189">
        <v>2109214855</v>
      </c>
      <c r="AF4" s="189">
        <v>1016773975.08</v>
      </c>
      <c r="AG4" s="189">
        <v>3454211508</v>
      </c>
      <c r="AH4" s="189">
        <v>2331874989.3000002</v>
      </c>
      <c r="AI4" s="189">
        <v>1482501080.6800001</v>
      </c>
      <c r="AJ4" s="189">
        <v>654990128.36000001</v>
      </c>
      <c r="AK4" s="189">
        <v>2190447604.0900002</v>
      </c>
      <c r="AL4" s="189">
        <v>1582234481.26</v>
      </c>
      <c r="AM4" s="189">
        <v>877566161.70000005</v>
      </c>
      <c r="AN4" s="189">
        <v>348986536.45999998</v>
      </c>
      <c r="AO4" s="189">
        <v>1376252455.3199999</v>
      </c>
      <c r="AP4" s="189">
        <v>1039055393.03</v>
      </c>
      <c r="AQ4" s="189">
        <v>688263087.98000002</v>
      </c>
      <c r="AR4" s="189">
        <v>345739706.98000002</v>
      </c>
      <c r="AS4" s="189">
        <v>1721551769.9000001</v>
      </c>
      <c r="AT4" s="189">
        <v>1233069401.45</v>
      </c>
      <c r="AU4" s="189">
        <v>766793416.89999998</v>
      </c>
      <c r="AV4" s="189">
        <v>353680370.72000003</v>
      </c>
      <c r="AW4" s="189">
        <v>1511181193.1300001</v>
      </c>
      <c r="AX4" s="189">
        <v>1021355833.87</v>
      </c>
      <c r="AY4" s="189">
        <v>640682641.66999996</v>
      </c>
      <c r="AZ4" s="189">
        <v>252638836.43000001</v>
      </c>
      <c r="BA4" s="189">
        <v>1102472837.22</v>
      </c>
      <c r="BB4" s="189">
        <v>757278828.25999999</v>
      </c>
      <c r="BC4" s="189">
        <v>525047305.04000002</v>
      </c>
      <c r="BD4" s="189">
        <v>235781336</v>
      </c>
      <c r="BE4" s="189">
        <v>1070912713.53</v>
      </c>
      <c r="BF4" s="189">
        <v>658451923.87</v>
      </c>
      <c r="BG4" s="189">
        <v>440634384.5</v>
      </c>
      <c r="BH4" s="189">
        <v>175134049.22999999</v>
      </c>
      <c r="BI4" s="189">
        <v>635780184.69000006</v>
      </c>
      <c r="BJ4" s="189">
        <v>444161175.67000002</v>
      </c>
      <c r="BK4" s="189">
        <v>259543114.94999999</v>
      </c>
      <c r="BL4" s="189">
        <v>108906147.65000001</v>
      </c>
      <c r="BM4" s="189">
        <v>325573860.41000003</v>
      </c>
      <c r="BN4" s="189">
        <v>242239931.31999999</v>
      </c>
      <c r="BO4" s="189">
        <v>150534298.19999999</v>
      </c>
      <c r="BP4" s="189">
        <v>64662895.729999997</v>
      </c>
      <c r="BQ4" s="189">
        <v>278936200.85000002</v>
      </c>
      <c r="BR4" s="189">
        <v>151843112.88999999</v>
      </c>
      <c r="BS4" s="189">
        <v>317613770.89999998</v>
      </c>
      <c r="BT4" s="189">
        <v>155847802.03</v>
      </c>
      <c r="BU4" s="189">
        <v>269058645.97000003</v>
      </c>
      <c r="BV4" s="189">
        <v>123867036.98</v>
      </c>
      <c r="BW4" s="189">
        <v>172359929.78999999</v>
      </c>
      <c r="BX4" s="189">
        <v>96802269.069999993</v>
      </c>
      <c r="BY4" s="189">
        <v>219024479.13999999</v>
      </c>
      <c r="BZ4" s="189">
        <v>104071345.44</v>
      </c>
      <c r="CA4" s="189">
        <v>153766691.63999999</v>
      </c>
      <c r="CB4" s="189">
        <v>65350000</v>
      </c>
      <c r="CC4" s="189">
        <v>150277584.41999999</v>
      </c>
      <c r="CD4" s="189">
        <v>72860000</v>
      </c>
      <c r="CE4" s="189">
        <v>172102849.21000001</v>
      </c>
      <c r="CF4" s="189">
        <v>134608301.97</v>
      </c>
      <c r="CG4" s="189">
        <v>110910400</v>
      </c>
      <c r="CH4" s="189">
        <v>59300500</v>
      </c>
      <c r="CI4" s="189">
        <v>0</v>
      </c>
    </row>
    <row r="5" spans="1:87">
      <c r="A5" s="189" t="s">
        <v>192</v>
      </c>
      <c r="B5" s="189">
        <v>21212933363.919998</v>
      </c>
      <c r="C5" s="189">
        <v>13570748588.780001</v>
      </c>
      <c r="D5" s="189">
        <v>6397346101.4799995</v>
      </c>
      <c r="E5" s="189">
        <v>13611383185.719999</v>
      </c>
      <c r="F5" s="189">
        <v>9577414929.6900005</v>
      </c>
      <c r="G5" s="189">
        <v>5905114739.8199997</v>
      </c>
      <c r="H5" s="189">
        <v>2761739368.0999999</v>
      </c>
      <c r="I5" s="189">
        <v>10388725892.09</v>
      </c>
      <c r="J5" s="189">
        <v>7618588491.1099997</v>
      </c>
      <c r="K5" s="189">
        <v>4913642688</v>
      </c>
      <c r="L5" s="189">
        <v>2475324421.3800001</v>
      </c>
      <c r="M5" s="189">
        <v>10507771197</v>
      </c>
      <c r="N5" s="189">
        <v>7765253769.1899996</v>
      </c>
      <c r="O5" s="189">
        <v>5112363331</v>
      </c>
      <c r="P5" s="189">
        <v>2421414839.1999998</v>
      </c>
      <c r="Q5" s="189">
        <v>9157640112</v>
      </c>
      <c r="R5" s="189">
        <v>6271284150.2200003</v>
      </c>
      <c r="S5" s="189">
        <v>2347622810</v>
      </c>
      <c r="T5" s="189">
        <v>1125816618</v>
      </c>
      <c r="U5" s="189">
        <v>4438357392</v>
      </c>
      <c r="V5" s="189">
        <v>3428525972</v>
      </c>
      <c r="W5" s="189">
        <v>2237473690</v>
      </c>
      <c r="X5" s="189">
        <v>1058730190.47</v>
      </c>
      <c r="Y5" s="189">
        <v>4393554677</v>
      </c>
      <c r="Z5" s="189">
        <v>3302350028</v>
      </c>
      <c r="AA5" s="189">
        <v>2250282831</v>
      </c>
      <c r="AB5" s="189">
        <v>1031317937.08</v>
      </c>
      <c r="AC5" s="189">
        <v>4655341594</v>
      </c>
      <c r="AD5" s="189">
        <v>3363804760.5599999</v>
      </c>
      <c r="AE5" s="189">
        <v>2078487259</v>
      </c>
      <c r="AF5" s="189">
        <v>1028613420.52</v>
      </c>
      <c r="AG5" s="189">
        <v>3366001300</v>
      </c>
      <c r="AH5" s="189">
        <v>2256743230.1500001</v>
      </c>
      <c r="AI5" s="189">
        <v>1436122073.8</v>
      </c>
      <c r="AJ5" s="189">
        <v>665474613.58000004</v>
      </c>
      <c r="AK5" s="189">
        <v>2557822666.9400001</v>
      </c>
      <c r="AL5" s="189">
        <v>1809956052.1700001</v>
      </c>
      <c r="AM5" s="189">
        <v>1093710063.5999999</v>
      </c>
      <c r="AN5" s="189">
        <v>472177301.33999997</v>
      </c>
      <c r="AO5" s="189">
        <v>1531300849.26</v>
      </c>
      <c r="AP5" s="189">
        <v>1041633555.63</v>
      </c>
      <c r="AQ5" s="189">
        <v>677090701.92999995</v>
      </c>
      <c r="AR5" s="189">
        <v>332453779.49000001</v>
      </c>
      <c r="AS5" s="189">
        <v>1621012671.2</v>
      </c>
      <c r="AT5" s="189">
        <v>1157128768.28</v>
      </c>
      <c r="AU5" s="189">
        <v>716246374.78999996</v>
      </c>
      <c r="AV5" s="189">
        <v>336121010.10000002</v>
      </c>
      <c r="AW5" s="189">
        <v>1406726420.52</v>
      </c>
      <c r="AX5" s="189">
        <v>942152289.48000002</v>
      </c>
      <c r="AY5" s="189">
        <v>594840615.57000005</v>
      </c>
      <c r="AZ5" s="189">
        <v>239035184.13</v>
      </c>
      <c r="BA5" s="189">
        <v>1048662491.41</v>
      </c>
      <c r="BB5" s="189">
        <v>719178144.55999994</v>
      </c>
      <c r="BC5" s="189">
        <v>493568979.04000002</v>
      </c>
      <c r="BD5" s="189">
        <v>224253892.97999999</v>
      </c>
      <c r="BE5" s="189">
        <v>976532688.5</v>
      </c>
      <c r="BF5" s="189">
        <v>606392546.16999996</v>
      </c>
      <c r="BG5" s="189">
        <v>401318898.26999998</v>
      </c>
      <c r="BH5" s="189">
        <v>162372629.94999999</v>
      </c>
      <c r="BI5" s="189">
        <v>583914059.69000006</v>
      </c>
      <c r="BJ5" s="189">
        <v>415826363.02999997</v>
      </c>
      <c r="BK5" s="189">
        <v>238178470.66999999</v>
      </c>
      <c r="BL5" s="189">
        <v>97518845.920000002</v>
      </c>
      <c r="BM5" s="189">
        <v>357155097.74000001</v>
      </c>
      <c r="BN5" s="189">
        <v>240000152.49000001</v>
      </c>
      <c r="BO5" s="189">
        <v>137120456.40000001</v>
      </c>
      <c r="BP5" s="189">
        <v>56564267.539999999</v>
      </c>
      <c r="BQ5" s="189">
        <v>268893291.14999998</v>
      </c>
      <c r="BR5" s="189">
        <v>137853656.94999999</v>
      </c>
      <c r="BS5" s="189">
        <v>289633569.41000003</v>
      </c>
      <c r="BT5" s="189">
        <v>142357355.75</v>
      </c>
      <c r="BU5" s="189">
        <v>254972392.06999999</v>
      </c>
      <c r="BV5" s="189">
        <v>113798093.56999999</v>
      </c>
      <c r="BW5" s="189">
        <v>149224128.06999999</v>
      </c>
      <c r="BX5" s="189">
        <v>82622417.359999999</v>
      </c>
      <c r="BY5" s="189">
        <v>176544365.69</v>
      </c>
      <c r="BZ5" s="189">
        <v>0</v>
      </c>
      <c r="CA5" s="189">
        <v>138882752.16</v>
      </c>
      <c r="CB5" s="189">
        <v>0</v>
      </c>
      <c r="CC5" s="189">
        <v>123740153.5</v>
      </c>
      <c r="CD5" s="189">
        <v>0</v>
      </c>
      <c r="CE5" s="189">
        <v>132311885.87</v>
      </c>
      <c r="CF5" s="189">
        <v>112925192.12</v>
      </c>
      <c r="CG5" s="189">
        <v>79129800</v>
      </c>
      <c r="CH5" s="189">
        <v>43869100</v>
      </c>
      <c r="CI5" s="189">
        <v>0</v>
      </c>
    </row>
    <row r="6" spans="1:87">
      <c r="A6" s="189" t="s">
        <v>193</v>
      </c>
      <c r="B6" s="189">
        <v>18378750212.439999</v>
      </c>
      <c r="C6" s="189">
        <v>11836037125.93</v>
      </c>
      <c r="D6" s="189">
        <v>5538786709.4499998</v>
      </c>
      <c r="E6" s="189">
        <v>11090998905.58</v>
      </c>
      <c r="F6" s="189">
        <v>7957111655.1599998</v>
      </c>
      <c r="G6" s="189">
        <v>4831519743.2299995</v>
      </c>
      <c r="H6" s="189">
        <v>2233500029.1700001</v>
      </c>
      <c r="I6" s="189">
        <v>8569738675.75</v>
      </c>
      <c r="J6" s="189">
        <v>6219877948.6300001</v>
      </c>
      <c r="K6" s="189">
        <v>3981758424</v>
      </c>
      <c r="L6" s="189">
        <v>1973339656.6500001</v>
      </c>
      <c r="M6" s="189">
        <v>8809723501</v>
      </c>
      <c r="N6" s="189">
        <v>6474105825.6199999</v>
      </c>
      <c r="O6" s="189">
        <v>4290191837</v>
      </c>
      <c r="P6" s="189">
        <v>2018137160.51</v>
      </c>
      <c r="Q6" s="189">
        <v>7583469512</v>
      </c>
      <c r="R6" s="189">
        <v>5200557948.0799999</v>
      </c>
      <c r="S6" s="189">
        <v>1978256079</v>
      </c>
      <c r="T6" s="189">
        <v>949721061.24000001</v>
      </c>
      <c r="U6" s="189">
        <v>3699343634</v>
      </c>
      <c r="V6" s="189">
        <v>2903216446</v>
      </c>
      <c r="W6" s="189">
        <v>1879321834</v>
      </c>
      <c r="X6" s="189">
        <v>889651839.38</v>
      </c>
      <c r="Y6" s="189">
        <v>3710965307</v>
      </c>
      <c r="Z6" s="189">
        <v>2842770554</v>
      </c>
      <c r="AA6" s="189">
        <v>1950502608</v>
      </c>
      <c r="AB6" s="189">
        <v>893446570.84000003</v>
      </c>
      <c r="AC6" s="189">
        <v>4067266812</v>
      </c>
      <c r="AD6" s="189">
        <v>2923463345.8800001</v>
      </c>
      <c r="AE6" s="189">
        <v>1814607570</v>
      </c>
      <c r="AF6" s="189">
        <v>885449169.89999998</v>
      </c>
      <c r="AG6" s="189">
        <v>2903758242</v>
      </c>
      <c r="AH6" s="189">
        <v>1931085020.97</v>
      </c>
      <c r="AI6" s="189">
        <v>1234888962.49</v>
      </c>
      <c r="AJ6" s="189">
        <v>570656934.16999996</v>
      </c>
      <c r="AK6" s="189">
        <v>2103463504.24</v>
      </c>
      <c r="AL6" s="189">
        <v>1539537001.5</v>
      </c>
      <c r="AM6" s="189">
        <v>913852280.34000003</v>
      </c>
      <c r="AN6" s="189">
        <v>385272873.02999997</v>
      </c>
      <c r="AO6" s="189">
        <v>1212670645.51</v>
      </c>
      <c r="AP6" s="189">
        <v>897299345.59000003</v>
      </c>
      <c r="AQ6" s="189">
        <v>580463331.17999995</v>
      </c>
      <c r="AR6" s="189">
        <v>292928793.81</v>
      </c>
      <c r="AS6" s="189">
        <v>1447665821.4400001</v>
      </c>
      <c r="AT6" s="189">
        <v>1038589737.84</v>
      </c>
      <c r="AU6" s="189">
        <v>639585374.01999998</v>
      </c>
      <c r="AV6" s="189">
        <v>294623899.29000002</v>
      </c>
      <c r="AW6" s="189">
        <v>1232007100.49</v>
      </c>
      <c r="AX6" s="189">
        <v>821974717.88</v>
      </c>
      <c r="AY6" s="189">
        <v>518568112.83999997</v>
      </c>
      <c r="AZ6" s="189">
        <v>204774076</v>
      </c>
      <c r="BA6" s="189">
        <v>914092649.19000006</v>
      </c>
      <c r="BB6" s="189">
        <v>632616397.76999998</v>
      </c>
      <c r="BC6" s="189">
        <v>433922447.14999998</v>
      </c>
      <c r="BD6" s="189">
        <v>192465803.43000001</v>
      </c>
      <c r="BE6" s="189">
        <v>851118025.92999995</v>
      </c>
      <c r="BF6" s="189">
        <v>529052950.43000001</v>
      </c>
      <c r="BG6" s="189">
        <v>349747987.5</v>
      </c>
      <c r="BH6" s="189">
        <v>139734767.99000001</v>
      </c>
      <c r="BI6" s="189">
        <v>498281218.69999999</v>
      </c>
      <c r="BJ6" s="189">
        <v>354609679.56999999</v>
      </c>
      <c r="BK6" s="189">
        <v>197952959.43000001</v>
      </c>
      <c r="BL6" s="189">
        <v>79725639.400000006</v>
      </c>
      <c r="BM6" s="189">
        <v>257169236.63999999</v>
      </c>
      <c r="BN6" s="189">
        <v>188066429.68000001</v>
      </c>
      <c r="BO6" s="189">
        <v>116288685.59</v>
      </c>
      <c r="BP6" s="189">
        <v>48795219.490000002</v>
      </c>
      <c r="BQ6" s="189">
        <v>228096073.81999999</v>
      </c>
      <c r="BR6" s="189">
        <v>116264848.81</v>
      </c>
      <c r="BS6" s="189">
        <v>245698330.44999999</v>
      </c>
      <c r="BT6" s="189">
        <v>121763071.65000001</v>
      </c>
      <c r="BU6" s="189">
        <v>215152248.36000001</v>
      </c>
      <c r="BV6" s="189">
        <v>98777194.159999996</v>
      </c>
      <c r="BW6" s="189">
        <v>121967726.47</v>
      </c>
      <c r="BX6" s="189">
        <v>68453618.700000003</v>
      </c>
      <c r="BY6" s="189">
        <v>147121164.18000001</v>
      </c>
      <c r="BZ6" s="189">
        <v>0</v>
      </c>
      <c r="CA6" s="189">
        <v>113422664.66</v>
      </c>
      <c r="CB6" s="189">
        <v>0</v>
      </c>
      <c r="CC6" s="189">
        <v>91668806.090000004</v>
      </c>
      <c r="CD6" s="189">
        <v>0</v>
      </c>
      <c r="CE6" s="189">
        <v>103241992.44</v>
      </c>
      <c r="CF6" s="189">
        <v>91356905.969999999</v>
      </c>
      <c r="CG6" s="189">
        <v>79129800</v>
      </c>
      <c r="CH6" s="189">
        <v>43869100</v>
      </c>
      <c r="CI6" s="189">
        <v>0</v>
      </c>
    </row>
    <row r="7" spans="1:87">
      <c r="A7" s="189" t="s">
        <v>194</v>
      </c>
      <c r="B7" s="189">
        <v>107164479.18000001</v>
      </c>
      <c r="C7" s="189">
        <v>62752006.340000004</v>
      </c>
      <c r="D7" s="189">
        <v>25872263.300000001</v>
      </c>
      <c r="E7" s="189">
        <v>65156739.600000001</v>
      </c>
      <c r="F7" s="189">
        <v>49255247.539999999</v>
      </c>
      <c r="G7" s="189">
        <v>33034417.109999999</v>
      </c>
      <c r="H7" s="189">
        <v>19904288.920000002</v>
      </c>
      <c r="I7" s="189">
        <v>47959849.380000003</v>
      </c>
      <c r="J7" s="189">
        <v>15324387.130000001</v>
      </c>
      <c r="K7" s="189">
        <v>9734324</v>
      </c>
      <c r="L7" s="189">
        <v>1024711.2</v>
      </c>
      <c r="M7" s="189">
        <v>9182659</v>
      </c>
      <c r="N7" s="189">
        <v>8178970.7599999998</v>
      </c>
      <c r="O7" s="189">
        <v>6064144</v>
      </c>
      <c r="P7" s="189">
        <v>2022576.5</v>
      </c>
      <c r="Q7" s="189">
        <v>13782574</v>
      </c>
      <c r="R7" s="189">
        <v>10905591.289999999</v>
      </c>
      <c r="S7" s="189">
        <v>3068340</v>
      </c>
      <c r="T7" s="189">
        <v>1405154.3</v>
      </c>
      <c r="U7" s="189">
        <v>9525591</v>
      </c>
      <c r="V7" s="189">
        <v>7967561</v>
      </c>
      <c r="W7" s="189">
        <v>6490541</v>
      </c>
      <c r="X7" s="189">
        <v>1848052.64</v>
      </c>
      <c r="Y7" s="189">
        <v>9837982</v>
      </c>
      <c r="Z7" s="189">
        <v>7816185</v>
      </c>
      <c r="AA7" s="189">
        <v>7659550</v>
      </c>
      <c r="AB7" s="189">
        <v>3678557.94</v>
      </c>
      <c r="AC7" s="189">
        <v>13350824</v>
      </c>
      <c r="AD7" s="189">
        <v>7846345.9199999999</v>
      </c>
      <c r="AE7" s="189">
        <v>4281035</v>
      </c>
      <c r="AF7" s="189">
        <v>1516125.03</v>
      </c>
      <c r="AG7" s="189">
        <v>11092932</v>
      </c>
      <c r="AH7" s="189">
        <v>8025654.8499999996</v>
      </c>
      <c r="AI7" s="189">
        <v>5507566.4199999999</v>
      </c>
      <c r="AJ7" s="189">
        <v>3005033.98</v>
      </c>
      <c r="AK7" s="189">
        <v>3752842.66</v>
      </c>
      <c r="AL7" s="189">
        <v>1455302.17</v>
      </c>
      <c r="AM7" s="189">
        <v>848400.73</v>
      </c>
      <c r="AN7" s="189">
        <v>160894.04999999999</v>
      </c>
      <c r="AO7" s="189">
        <v>2887569.08</v>
      </c>
      <c r="AP7" s="189">
        <v>1803886.05</v>
      </c>
      <c r="AQ7" s="189">
        <v>1185554.17</v>
      </c>
      <c r="AR7" s="189">
        <v>612105.35</v>
      </c>
      <c r="AS7" s="189">
        <v>1680085.07</v>
      </c>
      <c r="AT7" s="189">
        <v>1031388.32</v>
      </c>
      <c r="AU7" s="189">
        <v>572323.92000000004</v>
      </c>
      <c r="AV7" s="189">
        <v>101181.65</v>
      </c>
      <c r="AW7" s="189">
        <v>3153744.26</v>
      </c>
      <c r="AX7" s="189">
        <v>1582886.49</v>
      </c>
      <c r="AY7" s="189">
        <v>630549.80000000005</v>
      </c>
      <c r="AZ7" s="189">
        <v>48932.53</v>
      </c>
      <c r="BA7" s="189">
        <v>2560740.37</v>
      </c>
      <c r="BB7" s="189">
        <v>859332.92</v>
      </c>
      <c r="BC7" s="189">
        <v>642444.77</v>
      </c>
      <c r="BD7" s="189">
        <v>275558.09000000003</v>
      </c>
      <c r="BE7" s="189">
        <v>1267446.1100000001</v>
      </c>
      <c r="BF7" s="189">
        <v>864179.98</v>
      </c>
      <c r="BG7" s="189">
        <v>864179.98</v>
      </c>
      <c r="BH7" s="189">
        <v>400912.64000000001</v>
      </c>
      <c r="BI7" s="189">
        <v>754846.31</v>
      </c>
      <c r="BJ7" s="189">
        <v>566455.49</v>
      </c>
      <c r="BK7" s="189">
        <v>376457.17</v>
      </c>
      <c r="BL7" s="189">
        <v>147571.66</v>
      </c>
      <c r="BM7" s="189">
        <v>200319.17</v>
      </c>
      <c r="BN7" s="189">
        <v>157341.18</v>
      </c>
      <c r="BO7" s="189">
        <v>133383.46</v>
      </c>
      <c r="BP7" s="189">
        <v>54782.67</v>
      </c>
      <c r="BQ7" s="189">
        <v>209617.88</v>
      </c>
      <c r="BR7" s="189">
        <v>193282.44</v>
      </c>
      <c r="BS7" s="189">
        <v>24377.45</v>
      </c>
      <c r="BT7" s="189">
        <v>36551.49</v>
      </c>
      <c r="BU7" s="189">
        <v>101077.69</v>
      </c>
      <c r="BV7" s="189">
        <v>36464.04</v>
      </c>
      <c r="BW7" s="189">
        <v>79334.22</v>
      </c>
      <c r="BX7" s="189">
        <v>6859.07</v>
      </c>
      <c r="BY7" s="189">
        <v>442342.3</v>
      </c>
      <c r="BZ7" s="189">
        <v>0</v>
      </c>
      <c r="CA7" s="189">
        <v>44021.57</v>
      </c>
      <c r="CB7" s="189">
        <v>0</v>
      </c>
      <c r="CC7" s="189">
        <v>31867.919999999998</v>
      </c>
      <c r="CD7" s="189">
        <v>0</v>
      </c>
      <c r="CE7" s="189">
        <v>58096.52</v>
      </c>
      <c r="CF7" s="189">
        <v>314948.40000000002</v>
      </c>
      <c r="CG7" s="189">
        <v>0</v>
      </c>
      <c r="CH7" s="189">
        <v>0</v>
      </c>
      <c r="CI7" s="189">
        <v>0</v>
      </c>
    </row>
    <row r="8" spans="1:87">
      <c r="A8" s="189" t="s">
        <v>195</v>
      </c>
      <c r="B8" s="189">
        <v>358066986.93000001</v>
      </c>
      <c r="C8" s="189">
        <v>233408952.25999999</v>
      </c>
      <c r="D8" s="189">
        <v>99518638.689999998</v>
      </c>
      <c r="E8" s="189">
        <v>398025370.25</v>
      </c>
      <c r="F8" s="189">
        <v>273316220.35000002</v>
      </c>
      <c r="G8" s="189">
        <v>173711947.25</v>
      </c>
      <c r="H8" s="189">
        <v>80605156.439999998</v>
      </c>
      <c r="I8" s="189">
        <v>343407135.30000001</v>
      </c>
      <c r="J8" s="189">
        <v>256512247.34999999</v>
      </c>
      <c r="K8" s="189">
        <v>173621530</v>
      </c>
      <c r="L8" s="189">
        <v>85390934.840000004</v>
      </c>
      <c r="M8" s="189">
        <v>332022916</v>
      </c>
      <c r="N8" s="189">
        <v>244475744.61000001</v>
      </c>
      <c r="O8" s="189">
        <v>154791214</v>
      </c>
      <c r="P8" s="189">
        <v>66753841.109999999</v>
      </c>
      <c r="Q8" s="189">
        <v>287637540</v>
      </c>
      <c r="R8" s="189">
        <v>200395263.5</v>
      </c>
      <c r="S8" s="189">
        <v>53177659</v>
      </c>
      <c r="T8" s="189">
        <v>25467368.559999999</v>
      </c>
      <c r="U8" s="189">
        <v>96877866</v>
      </c>
      <c r="V8" s="189">
        <v>75918576</v>
      </c>
      <c r="W8" s="189">
        <v>51780772</v>
      </c>
      <c r="X8" s="189">
        <v>27560417.57</v>
      </c>
      <c r="Y8" s="189">
        <v>98707212</v>
      </c>
      <c r="Z8" s="189">
        <v>69230853</v>
      </c>
      <c r="AA8" s="189">
        <v>45057825</v>
      </c>
      <c r="AB8" s="189">
        <v>20113835.460000001</v>
      </c>
      <c r="AC8" s="189">
        <v>93659879</v>
      </c>
      <c r="AD8" s="189">
        <v>62598690.799999997</v>
      </c>
      <c r="AE8" s="189">
        <v>41739477</v>
      </c>
      <c r="AF8" s="189">
        <v>22645175.800000001</v>
      </c>
      <c r="AG8" s="189">
        <v>86971650</v>
      </c>
      <c r="AH8" s="189">
        <v>61703094.93</v>
      </c>
      <c r="AI8" s="189">
        <v>38557115.880000003</v>
      </c>
      <c r="AJ8" s="189">
        <v>17764411.579999998</v>
      </c>
      <c r="AK8" s="189">
        <v>73770678.5</v>
      </c>
      <c r="AL8" s="189">
        <v>49435345.270000003</v>
      </c>
      <c r="AM8" s="189">
        <v>29413643.030000001</v>
      </c>
      <c r="AN8" s="189">
        <v>14822606.59</v>
      </c>
      <c r="AO8" s="189">
        <v>64211958.119999997</v>
      </c>
      <c r="AP8" s="189">
        <v>40379895.560000002</v>
      </c>
      <c r="AQ8" s="189">
        <v>29289183.469999999</v>
      </c>
      <c r="AR8" s="189">
        <v>11179076.84</v>
      </c>
      <c r="AS8" s="189">
        <v>48053677.729999997</v>
      </c>
      <c r="AT8" s="189">
        <v>33041118.129999999</v>
      </c>
      <c r="AU8" s="189">
        <v>21164648.870000001</v>
      </c>
      <c r="AV8" s="189">
        <v>10201946.49</v>
      </c>
      <c r="AW8" s="189">
        <v>41181831.719999999</v>
      </c>
      <c r="AX8" s="189">
        <v>27224355.969999999</v>
      </c>
      <c r="AY8" s="189">
        <v>16354365.289999999</v>
      </c>
      <c r="AZ8" s="189">
        <v>7752813.7000000002</v>
      </c>
      <c r="BA8" s="189">
        <v>24062441.050000001</v>
      </c>
      <c r="BB8" s="189">
        <v>11378157.359999999</v>
      </c>
      <c r="BC8" s="189">
        <v>7832364.9400000004</v>
      </c>
      <c r="BD8" s="189">
        <v>4141825.6</v>
      </c>
      <c r="BE8" s="189">
        <v>16881011.260000002</v>
      </c>
      <c r="BF8" s="189">
        <v>12219897.84</v>
      </c>
      <c r="BG8" s="189">
        <v>7614422.1600000001</v>
      </c>
      <c r="BH8" s="189">
        <v>3893644.69</v>
      </c>
      <c r="BI8" s="189">
        <v>12418773.960000001</v>
      </c>
      <c r="BJ8" s="189">
        <v>8298227.1299999999</v>
      </c>
      <c r="BK8" s="189">
        <v>4888035.96</v>
      </c>
      <c r="BL8" s="189">
        <v>2374450.71</v>
      </c>
      <c r="BM8" s="189">
        <v>9197767.4100000001</v>
      </c>
      <c r="BN8" s="189">
        <v>6317396.4199999999</v>
      </c>
      <c r="BO8" s="189">
        <v>4100756.43</v>
      </c>
      <c r="BP8" s="189">
        <v>2137968.48</v>
      </c>
      <c r="BQ8" s="189">
        <v>7353414.1299999999</v>
      </c>
      <c r="BR8" s="189">
        <v>4035417.79</v>
      </c>
      <c r="BS8" s="189">
        <v>7688042.0199999996</v>
      </c>
      <c r="BT8" s="189">
        <v>3413102.5</v>
      </c>
      <c r="BU8" s="189">
        <v>7751140.0800000001</v>
      </c>
      <c r="BV8" s="189">
        <v>3251387.2</v>
      </c>
      <c r="BW8" s="189">
        <v>4768727.04</v>
      </c>
      <c r="BX8" s="189">
        <v>2441731.0299999998</v>
      </c>
      <c r="BY8" s="189">
        <v>4131141.73</v>
      </c>
      <c r="BZ8" s="189">
        <v>0</v>
      </c>
      <c r="CA8" s="189">
        <v>2704778.42</v>
      </c>
      <c r="CB8" s="189">
        <v>0</v>
      </c>
      <c r="CC8" s="189">
        <v>2682027</v>
      </c>
      <c r="CD8" s="189">
        <v>0</v>
      </c>
      <c r="CE8" s="189">
        <v>1543813.86</v>
      </c>
      <c r="CF8" s="189">
        <v>1223702.47</v>
      </c>
      <c r="CG8" s="189">
        <v>0</v>
      </c>
      <c r="CH8" s="189">
        <v>0</v>
      </c>
      <c r="CI8" s="189">
        <v>0</v>
      </c>
    </row>
    <row r="9" spans="1:87">
      <c r="A9" s="189" t="s">
        <v>196</v>
      </c>
      <c r="B9" s="189">
        <v>424468639.91000003</v>
      </c>
      <c r="C9" s="189">
        <v>975817200.99000001</v>
      </c>
      <c r="D9" s="189">
        <v>431730647.62</v>
      </c>
      <c r="E9" s="189">
        <v>1562874219</v>
      </c>
      <c r="F9" s="189">
        <v>1064956415.03</v>
      </c>
      <c r="G9" s="189">
        <v>710539906.90999997</v>
      </c>
      <c r="H9" s="189">
        <v>338444437.02999997</v>
      </c>
      <c r="I9" s="189">
        <v>1457430157.79</v>
      </c>
      <c r="J9" s="189">
        <v>1050004447.4</v>
      </c>
      <c r="K9" s="189">
        <v>686214715</v>
      </c>
      <c r="L9" s="189">
        <v>344790741.86000001</v>
      </c>
      <c r="M9" s="189">
        <v>1270483375</v>
      </c>
      <c r="N9" s="189">
        <v>945132807.03999996</v>
      </c>
      <c r="O9" s="189">
        <v>595302499</v>
      </c>
      <c r="P9" s="189">
        <v>277005885.17000002</v>
      </c>
      <c r="Q9" s="189">
        <v>1000762138</v>
      </c>
      <c r="R9" s="189">
        <v>664100659.88</v>
      </c>
      <c r="S9" s="189">
        <v>245167916</v>
      </c>
      <c r="T9" s="189">
        <v>122007833.5</v>
      </c>
      <c r="U9" s="189">
        <v>449367489</v>
      </c>
      <c r="V9" s="189">
        <v>312895143</v>
      </c>
      <c r="W9" s="189">
        <v>206921248</v>
      </c>
      <c r="X9" s="189">
        <v>101151456.55</v>
      </c>
      <c r="Y9" s="189">
        <v>365825658</v>
      </c>
      <c r="Z9" s="189">
        <v>246442408</v>
      </c>
      <c r="AA9" s="189">
        <v>155189388</v>
      </c>
      <c r="AB9" s="189">
        <v>71109449.299999997</v>
      </c>
      <c r="AC9" s="189">
        <v>341945229</v>
      </c>
      <c r="AD9" s="189">
        <v>224713126.91</v>
      </c>
      <c r="AE9" s="189">
        <v>149947985</v>
      </c>
      <c r="AF9" s="189">
        <v>76118123.650000006</v>
      </c>
      <c r="AG9" s="189">
        <v>251656351</v>
      </c>
      <c r="AH9" s="189">
        <v>163472934.34</v>
      </c>
      <c r="AI9" s="189">
        <v>93120197.189999998</v>
      </c>
      <c r="AJ9" s="189">
        <v>46937760.280000001</v>
      </c>
      <c r="AK9" s="189">
        <v>171257795.52000001</v>
      </c>
      <c r="AL9" s="189">
        <v>113597076.61</v>
      </c>
      <c r="AM9" s="189">
        <v>75147130.980000004</v>
      </c>
      <c r="AN9" s="189">
        <v>36983690.899999999</v>
      </c>
      <c r="AO9" s="189">
        <v>152712783.55000001</v>
      </c>
      <c r="AP9" s="189">
        <v>95517675.510000005</v>
      </c>
      <c r="AQ9" s="189">
        <v>60268837.270000003</v>
      </c>
      <c r="AR9" s="189">
        <v>25338261.489999998</v>
      </c>
      <c r="AS9" s="189">
        <v>106168683.48</v>
      </c>
      <c r="AT9" s="189">
        <v>72546733.530000001</v>
      </c>
      <c r="AU9" s="189">
        <v>47344720.609999999</v>
      </c>
      <c r="AV9" s="189">
        <v>25314712.530000001</v>
      </c>
      <c r="AW9" s="189">
        <v>94168880.849999994</v>
      </c>
      <c r="AX9" s="189">
        <v>67691591.859999999</v>
      </c>
      <c r="AY9" s="189">
        <v>47102197.759999998</v>
      </c>
      <c r="AZ9" s="189">
        <v>20615957.359999999</v>
      </c>
      <c r="BA9" s="189">
        <v>85834784.439999998</v>
      </c>
      <c r="BB9" s="189">
        <v>56282692.990000002</v>
      </c>
      <c r="BC9" s="189">
        <v>37982710.600000001</v>
      </c>
      <c r="BD9" s="189">
        <v>20861189.629999999</v>
      </c>
      <c r="BE9" s="189">
        <v>86140722.579999998</v>
      </c>
      <c r="BF9" s="189">
        <v>50381620.039999999</v>
      </c>
      <c r="BG9" s="189">
        <v>33819568.909999996</v>
      </c>
      <c r="BH9" s="189">
        <v>13088330.289999999</v>
      </c>
      <c r="BI9" s="189">
        <v>54098751.759999998</v>
      </c>
      <c r="BJ9" s="189">
        <v>39723544.799999997</v>
      </c>
      <c r="BK9" s="189">
        <v>26418556.5</v>
      </c>
      <c r="BL9" s="189">
        <v>10832004.970000001</v>
      </c>
      <c r="BM9" s="189">
        <v>78203773.230000004</v>
      </c>
      <c r="BN9" s="189">
        <v>37516027.640000001</v>
      </c>
      <c r="BO9" s="189">
        <v>13403329.66</v>
      </c>
      <c r="BP9" s="189">
        <v>4717840.59</v>
      </c>
      <c r="BQ9" s="189">
        <v>28611507.640000001</v>
      </c>
      <c r="BR9" s="189">
        <v>12194349.32</v>
      </c>
      <c r="BS9" s="189">
        <v>29767355.739999998</v>
      </c>
      <c r="BT9" s="189">
        <v>13743013.779999999</v>
      </c>
      <c r="BU9" s="189">
        <v>26806334.98</v>
      </c>
      <c r="BV9" s="189">
        <v>10862457.800000001</v>
      </c>
      <c r="BW9" s="189">
        <v>20761182.789999999</v>
      </c>
      <c r="BX9" s="189">
        <v>11064116.699999999</v>
      </c>
      <c r="BY9" s="189">
        <v>23902868</v>
      </c>
      <c r="BZ9" s="189">
        <v>0</v>
      </c>
      <c r="CA9" s="189">
        <v>23248459.800000001</v>
      </c>
      <c r="CB9" s="189">
        <v>0</v>
      </c>
      <c r="CC9" s="189">
        <v>21439682.940000001</v>
      </c>
      <c r="CD9" s="189">
        <v>0</v>
      </c>
      <c r="CE9" s="189">
        <v>21577844.440000001</v>
      </c>
      <c r="CF9" s="189">
        <v>15392056.970000001</v>
      </c>
      <c r="CG9" s="189">
        <v>0</v>
      </c>
      <c r="CH9" s="189">
        <v>0</v>
      </c>
      <c r="CI9" s="189">
        <v>0</v>
      </c>
    </row>
    <row r="10" spans="1:87">
      <c r="A10" s="189" t="s">
        <v>197</v>
      </c>
      <c r="B10" s="189">
        <v>555995737.92999995</v>
      </c>
      <c r="C10" s="189">
        <v>389560999.24000001</v>
      </c>
      <c r="D10" s="189">
        <v>241066609.06</v>
      </c>
      <c r="E10" s="189">
        <v>227153874.58000001</v>
      </c>
      <c r="F10" s="189">
        <v>172324133.75999999</v>
      </c>
      <c r="G10" s="189">
        <v>109798309.25</v>
      </c>
      <c r="H10" s="189">
        <v>66896224.259999998</v>
      </c>
      <c r="I10" s="189">
        <v>-137444263.69999999</v>
      </c>
      <c r="J10" s="189">
        <v>15234.62</v>
      </c>
      <c r="K10" s="189">
        <v>4602562</v>
      </c>
      <c r="L10" s="189">
        <v>43437175.240000002</v>
      </c>
      <c r="M10" s="189">
        <v>-1951194</v>
      </c>
      <c r="N10" s="189">
        <v>30241241.859999999</v>
      </c>
      <c r="O10" s="189">
        <v>45013351</v>
      </c>
      <c r="P10" s="189">
        <v>33005294.68</v>
      </c>
      <c r="Q10" s="189">
        <v>186676158</v>
      </c>
      <c r="R10" s="189">
        <v>138839839.90000001</v>
      </c>
      <c r="S10" s="189">
        <v>52731523</v>
      </c>
      <c r="T10" s="189">
        <v>27215200.399999999</v>
      </c>
      <c r="U10" s="189">
        <v>136547720</v>
      </c>
      <c r="V10" s="189">
        <v>111060103</v>
      </c>
      <c r="W10" s="189">
        <v>75491152</v>
      </c>
      <c r="X10" s="189">
        <v>38518424.329999998</v>
      </c>
      <c r="Y10" s="189">
        <v>171782192</v>
      </c>
      <c r="Z10" s="189">
        <v>129291090</v>
      </c>
      <c r="AA10" s="189">
        <v>84829496</v>
      </c>
      <c r="AB10" s="189">
        <v>42969523.539999999</v>
      </c>
      <c r="AC10" s="189">
        <v>124841335</v>
      </c>
      <c r="AD10" s="189">
        <v>135362539.15000001</v>
      </c>
      <c r="AE10" s="189">
        <v>58113723</v>
      </c>
      <c r="AF10" s="189">
        <v>42786124.060000002</v>
      </c>
      <c r="AG10" s="189">
        <v>116471923</v>
      </c>
      <c r="AH10" s="189">
        <v>87960978.480000004</v>
      </c>
      <c r="AI10" s="189">
        <v>59546816.159999996</v>
      </c>
      <c r="AJ10" s="189">
        <v>27110473.57</v>
      </c>
      <c r="AK10" s="189">
        <v>134334606.22</v>
      </c>
      <c r="AL10" s="189">
        <v>102214555.09999999</v>
      </c>
      <c r="AM10" s="189">
        <v>70743684.450000003</v>
      </c>
      <c r="AN10" s="189">
        <v>34937236.770000003</v>
      </c>
      <c r="AO10" s="189">
        <v>54620082.509999998</v>
      </c>
      <c r="AP10" s="189">
        <v>3455086.02</v>
      </c>
      <c r="AQ10" s="189">
        <v>2648053.86</v>
      </c>
      <c r="AR10" s="189">
        <v>2367479.4500000002</v>
      </c>
      <c r="AS10" s="189">
        <v>16144523.699999999</v>
      </c>
      <c r="AT10" s="189">
        <v>14747082.939999999</v>
      </c>
      <c r="AU10" s="189">
        <v>10155736.380000001</v>
      </c>
      <c r="AV10" s="189">
        <v>4602707.42</v>
      </c>
      <c r="AW10" s="189">
        <v>36214863.200000003</v>
      </c>
      <c r="AX10" s="189">
        <v>23678737.280000001</v>
      </c>
      <c r="AY10" s="189">
        <v>12185389.880000001</v>
      </c>
      <c r="AZ10" s="189">
        <v>5843404.54</v>
      </c>
      <c r="BA10" s="189">
        <v>22111876.359999999</v>
      </c>
      <c r="BB10" s="189">
        <v>18041563.52</v>
      </c>
      <c r="BC10" s="189">
        <v>13189011.58</v>
      </c>
      <c r="BD10" s="189">
        <v>6509516.2300000004</v>
      </c>
      <c r="BE10" s="189">
        <v>21125482.620000001</v>
      </c>
      <c r="BF10" s="189">
        <v>13873897.880000001</v>
      </c>
      <c r="BG10" s="189">
        <v>9272739.7200000007</v>
      </c>
      <c r="BH10" s="189">
        <v>5254974.34</v>
      </c>
      <c r="BI10" s="189">
        <v>18360468.960000001</v>
      </c>
      <c r="BJ10" s="189">
        <v>12628456.039999999</v>
      </c>
      <c r="BK10" s="189">
        <v>8542461.6099999994</v>
      </c>
      <c r="BL10" s="189">
        <v>4439179.18</v>
      </c>
      <c r="BM10" s="189">
        <v>12384001.289999999</v>
      </c>
      <c r="BN10" s="189">
        <v>7942957.5700000003</v>
      </c>
      <c r="BO10" s="189">
        <v>3194301.26</v>
      </c>
      <c r="BP10" s="189">
        <v>858456.31</v>
      </c>
      <c r="BQ10" s="189">
        <v>4622677.68</v>
      </c>
      <c r="BR10" s="189">
        <v>5165758.59</v>
      </c>
      <c r="BS10" s="189">
        <v>5841182.0499999998</v>
      </c>
      <c r="BT10" s="189">
        <v>3442934.55</v>
      </c>
      <c r="BU10" s="189">
        <v>4581835.4000000004</v>
      </c>
      <c r="BV10" s="189">
        <v>870590.37</v>
      </c>
      <c r="BW10" s="189">
        <v>1647157.55</v>
      </c>
      <c r="BX10" s="189">
        <v>656091.86</v>
      </c>
      <c r="BY10" s="189">
        <v>946849.48</v>
      </c>
      <c r="BZ10" s="189">
        <v>0</v>
      </c>
      <c r="CA10" s="189">
        <v>-537172.29</v>
      </c>
      <c r="CB10" s="189">
        <v>0</v>
      </c>
      <c r="CC10" s="189">
        <v>7917769.5499999998</v>
      </c>
      <c r="CD10" s="189">
        <v>0</v>
      </c>
      <c r="CE10" s="189">
        <v>5890138.6100000003</v>
      </c>
      <c r="CF10" s="189">
        <v>4637578.3099999996</v>
      </c>
      <c r="CG10" s="189">
        <v>0</v>
      </c>
      <c r="CH10" s="189">
        <v>0</v>
      </c>
      <c r="CI10" s="189">
        <v>0</v>
      </c>
    </row>
    <row r="11" spans="1:87">
      <c r="A11" s="189" t="s">
        <v>198</v>
      </c>
      <c r="B11" s="189">
        <v>127800388.98999999</v>
      </c>
      <c r="C11" s="189">
        <v>73172304.019999996</v>
      </c>
      <c r="D11" s="189">
        <v>60371233.359999999</v>
      </c>
      <c r="E11" s="189">
        <v>267174076.71000001</v>
      </c>
      <c r="F11" s="189">
        <v>60451257.850000001</v>
      </c>
      <c r="G11" s="189">
        <v>46510416.07</v>
      </c>
      <c r="H11" s="189">
        <v>22389232.280000001</v>
      </c>
      <c r="I11" s="189">
        <v>107634337.56999999</v>
      </c>
      <c r="J11" s="189">
        <v>76854225.980000004</v>
      </c>
      <c r="K11" s="189">
        <v>57711133</v>
      </c>
      <c r="L11" s="189">
        <v>27341201.59</v>
      </c>
      <c r="M11" s="189">
        <v>88309940</v>
      </c>
      <c r="N11" s="189">
        <v>63119179.299999997</v>
      </c>
      <c r="O11" s="189">
        <v>21000286</v>
      </c>
      <c r="P11" s="189">
        <v>24490081.23</v>
      </c>
      <c r="Q11" s="189">
        <v>85312190</v>
      </c>
      <c r="R11" s="189">
        <v>56484847.57</v>
      </c>
      <c r="S11" s="189">
        <v>15221293</v>
      </c>
      <c r="T11" s="189">
        <v>0</v>
      </c>
      <c r="U11" s="189">
        <v>46695092</v>
      </c>
      <c r="V11" s="189">
        <v>17468143</v>
      </c>
      <c r="W11" s="189">
        <v>17468143</v>
      </c>
      <c r="X11" s="189">
        <v>0</v>
      </c>
      <c r="Y11" s="189">
        <v>36436326</v>
      </c>
      <c r="Z11" s="189">
        <v>6798938</v>
      </c>
      <c r="AA11" s="189">
        <v>7043964</v>
      </c>
      <c r="AB11" s="189">
        <v>0</v>
      </c>
      <c r="AC11" s="189">
        <v>14277515</v>
      </c>
      <c r="AD11" s="189">
        <v>9820711.9000000004</v>
      </c>
      <c r="AE11" s="189">
        <v>9797469</v>
      </c>
      <c r="AF11" s="189">
        <v>98702.080000000002</v>
      </c>
      <c r="AG11" s="189">
        <v>-3949798</v>
      </c>
      <c r="AH11" s="189">
        <v>4495546.58</v>
      </c>
      <c r="AI11" s="189">
        <v>4501415.66</v>
      </c>
      <c r="AJ11" s="189">
        <v>0</v>
      </c>
      <c r="AK11" s="189">
        <v>71243239.799999997</v>
      </c>
      <c r="AL11" s="189">
        <v>3716771.52</v>
      </c>
      <c r="AM11" s="189">
        <v>3704924.07</v>
      </c>
      <c r="AN11" s="189">
        <v>0</v>
      </c>
      <c r="AO11" s="189">
        <v>44197810.490000002</v>
      </c>
      <c r="AP11" s="189">
        <v>3177666.9</v>
      </c>
      <c r="AQ11" s="189">
        <v>3235741.98</v>
      </c>
      <c r="AR11" s="189">
        <v>28062.55</v>
      </c>
      <c r="AS11" s="189">
        <v>1299879.78</v>
      </c>
      <c r="AT11" s="189">
        <v>-2827292.48</v>
      </c>
      <c r="AU11" s="189">
        <v>-2576429.0099999998</v>
      </c>
      <c r="AV11" s="189">
        <v>1276562.72</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614281.69999999995</v>
      </c>
      <c r="BT11" s="189">
        <v>-41318.22</v>
      </c>
      <c r="BU11" s="189">
        <v>579755.56000000006</v>
      </c>
      <c r="BV11" s="189">
        <v>0</v>
      </c>
      <c r="BW11" s="189">
        <v>0</v>
      </c>
      <c r="BX11" s="189">
        <v>0</v>
      </c>
      <c r="BY11" s="189">
        <v>0</v>
      </c>
      <c r="BZ11" s="189">
        <v>0</v>
      </c>
      <c r="CA11" s="189">
        <v>0</v>
      </c>
      <c r="CB11" s="189">
        <v>0</v>
      </c>
      <c r="CC11" s="189">
        <v>0</v>
      </c>
      <c r="CD11" s="189">
        <v>0</v>
      </c>
      <c r="CE11" s="189">
        <v>0</v>
      </c>
      <c r="CF11" s="189">
        <v>0</v>
      </c>
      <c r="CG11" s="189">
        <v>0</v>
      </c>
      <c r="CH11" s="189">
        <v>0</v>
      </c>
      <c r="CI11" s="189">
        <v>0</v>
      </c>
    </row>
    <row r="12" spans="1:87">
      <c r="A12" s="189" t="s">
        <v>199</v>
      </c>
      <c r="B12" s="189">
        <v>0</v>
      </c>
      <c r="C12" s="189">
        <v>0</v>
      </c>
      <c r="D12" s="189">
        <v>0</v>
      </c>
      <c r="E12" s="189">
        <v>0</v>
      </c>
      <c r="F12" s="189">
        <v>0</v>
      </c>
      <c r="G12" s="189">
        <v>0</v>
      </c>
      <c r="H12" s="189">
        <v>0</v>
      </c>
      <c r="I12" s="189">
        <v>0</v>
      </c>
      <c r="J12" s="189">
        <v>0</v>
      </c>
      <c r="K12" s="189">
        <v>0</v>
      </c>
      <c r="L12" s="189">
        <v>0</v>
      </c>
      <c r="M12" s="189">
        <v>0</v>
      </c>
      <c r="N12" s="189">
        <v>0</v>
      </c>
      <c r="O12" s="189">
        <v>0</v>
      </c>
      <c r="P12" s="189">
        <v>0</v>
      </c>
      <c r="Q12" s="189">
        <v>0</v>
      </c>
      <c r="R12" s="189">
        <v>0</v>
      </c>
      <c r="S12" s="189">
        <v>0</v>
      </c>
      <c r="T12" s="189">
        <v>0</v>
      </c>
      <c r="U12" s="189">
        <v>0</v>
      </c>
      <c r="V12" s="189">
        <v>0</v>
      </c>
      <c r="W12" s="189">
        <v>0</v>
      </c>
      <c r="X12" s="189">
        <v>0</v>
      </c>
      <c r="Y12" s="189">
        <v>0</v>
      </c>
      <c r="Z12" s="189">
        <v>0</v>
      </c>
      <c r="AA12" s="189">
        <v>0</v>
      </c>
      <c r="AB12" s="189">
        <v>0</v>
      </c>
      <c r="AC12" s="189">
        <v>0</v>
      </c>
      <c r="AD12" s="189">
        <v>5394376.0800000001</v>
      </c>
      <c r="AE12" s="189">
        <v>0</v>
      </c>
      <c r="AF12" s="189">
        <v>0</v>
      </c>
      <c r="AG12" s="189">
        <v>0</v>
      </c>
      <c r="AH12" s="189">
        <v>43630.23</v>
      </c>
      <c r="AI12" s="189">
        <v>43630.23</v>
      </c>
      <c r="AJ12" s="189">
        <v>0</v>
      </c>
      <c r="AK12" s="189">
        <v>-43630.23</v>
      </c>
      <c r="AL12" s="189">
        <v>0</v>
      </c>
      <c r="AM12" s="189">
        <v>0</v>
      </c>
      <c r="AN12" s="189">
        <v>0</v>
      </c>
      <c r="AO12" s="189">
        <v>0</v>
      </c>
      <c r="AP12" s="189">
        <v>0</v>
      </c>
      <c r="AQ12" s="189">
        <v>0</v>
      </c>
      <c r="AR12" s="189">
        <v>0</v>
      </c>
      <c r="AS12" s="189">
        <v>0</v>
      </c>
      <c r="AT12" s="189">
        <v>0</v>
      </c>
      <c r="AU12" s="189">
        <v>0</v>
      </c>
      <c r="AV12" s="189">
        <v>0</v>
      </c>
      <c r="AW12" s="189">
        <v>0</v>
      </c>
      <c r="AX12" s="189">
        <v>0</v>
      </c>
      <c r="AY12" s="189">
        <v>0</v>
      </c>
      <c r="AZ12" s="189">
        <v>0</v>
      </c>
      <c r="BA12" s="189">
        <v>0</v>
      </c>
      <c r="BB12" s="189">
        <v>0</v>
      </c>
      <c r="BC12" s="189">
        <v>0</v>
      </c>
      <c r="BD12" s="189">
        <v>0</v>
      </c>
      <c r="BE12" s="189">
        <v>0</v>
      </c>
      <c r="BF12" s="189">
        <v>0</v>
      </c>
      <c r="BG12" s="189">
        <v>0</v>
      </c>
      <c r="BH12" s="189">
        <v>0</v>
      </c>
      <c r="BI12" s="189">
        <v>0</v>
      </c>
      <c r="BJ12" s="189">
        <v>0</v>
      </c>
      <c r="BK12" s="189">
        <v>0</v>
      </c>
      <c r="BL12" s="189">
        <v>0</v>
      </c>
      <c r="BM12" s="189">
        <v>0</v>
      </c>
      <c r="BN12" s="189">
        <v>0</v>
      </c>
      <c r="BO12" s="189">
        <v>0</v>
      </c>
      <c r="BP12" s="189">
        <v>0</v>
      </c>
      <c r="BQ12" s="189">
        <v>0</v>
      </c>
      <c r="BR12" s="189">
        <v>0</v>
      </c>
      <c r="BS12" s="189">
        <v>0</v>
      </c>
      <c r="BT12" s="189">
        <v>0</v>
      </c>
      <c r="BU12" s="189">
        <v>0</v>
      </c>
      <c r="BV12" s="189">
        <v>0</v>
      </c>
      <c r="BW12" s="189">
        <v>0</v>
      </c>
      <c r="BX12" s="189">
        <v>0</v>
      </c>
      <c r="BY12" s="189">
        <v>0</v>
      </c>
      <c r="BZ12" s="189">
        <v>0</v>
      </c>
      <c r="CA12" s="189">
        <v>0</v>
      </c>
      <c r="CB12" s="189">
        <v>0</v>
      </c>
      <c r="CC12" s="189">
        <v>0</v>
      </c>
      <c r="CD12" s="189">
        <v>0</v>
      </c>
      <c r="CE12" s="189">
        <v>0</v>
      </c>
      <c r="CF12" s="189">
        <v>0</v>
      </c>
      <c r="CG12" s="189">
        <v>0</v>
      </c>
      <c r="CH12" s="189">
        <v>0</v>
      </c>
      <c r="CI12" s="189">
        <v>0</v>
      </c>
    </row>
    <row r="13" spans="1:87">
      <c r="A13" s="189" t="s">
        <v>200</v>
      </c>
      <c r="B13" s="189">
        <v>118346207.56999999</v>
      </c>
      <c r="C13" s="189">
        <v>118939879.27</v>
      </c>
      <c r="D13" s="189">
        <v>-408050.72</v>
      </c>
      <c r="E13" s="189">
        <v>-37943077</v>
      </c>
      <c r="F13" s="189">
        <v>-3844618.37</v>
      </c>
      <c r="G13" s="189">
        <v>-2772610.98</v>
      </c>
      <c r="H13" s="189">
        <v>-1746050.1</v>
      </c>
      <c r="I13" s="189">
        <v>7663454.6699999999</v>
      </c>
      <c r="J13" s="189">
        <v>9373711.6600000001</v>
      </c>
      <c r="K13" s="189">
        <v>3762460</v>
      </c>
      <c r="L13" s="189">
        <v>794392.22</v>
      </c>
      <c r="M13" s="189">
        <v>-3239448</v>
      </c>
      <c r="N13" s="189">
        <v>-2899293.4</v>
      </c>
      <c r="O13" s="189">
        <v>-2005657</v>
      </c>
      <c r="P13" s="189">
        <v>-743748.4</v>
      </c>
      <c r="Q13" s="189">
        <v>-39020240</v>
      </c>
      <c r="R13" s="189">
        <v>26623256.210000001</v>
      </c>
      <c r="S13" s="189">
        <v>2211769</v>
      </c>
      <c r="T13" s="189">
        <v>507062.12</v>
      </c>
      <c r="U13" s="189">
        <v>6532889</v>
      </c>
      <c r="V13" s="189">
        <v>6204513</v>
      </c>
      <c r="W13" s="189">
        <v>1228245</v>
      </c>
      <c r="X13" s="189">
        <v>-2182383.89</v>
      </c>
      <c r="Y13" s="189">
        <v>-9114825</v>
      </c>
      <c r="Z13" s="189">
        <v>-4055554</v>
      </c>
      <c r="AA13" s="189">
        <v>-1201119</v>
      </c>
      <c r="AB13" s="189">
        <v>-2248296.36</v>
      </c>
      <c r="AC13" s="189">
        <v>-15589317</v>
      </c>
      <c r="AD13" s="189">
        <v>-4874316.8</v>
      </c>
      <c r="AE13" s="189">
        <v>-1643539</v>
      </c>
      <c r="AF13" s="189">
        <v>-811070.4</v>
      </c>
      <c r="AG13" s="189">
        <v>-1778301</v>
      </c>
      <c r="AH13" s="189">
        <v>0</v>
      </c>
      <c r="AI13" s="189">
        <v>0</v>
      </c>
      <c r="AJ13" s="189">
        <v>0</v>
      </c>
      <c r="AK13" s="189">
        <v>0</v>
      </c>
      <c r="AL13" s="189">
        <v>0</v>
      </c>
      <c r="AM13" s="189">
        <v>0</v>
      </c>
      <c r="AN13" s="189">
        <v>0</v>
      </c>
      <c r="AO13" s="189">
        <v>85619904.219999999</v>
      </c>
      <c r="AP13" s="189">
        <v>40190682</v>
      </c>
      <c r="AQ13" s="189">
        <v>39129482</v>
      </c>
      <c r="AR13" s="189">
        <v>0</v>
      </c>
      <c r="AS13" s="189">
        <v>-248245.33</v>
      </c>
      <c r="AT13" s="189">
        <v>0</v>
      </c>
      <c r="AU13" s="189">
        <v>0</v>
      </c>
      <c r="AV13" s="189">
        <v>0</v>
      </c>
      <c r="AW13" s="189">
        <v>341592.68</v>
      </c>
      <c r="AX13" s="189">
        <v>424202.8</v>
      </c>
      <c r="AY13" s="189">
        <v>424202.8</v>
      </c>
      <c r="AZ13" s="189">
        <v>0</v>
      </c>
      <c r="BA13" s="189">
        <v>-1642229.95</v>
      </c>
      <c r="BB13" s="189">
        <v>-270832.65000000002</v>
      </c>
      <c r="BC13" s="189">
        <v>-270832.65000000002</v>
      </c>
      <c r="BD13" s="189">
        <v>0</v>
      </c>
      <c r="BE13" s="189">
        <v>617403.02</v>
      </c>
      <c r="BF13" s="189">
        <v>275199.90000000002</v>
      </c>
      <c r="BG13" s="189">
        <v>275199.90000000002</v>
      </c>
      <c r="BH13" s="189">
        <v>0</v>
      </c>
      <c r="BI13" s="189">
        <v>-327261.12</v>
      </c>
      <c r="BJ13" s="189">
        <v>353439</v>
      </c>
      <c r="BK13" s="189">
        <v>0</v>
      </c>
      <c r="BL13" s="189">
        <v>0</v>
      </c>
      <c r="BM13" s="189">
        <v>415016.52</v>
      </c>
      <c r="BN13" s="189">
        <v>762544.88</v>
      </c>
      <c r="BO13" s="189">
        <v>272930.44</v>
      </c>
      <c r="BP13" s="189">
        <v>0</v>
      </c>
      <c r="BQ13" s="189">
        <v>394698.36</v>
      </c>
      <c r="BR13" s="189">
        <v>28670</v>
      </c>
      <c r="BS13" s="189">
        <v>1175980.52</v>
      </c>
      <c r="BT13" s="189">
        <v>667825.07999999996</v>
      </c>
      <c r="BU13" s="189">
        <v>2658165.7799999998</v>
      </c>
      <c r="BV13" s="189">
        <v>516126.06</v>
      </c>
      <c r="BW13" s="189">
        <v>2912419.14</v>
      </c>
      <c r="BX13" s="189">
        <v>1952939.06</v>
      </c>
      <c r="BY13" s="189">
        <v>836105.92</v>
      </c>
      <c r="BZ13" s="189">
        <v>423600.16</v>
      </c>
      <c r="CA13" s="189">
        <v>1726414.62</v>
      </c>
      <c r="CB13" s="189">
        <v>1830000</v>
      </c>
      <c r="CC13" s="189">
        <v>-57424.84</v>
      </c>
      <c r="CD13" s="189">
        <v>0</v>
      </c>
      <c r="CE13" s="189">
        <v>1693539.91</v>
      </c>
      <c r="CF13" s="189">
        <v>-88121.56</v>
      </c>
      <c r="CG13" s="189">
        <v>0</v>
      </c>
      <c r="CH13" s="189">
        <v>0</v>
      </c>
      <c r="CI13" s="189">
        <v>0</v>
      </c>
    </row>
    <row r="14" spans="1:87">
      <c r="A14" s="189" t="s">
        <v>201</v>
      </c>
      <c r="B14" s="189">
        <v>-9849946.7200000007</v>
      </c>
      <c r="C14" s="189">
        <v>-9256275.0199999996</v>
      </c>
      <c r="D14" s="189">
        <v>-408050.72</v>
      </c>
      <c r="E14" s="189">
        <v>-37943077</v>
      </c>
      <c r="F14" s="189">
        <v>-3844618.37</v>
      </c>
      <c r="G14" s="189">
        <v>-2772610.98</v>
      </c>
      <c r="H14" s="189">
        <v>-1746050.1</v>
      </c>
      <c r="I14" s="189">
        <v>-4938097.84</v>
      </c>
      <c r="J14" s="189">
        <v>-3227840.85</v>
      </c>
      <c r="K14" s="189">
        <v>-1571239</v>
      </c>
      <c r="L14" s="189">
        <v>-420128.33</v>
      </c>
      <c r="M14" s="189">
        <v>-3239448</v>
      </c>
      <c r="N14" s="189">
        <v>-2899293.4</v>
      </c>
      <c r="O14" s="189">
        <v>0</v>
      </c>
      <c r="P14" s="189">
        <v>-743748.4</v>
      </c>
      <c r="Q14" s="189">
        <v>-92478262</v>
      </c>
      <c r="R14" s="189">
        <v>1293484.7</v>
      </c>
      <c r="S14" s="189">
        <v>2183865</v>
      </c>
      <c r="T14" s="189">
        <v>507062.12</v>
      </c>
      <c r="U14" s="189">
        <v>6502509</v>
      </c>
      <c r="V14" s="189">
        <v>6174133</v>
      </c>
      <c r="W14" s="189">
        <v>1197865</v>
      </c>
      <c r="X14" s="189">
        <v>-2182383.89</v>
      </c>
      <c r="Y14" s="189">
        <v>-9114825</v>
      </c>
      <c r="Z14" s="189">
        <v>-4055554</v>
      </c>
      <c r="AA14" s="189">
        <v>-1201119</v>
      </c>
      <c r="AB14" s="189">
        <v>-2248296.36</v>
      </c>
      <c r="AC14" s="189">
        <v>-15589317</v>
      </c>
      <c r="AD14" s="189">
        <v>-4874316.8</v>
      </c>
      <c r="AE14" s="189">
        <v>0</v>
      </c>
      <c r="AF14" s="189">
        <v>-811070.4</v>
      </c>
      <c r="AG14" s="189">
        <v>0</v>
      </c>
      <c r="AH14" s="189">
        <v>0</v>
      </c>
      <c r="AI14" s="189">
        <v>0</v>
      </c>
      <c r="AJ14" s="189">
        <v>0</v>
      </c>
      <c r="AK14" s="189">
        <v>0</v>
      </c>
      <c r="AL14" s="189">
        <v>0</v>
      </c>
      <c r="AM14" s="189">
        <v>0</v>
      </c>
      <c r="AN14" s="189">
        <v>0</v>
      </c>
      <c r="AO14" s="189">
        <v>-416989.71</v>
      </c>
      <c r="AP14" s="189">
        <v>0</v>
      </c>
      <c r="AQ14" s="189">
        <v>0</v>
      </c>
      <c r="AR14" s="189">
        <v>0</v>
      </c>
      <c r="AS14" s="189">
        <v>-884549.53</v>
      </c>
      <c r="AT14" s="189">
        <v>0</v>
      </c>
      <c r="AU14" s="189">
        <v>0</v>
      </c>
      <c r="AV14" s="189">
        <v>0</v>
      </c>
      <c r="AW14" s="189">
        <v>0</v>
      </c>
      <c r="AX14" s="189">
        <v>0</v>
      </c>
      <c r="AY14" s="189">
        <v>0</v>
      </c>
      <c r="AZ14" s="189">
        <v>0</v>
      </c>
      <c r="BA14" s="189">
        <v>0</v>
      </c>
      <c r="BB14" s="189">
        <v>0</v>
      </c>
      <c r="BC14" s="189">
        <v>0</v>
      </c>
      <c r="BD14" s="189">
        <v>0</v>
      </c>
      <c r="BE14" s="189">
        <v>0</v>
      </c>
      <c r="BF14" s="189">
        <v>0</v>
      </c>
      <c r="BG14" s="189">
        <v>0</v>
      </c>
      <c r="BH14" s="189">
        <v>0</v>
      </c>
      <c r="BI14" s="189">
        <v>0</v>
      </c>
      <c r="BJ14" s="189">
        <v>0</v>
      </c>
      <c r="BK14" s="189">
        <v>0</v>
      </c>
      <c r="BL14" s="189">
        <v>0</v>
      </c>
      <c r="BM14" s="189">
        <v>0</v>
      </c>
      <c r="BN14" s="189">
        <v>0</v>
      </c>
      <c r="BO14" s="189">
        <v>0</v>
      </c>
      <c r="BP14" s="189">
        <v>0</v>
      </c>
      <c r="BQ14" s="189">
        <v>0</v>
      </c>
      <c r="BR14" s="189">
        <v>0</v>
      </c>
      <c r="BS14" s="189">
        <v>0</v>
      </c>
      <c r="BT14" s="189">
        <v>0</v>
      </c>
      <c r="BU14" s="189">
        <v>0</v>
      </c>
      <c r="BV14" s="189">
        <v>0</v>
      </c>
      <c r="BW14" s="189">
        <v>0</v>
      </c>
      <c r="BX14" s="189">
        <v>0</v>
      </c>
      <c r="BY14" s="189">
        <v>0</v>
      </c>
      <c r="BZ14" s="189">
        <v>0</v>
      </c>
      <c r="CA14" s="189">
        <v>0</v>
      </c>
      <c r="CB14" s="189">
        <v>0</v>
      </c>
      <c r="CC14" s="189">
        <v>0</v>
      </c>
      <c r="CD14" s="189">
        <v>0</v>
      </c>
      <c r="CE14" s="189">
        <v>0</v>
      </c>
      <c r="CF14" s="189">
        <v>0</v>
      </c>
      <c r="CG14" s="189">
        <v>0</v>
      </c>
      <c r="CH14" s="189">
        <v>0</v>
      </c>
      <c r="CI14" s="189">
        <v>0</v>
      </c>
    </row>
    <row r="15" spans="1:87">
      <c r="A15" s="189" t="s">
        <v>202</v>
      </c>
      <c r="B15" s="189">
        <v>0</v>
      </c>
      <c r="C15" s="189">
        <v>0</v>
      </c>
      <c r="D15" s="189">
        <v>0</v>
      </c>
      <c r="E15" s="189">
        <v>0</v>
      </c>
      <c r="F15" s="189">
        <v>0</v>
      </c>
      <c r="G15" s="189">
        <v>0</v>
      </c>
      <c r="H15" s="189">
        <v>0</v>
      </c>
      <c r="I15" s="189">
        <v>0</v>
      </c>
      <c r="J15" s="189">
        <v>0</v>
      </c>
      <c r="K15" s="189">
        <v>0</v>
      </c>
      <c r="L15" s="189">
        <v>0</v>
      </c>
      <c r="M15" s="189">
        <v>0</v>
      </c>
      <c r="N15" s="189">
        <v>0</v>
      </c>
      <c r="O15" s="189">
        <v>0</v>
      </c>
      <c r="P15" s="189">
        <v>-10712306.609999999</v>
      </c>
      <c r="Q15" s="189">
        <v>30357978</v>
      </c>
      <c r="R15" s="189">
        <v>-1552951.21</v>
      </c>
      <c r="S15" s="189">
        <v>-6565422</v>
      </c>
      <c r="T15" s="189">
        <v>-6562867.6100000003</v>
      </c>
      <c r="U15" s="189">
        <v>38055319</v>
      </c>
      <c r="V15" s="189">
        <v>29615495</v>
      </c>
      <c r="W15" s="189">
        <v>27705912</v>
      </c>
      <c r="X15" s="189">
        <v>10423782.83</v>
      </c>
      <c r="Y15" s="189">
        <v>7920818</v>
      </c>
      <c r="Z15" s="189">
        <v>-8319049</v>
      </c>
      <c r="AA15" s="189">
        <v>0</v>
      </c>
      <c r="AB15" s="189">
        <v>10870677.449999999</v>
      </c>
      <c r="AC15" s="189">
        <v>0</v>
      </c>
      <c r="AD15" s="189">
        <v>40661115.299999997</v>
      </c>
      <c r="AE15" s="189">
        <v>0</v>
      </c>
      <c r="AF15" s="189">
        <v>19394261.68</v>
      </c>
      <c r="AG15" s="189">
        <v>0</v>
      </c>
      <c r="AH15" s="189">
        <v>-4855702.43</v>
      </c>
      <c r="AI15" s="189">
        <v>0</v>
      </c>
      <c r="AJ15" s="189">
        <v>-1705356.77</v>
      </c>
      <c r="AK15" s="189">
        <v>-8120683.6799999997</v>
      </c>
      <c r="AL15" s="189">
        <v>-13955810.439999999</v>
      </c>
      <c r="AM15" s="189">
        <v>-4637144.66</v>
      </c>
      <c r="AN15" s="189">
        <v>1365424.1</v>
      </c>
      <c r="AO15" s="189">
        <v>-23798757.41</v>
      </c>
      <c r="AP15" s="189">
        <v>-10249033.109999999</v>
      </c>
      <c r="AQ15" s="189">
        <v>-10834935.189999999</v>
      </c>
      <c r="AR15" s="189">
        <v>-4816825.2300000004</v>
      </c>
      <c r="AS15" s="189">
        <v>-7738880.25</v>
      </c>
      <c r="AT15" s="189">
        <v>-3961973.45</v>
      </c>
      <c r="AU15" s="189">
        <v>-1364454.15</v>
      </c>
      <c r="AV15" s="189">
        <v>-559640.74</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c r="BW15" s="189">
        <v>0</v>
      </c>
      <c r="BX15" s="189">
        <v>0</v>
      </c>
      <c r="BY15" s="189">
        <v>0</v>
      </c>
      <c r="BZ15" s="189">
        <v>0</v>
      </c>
      <c r="CA15" s="189">
        <v>0</v>
      </c>
      <c r="CB15" s="189">
        <v>0</v>
      </c>
      <c r="CC15" s="189">
        <v>0</v>
      </c>
      <c r="CD15" s="189">
        <v>0</v>
      </c>
      <c r="CE15" s="189">
        <v>0</v>
      </c>
      <c r="CF15" s="189">
        <v>0</v>
      </c>
      <c r="CG15" s="189">
        <v>0</v>
      </c>
      <c r="CH15" s="189">
        <v>0</v>
      </c>
      <c r="CI15" s="189">
        <v>0</v>
      </c>
    </row>
    <row r="16" spans="1:87">
      <c r="A16" s="189" t="s">
        <v>203</v>
      </c>
      <c r="B16" s="189">
        <v>1326089872.0599999</v>
      </c>
      <c r="C16" s="189">
        <v>897326504.83000004</v>
      </c>
      <c r="D16" s="189">
        <v>433009269.64999998</v>
      </c>
      <c r="E16" s="189">
        <v>884448385.63</v>
      </c>
      <c r="F16" s="189">
        <v>520004059.49000001</v>
      </c>
      <c r="G16" s="189">
        <v>296482016.37</v>
      </c>
      <c r="H16" s="189">
        <v>139186846.06999999</v>
      </c>
      <c r="I16" s="189">
        <v>355693993.11000001</v>
      </c>
      <c r="J16" s="189">
        <v>144197687.03999999</v>
      </c>
      <c r="K16" s="189">
        <v>60572989</v>
      </c>
      <c r="L16" s="189">
        <v>-22989851.989999998</v>
      </c>
      <c r="M16" s="189">
        <v>18992079</v>
      </c>
      <c r="N16" s="189">
        <v>30548670.350000001</v>
      </c>
      <c r="O16" s="189">
        <v>23436309</v>
      </c>
      <c r="P16" s="189">
        <v>7346452.8099999996</v>
      </c>
      <c r="Q16" s="189">
        <v>156060965</v>
      </c>
      <c r="R16" s="189">
        <v>288116048.14999998</v>
      </c>
      <c r="S16" s="189">
        <v>133615397</v>
      </c>
      <c r="T16" s="189">
        <v>47876100.189999998</v>
      </c>
      <c r="U16" s="189">
        <v>125608497</v>
      </c>
      <c r="V16" s="189">
        <v>104489961</v>
      </c>
      <c r="W16" s="189">
        <v>42567217</v>
      </c>
      <c r="X16" s="189">
        <v>-10104371.15</v>
      </c>
      <c r="Y16" s="189">
        <v>-61204317</v>
      </c>
      <c r="Z16" s="189">
        <v>-5502398</v>
      </c>
      <c r="AA16" s="189">
        <v>-14165173</v>
      </c>
      <c r="AB16" s="189">
        <v>-39384465.670000002</v>
      </c>
      <c r="AC16" s="189">
        <v>-55963692</v>
      </c>
      <c r="AD16" s="189">
        <v>29320195.41</v>
      </c>
      <c r="AE16" s="189">
        <v>29084057</v>
      </c>
      <c r="AF16" s="189">
        <v>6743745.8399999999</v>
      </c>
      <c r="AG16" s="189">
        <v>86431907</v>
      </c>
      <c r="AH16" s="189">
        <v>70319686.950000003</v>
      </c>
      <c r="AI16" s="189">
        <v>46422637.109999999</v>
      </c>
      <c r="AJ16" s="189">
        <v>-12189841.99</v>
      </c>
      <c r="AK16" s="189">
        <v>-375539376.75999999</v>
      </c>
      <c r="AL16" s="189">
        <v>-241677381.34999999</v>
      </c>
      <c r="AM16" s="189">
        <v>-220781046.56</v>
      </c>
      <c r="AN16" s="189">
        <v>-121825340.78</v>
      </c>
      <c r="AO16" s="189">
        <v>-93227247.129999995</v>
      </c>
      <c r="AP16" s="189">
        <v>27363486.289999999</v>
      </c>
      <c r="AQ16" s="189">
        <v>39466932.859999999</v>
      </c>
      <c r="AR16" s="189">
        <v>8469102.2599999998</v>
      </c>
      <c r="AS16" s="189">
        <v>94968093.930000007</v>
      </c>
      <c r="AT16" s="189">
        <v>71978659.719999999</v>
      </c>
      <c r="AU16" s="189">
        <v>49182587.960000001</v>
      </c>
      <c r="AV16" s="189">
        <v>16999719.879999999</v>
      </c>
      <c r="AW16" s="189">
        <v>106926798.91</v>
      </c>
      <c r="AX16" s="189">
        <v>80824291.040000007</v>
      </c>
      <c r="AY16" s="189">
        <v>47002712.920000002</v>
      </c>
      <c r="AZ16" s="189">
        <v>14039886.630000001</v>
      </c>
      <c r="BA16" s="189">
        <v>57690048.479999997</v>
      </c>
      <c r="BB16" s="189">
        <v>39063426.329999998</v>
      </c>
      <c r="BC16" s="189">
        <v>32010849.600000001</v>
      </c>
      <c r="BD16" s="189">
        <v>12023564.65</v>
      </c>
      <c r="BE16" s="189">
        <v>96839335.420000002</v>
      </c>
      <c r="BF16" s="189">
        <v>53636034.450000003</v>
      </c>
      <c r="BG16" s="189">
        <v>40233899.25</v>
      </c>
      <c r="BH16" s="189">
        <v>13053811.109999999</v>
      </c>
      <c r="BI16" s="189">
        <v>54571527.789999999</v>
      </c>
      <c r="BJ16" s="189">
        <v>30326065.489999998</v>
      </c>
      <c r="BK16" s="189">
        <v>22600977.93</v>
      </c>
      <c r="BL16" s="189">
        <v>11848637.23</v>
      </c>
      <c r="BM16" s="189">
        <v>-29193072.859999999</v>
      </c>
      <c r="BN16" s="189">
        <v>4388978.49</v>
      </c>
      <c r="BO16" s="189">
        <v>14514602.210000001</v>
      </c>
      <c r="BP16" s="189">
        <v>8505382.1500000004</v>
      </c>
      <c r="BQ16" s="189">
        <v>12297094.25</v>
      </c>
      <c r="BR16" s="189">
        <v>15265827.49</v>
      </c>
      <c r="BS16" s="189">
        <v>31171101.309999999</v>
      </c>
      <c r="BT16" s="189">
        <v>14412138.57</v>
      </c>
      <c r="BU16" s="189">
        <v>17678794.050000001</v>
      </c>
      <c r="BV16" s="189">
        <v>10924637.439999999</v>
      </c>
      <c r="BW16" s="189">
        <v>28464588.34</v>
      </c>
      <c r="BX16" s="189">
        <v>17504723.440000001</v>
      </c>
      <c r="BY16" s="189">
        <v>49302268.049999997</v>
      </c>
      <c r="BZ16" s="189">
        <v>20509114.989999998</v>
      </c>
      <c r="CA16" s="189">
        <v>17628336.07</v>
      </c>
      <c r="CB16" s="189">
        <v>10290000</v>
      </c>
      <c r="CC16" s="189">
        <v>27064285.27</v>
      </c>
      <c r="CD16" s="189">
        <v>13890000</v>
      </c>
      <c r="CE16" s="189">
        <v>40077802.75</v>
      </c>
      <c r="CF16" s="189">
        <v>30219212.5</v>
      </c>
      <c r="CG16" s="189">
        <v>21272700</v>
      </c>
      <c r="CH16" s="189">
        <v>5769300</v>
      </c>
      <c r="CI16" s="189">
        <v>0</v>
      </c>
    </row>
    <row r="17" spans="1:87">
      <c r="A17" s="189" t="s">
        <v>204</v>
      </c>
      <c r="B17" s="189">
        <v>33496159.93</v>
      </c>
      <c r="C17" s="189">
        <v>16654524.130000001</v>
      </c>
      <c r="D17" s="189">
        <v>9107297.9100000001</v>
      </c>
      <c r="E17" s="189">
        <v>14454980.68</v>
      </c>
      <c r="F17" s="189">
        <v>371650918.69</v>
      </c>
      <c r="G17" s="189">
        <v>235364088.86000001</v>
      </c>
      <c r="H17" s="189">
        <v>124615459.09999999</v>
      </c>
      <c r="I17" s="189">
        <v>343299073.54000002</v>
      </c>
      <c r="J17" s="189">
        <v>304502936.80000001</v>
      </c>
      <c r="K17" s="189">
        <v>245328921</v>
      </c>
      <c r="L17" s="189">
        <v>124598655.72</v>
      </c>
      <c r="M17" s="189">
        <v>589927316</v>
      </c>
      <c r="N17" s="189">
        <v>329583928.47000003</v>
      </c>
      <c r="O17" s="189">
        <v>252854554</v>
      </c>
      <c r="P17" s="189">
        <v>128270104.27</v>
      </c>
      <c r="Q17" s="189">
        <v>620690504</v>
      </c>
      <c r="R17" s="189">
        <v>158975998.31</v>
      </c>
      <c r="S17" s="189">
        <v>15442718</v>
      </c>
      <c r="T17" s="189">
        <v>8895939.9299999997</v>
      </c>
      <c r="U17" s="189">
        <v>195351029</v>
      </c>
      <c r="V17" s="189">
        <v>155486396</v>
      </c>
      <c r="W17" s="189">
        <v>9742248</v>
      </c>
      <c r="X17" s="189">
        <v>4609809.8099999996</v>
      </c>
      <c r="Y17" s="189">
        <v>214144935</v>
      </c>
      <c r="Z17" s="189">
        <v>136738528</v>
      </c>
      <c r="AA17" s="189">
        <v>46681870</v>
      </c>
      <c r="AB17" s="189">
        <v>23621687</v>
      </c>
      <c r="AC17" s="189">
        <v>334925361</v>
      </c>
      <c r="AD17" s="189">
        <v>76533846.709999993</v>
      </c>
      <c r="AE17" s="189">
        <v>39912604</v>
      </c>
      <c r="AF17" s="189">
        <v>5321045.5999999996</v>
      </c>
      <c r="AG17" s="189">
        <v>91848030</v>
      </c>
      <c r="AH17" s="189">
        <v>72854346.689999998</v>
      </c>
      <c r="AI17" s="189">
        <v>31842112.039999999</v>
      </c>
      <c r="AJ17" s="189">
        <v>16421738.220000001</v>
      </c>
      <c r="AK17" s="189">
        <v>15940622.609999999</v>
      </c>
      <c r="AL17" s="189">
        <v>6692155.0199999996</v>
      </c>
      <c r="AM17" s="189">
        <v>4596702.32</v>
      </c>
      <c r="AN17" s="189">
        <v>222492</v>
      </c>
      <c r="AO17" s="189">
        <v>1911979.21</v>
      </c>
      <c r="AP17" s="189">
        <v>1010968.34</v>
      </c>
      <c r="AQ17" s="189">
        <v>776847.2</v>
      </c>
      <c r="AR17" s="189">
        <v>386336.2</v>
      </c>
      <c r="AS17" s="189">
        <v>1189672.55</v>
      </c>
      <c r="AT17" s="189">
        <v>1207781.95</v>
      </c>
      <c r="AU17" s="189">
        <v>983948.66</v>
      </c>
      <c r="AV17" s="189">
        <v>322517.71000000002</v>
      </c>
      <c r="AW17" s="189">
        <v>1047505.68</v>
      </c>
      <c r="AX17" s="189">
        <v>888479.07</v>
      </c>
      <c r="AY17" s="189">
        <v>541948.26</v>
      </c>
      <c r="AZ17" s="189">
        <v>1422695.14</v>
      </c>
      <c r="BA17" s="189">
        <v>1081161.54</v>
      </c>
      <c r="BB17" s="189">
        <v>818001.71</v>
      </c>
      <c r="BC17" s="189">
        <v>422225.31</v>
      </c>
      <c r="BD17" s="189">
        <v>202690</v>
      </c>
      <c r="BE17" s="189">
        <v>869690.52</v>
      </c>
      <c r="BF17" s="189">
        <v>709872.92</v>
      </c>
      <c r="BG17" s="189">
        <v>581533.26</v>
      </c>
      <c r="BH17" s="189">
        <v>468268</v>
      </c>
      <c r="BI17" s="189">
        <v>1035324.69</v>
      </c>
      <c r="BJ17" s="189">
        <v>1086918.27</v>
      </c>
      <c r="BK17" s="189">
        <v>819978.23</v>
      </c>
      <c r="BL17" s="189">
        <v>665269.69999999995</v>
      </c>
      <c r="BM17" s="189">
        <v>5496517.4900000002</v>
      </c>
      <c r="BN17" s="189">
        <v>5660870.96</v>
      </c>
      <c r="BO17" s="189">
        <v>3626647.51</v>
      </c>
      <c r="BP17" s="189">
        <v>1244938.3</v>
      </c>
      <c r="BQ17" s="189">
        <v>6609048.1399999997</v>
      </c>
      <c r="BR17" s="189">
        <v>5015045.6100000003</v>
      </c>
      <c r="BS17" s="189">
        <v>7367680.9400000004</v>
      </c>
      <c r="BT17" s="189">
        <v>3748307.31</v>
      </c>
      <c r="BU17" s="189">
        <v>7790948.4900000002</v>
      </c>
      <c r="BV17" s="189">
        <v>1879131.25</v>
      </c>
      <c r="BW17" s="189">
        <v>4705573.21</v>
      </c>
      <c r="BX17" s="189">
        <v>2192357.02</v>
      </c>
      <c r="BY17" s="189">
        <v>3016129.54</v>
      </c>
      <c r="BZ17" s="189">
        <v>0</v>
      </c>
      <c r="CA17" s="189">
        <v>1882996.46</v>
      </c>
      <c r="CB17" s="189">
        <v>0</v>
      </c>
      <c r="CC17" s="189">
        <v>3229472.63</v>
      </c>
      <c r="CD17" s="189">
        <v>0</v>
      </c>
      <c r="CE17" s="189">
        <v>6009402.2699999996</v>
      </c>
      <c r="CF17" s="189">
        <v>25366.1</v>
      </c>
      <c r="CG17" s="189">
        <v>0</v>
      </c>
      <c r="CH17" s="189">
        <v>0</v>
      </c>
      <c r="CI17" s="189">
        <v>0</v>
      </c>
    </row>
    <row r="18" spans="1:87">
      <c r="A18" s="189" t="s">
        <v>205</v>
      </c>
      <c r="B18" s="189">
        <v>4365967.16</v>
      </c>
      <c r="C18" s="189">
        <v>2458683.7200000002</v>
      </c>
      <c r="D18" s="189">
        <v>203510.86</v>
      </c>
      <c r="E18" s="189">
        <v>6416239.1699999999</v>
      </c>
      <c r="F18" s="189">
        <v>1683782.56</v>
      </c>
      <c r="G18" s="189">
        <v>1514961.06</v>
      </c>
      <c r="H18" s="189">
        <v>615744.26</v>
      </c>
      <c r="I18" s="189">
        <v>5920878</v>
      </c>
      <c r="J18" s="189">
        <v>2289612.2999999998</v>
      </c>
      <c r="K18" s="189">
        <v>2250410</v>
      </c>
      <c r="L18" s="189">
        <v>1234910.1000000001</v>
      </c>
      <c r="M18" s="189">
        <v>970969</v>
      </c>
      <c r="N18" s="189">
        <v>930274.81</v>
      </c>
      <c r="O18" s="189">
        <v>573097</v>
      </c>
      <c r="P18" s="189">
        <v>333521.26</v>
      </c>
      <c r="Q18" s="189">
        <v>1893828</v>
      </c>
      <c r="R18" s="189">
        <v>1196845.52</v>
      </c>
      <c r="S18" s="189">
        <v>171774</v>
      </c>
      <c r="T18" s="189">
        <v>56788.6</v>
      </c>
      <c r="U18" s="189">
        <v>1356474</v>
      </c>
      <c r="V18" s="189">
        <v>1141719</v>
      </c>
      <c r="W18" s="189">
        <v>889506</v>
      </c>
      <c r="X18" s="189">
        <v>87353.96</v>
      </c>
      <c r="Y18" s="189">
        <v>3217596</v>
      </c>
      <c r="Z18" s="189">
        <v>1694343</v>
      </c>
      <c r="AA18" s="189">
        <v>1586102</v>
      </c>
      <c r="AB18" s="189">
        <v>372270.83</v>
      </c>
      <c r="AC18" s="189">
        <v>452071</v>
      </c>
      <c r="AD18" s="189">
        <v>229598.92</v>
      </c>
      <c r="AE18" s="189">
        <v>53902</v>
      </c>
      <c r="AF18" s="189">
        <v>158775.74</v>
      </c>
      <c r="AG18" s="189">
        <v>929895</v>
      </c>
      <c r="AH18" s="189">
        <v>869920.42</v>
      </c>
      <c r="AI18" s="189">
        <v>806543.23</v>
      </c>
      <c r="AJ18" s="189">
        <v>4534.91</v>
      </c>
      <c r="AK18" s="189">
        <v>3165474.3</v>
      </c>
      <c r="AL18" s="189">
        <v>3126722.25</v>
      </c>
      <c r="AM18" s="189">
        <v>987442.1</v>
      </c>
      <c r="AN18" s="189">
        <v>1041263.18</v>
      </c>
      <c r="AO18" s="189">
        <v>2593025.19</v>
      </c>
      <c r="AP18" s="189">
        <v>331489.17</v>
      </c>
      <c r="AQ18" s="189">
        <v>122894.79</v>
      </c>
      <c r="AR18" s="189">
        <v>73218.570000000007</v>
      </c>
      <c r="AS18" s="189">
        <v>3327609.28</v>
      </c>
      <c r="AT18" s="189">
        <v>1063657.76</v>
      </c>
      <c r="AU18" s="189">
        <v>763544.09</v>
      </c>
      <c r="AV18" s="189">
        <v>10328.74</v>
      </c>
      <c r="AW18" s="189">
        <v>633700.75</v>
      </c>
      <c r="AX18" s="189">
        <v>838704.59</v>
      </c>
      <c r="AY18" s="189">
        <v>312343.57</v>
      </c>
      <c r="AZ18" s="189">
        <v>571550.67000000004</v>
      </c>
      <c r="BA18" s="189">
        <v>647349.36</v>
      </c>
      <c r="BB18" s="189">
        <v>427502.21</v>
      </c>
      <c r="BC18" s="189">
        <v>194511.96</v>
      </c>
      <c r="BD18" s="189">
        <v>1300</v>
      </c>
      <c r="BE18" s="189">
        <v>507689.51</v>
      </c>
      <c r="BF18" s="189">
        <v>506453.81</v>
      </c>
      <c r="BG18" s="189">
        <v>484831.45</v>
      </c>
      <c r="BH18" s="189">
        <v>479111.16</v>
      </c>
      <c r="BI18" s="189">
        <v>428616.81</v>
      </c>
      <c r="BJ18" s="189">
        <v>388180.75</v>
      </c>
      <c r="BK18" s="189">
        <v>182623.71</v>
      </c>
      <c r="BL18" s="189">
        <v>148966.51</v>
      </c>
      <c r="BM18" s="189">
        <v>2002551.97</v>
      </c>
      <c r="BN18" s="189">
        <v>1598007.88</v>
      </c>
      <c r="BO18" s="189">
        <v>948340.76</v>
      </c>
      <c r="BP18" s="189">
        <v>410943.49</v>
      </c>
      <c r="BQ18" s="189">
        <v>1865480.16</v>
      </c>
      <c r="BR18" s="189">
        <v>903400.86</v>
      </c>
      <c r="BS18" s="189">
        <v>886887.83</v>
      </c>
      <c r="BT18" s="189">
        <v>377609.53</v>
      </c>
      <c r="BU18" s="189">
        <v>1018414.87</v>
      </c>
      <c r="BV18" s="189">
        <v>1227288.69</v>
      </c>
      <c r="BW18" s="189">
        <v>1737540.18</v>
      </c>
      <c r="BX18" s="189">
        <v>1952276.67</v>
      </c>
      <c r="BY18" s="189">
        <v>1067165.9099999999</v>
      </c>
      <c r="BZ18" s="189">
        <v>0</v>
      </c>
      <c r="CA18" s="189">
        <v>194669.55</v>
      </c>
      <c r="CB18" s="189">
        <v>0</v>
      </c>
      <c r="CC18" s="189">
        <v>137695.53</v>
      </c>
      <c r="CD18" s="189">
        <v>0</v>
      </c>
      <c r="CE18" s="189">
        <v>13864231.949999999</v>
      </c>
      <c r="CF18" s="189">
        <v>213634.16</v>
      </c>
      <c r="CG18" s="189">
        <v>0</v>
      </c>
      <c r="CH18" s="189">
        <v>0</v>
      </c>
      <c r="CI18" s="189">
        <v>0</v>
      </c>
    </row>
    <row r="19" spans="1:87">
      <c r="A19" s="189" t="s">
        <v>206</v>
      </c>
      <c r="B19" s="189">
        <v>0</v>
      </c>
      <c r="C19" s="189">
        <v>0</v>
      </c>
      <c r="D19" s="189">
        <v>0</v>
      </c>
      <c r="E19" s="189">
        <v>0</v>
      </c>
      <c r="F19" s="189">
        <v>1313306.77</v>
      </c>
      <c r="G19" s="189">
        <v>1149193.01</v>
      </c>
      <c r="H19" s="189">
        <v>609805.68000000005</v>
      </c>
      <c r="I19" s="189">
        <v>5748610.9900000002</v>
      </c>
      <c r="J19" s="189">
        <v>2153800.27</v>
      </c>
      <c r="K19" s="189">
        <v>2115551</v>
      </c>
      <c r="L19" s="189">
        <v>1233449.67</v>
      </c>
      <c r="M19" s="189">
        <v>817297</v>
      </c>
      <c r="N19" s="189">
        <v>777770.07</v>
      </c>
      <c r="O19" s="189">
        <v>464513</v>
      </c>
      <c r="P19" s="189">
        <v>333521.26</v>
      </c>
      <c r="Q19" s="189">
        <v>1421253</v>
      </c>
      <c r="R19" s="189">
        <v>336217.38</v>
      </c>
      <c r="S19" s="189">
        <v>71703</v>
      </c>
      <c r="T19" s="189">
        <v>56788.6</v>
      </c>
      <c r="U19" s="189">
        <v>1341230</v>
      </c>
      <c r="V19" s="189">
        <v>1126475</v>
      </c>
      <c r="W19" s="189">
        <v>883734</v>
      </c>
      <c r="X19" s="189">
        <v>86941.96</v>
      </c>
      <c r="Y19" s="189">
        <v>2799302</v>
      </c>
      <c r="Z19" s="189">
        <v>1293922</v>
      </c>
      <c r="AA19" s="189">
        <v>1187988</v>
      </c>
      <c r="AB19" s="189">
        <v>37515.83</v>
      </c>
      <c r="AC19" s="189">
        <v>238888</v>
      </c>
      <c r="AD19" s="189">
        <v>180584.77</v>
      </c>
      <c r="AE19" s="189">
        <v>26072</v>
      </c>
      <c r="AF19" s="189">
        <v>18541.36</v>
      </c>
      <c r="AG19" s="189">
        <v>-155743</v>
      </c>
      <c r="AH19" s="189">
        <v>100815.08</v>
      </c>
      <c r="AI19" s="189">
        <v>44537.81</v>
      </c>
      <c r="AJ19" s="189">
        <v>2910.28</v>
      </c>
      <c r="AK19" s="189">
        <v>1072015.3700000001</v>
      </c>
      <c r="AL19" s="189">
        <v>1060037.68</v>
      </c>
      <c r="AM19" s="189">
        <v>929193.27</v>
      </c>
      <c r="AN19" s="189">
        <v>1039294.38</v>
      </c>
      <c r="AO19" s="189">
        <v>2224977.96</v>
      </c>
      <c r="AP19" s="189">
        <v>0</v>
      </c>
      <c r="AQ19" s="189">
        <v>81642.37</v>
      </c>
      <c r="AR19" s="189">
        <v>56046.29</v>
      </c>
      <c r="AS19" s="189">
        <v>1067085.57</v>
      </c>
      <c r="AT19" s="189">
        <v>0</v>
      </c>
      <c r="AU19" s="189">
        <v>0</v>
      </c>
      <c r="AV19" s="189">
        <v>0</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c r="BQ19" s="189">
        <v>0</v>
      </c>
      <c r="BR19" s="189">
        <v>0</v>
      </c>
      <c r="BS19" s="189">
        <v>0</v>
      </c>
      <c r="BT19" s="189">
        <v>0</v>
      </c>
      <c r="BU19" s="189">
        <v>0</v>
      </c>
      <c r="BV19" s="189">
        <v>0</v>
      </c>
      <c r="BW19" s="189">
        <v>0</v>
      </c>
      <c r="BX19" s="189">
        <v>0</v>
      </c>
      <c r="BY19" s="189">
        <v>0</v>
      </c>
      <c r="BZ19" s="189">
        <v>0</v>
      </c>
      <c r="CA19" s="189">
        <v>0</v>
      </c>
      <c r="CB19" s="189">
        <v>0</v>
      </c>
      <c r="CC19" s="189">
        <v>0</v>
      </c>
      <c r="CD19" s="189">
        <v>0</v>
      </c>
      <c r="CE19" s="189">
        <v>0</v>
      </c>
      <c r="CF19" s="189">
        <v>0</v>
      </c>
      <c r="CG19" s="189">
        <v>0</v>
      </c>
      <c r="CH19" s="189">
        <v>0</v>
      </c>
      <c r="CI19" s="189">
        <v>0</v>
      </c>
    </row>
    <row r="20" spans="1:87">
      <c r="A20" s="189" t="s">
        <v>207</v>
      </c>
      <c r="B20" s="189">
        <v>1355220064.8299999</v>
      </c>
      <c r="C20" s="189">
        <v>911522345.24000001</v>
      </c>
      <c r="D20" s="189">
        <v>441913056.69999999</v>
      </c>
      <c r="E20" s="189">
        <v>892487127.13999999</v>
      </c>
      <c r="F20" s="189">
        <v>889971195.62</v>
      </c>
      <c r="G20" s="189">
        <v>530331144.17000002</v>
      </c>
      <c r="H20" s="189">
        <v>263186560.91</v>
      </c>
      <c r="I20" s="189">
        <v>693072188.64999998</v>
      </c>
      <c r="J20" s="189">
        <v>446411011.54000002</v>
      </c>
      <c r="K20" s="189">
        <v>303651500</v>
      </c>
      <c r="L20" s="189">
        <v>100373893.63</v>
      </c>
      <c r="M20" s="189">
        <v>607948426</v>
      </c>
      <c r="N20" s="189">
        <v>359202324.00999999</v>
      </c>
      <c r="O20" s="189">
        <v>275717766</v>
      </c>
      <c r="P20" s="189">
        <v>135283035.81999999</v>
      </c>
      <c r="Q20" s="189">
        <v>774857641</v>
      </c>
      <c r="R20" s="189">
        <v>445895200.94</v>
      </c>
      <c r="S20" s="189">
        <v>148886341</v>
      </c>
      <c r="T20" s="189">
        <v>56715251.520000003</v>
      </c>
      <c r="U20" s="189">
        <v>319603052</v>
      </c>
      <c r="V20" s="189">
        <v>258834638</v>
      </c>
      <c r="W20" s="189">
        <v>51419959</v>
      </c>
      <c r="X20" s="189">
        <v>-5581915.2999999998</v>
      </c>
      <c r="Y20" s="189">
        <v>149723022</v>
      </c>
      <c r="Z20" s="189">
        <v>129541787</v>
      </c>
      <c r="AA20" s="189">
        <v>30930595</v>
      </c>
      <c r="AB20" s="189">
        <v>-16135049.5</v>
      </c>
      <c r="AC20" s="189">
        <v>278509598</v>
      </c>
      <c r="AD20" s="189">
        <v>105624443.2</v>
      </c>
      <c r="AE20" s="189">
        <v>68942759</v>
      </c>
      <c r="AF20" s="189">
        <v>11906015.699999999</v>
      </c>
      <c r="AG20" s="189">
        <v>177350042</v>
      </c>
      <c r="AH20" s="189">
        <v>142304113.22</v>
      </c>
      <c r="AI20" s="189">
        <v>77458205.920000002</v>
      </c>
      <c r="AJ20" s="189">
        <v>4227361.32</v>
      </c>
      <c r="AK20" s="189">
        <v>-362764228.44999999</v>
      </c>
      <c r="AL20" s="189">
        <v>-238111948.58000001</v>
      </c>
      <c r="AM20" s="189">
        <v>-217171786.34</v>
      </c>
      <c r="AN20" s="189">
        <v>-122644111.95999999</v>
      </c>
      <c r="AO20" s="189">
        <v>-93908293.109999999</v>
      </c>
      <c r="AP20" s="189">
        <v>28042965.460000001</v>
      </c>
      <c r="AQ20" s="189">
        <v>40120885.270000003</v>
      </c>
      <c r="AR20" s="189">
        <v>8782219.8900000006</v>
      </c>
      <c r="AS20" s="189">
        <v>92830157.200000003</v>
      </c>
      <c r="AT20" s="189">
        <v>72122783.909999996</v>
      </c>
      <c r="AU20" s="189">
        <v>49402992.530000001</v>
      </c>
      <c r="AV20" s="189">
        <v>17311908.850000001</v>
      </c>
      <c r="AW20" s="189">
        <v>107340603.84</v>
      </c>
      <c r="AX20" s="189">
        <v>80874065.519999996</v>
      </c>
      <c r="AY20" s="189">
        <v>47232317.609999999</v>
      </c>
      <c r="AZ20" s="189">
        <v>14891031.1</v>
      </c>
      <c r="BA20" s="189">
        <v>58123860.659999996</v>
      </c>
      <c r="BB20" s="189">
        <v>39453925.829999998</v>
      </c>
      <c r="BC20" s="189">
        <v>32238562.949999999</v>
      </c>
      <c r="BD20" s="189">
        <v>12224954.65</v>
      </c>
      <c r="BE20" s="189">
        <v>97201336.430000007</v>
      </c>
      <c r="BF20" s="189">
        <v>53839453.560000002</v>
      </c>
      <c r="BG20" s="189">
        <v>40330601.060000002</v>
      </c>
      <c r="BH20" s="189">
        <v>13042967.949999999</v>
      </c>
      <c r="BI20" s="189">
        <v>55178235.670000002</v>
      </c>
      <c r="BJ20" s="189">
        <v>31024803.010000002</v>
      </c>
      <c r="BK20" s="189">
        <v>23238332.449999999</v>
      </c>
      <c r="BL20" s="189">
        <v>12364940.42</v>
      </c>
      <c r="BM20" s="189">
        <v>-25699107.34</v>
      </c>
      <c r="BN20" s="189">
        <v>8451841.5700000003</v>
      </c>
      <c r="BO20" s="189">
        <v>17192908.960000001</v>
      </c>
      <c r="BP20" s="189">
        <v>9339376.9600000009</v>
      </c>
      <c r="BQ20" s="189">
        <v>17040662.23</v>
      </c>
      <c r="BR20" s="189">
        <v>19377472.239999998</v>
      </c>
      <c r="BS20" s="189">
        <v>37651894.420000002</v>
      </c>
      <c r="BT20" s="189">
        <v>17782836.350000001</v>
      </c>
      <c r="BU20" s="189">
        <v>24451327.670000002</v>
      </c>
      <c r="BV20" s="189">
        <v>11576480</v>
      </c>
      <c r="BW20" s="189">
        <v>31432621.370000001</v>
      </c>
      <c r="BX20" s="189">
        <v>17744803.789999999</v>
      </c>
      <c r="BY20" s="189">
        <v>51251231.68</v>
      </c>
      <c r="BZ20" s="189">
        <v>20509114.989999998</v>
      </c>
      <c r="CA20" s="189">
        <v>19316662.98</v>
      </c>
      <c r="CB20" s="189">
        <v>10290000</v>
      </c>
      <c r="CC20" s="189">
        <v>30156062.370000001</v>
      </c>
      <c r="CD20" s="189">
        <v>13890000</v>
      </c>
      <c r="CE20" s="189">
        <v>32222973.07</v>
      </c>
      <c r="CF20" s="189">
        <v>30030944.440000001</v>
      </c>
      <c r="CG20" s="189">
        <v>21272700</v>
      </c>
      <c r="CH20" s="189">
        <v>5769300</v>
      </c>
      <c r="CI20" s="189">
        <v>0</v>
      </c>
    </row>
    <row r="21" spans="1:87">
      <c r="A21" s="189" t="s">
        <v>208</v>
      </c>
      <c r="B21" s="189">
        <v>80143301.450000003</v>
      </c>
      <c r="C21" s="189">
        <v>71380858.870000005</v>
      </c>
      <c r="D21" s="189">
        <v>54239054.100000001</v>
      </c>
      <c r="E21" s="189">
        <v>85282811.519999996</v>
      </c>
      <c r="F21" s="189">
        <v>136580749.71000001</v>
      </c>
      <c r="G21" s="189">
        <v>82593399.480000004</v>
      </c>
      <c r="H21" s="189">
        <v>38047257.039999999</v>
      </c>
      <c r="I21" s="189">
        <v>123894795.28</v>
      </c>
      <c r="J21" s="189">
        <v>68732994.489999995</v>
      </c>
      <c r="K21" s="189">
        <v>38954608</v>
      </c>
      <c r="L21" s="189">
        <v>9488364.3699999992</v>
      </c>
      <c r="M21" s="189">
        <v>52375252</v>
      </c>
      <c r="N21" s="189">
        <v>25742615.969999999</v>
      </c>
      <c r="O21" s="189">
        <v>17858138</v>
      </c>
      <c r="P21" s="189">
        <v>10005393.98</v>
      </c>
      <c r="Q21" s="189">
        <v>87927017</v>
      </c>
      <c r="R21" s="189">
        <v>55692596.170000002</v>
      </c>
      <c r="S21" s="189">
        <v>15080107</v>
      </c>
      <c r="T21" s="189">
        <v>4338127.7699999996</v>
      </c>
      <c r="U21" s="189">
        <v>34064659</v>
      </c>
      <c r="V21" s="189">
        <v>29220988</v>
      </c>
      <c r="W21" s="189">
        <v>-3904189</v>
      </c>
      <c r="X21" s="189">
        <v>-2107261.15</v>
      </c>
      <c r="Y21" s="189">
        <v>12162190</v>
      </c>
      <c r="Z21" s="189">
        <v>5082111</v>
      </c>
      <c r="AA21" s="189">
        <v>-7190944</v>
      </c>
      <c r="AB21" s="189">
        <v>-3216451.93</v>
      </c>
      <c r="AC21" s="189">
        <v>21074466</v>
      </c>
      <c r="AD21" s="189">
        <v>5279799</v>
      </c>
      <c r="AE21" s="189">
        <v>990870</v>
      </c>
      <c r="AF21" s="189">
        <v>77579.62</v>
      </c>
      <c r="AG21" s="189">
        <v>36744580</v>
      </c>
      <c r="AH21" s="189">
        <v>29185047.82</v>
      </c>
      <c r="AI21" s="189">
        <v>15586141.51</v>
      </c>
      <c r="AJ21" s="189">
        <v>2375817.6</v>
      </c>
      <c r="AK21" s="189">
        <v>-52863248.640000001</v>
      </c>
      <c r="AL21" s="189">
        <v>-24193523.809999999</v>
      </c>
      <c r="AM21" s="189">
        <v>-24500937.539999999</v>
      </c>
      <c r="AN21" s="189">
        <v>-13537144.5</v>
      </c>
      <c r="AO21" s="189">
        <v>-22844429.800000001</v>
      </c>
      <c r="AP21" s="189">
        <v>-1707041.06</v>
      </c>
      <c r="AQ21" s="189">
        <v>2722368.56</v>
      </c>
      <c r="AR21" s="189">
        <v>682811.88</v>
      </c>
      <c r="AS21" s="189">
        <v>7476081.5300000003</v>
      </c>
      <c r="AT21" s="189">
        <v>5414312.04</v>
      </c>
      <c r="AU21" s="189">
        <v>4606952</v>
      </c>
      <c r="AV21" s="189">
        <v>919320.5</v>
      </c>
      <c r="AW21" s="189">
        <v>12458148.73</v>
      </c>
      <c r="AX21" s="189">
        <v>7184685.0199999996</v>
      </c>
      <c r="AY21" s="189">
        <v>4154613.14</v>
      </c>
      <c r="AZ21" s="189">
        <v>1146629.8999999999</v>
      </c>
      <c r="BA21" s="189">
        <v>1439632.26</v>
      </c>
      <c r="BB21" s="189">
        <v>669546.91</v>
      </c>
      <c r="BC21" s="189">
        <v>669546.91</v>
      </c>
      <c r="BD21" s="189">
        <v>669546.91</v>
      </c>
      <c r="BE21" s="189">
        <v>3808862.01</v>
      </c>
      <c r="BF21" s="189">
        <v>6442746.75</v>
      </c>
      <c r="BG21" s="189">
        <v>5292322</v>
      </c>
      <c r="BH21" s="189">
        <v>1956445.2</v>
      </c>
      <c r="BI21" s="189">
        <v>8751668.4900000002</v>
      </c>
      <c r="BJ21" s="189">
        <v>4110626.94</v>
      </c>
      <c r="BK21" s="189">
        <v>2995672.21</v>
      </c>
      <c r="BL21" s="189">
        <v>1364663.4</v>
      </c>
      <c r="BM21" s="189">
        <v>3305331.96</v>
      </c>
      <c r="BN21" s="189">
        <v>3819334.1</v>
      </c>
      <c r="BO21" s="189">
        <v>2578936.37</v>
      </c>
      <c r="BP21" s="189">
        <v>1400906.57</v>
      </c>
      <c r="BQ21" s="189">
        <v>360366.22</v>
      </c>
      <c r="BR21" s="189">
        <v>2877007.83</v>
      </c>
      <c r="BS21" s="189">
        <v>5133887.08</v>
      </c>
      <c r="BT21" s="189">
        <v>2567251.69</v>
      </c>
      <c r="BU21" s="189">
        <v>2445132.77</v>
      </c>
      <c r="BV21" s="189">
        <v>1138158.5900000001</v>
      </c>
      <c r="BW21" s="189">
        <v>2852020.22</v>
      </c>
      <c r="BX21" s="189">
        <v>1534449.21</v>
      </c>
      <c r="BY21" s="189">
        <v>5036381.9000000004</v>
      </c>
      <c r="BZ21" s="189">
        <v>1991315.25</v>
      </c>
      <c r="CA21" s="189">
        <v>1715563.78</v>
      </c>
      <c r="CB21" s="189">
        <v>820000</v>
      </c>
      <c r="CC21" s="189">
        <v>2946403.43</v>
      </c>
      <c r="CD21" s="189">
        <v>1390000</v>
      </c>
      <c r="CE21" s="189">
        <v>3096330.46</v>
      </c>
      <c r="CF21" s="189">
        <v>2268627.9700000002</v>
      </c>
      <c r="CG21" s="189">
        <v>0</v>
      </c>
      <c r="CH21" s="189">
        <v>0</v>
      </c>
      <c r="CI21" s="189">
        <v>0</v>
      </c>
    </row>
    <row r="22" spans="1:87">
      <c r="A22" s="189" t="s">
        <v>209</v>
      </c>
      <c r="B22" s="189">
        <v>1275076763.3800001</v>
      </c>
      <c r="C22" s="189">
        <v>840141486.37</v>
      </c>
      <c r="D22" s="189">
        <v>387674002.60000002</v>
      </c>
      <c r="E22" s="189">
        <v>807204315.62</v>
      </c>
      <c r="F22" s="189">
        <v>753390445.90999997</v>
      </c>
      <c r="G22" s="189">
        <v>447737744.69</v>
      </c>
      <c r="H22" s="189">
        <v>225139303.87</v>
      </c>
      <c r="I22" s="189">
        <v>569177393.37</v>
      </c>
      <c r="J22" s="189">
        <v>377678017.05000001</v>
      </c>
      <c r="K22" s="189">
        <v>264696892</v>
      </c>
      <c r="L22" s="189">
        <v>90885529.260000005</v>
      </c>
      <c r="M22" s="189">
        <v>555573174</v>
      </c>
      <c r="N22" s="189">
        <v>333459708.04000002</v>
      </c>
      <c r="O22" s="189">
        <v>257859628</v>
      </c>
      <c r="P22" s="189">
        <v>125277641.84</v>
      </c>
      <c r="Q22" s="189">
        <v>686930624</v>
      </c>
      <c r="R22" s="189">
        <v>390202604.76999998</v>
      </c>
      <c r="S22" s="189">
        <v>133806234</v>
      </c>
      <c r="T22" s="189">
        <v>52377123.75</v>
      </c>
      <c r="U22" s="189">
        <v>285538393</v>
      </c>
      <c r="V22" s="189">
        <v>229613650</v>
      </c>
      <c r="W22" s="189">
        <v>55324148</v>
      </c>
      <c r="X22" s="189">
        <v>-3474654.15</v>
      </c>
      <c r="Y22" s="189">
        <v>137560832</v>
      </c>
      <c r="Z22" s="189">
        <v>124459676</v>
      </c>
      <c r="AA22" s="189">
        <v>38121539</v>
      </c>
      <c r="AB22" s="189">
        <v>-12918597.57</v>
      </c>
      <c r="AC22" s="189">
        <v>257435132</v>
      </c>
      <c r="AD22" s="189">
        <v>100344644.2</v>
      </c>
      <c r="AE22" s="189">
        <v>67951889</v>
      </c>
      <c r="AF22" s="189">
        <v>11828436.08</v>
      </c>
      <c r="AG22" s="189">
        <v>140605462</v>
      </c>
      <c r="AH22" s="189">
        <v>113119065.40000001</v>
      </c>
      <c r="AI22" s="189">
        <v>61872064.409999996</v>
      </c>
      <c r="AJ22" s="189">
        <v>1851543.72</v>
      </c>
      <c r="AK22" s="189">
        <v>-309900979.81</v>
      </c>
      <c r="AL22" s="189">
        <v>-213918424.77000001</v>
      </c>
      <c r="AM22" s="189">
        <v>-192670848.80000001</v>
      </c>
      <c r="AN22" s="189">
        <v>-109106967.45999999</v>
      </c>
      <c r="AO22" s="189">
        <v>-71063863.310000002</v>
      </c>
      <c r="AP22" s="189">
        <v>29750006.52</v>
      </c>
      <c r="AQ22" s="189">
        <v>37398516.710000001</v>
      </c>
      <c r="AR22" s="189">
        <v>8099408.0099999998</v>
      </c>
      <c r="AS22" s="189">
        <v>85354075.670000002</v>
      </c>
      <c r="AT22" s="189">
        <v>66708471.869999997</v>
      </c>
      <c r="AU22" s="189">
        <v>44796040.530000001</v>
      </c>
      <c r="AV22" s="189">
        <v>16392588.35</v>
      </c>
      <c r="AW22" s="189">
        <v>94882455.109999999</v>
      </c>
      <c r="AX22" s="189">
        <v>73689380.5</v>
      </c>
      <c r="AY22" s="189">
        <v>43077704.469999999</v>
      </c>
      <c r="AZ22" s="189">
        <v>13744401.199999999</v>
      </c>
      <c r="BA22" s="189">
        <v>56684228.399999999</v>
      </c>
      <c r="BB22" s="189">
        <v>38784378.920000002</v>
      </c>
      <c r="BC22" s="189">
        <v>31569016.039999999</v>
      </c>
      <c r="BD22" s="189">
        <v>11555407.74</v>
      </c>
      <c r="BE22" s="189">
        <v>93392474.420000002</v>
      </c>
      <c r="BF22" s="189">
        <v>47396706.810000002</v>
      </c>
      <c r="BG22" s="189">
        <v>35038279.060000002</v>
      </c>
      <c r="BH22" s="189">
        <v>11086522.75</v>
      </c>
      <c r="BI22" s="189">
        <v>46426567.18</v>
      </c>
      <c r="BJ22" s="189">
        <v>26914176.07</v>
      </c>
      <c r="BK22" s="189">
        <v>20242660.239999998</v>
      </c>
      <c r="BL22" s="189">
        <v>11000277.02</v>
      </c>
      <c r="BM22" s="189">
        <v>-29004439.300000001</v>
      </c>
      <c r="BN22" s="189">
        <v>4632507.47</v>
      </c>
      <c r="BO22" s="189">
        <v>14613972.59</v>
      </c>
      <c r="BP22" s="189">
        <v>7938470.3899999997</v>
      </c>
      <c r="BQ22" s="189">
        <v>16680296.01</v>
      </c>
      <c r="BR22" s="189">
        <v>16500464.41</v>
      </c>
      <c r="BS22" s="189">
        <v>32518007.34</v>
      </c>
      <c r="BT22" s="189">
        <v>15215584.66</v>
      </c>
      <c r="BU22" s="189">
        <v>22006194.899999999</v>
      </c>
      <c r="BV22" s="189">
        <v>10438321.41</v>
      </c>
      <c r="BW22" s="189">
        <v>28580601.149999999</v>
      </c>
      <c r="BX22" s="189">
        <v>16210354.58</v>
      </c>
      <c r="BY22" s="189">
        <v>46214849.780000001</v>
      </c>
      <c r="BZ22" s="189">
        <v>18517799.739999998</v>
      </c>
      <c r="CA22" s="189">
        <v>17601099.199999999</v>
      </c>
      <c r="CB22" s="189">
        <v>9470000</v>
      </c>
      <c r="CC22" s="189">
        <v>27209658.940000001</v>
      </c>
      <c r="CD22" s="189">
        <v>12500000</v>
      </c>
      <c r="CE22" s="189">
        <v>29126642.609999999</v>
      </c>
      <c r="CF22" s="189">
        <v>27762316.469999999</v>
      </c>
      <c r="CG22" s="189">
        <v>19684700</v>
      </c>
      <c r="CH22" s="189">
        <v>5340300</v>
      </c>
      <c r="CI22" s="189">
        <v>0</v>
      </c>
    </row>
    <row r="23" spans="1:87">
      <c r="A23" s="189" t="s">
        <v>210</v>
      </c>
      <c r="B23" s="189">
        <v>1275076763.3800001</v>
      </c>
      <c r="C23" s="189">
        <v>840141486.37</v>
      </c>
      <c r="D23" s="189">
        <v>387674002.60000002</v>
      </c>
      <c r="E23" s="189">
        <v>807204315.62</v>
      </c>
      <c r="F23" s="189">
        <v>753390445.90999997</v>
      </c>
      <c r="G23" s="189">
        <v>447737744.69</v>
      </c>
      <c r="H23" s="189">
        <v>225139303.87</v>
      </c>
      <c r="I23" s="189">
        <v>569177393.37</v>
      </c>
      <c r="J23" s="189">
        <v>377678017.05000001</v>
      </c>
      <c r="K23" s="189">
        <v>264696892</v>
      </c>
      <c r="L23" s="189">
        <v>90885529.260000005</v>
      </c>
      <c r="M23" s="189">
        <v>554675491</v>
      </c>
      <c r="N23" s="189">
        <v>338553688.25</v>
      </c>
      <c r="O23" s="189">
        <v>257279034</v>
      </c>
      <c r="P23" s="189">
        <v>129237343.63</v>
      </c>
      <c r="Q23" s="189">
        <v>612655983</v>
      </c>
      <c r="R23" s="189">
        <v>311655236.5</v>
      </c>
      <c r="S23" s="189">
        <v>81392434</v>
      </c>
      <c r="T23" s="189">
        <v>29678290.48</v>
      </c>
      <c r="U23" s="189">
        <v>143545226</v>
      </c>
      <c r="V23" s="189">
        <v>119232697</v>
      </c>
      <c r="W23" s="189">
        <v>21411067</v>
      </c>
      <c r="X23" s="189">
        <v>1457923.82</v>
      </c>
      <c r="Y23" s="189">
        <v>54416788</v>
      </c>
      <c r="Z23" s="189">
        <v>59776707</v>
      </c>
      <c r="AA23" s="189">
        <v>10849103</v>
      </c>
      <c r="AB23" s="189">
        <v>-7226794.8200000003</v>
      </c>
      <c r="AC23" s="189">
        <v>101133343</v>
      </c>
      <c r="AD23" s="189">
        <v>49195696.299999997</v>
      </c>
      <c r="AE23" s="189">
        <v>36824535</v>
      </c>
      <c r="AF23" s="189">
        <v>7853533.6799999997</v>
      </c>
      <c r="AG23" s="189">
        <v>70381821</v>
      </c>
      <c r="AH23" s="189">
        <v>69068879.810000002</v>
      </c>
      <c r="AI23" s="189">
        <v>44769764.5</v>
      </c>
      <c r="AJ23" s="189">
        <v>5433399.75</v>
      </c>
      <c r="AK23" s="189">
        <v>-205637564.74000001</v>
      </c>
      <c r="AL23" s="189">
        <v>-120648111.70999999</v>
      </c>
      <c r="AM23" s="189">
        <v>-98633942.689999998</v>
      </c>
      <c r="AN23" s="189">
        <v>-54336562.270000003</v>
      </c>
      <c r="AO23" s="189">
        <v>9360072.1300000008</v>
      </c>
      <c r="AP23" s="189">
        <v>39767899.460000001</v>
      </c>
      <c r="AQ23" s="189">
        <v>42279584.450000003</v>
      </c>
      <c r="AR23" s="189">
        <v>9650791.8200000003</v>
      </c>
      <c r="AS23" s="189">
        <v>90395896.829999998</v>
      </c>
      <c r="AT23" s="189">
        <v>66108218.780000001</v>
      </c>
      <c r="AU23" s="189">
        <v>44433352.920000002</v>
      </c>
      <c r="AV23" s="189">
        <v>16615667.220000001</v>
      </c>
      <c r="AW23" s="189">
        <v>93795610.829999998</v>
      </c>
      <c r="AX23" s="189">
        <v>73549970.519999996</v>
      </c>
      <c r="AY23" s="189">
        <v>43007253.630000003</v>
      </c>
      <c r="AZ23" s="189">
        <v>13500425.720000001</v>
      </c>
      <c r="BA23" s="189">
        <v>55402709.310000002</v>
      </c>
      <c r="BB23" s="189">
        <v>38784378.920000002</v>
      </c>
      <c r="BC23" s="189">
        <v>31569016.039999999</v>
      </c>
      <c r="BD23" s="189">
        <v>11555407.74</v>
      </c>
      <c r="BE23" s="189">
        <v>93392474.420000002</v>
      </c>
      <c r="BF23" s="189">
        <v>47396706.810000002</v>
      </c>
      <c r="BG23" s="189">
        <v>35038279.060000002</v>
      </c>
      <c r="BH23" s="189">
        <v>11086522.75</v>
      </c>
      <c r="BI23" s="189">
        <v>46426567.18</v>
      </c>
      <c r="BJ23" s="189">
        <v>26914176.07</v>
      </c>
      <c r="BK23" s="189">
        <v>20242660.239999998</v>
      </c>
      <c r="BL23" s="189">
        <v>11000277.02</v>
      </c>
      <c r="BM23" s="189">
        <v>-29004439.300000001</v>
      </c>
      <c r="BN23" s="189">
        <v>4632507.47</v>
      </c>
      <c r="BO23" s="189">
        <v>14613972.59</v>
      </c>
      <c r="BP23" s="189">
        <v>7938470.3899999997</v>
      </c>
      <c r="BQ23" s="189">
        <v>16680296.01</v>
      </c>
      <c r="BR23" s="189">
        <v>16500464.41</v>
      </c>
      <c r="BS23" s="189">
        <v>32518007.34</v>
      </c>
      <c r="BT23" s="189">
        <v>15215584.66</v>
      </c>
      <c r="BU23" s="189">
        <v>22006194.899999999</v>
      </c>
      <c r="BV23" s="189">
        <v>10438321.41</v>
      </c>
      <c r="BW23" s="189">
        <v>28580601.149999999</v>
      </c>
      <c r="BX23" s="189">
        <v>16210354.58</v>
      </c>
      <c r="BY23" s="189">
        <v>46214849.780000001</v>
      </c>
      <c r="BZ23" s="189">
        <v>18517799.739999998</v>
      </c>
      <c r="CA23" s="189">
        <v>17601099.199999999</v>
      </c>
      <c r="CB23" s="189">
        <v>9470000</v>
      </c>
      <c r="CC23" s="189">
        <v>27209658.940000001</v>
      </c>
      <c r="CD23" s="189">
        <v>12500000</v>
      </c>
      <c r="CE23" s="189">
        <v>29126642.609999999</v>
      </c>
      <c r="CF23" s="189">
        <v>27762316.469999999</v>
      </c>
      <c r="CG23" s="189">
        <v>19684700</v>
      </c>
      <c r="CH23" s="189">
        <v>5340300</v>
      </c>
      <c r="CI23" s="189">
        <v>0</v>
      </c>
    </row>
    <row r="24" spans="1:87">
      <c r="A24" s="189" t="s">
        <v>211</v>
      </c>
      <c r="B24" s="189">
        <v>0</v>
      </c>
      <c r="C24" s="189">
        <v>0</v>
      </c>
      <c r="D24" s="189">
        <v>0</v>
      </c>
      <c r="E24" s="189">
        <v>0</v>
      </c>
      <c r="F24" s="189">
        <v>0</v>
      </c>
      <c r="G24" s="189">
        <v>0</v>
      </c>
      <c r="H24" s="189">
        <v>0</v>
      </c>
      <c r="I24" s="189">
        <v>0</v>
      </c>
      <c r="J24" s="189">
        <v>0</v>
      </c>
      <c r="K24" s="189">
        <v>0</v>
      </c>
      <c r="L24" s="189">
        <v>0</v>
      </c>
      <c r="M24" s="189">
        <v>897683</v>
      </c>
      <c r="N24" s="189">
        <v>-5093980.21</v>
      </c>
      <c r="O24" s="189">
        <v>580594</v>
      </c>
      <c r="P24" s="189">
        <v>-3959701.79</v>
      </c>
      <c r="Q24" s="189">
        <v>74274641</v>
      </c>
      <c r="R24" s="189">
        <v>78547368.269999996</v>
      </c>
      <c r="S24" s="189">
        <v>52413800</v>
      </c>
      <c r="T24" s="189">
        <v>22698833.27</v>
      </c>
      <c r="U24" s="189">
        <v>141993167</v>
      </c>
      <c r="V24" s="189">
        <v>110380953</v>
      </c>
      <c r="W24" s="189">
        <v>33913081</v>
      </c>
      <c r="X24" s="189">
        <v>-4932577.97</v>
      </c>
      <c r="Y24" s="189">
        <v>83144044</v>
      </c>
      <c r="Z24" s="189">
        <v>64682969</v>
      </c>
      <c r="AA24" s="189">
        <v>27272436</v>
      </c>
      <c r="AB24" s="189">
        <v>-5691802.75</v>
      </c>
      <c r="AC24" s="189">
        <v>156301789</v>
      </c>
      <c r="AD24" s="189">
        <v>51148947.899999999</v>
      </c>
      <c r="AE24" s="189">
        <v>31127354</v>
      </c>
      <c r="AF24" s="189">
        <v>3974902.4</v>
      </c>
      <c r="AG24" s="189">
        <v>70223641</v>
      </c>
      <c r="AH24" s="189">
        <v>44050185.590000004</v>
      </c>
      <c r="AI24" s="189">
        <v>17102299.91</v>
      </c>
      <c r="AJ24" s="189">
        <v>-3581856.03</v>
      </c>
      <c r="AK24" s="189">
        <v>-104263415.06999999</v>
      </c>
      <c r="AL24" s="189">
        <v>-93270313.060000002</v>
      </c>
      <c r="AM24" s="189">
        <v>-94036906.109999999</v>
      </c>
      <c r="AN24" s="189">
        <v>-54770405.189999998</v>
      </c>
      <c r="AO24" s="189">
        <v>-80423935.439999998</v>
      </c>
      <c r="AP24" s="189">
        <v>-10017892.939999999</v>
      </c>
      <c r="AQ24" s="189">
        <v>-4881067.74</v>
      </c>
      <c r="AR24" s="189">
        <v>-1551383.81</v>
      </c>
      <c r="AS24" s="189">
        <v>-5041821.16</v>
      </c>
      <c r="AT24" s="189">
        <v>600253.09</v>
      </c>
      <c r="AU24" s="189">
        <v>362687.61</v>
      </c>
      <c r="AV24" s="189">
        <v>-223078.87</v>
      </c>
      <c r="AW24" s="189">
        <v>1086844.28</v>
      </c>
      <c r="AX24" s="189">
        <v>139409.98000000001</v>
      </c>
      <c r="AY24" s="189">
        <v>70450.84</v>
      </c>
      <c r="AZ24" s="189">
        <v>243975.48</v>
      </c>
      <c r="BA24" s="189">
        <v>1281519.0900000001</v>
      </c>
      <c r="BB24" s="189">
        <v>0</v>
      </c>
      <c r="BC24" s="189">
        <v>0</v>
      </c>
      <c r="BD24" s="189">
        <v>0</v>
      </c>
      <c r="BE24" s="189">
        <v>0</v>
      </c>
      <c r="BF24" s="189">
        <v>0</v>
      </c>
      <c r="BG24" s="189">
        <v>0</v>
      </c>
      <c r="BH24" s="189">
        <v>0</v>
      </c>
      <c r="BI24" s="189">
        <v>0</v>
      </c>
      <c r="BJ24" s="189">
        <v>0</v>
      </c>
      <c r="BK24" s="189">
        <v>0</v>
      </c>
      <c r="BL24" s="189">
        <v>0</v>
      </c>
      <c r="BM24" s="189">
        <v>0</v>
      </c>
      <c r="BN24" s="189">
        <v>0</v>
      </c>
      <c r="BO24" s="189">
        <v>0</v>
      </c>
      <c r="BP24" s="189">
        <v>0</v>
      </c>
      <c r="BQ24" s="189">
        <v>0</v>
      </c>
      <c r="BR24" s="189">
        <v>0</v>
      </c>
      <c r="BS24" s="189">
        <v>0</v>
      </c>
      <c r="BT24" s="189">
        <v>0</v>
      </c>
      <c r="BU24" s="189">
        <v>0</v>
      </c>
      <c r="BV24" s="189">
        <v>0</v>
      </c>
      <c r="BW24" s="189">
        <v>0</v>
      </c>
      <c r="BX24" s="189">
        <v>0</v>
      </c>
      <c r="BY24" s="189">
        <v>0</v>
      </c>
      <c r="BZ24" s="189">
        <v>0</v>
      </c>
      <c r="CA24" s="189">
        <v>0</v>
      </c>
      <c r="CB24" s="189">
        <v>0</v>
      </c>
      <c r="CC24" s="189">
        <v>0</v>
      </c>
      <c r="CD24" s="189">
        <v>0</v>
      </c>
      <c r="CE24" s="189">
        <v>0</v>
      </c>
      <c r="CF24" s="189">
        <v>0</v>
      </c>
      <c r="CG24" s="189">
        <v>0</v>
      </c>
      <c r="CH24" s="189">
        <v>0</v>
      </c>
      <c r="CI24" s="189">
        <v>0</v>
      </c>
    </row>
    <row r="25" spans="1:87">
      <c r="A25" s="189" t="s">
        <v>212</v>
      </c>
    </row>
    <row r="26" spans="1:87">
      <c r="A26" s="189" t="s">
        <v>213</v>
      </c>
      <c r="B26" s="189">
        <v>0.62390000000000001</v>
      </c>
      <c r="C26" s="189">
        <v>0.41149999999999998</v>
      </c>
      <c r="D26" s="189">
        <v>0.23980000000000001</v>
      </c>
      <c r="E26" s="189">
        <v>0.57609999999999995</v>
      </c>
      <c r="F26" s="189">
        <v>0.53769999999999996</v>
      </c>
      <c r="G26" s="189">
        <v>0.3196</v>
      </c>
      <c r="H26" s="189">
        <v>0.16070000000000001</v>
      </c>
      <c r="I26" s="189">
        <v>0.40620000000000001</v>
      </c>
      <c r="J26" s="189">
        <v>0.26960000000000001</v>
      </c>
      <c r="K26" s="189">
        <v>0.18890000000000001</v>
      </c>
      <c r="L26" s="189">
        <v>6.4899999999999999E-2</v>
      </c>
      <c r="M26" s="189">
        <v>0.49009999999999998</v>
      </c>
      <c r="N26" s="189">
        <v>0.29909999999999998</v>
      </c>
      <c r="O26" s="189">
        <v>0.2273</v>
      </c>
      <c r="P26" s="189">
        <v>0.1142</v>
      </c>
      <c r="Q26" s="189">
        <v>0.71160000000000001</v>
      </c>
      <c r="R26" s="189">
        <v>0.40079999999999999</v>
      </c>
      <c r="S26" s="189">
        <v>0.14199999999999999</v>
      </c>
      <c r="T26" s="189">
        <v>5.1999999999999998E-2</v>
      </c>
      <c r="U26" s="189">
        <v>0.25</v>
      </c>
      <c r="V26" s="189">
        <v>0.20799999999999999</v>
      </c>
      <c r="W26" s="189">
        <v>3.6999999999999998E-2</v>
      </c>
      <c r="X26" s="189">
        <v>3.0000000000000001E-3</v>
      </c>
      <c r="Y26" s="189">
        <v>9.4799999999999995E-2</v>
      </c>
      <c r="Z26" s="189">
        <v>0.1041</v>
      </c>
      <c r="AA26" s="189">
        <v>1.9E-2</v>
      </c>
      <c r="AB26" s="189">
        <v>-1.2999999999999999E-2</v>
      </c>
      <c r="AC26" s="189">
        <v>0.17610000000000001</v>
      </c>
      <c r="AD26" s="189">
        <v>8.5999999999999993E-2</v>
      </c>
      <c r="AE26" s="189">
        <v>6.4000000000000001E-2</v>
      </c>
      <c r="AF26" s="189">
        <v>1.4E-2</v>
      </c>
      <c r="AG26" s="189">
        <v>0.1226</v>
      </c>
      <c r="AH26" s="189">
        <v>0.12</v>
      </c>
      <c r="AI26" s="189">
        <v>7.8E-2</v>
      </c>
      <c r="AJ26" s="189">
        <v>8.9999999999999993E-3</v>
      </c>
      <c r="AK26" s="189">
        <v>-0.35809999999999997</v>
      </c>
      <c r="AL26" s="189">
        <v>-0.21</v>
      </c>
      <c r="AM26" s="189">
        <v>-0.17199999999999999</v>
      </c>
      <c r="AN26" s="189">
        <v>-0.09</v>
      </c>
      <c r="AO26" s="189">
        <v>0.02</v>
      </c>
      <c r="AP26" s="189">
        <v>0.104</v>
      </c>
      <c r="AQ26" s="189">
        <v>0.11</v>
      </c>
      <c r="AR26" s="189">
        <v>0.03</v>
      </c>
      <c r="AS26" s="189">
        <v>0.26</v>
      </c>
      <c r="AT26" s="189">
        <v>0.19</v>
      </c>
      <c r="AU26" s="189">
        <v>0.13</v>
      </c>
      <c r="AV26" s="189">
        <v>0.05</v>
      </c>
      <c r="AW26" s="189">
        <v>0</v>
      </c>
      <c r="AX26" s="189">
        <v>0</v>
      </c>
      <c r="AY26" s="189">
        <v>0</v>
      </c>
      <c r="AZ26" s="189">
        <v>0</v>
      </c>
      <c r="BA26" s="189">
        <v>0</v>
      </c>
      <c r="BB26" s="189">
        <v>0</v>
      </c>
      <c r="BC26" s="189">
        <v>0</v>
      </c>
      <c r="BD26" s="189">
        <v>0</v>
      </c>
      <c r="BE26" s="189">
        <v>0</v>
      </c>
      <c r="BF26" s="189">
        <v>0</v>
      </c>
      <c r="BG26" s="189">
        <v>0</v>
      </c>
      <c r="BH26" s="189">
        <v>0</v>
      </c>
      <c r="BI26" s="189">
        <v>0</v>
      </c>
      <c r="BJ26" s="189">
        <v>0</v>
      </c>
      <c r="BK26" s="189">
        <v>0</v>
      </c>
      <c r="BL26" s="189">
        <v>0</v>
      </c>
      <c r="BM26" s="189">
        <v>0</v>
      </c>
      <c r="BN26" s="189">
        <v>0</v>
      </c>
      <c r="BO26" s="189">
        <v>0</v>
      </c>
      <c r="BP26" s="189">
        <v>0</v>
      </c>
      <c r="BQ26" s="189">
        <v>0</v>
      </c>
      <c r="BR26" s="189">
        <v>0</v>
      </c>
      <c r="BS26" s="189">
        <v>0</v>
      </c>
      <c r="BT26" s="189">
        <v>0</v>
      </c>
      <c r="BU26" s="189">
        <v>0</v>
      </c>
      <c r="BV26" s="189">
        <v>0</v>
      </c>
      <c r="BW26" s="189">
        <v>0</v>
      </c>
      <c r="BX26" s="189">
        <v>0</v>
      </c>
      <c r="BY26" s="189">
        <v>0</v>
      </c>
      <c r="BZ26" s="189">
        <v>0</v>
      </c>
      <c r="CA26" s="189">
        <v>0</v>
      </c>
      <c r="CB26" s="189">
        <v>0</v>
      </c>
      <c r="CC26" s="189">
        <v>0</v>
      </c>
      <c r="CD26" s="189">
        <v>0</v>
      </c>
      <c r="CE26" s="189">
        <v>0</v>
      </c>
      <c r="CF26" s="189">
        <v>0</v>
      </c>
      <c r="CG26" s="189">
        <v>0</v>
      </c>
      <c r="CH26" s="189">
        <v>0</v>
      </c>
      <c r="CI26" s="189">
        <v>0</v>
      </c>
    </row>
    <row r="27" spans="1:87">
      <c r="A27" s="189" t="s">
        <v>214</v>
      </c>
      <c r="B27" s="189">
        <v>0.62390000000000001</v>
      </c>
      <c r="C27" s="189">
        <v>0.41149999999999998</v>
      </c>
      <c r="D27" s="189">
        <v>0.23980000000000001</v>
      </c>
      <c r="E27" s="189">
        <v>0.57609999999999995</v>
      </c>
      <c r="F27" s="189">
        <v>0.53769999999999996</v>
      </c>
      <c r="G27" s="189">
        <v>0.3196</v>
      </c>
      <c r="H27" s="189">
        <v>0.16070000000000001</v>
      </c>
      <c r="I27" s="189">
        <v>0.40620000000000001</v>
      </c>
      <c r="J27" s="189">
        <v>0.26960000000000001</v>
      </c>
      <c r="K27" s="189">
        <v>0.18890000000000001</v>
      </c>
      <c r="L27" s="189">
        <v>6.4899999999999999E-2</v>
      </c>
      <c r="M27" s="189">
        <v>0.49009999999999998</v>
      </c>
      <c r="N27" s="189">
        <v>0.29909999999999998</v>
      </c>
      <c r="O27" s="189">
        <v>0.2273</v>
      </c>
      <c r="P27" s="189">
        <v>0.1142</v>
      </c>
      <c r="Q27" s="189">
        <v>0.71160000000000001</v>
      </c>
      <c r="R27" s="189">
        <v>0.40079999999999999</v>
      </c>
      <c r="S27" s="189">
        <v>0.14199999999999999</v>
      </c>
      <c r="T27" s="189">
        <v>5.1999999999999998E-2</v>
      </c>
      <c r="U27" s="189">
        <v>0.25</v>
      </c>
      <c r="V27" s="189">
        <v>0.20799999999999999</v>
      </c>
      <c r="W27" s="189">
        <v>3.6999999999999998E-2</v>
      </c>
      <c r="X27" s="189">
        <v>3.0000000000000001E-3</v>
      </c>
      <c r="Y27" s="189">
        <v>9.4799999999999995E-2</v>
      </c>
      <c r="Z27" s="189">
        <v>0.1041</v>
      </c>
      <c r="AA27" s="189">
        <v>1.9E-2</v>
      </c>
      <c r="AB27" s="189">
        <v>-1.2999999999999999E-2</v>
      </c>
      <c r="AC27" s="189">
        <v>0.17610000000000001</v>
      </c>
      <c r="AD27" s="189">
        <v>8.5999999999999993E-2</v>
      </c>
      <c r="AE27" s="189">
        <v>6.4000000000000001E-2</v>
      </c>
      <c r="AF27" s="189">
        <v>1.4E-2</v>
      </c>
      <c r="AG27" s="189">
        <v>0.1226</v>
      </c>
      <c r="AH27" s="189">
        <v>0.12</v>
      </c>
      <c r="AI27" s="189">
        <v>7.8E-2</v>
      </c>
      <c r="AJ27" s="189">
        <v>8.9999999999999993E-3</v>
      </c>
      <c r="AK27" s="189">
        <v>-0.35809999999999997</v>
      </c>
      <c r="AL27" s="189">
        <v>-0.21</v>
      </c>
      <c r="AM27" s="189">
        <v>-0.17199999999999999</v>
      </c>
      <c r="AN27" s="189">
        <v>-0.09</v>
      </c>
      <c r="AO27" s="189">
        <v>0.02</v>
      </c>
      <c r="AP27" s="189">
        <v>0.104</v>
      </c>
      <c r="AQ27" s="189">
        <v>0.11</v>
      </c>
      <c r="AR27" s="189">
        <v>0.03</v>
      </c>
      <c r="AS27" s="189">
        <v>0.26</v>
      </c>
      <c r="AT27" s="189">
        <v>0.19</v>
      </c>
      <c r="AU27" s="189">
        <v>0.13</v>
      </c>
      <c r="AV27" s="189">
        <v>0.05</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c r="BX27" s="189">
        <v>0</v>
      </c>
      <c r="BY27" s="189">
        <v>0</v>
      </c>
      <c r="BZ27" s="189">
        <v>0</v>
      </c>
      <c r="CA27" s="189">
        <v>0</v>
      </c>
      <c r="CB27" s="189">
        <v>0</v>
      </c>
      <c r="CC27" s="189">
        <v>0</v>
      </c>
      <c r="CD27" s="189">
        <v>0</v>
      </c>
      <c r="CE27" s="189">
        <v>0</v>
      </c>
      <c r="CF27" s="189">
        <v>0</v>
      </c>
      <c r="CG27" s="189">
        <v>0</v>
      </c>
      <c r="CH27" s="189">
        <v>0</v>
      </c>
      <c r="CI27" s="189">
        <v>0</v>
      </c>
    </row>
    <row r="28" spans="1:87">
      <c r="A28" s="189" t="s">
        <v>215</v>
      </c>
      <c r="B28" s="189">
        <v>26614645.739999998</v>
      </c>
      <c r="C28" s="189">
        <v>13903268.41</v>
      </c>
      <c r="D28" s="189">
        <v>4007316.94</v>
      </c>
      <c r="E28" s="189">
        <v>-7300760.9000000004</v>
      </c>
      <c r="F28" s="189">
        <v>-657486.06999999995</v>
      </c>
      <c r="G28" s="189">
        <v>9139701.3800000008</v>
      </c>
      <c r="H28" s="189">
        <v>15501486.41</v>
      </c>
      <c r="I28" s="189">
        <v>25513531.440000001</v>
      </c>
      <c r="J28" s="189">
        <v>67544470.790000007</v>
      </c>
      <c r="K28" s="189">
        <v>70773414</v>
      </c>
      <c r="L28" s="189">
        <v>25986293.940000001</v>
      </c>
      <c r="M28" s="189">
        <v>20116080</v>
      </c>
      <c r="N28" s="189">
        <v>13875578.74</v>
      </c>
      <c r="O28" s="189">
        <v>-9266440</v>
      </c>
      <c r="P28" s="189">
        <v>-1217804.48</v>
      </c>
      <c r="Q28" s="189">
        <v>-58407282</v>
      </c>
      <c r="R28" s="189">
        <v>-6889883.1299999999</v>
      </c>
      <c r="S28" s="189">
        <v>-1324586</v>
      </c>
      <c r="T28" s="189">
        <v>-1135415.95</v>
      </c>
      <c r="U28" s="189">
        <v>4705901</v>
      </c>
      <c r="V28" s="189">
        <v>-1857900</v>
      </c>
      <c r="W28" s="189">
        <v>-5293190</v>
      </c>
      <c r="X28" s="189">
        <v>-2955428.37</v>
      </c>
      <c r="Y28" s="189">
        <v>-358734</v>
      </c>
      <c r="Z28" s="189">
        <v>-2076781</v>
      </c>
      <c r="AA28" s="189">
        <v>-701076</v>
      </c>
      <c r="AB28" s="189">
        <v>1613737.86</v>
      </c>
      <c r="AC28" s="189">
        <v>2795031</v>
      </c>
      <c r="AD28" s="189">
        <v>-1141587.73</v>
      </c>
      <c r="AE28" s="189">
        <v>53404</v>
      </c>
      <c r="AF28" s="189">
        <v>193366.63</v>
      </c>
      <c r="AG28" s="189">
        <v>-609992</v>
      </c>
      <c r="AH28" s="189">
        <v>28981971.010000002</v>
      </c>
      <c r="AI28" s="189">
        <v>18800873.890000001</v>
      </c>
      <c r="AJ28" s="189">
        <v>9876599.1899999995</v>
      </c>
      <c r="AK28" s="189">
        <v>370603.64</v>
      </c>
      <c r="AL28" s="189">
        <v>0</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0</v>
      </c>
      <c r="BF28" s="189">
        <v>0</v>
      </c>
      <c r="BG28" s="189">
        <v>0</v>
      </c>
      <c r="BH28" s="189">
        <v>0</v>
      </c>
      <c r="BI28" s="189">
        <v>0</v>
      </c>
      <c r="BJ28" s="189">
        <v>0</v>
      </c>
      <c r="BK28" s="189">
        <v>0</v>
      </c>
      <c r="BL28" s="189">
        <v>0</v>
      </c>
      <c r="BM28" s="189">
        <v>0</v>
      </c>
      <c r="BN28" s="189">
        <v>0</v>
      </c>
      <c r="BO28" s="189">
        <v>0</v>
      </c>
      <c r="BP28" s="189">
        <v>0</v>
      </c>
      <c r="BQ28" s="189">
        <v>0</v>
      </c>
      <c r="BR28" s="189">
        <v>0</v>
      </c>
      <c r="BS28" s="189">
        <v>0</v>
      </c>
      <c r="BT28" s="189">
        <v>0</v>
      </c>
      <c r="BU28" s="189">
        <v>0</v>
      </c>
      <c r="BV28" s="189">
        <v>0</v>
      </c>
      <c r="BW28" s="189">
        <v>0</v>
      </c>
      <c r="BX28" s="189">
        <v>0</v>
      </c>
      <c r="BY28" s="189">
        <v>0</v>
      </c>
      <c r="BZ28" s="189">
        <v>0</v>
      </c>
      <c r="CA28" s="189">
        <v>0</v>
      </c>
      <c r="CB28" s="189">
        <v>0</v>
      </c>
      <c r="CC28" s="189">
        <v>0</v>
      </c>
      <c r="CD28" s="189">
        <v>0</v>
      </c>
      <c r="CE28" s="189">
        <v>0</v>
      </c>
      <c r="CF28" s="189">
        <v>0</v>
      </c>
      <c r="CG28" s="189">
        <v>0</v>
      </c>
      <c r="CH28" s="189">
        <v>0</v>
      </c>
      <c r="CI28" s="189">
        <v>0</v>
      </c>
    </row>
    <row r="29" spans="1:87">
      <c r="A29" s="189" t="s">
        <v>216</v>
      </c>
      <c r="B29" s="189">
        <v>1301691409.1199999</v>
      </c>
      <c r="C29" s="189">
        <v>854044754.77999997</v>
      </c>
      <c r="D29" s="189">
        <v>391681319.54000002</v>
      </c>
      <c r="E29" s="189">
        <v>799903554.72000003</v>
      </c>
      <c r="F29" s="189">
        <v>752732959.84000003</v>
      </c>
      <c r="G29" s="189">
        <v>456877446.06999999</v>
      </c>
      <c r="H29" s="189">
        <v>240640790.28</v>
      </c>
      <c r="I29" s="189">
        <v>594690924.80999994</v>
      </c>
      <c r="J29" s="189">
        <v>445222487.83999997</v>
      </c>
      <c r="K29" s="189">
        <v>335470306</v>
      </c>
      <c r="L29" s="189">
        <v>116871823.2</v>
      </c>
      <c r="M29" s="189">
        <v>575689254</v>
      </c>
      <c r="N29" s="189">
        <v>347335286.77999997</v>
      </c>
      <c r="O29" s="189">
        <v>248593188</v>
      </c>
      <c r="P29" s="189">
        <v>124059837.36</v>
      </c>
      <c r="Q29" s="189">
        <v>628523342</v>
      </c>
      <c r="R29" s="189">
        <v>383312721.63999999</v>
      </c>
      <c r="S29" s="189">
        <v>132481648</v>
      </c>
      <c r="T29" s="189">
        <v>51241707.799999997</v>
      </c>
      <c r="U29" s="189">
        <v>290244294</v>
      </c>
      <c r="V29" s="189">
        <v>227755750</v>
      </c>
      <c r="W29" s="189">
        <v>50030958</v>
      </c>
      <c r="X29" s="189">
        <v>-6430082.5199999996</v>
      </c>
      <c r="Y29" s="189">
        <v>137202098</v>
      </c>
      <c r="Z29" s="189">
        <v>122382895</v>
      </c>
      <c r="AA29" s="189">
        <v>37420463</v>
      </c>
      <c r="AB29" s="189">
        <v>-11304859.710000001</v>
      </c>
      <c r="AC29" s="189">
        <v>260230163</v>
      </c>
      <c r="AD29" s="189">
        <v>99203056.469999999</v>
      </c>
      <c r="AE29" s="189">
        <v>68005293</v>
      </c>
      <c r="AF29" s="189">
        <v>12021802.710000001</v>
      </c>
      <c r="AG29" s="189">
        <v>139995470</v>
      </c>
      <c r="AH29" s="189">
        <v>142101036.41</v>
      </c>
      <c r="AI29" s="189">
        <v>80672938.299999997</v>
      </c>
      <c r="AJ29" s="189">
        <v>11728142.91</v>
      </c>
      <c r="AK29" s="189">
        <v>-309530376.17000002</v>
      </c>
      <c r="AL29" s="189">
        <v>-213918424.77000001</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c r="BR29" s="189">
        <v>0</v>
      </c>
      <c r="BS29" s="189">
        <v>0</v>
      </c>
      <c r="BT29" s="189">
        <v>0</v>
      </c>
      <c r="BU29" s="189">
        <v>0</v>
      </c>
      <c r="BV29" s="189">
        <v>0</v>
      </c>
      <c r="BW29" s="189">
        <v>0</v>
      </c>
      <c r="BX29" s="189">
        <v>0</v>
      </c>
      <c r="BY29" s="189">
        <v>0</v>
      </c>
      <c r="BZ29" s="189">
        <v>0</v>
      </c>
      <c r="CA29" s="189">
        <v>0</v>
      </c>
      <c r="CB29" s="189">
        <v>0</v>
      </c>
      <c r="CC29" s="189">
        <v>0</v>
      </c>
      <c r="CD29" s="189">
        <v>0</v>
      </c>
      <c r="CE29" s="189">
        <v>0</v>
      </c>
      <c r="CF29" s="189">
        <v>0</v>
      </c>
      <c r="CG29" s="189">
        <v>0</v>
      </c>
      <c r="CH29" s="189">
        <v>0</v>
      </c>
      <c r="CI29" s="189">
        <v>0</v>
      </c>
    </row>
    <row r="30" spans="1:87">
      <c r="A30" s="189" t="s">
        <v>217</v>
      </c>
      <c r="B30" s="189">
        <v>1301691409.1199999</v>
      </c>
      <c r="C30" s="189">
        <v>854044754.77999997</v>
      </c>
      <c r="D30" s="189">
        <v>391681319.54000002</v>
      </c>
      <c r="E30" s="189">
        <v>799903554.72000003</v>
      </c>
      <c r="F30" s="189">
        <v>752732959.84000003</v>
      </c>
      <c r="G30" s="189">
        <v>456877446.06999999</v>
      </c>
      <c r="H30" s="189">
        <v>240640790.28</v>
      </c>
      <c r="I30" s="189">
        <v>594690924.80999994</v>
      </c>
      <c r="J30" s="189">
        <v>445222487.83999997</v>
      </c>
      <c r="K30" s="189">
        <v>335470306</v>
      </c>
      <c r="L30" s="189">
        <v>116871823.2</v>
      </c>
      <c r="M30" s="189">
        <v>574791571</v>
      </c>
      <c r="N30" s="189">
        <v>352429266.99000001</v>
      </c>
      <c r="O30" s="189">
        <v>248012594</v>
      </c>
      <c r="P30" s="189">
        <v>128019539.15000001</v>
      </c>
      <c r="Q30" s="189">
        <v>554248701</v>
      </c>
      <c r="R30" s="189">
        <v>304765353.37</v>
      </c>
      <c r="S30" s="189">
        <v>80067848</v>
      </c>
      <c r="T30" s="189">
        <v>28542874.530000001</v>
      </c>
      <c r="U30" s="189">
        <v>148251127</v>
      </c>
      <c r="V30" s="189">
        <v>117374797</v>
      </c>
      <c r="W30" s="189">
        <v>16117877</v>
      </c>
      <c r="X30" s="189">
        <v>-1497504.55</v>
      </c>
      <c r="Y30" s="189">
        <v>54058054</v>
      </c>
      <c r="Z30" s="189">
        <v>57699926</v>
      </c>
      <c r="AA30" s="189">
        <v>10148027</v>
      </c>
      <c r="AB30" s="189">
        <v>-5613056.96</v>
      </c>
      <c r="AC30" s="189">
        <v>103928374</v>
      </c>
      <c r="AD30" s="189">
        <v>48054108.57</v>
      </c>
      <c r="AE30" s="189">
        <v>36877939</v>
      </c>
      <c r="AF30" s="189">
        <v>8046900.3099999996</v>
      </c>
      <c r="AG30" s="189">
        <v>69771829</v>
      </c>
      <c r="AH30" s="189">
        <v>68797285.530000001</v>
      </c>
      <c r="AI30" s="189">
        <v>43872670.359999999</v>
      </c>
      <c r="AJ30" s="189">
        <v>5115417.88</v>
      </c>
      <c r="AK30" s="189">
        <v>-205266961.09999999</v>
      </c>
      <c r="AL30" s="189">
        <v>-120648111.70999999</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0</v>
      </c>
      <c r="BD30" s="189">
        <v>0</v>
      </c>
      <c r="BE30" s="189">
        <v>0</v>
      </c>
      <c r="BF30" s="189">
        <v>0</v>
      </c>
      <c r="BG30" s="189">
        <v>0</v>
      </c>
      <c r="BH30" s="189">
        <v>0</v>
      </c>
      <c r="BI30" s="189">
        <v>0</v>
      </c>
      <c r="BJ30" s="189">
        <v>0</v>
      </c>
      <c r="BK30" s="189">
        <v>0</v>
      </c>
      <c r="BL30" s="189">
        <v>0</v>
      </c>
      <c r="BM30" s="189">
        <v>0</v>
      </c>
      <c r="BN30" s="189">
        <v>0</v>
      </c>
      <c r="BO30" s="189">
        <v>0</v>
      </c>
      <c r="BP30" s="189">
        <v>0</v>
      </c>
      <c r="BQ30" s="189">
        <v>0</v>
      </c>
      <c r="BR30" s="189">
        <v>0</v>
      </c>
      <c r="BS30" s="189">
        <v>0</v>
      </c>
      <c r="BT30" s="189">
        <v>0</v>
      </c>
      <c r="BU30" s="189">
        <v>0</v>
      </c>
      <c r="BV30" s="189">
        <v>0</v>
      </c>
      <c r="BW30" s="189">
        <v>0</v>
      </c>
      <c r="BX30" s="189">
        <v>0</v>
      </c>
      <c r="BY30" s="189">
        <v>0</v>
      </c>
      <c r="BZ30" s="189">
        <v>0</v>
      </c>
      <c r="CA30" s="189">
        <v>0</v>
      </c>
      <c r="CB30" s="189">
        <v>0</v>
      </c>
      <c r="CC30" s="189">
        <v>0</v>
      </c>
      <c r="CD30" s="189">
        <v>0</v>
      </c>
      <c r="CE30" s="189">
        <v>0</v>
      </c>
      <c r="CF30" s="189">
        <v>0</v>
      </c>
      <c r="CG30" s="189">
        <v>0</v>
      </c>
      <c r="CH30" s="189">
        <v>0</v>
      </c>
      <c r="CI30" s="189">
        <v>0</v>
      </c>
    </row>
    <row r="31" spans="1:87">
      <c r="A31" s="189" t="s">
        <v>218</v>
      </c>
      <c r="B31" s="189">
        <v>0</v>
      </c>
      <c r="C31" s="189">
        <v>0</v>
      </c>
      <c r="D31" s="189">
        <v>0</v>
      </c>
      <c r="E31" s="189">
        <v>0</v>
      </c>
      <c r="F31" s="189">
        <v>0</v>
      </c>
      <c r="G31" s="189">
        <v>0</v>
      </c>
      <c r="H31" s="189">
        <v>0</v>
      </c>
      <c r="I31" s="189">
        <v>0</v>
      </c>
      <c r="J31" s="189">
        <v>0</v>
      </c>
      <c r="K31" s="189">
        <v>0</v>
      </c>
      <c r="L31" s="189">
        <v>0</v>
      </c>
      <c r="M31" s="189">
        <v>897683</v>
      </c>
      <c r="N31" s="189">
        <v>-5093980.21</v>
      </c>
      <c r="O31" s="189">
        <v>580594</v>
      </c>
      <c r="P31" s="189">
        <v>-3959701.79</v>
      </c>
      <c r="Q31" s="189">
        <v>74274641</v>
      </c>
      <c r="R31" s="189">
        <v>78547368.269999996</v>
      </c>
      <c r="S31" s="189">
        <v>52413800</v>
      </c>
      <c r="T31" s="189">
        <v>22698833.27</v>
      </c>
      <c r="U31" s="189">
        <v>141993167</v>
      </c>
      <c r="V31" s="189">
        <v>110380953</v>
      </c>
      <c r="W31" s="189">
        <v>33913081</v>
      </c>
      <c r="X31" s="189">
        <v>-4932577.97</v>
      </c>
      <c r="Y31" s="189">
        <v>83144044</v>
      </c>
      <c r="Z31" s="189">
        <v>64682969</v>
      </c>
      <c r="AA31" s="189">
        <v>27272436</v>
      </c>
      <c r="AB31" s="189">
        <v>-5691802.75</v>
      </c>
      <c r="AC31" s="189">
        <v>156301789</v>
      </c>
      <c r="AD31" s="189">
        <v>51148947.899999999</v>
      </c>
      <c r="AE31" s="189">
        <v>31127354</v>
      </c>
      <c r="AF31" s="189">
        <v>3974902.4</v>
      </c>
      <c r="AG31" s="189">
        <v>70223641</v>
      </c>
      <c r="AH31" s="189">
        <v>73303750.879999995</v>
      </c>
      <c r="AI31" s="189">
        <v>36800267.939999998</v>
      </c>
      <c r="AJ31" s="189">
        <v>6612725.0300000003</v>
      </c>
      <c r="AK31" s="189">
        <v>-104263415.06999999</v>
      </c>
      <c r="AL31" s="189">
        <v>-93270313.060000002</v>
      </c>
      <c r="AM31" s="189">
        <v>0</v>
      </c>
      <c r="AN31" s="189">
        <v>0</v>
      </c>
      <c r="AO31" s="189">
        <v>0</v>
      </c>
      <c r="AP31" s="189">
        <v>0</v>
      </c>
      <c r="AQ31" s="189">
        <v>0</v>
      </c>
      <c r="AR31" s="189">
        <v>0</v>
      </c>
      <c r="AS31" s="189">
        <v>0</v>
      </c>
      <c r="AT31" s="189">
        <v>0</v>
      </c>
      <c r="AU31" s="189">
        <v>0</v>
      </c>
      <c r="AV31" s="189">
        <v>0</v>
      </c>
      <c r="AW31" s="189">
        <v>0</v>
      </c>
      <c r="AX31" s="189">
        <v>0</v>
      </c>
      <c r="AY31" s="189">
        <v>0</v>
      </c>
      <c r="AZ31" s="189">
        <v>0</v>
      </c>
      <c r="BA31" s="189">
        <v>0</v>
      </c>
      <c r="BB31" s="189">
        <v>0</v>
      </c>
      <c r="BC31" s="189">
        <v>0</v>
      </c>
      <c r="BD31" s="189">
        <v>0</v>
      </c>
      <c r="BE31" s="189">
        <v>0</v>
      </c>
      <c r="BF31" s="189">
        <v>0</v>
      </c>
      <c r="BG31" s="189">
        <v>0</v>
      </c>
      <c r="BH31" s="189">
        <v>0</v>
      </c>
      <c r="BI31" s="189">
        <v>0</v>
      </c>
      <c r="BJ31" s="189">
        <v>0</v>
      </c>
      <c r="BK31" s="189">
        <v>0</v>
      </c>
      <c r="BL31" s="189">
        <v>0</v>
      </c>
      <c r="BM31" s="189">
        <v>0</v>
      </c>
      <c r="BN31" s="189">
        <v>0</v>
      </c>
      <c r="BO31" s="189">
        <v>0</v>
      </c>
      <c r="BP31" s="189">
        <v>0</v>
      </c>
      <c r="BQ31" s="189">
        <v>0</v>
      </c>
      <c r="BR31" s="189">
        <v>0</v>
      </c>
      <c r="BS31" s="189">
        <v>0</v>
      </c>
      <c r="BT31" s="189">
        <v>0</v>
      </c>
      <c r="BU31" s="189">
        <v>0</v>
      </c>
      <c r="BV31" s="189">
        <v>0</v>
      </c>
      <c r="BW31" s="189">
        <v>0</v>
      </c>
      <c r="BX31" s="189">
        <v>0</v>
      </c>
      <c r="BY31" s="189">
        <v>0</v>
      </c>
      <c r="BZ31" s="189">
        <v>0</v>
      </c>
      <c r="CA31" s="189">
        <v>0</v>
      </c>
      <c r="CB31" s="189">
        <v>0</v>
      </c>
      <c r="CC31" s="189">
        <v>0</v>
      </c>
      <c r="CD31" s="189">
        <v>0</v>
      </c>
      <c r="CE31" s="189">
        <v>0</v>
      </c>
      <c r="CF31" s="189">
        <v>0</v>
      </c>
      <c r="CG31" s="189">
        <v>0</v>
      </c>
      <c r="CH31" s="189">
        <v>0</v>
      </c>
      <c r="CI31" s="189">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现金流量表"/>
  <dimension ref="A1:BU77"/>
  <sheetViews>
    <sheetView workbookViewId="0">
      <selection activeCell="A31" sqref="A31"/>
    </sheetView>
  </sheetViews>
  <sheetFormatPr defaultRowHeight="13.5"/>
  <cols>
    <col min="1" max="1" width="54.625" style="189" bestFit="1" customWidth="1"/>
    <col min="2" max="2" width="12.75" style="189" hidden="1" customWidth="1"/>
    <col min="3" max="4" width="13.875" style="189" hidden="1" customWidth="1"/>
    <col min="5" max="5" width="13.875" style="189" bestFit="1" customWidth="1"/>
    <col min="6" max="8" width="13.875" style="189" hidden="1" customWidth="1"/>
    <col min="9" max="9" width="13.875" style="189" bestFit="1" customWidth="1"/>
    <col min="10" max="10" width="13.875" style="189" hidden="1" customWidth="1"/>
    <col min="11" max="11" width="12.75" style="189" hidden="1" customWidth="1"/>
    <col min="12" max="12" width="13.875" style="189" hidden="1" customWidth="1"/>
    <col min="13" max="13" width="12.75" style="189" bestFit="1" customWidth="1"/>
    <col min="14" max="14" width="13.875" style="189" hidden="1" customWidth="1"/>
    <col min="15" max="15" width="11.625" style="189" hidden="1" customWidth="1"/>
    <col min="16" max="16" width="13.875" style="189" hidden="1" customWidth="1"/>
    <col min="17" max="17" width="12.75" style="189" bestFit="1" customWidth="1"/>
    <col min="18" max="18" width="12.75" style="189" hidden="1" customWidth="1"/>
    <col min="19" max="19" width="11.625" style="189" hidden="1" customWidth="1"/>
    <col min="20" max="20" width="13.875" style="189" hidden="1" customWidth="1"/>
    <col min="21" max="21" width="11.625" style="189" bestFit="1" customWidth="1"/>
    <col min="22" max="23" width="11.625" style="189" hidden="1" customWidth="1"/>
    <col min="24" max="24" width="13.875" style="189" hidden="1" customWidth="1"/>
    <col min="25" max="25" width="11.625" style="189" bestFit="1" customWidth="1"/>
    <col min="26" max="27" width="11.625" style="189" hidden="1" customWidth="1"/>
    <col min="28" max="28" width="13.875" style="189" hidden="1" customWidth="1"/>
    <col min="29" max="29" width="11.625" style="189" bestFit="1" customWidth="1"/>
    <col min="30" max="30" width="13.875" style="189" hidden="1" customWidth="1"/>
    <col min="31" max="31" width="11.625" style="189" hidden="1" customWidth="1"/>
    <col min="32" max="32" width="12.75" style="189" hidden="1" customWidth="1"/>
    <col min="33" max="33" width="12.75" style="189" bestFit="1" customWidth="1"/>
    <col min="34" max="34" width="12.75" style="189" hidden="1" customWidth="1"/>
    <col min="35" max="36" width="13.875" style="189" hidden="1" customWidth="1"/>
    <col min="37" max="37" width="13.875" style="189" bestFit="1" customWidth="1"/>
    <col min="38" max="40" width="13.875" style="189" hidden="1" customWidth="1"/>
    <col min="41" max="41" width="13.875" style="189" bestFit="1" customWidth="1"/>
    <col min="42" max="44" width="13.875" style="189" hidden="1" customWidth="1"/>
    <col min="45" max="45" width="13.875" style="189" bestFit="1" customWidth="1"/>
    <col min="46" max="46" width="12.75" style="189" hidden="1" customWidth="1"/>
    <col min="47" max="48" width="13.875" style="189" hidden="1" customWidth="1"/>
    <col min="49" max="49" width="13.875" style="189" bestFit="1" customWidth="1"/>
    <col min="50" max="52" width="13.875" style="189" hidden="1" customWidth="1"/>
    <col min="53" max="53" width="13.875" style="189" bestFit="1" customWidth="1"/>
    <col min="54" max="56" width="13.875" style="189" hidden="1" customWidth="1"/>
    <col min="57" max="57" width="13.875" style="189" bestFit="1" customWidth="1"/>
    <col min="58" max="60" width="13.875" style="189" hidden="1" customWidth="1"/>
    <col min="61" max="61" width="13.875" style="189" bestFit="1" customWidth="1"/>
    <col min="62" max="64" width="13.875" style="189" hidden="1" customWidth="1"/>
    <col min="65" max="65" width="13.875" style="189" bestFit="1" customWidth="1"/>
    <col min="66" max="66" width="13.875" style="189" hidden="1" customWidth="1"/>
    <col min="67" max="67" width="13.875" style="189" bestFit="1" customWidth="1"/>
    <col min="68" max="68" width="13.875" style="189" hidden="1" customWidth="1"/>
    <col min="69" max="69" width="13.875" style="189" bestFit="1" customWidth="1"/>
    <col min="70" max="70" width="13.875" style="189" hidden="1" customWidth="1"/>
    <col min="71" max="72" width="13.875" style="189" bestFit="1" customWidth="1"/>
    <col min="73" max="73" width="9.5" style="189" hidden="1" customWidth="1"/>
    <col min="74" max="16384" width="9" style="189"/>
  </cols>
  <sheetData>
    <row r="1" spans="1:73">
      <c r="A1" s="189">
        <v>50</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20020630</v>
      </c>
      <c r="BO1" s="189">
        <v>20011231</v>
      </c>
      <c r="BP1" s="189">
        <v>20010630</v>
      </c>
      <c r="BQ1" s="189">
        <v>20001231</v>
      </c>
      <c r="BR1" s="189">
        <v>20000630</v>
      </c>
      <c r="BS1" s="189">
        <v>19991231</v>
      </c>
      <c r="BT1" s="189">
        <v>19981231</v>
      </c>
      <c r="BU1" s="189">
        <v>19700101</v>
      </c>
    </row>
    <row r="2" spans="1:73">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row>
    <row r="3" spans="1:73">
      <c r="A3" s="189" t="s">
        <v>219</v>
      </c>
    </row>
    <row r="4" spans="1:73">
      <c r="A4" s="189" t="s">
        <v>220</v>
      </c>
      <c r="B4" s="189">
        <v>22316153501.209999</v>
      </c>
      <c r="C4" s="189">
        <v>13672313758.559999</v>
      </c>
      <c r="D4" s="189">
        <v>6937110000.21</v>
      </c>
      <c r="E4" s="189">
        <v>13211781947.98</v>
      </c>
      <c r="F4" s="189">
        <v>9449836660.2700005</v>
      </c>
      <c r="G4" s="189">
        <v>5681967521.3599997</v>
      </c>
      <c r="H4" s="189">
        <v>2773430691.5999999</v>
      </c>
      <c r="I4" s="189">
        <v>10419750667.309999</v>
      </c>
      <c r="J4" s="189">
        <v>9004790709.75</v>
      </c>
      <c r="K4" s="189">
        <v>4627924648</v>
      </c>
      <c r="L4" s="189">
        <v>2541442528.3600001</v>
      </c>
      <c r="M4" s="189">
        <v>12499825960</v>
      </c>
      <c r="N4" s="189">
        <v>8922605546.8400002</v>
      </c>
      <c r="O4" s="189">
        <v>5602242099</v>
      </c>
      <c r="P4" s="189">
        <v>3227401117.7600002</v>
      </c>
      <c r="Q4" s="189">
        <v>11379178564</v>
      </c>
      <c r="R4" s="189">
        <v>8099944784.7399998</v>
      </c>
      <c r="S4" s="189">
        <v>2705336359</v>
      </c>
      <c r="T4" s="189">
        <v>1472258596.1600001</v>
      </c>
      <c r="U4" s="189">
        <v>5178795693</v>
      </c>
      <c r="V4" s="189">
        <v>3677750907</v>
      </c>
      <c r="W4" s="189">
        <v>2438543509</v>
      </c>
      <c r="X4" s="189">
        <v>1366055494.5699999</v>
      </c>
      <c r="Y4" s="189">
        <v>5004397169</v>
      </c>
      <c r="Z4" s="189">
        <v>3496116279</v>
      </c>
      <c r="AA4" s="189">
        <v>2158834099</v>
      </c>
      <c r="AB4" s="189">
        <v>1216848083.8099999</v>
      </c>
      <c r="AC4" s="189">
        <v>4398109161</v>
      </c>
      <c r="AD4" s="189">
        <v>3260770651.46</v>
      </c>
      <c r="AE4" s="189">
        <v>2096260752</v>
      </c>
      <c r="AF4" s="189">
        <v>1151877696.3</v>
      </c>
      <c r="AG4" s="189">
        <v>3039082597</v>
      </c>
      <c r="AH4" s="189">
        <v>2106327005.3299999</v>
      </c>
      <c r="AI4" s="189">
        <v>1250067521.48</v>
      </c>
      <c r="AJ4" s="189">
        <v>518552470.04000002</v>
      </c>
      <c r="AK4" s="189">
        <v>2504375303.2199998</v>
      </c>
      <c r="AL4" s="189">
        <v>1703634542.9200001</v>
      </c>
      <c r="AM4" s="189">
        <v>965116653.38999999</v>
      </c>
      <c r="AN4" s="189">
        <v>428332688.23000002</v>
      </c>
      <c r="AO4" s="189">
        <v>1758774792.1800001</v>
      </c>
      <c r="AP4" s="189">
        <v>1254144686.78</v>
      </c>
      <c r="AQ4" s="189">
        <v>937649443</v>
      </c>
      <c r="AR4" s="189">
        <v>426278437.91000003</v>
      </c>
      <c r="AS4" s="189">
        <v>1772474265.3299999</v>
      </c>
      <c r="AT4" s="189">
        <v>1216970907.8800001</v>
      </c>
      <c r="AU4" s="189">
        <v>808444294.96000004</v>
      </c>
      <c r="AV4" s="189">
        <v>382010955.61000001</v>
      </c>
      <c r="AW4" s="189">
        <v>1520940430.04</v>
      </c>
      <c r="AX4" s="189">
        <v>1031590330.52</v>
      </c>
      <c r="AY4" s="189">
        <v>597867090.75</v>
      </c>
      <c r="AZ4" s="189">
        <v>326768641.81</v>
      </c>
      <c r="BA4" s="189">
        <v>1182233209.4200001</v>
      </c>
      <c r="BB4" s="189">
        <v>862269537.90999997</v>
      </c>
      <c r="BC4" s="189">
        <v>577314526.50999999</v>
      </c>
      <c r="BD4" s="189">
        <v>269866608.45999998</v>
      </c>
      <c r="BE4" s="189">
        <v>971153685.38</v>
      </c>
      <c r="BF4" s="189">
        <v>678302588.24000001</v>
      </c>
      <c r="BG4" s="189">
        <v>430541209.81999999</v>
      </c>
      <c r="BH4" s="189">
        <v>202955803.72999999</v>
      </c>
      <c r="BI4" s="189">
        <v>519712328.24000001</v>
      </c>
      <c r="BJ4" s="189">
        <v>341120050.80000001</v>
      </c>
      <c r="BK4" s="189">
        <v>189458183.74000001</v>
      </c>
      <c r="BL4" s="189">
        <v>80142524.159999996</v>
      </c>
      <c r="BM4" s="189">
        <v>331932477.26999998</v>
      </c>
      <c r="BN4" s="189">
        <v>137430111.19</v>
      </c>
      <c r="BO4" s="189">
        <v>309646345.16000003</v>
      </c>
      <c r="BP4" s="189">
        <v>151843112.88999999</v>
      </c>
      <c r="BQ4" s="189">
        <v>314608391.12</v>
      </c>
      <c r="BR4" s="189">
        <v>152343367.30000001</v>
      </c>
      <c r="BS4" s="189">
        <v>228709988.75999999</v>
      </c>
      <c r="BT4" s="189">
        <v>157966792.40000001</v>
      </c>
      <c r="BU4" s="189">
        <v>0</v>
      </c>
    </row>
    <row r="5" spans="1:73">
      <c r="A5" s="189" t="s">
        <v>221</v>
      </c>
      <c r="B5" s="189">
        <v>964083475.47000003</v>
      </c>
      <c r="C5" s="189">
        <v>635871117.79999995</v>
      </c>
      <c r="D5" s="189">
        <v>510550644.99000001</v>
      </c>
      <c r="E5" s="189">
        <v>656962222.69000006</v>
      </c>
      <c r="F5" s="189">
        <v>443688282.63999999</v>
      </c>
      <c r="G5" s="189">
        <v>299980698.79000002</v>
      </c>
      <c r="H5" s="189">
        <v>166174682</v>
      </c>
      <c r="I5" s="189">
        <v>422828408.99000001</v>
      </c>
      <c r="J5" s="189">
        <v>302552067.70999998</v>
      </c>
      <c r="K5" s="189">
        <v>264374100</v>
      </c>
      <c r="L5" s="189">
        <v>130457865.09</v>
      </c>
      <c r="M5" s="189">
        <v>520948690</v>
      </c>
      <c r="N5" s="189">
        <v>476590955.45999998</v>
      </c>
      <c r="O5" s="189">
        <v>324438364</v>
      </c>
      <c r="P5" s="189">
        <v>107630714.04000001</v>
      </c>
      <c r="Q5" s="189">
        <v>263841805</v>
      </c>
      <c r="R5" s="189">
        <v>166439199.38</v>
      </c>
      <c r="S5" s="189">
        <v>143078067</v>
      </c>
      <c r="T5" s="189">
        <v>52719938.020000003</v>
      </c>
      <c r="U5" s="189">
        <v>190867953</v>
      </c>
      <c r="V5" s="189">
        <v>155414089</v>
      </c>
      <c r="W5" s="189">
        <v>93816382</v>
      </c>
      <c r="X5" s="189">
        <v>25879804.789999999</v>
      </c>
      <c r="Y5" s="189">
        <v>218741664</v>
      </c>
      <c r="Z5" s="189">
        <v>148137671</v>
      </c>
      <c r="AA5" s="189">
        <v>91773505</v>
      </c>
      <c r="AB5" s="189">
        <v>75716594.420000002</v>
      </c>
      <c r="AC5" s="189">
        <v>200479587</v>
      </c>
      <c r="AD5" s="189">
        <v>171099954.15000001</v>
      </c>
      <c r="AE5" s="189">
        <v>95142013</v>
      </c>
      <c r="AF5" s="189">
        <v>42019935.399999999</v>
      </c>
      <c r="AG5" s="189">
        <v>228254947</v>
      </c>
      <c r="AH5" s="189">
        <v>175847490.66999999</v>
      </c>
      <c r="AI5" s="189">
        <v>119155951.81</v>
      </c>
      <c r="AJ5" s="189">
        <v>71893652.579999998</v>
      </c>
      <c r="AK5" s="189">
        <v>166326880.69</v>
      </c>
      <c r="AL5" s="189">
        <v>128090581.84999999</v>
      </c>
      <c r="AM5" s="189">
        <v>88495229.310000002</v>
      </c>
      <c r="AN5" s="189">
        <v>62120538.359999999</v>
      </c>
      <c r="AO5" s="189">
        <v>53146956.890000001</v>
      </c>
      <c r="AP5" s="189">
        <v>40783744.310000002</v>
      </c>
      <c r="AQ5" s="189">
        <v>26063329.039999999</v>
      </c>
      <c r="AR5" s="189">
        <v>7556011.3499999996</v>
      </c>
      <c r="AS5" s="189">
        <v>78034883.719999999</v>
      </c>
      <c r="AT5" s="189">
        <v>53034476.75</v>
      </c>
      <c r="AU5" s="189">
        <v>33229981.16</v>
      </c>
      <c r="AV5" s="189">
        <v>13086618.48</v>
      </c>
      <c r="AW5" s="189">
        <v>23718170.41</v>
      </c>
      <c r="AX5" s="189">
        <v>9222559.8599999994</v>
      </c>
      <c r="AY5" s="189">
        <v>420088.13</v>
      </c>
      <c r="AZ5" s="189">
        <v>171317.76000000001</v>
      </c>
      <c r="BA5" s="189">
        <v>2534684.4500000002</v>
      </c>
      <c r="BB5" s="189">
        <v>2620374.33</v>
      </c>
      <c r="BC5" s="189">
        <v>85689.88</v>
      </c>
      <c r="BD5" s="189">
        <v>85689.88</v>
      </c>
      <c r="BE5" s="189">
        <v>19775824.460000001</v>
      </c>
      <c r="BF5" s="189">
        <v>3484145.48</v>
      </c>
      <c r="BG5" s="189">
        <v>50713.45</v>
      </c>
      <c r="BH5" s="189">
        <v>0</v>
      </c>
      <c r="BI5" s="189">
        <v>1018223.19</v>
      </c>
      <c r="BJ5" s="189">
        <v>0</v>
      </c>
      <c r="BK5" s="189">
        <v>0</v>
      </c>
      <c r="BL5" s="189">
        <v>0</v>
      </c>
      <c r="BM5" s="189">
        <v>749826.13</v>
      </c>
      <c r="BN5" s="189">
        <v>493696.15</v>
      </c>
      <c r="BO5" s="189">
        <v>1803315.04</v>
      </c>
      <c r="BP5" s="189">
        <v>1269459.49</v>
      </c>
      <c r="BQ5" s="189">
        <v>6348674.9299999997</v>
      </c>
      <c r="BR5" s="189">
        <v>3480185.5</v>
      </c>
      <c r="BS5" s="189">
        <v>15280602.66</v>
      </c>
      <c r="BT5" s="189">
        <v>7798725.9000000004</v>
      </c>
      <c r="BU5" s="189">
        <v>0</v>
      </c>
    </row>
    <row r="6" spans="1:73">
      <c r="A6" s="189" t="s">
        <v>222</v>
      </c>
      <c r="B6" s="189">
        <v>532522312.35000002</v>
      </c>
      <c r="C6" s="189">
        <v>439739604.64999998</v>
      </c>
      <c r="D6" s="189">
        <v>357218745.45999998</v>
      </c>
      <c r="E6" s="189">
        <v>1070192145.54</v>
      </c>
      <c r="F6" s="189">
        <v>1033996893.72</v>
      </c>
      <c r="G6" s="189">
        <v>539074532.77999997</v>
      </c>
      <c r="H6" s="189">
        <v>116049002.86</v>
      </c>
      <c r="I6" s="189">
        <v>677148814.05999994</v>
      </c>
      <c r="J6" s="189">
        <v>619677310.21000004</v>
      </c>
      <c r="K6" s="189">
        <v>203361276</v>
      </c>
      <c r="L6" s="189">
        <v>137107896.59999999</v>
      </c>
      <c r="M6" s="189">
        <v>997102847</v>
      </c>
      <c r="N6" s="189">
        <v>519386901.86000001</v>
      </c>
      <c r="O6" s="189">
        <v>410164002</v>
      </c>
      <c r="P6" s="189">
        <v>154095631.43000001</v>
      </c>
      <c r="Q6" s="189">
        <v>408443275</v>
      </c>
      <c r="R6" s="189">
        <v>223400756.25999999</v>
      </c>
      <c r="S6" s="189">
        <v>52050632</v>
      </c>
      <c r="T6" s="189">
        <v>20334584.789999999</v>
      </c>
      <c r="U6" s="189">
        <v>202756773</v>
      </c>
      <c r="V6" s="189">
        <v>86867932</v>
      </c>
      <c r="W6" s="189">
        <v>63402863</v>
      </c>
      <c r="X6" s="189">
        <v>18932126.079999998</v>
      </c>
      <c r="Y6" s="189">
        <v>243952334</v>
      </c>
      <c r="Z6" s="189">
        <v>115988112</v>
      </c>
      <c r="AA6" s="189">
        <v>51652917</v>
      </c>
      <c r="AB6" s="189">
        <v>19177470.809999999</v>
      </c>
      <c r="AC6" s="189">
        <v>353357438</v>
      </c>
      <c r="AD6" s="189">
        <v>102221755.84999999</v>
      </c>
      <c r="AE6" s="189">
        <v>118341806</v>
      </c>
      <c r="AF6" s="189">
        <v>90522489.939999998</v>
      </c>
      <c r="AG6" s="189">
        <v>51354948</v>
      </c>
      <c r="AH6" s="189">
        <v>69676360.299999997</v>
      </c>
      <c r="AI6" s="189">
        <v>63104447.850000001</v>
      </c>
      <c r="AJ6" s="189">
        <v>38607950.539999999</v>
      </c>
      <c r="AK6" s="189">
        <v>156026385.36000001</v>
      </c>
      <c r="AL6" s="189">
        <v>61611662.359999999</v>
      </c>
      <c r="AM6" s="189">
        <v>43912181.189999998</v>
      </c>
      <c r="AN6" s="189">
        <v>33513045.34</v>
      </c>
      <c r="AO6" s="189">
        <v>24029311.890000001</v>
      </c>
      <c r="AP6" s="189">
        <v>8343789.1699999999</v>
      </c>
      <c r="AQ6" s="189">
        <v>12068917.720000001</v>
      </c>
      <c r="AR6" s="189">
        <v>5392824.6600000001</v>
      </c>
      <c r="AS6" s="189">
        <v>9466400.5500000007</v>
      </c>
      <c r="AT6" s="189">
        <v>14152264.939999999</v>
      </c>
      <c r="AU6" s="189">
        <v>9006635.8100000005</v>
      </c>
      <c r="AV6" s="189">
        <v>5125604.74</v>
      </c>
      <c r="AW6" s="189">
        <v>1936441.69</v>
      </c>
      <c r="AX6" s="189">
        <v>13721720</v>
      </c>
      <c r="AY6" s="189">
        <v>4453793.3499999996</v>
      </c>
      <c r="AZ6" s="189">
        <v>2389866.98</v>
      </c>
      <c r="BA6" s="189">
        <v>9134348.6300000008</v>
      </c>
      <c r="BB6" s="189">
        <v>5166133.04</v>
      </c>
      <c r="BC6" s="189">
        <v>3277931.3</v>
      </c>
      <c r="BD6" s="189">
        <v>1864833.15</v>
      </c>
      <c r="BE6" s="189">
        <v>5986715.3799999999</v>
      </c>
      <c r="BF6" s="189">
        <v>4430693.2699999996</v>
      </c>
      <c r="BG6" s="189">
        <v>2115854.9</v>
      </c>
      <c r="BH6" s="189">
        <v>1066088.17</v>
      </c>
      <c r="BI6" s="189">
        <v>2837215.74</v>
      </c>
      <c r="BJ6" s="189">
        <v>8543613.6199999992</v>
      </c>
      <c r="BK6" s="189">
        <v>13500714.41</v>
      </c>
      <c r="BL6" s="189">
        <v>3596275.55</v>
      </c>
      <c r="BM6" s="189">
        <v>2254923.36</v>
      </c>
      <c r="BN6" s="189">
        <v>6165838.2699999996</v>
      </c>
      <c r="BO6" s="189">
        <v>25085492.129999999</v>
      </c>
      <c r="BP6" s="189">
        <v>15303837.140000001</v>
      </c>
      <c r="BQ6" s="189">
        <v>131001</v>
      </c>
      <c r="BR6" s="189">
        <v>4293189.49</v>
      </c>
      <c r="BS6" s="189">
        <v>19579414.960000001</v>
      </c>
      <c r="BT6" s="189">
        <v>7323775.4800000004</v>
      </c>
      <c r="BU6" s="189">
        <v>0</v>
      </c>
    </row>
    <row r="7" spans="1:73">
      <c r="A7" s="189" t="s">
        <v>223</v>
      </c>
      <c r="B7" s="189">
        <v>23812759289.029999</v>
      </c>
      <c r="C7" s="189">
        <v>14747924481.01</v>
      </c>
      <c r="D7" s="189">
        <v>7804879390.6599998</v>
      </c>
      <c r="E7" s="189">
        <v>14938936316.209999</v>
      </c>
      <c r="F7" s="189">
        <v>10927521836.629999</v>
      </c>
      <c r="G7" s="189">
        <v>6521022752.9300003</v>
      </c>
      <c r="H7" s="189">
        <v>3055654376.46</v>
      </c>
      <c r="I7" s="189">
        <v>11519727890.360001</v>
      </c>
      <c r="J7" s="189">
        <v>9927020087.6700001</v>
      </c>
      <c r="K7" s="189">
        <v>5095660024</v>
      </c>
      <c r="L7" s="189">
        <v>2809008290.0500002</v>
      </c>
      <c r="M7" s="189">
        <v>14017877497</v>
      </c>
      <c r="N7" s="189">
        <v>9918583404.1599998</v>
      </c>
      <c r="O7" s="189">
        <v>6336844465</v>
      </c>
      <c r="P7" s="189">
        <v>3489127463.23</v>
      </c>
      <c r="Q7" s="189">
        <v>12051463644</v>
      </c>
      <c r="R7" s="189">
        <v>8489784740.3800001</v>
      </c>
      <c r="S7" s="189">
        <v>2900465058</v>
      </c>
      <c r="T7" s="189">
        <v>1545313118.97</v>
      </c>
      <c r="U7" s="189">
        <v>5572420419</v>
      </c>
      <c r="V7" s="189">
        <v>3920032928</v>
      </c>
      <c r="W7" s="189">
        <v>2595762754</v>
      </c>
      <c r="X7" s="189">
        <v>1410867425.4400001</v>
      </c>
      <c r="Y7" s="189">
        <v>5467091167</v>
      </c>
      <c r="Z7" s="189">
        <v>3760242062</v>
      </c>
      <c r="AA7" s="189">
        <v>2302260521</v>
      </c>
      <c r="AB7" s="189">
        <v>1311742149.04</v>
      </c>
      <c r="AC7" s="189">
        <v>4951946186</v>
      </c>
      <c r="AD7" s="189">
        <v>3534092361.46</v>
      </c>
      <c r="AE7" s="189">
        <v>2309744571</v>
      </c>
      <c r="AF7" s="189">
        <v>1284420121.6400001</v>
      </c>
      <c r="AG7" s="189">
        <v>3318692492</v>
      </c>
      <c r="AH7" s="189">
        <v>2351850856.3000002</v>
      </c>
      <c r="AI7" s="189">
        <v>1432327921.1400001</v>
      </c>
      <c r="AJ7" s="189">
        <v>629054073.15999997</v>
      </c>
      <c r="AK7" s="189">
        <v>2826728569.27</v>
      </c>
      <c r="AL7" s="189">
        <v>1893336787.1300001</v>
      </c>
      <c r="AM7" s="189">
        <v>1097524063.8900001</v>
      </c>
      <c r="AN7" s="189">
        <v>523966271.93000001</v>
      </c>
      <c r="AO7" s="189">
        <v>1835951060.96</v>
      </c>
      <c r="AP7" s="189">
        <v>1303272220.26</v>
      </c>
      <c r="AQ7" s="189">
        <v>975781689.75999999</v>
      </c>
      <c r="AR7" s="189">
        <v>439227273.92000002</v>
      </c>
      <c r="AS7" s="189">
        <v>1859975549.5999999</v>
      </c>
      <c r="AT7" s="189">
        <v>1284157649.5699999</v>
      </c>
      <c r="AU7" s="189">
        <v>850680911.92999995</v>
      </c>
      <c r="AV7" s="189">
        <v>400223178.82999998</v>
      </c>
      <c r="AW7" s="189">
        <v>1546595042.1400001</v>
      </c>
      <c r="AX7" s="189">
        <v>1054534610.38</v>
      </c>
      <c r="AY7" s="189">
        <v>602740972.23000002</v>
      </c>
      <c r="AZ7" s="189">
        <v>329329826.55000001</v>
      </c>
      <c r="BA7" s="189">
        <v>1193902242.5</v>
      </c>
      <c r="BB7" s="189">
        <v>870056045.27999997</v>
      </c>
      <c r="BC7" s="189">
        <v>580678147.69000006</v>
      </c>
      <c r="BD7" s="189">
        <v>271817131.49000001</v>
      </c>
      <c r="BE7" s="189">
        <v>996916225.22000003</v>
      </c>
      <c r="BF7" s="189">
        <v>686217426.99000001</v>
      </c>
      <c r="BG7" s="189">
        <v>432707778.17000002</v>
      </c>
      <c r="BH7" s="189">
        <v>204021891.90000001</v>
      </c>
      <c r="BI7" s="189">
        <v>523567767.17000002</v>
      </c>
      <c r="BJ7" s="189">
        <v>349663664.42000002</v>
      </c>
      <c r="BK7" s="189">
        <v>202958898.15000001</v>
      </c>
      <c r="BL7" s="189">
        <v>83738799.709999993</v>
      </c>
      <c r="BM7" s="189">
        <v>334937226.75999999</v>
      </c>
      <c r="BN7" s="189">
        <v>144089645.61000001</v>
      </c>
      <c r="BO7" s="189">
        <v>336535152.32999998</v>
      </c>
      <c r="BP7" s="189">
        <v>168416409.52000001</v>
      </c>
      <c r="BQ7" s="189">
        <v>321088067.05000001</v>
      </c>
      <c r="BR7" s="189">
        <v>160116742.28999999</v>
      </c>
      <c r="BS7" s="189">
        <v>263570006.38</v>
      </c>
      <c r="BT7" s="189">
        <v>173089293.78</v>
      </c>
      <c r="BU7" s="189">
        <v>0</v>
      </c>
    </row>
    <row r="8" spans="1:73">
      <c r="A8" s="189" t="s">
        <v>224</v>
      </c>
      <c r="B8" s="189">
        <v>17229042580.130001</v>
      </c>
      <c r="C8" s="189">
        <v>11106100027.950001</v>
      </c>
      <c r="D8" s="189">
        <v>5960074196.4899998</v>
      </c>
      <c r="E8" s="189">
        <v>10100446275.02</v>
      </c>
      <c r="F8" s="189">
        <v>7455881039.29</v>
      </c>
      <c r="G8" s="189">
        <v>5149502236.2799997</v>
      </c>
      <c r="H8" s="189">
        <v>3291894637.6799998</v>
      </c>
      <c r="I8" s="189">
        <v>8172613371.3199997</v>
      </c>
      <c r="J8" s="189">
        <v>8136400362.4799995</v>
      </c>
      <c r="K8" s="189">
        <v>5435549318</v>
      </c>
      <c r="L8" s="189">
        <v>3137049638.4200001</v>
      </c>
      <c r="M8" s="189">
        <v>7260221606</v>
      </c>
      <c r="N8" s="189">
        <v>6223413489.7200003</v>
      </c>
      <c r="O8" s="189">
        <v>4155640835</v>
      </c>
      <c r="P8" s="189">
        <v>2075589718.21</v>
      </c>
      <c r="Q8" s="189">
        <v>8168161161</v>
      </c>
      <c r="R8" s="189">
        <v>5686350730.8400002</v>
      </c>
      <c r="S8" s="189">
        <v>2241143828</v>
      </c>
      <c r="T8" s="189">
        <v>1415603001.45</v>
      </c>
      <c r="U8" s="189">
        <v>3301242116</v>
      </c>
      <c r="V8" s="189">
        <v>2889954498</v>
      </c>
      <c r="W8" s="189">
        <v>1789365615</v>
      </c>
      <c r="X8" s="189">
        <v>1103424016.9000001</v>
      </c>
      <c r="Y8" s="189">
        <v>3825295448</v>
      </c>
      <c r="Z8" s="189">
        <v>2744493823</v>
      </c>
      <c r="AA8" s="189">
        <v>1647649229</v>
      </c>
      <c r="AB8" s="189">
        <v>806775379.73000002</v>
      </c>
      <c r="AC8" s="189">
        <v>3661148711</v>
      </c>
      <c r="AD8" s="189">
        <v>2599098688.8899999</v>
      </c>
      <c r="AE8" s="189">
        <v>1788744326</v>
      </c>
      <c r="AF8" s="189">
        <v>1027952337.08</v>
      </c>
      <c r="AG8" s="189">
        <v>2274762782</v>
      </c>
      <c r="AH8" s="189">
        <v>1737718476.0799999</v>
      </c>
      <c r="AI8" s="189">
        <v>1013354931.63</v>
      </c>
      <c r="AJ8" s="189">
        <v>472765480.17000002</v>
      </c>
      <c r="AK8" s="189">
        <v>1819239846.21</v>
      </c>
      <c r="AL8" s="189">
        <v>1175415650.27</v>
      </c>
      <c r="AM8" s="189">
        <v>660981061.78999996</v>
      </c>
      <c r="AN8" s="189">
        <v>327103097.88</v>
      </c>
      <c r="AO8" s="189">
        <v>1271717616.6900001</v>
      </c>
      <c r="AP8" s="189">
        <v>852807906.61000001</v>
      </c>
      <c r="AQ8" s="189">
        <v>671482708.80999994</v>
      </c>
      <c r="AR8" s="189">
        <v>379114940.00999999</v>
      </c>
      <c r="AS8" s="189">
        <v>1467160249.6900001</v>
      </c>
      <c r="AT8" s="189">
        <v>1007799558.46</v>
      </c>
      <c r="AU8" s="189">
        <v>620612416.10000002</v>
      </c>
      <c r="AV8" s="189">
        <v>272319548.22000003</v>
      </c>
      <c r="AW8" s="189">
        <v>1073192086.86</v>
      </c>
      <c r="AX8" s="189">
        <v>652009392.13</v>
      </c>
      <c r="AY8" s="189">
        <v>402572245.10000002</v>
      </c>
      <c r="AZ8" s="189">
        <v>193446855.33000001</v>
      </c>
      <c r="BA8" s="189">
        <v>902404583.22000003</v>
      </c>
      <c r="BB8" s="189">
        <v>626128087.99000001</v>
      </c>
      <c r="BC8" s="189">
        <v>429237399.97000003</v>
      </c>
      <c r="BD8" s="189">
        <v>234977379.31999999</v>
      </c>
      <c r="BE8" s="189">
        <v>783848344.76999998</v>
      </c>
      <c r="BF8" s="189">
        <v>569016324.75999999</v>
      </c>
      <c r="BG8" s="189">
        <v>341402074.27999997</v>
      </c>
      <c r="BH8" s="189">
        <v>125874718.47</v>
      </c>
      <c r="BI8" s="189">
        <v>390819418.20999998</v>
      </c>
      <c r="BJ8" s="189">
        <v>234024550.81999999</v>
      </c>
      <c r="BK8" s="189">
        <v>165026862.41999999</v>
      </c>
      <c r="BL8" s="189">
        <v>52390093.060000002</v>
      </c>
      <c r="BM8" s="189">
        <v>186539373.75999999</v>
      </c>
      <c r="BN8" s="189">
        <v>70051429.969999999</v>
      </c>
      <c r="BO8" s="189">
        <v>197194777.06</v>
      </c>
      <c r="BP8" s="189">
        <v>97712935.590000004</v>
      </c>
      <c r="BQ8" s="189">
        <v>247761735.62</v>
      </c>
      <c r="BR8" s="189">
        <v>115247133.2</v>
      </c>
      <c r="BS8" s="189">
        <v>243114493.53</v>
      </c>
      <c r="BT8" s="189">
        <v>92177247.629999995</v>
      </c>
      <c r="BU8" s="189">
        <v>0</v>
      </c>
    </row>
    <row r="9" spans="1:73">
      <c r="A9" s="189" t="s">
        <v>225</v>
      </c>
      <c r="B9" s="189">
        <v>2639416350.6900001</v>
      </c>
      <c r="C9" s="189">
        <v>1664765363.27</v>
      </c>
      <c r="D9" s="189">
        <v>866537857.82000005</v>
      </c>
      <c r="E9" s="189">
        <v>1732662650.1600001</v>
      </c>
      <c r="F9" s="189">
        <v>1279639732.8099999</v>
      </c>
      <c r="G9" s="189">
        <v>835007505.34000003</v>
      </c>
      <c r="H9" s="189">
        <v>420463736.94</v>
      </c>
      <c r="I9" s="189">
        <v>1525633416.9400001</v>
      </c>
      <c r="J9" s="189">
        <v>1292271785.4300001</v>
      </c>
      <c r="K9" s="189">
        <v>851972531</v>
      </c>
      <c r="L9" s="189">
        <v>461993800.81</v>
      </c>
      <c r="M9" s="189">
        <v>1574130293</v>
      </c>
      <c r="N9" s="189">
        <v>1303201291.05</v>
      </c>
      <c r="O9" s="189">
        <v>854779314</v>
      </c>
      <c r="P9" s="189">
        <v>431619719.14999998</v>
      </c>
      <c r="Q9" s="189">
        <v>1317000965</v>
      </c>
      <c r="R9" s="189">
        <v>998827407.84000003</v>
      </c>
      <c r="S9" s="189">
        <v>345891204</v>
      </c>
      <c r="T9" s="189">
        <v>184646822.11000001</v>
      </c>
      <c r="U9" s="189">
        <v>574283008</v>
      </c>
      <c r="V9" s="189">
        <v>429058180</v>
      </c>
      <c r="W9" s="189">
        <v>279202573</v>
      </c>
      <c r="X9" s="189">
        <v>148040682.31999999</v>
      </c>
      <c r="Y9" s="189">
        <v>511306058</v>
      </c>
      <c r="Z9" s="189">
        <v>380735236</v>
      </c>
      <c r="AA9" s="189">
        <v>247151058</v>
      </c>
      <c r="AB9" s="189">
        <v>125359901.73</v>
      </c>
      <c r="AC9" s="189">
        <v>451575122</v>
      </c>
      <c r="AD9" s="189">
        <v>334105940.60000002</v>
      </c>
      <c r="AE9" s="189">
        <v>234898483</v>
      </c>
      <c r="AF9" s="189">
        <v>103745519.37</v>
      </c>
      <c r="AG9" s="189">
        <v>369361575</v>
      </c>
      <c r="AH9" s="189">
        <v>232883330.72999999</v>
      </c>
      <c r="AI9" s="189">
        <v>153526258.90000001</v>
      </c>
      <c r="AJ9" s="189">
        <v>77707225.019999996</v>
      </c>
      <c r="AK9" s="189">
        <v>259087950.24000001</v>
      </c>
      <c r="AL9" s="189">
        <v>193473640.37</v>
      </c>
      <c r="AM9" s="189">
        <v>127030063.98</v>
      </c>
      <c r="AN9" s="189">
        <v>64641378.380000003</v>
      </c>
      <c r="AO9" s="189">
        <v>185304133.37</v>
      </c>
      <c r="AP9" s="189">
        <v>118182648.68000001</v>
      </c>
      <c r="AQ9" s="189">
        <v>78409933.239999995</v>
      </c>
      <c r="AR9" s="189">
        <v>37507361.920000002</v>
      </c>
      <c r="AS9" s="189">
        <v>155762495.88</v>
      </c>
      <c r="AT9" s="189">
        <v>105094856.5</v>
      </c>
      <c r="AU9" s="189">
        <v>69087037.409999996</v>
      </c>
      <c r="AV9" s="189">
        <v>35125320.729999997</v>
      </c>
      <c r="AW9" s="189">
        <v>137784134.84999999</v>
      </c>
      <c r="AX9" s="189">
        <v>81473088.810000002</v>
      </c>
      <c r="AY9" s="189">
        <v>51338520.640000001</v>
      </c>
      <c r="AZ9" s="189">
        <v>22327968.719999999</v>
      </c>
      <c r="BA9" s="189">
        <v>84712303.349999994</v>
      </c>
      <c r="BB9" s="189">
        <v>67423487.150000006</v>
      </c>
      <c r="BC9" s="189">
        <v>45721840.149999999</v>
      </c>
      <c r="BD9" s="189">
        <v>21823607.399999999</v>
      </c>
      <c r="BE9" s="189">
        <v>77204435.420000002</v>
      </c>
      <c r="BF9" s="189">
        <v>54270310.25</v>
      </c>
      <c r="BG9" s="189">
        <v>34894921.93</v>
      </c>
      <c r="BH9" s="189">
        <v>15679131.560000001</v>
      </c>
      <c r="BI9" s="189">
        <v>43811908.990000002</v>
      </c>
      <c r="BJ9" s="189">
        <v>27190302.640000001</v>
      </c>
      <c r="BK9" s="189">
        <v>20189488.949999999</v>
      </c>
      <c r="BL9" s="189">
        <v>9021201.75</v>
      </c>
      <c r="BM9" s="189">
        <v>30605638.809999999</v>
      </c>
      <c r="BN9" s="189">
        <v>12156995.1</v>
      </c>
      <c r="BO9" s="189">
        <v>5829686.0800000001</v>
      </c>
      <c r="BP9" s="189">
        <v>13131598.27</v>
      </c>
      <c r="BQ9" s="189">
        <v>25709706.129999999</v>
      </c>
      <c r="BR9" s="189">
        <v>17026023</v>
      </c>
      <c r="BS9" s="189">
        <v>17152049.699999999</v>
      </c>
      <c r="BT9" s="189">
        <v>12828004.08</v>
      </c>
      <c r="BU9" s="189">
        <v>0</v>
      </c>
    </row>
    <row r="10" spans="1:73">
      <c r="A10" s="189" t="s">
        <v>226</v>
      </c>
      <c r="B10" s="189">
        <v>700807824.97000003</v>
      </c>
      <c r="C10" s="189">
        <v>365658223.11000001</v>
      </c>
      <c r="D10" s="189">
        <v>108614316.22</v>
      </c>
      <c r="E10" s="189">
        <v>241800816.38999999</v>
      </c>
      <c r="F10" s="189">
        <v>237646434.16999999</v>
      </c>
      <c r="G10" s="189">
        <v>183030623.71000001</v>
      </c>
      <c r="H10" s="189">
        <v>105772484.73999999</v>
      </c>
      <c r="I10" s="189">
        <v>262253694.06999999</v>
      </c>
      <c r="J10" s="189">
        <v>227492816.03999999</v>
      </c>
      <c r="K10" s="189">
        <v>152597130</v>
      </c>
      <c r="L10" s="189">
        <v>44137401.619999997</v>
      </c>
      <c r="M10" s="189">
        <v>259535154</v>
      </c>
      <c r="N10" s="189">
        <v>183848196.80000001</v>
      </c>
      <c r="O10" s="189">
        <v>135939246</v>
      </c>
      <c r="P10" s="189">
        <v>66189017.840000004</v>
      </c>
      <c r="Q10" s="189">
        <v>462598864</v>
      </c>
      <c r="R10" s="189">
        <v>196411178.13</v>
      </c>
      <c r="S10" s="189">
        <v>28965647</v>
      </c>
      <c r="T10" s="189">
        <v>15621346.24</v>
      </c>
      <c r="U10" s="189">
        <v>52045371</v>
      </c>
      <c r="V10" s="189">
        <v>32579291</v>
      </c>
      <c r="W10" s="189">
        <v>23169583</v>
      </c>
      <c r="X10" s="189">
        <v>9624812.0199999996</v>
      </c>
      <c r="Y10" s="189">
        <v>113388415</v>
      </c>
      <c r="Z10" s="189">
        <v>120639501</v>
      </c>
      <c r="AA10" s="189">
        <v>106926163</v>
      </c>
      <c r="AB10" s="189">
        <v>29002955.190000001</v>
      </c>
      <c r="AC10" s="189">
        <v>108163552</v>
      </c>
      <c r="AD10" s="189">
        <v>153712073.11000001</v>
      </c>
      <c r="AE10" s="189">
        <v>77506504</v>
      </c>
      <c r="AF10" s="189">
        <v>58338083.770000003</v>
      </c>
      <c r="AG10" s="189">
        <v>91864875</v>
      </c>
      <c r="AH10" s="189">
        <v>84366695.959999993</v>
      </c>
      <c r="AI10" s="189">
        <v>37392350.060000002</v>
      </c>
      <c r="AJ10" s="189">
        <v>18408657.52</v>
      </c>
      <c r="AK10" s="189">
        <v>77253408.540000007</v>
      </c>
      <c r="AL10" s="189">
        <v>50066085.43</v>
      </c>
      <c r="AM10" s="189">
        <v>34113375.520000003</v>
      </c>
      <c r="AN10" s="189">
        <v>17697227.84</v>
      </c>
      <c r="AO10" s="189">
        <v>39681212.060000002</v>
      </c>
      <c r="AP10" s="189">
        <v>35063466.920000002</v>
      </c>
      <c r="AQ10" s="189">
        <v>25653458.18</v>
      </c>
      <c r="AR10" s="189">
        <v>13165814.699999999</v>
      </c>
      <c r="AS10" s="189">
        <v>43052542.109999999</v>
      </c>
      <c r="AT10" s="189">
        <v>32036084.789999999</v>
      </c>
      <c r="AU10" s="189">
        <v>22264384.41</v>
      </c>
      <c r="AV10" s="189">
        <v>16491231.029999999</v>
      </c>
      <c r="AW10" s="189">
        <v>45199373.270000003</v>
      </c>
      <c r="AX10" s="189">
        <v>26105342.07</v>
      </c>
      <c r="AY10" s="189">
        <v>10710380.939999999</v>
      </c>
      <c r="AZ10" s="189">
        <v>4348090.41</v>
      </c>
      <c r="BA10" s="189">
        <v>47037114.840000004</v>
      </c>
      <c r="BB10" s="189">
        <v>27795541.989999998</v>
      </c>
      <c r="BC10" s="189">
        <v>19381458.579999998</v>
      </c>
      <c r="BD10" s="189">
        <v>10499286.57</v>
      </c>
      <c r="BE10" s="189">
        <v>36248023.850000001</v>
      </c>
      <c r="BF10" s="189">
        <v>33603481.079999998</v>
      </c>
      <c r="BG10" s="189">
        <v>26720805.309999999</v>
      </c>
      <c r="BH10" s="189">
        <v>11073396.23</v>
      </c>
      <c r="BI10" s="189">
        <v>26955147.780000001</v>
      </c>
      <c r="BJ10" s="189">
        <v>39195516.859999999</v>
      </c>
      <c r="BK10" s="189">
        <v>2576939.87</v>
      </c>
      <c r="BL10" s="189">
        <v>855059.19</v>
      </c>
      <c r="BM10" s="189">
        <v>24603461.780000001</v>
      </c>
      <c r="BN10" s="189">
        <v>12759469.07</v>
      </c>
      <c r="BO10" s="189">
        <v>16269946.630000001</v>
      </c>
      <c r="BP10" s="189">
        <v>6394308.54</v>
      </c>
      <c r="BQ10" s="189">
        <v>14361474.449999999</v>
      </c>
      <c r="BR10" s="189">
        <v>3054485.15</v>
      </c>
      <c r="BS10" s="189">
        <v>13494773.83</v>
      </c>
      <c r="BT10" s="189">
        <v>8899120.9199999999</v>
      </c>
      <c r="BU10" s="189">
        <v>0</v>
      </c>
    </row>
    <row r="11" spans="1:73">
      <c r="A11" s="189" t="s">
        <v>227</v>
      </c>
      <c r="B11" s="189">
        <v>995983708.23000002</v>
      </c>
      <c r="C11" s="189">
        <v>655228276.75</v>
      </c>
      <c r="D11" s="189">
        <v>355067896.76999998</v>
      </c>
      <c r="E11" s="189">
        <v>942823192.63999999</v>
      </c>
      <c r="F11" s="189">
        <v>657861563.57000005</v>
      </c>
      <c r="G11" s="189">
        <v>487236980.60000002</v>
      </c>
      <c r="H11" s="189">
        <v>169404198.96000001</v>
      </c>
      <c r="I11" s="189">
        <v>578620419.41999996</v>
      </c>
      <c r="J11" s="189">
        <v>687463142.49000001</v>
      </c>
      <c r="K11" s="189">
        <v>234664841</v>
      </c>
      <c r="L11" s="189">
        <v>178391061.41999999</v>
      </c>
      <c r="M11" s="189">
        <v>464912414</v>
      </c>
      <c r="N11" s="189">
        <v>538251876.89999998</v>
      </c>
      <c r="O11" s="189">
        <v>353727338</v>
      </c>
      <c r="P11" s="189">
        <v>232120275.06999999</v>
      </c>
      <c r="Q11" s="189">
        <v>718018875</v>
      </c>
      <c r="R11" s="189">
        <v>591947717.19000006</v>
      </c>
      <c r="S11" s="189">
        <v>147208738</v>
      </c>
      <c r="T11" s="189">
        <v>61307808.75</v>
      </c>
      <c r="U11" s="189">
        <v>223162608</v>
      </c>
      <c r="V11" s="189">
        <v>144726021</v>
      </c>
      <c r="W11" s="189">
        <v>89663855</v>
      </c>
      <c r="X11" s="189">
        <v>40603719.810000002</v>
      </c>
      <c r="Y11" s="189">
        <v>200155167</v>
      </c>
      <c r="Z11" s="189">
        <v>172510216</v>
      </c>
      <c r="AA11" s="189">
        <v>102702256</v>
      </c>
      <c r="AB11" s="189">
        <v>62208126.609999999</v>
      </c>
      <c r="AC11" s="189">
        <v>198101556</v>
      </c>
      <c r="AD11" s="189">
        <v>186119506.69999999</v>
      </c>
      <c r="AE11" s="189">
        <v>99242156</v>
      </c>
      <c r="AF11" s="189">
        <v>89401274.980000004</v>
      </c>
      <c r="AG11" s="189">
        <v>227256907</v>
      </c>
      <c r="AH11" s="189">
        <v>152671500.34</v>
      </c>
      <c r="AI11" s="189">
        <v>89426855.879999995</v>
      </c>
      <c r="AJ11" s="189">
        <v>59115187.939999998</v>
      </c>
      <c r="AK11" s="189">
        <v>235069371.16999999</v>
      </c>
      <c r="AL11" s="189">
        <v>179937181.49000001</v>
      </c>
      <c r="AM11" s="189">
        <v>121538625.72</v>
      </c>
      <c r="AN11" s="189">
        <v>61930159.310000002</v>
      </c>
      <c r="AO11" s="189">
        <v>115751419.37</v>
      </c>
      <c r="AP11" s="189">
        <v>90271551.260000005</v>
      </c>
      <c r="AQ11" s="189">
        <v>56724194.659999996</v>
      </c>
      <c r="AR11" s="189">
        <v>32339026.84</v>
      </c>
      <c r="AS11" s="189">
        <v>75958011.890000001</v>
      </c>
      <c r="AT11" s="189">
        <v>77825946.019999996</v>
      </c>
      <c r="AU11" s="189">
        <v>51031776.670000002</v>
      </c>
      <c r="AV11" s="189">
        <v>23221507.48</v>
      </c>
      <c r="AW11" s="189">
        <v>70912989.599999994</v>
      </c>
      <c r="AX11" s="189">
        <v>83778431.579999998</v>
      </c>
      <c r="AY11" s="189">
        <v>52977155.25</v>
      </c>
      <c r="AZ11" s="189">
        <v>21076615.850000001</v>
      </c>
      <c r="BA11" s="189">
        <v>57021360.880000003</v>
      </c>
      <c r="BB11" s="189">
        <v>50235864.93</v>
      </c>
      <c r="BC11" s="189">
        <v>35816590.619999997</v>
      </c>
      <c r="BD11" s="189">
        <v>15153084.43</v>
      </c>
      <c r="BE11" s="189">
        <v>60807557.909999996</v>
      </c>
      <c r="BF11" s="189">
        <v>42846636.590000004</v>
      </c>
      <c r="BG11" s="189">
        <v>27337884.809999999</v>
      </c>
      <c r="BH11" s="189">
        <v>12990682.039999999</v>
      </c>
      <c r="BI11" s="189">
        <v>61550872.68</v>
      </c>
      <c r="BJ11" s="189">
        <v>48695986.880000003</v>
      </c>
      <c r="BK11" s="189">
        <v>20886967.140000001</v>
      </c>
      <c r="BL11" s="189">
        <v>11333593.98</v>
      </c>
      <c r="BM11" s="189">
        <v>45589886.390000001</v>
      </c>
      <c r="BN11" s="189">
        <v>25241189.140000001</v>
      </c>
      <c r="BO11" s="189">
        <v>38206019.049999997</v>
      </c>
      <c r="BP11" s="189">
        <v>30383021.82</v>
      </c>
      <c r="BQ11" s="189">
        <v>23931604.309999999</v>
      </c>
      <c r="BR11" s="189">
        <v>20350903.73</v>
      </c>
      <c r="BS11" s="189">
        <v>12747852.609999999</v>
      </c>
      <c r="BT11" s="189">
        <v>49538613.390000001</v>
      </c>
      <c r="BU11" s="189">
        <v>0</v>
      </c>
    </row>
    <row r="12" spans="1:73">
      <c r="A12" s="189" t="s">
        <v>228</v>
      </c>
      <c r="B12" s="189">
        <v>21565250464.02</v>
      </c>
      <c r="C12" s="189">
        <v>13791751891.08</v>
      </c>
      <c r="D12" s="189">
        <v>7290294267.3000002</v>
      </c>
      <c r="E12" s="189">
        <v>13017732934.209999</v>
      </c>
      <c r="F12" s="189">
        <v>9631028769.8400002</v>
      </c>
      <c r="G12" s="189">
        <v>6654777345.9300003</v>
      </c>
      <c r="H12" s="189">
        <v>3987535058.3200002</v>
      </c>
      <c r="I12" s="189">
        <v>10539120901.75</v>
      </c>
      <c r="J12" s="189">
        <v>10343628106.440001</v>
      </c>
      <c r="K12" s="189">
        <v>6674783820</v>
      </c>
      <c r="L12" s="189">
        <v>3821571902.27</v>
      </c>
      <c r="M12" s="189">
        <v>9558799467</v>
      </c>
      <c r="N12" s="189">
        <v>8248714854.4700003</v>
      </c>
      <c r="O12" s="189">
        <v>5500086733</v>
      </c>
      <c r="P12" s="189">
        <v>2805518730.27</v>
      </c>
      <c r="Q12" s="189">
        <v>10665779865</v>
      </c>
      <c r="R12" s="189">
        <v>7473537034</v>
      </c>
      <c r="S12" s="189">
        <v>2763209417</v>
      </c>
      <c r="T12" s="189">
        <v>1677178978.55</v>
      </c>
      <c r="U12" s="189">
        <v>4150733103</v>
      </c>
      <c r="V12" s="189">
        <v>3496317990</v>
      </c>
      <c r="W12" s="189">
        <v>2181401626</v>
      </c>
      <c r="X12" s="189">
        <v>1301693231.05</v>
      </c>
      <c r="Y12" s="189">
        <v>4650145088</v>
      </c>
      <c r="Z12" s="189">
        <v>3418378776</v>
      </c>
      <c r="AA12" s="189">
        <v>2104428706</v>
      </c>
      <c r="AB12" s="189">
        <v>1023346363.26</v>
      </c>
      <c r="AC12" s="189">
        <v>4418988941</v>
      </c>
      <c r="AD12" s="189">
        <v>3273036209.3000002</v>
      </c>
      <c r="AE12" s="189">
        <v>2200391469</v>
      </c>
      <c r="AF12" s="189">
        <v>1279437215.2</v>
      </c>
      <c r="AG12" s="189">
        <v>2963246139</v>
      </c>
      <c r="AH12" s="189">
        <v>2207640003.1100001</v>
      </c>
      <c r="AI12" s="189">
        <v>1293700396.47</v>
      </c>
      <c r="AJ12" s="189">
        <v>627996550.64999998</v>
      </c>
      <c r="AK12" s="189">
        <v>2390650576.1599998</v>
      </c>
      <c r="AL12" s="189">
        <v>1598892557.5599999</v>
      </c>
      <c r="AM12" s="189">
        <v>943663127.00999999</v>
      </c>
      <c r="AN12" s="189">
        <v>471371863.41000003</v>
      </c>
      <c r="AO12" s="189">
        <v>1612454381.49</v>
      </c>
      <c r="AP12" s="189">
        <v>1096325573.47</v>
      </c>
      <c r="AQ12" s="189">
        <v>832270294.88999999</v>
      </c>
      <c r="AR12" s="189">
        <v>462127143.47000003</v>
      </c>
      <c r="AS12" s="189">
        <v>1741933299.5699999</v>
      </c>
      <c r="AT12" s="189">
        <v>1222756445.77</v>
      </c>
      <c r="AU12" s="189">
        <v>762995614.59000003</v>
      </c>
      <c r="AV12" s="189">
        <v>347157607.45999998</v>
      </c>
      <c r="AW12" s="189">
        <v>1327088584.5799999</v>
      </c>
      <c r="AX12" s="189">
        <v>843366254.59000003</v>
      </c>
      <c r="AY12" s="189">
        <v>517598301.93000001</v>
      </c>
      <c r="AZ12" s="189">
        <v>241199530.31</v>
      </c>
      <c r="BA12" s="189">
        <v>1091175362.29</v>
      </c>
      <c r="BB12" s="189">
        <v>771582982.05999994</v>
      </c>
      <c r="BC12" s="189">
        <v>530157289.31999999</v>
      </c>
      <c r="BD12" s="189">
        <v>282453357.72000003</v>
      </c>
      <c r="BE12" s="189">
        <v>958108361.95000005</v>
      </c>
      <c r="BF12" s="189">
        <v>699736752.67999995</v>
      </c>
      <c r="BG12" s="189">
        <v>430355686.32999998</v>
      </c>
      <c r="BH12" s="189">
        <v>165617928.30000001</v>
      </c>
      <c r="BI12" s="189">
        <v>523137347.66000003</v>
      </c>
      <c r="BJ12" s="189">
        <v>349106357.19999999</v>
      </c>
      <c r="BK12" s="189">
        <v>208680258.38</v>
      </c>
      <c r="BL12" s="189">
        <v>73599947.980000004</v>
      </c>
      <c r="BM12" s="189">
        <v>287338360.74000001</v>
      </c>
      <c r="BN12" s="189">
        <v>120209083.28</v>
      </c>
      <c r="BO12" s="189">
        <v>257500428.81999999</v>
      </c>
      <c r="BP12" s="189">
        <v>147621864.22</v>
      </c>
      <c r="BQ12" s="189">
        <v>311764520.50999999</v>
      </c>
      <c r="BR12" s="189">
        <v>155678545.08000001</v>
      </c>
      <c r="BS12" s="189">
        <v>286509169.67000002</v>
      </c>
      <c r="BT12" s="189">
        <v>163442986.02000001</v>
      </c>
      <c r="BU12" s="189">
        <v>0</v>
      </c>
    </row>
    <row r="13" spans="1:73">
      <c r="A13" s="189" t="s">
        <v>229</v>
      </c>
      <c r="B13" s="189">
        <v>2247508825.0100002</v>
      </c>
      <c r="C13" s="189">
        <v>956172589.92999995</v>
      </c>
      <c r="D13" s="189">
        <v>514585123.36000001</v>
      </c>
      <c r="E13" s="189">
        <v>1921203382</v>
      </c>
      <c r="F13" s="189">
        <v>1296493066.79</v>
      </c>
      <c r="G13" s="189">
        <v>-133754593</v>
      </c>
      <c r="H13" s="189">
        <v>-931880681.86000001</v>
      </c>
      <c r="I13" s="189">
        <v>980606988.61000001</v>
      </c>
      <c r="J13" s="189">
        <v>-416608018.76999998</v>
      </c>
      <c r="K13" s="189">
        <v>-1579123796</v>
      </c>
      <c r="L13" s="189">
        <v>-1012563612.22</v>
      </c>
      <c r="M13" s="189">
        <v>4459078030</v>
      </c>
      <c r="N13" s="189">
        <v>1669868549.6900001</v>
      </c>
      <c r="O13" s="189">
        <v>836757732</v>
      </c>
      <c r="P13" s="189">
        <v>683608732.96000004</v>
      </c>
      <c r="Q13" s="189">
        <v>1385683779</v>
      </c>
      <c r="R13" s="189">
        <v>1016247706.38</v>
      </c>
      <c r="S13" s="189">
        <v>137255641</v>
      </c>
      <c r="T13" s="189">
        <v>-131865859.58</v>
      </c>
      <c r="U13" s="189">
        <v>1421687316</v>
      </c>
      <c r="V13" s="189">
        <v>423714938</v>
      </c>
      <c r="W13" s="189">
        <v>414361128</v>
      </c>
      <c r="X13" s="189">
        <v>109174194.39</v>
      </c>
      <c r="Y13" s="189">
        <v>816946079</v>
      </c>
      <c r="Z13" s="189">
        <v>341863286</v>
      </c>
      <c r="AA13" s="189">
        <v>197831815</v>
      </c>
      <c r="AB13" s="189">
        <v>288395785.77999997</v>
      </c>
      <c r="AC13" s="189">
        <v>532957245</v>
      </c>
      <c r="AD13" s="189">
        <v>261056152.16</v>
      </c>
      <c r="AE13" s="189">
        <v>109353102</v>
      </c>
      <c r="AF13" s="189">
        <v>4982906.4400000004</v>
      </c>
      <c r="AG13" s="189">
        <v>355446353</v>
      </c>
      <c r="AH13" s="189">
        <v>144210853.19</v>
      </c>
      <c r="AI13" s="189">
        <v>138627524.66999999</v>
      </c>
      <c r="AJ13" s="189">
        <v>1057522.51</v>
      </c>
      <c r="AK13" s="189">
        <v>436077993.11000001</v>
      </c>
      <c r="AL13" s="189">
        <v>294444229.56999999</v>
      </c>
      <c r="AM13" s="189">
        <v>153860936.88</v>
      </c>
      <c r="AN13" s="189">
        <v>52594408.520000003</v>
      </c>
      <c r="AO13" s="189">
        <v>223496679.47</v>
      </c>
      <c r="AP13" s="189">
        <v>206946646.78999999</v>
      </c>
      <c r="AQ13" s="189">
        <v>143511394.87</v>
      </c>
      <c r="AR13" s="189">
        <v>-22899869.550000001</v>
      </c>
      <c r="AS13" s="189">
        <v>118042250.03</v>
      </c>
      <c r="AT13" s="189">
        <v>61401203.799999997</v>
      </c>
      <c r="AU13" s="189">
        <v>87685297.340000004</v>
      </c>
      <c r="AV13" s="189">
        <v>53065571.369999997</v>
      </c>
      <c r="AW13" s="189">
        <v>219506457.56</v>
      </c>
      <c r="AX13" s="189">
        <v>211168355.78999999</v>
      </c>
      <c r="AY13" s="189">
        <v>85142670.299999997</v>
      </c>
      <c r="AZ13" s="189">
        <v>88130296.239999995</v>
      </c>
      <c r="BA13" s="189">
        <v>102726880.20999999</v>
      </c>
      <c r="BB13" s="189">
        <v>98473063.219999999</v>
      </c>
      <c r="BC13" s="189">
        <v>50520858.369999997</v>
      </c>
      <c r="BD13" s="189">
        <v>-10636226.23</v>
      </c>
      <c r="BE13" s="189">
        <v>38807863.270000003</v>
      </c>
      <c r="BF13" s="189">
        <v>-13519325.689999999</v>
      </c>
      <c r="BG13" s="189">
        <v>2352091.84</v>
      </c>
      <c r="BH13" s="189">
        <v>38403963.600000001</v>
      </c>
      <c r="BI13" s="189">
        <v>430419.51</v>
      </c>
      <c r="BJ13" s="189">
        <v>557307.22</v>
      </c>
      <c r="BK13" s="189">
        <v>-5721360.2300000004</v>
      </c>
      <c r="BL13" s="189">
        <v>10138851.73</v>
      </c>
      <c r="BM13" s="189">
        <v>47598866.020000003</v>
      </c>
      <c r="BN13" s="189">
        <v>23880562.329999998</v>
      </c>
      <c r="BO13" s="189">
        <v>79034723.510000005</v>
      </c>
      <c r="BP13" s="189">
        <v>20794545.300000001</v>
      </c>
      <c r="BQ13" s="189">
        <v>9323546.5399999991</v>
      </c>
      <c r="BR13" s="189">
        <v>4438197.21</v>
      </c>
      <c r="BS13" s="189">
        <v>-22939163.289999999</v>
      </c>
      <c r="BT13" s="189">
        <v>9646307.7599999998</v>
      </c>
      <c r="BU13" s="189">
        <v>0</v>
      </c>
    </row>
    <row r="14" spans="1:73">
      <c r="A14" s="189" t="s">
        <v>230</v>
      </c>
    </row>
    <row r="15" spans="1:73">
      <c r="A15" s="189" t="s">
        <v>231</v>
      </c>
      <c r="B15" s="189">
        <v>0</v>
      </c>
      <c r="C15" s="189">
        <v>0</v>
      </c>
      <c r="D15" s="189">
        <v>0</v>
      </c>
      <c r="E15" s="189">
        <v>0</v>
      </c>
      <c r="F15" s="189">
        <v>0</v>
      </c>
      <c r="G15" s="189">
        <v>0</v>
      </c>
      <c r="H15" s="189">
        <v>0</v>
      </c>
      <c r="I15" s="189">
        <v>0</v>
      </c>
      <c r="J15" s="189">
        <v>0</v>
      </c>
      <c r="K15" s="189">
        <v>0</v>
      </c>
      <c r="L15" s="189">
        <v>0</v>
      </c>
      <c r="M15" s="189">
        <v>0</v>
      </c>
      <c r="N15" s="189">
        <v>3234750</v>
      </c>
      <c r="O15" s="189">
        <v>3234750</v>
      </c>
      <c r="P15" s="189">
        <v>3234750</v>
      </c>
      <c r="Q15" s="189">
        <v>652699944</v>
      </c>
      <c r="R15" s="189">
        <v>75000000</v>
      </c>
      <c r="S15" s="189">
        <v>75000000</v>
      </c>
      <c r="T15" s="189">
        <v>75000000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89789925.25</v>
      </c>
      <c r="AP15" s="189">
        <v>40661722.530000001</v>
      </c>
      <c r="AQ15" s="189">
        <v>40661722.530000001</v>
      </c>
      <c r="AR15" s="189">
        <v>0</v>
      </c>
      <c r="AS15" s="189">
        <v>3316376.25</v>
      </c>
      <c r="AT15" s="189">
        <v>3316376.25</v>
      </c>
      <c r="AU15" s="189">
        <v>3316376.25</v>
      </c>
      <c r="AV15" s="189">
        <v>0</v>
      </c>
      <c r="AW15" s="189">
        <v>1808932.5</v>
      </c>
      <c r="AX15" s="189">
        <v>0</v>
      </c>
      <c r="AY15" s="189">
        <v>0</v>
      </c>
      <c r="AZ15" s="189">
        <v>0</v>
      </c>
      <c r="BA15" s="189">
        <v>313330.27</v>
      </c>
      <c r="BB15" s="189">
        <v>313330.27</v>
      </c>
      <c r="BC15" s="189">
        <v>313330.27</v>
      </c>
      <c r="BD15" s="189">
        <v>0</v>
      </c>
      <c r="BE15" s="189">
        <v>0</v>
      </c>
      <c r="BF15" s="189">
        <v>0</v>
      </c>
      <c r="BG15" s="189">
        <v>0</v>
      </c>
      <c r="BH15" s="189">
        <v>0</v>
      </c>
      <c r="BI15" s="189">
        <v>0</v>
      </c>
      <c r="BJ15" s="189">
        <v>0</v>
      </c>
      <c r="BK15" s="189">
        <v>0</v>
      </c>
      <c r="BL15" s="189">
        <v>0</v>
      </c>
      <c r="BM15" s="189">
        <v>84000000</v>
      </c>
      <c r="BN15" s="189">
        <v>0</v>
      </c>
      <c r="BO15" s="189">
        <v>1466443.2</v>
      </c>
      <c r="BP15" s="189">
        <v>20524.05</v>
      </c>
      <c r="BQ15" s="189">
        <v>0</v>
      </c>
      <c r="BR15" s="189">
        <v>0</v>
      </c>
      <c r="BS15" s="189">
        <v>3650000</v>
      </c>
      <c r="BT15" s="189">
        <v>10000000</v>
      </c>
      <c r="BU15" s="189">
        <v>0</v>
      </c>
    </row>
    <row r="16" spans="1:73">
      <c r="A16" s="189" t="s">
        <v>232</v>
      </c>
      <c r="B16" s="189">
        <v>0</v>
      </c>
      <c r="C16" s="189">
        <v>0</v>
      </c>
      <c r="D16" s="189">
        <v>0</v>
      </c>
      <c r="E16" s="189">
        <v>0</v>
      </c>
      <c r="F16" s="189">
        <v>0</v>
      </c>
      <c r="G16" s="189">
        <v>0</v>
      </c>
      <c r="H16" s="189">
        <v>0</v>
      </c>
      <c r="I16" s="189">
        <v>12601552.51</v>
      </c>
      <c r="J16" s="189">
        <v>12601552.51</v>
      </c>
      <c r="K16" s="189">
        <v>5333699</v>
      </c>
      <c r="L16" s="189">
        <v>1214520.55</v>
      </c>
      <c r="M16" s="189">
        <v>0</v>
      </c>
      <c r="N16" s="189">
        <v>0</v>
      </c>
      <c r="O16" s="189">
        <v>0</v>
      </c>
      <c r="P16" s="189">
        <v>0</v>
      </c>
      <c r="Q16" s="189">
        <v>0</v>
      </c>
      <c r="R16" s="189">
        <v>27904</v>
      </c>
      <c r="S16" s="189">
        <v>0</v>
      </c>
      <c r="T16" s="189">
        <v>0</v>
      </c>
      <c r="U16" s="189">
        <v>30380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1061200</v>
      </c>
      <c r="AP16" s="189">
        <v>1061200</v>
      </c>
      <c r="AQ16" s="189">
        <v>0</v>
      </c>
      <c r="AR16" s="189">
        <v>0</v>
      </c>
      <c r="AS16" s="189">
        <v>636304.19999999995</v>
      </c>
      <c r="AT16" s="189">
        <v>0</v>
      </c>
      <c r="AU16" s="189">
        <v>0</v>
      </c>
      <c r="AV16" s="189">
        <v>0</v>
      </c>
      <c r="AW16" s="189">
        <v>1378658.8</v>
      </c>
      <c r="AX16" s="189">
        <v>424202.8</v>
      </c>
      <c r="AY16" s="189">
        <v>424202.8</v>
      </c>
      <c r="AZ16" s="189">
        <v>0</v>
      </c>
      <c r="BA16" s="189">
        <v>388782.9</v>
      </c>
      <c r="BB16" s="189">
        <v>388782.9</v>
      </c>
      <c r="BC16" s="189">
        <v>388782.9</v>
      </c>
      <c r="BD16" s="189">
        <v>0</v>
      </c>
      <c r="BE16" s="189">
        <v>270969.90000000002</v>
      </c>
      <c r="BF16" s="189">
        <v>270969.90000000002</v>
      </c>
      <c r="BG16" s="189">
        <v>270969.90000000002</v>
      </c>
      <c r="BH16" s="189">
        <v>0</v>
      </c>
      <c r="BI16" s="189">
        <v>353439</v>
      </c>
      <c r="BJ16" s="189">
        <v>353439</v>
      </c>
      <c r="BK16" s="189">
        <v>0</v>
      </c>
      <c r="BL16" s="189">
        <v>0</v>
      </c>
      <c r="BM16" s="189">
        <v>489614.44</v>
      </c>
      <c r="BN16" s="189">
        <v>0</v>
      </c>
      <c r="BO16" s="189">
        <v>5631781.7699999996</v>
      </c>
      <c r="BP16" s="189">
        <v>1125000</v>
      </c>
      <c r="BQ16" s="189">
        <v>1265620.81</v>
      </c>
      <c r="BR16" s="189">
        <v>0</v>
      </c>
      <c r="BS16" s="189">
        <v>516126.06</v>
      </c>
      <c r="BT16" s="189">
        <v>2363939.06</v>
      </c>
      <c r="BU16" s="189">
        <v>0</v>
      </c>
    </row>
    <row r="17" spans="1:73">
      <c r="A17" s="189" t="s">
        <v>233</v>
      </c>
      <c r="B17" s="189">
        <v>3589745.66</v>
      </c>
      <c r="C17" s="189">
        <v>461137.42</v>
      </c>
      <c r="D17" s="189">
        <v>276212.95</v>
      </c>
      <c r="E17" s="189">
        <v>756546.97</v>
      </c>
      <c r="F17" s="189">
        <v>756546.97</v>
      </c>
      <c r="G17" s="189">
        <v>558156.6</v>
      </c>
      <c r="H17" s="189">
        <v>6996.1</v>
      </c>
      <c r="I17" s="189">
        <v>2686347.5</v>
      </c>
      <c r="J17" s="189">
        <v>2310707.23</v>
      </c>
      <c r="K17" s="189">
        <v>335219</v>
      </c>
      <c r="L17" s="189">
        <v>218786.6</v>
      </c>
      <c r="M17" s="189">
        <v>1596749</v>
      </c>
      <c r="N17" s="189">
        <v>827389.09</v>
      </c>
      <c r="O17" s="189">
        <v>625137</v>
      </c>
      <c r="P17" s="189">
        <v>22747.64</v>
      </c>
      <c r="Q17" s="189">
        <v>78753695</v>
      </c>
      <c r="R17" s="189">
        <v>5531734</v>
      </c>
      <c r="S17" s="189">
        <v>3816500</v>
      </c>
      <c r="T17" s="189">
        <v>2586500</v>
      </c>
      <c r="U17" s="189">
        <v>185155</v>
      </c>
      <c r="V17" s="189">
        <v>452754</v>
      </c>
      <c r="W17" s="189">
        <v>342753</v>
      </c>
      <c r="X17" s="189">
        <v>228335.74</v>
      </c>
      <c r="Y17" s="189">
        <v>3037965</v>
      </c>
      <c r="Z17" s="189">
        <v>109419</v>
      </c>
      <c r="AA17" s="189">
        <v>106513</v>
      </c>
      <c r="AB17" s="189">
        <v>16508.2</v>
      </c>
      <c r="AC17" s="189">
        <v>167925</v>
      </c>
      <c r="AD17" s="189">
        <v>132925</v>
      </c>
      <c r="AE17" s="189">
        <v>468915</v>
      </c>
      <c r="AF17" s="189">
        <v>0</v>
      </c>
      <c r="AG17" s="189">
        <v>2164366</v>
      </c>
      <c r="AH17" s="189">
        <v>15090</v>
      </c>
      <c r="AI17" s="189">
        <v>0</v>
      </c>
      <c r="AJ17" s="189">
        <v>0</v>
      </c>
      <c r="AK17" s="189">
        <v>1066450</v>
      </c>
      <c r="AL17" s="189">
        <v>1066450</v>
      </c>
      <c r="AM17" s="189">
        <v>12500</v>
      </c>
      <c r="AN17" s="189">
        <v>12500</v>
      </c>
      <c r="AO17" s="189">
        <v>299000</v>
      </c>
      <c r="AP17" s="189">
        <v>0</v>
      </c>
      <c r="AQ17" s="189">
        <v>0</v>
      </c>
      <c r="AR17" s="189">
        <v>0</v>
      </c>
      <c r="AS17" s="189">
        <v>0</v>
      </c>
      <c r="AT17" s="189">
        <v>0</v>
      </c>
      <c r="AU17" s="189">
        <v>0</v>
      </c>
      <c r="AV17" s="189">
        <v>0</v>
      </c>
      <c r="AW17" s="189">
        <v>2600</v>
      </c>
      <c r="AX17" s="189">
        <v>2600</v>
      </c>
      <c r="AY17" s="189">
        <v>0</v>
      </c>
      <c r="AZ17" s="189">
        <v>0</v>
      </c>
      <c r="BA17" s="189">
        <v>75300</v>
      </c>
      <c r="BB17" s="189">
        <v>0</v>
      </c>
      <c r="BC17" s="189">
        <v>0</v>
      </c>
      <c r="BD17" s="189">
        <v>0</v>
      </c>
      <c r="BE17" s="189">
        <v>900</v>
      </c>
      <c r="BF17" s="189">
        <v>900</v>
      </c>
      <c r="BG17" s="189">
        <v>900</v>
      </c>
      <c r="BH17" s="189">
        <v>900</v>
      </c>
      <c r="BI17" s="189">
        <v>0</v>
      </c>
      <c r="BJ17" s="189">
        <v>500</v>
      </c>
      <c r="BK17" s="189">
        <v>500</v>
      </c>
      <c r="BL17" s="189">
        <v>0</v>
      </c>
      <c r="BM17" s="189">
        <v>1600</v>
      </c>
      <c r="BN17" s="189">
        <v>1600</v>
      </c>
      <c r="BO17" s="189">
        <v>12526611.060000001</v>
      </c>
      <c r="BP17" s="189">
        <v>750</v>
      </c>
      <c r="BQ17" s="189">
        <v>110802.68</v>
      </c>
      <c r="BR17" s="189">
        <v>110000</v>
      </c>
      <c r="BS17" s="189">
        <v>0</v>
      </c>
      <c r="BT17" s="189">
        <v>0</v>
      </c>
      <c r="BU17" s="189">
        <v>0</v>
      </c>
    </row>
    <row r="18" spans="1:73">
      <c r="A18" s="189" t="s">
        <v>234</v>
      </c>
      <c r="B18" s="189">
        <v>0</v>
      </c>
      <c r="C18" s="189">
        <v>0</v>
      </c>
      <c r="D18" s="189">
        <v>0</v>
      </c>
      <c r="E18" s="189">
        <v>0</v>
      </c>
      <c r="F18" s="189">
        <v>0</v>
      </c>
      <c r="G18" s="189">
        <v>0</v>
      </c>
      <c r="H18" s="189">
        <v>0</v>
      </c>
      <c r="I18" s="189">
        <v>0</v>
      </c>
      <c r="J18" s="189">
        <v>0</v>
      </c>
      <c r="K18" s="189">
        <v>0</v>
      </c>
      <c r="L18" s="189">
        <v>0</v>
      </c>
      <c r="M18" s="189">
        <v>0</v>
      </c>
      <c r="N18" s="189">
        <v>0</v>
      </c>
      <c r="O18" s="189">
        <v>0</v>
      </c>
      <c r="P18" s="189">
        <v>0</v>
      </c>
      <c r="Q18" s="189">
        <v>117196788</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c r="AW18" s="189">
        <v>0</v>
      </c>
      <c r="AX18" s="189">
        <v>0</v>
      </c>
      <c r="AY18" s="189">
        <v>0</v>
      </c>
      <c r="AZ18" s="189">
        <v>0</v>
      </c>
      <c r="BA18" s="189">
        <v>0</v>
      </c>
      <c r="BB18" s="189">
        <v>0</v>
      </c>
      <c r="BC18" s="189">
        <v>0</v>
      </c>
      <c r="BD18" s="189">
        <v>0</v>
      </c>
      <c r="BE18" s="189">
        <v>0</v>
      </c>
      <c r="BF18" s="189">
        <v>0</v>
      </c>
      <c r="BG18" s="189">
        <v>0</v>
      </c>
      <c r="BH18" s="189">
        <v>0</v>
      </c>
      <c r="BI18" s="189">
        <v>0</v>
      </c>
      <c r="BJ18" s="189">
        <v>0</v>
      </c>
      <c r="BK18" s="189">
        <v>0</v>
      </c>
      <c r="BL18" s="189">
        <v>0</v>
      </c>
      <c r="BM18" s="189">
        <v>0</v>
      </c>
      <c r="BN18" s="189">
        <v>0</v>
      </c>
      <c r="BO18" s="189">
        <v>0</v>
      </c>
      <c r="BP18" s="189">
        <v>0</v>
      </c>
      <c r="BQ18" s="189">
        <v>0</v>
      </c>
      <c r="BR18" s="189">
        <v>0</v>
      </c>
      <c r="BS18" s="189">
        <v>0</v>
      </c>
      <c r="BT18" s="189">
        <v>0</v>
      </c>
      <c r="BU18" s="189">
        <v>0</v>
      </c>
    </row>
    <row r="19" spans="1:73">
      <c r="A19" s="189" t="s">
        <v>235</v>
      </c>
      <c r="B19" s="189">
        <v>192284215.18000001</v>
      </c>
      <c r="C19" s="189">
        <v>57626303.759999998</v>
      </c>
      <c r="D19" s="189">
        <v>48905540.700000003</v>
      </c>
      <c r="E19" s="189">
        <v>17803015.140000001</v>
      </c>
      <c r="F19" s="189">
        <v>4866715.16</v>
      </c>
      <c r="G19" s="189">
        <v>4310953.01</v>
      </c>
      <c r="H19" s="189">
        <v>555762.15</v>
      </c>
      <c r="I19" s="189">
        <v>2210044315.4000001</v>
      </c>
      <c r="J19" s="189">
        <v>1700000000</v>
      </c>
      <c r="K19" s="189">
        <v>1500000000</v>
      </c>
      <c r="L19" s="189">
        <v>500000000</v>
      </c>
      <c r="M19" s="189">
        <v>37304648</v>
      </c>
      <c r="N19" s="189">
        <v>0</v>
      </c>
      <c r="O19" s="189">
        <v>0</v>
      </c>
      <c r="P19" s="189">
        <v>0</v>
      </c>
      <c r="Q19" s="189">
        <v>2878166</v>
      </c>
      <c r="R19" s="189">
        <v>680401275.23000002</v>
      </c>
      <c r="S19" s="189">
        <v>0</v>
      </c>
      <c r="T19" s="189">
        <v>0</v>
      </c>
      <c r="U19" s="189">
        <v>5315478</v>
      </c>
      <c r="V19" s="189">
        <v>0</v>
      </c>
      <c r="W19" s="189">
        <v>0</v>
      </c>
      <c r="X19" s="189">
        <v>0</v>
      </c>
      <c r="Y19" s="189">
        <v>4367442</v>
      </c>
      <c r="Z19" s="189">
        <v>0</v>
      </c>
      <c r="AA19" s="189">
        <v>0</v>
      </c>
      <c r="AB19" s="189">
        <v>0</v>
      </c>
      <c r="AC19" s="189">
        <v>42719128</v>
      </c>
      <c r="AD19" s="189">
        <v>0</v>
      </c>
      <c r="AE19" s="189">
        <v>0</v>
      </c>
      <c r="AF19" s="189">
        <v>0</v>
      </c>
      <c r="AG19" s="189">
        <v>66840314</v>
      </c>
      <c r="AH19" s="189">
        <v>12173732.060000001</v>
      </c>
      <c r="AI19" s="189">
        <v>10501429.390000001</v>
      </c>
      <c r="AJ19" s="189">
        <v>1509452.76</v>
      </c>
      <c r="AK19" s="189">
        <v>4074887.6</v>
      </c>
      <c r="AL19" s="189">
        <v>2701534.02</v>
      </c>
      <c r="AM19" s="189">
        <v>2275849.7599999998</v>
      </c>
      <c r="AN19" s="189">
        <v>1154553.6100000001</v>
      </c>
      <c r="AO19" s="189">
        <v>0</v>
      </c>
      <c r="AP19" s="189">
        <v>0</v>
      </c>
      <c r="AQ19" s="189">
        <v>5063834.16</v>
      </c>
      <c r="AR19" s="189">
        <v>307883863.88</v>
      </c>
      <c r="AS19" s="189">
        <v>300000</v>
      </c>
      <c r="AT19" s="189">
        <v>43818295.890000001</v>
      </c>
      <c r="AU19" s="189">
        <v>12095906.300000001</v>
      </c>
      <c r="AV19" s="189">
        <v>2451737.84</v>
      </c>
      <c r="AW19" s="189">
        <v>0</v>
      </c>
      <c r="AX19" s="189">
        <v>0</v>
      </c>
      <c r="AY19" s="189">
        <v>0</v>
      </c>
      <c r="AZ19" s="189">
        <v>0</v>
      </c>
      <c r="BA19" s="189">
        <v>0</v>
      </c>
      <c r="BB19" s="189">
        <v>0</v>
      </c>
      <c r="BC19" s="189">
        <v>0</v>
      </c>
      <c r="BD19" s="189">
        <v>0</v>
      </c>
      <c r="BE19" s="189">
        <v>0</v>
      </c>
      <c r="BF19" s="189">
        <v>0</v>
      </c>
      <c r="BG19" s="189">
        <v>0</v>
      </c>
      <c r="BH19" s="189">
        <v>0</v>
      </c>
      <c r="BI19" s="189">
        <v>0</v>
      </c>
      <c r="BJ19" s="189">
        <v>6147990.7300000004</v>
      </c>
      <c r="BK19" s="189">
        <v>15346</v>
      </c>
      <c r="BL19" s="189">
        <v>14700</v>
      </c>
      <c r="BM19" s="189">
        <v>1471000</v>
      </c>
      <c r="BN19" s="189">
        <v>7571037</v>
      </c>
      <c r="BO19" s="189">
        <v>0</v>
      </c>
      <c r="BP19" s="189">
        <v>0</v>
      </c>
      <c r="BQ19" s="189">
        <v>0</v>
      </c>
      <c r="BR19" s="189">
        <v>474096.76</v>
      </c>
      <c r="BS19" s="189">
        <v>0</v>
      </c>
      <c r="BT19" s="189">
        <v>1095581.31</v>
      </c>
      <c r="BU19" s="189">
        <v>0</v>
      </c>
    </row>
    <row r="20" spans="1:73">
      <c r="A20" s="189" t="s">
        <v>236</v>
      </c>
      <c r="B20" s="189">
        <v>195873960.84</v>
      </c>
      <c r="C20" s="189">
        <v>58087441.18</v>
      </c>
      <c r="D20" s="189">
        <v>49181753.649999999</v>
      </c>
      <c r="E20" s="189">
        <v>18559562.109999999</v>
      </c>
      <c r="F20" s="189">
        <v>5623262.1299999999</v>
      </c>
      <c r="G20" s="189">
        <v>4869109.6100000003</v>
      </c>
      <c r="H20" s="189">
        <v>562758.25</v>
      </c>
      <c r="I20" s="189">
        <v>2225332215.4099998</v>
      </c>
      <c r="J20" s="189">
        <v>1714912259.74</v>
      </c>
      <c r="K20" s="189">
        <v>1505668918</v>
      </c>
      <c r="L20" s="189">
        <v>501433307.14999998</v>
      </c>
      <c r="M20" s="189">
        <v>38901397</v>
      </c>
      <c r="N20" s="189">
        <v>4062139.09</v>
      </c>
      <c r="O20" s="189">
        <v>3859887</v>
      </c>
      <c r="P20" s="189">
        <v>3257497.64</v>
      </c>
      <c r="Q20" s="189">
        <v>851528593</v>
      </c>
      <c r="R20" s="189">
        <v>760960913.23000002</v>
      </c>
      <c r="S20" s="189">
        <v>78816500</v>
      </c>
      <c r="T20" s="189">
        <v>77586500</v>
      </c>
      <c r="U20" s="189">
        <v>5531013</v>
      </c>
      <c r="V20" s="189">
        <v>452754</v>
      </c>
      <c r="W20" s="189">
        <v>342753</v>
      </c>
      <c r="X20" s="189">
        <v>228335.74</v>
      </c>
      <c r="Y20" s="189">
        <v>7405407</v>
      </c>
      <c r="Z20" s="189">
        <v>109419</v>
      </c>
      <c r="AA20" s="189">
        <v>106513</v>
      </c>
      <c r="AB20" s="189">
        <v>16508.2</v>
      </c>
      <c r="AC20" s="189">
        <v>42887053</v>
      </c>
      <c r="AD20" s="189">
        <v>132925</v>
      </c>
      <c r="AE20" s="189">
        <v>468915</v>
      </c>
      <c r="AF20" s="189">
        <v>0</v>
      </c>
      <c r="AG20" s="189">
        <v>69004680</v>
      </c>
      <c r="AH20" s="189">
        <v>12188822.060000001</v>
      </c>
      <c r="AI20" s="189">
        <v>10501429.390000001</v>
      </c>
      <c r="AJ20" s="189">
        <v>1509452.76</v>
      </c>
      <c r="AK20" s="189">
        <v>5141337.5999999996</v>
      </c>
      <c r="AL20" s="189">
        <v>3767984.02</v>
      </c>
      <c r="AM20" s="189">
        <v>2288349.7599999998</v>
      </c>
      <c r="AN20" s="189">
        <v>1167053.6100000001</v>
      </c>
      <c r="AO20" s="189">
        <v>91150125.25</v>
      </c>
      <c r="AP20" s="189">
        <v>41722922.530000001</v>
      </c>
      <c r="AQ20" s="189">
        <v>45725556.689999998</v>
      </c>
      <c r="AR20" s="189">
        <v>307883863.88</v>
      </c>
      <c r="AS20" s="189">
        <v>4252680.45</v>
      </c>
      <c r="AT20" s="189">
        <v>47134672.140000001</v>
      </c>
      <c r="AU20" s="189">
        <v>15412282.550000001</v>
      </c>
      <c r="AV20" s="189">
        <v>2451737.84</v>
      </c>
      <c r="AW20" s="189">
        <v>3190191.3</v>
      </c>
      <c r="AX20" s="189">
        <v>426802.8</v>
      </c>
      <c r="AY20" s="189">
        <v>424202.8</v>
      </c>
      <c r="AZ20" s="189">
        <v>0</v>
      </c>
      <c r="BA20" s="189">
        <v>777413.17</v>
      </c>
      <c r="BB20" s="189">
        <v>702113.17</v>
      </c>
      <c r="BC20" s="189">
        <v>702113.17</v>
      </c>
      <c r="BD20" s="189">
        <v>0</v>
      </c>
      <c r="BE20" s="189">
        <v>271869.90000000002</v>
      </c>
      <c r="BF20" s="189">
        <v>271869.90000000002</v>
      </c>
      <c r="BG20" s="189">
        <v>271869.90000000002</v>
      </c>
      <c r="BH20" s="189">
        <v>900</v>
      </c>
      <c r="BI20" s="189">
        <v>353439</v>
      </c>
      <c r="BJ20" s="189">
        <v>6501929.7300000004</v>
      </c>
      <c r="BK20" s="189">
        <v>15846</v>
      </c>
      <c r="BL20" s="189">
        <v>14700</v>
      </c>
      <c r="BM20" s="189">
        <v>85962214.439999998</v>
      </c>
      <c r="BN20" s="189">
        <v>7572637</v>
      </c>
      <c r="BO20" s="189">
        <v>19624836.030000001</v>
      </c>
      <c r="BP20" s="189">
        <v>1146274.05</v>
      </c>
      <c r="BQ20" s="189">
        <v>1376423.49</v>
      </c>
      <c r="BR20" s="189">
        <v>584096.76</v>
      </c>
      <c r="BS20" s="189">
        <v>4166126.06</v>
      </c>
      <c r="BT20" s="189">
        <v>13459520.369999999</v>
      </c>
      <c r="BU20" s="189">
        <v>0</v>
      </c>
    </row>
    <row r="21" spans="1:73">
      <c r="A21" s="189" t="s">
        <v>237</v>
      </c>
      <c r="B21" s="189">
        <v>4185107869.6799998</v>
      </c>
      <c r="C21" s="189">
        <v>3350295689.1399999</v>
      </c>
      <c r="D21" s="189">
        <v>1873747732.73</v>
      </c>
      <c r="E21" s="189">
        <v>7350365898.3800001</v>
      </c>
      <c r="F21" s="189">
        <v>6208200502.8299999</v>
      </c>
      <c r="G21" s="189">
        <v>4954322994.8800001</v>
      </c>
      <c r="H21" s="189">
        <v>3489363454.3400002</v>
      </c>
      <c r="I21" s="189">
        <v>3033750027.6199999</v>
      </c>
      <c r="J21" s="189">
        <v>1446435952.9100001</v>
      </c>
      <c r="K21" s="189">
        <v>536190850</v>
      </c>
      <c r="L21" s="189">
        <v>195989162.91</v>
      </c>
      <c r="M21" s="189">
        <v>1657201260</v>
      </c>
      <c r="N21" s="189">
        <v>641110005.57000005</v>
      </c>
      <c r="O21" s="189">
        <v>491323228</v>
      </c>
      <c r="P21" s="189">
        <v>111768257.34</v>
      </c>
      <c r="Q21" s="189">
        <v>522134710</v>
      </c>
      <c r="R21" s="189">
        <v>279022112.79000002</v>
      </c>
      <c r="S21" s="189">
        <v>90355487</v>
      </c>
      <c r="T21" s="189">
        <v>42839120.700000003</v>
      </c>
      <c r="U21" s="189">
        <v>169996098</v>
      </c>
      <c r="V21" s="189">
        <v>129370981</v>
      </c>
      <c r="W21" s="189">
        <v>100871481</v>
      </c>
      <c r="X21" s="189">
        <v>54949376.109999999</v>
      </c>
      <c r="Y21" s="189">
        <v>429396865</v>
      </c>
      <c r="Z21" s="189">
        <v>340366013</v>
      </c>
      <c r="AA21" s="189">
        <v>233719645</v>
      </c>
      <c r="AB21" s="189">
        <v>126699395.70999999</v>
      </c>
      <c r="AC21" s="189">
        <v>548897920</v>
      </c>
      <c r="AD21" s="189">
        <v>302031027.68000001</v>
      </c>
      <c r="AE21" s="189">
        <v>252428612</v>
      </c>
      <c r="AF21" s="189">
        <v>142101645.94999999</v>
      </c>
      <c r="AG21" s="189">
        <v>1157429123</v>
      </c>
      <c r="AH21" s="189">
        <v>1019407940.04</v>
      </c>
      <c r="AI21" s="189">
        <v>662393446.60000002</v>
      </c>
      <c r="AJ21" s="189">
        <v>540378811.65999997</v>
      </c>
      <c r="AK21" s="189">
        <v>980738744.60000002</v>
      </c>
      <c r="AL21" s="189">
        <v>418232141.20999998</v>
      </c>
      <c r="AM21" s="189">
        <v>238650773.11000001</v>
      </c>
      <c r="AN21" s="189">
        <v>91808668.510000005</v>
      </c>
      <c r="AO21" s="189">
        <v>895449540.32000005</v>
      </c>
      <c r="AP21" s="189">
        <v>573971991.75999999</v>
      </c>
      <c r="AQ21" s="189">
        <v>605414372.77999997</v>
      </c>
      <c r="AR21" s="189">
        <v>262901840.55000001</v>
      </c>
      <c r="AS21" s="189">
        <v>1945799640.5799999</v>
      </c>
      <c r="AT21" s="189">
        <v>1502984264.01</v>
      </c>
      <c r="AU21" s="189">
        <v>409014299.38</v>
      </c>
      <c r="AV21" s="189">
        <v>172960274.81999999</v>
      </c>
      <c r="AW21" s="189">
        <v>36821656.5</v>
      </c>
      <c r="AX21" s="189">
        <v>20384461.739999998</v>
      </c>
      <c r="AY21" s="189">
        <v>10971012.98</v>
      </c>
      <c r="AZ21" s="189">
        <v>3179186.91</v>
      </c>
      <c r="BA21" s="189">
        <v>9627175.6600000001</v>
      </c>
      <c r="BB21" s="189">
        <v>25415039.420000002</v>
      </c>
      <c r="BC21" s="189">
        <v>20564215.690000001</v>
      </c>
      <c r="BD21" s="189">
        <v>18596257.140000001</v>
      </c>
      <c r="BE21" s="189">
        <v>55265485.549999997</v>
      </c>
      <c r="BF21" s="189">
        <v>35855253.609999999</v>
      </c>
      <c r="BG21" s="189">
        <v>18148861.760000002</v>
      </c>
      <c r="BH21" s="189">
        <v>10955188.76</v>
      </c>
      <c r="BI21" s="189">
        <v>130460055.77</v>
      </c>
      <c r="BJ21" s="189">
        <v>60709854.280000001</v>
      </c>
      <c r="BK21" s="189">
        <v>53683848.329999998</v>
      </c>
      <c r="BL21" s="189">
        <v>20566552.690000001</v>
      </c>
      <c r="BM21" s="189">
        <v>314561975.02999997</v>
      </c>
      <c r="BN21" s="189">
        <v>73103492.170000002</v>
      </c>
      <c r="BO21" s="189">
        <v>47087213.579999998</v>
      </c>
      <c r="BP21" s="189">
        <v>15383898.449999999</v>
      </c>
      <c r="BQ21" s="189">
        <v>22791003.050000001</v>
      </c>
      <c r="BR21" s="189">
        <v>10135647</v>
      </c>
      <c r="BS21" s="189">
        <v>5592465.9800000004</v>
      </c>
      <c r="BT21" s="189">
        <v>9824705.4399999995</v>
      </c>
      <c r="BU21" s="189">
        <v>0</v>
      </c>
    </row>
    <row r="22" spans="1:73">
      <c r="A22" s="189" t="s">
        <v>238</v>
      </c>
      <c r="B22" s="189">
        <v>0</v>
      </c>
      <c r="C22" s="189">
        <v>0</v>
      </c>
      <c r="D22" s="189">
        <v>0</v>
      </c>
      <c r="E22" s="189">
        <v>0</v>
      </c>
      <c r="F22" s="189">
        <v>0</v>
      </c>
      <c r="G22" s="189">
        <v>0</v>
      </c>
      <c r="H22" s="189">
        <v>0</v>
      </c>
      <c r="I22" s="189">
        <v>34000000</v>
      </c>
      <c r="J22" s="189">
        <v>34000000</v>
      </c>
      <c r="K22" s="189">
        <v>34000000</v>
      </c>
      <c r="L22" s="189">
        <v>0</v>
      </c>
      <c r="M22" s="189">
        <v>0</v>
      </c>
      <c r="N22" s="189">
        <v>0</v>
      </c>
      <c r="O22" s="189">
        <v>0</v>
      </c>
      <c r="P22" s="189">
        <v>0</v>
      </c>
      <c r="Q22" s="189">
        <v>120000000</v>
      </c>
      <c r="R22" s="189">
        <v>120000000</v>
      </c>
      <c r="S22" s="189">
        <v>120000000</v>
      </c>
      <c r="T22" s="189">
        <v>0</v>
      </c>
      <c r="U22" s="189">
        <v>83890000</v>
      </c>
      <c r="V22" s="189">
        <v>8890000</v>
      </c>
      <c r="W22" s="189">
        <v>8890000</v>
      </c>
      <c r="X22" s="189">
        <v>6890000</v>
      </c>
      <c r="Y22" s="189">
        <v>11110000</v>
      </c>
      <c r="Z22" s="189">
        <v>11110000</v>
      </c>
      <c r="AA22" s="189">
        <v>11110000</v>
      </c>
      <c r="AB22" s="189">
        <v>0</v>
      </c>
      <c r="AC22" s="189">
        <v>0</v>
      </c>
      <c r="AD22" s="189">
        <v>0</v>
      </c>
      <c r="AE22" s="189">
        <v>0</v>
      </c>
      <c r="AF22" s="189">
        <v>0</v>
      </c>
      <c r="AG22" s="189">
        <v>131420163</v>
      </c>
      <c r="AH22" s="189">
        <v>102000000</v>
      </c>
      <c r="AI22" s="189">
        <v>54000000</v>
      </c>
      <c r="AJ22" s="189">
        <v>0</v>
      </c>
      <c r="AK22" s="189">
        <v>29600000</v>
      </c>
      <c r="AL22" s="189">
        <v>29600000</v>
      </c>
      <c r="AM22" s="189">
        <v>29600000</v>
      </c>
      <c r="AN22" s="189">
        <v>0</v>
      </c>
      <c r="AO22" s="189">
        <v>2400000</v>
      </c>
      <c r="AP22" s="189">
        <v>0</v>
      </c>
      <c r="AQ22" s="189">
        <v>0</v>
      </c>
      <c r="AR22" s="189">
        <v>0</v>
      </c>
      <c r="AS22" s="189">
        <v>0</v>
      </c>
      <c r="AT22" s="189">
        <v>0</v>
      </c>
      <c r="AU22" s="189">
        <v>0</v>
      </c>
      <c r="AV22" s="189">
        <v>0</v>
      </c>
      <c r="AW22" s="189">
        <v>154880000</v>
      </c>
      <c r="AX22" s="189">
        <v>154500000</v>
      </c>
      <c r="AY22" s="189">
        <v>61800000</v>
      </c>
      <c r="AZ22" s="189">
        <v>64500000</v>
      </c>
      <c r="BA22" s="189">
        <v>0</v>
      </c>
      <c r="BB22" s="189">
        <v>2334125</v>
      </c>
      <c r="BC22" s="189">
        <v>2334125</v>
      </c>
      <c r="BD22" s="189">
        <v>0</v>
      </c>
      <c r="BE22" s="189">
        <v>18927507</v>
      </c>
      <c r="BF22" s="189">
        <v>11230176</v>
      </c>
      <c r="BG22" s="189">
        <v>4138350</v>
      </c>
      <c r="BH22" s="189">
        <v>0</v>
      </c>
      <c r="BI22" s="189">
        <v>0</v>
      </c>
      <c r="BJ22" s="189">
        <v>0</v>
      </c>
      <c r="BK22" s="189">
        <v>0</v>
      </c>
      <c r="BL22" s="189">
        <v>0</v>
      </c>
      <c r="BM22" s="189">
        <v>0</v>
      </c>
      <c r="BN22" s="189">
        <v>0</v>
      </c>
      <c r="BO22" s="189">
        <v>149999570.46000001</v>
      </c>
      <c r="BP22" s="189">
        <v>150037894.94999999</v>
      </c>
      <c r="BQ22" s="189">
        <v>96000</v>
      </c>
      <c r="BR22" s="189">
        <v>0</v>
      </c>
      <c r="BS22" s="189">
        <v>0</v>
      </c>
      <c r="BT22" s="189">
        <v>0</v>
      </c>
      <c r="BU22" s="189">
        <v>0</v>
      </c>
    </row>
    <row r="23" spans="1:73">
      <c r="A23" s="189" t="s">
        <v>239</v>
      </c>
      <c r="B23" s="189">
        <v>0</v>
      </c>
      <c r="C23" s="189">
        <v>0</v>
      </c>
      <c r="D23" s="189">
        <v>0</v>
      </c>
      <c r="E23" s="189">
        <v>0</v>
      </c>
      <c r="F23" s="189">
        <v>0</v>
      </c>
      <c r="G23" s="189">
        <v>0</v>
      </c>
      <c r="H23" s="189">
        <v>0</v>
      </c>
      <c r="I23" s="189">
        <v>0</v>
      </c>
      <c r="J23" s="189">
        <v>0</v>
      </c>
      <c r="K23" s="189">
        <v>0</v>
      </c>
      <c r="L23" s="189">
        <v>0</v>
      </c>
      <c r="M23" s="189">
        <v>13033451</v>
      </c>
      <c r="N23" s="189">
        <v>0</v>
      </c>
      <c r="O23" s="189">
        <v>0</v>
      </c>
      <c r="P23" s="189">
        <v>0</v>
      </c>
      <c r="Q23" s="189">
        <v>0</v>
      </c>
      <c r="R23" s="189">
        <v>0</v>
      </c>
      <c r="S23" s="189">
        <v>0</v>
      </c>
      <c r="T23" s="189">
        <v>0</v>
      </c>
      <c r="U23" s="189">
        <v>0</v>
      </c>
      <c r="V23" s="189">
        <v>0</v>
      </c>
      <c r="W23" s="189">
        <v>0</v>
      </c>
      <c r="X23" s="189">
        <v>0</v>
      </c>
      <c r="Y23" s="189">
        <v>0</v>
      </c>
      <c r="Z23" s="189">
        <v>0</v>
      </c>
      <c r="AA23" s="189">
        <v>0</v>
      </c>
      <c r="AB23" s="189">
        <v>0</v>
      </c>
      <c r="AC23" s="189">
        <v>0</v>
      </c>
      <c r="AD23" s="189">
        <v>0</v>
      </c>
      <c r="AE23" s="189">
        <v>0</v>
      </c>
      <c r="AF23" s="189">
        <v>0</v>
      </c>
      <c r="AG23" s="189">
        <v>0</v>
      </c>
      <c r="AH23" s="189">
        <v>0</v>
      </c>
      <c r="AI23" s="189">
        <v>0</v>
      </c>
      <c r="AJ23" s="189">
        <v>0</v>
      </c>
      <c r="AK23" s="189">
        <v>0</v>
      </c>
      <c r="AL23" s="189">
        <v>0</v>
      </c>
      <c r="AM23" s="189">
        <v>0</v>
      </c>
      <c r="AN23" s="189">
        <v>0</v>
      </c>
      <c r="AO23" s="189">
        <v>0</v>
      </c>
      <c r="AP23" s="189">
        <v>0</v>
      </c>
      <c r="AQ23" s="189">
        <v>0</v>
      </c>
      <c r="AR23" s="189">
        <v>0</v>
      </c>
      <c r="AS23" s="189">
        <v>0</v>
      </c>
      <c r="AT23" s="189">
        <v>0</v>
      </c>
      <c r="AU23" s="189">
        <v>0</v>
      </c>
      <c r="AV23" s="189">
        <v>0</v>
      </c>
      <c r="AW23" s="189">
        <v>0</v>
      </c>
      <c r="AX23" s="189">
        <v>0</v>
      </c>
      <c r="AY23" s="189">
        <v>0</v>
      </c>
      <c r="AZ23" s="189">
        <v>0</v>
      </c>
      <c r="BA23" s="189">
        <v>0</v>
      </c>
      <c r="BB23" s="189">
        <v>0</v>
      </c>
      <c r="BC23" s="189">
        <v>0</v>
      </c>
      <c r="BD23" s="189">
        <v>0</v>
      </c>
      <c r="BE23" s="189">
        <v>0</v>
      </c>
      <c r="BF23" s="189">
        <v>0</v>
      </c>
      <c r="BG23" s="189">
        <v>0</v>
      </c>
      <c r="BH23" s="189">
        <v>0</v>
      </c>
      <c r="BI23" s="189">
        <v>0</v>
      </c>
      <c r="BJ23" s="189">
        <v>0</v>
      </c>
      <c r="BK23" s="189">
        <v>0</v>
      </c>
      <c r="BL23" s="189">
        <v>0</v>
      </c>
      <c r="BM23" s="189">
        <v>0</v>
      </c>
      <c r="BN23" s="189">
        <v>0</v>
      </c>
      <c r="BO23" s="189">
        <v>0</v>
      </c>
      <c r="BP23" s="189">
        <v>0</v>
      </c>
      <c r="BQ23" s="189">
        <v>0</v>
      </c>
      <c r="BR23" s="189">
        <v>0</v>
      </c>
      <c r="BS23" s="189">
        <v>0</v>
      </c>
      <c r="BT23" s="189">
        <v>0</v>
      </c>
      <c r="BU23" s="189">
        <v>0</v>
      </c>
    </row>
    <row r="24" spans="1:73">
      <c r="A24" s="189" t="s">
        <v>240</v>
      </c>
      <c r="B24" s="189">
        <v>0</v>
      </c>
      <c r="C24" s="189">
        <v>0</v>
      </c>
      <c r="D24" s="189">
        <v>0</v>
      </c>
      <c r="E24" s="189">
        <v>0</v>
      </c>
      <c r="F24" s="189">
        <v>0</v>
      </c>
      <c r="G24" s="189">
        <v>0</v>
      </c>
      <c r="H24" s="189">
        <v>0</v>
      </c>
      <c r="I24" s="189">
        <v>2200000000</v>
      </c>
      <c r="J24" s="189">
        <v>1700000000</v>
      </c>
      <c r="K24" s="189">
        <v>1700000000</v>
      </c>
      <c r="L24" s="189">
        <v>1200000000</v>
      </c>
      <c r="M24" s="189">
        <v>0</v>
      </c>
      <c r="N24" s="189">
        <v>0</v>
      </c>
      <c r="O24" s="189">
        <v>0</v>
      </c>
      <c r="P24" s="189">
        <v>0</v>
      </c>
      <c r="Q24" s="189">
        <v>0</v>
      </c>
      <c r="R24" s="189">
        <v>0</v>
      </c>
      <c r="S24" s="189">
        <v>0</v>
      </c>
      <c r="T24" s="189">
        <v>0</v>
      </c>
      <c r="U24" s="189">
        <v>0</v>
      </c>
      <c r="V24" s="189">
        <v>0</v>
      </c>
      <c r="W24" s="189">
        <v>0</v>
      </c>
      <c r="X24" s="189">
        <v>0</v>
      </c>
      <c r="Y24" s="189">
        <v>0</v>
      </c>
      <c r="Z24" s="189">
        <v>0</v>
      </c>
      <c r="AA24" s="189">
        <v>0</v>
      </c>
      <c r="AB24" s="189">
        <v>0</v>
      </c>
      <c r="AC24" s="189">
        <v>0</v>
      </c>
      <c r="AD24" s="189">
        <v>0</v>
      </c>
      <c r="AE24" s="189">
        <v>0</v>
      </c>
      <c r="AF24" s="189">
        <v>0</v>
      </c>
      <c r="AG24" s="189">
        <v>159852453</v>
      </c>
      <c r="AH24" s="189">
        <v>119245018.26000001</v>
      </c>
      <c r="AI24" s="189">
        <v>143424598.88</v>
      </c>
      <c r="AJ24" s="189">
        <v>118470413.40000001</v>
      </c>
      <c r="AK24" s="189">
        <v>54418881.549999997</v>
      </c>
      <c r="AL24" s="189">
        <v>23012155.43</v>
      </c>
      <c r="AM24" s="189">
        <v>51266951.219999999</v>
      </c>
      <c r="AN24" s="189">
        <v>15057517.960000001</v>
      </c>
      <c r="AO24" s="189">
        <v>0</v>
      </c>
      <c r="AP24" s="189">
        <v>253750285.36000001</v>
      </c>
      <c r="AQ24" s="189">
        <v>0</v>
      </c>
      <c r="AR24" s="189">
        <v>399486349.69999999</v>
      </c>
      <c r="AS24" s="189">
        <v>101056096.53</v>
      </c>
      <c r="AT24" s="189">
        <v>59130283.509999998</v>
      </c>
      <c r="AU24" s="189">
        <v>16856414.010000002</v>
      </c>
      <c r="AV24" s="189">
        <v>672883.07</v>
      </c>
      <c r="AW24" s="189">
        <v>0</v>
      </c>
      <c r="AX24" s="189">
        <v>0</v>
      </c>
      <c r="AY24" s="189">
        <v>0</v>
      </c>
      <c r="AZ24" s="189">
        <v>0</v>
      </c>
      <c r="BA24" s="189">
        <v>0</v>
      </c>
      <c r="BB24" s="189">
        <v>0</v>
      </c>
      <c r="BC24" s="189">
        <v>0</v>
      </c>
      <c r="BD24" s="189">
        <v>0</v>
      </c>
      <c r="BE24" s="189">
        <v>180112.56</v>
      </c>
      <c r="BF24" s="189">
        <v>37134.559999999998</v>
      </c>
      <c r="BG24" s="189">
        <v>37134.559999999998</v>
      </c>
      <c r="BH24" s="189">
        <v>0</v>
      </c>
      <c r="BI24" s="189">
        <v>0</v>
      </c>
      <c r="BJ24" s="189">
        <v>15264730.220000001</v>
      </c>
      <c r="BK24" s="189">
        <v>516881</v>
      </c>
      <c r="BL24" s="189">
        <v>270240</v>
      </c>
      <c r="BM24" s="189">
        <v>93649</v>
      </c>
      <c r="BN24" s="189">
        <v>10000000</v>
      </c>
      <c r="BO24" s="189">
        <v>0</v>
      </c>
      <c r="BP24" s="189">
        <v>0</v>
      </c>
      <c r="BQ24" s="189">
        <v>0</v>
      </c>
      <c r="BR24" s="189">
        <v>0</v>
      </c>
      <c r="BS24" s="189">
        <v>0</v>
      </c>
      <c r="BT24" s="189">
        <v>0</v>
      </c>
      <c r="BU24" s="189">
        <v>0</v>
      </c>
    </row>
    <row r="25" spans="1:73">
      <c r="A25" s="189" t="s">
        <v>241</v>
      </c>
      <c r="B25" s="189">
        <v>4185107869.6799998</v>
      </c>
      <c r="C25" s="189">
        <v>3350295689.1399999</v>
      </c>
      <c r="D25" s="189">
        <v>1873747732.73</v>
      </c>
      <c r="E25" s="189">
        <v>7350365898.3800001</v>
      </c>
      <c r="F25" s="189">
        <v>6208200502.8299999</v>
      </c>
      <c r="G25" s="189">
        <v>4954322994.8800001</v>
      </c>
      <c r="H25" s="189">
        <v>3489363454.3400002</v>
      </c>
      <c r="I25" s="189">
        <v>5267750027.6199999</v>
      </c>
      <c r="J25" s="189">
        <v>3180435952.9099998</v>
      </c>
      <c r="K25" s="189">
        <v>2270190850</v>
      </c>
      <c r="L25" s="189">
        <v>1395989162.9100001</v>
      </c>
      <c r="M25" s="189">
        <v>1670234711</v>
      </c>
      <c r="N25" s="189">
        <v>641110005.57000005</v>
      </c>
      <c r="O25" s="189">
        <v>491323228</v>
      </c>
      <c r="P25" s="189">
        <v>111768257.34</v>
      </c>
      <c r="Q25" s="189">
        <v>642134710</v>
      </c>
      <c r="R25" s="189">
        <v>399022112.79000002</v>
      </c>
      <c r="S25" s="189">
        <v>210355487</v>
      </c>
      <c r="T25" s="189">
        <v>42839120.700000003</v>
      </c>
      <c r="U25" s="189">
        <v>253886098</v>
      </c>
      <c r="V25" s="189">
        <v>138260981</v>
      </c>
      <c r="W25" s="189">
        <v>109761481</v>
      </c>
      <c r="X25" s="189">
        <v>61839376.109999999</v>
      </c>
      <c r="Y25" s="189">
        <v>440506865</v>
      </c>
      <c r="Z25" s="189">
        <v>351476013</v>
      </c>
      <c r="AA25" s="189">
        <v>244829645</v>
      </c>
      <c r="AB25" s="189">
        <v>126699395.70999999</v>
      </c>
      <c r="AC25" s="189">
        <v>548897920</v>
      </c>
      <c r="AD25" s="189">
        <v>302031027.68000001</v>
      </c>
      <c r="AE25" s="189">
        <v>252428612</v>
      </c>
      <c r="AF25" s="189">
        <v>142101645.94999999</v>
      </c>
      <c r="AG25" s="189">
        <v>1448701739</v>
      </c>
      <c r="AH25" s="189">
        <v>1240652958.3</v>
      </c>
      <c r="AI25" s="189">
        <v>859818045.48000002</v>
      </c>
      <c r="AJ25" s="189">
        <v>658849225.05999994</v>
      </c>
      <c r="AK25" s="189">
        <v>1064757626.15</v>
      </c>
      <c r="AL25" s="189">
        <v>470844296.63999999</v>
      </c>
      <c r="AM25" s="189">
        <v>319517724.32999998</v>
      </c>
      <c r="AN25" s="189">
        <v>106866186.47</v>
      </c>
      <c r="AO25" s="189">
        <v>897849540.32000005</v>
      </c>
      <c r="AP25" s="189">
        <v>827722277.12</v>
      </c>
      <c r="AQ25" s="189">
        <v>605414372.77999997</v>
      </c>
      <c r="AR25" s="189">
        <v>662388190.25</v>
      </c>
      <c r="AS25" s="189">
        <v>2046855737.1099999</v>
      </c>
      <c r="AT25" s="189">
        <v>1562114547.52</v>
      </c>
      <c r="AU25" s="189">
        <v>425870713.38999999</v>
      </c>
      <c r="AV25" s="189">
        <v>173633157.88999999</v>
      </c>
      <c r="AW25" s="189">
        <v>191701656.5</v>
      </c>
      <c r="AX25" s="189">
        <v>174884461.74000001</v>
      </c>
      <c r="AY25" s="189">
        <v>72771012.980000004</v>
      </c>
      <c r="AZ25" s="189">
        <v>67679186.909999996</v>
      </c>
      <c r="BA25" s="189">
        <v>9627175.6600000001</v>
      </c>
      <c r="BB25" s="189">
        <v>27749164.420000002</v>
      </c>
      <c r="BC25" s="189">
        <v>22898340.690000001</v>
      </c>
      <c r="BD25" s="189">
        <v>18596257.140000001</v>
      </c>
      <c r="BE25" s="189">
        <v>74373105.109999999</v>
      </c>
      <c r="BF25" s="189">
        <v>47122564.170000002</v>
      </c>
      <c r="BG25" s="189">
        <v>22324346.32</v>
      </c>
      <c r="BH25" s="189">
        <v>10955188.76</v>
      </c>
      <c r="BI25" s="189">
        <v>130460055.77</v>
      </c>
      <c r="BJ25" s="189">
        <v>75974584.5</v>
      </c>
      <c r="BK25" s="189">
        <v>54200729.329999998</v>
      </c>
      <c r="BL25" s="189">
        <v>20836792.690000001</v>
      </c>
      <c r="BM25" s="189">
        <v>314655624.02999997</v>
      </c>
      <c r="BN25" s="189">
        <v>83103492.170000002</v>
      </c>
      <c r="BO25" s="189">
        <v>197086784.03999999</v>
      </c>
      <c r="BP25" s="189">
        <v>165421793.40000001</v>
      </c>
      <c r="BQ25" s="189">
        <v>22887003.050000001</v>
      </c>
      <c r="BR25" s="189">
        <v>10135647</v>
      </c>
      <c r="BS25" s="189">
        <v>5592465.9800000004</v>
      </c>
      <c r="BT25" s="189">
        <v>9824705.4399999995</v>
      </c>
      <c r="BU25" s="189">
        <v>0</v>
      </c>
    </row>
    <row r="26" spans="1:73">
      <c r="A26" s="189" t="s">
        <v>242</v>
      </c>
      <c r="B26" s="189">
        <v>-3989233908.8400002</v>
      </c>
      <c r="C26" s="189">
        <v>-3292208247.96</v>
      </c>
      <c r="D26" s="189">
        <v>-1824565979.0799999</v>
      </c>
      <c r="E26" s="189">
        <v>-7331806336.2700005</v>
      </c>
      <c r="F26" s="189">
        <v>-6202577240.6999998</v>
      </c>
      <c r="G26" s="189">
        <v>-4949453885.2700005</v>
      </c>
      <c r="H26" s="189">
        <v>-3488800696.0900002</v>
      </c>
      <c r="I26" s="189">
        <v>-3042417812.21</v>
      </c>
      <c r="J26" s="189">
        <v>-1465523693.1700001</v>
      </c>
      <c r="K26" s="189">
        <v>-764521932</v>
      </c>
      <c r="L26" s="189">
        <v>-894555855.75999999</v>
      </c>
      <c r="M26" s="189">
        <v>-1631333314</v>
      </c>
      <c r="N26" s="189">
        <v>-637047866.48000002</v>
      </c>
      <c r="O26" s="189">
        <v>-487463341</v>
      </c>
      <c r="P26" s="189">
        <v>-108510759.7</v>
      </c>
      <c r="Q26" s="189">
        <v>209393883</v>
      </c>
      <c r="R26" s="189">
        <v>361938800.44</v>
      </c>
      <c r="S26" s="189">
        <v>-131538987</v>
      </c>
      <c r="T26" s="189">
        <v>34747379.299999997</v>
      </c>
      <c r="U26" s="189">
        <v>-248355085</v>
      </c>
      <c r="V26" s="189">
        <v>-137808227</v>
      </c>
      <c r="W26" s="189">
        <v>-109418728</v>
      </c>
      <c r="X26" s="189">
        <v>-61611040.369999997</v>
      </c>
      <c r="Y26" s="189">
        <v>-433101458</v>
      </c>
      <c r="Z26" s="189">
        <v>-351366594</v>
      </c>
      <c r="AA26" s="189">
        <v>-244723132</v>
      </c>
      <c r="AB26" s="189">
        <v>-126682887.51000001</v>
      </c>
      <c r="AC26" s="189">
        <v>-506010867</v>
      </c>
      <c r="AD26" s="189">
        <v>-301898102.68000001</v>
      </c>
      <c r="AE26" s="189">
        <v>-251959697</v>
      </c>
      <c r="AF26" s="189">
        <v>-142101645.94999999</v>
      </c>
      <c r="AG26" s="189">
        <v>-1379697059</v>
      </c>
      <c r="AH26" s="189">
        <v>-1228464136.24</v>
      </c>
      <c r="AI26" s="189">
        <v>-849316616.09000003</v>
      </c>
      <c r="AJ26" s="189">
        <v>-657339772.29999995</v>
      </c>
      <c r="AK26" s="189">
        <v>-1059616288.55</v>
      </c>
      <c r="AL26" s="189">
        <v>-467076312.62</v>
      </c>
      <c r="AM26" s="189">
        <v>-317229374.56999999</v>
      </c>
      <c r="AN26" s="189">
        <v>-105699132.86</v>
      </c>
      <c r="AO26" s="189">
        <v>-806699415.07000005</v>
      </c>
      <c r="AP26" s="189">
        <v>-785999354.59000003</v>
      </c>
      <c r="AQ26" s="189">
        <v>-559688816.09000003</v>
      </c>
      <c r="AR26" s="189">
        <v>-354504326.37</v>
      </c>
      <c r="AS26" s="189">
        <v>-2042603056.6600001</v>
      </c>
      <c r="AT26" s="189">
        <v>-1514979875.3800001</v>
      </c>
      <c r="AU26" s="189">
        <v>-410458430.83999997</v>
      </c>
      <c r="AV26" s="189">
        <v>-171181420.05000001</v>
      </c>
      <c r="AW26" s="189">
        <v>-188511465.19999999</v>
      </c>
      <c r="AX26" s="189">
        <v>-174457658.94</v>
      </c>
      <c r="AY26" s="189">
        <v>-72346810.180000007</v>
      </c>
      <c r="AZ26" s="189">
        <v>-67679186.909999996</v>
      </c>
      <c r="BA26" s="189">
        <v>-8849762.4900000002</v>
      </c>
      <c r="BB26" s="189">
        <v>-27047051.25</v>
      </c>
      <c r="BC26" s="189">
        <v>-22196227.52</v>
      </c>
      <c r="BD26" s="189">
        <v>-18596257.140000001</v>
      </c>
      <c r="BE26" s="189">
        <v>-74101235.209999993</v>
      </c>
      <c r="BF26" s="189">
        <v>-46850694.270000003</v>
      </c>
      <c r="BG26" s="189">
        <v>-22052476.420000002</v>
      </c>
      <c r="BH26" s="189">
        <v>-10954288.76</v>
      </c>
      <c r="BI26" s="189">
        <v>-130106616.77</v>
      </c>
      <c r="BJ26" s="189">
        <v>-69472654.769999996</v>
      </c>
      <c r="BK26" s="189">
        <v>-54184883.329999998</v>
      </c>
      <c r="BL26" s="189">
        <v>-20822092.690000001</v>
      </c>
      <c r="BM26" s="189">
        <v>-228693409.59</v>
      </c>
      <c r="BN26" s="189">
        <v>-75530855.170000002</v>
      </c>
      <c r="BO26" s="189">
        <v>-177461948.00999999</v>
      </c>
      <c r="BP26" s="189">
        <v>-164275519.34999999</v>
      </c>
      <c r="BQ26" s="189">
        <v>-21510579.559999999</v>
      </c>
      <c r="BR26" s="189">
        <v>-9551550.2400000002</v>
      </c>
      <c r="BS26" s="189">
        <v>-1426339.92</v>
      </c>
      <c r="BT26" s="189">
        <v>3634814.93</v>
      </c>
      <c r="BU26" s="189">
        <v>0</v>
      </c>
    </row>
    <row r="27" spans="1:73">
      <c r="A27" s="189" t="s">
        <v>243</v>
      </c>
    </row>
    <row r="28" spans="1:73">
      <c r="A28" s="189" t="s">
        <v>244</v>
      </c>
      <c r="B28" s="189">
        <v>0</v>
      </c>
      <c r="C28" s="189">
        <v>0</v>
      </c>
      <c r="D28" s="189">
        <v>0</v>
      </c>
      <c r="E28" s="189">
        <v>0</v>
      </c>
      <c r="F28" s="189">
        <v>0</v>
      </c>
      <c r="G28" s="189">
        <v>0</v>
      </c>
      <c r="H28" s="189">
        <v>0</v>
      </c>
      <c r="I28" s="189">
        <v>0</v>
      </c>
      <c r="J28" s="189">
        <v>0</v>
      </c>
      <c r="K28" s="189">
        <v>0</v>
      </c>
      <c r="L28" s="189">
        <v>0</v>
      </c>
      <c r="M28" s="189">
        <v>4718402459</v>
      </c>
      <c r="N28" s="189">
        <v>0</v>
      </c>
      <c r="O28" s="189">
        <v>0</v>
      </c>
      <c r="P28" s="189">
        <v>0</v>
      </c>
      <c r="Q28" s="189">
        <v>1731828177</v>
      </c>
      <c r="R28" s="189">
        <v>1731828177.25</v>
      </c>
      <c r="S28" s="189">
        <v>0</v>
      </c>
      <c r="T28" s="189">
        <v>0</v>
      </c>
      <c r="U28" s="189">
        <v>0</v>
      </c>
      <c r="V28" s="189">
        <v>0</v>
      </c>
      <c r="W28" s="189">
        <v>0</v>
      </c>
      <c r="X28" s="189">
        <v>0</v>
      </c>
      <c r="Y28" s="189">
        <v>0</v>
      </c>
      <c r="Z28" s="189">
        <v>0</v>
      </c>
      <c r="AA28" s="189">
        <v>0</v>
      </c>
      <c r="AB28" s="189">
        <v>0</v>
      </c>
      <c r="AC28" s="189">
        <v>168000000</v>
      </c>
      <c r="AD28" s="189">
        <v>168000000</v>
      </c>
      <c r="AE28" s="189">
        <v>168000000</v>
      </c>
      <c r="AF28" s="189">
        <v>168000000</v>
      </c>
      <c r="AG28" s="189">
        <v>443600000</v>
      </c>
      <c r="AH28" s="189">
        <v>252000000</v>
      </c>
      <c r="AI28" s="189">
        <v>252000000</v>
      </c>
      <c r="AJ28" s="189">
        <v>252000000</v>
      </c>
      <c r="AK28" s="189">
        <v>411600000</v>
      </c>
      <c r="AL28" s="189">
        <v>159600000</v>
      </c>
      <c r="AM28" s="189">
        <v>159600000</v>
      </c>
      <c r="AN28" s="189">
        <v>159600000</v>
      </c>
      <c r="AO28" s="189">
        <v>8400000</v>
      </c>
      <c r="AP28" s="189">
        <v>8400000</v>
      </c>
      <c r="AQ28" s="189">
        <v>0</v>
      </c>
      <c r="AR28" s="189">
        <v>0</v>
      </c>
      <c r="AS28" s="189">
        <v>844375775</v>
      </c>
      <c r="AT28" s="189">
        <v>739785775</v>
      </c>
      <c r="AU28" s="189">
        <v>216300000</v>
      </c>
      <c r="AV28" s="189">
        <v>58710000</v>
      </c>
      <c r="AW28" s="189">
        <v>0</v>
      </c>
      <c r="AX28" s="189">
        <v>0</v>
      </c>
      <c r="AY28" s="189">
        <v>0</v>
      </c>
      <c r="AZ28" s="189">
        <v>0</v>
      </c>
      <c r="BA28" s="189">
        <v>0</v>
      </c>
      <c r="BB28" s="189">
        <v>0</v>
      </c>
      <c r="BC28" s="189">
        <v>0</v>
      </c>
      <c r="BD28" s="189">
        <v>0</v>
      </c>
      <c r="BE28" s="189">
        <v>0</v>
      </c>
      <c r="BF28" s="189">
        <v>0</v>
      </c>
      <c r="BG28" s="189">
        <v>0</v>
      </c>
      <c r="BH28" s="189">
        <v>0</v>
      </c>
      <c r="BI28" s="189">
        <v>0</v>
      </c>
      <c r="BJ28" s="189">
        <v>0</v>
      </c>
      <c r="BK28" s="189">
        <v>0</v>
      </c>
      <c r="BL28" s="189">
        <v>0</v>
      </c>
      <c r="BM28" s="189">
        <v>0</v>
      </c>
      <c r="BN28" s="189">
        <v>0</v>
      </c>
      <c r="BO28" s="189">
        <v>352476938.44</v>
      </c>
      <c r="BP28" s="189">
        <v>355232846.62</v>
      </c>
      <c r="BQ28" s="189">
        <v>0</v>
      </c>
      <c r="BR28" s="189">
        <v>0</v>
      </c>
      <c r="BS28" s="189">
        <v>0</v>
      </c>
      <c r="BT28" s="189">
        <v>132036190.93000001</v>
      </c>
      <c r="BU28" s="189">
        <v>0</v>
      </c>
    </row>
    <row r="29" spans="1:73">
      <c r="A29" s="189" t="s">
        <v>245</v>
      </c>
      <c r="B29" s="189">
        <v>0</v>
      </c>
      <c r="C29" s="189">
        <v>0</v>
      </c>
      <c r="D29" s="189">
        <v>0</v>
      </c>
      <c r="E29" s="189">
        <v>0</v>
      </c>
      <c r="F29" s="189">
        <v>0</v>
      </c>
      <c r="G29" s="189">
        <v>0</v>
      </c>
      <c r="H29" s="189">
        <v>0</v>
      </c>
      <c r="I29" s="189">
        <v>0</v>
      </c>
      <c r="J29" s="189">
        <v>0</v>
      </c>
      <c r="K29" s="189">
        <v>0</v>
      </c>
      <c r="L29" s="189">
        <v>0</v>
      </c>
      <c r="M29" s="189">
        <v>0</v>
      </c>
      <c r="N29" s="189">
        <v>0</v>
      </c>
      <c r="O29" s="189">
        <v>0</v>
      </c>
      <c r="P29" s="189">
        <v>0</v>
      </c>
      <c r="Q29" s="189">
        <v>0</v>
      </c>
      <c r="R29" s="189">
        <v>0</v>
      </c>
      <c r="S29" s="189">
        <v>0</v>
      </c>
      <c r="T29" s="189">
        <v>0</v>
      </c>
      <c r="U29" s="189">
        <v>0</v>
      </c>
      <c r="V29" s="189">
        <v>0</v>
      </c>
      <c r="W29" s="189">
        <v>0</v>
      </c>
      <c r="X29" s="189">
        <v>0</v>
      </c>
      <c r="Y29" s="189">
        <v>0</v>
      </c>
      <c r="Z29" s="189">
        <v>0</v>
      </c>
      <c r="AA29" s="189">
        <v>0</v>
      </c>
      <c r="AB29" s="189">
        <v>0</v>
      </c>
      <c r="AC29" s="189">
        <v>168000000</v>
      </c>
      <c r="AD29" s="189">
        <v>168000000</v>
      </c>
      <c r="AE29" s="189">
        <v>168000000</v>
      </c>
      <c r="AF29" s="189">
        <v>168000000</v>
      </c>
      <c r="AG29" s="189">
        <v>252000000</v>
      </c>
      <c r="AH29" s="189">
        <v>252000000</v>
      </c>
      <c r="AI29" s="189">
        <v>252000000</v>
      </c>
      <c r="AJ29" s="189">
        <v>252000000</v>
      </c>
      <c r="AK29" s="189">
        <v>411600000</v>
      </c>
      <c r="AL29" s="189">
        <v>159600000</v>
      </c>
      <c r="AM29" s="189">
        <v>159600000</v>
      </c>
      <c r="AN29" s="189">
        <v>0</v>
      </c>
      <c r="AO29" s="189">
        <v>0</v>
      </c>
      <c r="AP29" s="189">
        <v>0</v>
      </c>
      <c r="AQ29" s="189">
        <v>0</v>
      </c>
      <c r="AR29" s="189">
        <v>0</v>
      </c>
      <c r="AS29" s="189">
        <v>360500000</v>
      </c>
      <c r="AT29" s="189">
        <v>0</v>
      </c>
      <c r="AU29" s="189">
        <v>216300000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c r="BR29" s="189">
        <v>0</v>
      </c>
      <c r="BS29" s="189">
        <v>0</v>
      </c>
      <c r="BT29" s="189">
        <v>0</v>
      </c>
      <c r="BU29" s="189">
        <v>0</v>
      </c>
    </row>
    <row r="30" spans="1:73">
      <c r="A30" s="189" t="s">
        <v>246</v>
      </c>
      <c r="B30" s="189">
        <v>9461488209.8600006</v>
      </c>
      <c r="C30" s="189">
        <v>6291488209.8599997</v>
      </c>
      <c r="D30" s="189">
        <v>3728268955.5799999</v>
      </c>
      <c r="E30" s="189">
        <v>6360000000</v>
      </c>
      <c r="F30" s="189">
        <v>4235000000</v>
      </c>
      <c r="G30" s="189">
        <v>3200000000</v>
      </c>
      <c r="H30" s="189">
        <v>2050000000</v>
      </c>
      <c r="I30" s="189">
        <v>664000000</v>
      </c>
      <c r="J30" s="189">
        <v>664000000</v>
      </c>
      <c r="K30" s="189">
        <v>414000000</v>
      </c>
      <c r="L30" s="189">
        <v>414000000</v>
      </c>
      <c r="M30" s="189">
        <v>1968799090</v>
      </c>
      <c r="N30" s="189">
        <v>3168758855</v>
      </c>
      <c r="O30" s="189">
        <v>3118567328</v>
      </c>
      <c r="P30" s="189">
        <v>1457307026.8800001</v>
      </c>
      <c r="Q30" s="189">
        <v>1776183168</v>
      </c>
      <c r="R30" s="189">
        <v>864611363.09000003</v>
      </c>
      <c r="S30" s="189">
        <v>172147721</v>
      </c>
      <c r="T30" s="189">
        <v>88320202.689999998</v>
      </c>
      <c r="U30" s="189">
        <v>1174797578</v>
      </c>
      <c r="V30" s="189">
        <v>896087802</v>
      </c>
      <c r="W30" s="189">
        <v>589743158</v>
      </c>
      <c r="X30" s="189">
        <v>152637919.30000001</v>
      </c>
      <c r="Y30" s="189">
        <v>884459569</v>
      </c>
      <c r="Z30" s="189">
        <v>645497467</v>
      </c>
      <c r="AA30" s="189">
        <v>487170808</v>
      </c>
      <c r="AB30" s="189">
        <v>89834466.969999999</v>
      </c>
      <c r="AC30" s="189">
        <v>1164828803</v>
      </c>
      <c r="AD30" s="189">
        <v>746705474.14999998</v>
      </c>
      <c r="AE30" s="189">
        <v>656534608</v>
      </c>
      <c r="AF30" s="189">
        <v>184085277.21000001</v>
      </c>
      <c r="AG30" s="189">
        <v>1369688120</v>
      </c>
      <c r="AH30" s="189">
        <v>1461479592.6099999</v>
      </c>
      <c r="AI30" s="189">
        <v>1353479592.6099999</v>
      </c>
      <c r="AJ30" s="189">
        <v>429741048.72000003</v>
      </c>
      <c r="AK30" s="189">
        <v>1656783116.1500001</v>
      </c>
      <c r="AL30" s="189">
        <v>758995498.63999999</v>
      </c>
      <c r="AM30" s="189">
        <v>521909881.35000002</v>
      </c>
      <c r="AN30" s="189">
        <v>116000000</v>
      </c>
      <c r="AO30" s="189">
        <v>636523352.91999996</v>
      </c>
      <c r="AP30" s="189">
        <v>654341788.37</v>
      </c>
      <c r="AQ30" s="189">
        <v>552089592.91999996</v>
      </c>
      <c r="AR30" s="189">
        <v>390191709.17000002</v>
      </c>
      <c r="AS30" s="189">
        <v>2610157606.2399998</v>
      </c>
      <c r="AT30" s="189">
        <v>2421619800.52</v>
      </c>
      <c r="AU30" s="189">
        <v>1808238470.4200001</v>
      </c>
      <c r="AV30" s="189">
        <v>105898337.09</v>
      </c>
      <c r="AW30" s="189">
        <v>460598500.05000001</v>
      </c>
      <c r="AX30" s="189">
        <v>288351000</v>
      </c>
      <c r="AY30" s="189">
        <v>253351000</v>
      </c>
      <c r="AZ30" s="189">
        <v>110351000</v>
      </c>
      <c r="BA30" s="189">
        <v>577861000</v>
      </c>
      <c r="BB30" s="189">
        <v>507861000</v>
      </c>
      <c r="BC30" s="189">
        <v>357861000</v>
      </c>
      <c r="BD30" s="189">
        <v>173293500</v>
      </c>
      <c r="BE30" s="189">
        <v>678988900</v>
      </c>
      <c r="BF30" s="189">
        <v>456291400</v>
      </c>
      <c r="BG30" s="189">
        <v>346291400</v>
      </c>
      <c r="BH30" s="189">
        <v>99830100</v>
      </c>
      <c r="BI30" s="189">
        <v>415231262.00999999</v>
      </c>
      <c r="BJ30" s="189">
        <v>299012862.00999999</v>
      </c>
      <c r="BK30" s="189">
        <v>218454092.00999999</v>
      </c>
      <c r="BL30" s="189">
        <v>30331092</v>
      </c>
      <c r="BM30" s="189">
        <v>353915708.75999999</v>
      </c>
      <c r="BN30" s="189">
        <v>120000000</v>
      </c>
      <c r="BO30" s="189">
        <v>95615000</v>
      </c>
      <c r="BP30" s="189">
        <v>30000000</v>
      </c>
      <c r="BQ30" s="189">
        <v>36446094.75</v>
      </c>
      <c r="BR30" s="189">
        <v>91570707</v>
      </c>
      <c r="BS30" s="189">
        <v>41081100.520000003</v>
      </c>
      <c r="BT30" s="189">
        <v>0</v>
      </c>
      <c r="BU30" s="189">
        <v>0</v>
      </c>
    </row>
    <row r="31" spans="1:73">
      <c r="A31" s="189" t="s">
        <v>247</v>
      </c>
      <c r="B31" s="189">
        <v>0</v>
      </c>
      <c r="C31" s="189">
        <v>0</v>
      </c>
      <c r="D31" s="189">
        <v>0</v>
      </c>
      <c r="E31" s="189">
        <v>0</v>
      </c>
      <c r="F31" s="189">
        <v>0</v>
      </c>
      <c r="G31" s="189">
        <v>0</v>
      </c>
      <c r="H31" s="189">
        <v>0</v>
      </c>
      <c r="I31" s="189">
        <v>0</v>
      </c>
      <c r="J31" s="189">
        <v>0</v>
      </c>
      <c r="K31" s="189">
        <v>0</v>
      </c>
      <c r="L31" s="189">
        <v>0</v>
      </c>
      <c r="M31" s="189">
        <v>0</v>
      </c>
      <c r="N31" s="189">
        <v>0</v>
      </c>
      <c r="O31" s="189">
        <v>0</v>
      </c>
      <c r="P31" s="189">
        <v>0</v>
      </c>
      <c r="Q31" s="189">
        <v>0</v>
      </c>
      <c r="R31" s="189">
        <v>0</v>
      </c>
      <c r="S31" s="189">
        <v>0</v>
      </c>
      <c r="T31" s="189">
        <v>0</v>
      </c>
      <c r="U31" s="189">
        <v>0</v>
      </c>
      <c r="V31" s="189">
        <v>0</v>
      </c>
      <c r="W31" s="189">
        <v>0</v>
      </c>
      <c r="X31" s="189">
        <v>0</v>
      </c>
      <c r="Y31" s="189">
        <v>0</v>
      </c>
      <c r="Z31" s="189">
        <v>0</v>
      </c>
      <c r="AA31" s="189">
        <v>0</v>
      </c>
      <c r="AB31" s="189">
        <v>0</v>
      </c>
      <c r="AC31" s="189">
        <v>0</v>
      </c>
      <c r="AD31" s="189">
        <v>0</v>
      </c>
      <c r="AE31" s="189">
        <v>0</v>
      </c>
      <c r="AF31" s="189">
        <v>0</v>
      </c>
      <c r="AG31" s="189">
        <v>0</v>
      </c>
      <c r="AH31" s="189">
        <v>0</v>
      </c>
      <c r="AI31" s="189">
        <v>0</v>
      </c>
      <c r="AJ31" s="189">
        <v>0</v>
      </c>
      <c r="AK31" s="189">
        <v>0</v>
      </c>
      <c r="AL31" s="189">
        <v>0</v>
      </c>
      <c r="AM31" s="189">
        <v>0</v>
      </c>
      <c r="AN31" s="189">
        <v>0</v>
      </c>
      <c r="AO31" s="189">
        <v>0</v>
      </c>
      <c r="AP31" s="189">
        <v>0</v>
      </c>
      <c r="AQ31" s="189">
        <v>0</v>
      </c>
      <c r="AR31" s="189">
        <v>0</v>
      </c>
      <c r="AS31" s="189">
        <v>0</v>
      </c>
      <c r="AT31" s="189">
        <v>0</v>
      </c>
      <c r="AU31" s="189">
        <v>0</v>
      </c>
      <c r="AV31" s="189">
        <v>0</v>
      </c>
      <c r="AW31" s="189">
        <v>0</v>
      </c>
      <c r="AX31" s="189">
        <v>0</v>
      </c>
      <c r="AY31" s="189">
        <v>0</v>
      </c>
      <c r="AZ31" s="189">
        <v>0</v>
      </c>
      <c r="BA31" s="189">
        <v>0</v>
      </c>
      <c r="BB31" s="189">
        <v>0</v>
      </c>
      <c r="BC31" s="189">
        <v>0</v>
      </c>
      <c r="BD31" s="189">
        <v>0</v>
      </c>
      <c r="BE31" s="189">
        <v>0</v>
      </c>
      <c r="BF31" s="189">
        <v>0</v>
      </c>
      <c r="BG31" s="189">
        <v>0</v>
      </c>
      <c r="BH31" s="189">
        <v>0</v>
      </c>
      <c r="BI31" s="189">
        <v>0</v>
      </c>
      <c r="BJ31" s="189">
        <v>0</v>
      </c>
      <c r="BK31" s="189">
        <v>0</v>
      </c>
      <c r="BL31" s="189">
        <v>0</v>
      </c>
      <c r="BM31" s="189">
        <v>0</v>
      </c>
      <c r="BN31" s="189">
        <v>0</v>
      </c>
      <c r="BO31" s="189">
        <v>0</v>
      </c>
      <c r="BP31" s="189">
        <v>0</v>
      </c>
      <c r="BQ31" s="189">
        <v>0</v>
      </c>
      <c r="BR31" s="189">
        <v>0</v>
      </c>
      <c r="BS31" s="189">
        <v>0</v>
      </c>
      <c r="BT31" s="189">
        <v>0</v>
      </c>
      <c r="BU31" s="189">
        <v>0</v>
      </c>
    </row>
    <row r="32" spans="1:73">
      <c r="A32" s="189" t="s">
        <v>248</v>
      </c>
      <c r="B32" s="189">
        <v>495000000</v>
      </c>
      <c r="C32" s="189">
        <v>495000000</v>
      </c>
      <c r="D32" s="189">
        <v>0</v>
      </c>
      <c r="E32" s="189">
        <v>0</v>
      </c>
      <c r="F32" s="189">
        <v>0</v>
      </c>
      <c r="G32" s="189">
        <v>0</v>
      </c>
      <c r="H32" s="189">
        <v>0</v>
      </c>
      <c r="I32" s="189">
        <v>344.04</v>
      </c>
      <c r="J32" s="189">
        <v>344.04</v>
      </c>
      <c r="K32" s="189">
        <v>344</v>
      </c>
      <c r="L32" s="189">
        <v>344.03</v>
      </c>
      <c r="M32" s="189">
        <v>14</v>
      </c>
      <c r="N32" s="189">
        <v>14.07</v>
      </c>
      <c r="O32" s="189">
        <v>0</v>
      </c>
      <c r="P32" s="189">
        <v>0</v>
      </c>
      <c r="Q32" s="189">
        <v>3423</v>
      </c>
      <c r="R32" s="189">
        <v>3422.36</v>
      </c>
      <c r="S32" s="189">
        <v>0</v>
      </c>
      <c r="T32" s="189">
        <v>0</v>
      </c>
      <c r="U32" s="189">
        <v>0</v>
      </c>
      <c r="V32" s="189">
        <v>0</v>
      </c>
      <c r="W32" s="189">
        <v>0</v>
      </c>
      <c r="X32" s="189">
        <v>0</v>
      </c>
      <c r="Y32" s="189">
        <v>0</v>
      </c>
      <c r="Z32" s="189">
        <v>0</v>
      </c>
      <c r="AA32" s="189">
        <v>0</v>
      </c>
      <c r="AB32" s="189">
        <v>0</v>
      </c>
      <c r="AC32" s="189">
        <v>0</v>
      </c>
      <c r="AD32" s="189">
        <v>0</v>
      </c>
      <c r="AE32" s="189">
        <v>10000000</v>
      </c>
      <c r="AF32" s="189">
        <v>0</v>
      </c>
      <c r="AG32" s="189">
        <v>70000000</v>
      </c>
      <c r="AH32" s="189">
        <v>70000000</v>
      </c>
      <c r="AI32" s="189">
        <v>65000000</v>
      </c>
      <c r="AJ32" s="189">
        <v>0</v>
      </c>
      <c r="AK32" s="189">
        <v>88820880.670000002</v>
      </c>
      <c r="AL32" s="189">
        <v>87820880.670000002</v>
      </c>
      <c r="AM32" s="189">
        <v>37811878.710000001</v>
      </c>
      <c r="AN32" s="189">
        <v>32811878.710000001</v>
      </c>
      <c r="AO32" s="189">
        <v>15842000</v>
      </c>
      <c r="AP32" s="189">
        <v>0</v>
      </c>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400000</v>
      </c>
      <c r="BF32" s="189">
        <v>400022</v>
      </c>
      <c r="BG32" s="189">
        <v>400022</v>
      </c>
      <c r="BH32" s="189">
        <v>0</v>
      </c>
      <c r="BI32" s="189">
        <v>1157100</v>
      </c>
      <c r="BJ32" s="189">
        <v>0</v>
      </c>
      <c r="BK32" s="189">
        <v>0</v>
      </c>
      <c r="BL32" s="189">
        <v>0</v>
      </c>
      <c r="BM32" s="189">
        <v>0</v>
      </c>
      <c r="BN32" s="189">
        <v>1472649.34</v>
      </c>
      <c r="BO32" s="189">
        <v>20000000</v>
      </c>
      <c r="BP32" s="189">
        <v>0</v>
      </c>
      <c r="BQ32" s="189">
        <v>0</v>
      </c>
      <c r="BR32" s="189">
        <v>0</v>
      </c>
      <c r="BS32" s="189">
        <v>0</v>
      </c>
      <c r="BT32" s="189">
        <v>0</v>
      </c>
      <c r="BU32" s="189">
        <v>0</v>
      </c>
    </row>
    <row r="33" spans="1:73">
      <c r="A33" s="189" t="s">
        <v>249</v>
      </c>
      <c r="B33" s="189">
        <v>9956488209.8600006</v>
      </c>
      <c r="C33" s="189">
        <v>6786488209.8599997</v>
      </c>
      <c r="D33" s="189">
        <v>3728268955.5799999</v>
      </c>
      <c r="E33" s="189">
        <v>6360000000</v>
      </c>
      <c r="F33" s="189">
        <v>4235000000</v>
      </c>
      <c r="G33" s="189">
        <v>3200000000</v>
      </c>
      <c r="H33" s="189">
        <v>2050000000</v>
      </c>
      <c r="I33" s="189">
        <v>664000344.03999996</v>
      </c>
      <c r="J33" s="189">
        <v>664000344.03999996</v>
      </c>
      <c r="K33" s="189">
        <v>414000344</v>
      </c>
      <c r="L33" s="189">
        <v>414000344.02999997</v>
      </c>
      <c r="M33" s="189">
        <v>6687201563</v>
      </c>
      <c r="N33" s="189">
        <v>3168758869.0700002</v>
      </c>
      <c r="O33" s="189">
        <v>3118567328</v>
      </c>
      <c r="P33" s="189">
        <v>1457307026.8800001</v>
      </c>
      <c r="Q33" s="189">
        <v>3508014768</v>
      </c>
      <c r="R33" s="189">
        <v>2596442962.6999998</v>
      </c>
      <c r="S33" s="189">
        <v>172147721</v>
      </c>
      <c r="T33" s="189">
        <v>88320202.689999998</v>
      </c>
      <c r="U33" s="189">
        <v>1174797578</v>
      </c>
      <c r="V33" s="189">
        <v>896087802</v>
      </c>
      <c r="W33" s="189">
        <v>589743158</v>
      </c>
      <c r="X33" s="189">
        <v>152637919.30000001</v>
      </c>
      <c r="Y33" s="189">
        <v>884459569</v>
      </c>
      <c r="Z33" s="189">
        <v>645497467</v>
      </c>
      <c r="AA33" s="189">
        <v>487170808</v>
      </c>
      <c r="AB33" s="189">
        <v>89834466.969999999</v>
      </c>
      <c r="AC33" s="189">
        <v>1332828803</v>
      </c>
      <c r="AD33" s="189">
        <v>914705474.14999998</v>
      </c>
      <c r="AE33" s="189">
        <v>834534608</v>
      </c>
      <c r="AF33" s="189">
        <v>352085277.20999998</v>
      </c>
      <c r="AG33" s="189">
        <v>1883288120</v>
      </c>
      <c r="AH33" s="189">
        <v>1783479592.6099999</v>
      </c>
      <c r="AI33" s="189">
        <v>1670479592.6099999</v>
      </c>
      <c r="AJ33" s="189">
        <v>681741048.72000003</v>
      </c>
      <c r="AK33" s="189">
        <v>2157203996.8200002</v>
      </c>
      <c r="AL33" s="189">
        <v>1006416379.3099999</v>
      </c>
      <c r="AM33" s="189">
        <v>719321760.05999994</v>
      </c>
      <c r="AN33" s="189">
        <v>308411878.70999998</v>
      </c>
      <c r="AO33" s="189">
        <v>660765352.91999996</v>
      </c>
      <c r="AP33" s="189">
        <v>662741788.37</v>
      </c>
      <c r="AQ33" s="189">
        <v>552089592.91999996</v>
      </c>
      <c r="AR33" s="189">
        <v>390191709.17000002</v>
      </c>
      <c r="AS33" s="189">
        <v>3454533381.2399998</v>
      </c>
      <c r="AT33" s="189">
        <v>3161405575.52</v>
      </c>
      <c r="AU33" s="189">
        <v>2024538470.4200001</v>
      </c>
      <c r="AV33" s="189">
        <v>164608337.09</v>
      </c>
      <c r="AW33" s="189">
        <v>460598500.05000001</v>
      </c>
      <c r="AX33" s="189">
        <v>288351000</v>
      </c>
      <c r="AY33" s="189">
        <v>253351000</v>
      </c>
      <c r="AZ33" s="189">
        <v>110351000</v>
      </c>
      <c r="BA33" s="189">
        <v>577861000</v>
      </c>
      <c r="BB33" s="189">
        <v>507861000</v>
      </c>
      <c r="BC33" s="189">
        <v>357861000</v>
      </c>
      <c r="BD33" s="189">
        <v>173293500</v>
      </c>
      <c r="BE33" s="189">
        <v>679388900</v>
      </c>
      <c r="BF33" s="189">
        <v>456691422</v>
      </c>
      <c r="BG33" s="189">
        <v>346691422</v>
      </c>
      <c r="BH33" s="189">
        <v>99830100</v>
      </c>
      <c r="BI33" s="189">
        <v>416388362.00999999</v>
      </c>
      <c r="BJ33" s="189">
        <v>299012862.00999999</v>
      </c>
      <c r="BK33" s="189">
        <v>218454092.00999999</v>
      </c>
      <c r="BL33" s="189">
        <v>30331092</v>
      </c>
      <c r="BM33" s="189">
        <v>353915708.75999999</v>
      </c>
      <c r="BN33" s="189">
        <v>121472649.34</v>
      </c>
      <c r="BO33" s="189">
        <v>468091938.44</v>
      </c>
      <c r="BP33" s="189">
        <v>385232846.62</v>
      </c>
      <c r="BQ33" s="189">
        <v>36446094.75</v>
      </c>
      <c r="BR33" s="189">
        <v>91570707</v>
      </c>
      <c r="BS33" s="189">
        <v>41081100.520000003</v>
      </c>
      <c r="BT33" s="189">
        <v>132036190.93000001</v>
      </c>
      <c r="BU33" s="189">
        <v>0</v>
      </c>
    </row>
    <row r="34" spans="1:73">
      <c r="A34" s="189" t="s">
        <v>250</v>
      </c>
      <c r="B34" s="189">
        <v>8792069236.25</v>
      </c>
      <c r="C34" s="189">
        <v>5707367280.6700001</v>
      </c>
      <c r="D34" s="189">
        <v>2414890593.7800002</v>
      </c>
      <c r="E34" s="189">
        <v>974000000</v>
      </c>
      <c r="F34" s="189">
        <v>464000000</v>
      </c>
      <c r="G34" s="189">
        <v>14000000</v>
      </c>
      <c r="H34" s="189">
        <v>14000000</v>
      </c>
      <c r="I34" s="189">
        <v>1446000000</v>
      </c>
      <c r="J34" s="189">
        <v>990000000</v>
      </c>
      <c r="K34" s="189">
        <v>740000000</v>
      </c>
      <c r="L34" s="189">
        <v>301681597.22000003</v>
      </c>
      <c r="M34" s="189">
        <v>2346712490</v>
      </c>
      <c r="N34" s="189">
        <v>2217183540.5599999</v>
      </c>
      <c r="O34" s="189">
        <v>1038303945</v>
      </c>
      <c r="P34" s="189">
        <v>321856327.49000001</v>
      </c>
      <c r="Q34" s="189">
        <v>5065158561</v>
      </c>
      <c r="R34" s="189">
        <v>1671152695.8399999</v>
      </c>
      <c r="S34" s="189">
        <v>556074279</v>
      </c>
      <c r="T34" s="189">
        <v>127982039.39</v>
      </c>
      <c r="U34" s="189">
        <v>1640125197</v>
      </c>
      <c r="V34" s="189">
        <v>1081593107</v>
      </c>
      <c r="W34" s="189">
        <v>811933900</v>
      </c>
      <c r="X34" s="189">
        <v>152854558.71000001</v>
      </c>
      <c r="Y34" s="189">
        <v>1228022751</v>
      </c>
      <c r="Z34" s="189">
        <v>698640833</v>
      </c>
      <c r="AA34" s="189">
        <v>466595344</v>
      </c>
      <c r="AB34" s="189">
        <v>169713833.41999999</v>
      </c>
      <c r="AC34" s="189">
        <v>1264538110</v>
      </c>
      <c r="AD34" s="189">
        <v>813044578.07000005</v>
      </c>
      <c r="AE34" s="189">
        <v>415048590</v>
      </c>
      <c r="AF34" s="189">
        <v>174891139.65000001</v>
      </c>
      <c r="AG34" s="189">
        <v>1090007385</v>
      </c>
      <c r="AH34" s="189">
        <v>848268478.51999998</v>
      </c>
      <c r="AI34" s="189">
        <v>621424115.79999995</v>
      </c>
      <c r="AJ34" s="189">
        <v>124664099.56999999</v>
      </c>
      <c r="AK34" s="189">
        <v>495299761.08999997</v>
      </c>
      <c r="AL34" s="189">
        <v>173104561.09</v>
      </c>
      <c r="AM34" s="189">
        <v>18895361.09</v>
      </c>
      <c r="AN34" s="189">
        <v>18895361.09</v>
      </c>
      <c r="AO34" s="189">
        <v>256236641.93000001</v>
      </c>
      <c r="AP34" s="189">
        <v>172916788.59999999</v>
      </c>
      <c r="AQ34" s="189">
        <v>100000000</v>
      </c>
      <c r="AR34" s="189">
        <v>0</v>
      </c>
      <c r="AS34" s="189">
        <v>1122687456.1900001</v>
      </c>
      <c r="AT34" s="189">
        <v>778429839.05999994</v>
      </c>
      <c r="AU34" s="189">
        <v>343429839.06</v>
      </c>
      <c r="AV34" s="189">
        <v>73429839.060000002</v>
      </c>
      <c r="AW34" s="189">
        <v>419157000</v>
      </c>
      <c r="AX34" s="189">
        <v>221157000</v>
      </c>
      <c r="AY34" s="189">
        <v>161157000</v>
      </c>
      <c r="AZ34" s="189">
        <v>61157000</v>
      </c>
      <c r="BA34" s="189">
        <v>728678500</v>
      </c>
      <c r="BB34" s="189">
        <v>565357094.77999997</v>
      </c>
      <c r="BC34" s="189">
        <v>394414000</v>
      </c>
      <c r="BD34" s="189">
        <v>209659000</v>
      </c>
      <c r="BE34" s="189">
        <v>519398788.06999999</v>
      </c>
      <c r="BF34" s="189">
        <v>388014700</v>
      </c>
      <c r="BG34" s="189">
        <v>277767000</v>
      </c>
      <c r="BH34" s="189">
        <v>45000000</v>
      </c>
      <c r="BI34" s="189">
        <v>377493662</v>
      </c>
      <c r="BJ34" s="189">
        <v>285044092</v>
      </c>
      <c r="BK34" s="189">
        <v>180331092</v>
      </c>
      <c r="BL34" s="189">
        <v>331092</v>
      </c>
      <c r="BM34" s="189">
        <v>165507958.21000001</v>
      </c>
      <c r="BN34" s="189">
        <v>40684307.689999998</v>
      </c>
      <c r="BO34" s="189">
        <v>177174751.63</v>
      </c>
      <c r="BP34" s="189">
        <v>64104306.780000001</v>
      </c>
      <c r="BQ34" s="189">
        <v>0</v>
      </c>
      <c r="BR34" s="189">
        <v>0</v>
      </c>
      <c r="BS34" s="189">
        <v>0</v>
      </c>
      <c r="BT34" s="189">
        <v>55723279.43</v>
      </c>
      <c r="BU34" s="189">
        <v>0</v>
      </c>
    </row>
    <row r="35" spans="1:73">
      <c r="A35" s="189" t="s">
        <v>550</v>
      </c>
      <c r="B35" s="189">
        <v>788853293.71000004</v>
      </c>
      <c r="C35" s="189">
        <v>539971496.07000005</v>
      </c>
      <c r="D35" s="189">
        <v>338165389.13</v>
      </c>
      <c r="E35" s="189">
        <v>204399970.78</v>
      </c>
      <c r="F35" s="189">
        <v>177890707.09</v>
      </c>
      <c r="G35" s="189">
        <v>56206507.439999998</v>
      </c>
      <c r="H35" s="189">
        <v>26562660.23</v>
      </c>
      <c r="I35" s="189">
        <v>127106967.52</v>
      </c>
      <c r="J35" s="189">
        <v>109460705.55</v>
      </c>
      <c r="K35" s="189">
        <v>19269420</v>
      </c>
      <c r="L35" s="189">
        <v>7977240.5800000001</v>
      </c>
      <c r="M35" s="189">
        <v>209249093</v>
      </c>
      <c r="N35" s="189">
        <v>197294563.09</v>
      </c>
      <c r="O35" s="189">
        <v>73307660</v>
      </c>
      <c r="P35" s="189">
        <v>23395366.649999999</v>
      </c>
      <c r="Q35" s="189">
        <v>312446394</v>
      </c>
      <c r="R35" s="189">
        <v>205609342.97</v>
      </c>
      <c r="S35" s="189">
        <v>61087678</v>
      </c>
      <c r="T35" s="189">
        <v>31730130.57</v>
      </c>
      <c r="U35" s="189">
        <v>207213114</v>
      </c>
      <c r="V35" s="189">
        <v>176276926</v>
      </c>
      <c r="W35" s="189">
        <v>114514922</v>
      </c>
      <c r="X35" s="189">
        <v>41654052.329999998</v>
      </c>
      <c r="Y35" s="189">
        <v>181552705</v>
      </c>
      <c r="Z35" s="189">
        <v>142775432</v>
      </c>
      <c r="AA35" s="189">
        <v>92874486</v>
      </c>
      <c r="AB35" s="189">
        <v>45589896.079999998</v>
      </c>
      <c r="AC35" s="189">
        <v>186632796</v>
      </c>
      <c r="AD35" s="189">
        <v>112099126</v>
      </c>
      <c r="AE35" s="189">
        <v>86473409</v>
      </c>
      <c r="AF35" s="189">
        <v>41637412.159999996</v>
      </c>
      <c r="AG35" s="189">
        <v>173138328</v>
      </c>
      <c r="AH35" s="189">
        <v>126625655.68000001</v>
      </c>
      <c r="AI35" s="189">
        <v>79721015.140000001</v>
      </c>
      <c r="AJ35" s="189">
        <v>28167938</v>
      </c>
      <c r="AK35" s="189">
        <v>140642462.12</v>
      </c>
      <c r="AL35" s="189">
        <v>105947848.22</v>
      </c>
      <c r="AM35" s="189">
        <v>72148460.129999995</v>
      </c>
      <c r="AN35" s="189">
        <v>35258736.030000001</v>
      </c>
      <c r="AO35" s="189">
        <v>190280457.50999999</v>
      </c>
      <c r="AP35" s="189">
        <v>153264390.05000001</v>
      </c>
      <c r="AQ35" s="189">
        <v>113227856.5</v>
      </c>
      <c r="AR35" s="189">
        <v>2155375</v>
      </c>
      <c r="AS35" s="189">
        <v>142744600.37</v>
      </c>
      <c r="AT35" s="189">
        <v>96892340.290000007</v>
      </c>
      <c r="AU35" s="189">
        <v>72516963.549999997</v>
      </c>
      <c r="AV35" s="189">
        <v>3967548.74</v>
      </c>
      <c r="AW35" s="189">
        <v>33839776.840000004</v>
      </c>
      <c r="AX35" s="189">
        <v>27250201.57</v>
      </c>
      <c r="AY35" s="189">
        <v>21856636.940000001</v>
      </c>
      <c r="AZ35" s="189">
        <v>3827689.67</v>
      </c>
      <c r="BA35" s="189">
        <v>45695867.700000003</v>
      </c>
      <c r="BB35" s="189">
        <v>40582405.850000001</v>
      </c>
      <c r="BC35" s="189">
        <v>30703266.449999999</v>
      </c>
      <c r="BD35" s="189">
        <v>4853395.68</v>
      </c>
      <c r="BE35" s="189">
        <v>14898978.93</v>
      </c>
      <c r="BF35" s="189">
        <v>10429961.33</v>
      </c>
      <c r="BG35" s="189">
        <v>6464720.8399999999</v>
      </c>
      <c r="BH35" s="189">
        <v>3012368.68</v>
      </c>
      <c r="BI35" s="189">
        <v>15555376.34</v>
      </c>
      <c r="BJ35" s="189">
        <v>11315522.039999999</v>
      </c>
      <c r="BK35" s="189">
        <v>8148165.2999999998</v>
      </c>
      <c r="BL35" s="189">
        <v>4245483.07</v>
      </c>
      <c r="BM35" s="189">
        <v>0</v>
      </c>
      <c r="BN35" s="189">
        <v>3943574.29</v>
      </c>
      <c r="BO35" s="189">
        <v>32980790.789999999</v>
      </c>
      <c r="BP35" s="189">
        <v>19143654.32</v>
      </c>
      <c r="BQ35" s="189">
        <v>20170693.41</v>
      </c>
      <c r="BR35" s="189">
        <v>81854769</v>
      </c>
      <c r="BS35" s="189">
        <v>31403557.739999998</v>
      </c>
      <c r="BT35" s="189">
        <v>51576779.75</v>
      </c>
      <c r="BU35" s="189">
        <v>0</v>
      </c>
    </row>
    <row r="36" spans="1:73">
      <c r="A36" s="189" t="s">
        <v>251</v>
      </c>
      <c r="B36" s="189">
        <v>0</v>
      </c>
      <c r="C36" s="189">
        <v>0</v>
      </c>
      <c r="D36" s="189">
        <v>0</v>
      </c>
      <c r="E36" s="189">
        <v>0</v>
      </c>
      <c r="F36" s="189">
        <v>0</v>
      </c>
      <c r="G36" s="189">
        <v>0</v>
      </c>
      <c r="H36" s="189">
        <v>0</v>
      </c>
      <c r="I36" s="189">
        <v>0</v>
      </c>
      <c r="J36" s="189">
        <v>0</v>
      </c>
      <c r="K36" s="189">
        <v>0</v>
      </c>
      <c r="L36" s="189">
        <v>0</v>
      </c>
      <c r="M36" s="189">
        <v>0</v>
      </c>
      <c r="N36" s="189">
        <v>0</v>
      </c>
      <c r="O36" s="189">
        <v>0</v>
      </c>
      <c r="P36" s="189">
        <v>0</v>
      </c>
      <c r="Q36" s="189">
        <v>0</v>
      </c>
      <c r="R36" s="189">
        <v>0</v>
      </c>
      <c r="S36" s="189">
        <v>0</v>
      </c>
      <c r="T36" s="189">
        <v>0</v>
      </c>
      <c r="U36" s="189">
        <v>24500000</v>
      </c>
      <c r="V36" s="189">
        <v>0</v>
      </c>
      <c r="W36" s="189">
        <v>0</v>
      </c>
      <c r="X36" s="189">
        <v>0</v>
      </c>
      <c r="Y36" s="189">
        <v>0</v>
      </c>
      <c r="Z36" s="189">
        <v>0</v>
      </c>
      <c r="AA36" s="189">
        <v>0</v>
      </c>
      <c r="AB36" s="189">
        <v>0</v>
      </c>
      <c r="AC36" s="189">
        <v>0</v>
      </c>
      <c r="AD36" s="189">
        <v>0</v>
      </c>
      <c r="AE36" s="189">
        <v>0</v>
      </c>
      <c r="AF36" s="189">
        <v>0</v>
      </c>
      <c r="AG36" s="189">
        <v>0</v>
      </c>
      <c r="AH36" s="189">
        <v>0</v>
      </c>
      <c r="AI36" s="189">
        <v>0</v>
      </c>
      <c r="AJ36" s="189">
        <v>0</v>
      </c>
      <c r="AK36" s="189">
        <v>0</v>
      </c>
      <c r="AL36" s="189">
        <v>0</v>
      </c>
      <c r="AM36" s="189">
        <v>0</v>
      </c>
      <c r="AN36" s="189">
        <v>0</v>
      </c>
      <c r="AO36" s="189">
        <v>0</v>
      </c>
      <c r="AP36" s="189">
        <v>0</v>
      </c>
      <c r="AQ36" s="189">
        <v>0</v>
      </c>
      <c r="AR36" s="189">
        <v>0</v>
      </c>
      <c r="AS36" s="189">
        <v>917593.78</v>
      </c>
      <c r="AT36" s="189">
        <v>0</v>
      </c>
      <c r="AU36" s="189">
        <v>0</v>
      </c>
      <c r="AV36" s="189">
        <v>0</v>
      </c>
      <c r="AW36" s="189">
        <v>0</v>
      </c>
      <c r="AX36" s="189">
        <v>0</v>
      </c>
      <c r="AY36" s="189">
        <v>0</v>
      </c>
      <c r="AZ36" s="189">
        <v>0</v>
      </c>
      <c r="BA36" s="189">
        <v>0</v>
      </c>
      <c r="BB36" s="189">
        <v>0</v>
      </c>
      <c r="BC36" s="189">
        <v>0</v>
      </c>
      <c r="BD36" s="189">
        <v>0</v>
      </c>
      <c r="BE36" s="189">
        <v>0</v>
      </c>
      <c r="BF36" s="189">
        <v>0</v>
      </c>
      <c r="BG36" s="189">
        <v>0</v>
      </c>
      <c r="BH36" s="189">
        <v>0</v>
      </c>
      <c r="BI36" s="189">
        <v>0</v>
      </c>
      <c r="BJ36" s="189">
        <v>0</v>
      </c>
      <c r="BK36" s="189">
        <v>0</v>
      </c>
      <c r="BL36" s="189">
        <v>0</v>
      </c>
      <c r="BM36" s="189">
        <v>0</v>
      </c>
      <c r="BN36" s="189">
        <v>0</v>
      </c>
      <c r="BO36" s="189">
        <v>0</v>
      </c>
      <c r="BP36" s="189">
        <v>0</v>
      </c>
      <c r="BQ36" s="189">
        <v>0</v>
      </c>
      <c r="BR36" s="189">
        <v>0</v>
      </c>
      <c r="BS36" s="189">
        <v>0</v>
      </c>
      <c r="BT36" s="189">
        <v>0</v>
      </c>
      <c r="BU36" s="189">
        <v>0</v>
      </c>
    </row>
    <row r="37" spans="1:73">
      <c r="A37" s="189" t="s">
        <v>252</v>
      </c>
      <c r="B37" s="189">
        <v>6164702.4299999997</v>
      </c>
      <c r="C37" s="189">
        <v>6164702.4299999997</v>
      </c>
      <c r="D37" s="189">
        <v>514702.43</v>
      </c>
      <c r="E37" s="189">
        <v>0</v>
      </c>
      <c r="F37" s="189">
        <v>0</v>
      </c>
      <c r="G37" s="189">
        <v>0</v>
      </c>
      <c r="H37" s="189">
        <v>0</v>
      </c>
      <c r="I37" s="189">
        <v>45790640</v>
      </c>
      <c r="J37" s="189">
        <v>45790640</v>
      </c>
      <c r="K37" s="189">
        <v>45790640</v>
      </c>
      <c r="L37" s="189">
        <v>0</v>
      </c>
      <c r="M37" s="189">
        <v>0</v>
      </c>
      <c r="N37" s="189">
        <v>0</v>
      </c>
      <c r="O37" s="189">
        <v>0</v>
      </c>
      <c r="P37" s="189">
        <v>0</v>
      </c>
      <c r="Q37" s="189">
        <v>125367078</v>
      </c>
      <c r="R37" s="189">
        <v>124279130.20999999</v>
      </c>
      <c r="S37" s="189">
        <v>3739130</v>
      </c>
      <c r="T37" s="189">
        <v>0</v>
      </c>
      <c r="U37" s="189">
        <v>1677573</v>
      </c>
      <c r="V37" s="189">
        <v>0</v>
      </c>
      <c r="W37" s="189">
        <v>0</v>
      </c>
      <c r="X37" s="189">
        <v>0</v>
      </c>
      <c r="Y37" s="189">
        <v>0</v>
      </c>
      <c r="Z37" s="189">
        <v>0</v>
      </c>
      <c r="AA37" s="189">
        <v>0</v>
      </c>
      <c r="AB37" s="189">
        <v>0</v>
      </c>
      <c r="AC37" s="189">
        <v>41006377</v>
      </c>
      <c r="AD37" s="189">
        <v>255759.1</v>
      </c>
      <c r="AE37" s="189">
        <v>60255759</v>
      </c>
      <c r="AF37" s="189">
        <v>255759.1</v>
      </c>
      <c r="AG37" s="189">
        <v>3899283</v>
      </c>
      <c r="AH37" s="189">
        <v>3489590.35</v>
      </c>
      <c r="AI37" s="189">
        <v>2300000</v>
      </c>
      <c r="AJ37" s="189">
        <v>0</v>
      </c>
      <c r="AK37" s="189">
        <v>0</v>
      </c>
      <c r="AL37" s="189">
        <v>0</v>
      </c>
      <c r="AM37" s="189">
        <v>0</v>
      </c>
      <c r="AN37" s="189">
        <v>0</v>
      </c>
      <c r="AO37" s="189">
        <v>416000</v>
      </c>
      <c r="AP37" s="189">
        <v>0</v>
      </c>
      <c r="AQ37" s="189">
        <v>0</v>
      </c>
      <c r="AR37" s="189">
        <v>0</v>
      </c>
      <c r="AS37" s="189">
        <v>5421996.0099999998</v>
      </c>
      <c r="AT37" s="189">
        <v>5181121.22</v>
      </c>
      <c r="AU37" s="189">
        <v>5432442.1699999999</v>
      </c>
      <c r="AV37" s="189">
        <v>0</v>
      </c>
      <c r="AW37" s="189">
        <v>3043861.58</v>
      </c>
      <c r="AX37" s="189">
        <v>314335.25</v>
      </c>
      <c r="AY37" s="189">
        <v>314335.25</v>
      </c>
      <c r="AZ37" s="189">
        <v>0</v>
      </c>
      <c r="BA37" s="189">
        <v>448295</v>
      </c>
      <c r="BB37" s="189">
        <v>236370.9</v>
      </c>
      <c r="BC37" s="189">
        <v>36370.9</v>
      </c>
      <c r="BD37" s="189">
        <v>0</v>
      </c>
      <c r="BE37" s="189">
        <v>43622.91</v>
      </c>
      <c r="BF37" s="189">
        <v>0</v>
      </c>
      <c r="BG37" s="189">
        <v>0</v>
      </c>
      <c r="BH37" s="189">
        <v>0</v>
      </c>
      <c r="BI37" s="189">
        <v>0</v>
      </c>
      <c r="BJ37" s="189">
        <v>0</v>
      </c>
      <c r="BK37" s="189">
        <v>160000</v>
      </c>
      <c r="BL37" s="189">
        <v>0</v>
      </c>
      <c r="BM37" s="189">
        <v>29563059.550000001</v>
      </c>
      <c r="BN37" s="189">
        <v>522394.64</v>
      </c>
      <c r="BO37" s="189">
        <v>2257285.6800000002</v>
      </c>
      <c r="BP37" s="189">
        <v>0</v>
      </c>
      <c r="BQ37" s="189">
        <v>0</v>
      </c>
      <c r="BR37" s="189">
        <v>0</v>
      </c>
      <c r="BS37" s="189">
        <v>132000</v>
      </c>
      <c r="BT37" s="189">
        <v>0</v>
      </c>
      <c r="BU37" s="189">
        <v>0</v>
      </c>
    </row>
    <row r="38" spans="1:73">
      <c r="A38" s="189" t="s">
        <v>253</v>
      </c>
      <c r="B38" s="189">
        <v>9587087232.3899994</v>
      </c>
      <c r="C38" s="189">
        <v>6253503479.1700001</v>
      </c>
      <c r="D38" s="189">
        <v>2753570685.3400002</v>
      </c>
      <c r="E38" s="189">
        <v>1178399970.78</v>
      </c>
      <c r="F38" s="189">
        <v>641890707.09000003</v>
      </c>
      <c r="G38" s="189">
        <v>70206507.439999998</v>
      </c>
      <c r="H38" s="189">
        <v>40562660.229999997</v>
      </c>
      <c r="I38" s="189">
        <v>1618897607.52</v>
      </c>
      <c r="J38" s="189">
        <v>1145251345.55</v>
      </c>
      <c r="K38" s="189">
        <v>805060060</v>
      </c>
      <c r="L38" s="189">
        <v>309658837.80000001</v>
      </c>
      <c r="M38" s="189">
        <v>3049560924</v>
      </c>
      <c r="N38" s="189">
        <v>2414478103.6500001</v>
      </c>
      <c r="O38" s="189">
        <v>1111611605</v>
      </c>
      <c r="P38" s="189">
        <v>345251694.13999999</v>
      </c>
      <c r="Q38" s="189">
        <v>5502972033</v>
      </c>
      <c r="R38" s="189">
        <v>2001041169.02</v>
      </c>
      <c r="S38" s="189">
        <v>620901087</v>
      </c>
      <c r="T38" s="189">
        <v>159712169.96000001</v>
      </c>
      <c r="U38" s="189">
        <v>1849015884</v>
      </c>
      <c r="V38" s="189">
        <v>1257870033</v>
      </c>
      <c r="W38" s="189">
        <v>926448822</v>
      </c>
      <c r="X38" s="189">
        <v>194508611.03999999</v>
      </c>
      <c r="Y38" s="189">
        <v>1409575456</v>
      </c>
      <c r="Z38" s="189">
        <v>841416265</v>
      </c>
      <c r="AA38" s="189">
        <v>559469830</v>
      </c>
      <c r="AB38" s="189">
        <v>215303729.5</v>
      </c>
      <c r="AC38" s="189">
        <v>1492177283</v>
      </c>
      <c r="AD38" s="189">
        <v>925399463.16999996</v>
      </c>
      <c r="AE38" s="189">
        <v>561777758</v>
      </c>
      <c r="AF38" s="189">
        <v>216784310.91</v>
      </c>
      <c r="AG38" s="189">
        <v>1267044996</v>
      </c>
      <c r="AH38" s="189">
        <v>978383724.54999995</v>
      </c>
      <c r="AI38" s="189">
        <v>703445130.94000006</v>
      </c>
      <c r="AJ38" s="189">
        <v>152832037.56999999</v>
      </c>
      <c r="AK38" s="189">
        <v>635942223.21000004</v>
      </c>
      <c r="AL38" s="189">
        <v>279052409.31</v>
      </c>
      <c r="AM38" s="189">
        <v>91043821.219999999</v>
      </c>
      <c r="AN38" s="189">
        <v>54154097.119999997</v>
      </c>
      <c r="AO38" s="189">
        <v>446933099.44</v>
      </c>
      <c r="AP38" s="189">
        <v>326181178.64999998</v>
      </c>
      <c r="AQ38" s="189">
        <v>213227856.5</v>
      </c>
      <c r="AR38" s="189">
        <v>2155375</v>
      </c>
      <c r="AS38" s="189">
        <v>1270854052.5699999</v>
      </c>
      <c r="AT38" s="189">
        <v>880503300.57000005</v>
      </c>
      <c r="AU38" s="189">
        <v>421379244.77999997</v>
      </c>
      <c r="AV38" s="189">
        <v>77397387.799999997</v>
      </c>
      <c r="AW38" s="189">
        <v>456040638.42000002</v>
      </c>
      <c r="AX38" s="189">
        <v>248721536.81999999</v>
      </c>
      <c r="AY38" s="189">
        <v>183327972.19</v>
      </c>
      <c r="AZ38" s="189">
        <v>64984689.670000002</v>
      </c>
      <c r="BA38" s="189">
        <v>774822662.70000005</v>
      </c>
      <c r="BB38" s="189">
        <v>606175871.52999997</v>
      </c>
      <c r="BC38" s="189">
        <v>425153637.35000002</v>
      </c>
      <c r="BD38" s="189">
        <v>214512395.68000001</v>
      </c>
      <c r="BE38" s="189">
        <v>534341389.91000003</v>
      </c>
      <c r="BF38" s="189">
        <v>398444661.32999998</v>
      </c>
      <c r="BG38" s="189">
        <v>284231720.83999997</v>
      </c>
      <c r="BH38" s="189">
        <v>48012368.68</v>
      </c>
      <c r="BI38" s="189">
        <v>393049038.33999997</v>
      </c>
      <c r="BJ38" s="189">
        <v>296359614.04000002</v>
      </c>
      <c r="BK38" s="189">
        <v>188639257.30000001</v>
      </c>
      <c r="BL38" s="189">
        <v>4576575.07</v>
      </c>
      <c r="BM38" s="189">
        <v>195071017.75999999</v>
      </c>
      <c r="BN38" s="189">
        <v>45150276.619999997</v>
      </c>
      <c r="BO38" s="189">
        <v>212412828.09999999</v>
      </c>
      <c r="BP38" s="189">
        <v>83247961.099999994</v>
      </c>
      <c r="BQ38" s="189">
        <v>20170693.41</v>
      </c>
      <c r="BR38" s="189">
        <v>81854769</v>
      </c>
      <c r="BS38" s="189">
        <v>31535557.739999998</v>
      </c>
      <c r="BT38" s="189">
        <v>107300059.18000001</v>
      </c>
      <c r="BU38" s="189">
        <v>0</v>
      </c>
    </row>
    <row r="39" spans="1:73">
      <c r="A39" s="189" t="s">
        <v>254</v>
      </c>
      <c r="B39" s="189">
        <v>369400977.47000003</v>
      </c>
      <c r="C39" s="189">
        <v>532984730.69</v>
      </c>
      <c r="D39" s="189">
        <v>974698270.24000001</v>
      </c>
      <c r="E39" s="189">
        <v>5181600029.2200003</v>
      </c>
      <c r="F39" s="189">
        <v>3593109292.9099998</v>
      </c>
      <c r="G39" s="189">
        <v>3129793492.5599999</v>
      </c>
      <c r="H39" s="189">
        <v>2009437339.77</v>
      </c>
      <c r="I39" s="189">
        <v>-954897263.48000002</v>
      </c>
      <c r="J39" s="189">
        <v>-481251001.50999999</v>
      </c>
      <c r="K39" s="189">
        <v>-391059716</v>
      </c>
      <c r="L39" s="189">
        <v>104341506.23</v>
      </c>
      <c r="M39" s="189">
        <v>3637640639</v>
      </c>
      <c r="N39" s="189">
        <v>754280765.41999996</v>
      </c>
      <c r="O39" s="189">
        <v>2006955723</v>
      </c>
      <c r="P39" s="189">
        <v>1112055332.74</v>
      </c>
      <c r="Q39" s="189">
        <v>-1994957265</v>
      </c>
      <c r="R39" s="189">
        <v>595401793.67999995</v>
      </c>
      <c r="S39" s="189">
        <v>-448753366</v>
      </c>
      <c r="T39" s="189">
        <v>-71391967.269999996</v>
      </c>
      <c r="U39" s="189">
        <v>-674218306</v>
      </c>
      <c r="V39" s="189">
        <v>-361782231</v>
      </c>
      <c r="W39" s="189">
        <v>-336705664</v>
      </c>
      <c r="X39" s="189">
        <v>-41870691.740000002</v>
      </c>
      <c r="Y39" s="189">
        <v>-525115887</v>
      </c>
      <c r="Z39" s="189">
        <v>-195918798</v>
      </c>
      <c r="AA39" s="189">
        <v>-72299022</v>
      </c>
      <c r="AB39" s="189">
        <v>-125469262.53</v>
      </c>
      <c r="AC39" s="189">
        <v>-159348480</v>
      </c>
      <c r="AD39" s="189">
        <v>-10693989.02</v>
      </c>
      <c r="AE39" s="189">
        <v>272756850</v>
      </c>
      <c r="AF39" s="189">
        <v>135300966.30000001</v>
      </c>
      <c r="AG39" s="189">
        <v>616243124</v>
      </c>
      <c r="AH39" s="189">
        <v>805095868.05999994</v>
      </c>
      <c r="AI39" s="189">
        <v>967034461.66999996</v>
      </c>
      <c r="AJ39" s="189">
        <v>528909011.14999998</v>
      </c>
      <c r="AK39" s="189">
        <v>1521261773.6099999</v>
      </c>
      <c r="AL39" s="189">
        <v>727363970</v>
      </c>
      <c r="AM39" s="189">
        <v>628277938.84000003</v>
      </c>
      <c r="AN39" s="189">
        <v>254257781.59</v>
      </c>
      <c r="AO39" s="189">
        <v>213832253.47999999</v>
      </c>
      <c r="AP39" s="189">
        <v>336560609.72000003</v>
      </c>
      <c r="AQ39" s="189">
        <v>338861736.42000002</v>
      </c>
      <c r="AR39" s="189">
        <v>388036334.17000002</v>
      </c>
      <c r="AS39" s="189">
        <v>2183679328.6700001</v>
      </c>
      <c r="AT39" s="189">
        <v>2280902274.9499998</v>
      </c>
      <c r="AU39" s="189">
        <v>1603159225.6400001</v>
      </c>
      <c r="AV39" s="189">
        <v>87210949.290000007</v>
      </c>
      <c r="AW39" s="189">
        <v>4557861.63</v>
      </c>
      <c r="AX39" s="189">
        <v>39629463.18</v>
      </c>
      <c r="AY39" s="189">
        <v>70023027.810000002</v>
      </c>
      <c r="AZ39" s="189">
        <v>45366310.329999998</v>
      </c>
      <c r="BA39" s="189">
        <v>-196961662.69999999</v>
      </c>
      <c r="BB39" s="189">
        <v>-98314871.530000001</v>
      </c>
      <c r="BC39" s="189">
        <v>-67292637.349999994</v>
      </c>
      <c r="BD39" s="189">
        <v>-41218895.68</v>
      </c>
      <c r="BE39" s="189">
        <v>145047510.09</v>
      </c>
      <c r="BF39" s="189">
        <v>58246760.670000002</v>
      </c>
      <c r="BG39" s="189">
        <v>62459701.159999996</v>
      </c>
      <c r="BH39" s="189">
        <v>51817731.32</v>
      </c>
      <c r="BI39" s="189">
        <v>23339323.670000002</v>
      </c>
      <c r="BJ39" s="189">
        <v>2653247.9700000002</v>
      </c>
      <c r="BK39" s="189">
        <v>29814834.710000001</v>
      </c>
      <c r="BL39" s="189">
        <v>25754516.93</v>
      </c>
      <c r="BM39" s="189">
        <v>158844691</v>
      </c>
      <c r="BN39" s="189">
        <v>76322372.719999999</v>
      </c>
      <c r="BO39" s="189">
        <v>255679110.34</v>
      </c>
      <c r="BP39" s="189">
        <v>301984885.51999998</v>
      </c>
      <c r="BQ39" s="189">
        <v>16275401.34</v>
      </c>
      <c r="BR39" s="189">
        <v>9715938</v>
      </c>
      <c r="BS39" s="189">
        <v>9545542.7799999993</v>
      </c>
      <c r="BT39" s="189">
        <v>24736131.75</v>
      </c>
      <c r="BU39" s="189">
        <v>0</v>
      </c>
    </row>
    <row r="40" spans="1:73">
      <c r="A40" s="189" t="s">
        <v>255</v>
      </c>
      <c r="B40" s="189">
        <v>32479939.210000001</v>
      </c>
      <c r="C40" s="189">
        <v>-6087871.1399999997</v>
      </c>
      <c r="D40" s="189">
        <v>-68963909.260000005</v>
      </c>
      <c r="E40" s="189">
        <v>-72768609.200000003</v>
      </c>
      <c r="F40" s="189">
        <v>-54226301.359999999</v>
      </c>
      <c r="G40" s="189">
        <v>-20293453.41</v>
      </c>
      <c r="H40" s="189">
        <v>-12713112.359999999</v>
      </c>
      <c r="I40" s="189">
        <v>142072540.74000001</v>
      </c>
      <c r="J40" s="189">
        <v>87392417.599999994</v>
      </c>
      <c r="K40" s="189">
        <v>71778160</v>
      </c>
      <c r="L40" s="189">
        <v>4363617.9800000004</v>
      </c>
      <c r="M40" s="189">
        <v>58397490</v>
      </c>
      <c r="N40" s="189">
        <v>12550563.92</v>
      </c>
      <c r="O40" s="189">
        <v>-5448572</v>
      </c>
      <c r="P40" s="189">
        <v>-3127702.11</v>
      </c>
      <c r="Q40" s="189">
        <v>-18782774</v>
      </c>
      <c r="R40" s="189">
        <v>-2911453.4</v>
      </c>
      <c r="S40" s="189">
        <v>3447091</v>
      </c>
      <c r="T40" s="189">
        <v>2388460.7999999998</v>
      </c>
      <c r="U40" s="189">
        <v>-3560581</v>
      </c>
      <c r="V40" s="189">
        <v>-8101569</v>
      </c>
      <c r="W40" s="189">
        <v>-4784490</v>
      </c>
      <c r="X40" s="189">
        <v>-1702054.43</v>
      </c>
      <c r="Y40" s="189">
        <v>-288952</v>
      </c>
      <c r="Z40" s="189">
        <v>312370</v>
      </c>
      <c r="AA40" s="189">
        <v>415726</v>
      </c>
      <c r="AB40" s="189">
        <v>-194798.7</v>
      </c>
      <c r="AC40" s="189">
        <v>-3545372</v>
      </c>
      <c r="AD40" s="189">
        <v>0</v>
      </c>
      <c r="AE40" s="189">
        <v>-1288819</v>
      </c>
      <c r="AF40" s="189">
        <v>0</v>
      </c>
      <c r="AG40" s="189">
        <v>980926</v>
      </c>
      <c r="AH40" s="189">
        <v>0</v>
      </c>
      <c r="AI40" s="189">
        <v>0</v>
      </c>
      <c r="AJ40" s="189">
        <v>0</v>
      </c>
      <c r="AK40" s="189">
        <v>0</v>
      </c>
      <c r="AL40" s="189">
        <v>0</v>
      </c>
      <c r="AM40" s="189">
        <v>0</v>
      </c>
      <c r="AN40" s="189">
        <v>0</v>
      </c>
      <c r="AO40" s="189">
        <v>0</v>
      </c>
      <c r="AP40" s="189">
        <v>0</v>
      </c>
      <c r="AQ40" s="189">
        <v>0</v>
      </c>
      <c r="AR40" s="189">
        <v>0</v>
      </c>
      <c r="AS40" s="189">
        <v>0</v>
      </c>
      <c r="AT40" s="189">
        <v>0</v>
      </c>
      <c r="AU40" s="189">
        <v>0</v>
      </c>
      <c r="AV40" s="189">
        <v>0</v>
      </c>
      <c r="AW40" s="189">
        <v>0</v>
      </c>
      <c r="AX40" s="189">
        <v>0</v>
      </c>
      <c r="AY40" s="189">
        <v>0</v>
      </c>
      <c r="AZ40" s="189">
        <v>0</v>
      </c>
      <c r="BA40" s="189">
        <v>0</v>
      </c>
      <c r="BB40" s="189">
        <v>0</v>
      </c>
      <c r="BC40" s="189">
        <v>0</v>
      </c>
      <c r="BD40" s="189">
        <v>0</v>
      </c>
      <c r="BE40" s="189">
        <v>0</v>
      </c>
      <c r="BF40" s="189">
        <v>0</v>
      </c>
      <c r="BG40" s="189">
        <v>0</v>
      </c>
      <c r="BH40" s="189">
        <v>0</v>
      </c>
      <c r="BI40" s="189">
        <v>0</v>
      </c>
      <c r="BJ40" s="189">
        <v>0</v>
      </c>
      <c r="BK40" s="189">
        <v>0</v>
      </c>
      <c r="BL40" s="189">
        <v>0</v>
      </c>
      <c r="BM40" s="189">
        <v>0</v>
      </c>
      <c r="BN40" s="189">
        <v>0</v>
      </c>
      <c r="BO40" s="189">
        <v>-139614.64000000001</v>
      </c>
      <c r="BP40" s="189">
        <v>0</v>
      </c>
      <c r="BQ40" s="189">
        <v>0</v>
      </c>
      <c r="BR40" s="189">
        <v>0</v>
      </c>
      <c r="BS40" s="189">
        <v>-2176070.81</v>
      </c>
      <c r="BT40" s="189">
        <v>-658029.61</v>
      </c>
      <c r="BU40" s="189">
        <v>0</v>
      </c>
    </row>
    <row r="41" spans="1:73">
      <c r="A41" s="189" t="s">
        <v>256</v>
      </c>
      <c r="B41" s="189">
        <v>-1339844167.1500001</v>
      </c>
      <c r="C41" s="189">
        <v>-1809138798.48</v>
      </c>
      <c r="D41" s="189">
        <v>-404246494.74000001</v>
      </c>
      <c r="E41" s="189">
        <v>-301771534.25</v>
      </c>
      <c r="F41" s="189">
        <v>-1367201182.3599999</v>
      </c>
      <c r="G41" s="189">
        <v>-1973708439.1199999</v>
      </c>
      <c r="H41" s="189">
        <v>-2423957150.54</v>
      </c>
      <c r="I41" s="189">
        <v>-2874635546.3400002</v>
      </c>
      <c r="J41" s="189">
        <v>-2275990295.8499999</v>
      </c>
      <c r="K41" s="189">
        <v>-2662927284</v>
      </c>
      <c r="L41" s="189">
        <v>-1798414343.77</v>
      </c>
      <c r="M41" s="189">
        <v>6523782845</v>
      </c>
      <c r="N41" s="189">
        <v>1799652012.55</v>
      </c>
      <c r="O41" s="189">
        <v>2350801542</v>
      </c>
      <c r="P41" s="189">
        <v>1684025603.8900001</v>
      </c>
      <c r="Q41" s="189">
        <v>-418662377</v>
      </c>
      <c r="R41" s="189">
        <v>1970676847.0999999</v>
      </c>
      <c r="S41" s="189">
        <v>-439589621</v>
      </c>
      <c r="T41" s="189">
        <v>-166121986.75</v>
      </c>
      <c r="U41" s="189">
        <v>495553344</v>
      </c>
      <c r="V41" s="189">
        <v>-83977089</v>
      </c>
      <c r="W41" s="189">
        <v>-36547754</v>
      </c>
      <c r="X41" s="189">
        <v>3990407.85</v>
      </c>
      <c r="Y41" s="189">
        <v>-141560218</v>
      </c>
      <c r="Z41" s="189">
        <v>-205109736</v>
      </c>
      <c r="AA41" s="189">
        <v>-118774613</v>
      </c>
      <c r="AB41" s="189">
        <v>36048837.039999999</v>
      </c>
      <c r="AC41" s="189">
        <v>-135947474</v>
      </c>
      <c r="AD41" s="189">
        <v>-51535939.539999999</v>
      </c>
      <c r="AE41" s="189">
        <v>128861436</v>
      </c>
      <c r="AF41" s="189">
        <v>-1817773.21</v>
      </c>
      <c r="AG41" s="189">
        <v>-407026656</v>
      </c>
      <c r="AH41" s="189">
        <v>-279157414.99000001</v>
      </c>
      <c r="AI41" s="189">
        <v>256345370.25</v>
      </c>
      <c r="AJ41" s="189">
        <v>-127373238.64</v>
      </c>
      <c r="AK41" s="189">
        <v>897723478.16999996</v>
      </c>
      <c r="AL41" s="189">
        <v>554731886.95000005</v>
      </c>
      <c r="AM41" s="189">
        <v>464909501.14999998</v>
      </c>
      <c r="AN41" s="189">
        <v>201153057.25</v>
      </c>
      <c r="AO41" s="189">
        <v>-369370482.12</v>
      </c>
      <c r="AP41" s="189">
        <v>-242492098.08000001</v>
      </c>
      <c r="AQ41" s="189">
        <v>-77315684.799999997</v>
      </c>
      <c r="AR41" s="189">
        <v>10632138.25</v>
      </c>
      <c r="AS41" s="189">
        <v>259118522.03999999</v>
      </c>
      <c r="AT41" s="189">
        <v>827323603.37</v>
      </c>
      <c r="AU41" s="189">
        <v>1280386092.1400001</v>
      </c>
      <c r="AV41" s="189">
        <v>-30904899.390000001</v>
      </c>
      <c r="AW41" s="189">
        <v>35552853.990000002</v>
      </c>
      <c r="AX41" s="189">
        <v>76340160.030000001</v>
      </c>
      <c r="AY41" s="189">
        <v>82818887.930000007</v>
      </c>
      <c r="AZ41" s="189">
        <v>65817419.659999996</v>
      </c>
      <c r="BA41" s="189">
        <v>-103084544.98</v>
      </c>
      <c r="BB41" s="189">
        <v>-26888859.559999999</v>
      </c>
      <c r="BC41" s="189">
        <v>-38968006.5</v>
      </c>
      <c r="BD41" s="189">
        <v>-70451379.049999997</v>
      </c>
      <c r="BE41" s="189">
        <v>109754138.15000001</v>
      </c>
      <c r="BF41" s="189">
        <v>-2123259.29</v>
      </c>
      <c r="BG41" s="189">
        <v>42759316.579999998</v>
      </c>
      <c r="BH41" s="189">
        <v>79267406.159999996</v>
      </c>
      <c r="BI41" s="189">
        <v>-106336873.59</v>
      </c>
      <c r="BJ41" s="189">
        <v>-66262099.579999998</v>
      </c>
      <c r="BK41" s="189">
        <v>-30091408.850000001</v>
      </c>
      <c r="BL41" s="189">
        <v>15071275.970000001</v>
      </c>
      <c r="BM41" s="189">
        <v>-22249852.57</v>
      </c>
      <c r="BN41" s="189">
        <v>24672079.879999999</v>
      </c>
      <c r="BO41" s="189">
        <v>157112271.19999999</v>
      </c>
      <c r="BP41" s="189">
        <v>158503911.47</v>
      </c>
      <c r="BQ41" s="189">
        <v>4088368.32</v>
      </c>
      <c r="BR41" s="189">
        <v>4602584.97</v>
      </c>
      <c r="BS41" s="189">
        <v>-16996031.239999998</v>
      </c>
      <c r="BT41" s="189">
        <v>37359224.829999998</v>
      </c>
      <c r="BU41" s="189">
        <v>0</v>
      </c>
    </row>
    <row r="42" spans="1:73">
      <c r="A42" s="189" t="s">
        <v>257</v>
      </c>
      <c r="B42" s="189">
        <v>5340457366.3000002</v>
      </c>
      <c r="C42" s="189">
        <v>5340457366.3000002</v>
      </c>
      <c r="D42" s="189">
        <v>5340457366.3000002</v>
      </c>
      <c r="E42" s="189">
        <v>4459278424.8999996</v>
      </c>
      <c r="F42" s="189">
        <v>4459278424.8999996</v>
      </c>
      <c r="G42" s="189">
        <v>4459278424.8999996</v>
      </c>
      <c r="H42" s="189">
        <v>4459278424.8999996</v>
      </c>
      <c r="I42" s="189">
        <v>7333913971.2399998</v>
      </c>
      <c r="J42" s="189">
        <v>7333913973</v>
      </c>
      <c r="K42" s="189">
        <v>7333913973</v>
      </c>
      <c r="L42" s="189">
        <v>7333913973</v>
      </c>
      <c r="M42" s="189">
        <v>810131128</v>
      </c>
      <c r="N42" s="189">
        <v>810131128.47000003</v>
      </c>
      <c r="O42" s="189">
        <v>810131128</v>
      </c>
      <c r="P42" s="189">
        <v>810131128</v>
      </c>
      <c r="Q42" s="189">
        <v>1228793505</v>
      </c>
      <c r="R42" s="189">
        <v>1231017978</v>
      </c>
      <c r="S42" s="189">
        <v>955188218</v>
      </c>
      <c r="T42" s="189">
        <v>955188218</v>
      </c>
      <c r="U42" s="189">
        <v>459634874</v>
      </c>
      <c r="V42" s="189">
        <v>459634874</v>
      </c>
      <c r="W42" s="189">
        <v>459634874</v>
      </c>
      <c r="X42" s="189">
        <v>472176165.66000003</v>
      </c>
      <c r="Y42" s="189">
        <v>601195092</v>
      </c>
      <c r="Z42" s="189">
        <v>706557840</v>
      </c>
      <c r="AA42" s="189">
        <v>601195092</v>
      </c>
      <c r="AB42" s="189">
        <v>706557840.28999996</v>
      </c>
      <c r="AC42" s="189">
        <v>737142566</v>
      </c>
      <c r="AD42" s="189">
        <v>871651808.71000004</v>
      </c>
      <c r="AE42" s="189">
        <v>737142566</v>
      </c>
      <c r="AF42" s="189">
        <v>871651808.71000004</v>
      </c>
      <c r="AG42" s="189">
        <v>1144169222</v>
      </c>
      <c r="AH42" s="189">
        <v>1187834884.98</v>
      </c>
      <c r="AI42" s="189">
        <v>1187834884.98</v>
      </c>
      <c r="AJ42" s="189">
        <v>1187834884.98</v>
      </c>
      <c r="AK42" s="189">
        <v>246445743.56999999</v>
      </c>
      <c r="AL42" s="189">
        <v>312283728.10000002</v>
      </c>
      <c r="AM42" s="189">
        <v>246445743.56999999</v>
      </c>
      <c r="AN42" s="189">
        <v>312283728.10000002</v>
      </c>
      <c r="AO42" s="189">
        <v>615816225.69000006</v>
      </c>
      <c r="AP42" s="189">
        <v>716927049.91999996</v>
      </c>
      <c r="AQ42" s="189">
        <v>615816225.69000006</v>
      </c>
      <c r="AR42" s="189">
        <v>716927049.91999996</v>
      </c>
      <c r="AS42" s="189">
        <v>356697703.64999998</v>
      </c>
      <c r="AT42" s="189">
        <v>356697703.64999998</v>
      </c>
      <c r="AU42" s="189">
        <v>122356099.13</v>
      </c>
      <c r="AV42" s="189">
        <v>356697703.64999998</v>
      </c>
      <c r="AW42" s="189">
        <v>86803245.140000001</v>
      </c>
      <c r="AX42" s="189">
        <v>86803245.140000001</v>
      </c>
      <c r="AY42" s="189">
        <v>86803245.140000001</v>
      </c>
      <c r="AZ42" s="189">
        <v>86803245.140000001</v>
      </c>
      <c r="BA42" s="189">
        <v>189887790.12</v>
      </c>
      <c r="BB42" s="189">
        <v>189887790.12</v>
      </c>
      <c r="BC42" s="189">
        <v>189887790.12</v>
      </c>
      <c r="BD42" s="189">
        <v>189887790.12</v>
      </c>
      <c r="BE42" s="189">
        <v>80133651.969999999</v>
      </c>
      <c r="BF42" s="189">
        <v>80133651.969999999</v>
      </c>
      <c r="BG42" s="189">
        <v>80133651.969999999</v>
      </c>
      <c r="BH42" s="189">
        <v>80133651.969999999</v>
      </c>
      <c r="BI42" s="189">
        <v>186470525.56</v>
      </c>
      <c r="BJ42" s="189">
        <v>186470525.56</v>
      </c>
      <c r="BK42" s="189">
        <v>186470525.56</v>
      </c>
      <c r="BL42" s="189">
        <v>186470525.56</v>
      </c>
      <c r="BM42" s="189">
        <v>208720378.13</v>
      </c>
      <c r="BN42" s="189">
        <v>211219835.93000001</v>
      </c>
      <c r="BO42" s="189">
        <v>51608106.93</v>
      </c>
      <c r="BP42" s="189">
        <v>58788728.390000001</v>
      </c>
      <c r="BQ42" s="189">
        <v>47519738.609999999</v>
      </c>
      <c r="BR42" s="189">
        <v>47519738.609999999</v>
      </c>
      <c r="BS42" s="189">
        <v>64515769.850000001</v>
      </c>
      <c r="BT42" s="189">
        <v>27156545.02</v>
      </c>
      <c r="BU42" s="189">
        <v>0</v>
      </c>
    </row>
    <row r="43" spans="1:73">
      <c r="A43" s="189" t="s">
        <v>258</v>
      </c>
      <c r="B43" s="189">
        <v>4000613199.1500001</v>
      </c>
      <c r="C43" s="189">
        <v>3531318567.8200002</v>
      </c>
      <c r="D43" s="189">
        <v>4936210871.5600004</v>
      </c>
      <c r="E43" s="189">
        <v>4157506890.6500001</v>
      </c>
      <c r="F43" s="189">
        <v>3092077242.54</v>
      </c>
      <c r="G43" s="189">
        <v>2485569985.7800002</v>
      </c>
      <c r="H43" s="189">
        <v>2035321274.3599999</v>
      </c>
      <c r="I43" s="189">
        <v>4459278424.8999996</v>
      </c>
      <c r="J43" s="189">
        <v>5057923677.1499996</v>
      </c>
      <c r="K43" s="189">
        <v>4670986689</v>
      </c>
      <c r="L43" s="189">
        <v>5535499629.2299995</v>
      </c>
      <c r="M43" s="189">
        <v>7333913973</v>
      </c>
      <c r="N43" s="189">
        <v>2609783141.02</v>
      </c>
      <c r="O43" s="189">
        <v>3160932670</v>
      </c>
      <c r="P43" s="189">
        <v>2494156731.8899999</v>
      </c>
      <c r="Q43" s="189">
        <v>810131128</v>
      </c>
      <c r="R43" s="189">
        <v>3201694825.0999999</v>
      </c>
      <c r="S43" s="189">
        <v>515598597</v>
      </c>
      <c r="T43" s="189">
        <v>789066231.25</v>
      </c>
      <c r="U43" s="189">
        <v>955188218</v>
      </c>
      <c r="V43" s="189">
        <v>375657785</v>
      </c>
      <c r="W43" s="189">
        <v>423087120</v>
      </c>
      <c r="X43" s="189">
        <v>476166573.50999999</v>
      </c>
      <c r="Y43" s="189">
        <v>459634874</v>
      </c>
      <c r="Z43" s="189">
        <v>501448106</v>
      </c>
      <c r="AA43" s="189">
        <v>482420479</v>
      </c>
      <c r="AB43" s="189">
        <v>742606677.33000004</v>
      </c>
      <c r="AC43" s="189">
        <v>601195092</v>
      </c>
      <c r="AD43" s="189">
        <v>820115869.16999996</v>
      </c>
      <c r="AE43" s="189">
        <v>866004002</v>
      </c>
      <c r="AF43" s="189">
        <v>869834035.5</v>
      </c>
      <c r="AG43" s="189">
        <v>737142566</v>
      </c>
      <c r="AH43" s="189">
        <v>908677469.99000001</v>
      </c>
      <c r="AI43" s="189">
        <v>1444180255.23</v>
      </c>
      <c r="AJ43" s="189">
        <v>1060461646.34</v>
      </c>
      <c r="AK43" s="189">
        <v>1144169221.74</v>
      </c>
      <c r="AL43" s="189">
        <v>867015615.04999995</v>
      </c>
      <c r="AM43" s="189">
        <v>711355244.72000003</v>
      </c>
      <c r="AN43" s="189">
        <v>513436785.35000002</v>
      </c>
      <c r="AO43" s="189">
        <v>246445743.56999999</v>
      </c>
      <c r="AP43" s="189">
        <v>474434951.83999997</v>
      </c>
      <c r="AQ43" s="189">
        <v>538500540.88999999</v>
      </c>
      <c r="AR43" s="189">
        <v>727559188.16999996</v>
      </c>
      <c r="AS43" s="189">
        <v>615816225.69000006</v>
      </c>
      <c r="AT43" s="189">
        <v>1184021307.02</v>
      </c>
      <c r="AU43" s="189">
        <v>1637083795.79</v>
      </c>
      <c r="AV43" s="189">
        <v>325792804.25999999</v>
      </c>
      <c r="AW43" s="189">
        <v>122356099.13</v>
      </c>
      <c r="AX43" s="189">
        <v>163143405.16999999</v>
      </c>
      <c r="AY43" s="189">
        <v>169622133.06999999</v>
      </c>
      <c r="AZ43" s="189">
        <v>152620664.80000001</v>
      </c>
      <c r="BA43" s="189">
        <v>86803245.140000001</v>
      </c>
      <c r="BB43" s="189">
        <v>162998930.56</v>
      </c>
      <c r="BC43" s="189">
        <v>150919783.62</v>
      </c>
      <c r="BD43" s="189">
        <v>119436411.06999999</v>
      </c>
      <c r="BE43" s="189">
        <v>189887790.12</v>
      </c>
      <c r="BF43" s="189">
        <v>78010392.680000007</v>
      </c>
      <c r="BG43" s="189">
        <v>122892968.55</v>
      </c>
      <c r="BH43" s="189">
        <v>159401058.13</v>
      </c>
      <c r="BI43" s="189">
        <v>80133651.969999999</v>
      </c>
      <c r="BJ43" s="189">
        <v>120208425.98</v>
      </c>
      <c r="BK43" s="189">
        <v>156379116.71000001</v>
      </c>
      <c r="BL43" s="189">
        <v>201541801.53</v>
      </c>
      <c r="BM43" s="189">
        <v>186470525.56</v>
      </c>
      <c r="BN43" s="189">
        <v>235891915.81</v>
      </c>
      <c r="BO43" s="189">
        <v>208720378.13</v>
      </c>
      <c r="BP43" s="189">
        <v>217292639.86000001</v>
      </c>
      <c r="BQ43" s="189">
        <v>51608106.93</v>
      </c>
      <c r="BR43" s="189">
        <v>52122323.579999998</v>
      </c>
      <c r="BS43" s="189">
        <v>47519738.609999999</v>
      </c>
      <c r="BT43" s="189">
        <v>64515769.850000001</v>
      </c>
      <c r="BU43" s="189">
        <v>0</v>
      </c>
    </row>
    <row r="44" spans="1:73">
      <c r="A44" s="189" t="s">
        <v>259</v>
      </c>
    </row>
    <row r="45" spans="1:73">
      <c r="A45" s="189" t="s">
        <v>260</v>
      </c>
      <c r="B45" s="189">
        <v>0</v>
      </c>
      <c r="C45" s="189">
        <v>840141486.37</v>
      </c>
      <c r="D45" s="189">
        <v>0</v>
      </c>
      <c r="E45" s="189">
        <v>807204315.62</v>
      </c>
      <c r="F45" s="189">
        <v>0</v>
      </c>
      <c r="G45" s="189">
        <v>447737744.69</v>
      </c>
      <c r="H45" s="189">
        <v>0</v>
      </c>
      <c r="I45" s="189">
        <v>569177393.37</v>
      </c>
      <c r="J45" s="189">
        <v>0</v>
      </c>
      <c r="K45" s="189">
        <v>264696892</v>
      </c>
      <c r="L45" s="189">
        <v>0</v>
      </c>
      <c r="M45" s="189">
        <v>555573174</v>
      </c>
      <c r="N45" s="189">
        <v>0</v>
      </c>
      <c r="O45" s="189">
        <v>257859628</v>
      </c>
      <c r="P45" s="189">
        <v>0</v>
      </c>
      <c r="Q45" s="189">
        <v>686930624</v>
      </c>
      <c r="R45" s="189">
        <v>0</v>
      </c>
      <c r="S45" s="189">
        <v>133806234</v>
      </c>
      <c r="T45" s="189">
        <v>0</v>
      </c>
      <c r="U45" s="189">
        <v>285538393</v>
      </c>
      <c r="V45" s="189">
        <v>0</v>
      </c>
      <c r="W45" s="189">
        <v>55324148</v>
      </c>
      <c r="X45" s="189">
        <v>0</v>
      </c>
      <c r="Y45" s="189">
        <v>137560832</v>
      </c>
      <c r="Z45" s="189">
        <v>0</v>
      </c>
      <c r="AA45" s="189">
        <v>38121539</v>
      </c>
      <c r="AB45" s="189">
        <v>0</v>
      </c>
      <c r="AC45" s="189">
        <v>257435132</v>
      </c>
      <c r="AD45" s="189">
        <v>0</v>
      </c>
      <c r="AE45" s="189">
        <v>67951889</v>
      </c>
      <c r="AF45" s="189">
        <v>0</v>
      </c>
      <c r="AG45" s="189">
        <v>140605462</v>
      </c>
      <c r="AH45" s="189">
        <v>0</v>
      </c>
      <c r="AI45" s="189">
        <v>61872064.409999996</v>
      </c>
      <c r="AJ45" s="189">
        <v>0</v>
      </c>
      <c r="AK45" s="189">
        <v>-309900979.81</v>
      </c>
      <c r="AL45" s="189">
        <v>0</v>
      </c>
      <c r="AM45" s="189">
        <v>-98633942.689999998</v>
      </c>
      <c r="AN45" s="189">
        <v>0</v>
      </c>
      <c r="AO45" s="189">
        <v>-71063863.310000002</v>
      </c>
      <c r="AP45" s="189">
        <v>0</v>
      </c>
      <c r="AQ45" s="189">
        <v>42279584.450000003</v>
      </c>
      <c r="AR45" s="189">
        <v>0</v>
      </c>
      <c r="AS45" s="189">
        <v>90395896.829999998</v>
      </c>
      <c r="AT45" s="189">
        <v>0</v>
      </c>
      <c r="AU45" s="189">
        <v>44433352.920000002</v>
      </c>
      <c r="AV45" s="189">
        <v>0</v>
      </c>
      <c r="AW45" s="189">
        <v>93795610.829999998</v>
      </c>
      <c r="AX45" s="189">
        <v>73549970.519999996</v>
      </c>
      <c r="AY45" s="189">
        <v>43007253.630000003</v>
      </c>
      <c r="AZ45" s="189">
        <v>13500425.720000001</v>
      </c>
      <c r="BA45" s="189">
        <v>55402709.310000002</v>
      </c>
      <c r="BB45" s="189">
        <v>38784378.920000002</v>
      </c>
      <c r="BC45" s="189">
        <v>31569016.039999999</v>
      </c>
      <c r="BD45" s="189">
        <v>11555407.74</v>
      </c>
      <c r="BE45" s="189">
        <v>93392474.420000002</v>
      </c>
      <c r="BF45" s="189">
        <v>47396706.810000002</v>
      </c>
      <c r="BG45" s="189">
        <v>35038279.060000002</v>
      </c>
      <c r="BH45" s="189">
        <v>11086522.75</v>
      </c>
      <c r="BI45" s="189">
        <v>46426567.18</v>
      </c>
      <c r="BJ45" s="189">
        <v>26914176.07</v>
      </c>
      <c r="BK45" s="189">
        <v>20242660.239999998</v>
      </c>
      <c r="BL45" s="189">
        <v>11000277.02</v>
      </c>
      <c r="BM45" s="189">
        <v>-34854045.119999997</v>
      </c>
      <c r="BN45" s="189">
        <v>14613972.59</v>
      </c>
      <c r="BO45" s="189">
        <v>24630376.300000001</v>
      </c>
      <c r="BP45" s="189">
        <v>16500464.41</v>
      </c>
      <c r="BQ45" s="189">
        <v>32518007.34</v>
      </c>
      <c r="BR45" s="189">
        <v>15215584.66</v>
      </c>
      <c r="BS45" s="189">
        <v>22006194.899999999</v>
      </c>
      <c r="BT45" s="189">
        <v>28580601.149999999</v>
      </c>
      <c r="BU45" s="189">
        <v>0</v>
      </c>
    </row>
    <row r="46" spans="1:73">
      <c r="A46" s="189" t="s">
        <v>187</v>
      </c>
      <c r="B46" s="189">
        <v>0</v>
      </c>
      <c r="C46" s="189">
        <v>0</v>
      </c>
      <c r="D46" s="189">
        <v>0</v>
      </c>
      <c r="E46" s="189">
        <v>0</v>
      </c>
      <c r="F46" s="189">
        <v>0</v>
      </c>
      <c r="G46" s="189">
        <v>0</v>
      </c>
      <c r="H46" s="189">
        <v>0</v>
      </c>
      <c r="I46" s="189">
        <v>0</v>
      </c>
      <c r="J46" s="189">
        <v>0</v>
      </c>
      <c r="K46" s="189">
        <v>0</v>
      </c>
      <c r="L46" s="189">
        <v>0</v>
      </c>
      <c r="M46" s="189">
        <v>0</v>
      </c>
      <c r="N46" s="189">
        <v>0</v>
      </c>
      <c r="O46" s="189">
        <v>0</v>
      </c>
      <c r="P46" s="189">
        <v>0</v>
      </c>
      <c r="Q46" s="189">
        <v>0</v>
      </c>
      <c r="R46" s="189">
        <v>0</v>
      </c>
      <c r="S46" s="189">
        <v>0</v>
      </c>
      <c r="T46" s="189">
        <v>0</v>
      </c>
      <c r="U46" s="189">
        <v>0</v>
      </c>
      <c r="V46" s="189">
        <v>0</v>
      </c>
      <c r="W46" s="189">
        <v>0</v>
      </c>
      <c r="X46" s="189">
        <v>0</v>
      </c>
      <c r="Y46" s="189">
        <v>0</v>
      </c>
      <c r="Z46" s="189">
        <v>0</v>
      </c>
      <c r="AA46" s="189">
        <v>0</v>
      </c>
      <c r="AB46" s="189">
        <v>0</v>
      </c>
      <c r="AC46" s="189">
        <v>0</v>
      </c>
      <c r="AD46" s="189">
        <v>0</v>
      </c>
      <c r="AE46" s="189">
        <v>0</v>
      </c>
      <c r="AF46" s="189">
        <v>0</v>
      </c>
      <c r="AG46" s="189">
        <v>0</v>
      </c>
      <c r="AH46" s="189">
        <v>0</v>
      </c>
      <c r="AI46" s="189">
        <v>0</v>
      </c>
      <c r="AJ46" s="189">
        <v>0</v>
      </c>
      <c r="AK46" s="189">
        <v>0</v>
      </c>
      <c r="AL46" s="189">
        <v>0</v>
      </c>
      <c r="AM46" s="189">
        <v>-94036906.109999999</v>
      </c>
      <c r="AN46" s="189">
        <v>0</v>
      </c>
      <c r="AO46" s="189">
        <v>0</v>
      </c>
      <c r="AP46" s="189">
        <v>0</v>
      </c>
      <c r="AQ46" s="189">
        <v>-4881067.74</v>
      </c>
      <c r="AR46" s="189">
        <v>0</v>
      </c>
      <c r="AS46" s="189">
        <v>-5041821.16</v>
      </c>
      <c r="AT46" s="189">
        <v>0</v>
      </c>
      <c r="AU46" s="189">
        <v>362687.61</v>
      </c>
      <c r="AV46" s="189">
        <v>0</v>
      </c>
      <c r="AW46" s="189">
        <v>1086844.28</v>
      </c>
      <c r="AX46" s="189">
        <v>139409.98000000001</v>
      </c>
      <c r="AY46" s="189">
        <v>70550.84</v>
      </c>
      <c r="AZ46" s="189">
        <v>243975.48</v>
      </c>
      <c r="BA46" s="189">
        <v>1281519.0900000001</v>
      </c>
      <c r="BB46" s="189">
        <v>0</v>
      </c>
      <c r="BC46" s="189">
        <v>0</v>
      </c>
      <c r="BD46" s="189">
        <v>0</v>
      </c>
      <c r="BE46" s="189">
        <v>0</v>
      </c>
      <c r="BF46" s="189">
        <v>0</v>
      </c>
      <c r="BG46" s="189">
        <v>0</v>
      </c>
      <c r="BH46" s="189">
        <v>0</v>
      </c>
      <c r="BI46" s="189">
        <v>0</v>
      </c>
      <c r="BJ46" s="189">
        <v>0</v>
      </c>
      <c r="BK46" s="189">
        <v>0</v>
      </c>
      <c r="BL46" s="189">
        <v>0</v>
      </c>
      <c r="BM46" s="189">
        <v>0</v>
      </c>
      <c r="BN46" s="189">
        <v>0</v>
      </c>
      <c r="BO46" s="189">
        <v>0</v>
      </c>
      <c r="BP46" s="189">
        <v>0</v>
      </c>
      <c r="BQ46" s="189">
        <v>0</v>
      </c>
      <c r="BR46" s="189">
        <v>0</v>
      </c>
      <c r="BS46" s="189">
        <v>0</v>
      </c>
      <c r="BT46" s="189">
        <v>0</v>
      </c>
      <c r="BU46" s="189">
        <v>0</v>
      </c>
    </row>
    <row r="47" spans="1:73">
      <c r="A47" s="189" t="s">
        <v>261</v>
      </c>
      <c r="B47" s="189">
        <v>0</v>
      </c>
      <c r="C47" s="189">
        <v>0</v>
      </c>
      <c r="D47" s="189">
        <v>0</v>
      </c>
      <c r="E47" s="189">
        <v>0</v>
      </c>
      <c r="F47" s="189">
        <v>0</v>
      </c>
      <c r="G47" s="189">
        <v>0</v>
      </c>
      <c r="H47" s="189">
        <v>0</v>
      </c>
      <c r="I47" s="189">
        <v>0</v>
      </c>
      <c r="J47" s="189">
        <v>0</v>
      </c>
      <c r="K47" s="189">
        <v>0</v>
      </c>
      <c r="L47" s="189">
        <v>0</v>
      </c>
      <c r="M47" s="189">
        <v>0</v>
      </c>
      <c r="N47" s="189">
        <v>0</v>
      </c>
      <c r="O47" s="189">
        <v>0</v>
      </c>
      <c r="P47" s="189">
        <v>0</v>
      </c>
      <c r="Q47" s="189">
        <v>0</v>
      </c>
      <c r="R47" s="189">
        <v>0</v>
      </c>
      <c r="S47" s="189">
        <v>0</v>
      </c>
      <c r="T47" s="189">
        <v>0</v>
      </c>
      <c r="U47" s="189">
        <v>0</v>
      </c>
      <c r="V47" s="189">
        <v>0</v>
      </c>
      <c r="W47" s="189">
        <v>0</v>
      </c>
      <c r="X47" s="189">
        <v>0</v>
      </c>
      <c r="Y47" s="189">
        <v>0</v>
      </c>
      <c r="Z47" s="189">
        <v>0</v>
      </c>
      <c r="AA47" s="189">
        <v>0</v>
      </c>
      <c r="AB47" s="189">
        <v>0</v>
      </c>
      <c r="AC47" s="189">
        <v>0</v>
      </c>
      <c r="AD47" s="189">
        <v>0</v>
      </c>
      <c r="AE47" s="189">
        <v>0</v>
      </c>
      <c r="AF47" s="189">
        <v>0</v>
      </c>
      <c r="AG47" s="189">
        <v>0</v>
      </c>
      <c r="AH47" s="189">
        <v>0</v>
      </c>
      <c r="AI47" s="189">
        <v>0</v>
      </c>
      <c r="AJ47" s="189">
        <v>0</v>
      </c>
      <c r="AK47" s="189">
        <v>0</v>
      </c>
      <c r="AL47" s="189">
        <v>0</v>
      </c>
      <c r="AM47" s="189">
        <v>0</v>
      </c>
      <c r="AN47" s="189">
        <v>0</v>
      </c>
      <c r="AO47" s="189">
        <v>0</v>
      </c>
      <c r="AP47" s="189">
        <v>0</v>
      </c>
      <c r="AQ47" s="189">
        <v>0</v>
      </c>
      <c r="AR47" s="189">
        <v>0</v>
      </c>
      <c r="AS47" s="189">
        <v>0</v>
      </c>
      <c r="AT47" s="189">
        <v>0</v>
      </c>
      <c r="AU47" s="189">
        <v>0</v>
      </c>
      <c r="AV47" s="189">
        <v>0</v>
      </c>
      <c r="AW47" s="189">
        <v>0</v>
      </c>
      <c r="AX47" s="189">
        <v>0</v>
      </c>
      <c r="AY47" s="189">
        <v>0</v>
      </c>
      <c r="AZ47" s="189">
        <v>0</v>
      </c>
      <c r="BA47" s="189">
        <v>0</v>
      </c>
      <c r="BB47" s="189">
        <v>0</v>
      </c>
      <c r="BC47" s="189">
        <v>0</v>
      </c>
      <c r="BD47" s="189">
        <v>0</v>
      </c>
      <c r="BE47" s="189">
        <v>0</v>
      </c>
      <c r="BF47" s="189">
        <v>0</v>
      </c>
      <c r="BG47" s="189">
        <v>0</v>
      </c>
      <c r="BH47" s="189">
        <v>0</v>
      </c>
      <c r="BI47" s="189">
        <v>0</v>
      </c>
      <c r="BJ47" s="189">
        <v>0</v>
      </c>
      <c r="BK47" s="189">
        <v>0</v>
      </c>
      <c r="BL47" s="189">
        <v>0</v>
      </c>
      <c r="BM47" s="189">
        <v>0</v>
      </c>
      <c r="BN47" s="189">
        <v>0</v>
      </c>
      <c r="BO47" s="189">
        <v>0</v>
      </c>
      <c r="BP47" s="189">
        <v>0</v>
      </c>
      <c r="BQ47" s="189">
        <v>0</v>
      </c>
      <c r="BR47" s="189">
        <v>0</v>
      </c>
      <c r="BS47" s="189">
        <v>0</v>
      </c>
      <c r="BT47" s="189">
        <v>0</v>
      </c>
      <c r="BU47" s="189">
        <v>0</v>
      </c>
    </row>
    <row r="48" spans="1:73">
      <c r="A48" s="189" t="s">
        <v>262</v>
      </c>
      <c r="B48" s="189">
        <v>0</v>
      </c>
      <c r="C48" s="189">
        <v>73172304.019999996</v>
      </c>
      <c r="D48" s="189">
        <v>0</v>
      </c>
      <c r="E48" s="189">
        <v>267174076.71000001</v>
      </c>
      <c r="F48" s="189">
        <v>0</v>
      </c>
      <c r="G48" s="189">
        <v>46510416.07</v>
      </c>
      <c r="H48" s="189">
        <v>0</v>
      </c>
      <c r="I48" s="189">
        <v>107634337.56999999</v>
      </c>
      <c r="J48" s="189">
        <v>0</v>
      </c>
      <c r="K48" s="189">
        <v>57711133</v>
      </c>
      <c r="L48" s="189">
        <v>0</v>
      </c>
      <c r="M48" s="189">
        <v>88309940</v>
      </c>
      <c r="N48" s="189">
        <v>0</v>
      </c>
      <c r="O48" s="189">
        <v>21000286</v>
      </c>
      <c r="P48" s="189">
        <v>0</v>
      </c>
      <c r="Q48" s="189">
        <v>85312190</v>
      </c>
      <c r="R48" s="189">
        <v>0</v>
      </c>
      <c r="S48" s="189">
        <v>15221293</v>
      </c>
      <c r="T48" s="189">
        <v>0</v>
      </c>
      <c r="U48" s="189">
        <v>46695092</v>
      </c>
      <c r="V48" s="189">
        <v>0</v>
      </c>
      <c r="W48" s="189">
        <v>17468143</v>
      </c>
      <c r="X48" s="189">
        <v>0</v>
      </c>
      <c r="Y48" s="189">
        <v>36436326</v>
      </c>
      <c r="Z48" s="189">
        <v>0</v>
      </c>
      <c r="AA48" s="189">
        <v>7043964</v>
      </c>
      <c r="AB48" s="189">
        <v>0</v>
      </c>
      <c r="AC48" s="189">
        <v>14277515</v>
      </c>
      <c r="AD48" s="189">
        <v>0</v>
      </c>
      <c r="AE48" s="189">
        <v>9797469</v>
      </c>
      <c r="AF48" s="189">
        <v>0</v>
      </c>
      <c r="AG48" s="189">
        <v>-3949798</v>
      </c>
      <c r="AH48" s="189">
        <v>0</v>
      </c>
      <c r="AI48" s="189">
        <v>4501415.66</v>
      </c>
      <c r="AJ48" s="189">
        <v>0</v>
      </c>
      <c r="AK48" s="189">
        <v>71243239.799999997</v>
      </c>
      <c r="AL48" s="189">
        <v>0</v>
      </c>
      <c r="AM48" s="189">
        <v>3704924.07</v>
      </c>
      <c r="AN48" s="189">
        <v>0</v>
      </c>
      <c r="AO48" s="189">
        <v>44197810.490000002</v>
      </c>
      <c r="AP48" s="189">
        <v>0</v>
      </c>
      <c r="AQ48" s="189">
        <v>3235741.98</v>
      </c>
      <c r="AR48" s="189">
        <v>0</v>
      </c>
      <c r="AS48" s="189">
        <v>1299879.78</v>
      </c>
      <c r="AT48" s="189">
        <v>0</v>
      </c>
      <c r="AU48" s="189">
        <v>-2576454.88</v>
      </c>
      <c r="AV48" s="189">
        <v>0</v>
      </c>
      <c r="AW48" s="189">
        <v>12266004.41</v>
      </c>
      <c r="AX48" s="189">
        <v>2765672.64</v>
      </c>
      <c r="AY48" s="189">
        <v>2765672.64</v>
      </c>
      <c r="AZ48" s="189">
        <v>619</v>
      </c>
      <c r="BA48" s="189">
        <v>2534289.13</v>
      </c>
      <c r="BB48" s="189">
        <v>1039061.98</v>
      </c>
      <c r="BC48" s="189">
        <v>1039061.98</v>
      </c>
      <c r="BD48" s="189">
        <v>0</v>
      </c>
      <c r="BE48" s="189">
        <v>10031903.109999999</v>
      </c>
      <c r="BF48" s="189">
        <v>0</v>
      </c>
      <c r="BG48" s="189">
        <v>0</v>
      </c>
      <c r="BH48" s="189">
        <v>0</v>
      </c>
      <c r="BI48" s="189">
        <v>6076908.7699999996</v>
      </c>
      <c r="BJ48" s="189">
        <v>0</v>
      </c>
      <c r="BK48" s="189">
        <v>0</v>
      </c>
      <c r="BL48" s="189">
        <v>0</v>
      </c>
      <c r="BM48" s="189">
        <v>59981043.57</v>
      </c>
      <c r="BN48" s="189">
        <v>404221.28</v>
      </c>
      <c r="BO48" s="189">
        <v>1790126.12</v>
      </c>
      <c r="BP48" s="189">
        <v>173755.82</v>
      </c>
      <c r="BQ48" s="189">
        <v>785376.41</v>
      </c>
      <c r="BR48" s="189">
        <v>611620.59</v>
      </c>
      <c r="BS48" s="189">
        <v>1383828.54</v>
      </c>
      <c r="BT48" s="189">
        <v>50864.22</v>
      </c>
      <c r="BU48" s="189">
        <v>0</v>
      </c>
    </row>
    <row r="49" spans="1:73">
      <c r="A49" s="189" t="s">
        <v>263</v>
      </c>
      <c r="B49" s="189">
        <v>0</v>
      </c>
      <c r="C49" s="189">
        <v>1551557326.1099999</v>
      </c>
      <c r="D49" s="189">
        <v>0</v>
      </c>
      <c r="E49" s="189">
        <v>973208089.71000004</v>
      </c>
      <c r="F49" s="189">
        <v>0</v>
      </c>
      <c r="G49" s="189">
        <v>485190765.68000001</v>
      </c>
      <c r="H49" s="189">
        <v>0</v>
      </c>
      <c r="I49" s="189">
        <v>1031662019.27</v>
      </c>
      <c r="J49" s="189">
        <v>0</v>
      </c>
      <c r="K49" s="189">
        <v>533383572</v>
      </c>
      <c r="L49" s="189">
        <v>0</v>
      </c>
      <c r="M49" s="189">
        <v>1238695032</v>
      </c>
      <c r="N49" s="189">
        <v>0</v>
      </c>
      <c r="O49" s="189">
        <v>632521604</v>
      </c>
      <c r="P49" s="189">
        <v>0</v>
      </c>
      <c r="Q49" s="189">
        <v>1029822987</v>
      </c>
      <c r="R49" s="189">
        <v>0</v>
      </c>
      <c r="S49" s="189">
        <v>229390289</v>
      </c>
      <c r="T49" s="189">
        <v>0</v>
      </c>
      <c r="U49" s="189">
        <v>484279349</v>
      </c>
      <c r="V49" s="189">
        <v>0</v>
      </c>
      <c r="W49" s="189">
        <v>244250135</v>
      </c>
      <c r="X49" s="189">
        <v>0</v>
      </c>
      <c r="Y49" s="189">
        <v>474170465</v>
      </c>
      <c r="Z49" s="189">
        <v>0</v>
      </c>
      <c r="AA49" s="189">
        <v>240687801</v>
      </c>
      <c r="AB49" s="189">
        <v>0</v>
      </c>
      <c r="AC49" s="189">
        <v>454697207</v>
      </c>
      <c r="AD49" s="189">
        <v>0</v>
      </c>
      <c r="AE49" s="189">
        <v>223133883</v>
      </c>
      <c r="AF49" s="189">
        <v>0</v>
      </c>
      <c r="AG49" s="189">
        <v>308630014</v>
      </c>
      <c r="AH49" s="189">
        <v>0</v>
      </c>
      <c r="AI49" s="189">
        <v>152503768</v>
      </c>
      <c r="AJ49" s="189">
        <v>0</v>
      </c>
      <c r="AK49" s="189">
        <v>306685781.06999999</v>
      </c>
      <c r="AL49" s="189">
        <v>0</v>
      </c>
      <c r="AM49" s="189">
        <v>146146402.13999999</v>
      </c>
      <c r="AN49" s="189">
        <v>0</v>
      </c>
      <c r="AO49" s="189">
        <v>126011963.45999999</v>
      </c>
      <c r="AP49" s="189">
        <v>0</v>
      </c>
      <c r="AQ49" s="189">
        <v>0</v>
      </c>
      <c r="AR49" s="189">
        <v>0</v>
      </c>
      <c r="AS49" s="189">
        <v>56859615.329999998</v>
      </c>
      <c r="AT49" s="189">
        <v>0</v>
      </c>
      <c r="AU49" s="189">
        <v>27936126.18</v>
      </c>
      <c r="AV49" s="189">
        <v>0</v>
      </c>
      <c r="AW49" s="189">
        <v>54466880.259999998</v>
      </c>
      <c r="AX49" s="189">
        <v>39719119.899999999</v>
      </c>
      <c r="AY49" s="189">
        <v>26754652.010000002</v>
      </c>
      <c r="AZ49" s="189">
        <v>13230962.57</v>
      </c>
      <c r="BA49" s="189">
        <v>53132811.520000003</v>
      </c>
      <c r="BB49" s="189">
        <v>39306103.57</v>
      </c>
      <c r="BC49" s="189">
        <v>25843335.329999998</v>
      </c>
      <c r="BD49" s="189">
        <v>12536737.630000001</v>
      </c>
      <c r="BE49" s="189">
        <v>48672106.420000002</v>
      </c>
      <c r="BF49" s="189">
        <v>35801822.93</v>
      </c>
      <c r="BG49" s="189">
        <v>23379586.239999998</v>
      </c>
      <c r="BH49" s="189">
        <v>11453706.18</v>
      </c>
      <c r="BI49" s="189">
        <v>21905168.32</v>
      </c>
      <c r="BJ49" s="189">
        <v>13673570.890000001</v>
      </c>
      <c r="BK49" s="189">
        <v>8711128.0099999998</v>
      </c>
      <c r="BL49" s="189">
        <v>4477284.75</v>
      </c>
      <c r="BM49" s="189">
        <v>20156228.02</v>
      </c>
      <c r="BN49" s="189">
        <v>0</v>
      </c>
      <c r="BO49" s="189">
        <v>16727922.630000001</v>
      </c>
      <c r="BP49" s="189">
        <v>8596766.0399999991</v>
      </c>
      <c r="BQ49" s="189">
        <v>18731462.449999999</v>
      </c>
      <c r="BR49" s="189">
        <v>8638981.2799999993</v>
      </c>
      <c r="BS49" s="189">
        <v>18598875.210000001</v>
      </c>
      <c r="BT49" s="189">
        <v>7241389.9699999997</v>
      </c>
      <c r="BU49" s="189">
        <v>0</v>
      </c>
    </row>
    <row r="50" spans="1:73">
      <c r="A50" s="189" t="s">
        <v>264</v>
      </c>
      <c r="B50" s="189">
        <v>0</v>
      </c>
      <c r="C50" s="189">
        <v>43767038.57</v>
      </c>
      <c r="D50" s="189">
        <v>0</v>
      </c>
      <c r="E50" s="189">
        <v>57065049.770000003</v>
      </c>
      <c r="F50" s="189">
        <v>0</v>
      </c>
      <c r="G50" s="189">
        <v>27596593.670000002</v>
      </c>
      <c r="H50" s="189">
        <v>0</v>
      </c>
      <c r="I50" s="189">
        <v>52583522.829999998</v>
      </c>
      <c r="J50" s="189">
        <v>0</v>
      </c>
      <c r="K50" s="189">
        <v>25492900</v>
      </c>
      <c r="L50" s="189">
        <v>0</v>
      </c>
      <c r="M50" s="189">
        <v>44825903</v>
      </c>
      <c r="N50" s="189">
        <v>0</v>
      </c>
      <c r="O50" s="189">
        <v>23650473</v>
      </c>
      <c r="P50" s="189">
        <v>0</v>
      </c>
      <c r="Q50" s="189">
        <v>49077919</v>
      </c>
      <c r="R50" s="189">
        <v>0</v>
      </c>
      <c r="S50" s="189">
        <v>5291915</v>
      </c>
      <c r="T50" s="189">
        <v>0</v>
      </c>
      <c r="U50" s="189">
        <v>10229542</v>
      </c>
      <c r="V50" s="189">
        <v>0</v>
      </c>
      <c r="W50" s="189">
        <v>5043390</v>
      </c>
      <c r="X50" s="189">
        <v>0</v>
      </c>
      <c r="Y50" s="189">
        <v>9601576</v>
      </c>
      <c r="Z50" s="189">
        <v>0</v>
      </c>
      <c r="AA50" s="189">
        <v>4775660</v>
      </c>
      <c r="AB50" s="189">
        <v>0</v>
      </c>
      <c r="AC50" s="189">
        <v>8527031</v>
      </c>
      <c r="AD50" s="189">
        <v>0</v>
      </c>
      <c r="AE50" s="189">
        <v>4276951</v>
      </c>
      <c r="AF50" s="189">
        <v>0</v>
      </c>
      <c r="AG50" s="189">
        <v>5537299</v>
      </c>
      <c r="AH50" s="189">
        <v>0</v>
      </c>
      <c r="AI50" s="189">
        <v>2940318.24</v>
      </c>
      <c r="AJ50" s="189">
        <v>0</v>
      </c>
      <c r="AK50" s="189">
        <v>6500333.3700000001</v>
      </c>
      <c r="AL50" s="189">
        <v>0</v>
      </c>
      <c r="AM50" s="189">
        <v>2613469.9500000002</v>
      </c>
      <c r="AN50" s="189">
        <v>0</v>
      </c>
      <c r="AO50" s="189">
        <v>4931023.78</v>
      </c>
      <c r="AP50" s="189">
        <v>0</v>
      </c>
      <c r="AQ50" s="189">
        <v>2712805.83</v>
      </c>
      <c r="AR50" s="189">
        <v>0</v>
      </c>
      <c r="AS50" s="189">
        <v>4337868.16</v>
      </c>
      <c r="AT50" s="189">
        <v>0</v>
      </c>
      <c r="AU50" s="189">
        <v>1888991.37</v>
      </c>
      <c r="AV50" s="189">
        <v>0</v>
      </c>
      <c r="AW50" s="189">
        <v>217162.28</v>
      </c>
      <c r="AX50" s="189">
        <v>122922.98</v>
      </c>
      <c r="AY50" s="189">
        <v>77374.16</v>
      </c>
      <c r="AZ50" s="189">
        <v>45144.31</v>
      </c>
      <c r="BA50" s="189">
        <v>116235.7</v>
      </c>
      <c r="BB50" s="189">
        <v>50392.04</v>
      </c>
      <c r="BC50" s="189">
        <v>31089.77</v>
      </c>
      <c r="BD50" s="189">
        <v>11787.5</v>
      </c>
      <c r="BE50" s="189">
        <v>11588.93</v>
      </c>
      <c r="BF50" s="189">
        <v>7905.38</v>
      </c>
      <c r="BG50" s="189">
        <v>4921.83</v>
      </c>
      <c r="BH50" s="189">
        <v>2288.2800000000002</v>
      </c>
      <c r="BI50" s="189">
        <v>2467.36</v>
      </c>
      <c r="BJ50" s="189">
        <v>0</v>
      </c>
      <c r="BK50" s="189">
        <v>253.33</v>
      </c>
      <c r="BL50" s="189">
        <v>0</v>
      </c>
      <c r="BM50" s="189">
        <v>0</v>
      </c>
      <c r="BN50" s="189">
        <v>0</v>
      </c>
      <c r="BO50" s="189">
        <v>238265.59</v>
      </c>
      <c r="BP50" s="189">
        <v>119132.64</v>
      </c>
      <c r="BQ50" s="189">
        <v>2292896.23</v>
      </c>
      <c r="BR50" s="189">
        <v>881248.63</v>
      </c>
      <c r="BS50" s="189">
        <v>2558901.69</v>
      </c>
      <c r="BT50" s="189">
        <v>3254672.92</v>
      </c>
      <c r="BU50" s="189">
        <v>0</v>
      </c>
    </row>
    <row r="51" spans="1:73">
      <c r="A51" s="189" t="s">
        <v>265</v>
      </c>
      <c r="B51" s="189">
        <v>0</v>
      </c>
      <c r="C51" s="189">
        <v>76679805.849999994</v>
      </c>
      <c r="D51" s="189">
        <v>0</v>
      </c>
      <c r="E51" s="189">
        <v>33469826.199999999</v>
      </c>
      <c r="F51" s="189">
        <v>0</v>
      </c>
      <c r="G51" s="189">
        <v>19041482.309999999</v>
      </c>
      <c r="H51" s="189">
        <v>0</v>
      </c>
      <c r="I51" s="189">
        <v>60404946.57</v>
      </c>
      <c r="J51" s="189">
        <v>0</v>
      </c>
      <c r="K51" s="189">
        <v>31435323</v>
      </c>
      <c r="L51" s="189">
        <v>0</v>
      </c>
      <c r="M51" s="189">
        <v>86766022</v>
      </c>
      <c r="N51" s="189">
        <v>0</v>
      </c>
      <c r="O51" s="189">
        <v>47426775</v>
      </c>
      <c r="P51" s="189">
        <v>0</v>
      </c>
      <c r="Q51" s="189">
        <v>81139185</v>
      </c>
      <c r="R51" s="189">
        <v>0</v>
      </c>
      <c r="S51" s="189">
        <v>19279701</v>
      </c>
      <c r="T51" s="189">
        <v>0</v>
      </c>
      <c r="U51" s="189">
        <v>36671705</v>
      </c>
      <c r="V51" s="189">
        <v>0</v>
      </c>
      <c r="W51" s="189">
        <v>17093707</v>
      </c>
      <c r="X51" s="189">
        <v>0</v>
      </c>
      <c r="Y51" s="189">
        <v>21908265</v>
      </c>
      <c r="Z51" s="189">
        <v>0</v>
      </c>
      <c r="AA51" s="189">
        <v>6699529</v>
      </c>
      <c r="AB51" s="189">
        <v>0</v>
      </c>
      <c r="AC51" s="189">
        <v>10540271</v>
      </c>
      <c r="AD51" s="189">
        <v>0</v>
      </c>
      <c r="AE51" s="189">
        <v>4433903</v>
      </c>
      <c r="AF51" s="189">
        <v>0</v>
      </c>
      <c r="AG51" s="189">
        <v>4181877</v>
      </c>
      <c r="AH51" s="189">
        <v>0</v>
      </c>
      <c r="AI51" s="189">
        <v>602762.18999999994</v>
      </c>
      <c r="AJ51" s="189">
        <v>0</v>
      </c>
      <c r="AK51" s="189">
        <v>1573789.75</v>
      </c>
      <c r="AL51" s="189">
        <v>0</v>
      </c>
      <c r="AM51" s="189">
        <v>588310.56000000006</v>
      </c>
      <c r="AN51" s="189">
        <v>0</v>
      </c>
      <c r="AO51" s="189">
        <v>40316.69</v>
      </c>
      <c r="AP51" s="189">
        <v>0</v>
      </c>
      <c r="AQ51" s="189">
        <v>20116.66</v>
      </c>
      <c r="AR51" s="189">
        <v>0</v>
      </c>
      <c r="AS51" s="189">
        <v>4108645.12</v>
      </c>
      <c r="AT51" s="189">
        <v>0</v>
      </c>
      <c r="AU51" s="189">
        <v>126929.78</v>
      </c>
      <c r="AV51" s="189">
        <v>0</v>
      </c>
      <c r="AW51" s="189">
        <v>113954.26</v>
      </c>
      <c r="AX51" s="189">
        <v>149072.42000000001</v>
      </c>
      <c r="AY51" s="189">
        <v>143352.62</v>
      </c>
      <c r="AZ51" s="189">
        <v>106771.4</v>
      </c>
      <c r="BA51" s="189">
        <v>751764.42</v>
      </c>
      <c r="BB51" s="189">
        <v>599586.1</v>
      </c>
      <c r="BC51" s="189">
        <v>403487.4</v>
      </c>
      <c r="BD51" s="189">
        <v>201218.7</v>
      </c>
      <c r="BE51" s="189">
        <v>1461579.11</v>
      </c>
      <c r="BF51" s="189">
        <v>978362.9</v>
      </c>
      <c r="BG51" s="189">
        <v>731164.21</v>
      </c>
      <c r="BH51" s="189">
        <v>489166.09</v>
      </c>
      <c r="BI51" s="189">
        <v>1164361.81</v>
      </c>
      <c r="BJ51" s="189">
        <v>1323988.04</v>
      </c>
      <c r="BK51" s="189">
        <v>806614.56</v>
      </c>
      <c r="BL51" s="189">
        <v>333115.03000000003</v>
      </c>
      <c r="BM51" s="189">
        <v>1515360.84</v>
      </c>
      <c r="BN51" s="189">
        <v>0</v>
      </c>
      <c r="BO51" s="189">
        <v>1971156.79</v>
      </c>
      <c r="BP51" s="189">
        <v>0</v>
      </c>
      <c r="BQ51" s="189">
        <v>0</v>
      </c>
      <c r="BR51" s="189">
        <v>0</v>
      </c>
      <c r="BS51" s="189">
        <v>0</v>
      </c>
      <c r="BT51" s="189">
        <v>0</v>
      </c>
      <c r="BU51" s="189">
        <v>0</v>
      </c>
    </row>
    <row r="52" spans="1:73">
      <c r="A52" s="189" t="s">
        <v>266</v>
      </c>
      <c r="B52" s="189">
        <v>0</v>
      </c>
      <c r="C52" s="189">
        <v>0</v>
      </c>
      <c r="D52" s="189">
        <v>0</v>
      </c>
      <c r="E52" s="189">
        <v>0</v>
      </c>
      <c r="F52" s="189">
        <v>0</v>
      </c>
      <c r="G52" s="189">
        <v>0</v>
      </c>
      <c r="H52" s="189">
        <v>0</v>
      </c>
      <c r="I52" s="189">
        <v>0</v>
      </c>
      <c r="J52" s="189">
        <v>0</v>
      </c>
      <c r="K52" s="189">
        <v>0</v>
      </c>
      <c r="L52" s="189">
        <v>0</v>
      </c>
      <c r="M52" s="189">
        <v>0</v>
      </c>
      <c r="N52" s="189">
        <v>0</v>
      </c>
      <c r="O52" s="189">
        <v>0</v>
      </c>
      <c r="P52" s="189">
        <v>0</v>
      </c>
      <c r="Q52" s="189">
        <v>0</v>
      </c>
      <c r="R52" s="189">
        <v>0</v>
      </c>
      <c r="S52" s="189">
        <v>0</v>
      </c>
      <c r="T52" s="189">
        <v>0</v>
      </c>
      <c r="U52" s="189">
        <v>0</v>
      </c>
      <c r="V52" s="189">
        <v>0</v>
      </c>
      <c r="W52" s="189">
        <v>0</v>
      </c>
      <c r="X52" s="189">
        <v>0</v>
      </c>
      <c r="Y52" s="189">
        <v>0</v>
      </c>
      <c r="Z52" s="189">
        <v>0</v>
      </c>
      <c r="AA52" s="189">
        <v>0</v>
      </c>
      <c r="AB52" s="189">
        <v>0</v>
      </c>
      <c r="AC52" s="189">
        <v>0</v>
      </c>
      <c r="AD52" s="189">
        <v>0</v>
      </c>
      <c r="AE52" s="189">
        <v>0</v>
      </c>
      <c r="AF52" s="189">
        <v>0</v>
      </c>
      <c r="AG52" s="189">
        <v>0</v>
      </c>
      <c r="AH52" s="189">
        <v>0</v>
      </c>
      <c r="AI52" s="189">
        <v>0</v>
      </c>
      <c r="AJ52" s="189">
        <v>0</v>
      </c>
      <c r="AK52" s="189">
        <v>0</v>
      </c>
      <c r="AL52" s="189">
        <v>0</v>
      </c>
      <c r="AM52" s="189">
        <v>0</v>
      </c>
      <c r="AN52" s="189">
        <v>0</v>
      </c>
      <c r="AO52" s="189">
        <v>0</v>
      </c>
      <c r="AP52" s="189">
        <v>0</v>
      </c>
      <c r="AQ52" s="189">
        <v>0</v>
      </c>
      <c r="AR52" s="189">
        <v>0</v>
      </c>
      <c r="AS52" s="189">
        <v>0</v>
      </c>
      <c r="AT52" s="189">
        <v>0</v>
      </c>
      <c r="AU52" s="189">
        <v>0</v>
      </c>
      <c r="AV52" s="189">
        <v>0</v>
      </c>
      <c r="AW52" s="189">
        <v>14952.28</v>
      </c>
      <c r="AX52" s="189">
        <v>393500.91</v>
      </c>
      <c r="AY52" s="189">
        <v>198972.66</v>
      </c>
      <c r="AZ52" s="189">
        <v>103210.93</v>
      </c>
      <c r="BA52" s="189">
        <v>104960.97</v>
      </c>
      <c r="BB52" s="189">
        <v>25607.63</v>
      </c>
      <c r="BC52" s="189">
        <v>158744.29999999999</v>
      </c>
      <c r="BD52" s="189">
        <v>63134.15</v>
      </c>
      <c r="BE52" s="189">
        <v>-2986.53</v>
      </c>
      <c r="BF52" s="189">
        <v>-957.78</v>
      </c>
      <c r="BG52" s="189">
        <v>-778834.53</v>
      </c>
      <c r="BH52" s="189">
        <v>4538.21</v>
      </c>
      <c r="BI52" s="189">
        <v>176814.78</v>
      </c>
      <c r="BJ52" s="189">
        <v>595001.81999999995</v>
      </c>
      <c r="BK52" s="189">
        <v>512829.5</v>
      </c>
      <c r="BL52" s="189">
        <v>237014.75</v>
      </c>
      <c r="BM52" s="189">
        <v>-435229.5</v>
      </c>
      <c r="BN52" s="189">
        <v>0</v>
      </c>
      <c r="BO52" s="189">
        <v>0</v>
      </c>
      <c r="BP52" s="189">
        <v>0</v>
      </c>
      <c r="BQ52" s="189">
        <v>0</v>
      </c>
      <c r="BR52" s="189">
        <v>0</v>
      </c>
      <c r="BS52" s="189">
        <v>0</v>
      </c>
      <c r="BT52" s="189">
        <v>0</v>
      </c>
      <c r="BU52" s="189">
        <v>0</v>
      </c>
    </row>
    <row r="53" spans="1:73">
      <c r="A53" s="189" t="s">
        <v>267</v>
      </c>
      <c r="B53" s="189">
        <v>0</v>
      </c>
      <c r="C53" s="189">
        <v>0</v>
      </c>
      <c r="D53" s="189">
        <v>0</v>
      </c>
      <c r="E53" s="189">
        <v>0</v>
      </c>
      <c r="F53" s="189">
        <v>0</v>
      </c>
      <c r="G53" s="189">
        <v>0</v>
      </c>
      <c r="H53" s="189">
        <v>0</v>
      </c>
      <c r="I53" s="189">
        <v>0</v>
      </c>
      <c r="J53" s="189">
        <v>0</v>
      </c>
      <c r="K53" s="189">
        <v>0</v>
      </c>
      <c r="L53" s="189">
        <v>0</v>
      </c>
      <c r="M53" s="189">
        <v>0</v>
      </c>
      <c r="N53" s="189">
        <v>0</v>
      </c>
      <c r="O53" s="189">
        <v>0</v>
      </c>
      <c r="P53" s="189">
        <v>0</v>
      </c>
      <c r="Q53" s="189">
        <v>0</v>
      </c>
      <c r="R53" s="189">
        <v>0</v>
      </c>
      <c r="S53" s="189">
        <v>0</v>
      </c>
      <c r="T53" s="189">
        <v>0</v>
      </c>
      <c r="U53" s="189">
        <v>0</v>
      </c>
      <c r="V53" s="189">
        <v>0</v>
      </c>
      <c r="W53" s="189">
        <v>0</v>
      </c>
      <c r="X53" s="189">
        <v>0</v>
      </c>
      <c r="Y53" s="189">
        <v>0</v>
      </c>
      <c r="Z53" s="189">
        <v>0</v>
      </c>
      <c r="AA53" s="189">
        <v>0</v>
      </c>
      <c r="AB53" s="189">
        <v>0</v>
      </c>
      <c r="AC53" s="189">
        <v>0</v>
      </c>
      <c r="AD53" s="189">
        <v>0</v>
      </c>
      <c r="AE53" s="189">
        <v>0</v>
      </c>
      <c r="AF53" s="189">
        <v>0</v>
      </c>
      <c r="AG53" s="189">
        <v>0</v>
      </c>
      <c r="AH53" s="189">
        <v>0</v>
      </c>
      <c r="AI53" s="189">
        <v>0</v>
      </c>
      <c r="AJ53" s="189">
        <v>0</v>
      </c>
      <c r="AK53" s="189">
        <v>0</v>
      </c>
      <c r="AL53" s="189">
        <v>0</v>
      </c>
      <c r="AM53" s="189">
        <v>0</v>
      </c>
      <c r="AN53" s="189">
        <v>0</v>
      </c>
      <c r="AO53" s="189">
        <v>0</v>
      </c>
      <c r="AP53" s="189">
        <v>0</v>
      </c>
      <c r="AQ53" s="189">
        <v>0</v>
      </c>
      <c r="AR53" s="189">
        <v>0</v>
      </c>
      <c r="AS53" s="189">
        <v>0</v>
      </c>
      <c r="AT53" s="189">
        <v>0</v>
      </c>
      <c r="AU53" s="189">
        <v>0</v>
      </c>
      <c r="AV53" s="189">
        <v>0</v>
      </c>
      <c r="AW53" s="189">
        <v>3013959.95</v>
      </c>
      <c r="AX53" s="189">
        <v>7230629.8499999996</v>
      </c>
      <c r="AY53" s="189">
        <v>3225372.93</v>
      </c>
      <c r="AZ53" s="189">
        <v>3454393.72</v>
      </c>
      <c r="BA53" s="189">
        <v>-6053298.54</v>
      </c>
      <c r="BB53" s="189">
        <v>-6668578.8600000003</v>
      </c>
      <c r="BC53" s="189">
        <v>-4684900.57</v>
      </c>
      <c r="BD53" s="189">
        <v>420433.75</v>
      </c>
      <c r="BE53" s="189">
        <v>5019492.9400000004</v>
      </c>
      <c r="BF53" s="189">
        <v>1440609.3</v>
      </c>
      <c r="BG53" s="189">
        <v>1958796.39</v>
      </c>
      <c r="BH53" s="189">
        <v>2227832.5</v>
      </c>
      <c r="BI53" s="189">
        <v>1577991.16</v>
      </c>
      <c r="BJ53" s="189">
        <v>0</v>
      </c>
      <c r="BK53" s="189">
        <v>4298533.5</v>
      </c>
      <c r="BL53" s="189">
        <v>0</v>
      </c>
      <c r="BM53" s="189">
        <v>-843764.79</v>
      </c>
      <c r="BN53" s="189">
        <v>0</v>
      </c>
      <c r="BO53" s="189">
        <v>662341.13</v>
      </c>
      <c r="BP53" s="189">
        <v>0</v>
      </c>
      <c r="BQ53" s="189">
        <v>0</v>
      </c>
      <c r="BR53" s="189">
        <v>0</v>
      </c>
      <c r="BS53" s="189">
        <v>0</v>
      </c>
      <c r="BT53" s="189">
        <v>0</v>
      </c>
      <c r="BU53" s="189">
        <v>0</v>
      </c>
    </row>
    <row r="54" spans="1:73">
      <c r="A54" s="189" t="s">
        <v>268</v>
      </c>
      <c r="B54" s="189">
        <v>0</v>
      </c>
      <c r="C54" s="189">
        <v>2079478.12</v>
      </c>
      <c r="D54" s="189">
        <v>0</v>
      </c>
      <c r="E54" s="189">
        <v>1158915.6000000001</v>
      </c>
      <c r="F54" s="189">
        <v>0</v>
      </c>
      <c r="G54" s="189">
        <v>647010.65</v>
      </c>
      <c r="H54" s="189">
        <v>0</v>
      </c>
      <c r="I54" s="189">
        <v>3556174.48</v>
      </c>
      <c r="J54" s="189">
        <v>0</v>
      </c>
      <c r="K54" s="189">
        <v>1899573</v>
      </c>
      <c r="L54" s="189">
        <v>0</v>
      </c>
      <c r="M54" s="189">
        <v>-1687197</v>
      </c>
      <c r="N54" s="189">
        <v>0</v>
      </c>
      <c r="O54" s="189">
        <v>-279224</v>
      </c>
      <c r="P54" s="189">
        <v>0</v>
      </c>
      <c r="Q54" s="189">
        <v>-232965308</v>
      </c>
      <c r="R54" s="189">
        <v>0</v>
      </c>
      <c r="S54" s="189">
        <v>-2472245</v>
      </c>
      <c r="T54" s="189">
        <v>0</v>
      </c>
      <c r="U54" s="189">
        <v>-11430566</v>
      </c>
      <c r="V54" s="189">
        <v>0</v>
      </c>
      <c r="W54" s="189">
        <v>487633</v>
      </c>
      <c r="X54" s="189">
        <v>0</v>
      </c>
      <c r="Y54" s="189">
        <v>2799302</v>
      </c>
      <c r="Z54" s="189">
        <v>0</v>
      </c>
      <c r="AA54" s="189">
        <v>-10817</v>
      </c>
      <c r="AB54" s="189">
        <v>0</v>
      </c>
      <c r="AC54" s="189">
        <v>96144</v>
      </c>
      <c r="AD54" s="189">
        <v>0</v>
      </c>
      <c r="AE54" s="189">
        <v>-13949</v>
      </c>
      <c r="AF54" s="189">
        <v>0</v>
      </c>
      <c r="AG54" s="189">
        <v>84253</v>
      </c>
      <c r="AH54" s="189">
        <v>0</v>
      </c>
      <c r="AI54" s="189">
        <v>21246.13</v>
      </c>
      <c r="AJ54" s="189">
        <v>0</v>
      </c>
      <c r="AK54" s="189">
        <v>906662.25</v>
      </c>
      <c r="AL54" s="189">
        <v>0</v>
      </c>
      <c r="AM54" s="189">
        <v>908415.5</v>
      </c>
      <c r="AN54" s="189">
        <v>0</v>
      </c>
      <c r="AO54" s="189">
        <v>1786685.57</v>
      </c>
      <c r="AP54" s="189">
        <v>0</v>
      </c>
      <c r="AQ54" s="189">
        <v>58642.37</v>
      </c>
      <c r="AR54" s="189">
        <v>0</v>
      </c>
      <c r="AS54" s="189">
        <v>1111008.96</v>
      </c>
      <c r="AT54" s="189">
        <v>0</v>
      </c>
      <c r="AU54" s="189">
        <v>772119.92</v>
      </c>
      <c r="AV54" s="189">
        <v>0</v>
      </c>
      <c r="AW54" s="189">
        <v>478354.79</v>
      </c>
      <c r="AX54" s="189">
        <v>-2600</v>
      </c>
      <c r="AY54" s="189">
        <v>0</v>
      </c>
      <c r="AZ54" s="189">
        <v>5073.33</v>
      </c>
      <c r="BA54" s="189">
        <v>282024.2</v>
      </c>
      <c r="BB54" s="189">
        <v>0</v>
      </c>
      <c r="BC54" s="189">
        <v>0</v>
      </c>
      <c r="BD54" s="189">
        <v>0</v>
      </c>
      <c r="BE54" s="189">
        <v>0</v>
      </c>
      <c r="BF54" s="189">
        <v>0</v>
      </c>
      <c r="BG54" s="189">
        <v>0</v>
      </c>
      <c r="BH54" s="189">
        <v>0</v>
      </c>
      <c r="BI54" s="189">
        <v>0</v>
      </c>
      <c r="BJ54" s="189">
        <v>-500</v>
      </c>
      <c r="BK54" s="189">
        <v>-500</v>
      </c>
      <c r="BL54" s="189">
        <v>0</v>
      </c>
      <c r="BM54" s="189">
        <v>299219.20000000001</v>
      </c>
      <c r="BN54" s="189">
        <v>0</v>
      </c>
      <c r="BO54" s="189">
        <v>-1093251.04</v>
      </c>
      <c r="BP54" s="189">
        <v>0</v>
      </c>
      <c r="BQ54" s="189">
        <v>-31920.240000000002</v>
      </c>
      <c r="BR54" s="189">
        <v>428921.68</v>
      </c>
      <c r="BS54" s="189">
        <v>0</v>
      </c>
      <c r="BT54" s="189">
        <v>93478.73</v>
      </c>
      <c r="BU54" s="189">
        <v>0</v>
      </c>
    </row>
    <row r="55" spans="1:73">
      <c r="A55" s="189" t="s">
        <v>269</v>
      </c>
      <c r="B55" s="189">
        <v>0</v>
      </c>
      <c r="C55" s="189">
        <v>815748.45</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0</v>
      </c>
      <c r="W55" s="189">
        <v>0</v>
      </c>
      <c r="X55" s="189">
        <v>0</v>
      </c>
      <c r="Y55" s="189">
        <v>0</v>
      </c>
      <c r="Z55" s="189">
        <v>0</v>
      </c>
      <c r="AA55" s="189">
        <v>0</v>
      </c>
      <c r="AB55" s="189">
        <v>0</v>
      </c>
      <c r="AC55" s="189">
        <v>0</v>
      </c>
      <c r="AD55" s="189">
        <v>0</v>
      </c>
      <c r="AE55" s="189">
        <v>0</v>
      </c>
      <c r="AF55" s="189">
        <v>0</v>
      </c>
      <c r="AG55" s="189">
        <v>0</v>
      </c>
      <c r="AH55" s="189">
        <v>0</v>
      </c>
      <c r="AI55" s="189">
        <v>-11886.51</v>
      </c>
      <c r="AJ55" s="189">
        <v>0</v>
      </c>
      <c r="AK55" s="189">
        <v>4460.75</v>
      </c>
      <c r="AL55" s="189">
        <v>0</v>
      </c>
      <c r="AM55" s="189">
        <v>0</v>
      </c>
      <c r="AN55" s="189">
        <v>0</v>
      </c>
      <c r="AO55" s="189">
        <v>0</v>
      </c>
      <c r="AP55" s="189">
        <v>0</v>
      </c>
      <c r="AQ55" s="189">
        <v>0</v>
      </c>
      <c r="AR55" s="189">
        <v>0</v>
      </c>
      <c r="AS55" s="189">
        <v>0</v>
      </c>
      <c r="AT55" s="189">
        <v>0</v>
      </c>
      <c r="AU55" s="189">
        <v>0</v>
      </c>
      <c r="AV55" s="189">
        <v>0</v>
      </c>
      <c r="AW55" s="189">
        <v>0</v>
      </c>
      <c r="AX55" s="189">
        <v>5073.33</v>
      </c>
      <c r="AY55" s="189">
        <v>5073.33</v>
      </c>
      <c r="AZ55" s="189">
        <v>0</v>
      </c>
      <c r="BA55" s="189">
        <v>0</v>
      </c>
      <c r="BB55" s="189">
        <v>304231.01</v>
      </c>
      <c r="BC55" s="189">
        <v>131240.76</v>
      </c>
      <c r="BD55" s="189">
        <v>0</v>
      </c>
      <c r="BE55" s="189">
        <v>551140.79</v>
      </c>
      <c r="BF55" s="189">
        <v>548885.09</v>
      </c>
      <c r="BG55" s="189">
        <v>534312.73</v>
      </c>
      <c r="BH55" s="189">
        <v>528592.43999999994</v>
      </c>
      <c r="BI55" s="189">
        <v>62832.23</v>
      </c>
      <c r="BJ55" s="189">
        <v>38613.949999999997</v>
      </c>
      <c r="BK55" s="189">
        <v>34156.800000000003</v>
      </c>
      <c r="BL55" s="189">
        <v>0</v>
      </c>
      <c r="BM55" s="189">
        <v>0</v>
      </c>
      <c r="BN55" s="189">
        <v>281418.62</v>
      </c>
      <c r="BO55" s="189">
        <v>0</v>
      </c>
      <c r="BP55" s="189">
        <v>0</v>
      </c>
      <c r="BQ55" s="189">
        <v>0</v>
      </c>
      <c r="BR55" s="189">
        <v>0</v>
      </c>
      <c r="BS55" s="189">
        <v>37629.83</v>
      </c>
      <c r="BT55" s="189">
        <v>4659.4399999999996</v>
      </c>
      <c r="BU55" s="189">
        <v>0</v>
      </c>
    </row>
    <row r="56" spans="1:73">
      <c r="A56" s="189" t="s">
        <v>270</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43630.23</v>
      </c>
      <c r="AJ56" s="189">
        <v>0</v>
      </c>
      <c r="AK56" s="189">
        <v>-43630.23</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c r="BT56" s="189">
        <v>0</v>
      </c>
      <c r="BU56" s="189">
        <v>0</v>
      </c>
    </row>
    <row r="57" spans="1:73">
      <c r="A57" s="189" t="s">
        <v>271</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c r="BT57" s="189">
        <v>0</v>
      </c>
      <c r="BU57" s="189">
        <v>0</v>
      </c>
    </row>
    <row r="58" spans="1:73">
      <c r="A58" s="189" t="s">
        <v>272</v>
      </c>
      <c r="B58" s="189">
        <v>0</v>
      </c>
      <c r="C58" s="189">
        <v>0</v>
      </c>
      <c r="D58" s="189">
        <v>0</v>
      </c>
      <c r="E58" s="189">
        <v>0</v>
      </c>
      <c r="F58" s="189">
        <v>0</v>
      </c>
      <c r="G58" s="189">
        <v>0</v>
      </c>
      <c r="H58" s="189">
        <v>0</v>
      </c>
      <c r="I58" s="189">
        <v>0</v>
      </c>
      <c r="J58" s="189">
        <v>0</v>
      </c>
      <c r="K58" s="189">
        <v>0</v>
      </c>
      <c r="L58" s="189">
        <v>0</v>
      </c>
      <c r="M58" s="189">
        <v>0</v>
      </c>
      <c r="N58" s="189">
        <v>0</v>
      </c>
      <c r="O58" s="189">
        <v>0</v>
      </c>
      <c r="P58" s="189">
        <v>0</v>
      </c>
      <c r="Q58" s="189">
        <v>0</v>
      </c>
      <c r="R58" s="189">
        <v>0</v>
      </c>
      <c r="S58" s="189">
        <v>0</v>
      </c>
      <c r="T58" s="189">
        <v>0</v>
      </c>
      <c r="U58" s="189">
        <v>0</v>
      </c>
      <c r="V58" s="189">
        <v>0</v>
      </c>
      <c r="W58" s="189">
        <v>0</v>
      </c>
      <c r="X58" s="189">
        <v>0</v>
      </c>
      <c r="Y58" s="189">
        <v>0</v>
      </c>
      <c r="Z58" s="189">
        <v>0</v>
      </c>
      <c r="AA58" s="189">
        <v>0</v>
      </c>
      <c r="AB58" s="189">
        <v>0</v>
      </c>
      <c r="AC58" s="189">
        <v>0</v>
      </c>
      <c r="AD58" s="189">
        <v>0</v>
      </c>
      <c r="AE58" s="189">
        <v>0</v>
      </c>
      <c r="AF58" s="189">
        <v>0</v>
      </c>
      <c r="AG58" s="189">
        <v>0</v>
      </c>
      <c r="AH58" s="189">
        <v>0</v>
      </c>
      <c r="AI58" s="189">
        <v>0</v>
      </c>
      <c r="AJ58" s="189">
        <v>0</v>
      </c>
      <c r="AK58" s="189">
        <v>0</v>
      </c>
      <c r="AL58" s="189">
        <v>0</v>
      </c>
      <c r="AM58" s="189">
        <v>0</v>
      </c>
      <c r="AN58" s="189">
        <v>0</v>
      </c>
      <c r="AO58" s="189">
        <v>0</v>
      </c>
      <c r="AP58" s="189">
        <v>0</v>
      </c>
      <c r="AQ58" s="189">
        <v>0</v>
      </c>
      <c r="AR58" s="189">
        <v>0</v>
      </c>
      <c r="AS58" s="189">
        <v>0</v>
      </c>
      <c r="AT58" s="189">
        <v>0</v>
      </c>
      <c r="AU58" s="189">
        <v>0</v>
      </c>
      <c r="AV58" s="189">
        <v>0</v>
      </c>
      <c r="AW58" s="189">
        <v>0</v>
      </c>
      <c r="AX58" s="189">
        <v>0</v>
      </c>
      <c r="AY58" s="189">
        <v>0</v>
      </c>
      <c r="AZ58" s="189">
        <v>0</v>
      </c>
      <c r="BA58" s="189">
        <v>0</v>
      </c>
      <c r="BB58" s="189">
        <v>0</v>
      </c>
      <c r="BC58" s="189">
        <v>0</v>
      </c>
      <c r="BD58" s="189">
        <v>0</v>
      </c>
      <c r="BE58" s="189">
        <v>0</v>
      </c>
      <c r="BF58" s="189">
        <v>0</v>
      </c>
      <c r="BG58" s="189">
        <v>0</v>
      </c>
      <c r="BH58" s="189">
        <v>0</v>
      </c>
      <c r="BI58" s="189">
        <v>0</v>
      </c>
      <c r="BJ58" s="189">
        <v>0</v>
      </c>
      <c r="BK58" s="189">
        <v>0</v>
      </c>
      <c r="BL58" s="189">
        <v>0</v>
      </c>
      <c r="BM58" s="189">
        <v>0</v>
      </c>
      <c r="BN58" s="189">
        <v>0</v>
      </c>
      <c r="BO58" s="189">
        <v>0</v>
      </c>
      <c r="BP58" s="189">
        <v>0</v>
      </c>
      <c r="BQ58" s="189">
        <v>0</v>
      </c>
      <c r="BR58" s="189">
        <v>0</v>
      </c>
      <c r="BS58" s="189">
        <v>0</v>
      </c>
      <c r="BT58" s="189">
        <v>0</v>
      </c>
      <c r="BU58" s="189">
        <v>0</v>
      </c>
    </row>
    <row r="59" spans="1:73">
      <c r="A59" s="189" t="s">
        <v>197</v>
      </c>
      <c r="B59" s="189">
        <v>0</v>
      </c>
      <c r="C59" s="189">
        <v>491586180.38999999</v>
      </c>
      <c r="D59" s="189">
        <v>0</v>
      </c>
      <c r="E59" s="189">
        <v>224749356.13</v>
      </c>
      <c r="F59" s="189">
        <v>0</v>
      </c>
      <c r="G59" s="189">
        <v>99591938.859999999</v>
      </c>
      <c r="H59" s="189">
        <v>0</v>
      </c>
      <c r="I59" s="189">
        <v>-105050746.36</v>
      </c>
      <c r="J59" s="189">
        <v>0</v>
      </c>
      <c r="K59" s="189">
        <v>32403043</v>
      </c>
      <c r="L59" s="189">
        <v>0</v>
      </c>
      <c r="M59" s="189">
        <v>44934731</v>
      </c>
      <c r="N59" s="189">
        <v>0</v>
      </c>
      <c r="O59" s="189">
        <v>72041006</v>
      </c>
      <c r="P59" s="189">
        <v>0</v>
      </c>
      <c r="Q59" s="189">
        <v>223815848</v>
      </c>
      <c r="R59" s="189">
        <v>0</v>
      </c>
      <c r="S59" s="189">
        <v>68266972</v>
      </c>
      <c r="T59" s="189">
        <v>0</v>
      </c>
      <c r="U59" s="189">
        <v>101466840</v>
      </c>
      <c r="V59" s="189">
        <v>0</v>
      </c>
      <c r="W59" s="189">
        <v>48348267</v>
      </c>
      <c r="X59" s="189">
        <v>0</v>
      </c>
      <c r="Y59" s="189">
        <v>172212048</v>
      </c>
      <c r="Z59" s="189">
        <v>0</v>
      </c>
      <c r="AA59" s="189">
        <v>84829495</v>
      </c>
      <c r="AB59" s="189">
        <v>0</v>
      </c>
      <c r="AC59" s="189">
        <v>130539490</v>
      </c>
      <c r="AD59" s="189">
        <v>0</v>
      </c>
      <c r="AE59" s="189">
        <v>59423151</v>
      </c>
      <c r="AF59" s="189">
        <v>0</v>
      </c>
      <c r="AG59" s="189">
        <v>118438696</v>
      </c>
      <c r="AH59" s="189">
        <v>0</v>
      </c>
      <c r="AI59" s="189">
        <v>58456479.600000001</v>
      </c>
      <c r="AJ59" s="189">
        <v>0</v>
      </c>
      <c r="AK59" s="189">
        <v>143289767.71000001</v>
      </c>
      <c r="AL59" s="189">
        <v>0</v>
      </c>
      <c r="AM59" s="189">
        <v>76972531.75</v>
      </c>
      <c r="AN59" s="189">
        <v>0</v>
      </c>
      <c r="AO59" s="189">
        <v>19485339.239999998</v>
      </c>
      <c r="AP59" s="189">
        <v>0</v>
      </c>
      <c r="AQ59" s="189">
        <v>7579298.79</v>
      </c>
      <c r="AR59" s="189">
        <v>0</v>
      </c>
      <c r="AS59" s="189">
        <v>16289024</v>
      </c>
      <c r="AT59" s="189">
        <v>0</v>
      </c>
      <c r="AU59" s="189">
        <v>10603579.82</v>
      </c>
      <c r="AV59" s="189">
        <v>0</v>
      </c>
      <c r="AW59" s="189">
        <v>20892776.84</v>
      </c>
      <c r="AX59" s="189">
        <v>16165439.869999999</v>
      </c>
      <c r="AY59" s="189">
        <v>12185389.880000001</v>
      </c>
      <c r="AZ59" s="189">
        <v>4868443.37</v>
      </c>
      <c r="BA59" s="189">
        <v>17472356.57</v>
      </c>
      <c r="BB59" s="189">
        <v>14739506.939999999</v>
      </c>
      <c r="BC59" s="189">
        <v>9682348.75</v>
      </c>
      <c r="BD59" s="189">
        <v>4867321.59</v>
      </c>
      <c r="BE59" s="189">
        <v>14208978.93</v>
      </c>
      <c r="BF59" s="189">
        <v>14338099.039999999</v>
      </c>
      <c r="BG59" s="189">
        <v>9404999.6699999999</v>
      </c>
      <c r="BH59" s="189">
        <v>3012368.68</v>
      </c>
      <c r="BI59" s="189">
        <v>15555376.34</v>
      </c>
      <c r="BJ59" s="189">
        <v>11577669.84</v>
      </c>
      <c r="BK59" s="189">
        <v>8131108.3700000001</v>
      </c>
      <c r="BL59" s="189">
        <v>4281067.92</v>
      </c>
      <c r="BM59" s="189">
        <v>10212059.58</v>
      </c>
      <c r="BN59" s="189">
        <v>87844.45</v>
      </c>
      <c r="BO59" s="189">
        <v>8524189.6999999993</v>
      </c>
      <c r="BP59" s="189">
        <v>5165758.59</v>
      </c>
      <c r="BQ59" s="189">
        <v>5841182.0499999998</v>
      </c>
      <c r="BR59" s="189">
        <v>3442934.55</v>
      </c>
      <c r="BS59" s="189">
        <v>9312257.7400000002</v>
      </c>
      <c r="BT59" s="189">
        <v>676311.7</v>
      </c>
      <c r="BU59" s="189">
        <v>0</v>
      </c>
    </row>
    <row r="60" spans="1:73">
      <c r="A60" s="189" t="s">
        <v>273</v>
      </c>
      <c r="B60" s="189">
        <v>0</v>
      </c>
      <c r="C60" s="189">
        <v>-118939879.27</v>
      </c>
      <c r="D60" s="189">
        <v>0</v>
      </c>
      <c r="E60" s="189">
        <v>37943077</v>
      </c>
      <c r="F60" s="189">
        <v>0</v>
      </c>
      <c r="G60" s="189">
        <v>2772610.98</v>
      </c>
      <c r="H60" s="189">
        <v>0</v>
      </c>
      <c r="I60" s="189">
        <v>-7663454.6699999999</v>
      </c>
      <c r="J60" s="189">
        <v>0</v>
      </c>
      <c r="K60" s="189">
        <v>-3762460</v>
      </c>
      <c r="L60" s="189">
        <v>0</v>
      </c>
      <c r="M60" s="189">
        <v>3239448</v>
      </c>
      <c r="N60" s="189">
        <v>0</v>
      </c>
      <c r="O60" s="189">
        <v>2005657</v>
      </c>
      <c r="P60" s="189">
        <v>0</v>
      </c>
      <c r="Q60" s="189">
        <v>39020240</v>
      </c>
      <c r="R60" s="189">
        <v>0</v>
      </c>
      <c r="S60" s="189">
        <v>-2211768</v>
      </c>
      <c r="T60" s="189">
        <v>0</v>
      </c>
      <c r="U60" s="189">
        <v>-6532889</v>
      </c>
      <c r="V60" s="189">
        <v>0</v>
      </c>
      <c r="W60" s="189">
        <v>-1228245</v>
      </c>
      <c r="X60" s="189">
        <v>0</v>
      </c>
      <c r="Y60" s="189">
        <v>9114825</v>
      </c>
      <c r="Z60" s="189">
        <v>0</v>
      </c>
      <c r="AA60" s="189">
        <v>1201119</v>
      </c>
      <c r="AB60" s="189">
        <v>0</v>
      </c>
      <c r="AC60" s="189">
        <v>15589317</v>
      </c>
      <c r="AD60" s="189">
        <v>0</v>
      </c>
      <c r="AE60" s="189">
        <v>1643539</v>
      </c>
      <c r="AF60" s="189">
        <v>0</v>
      </c>
      <c r="AG60" s="189">
        <v>1778301</v>
      </c>
      <c r="AH60" s="189">
        <v>0</v>
      </c>
      <c r="AI60" s="189">
        <v>-70832.97</v>
      </c>
      <c r="AJ60" s="189">
        <v>0</v>
      </c>
      <c r="AK60" s="189">
        <v>0</v>
      </c>
      <c r="AL60" s="189">
        <v>0</v>
      </c>
      <c r="AM60" s="189">
        <v>-500712.95</v>
      </c>
      <c r="AN60" s="189">
        <v>0</v>
      </c>
      <c r="AO60" s="189">
        <v>-85619904.219999999</v>
      </c>
      <c r="AP60" s="189">
        <v>0</v>
      </c>
      <c r="AQ60" s="189">
        <v>-39129482</v>
      </c>
      <c r="AR60" s="189">
        <v>0</v>
      </c>
      <c r="AS60" s="189">
        <v>248245.33</v>
      </c>
      <c r="AT60" s="189">
        <v>0</v>
      </c>
      <c r="AU60" s="189">
        <v>0</v>
      </c>
      <c r="AV60" s="189">
        <v>0</v>
      </c>
      <c r="AW60" s="189">
        <v>-341592.68</v>
      </c>
      <c r="AX60" s="189">
        <v>-424202.8</v>
      </c>
      <c r="AY60" s="189">
        <v>-424202.8</v>
      </c>
      <c r="AZ60" s="189">
        <v>0</v>
      </c>
      <c r="BA60" s="189">
        <v>-1642229.95</v>
      </c>
      <c r="BB60" s="189">
        <v>270832.65999999997</v>
      </c>
      <c r="BC60" s="189">
        <v>270832.65000000002</v>
      </c>
      <c r="BD60" s="189">
        <v>0</v>
      </c>
      <c r="BE60" s="189">
        <v>-617403.02</v>
      </c>
      <c r="BF60" s="189">
        <v>-270969.90000000002</v>
      </c>
      <c r="BG60" s="189">
        <v>0</v>
      </c>
      <c r="BH60" s="189">
        <v>0</v>
      </c>
      <c r="BI60" s="189">
        <v>-353439</v>
      </c>
      <c r="BJ60" s="189">
        <v>-353439</v>
      </c>
      <c r="BK60" s="189">
        <v>0</v>
      </c>
      <c r="BL60" s="189">
        <v>0</v>
      </c>
      <c r="BM60" s="189">
        <v>-489614.44</v>
      </c>
      <c r="BN60" s="189">
        <v>-272930.44</v>
      </c>
      <c r="BO60" s="189">
        <v>-5846480.1299999999</v>
      </c>
      <c r="BP60" s="189">
        <v>-28670</v>
      </c>
      <c r="BQ60" s="189">
        <v>-1175980.52</v>
      </c>
      <c r="BR60" s="189">
        <v>-667825.07999999996</v>
      </c>
      <c r="BS60" s="189">
        <v>-2658165.7799999998</v>
      </c>
      <c r="BT60" s="189">
        <v>-2912419.14</v>
      </c>
      <c r="BU60" s="189">
        <v>0</v>
      </c>
    </row>
    <row r="61" spans="1:73">
      <c r="A61" s="189" t="s">
        <v>274</v>
      </c>
      <c r="B61" s="189">
        <v>0</v>
      </c>
      <c r="C61" s="189">
        <v>-63645917.210000001</v>
      </c>
      <c r="D61" s="189">
        <v>0</v>
      </c>
      <c r="E61" s="189">
        <v>-43065086.710000001</v>
      </c>
      <c r="F61" s="189">
        <v>0</v>
      </c>
      <c r="G61" s="189">
        <v>2284426.16</v>
      </c>
      <c r="H61" s="189">
        <v>0</v>
      </c>
      <c r="I61" s="189">
        <v>42607252.43</v>
      </c>
      <c r="J61" s="189">
        <v>0</v>
      </c>
      <c r="K61" s="189">
        <v>-2689274</v>
      </c>
      <c r="L61" s="189">
        <v>0</v>
      </c>
      <c r="M61" s="189">
        <v>-9963408</v>
      </c>
      <c r="N61" s="189">
        <v>0</v>
      </c>
      <c r="O61" s="189">
        <v>1910622</v>
      </c>
      <c r="P61" s="189">
        <v>0</v>
      </c>
      <c r="Q61" s="189">
        <v>40235280</v>
      </c>
      <c r="R61" s="189">
        <v>0</v>
      </c>
      <c r="S61" s="189">
        <v>100006</v>
      </c>
      <c r="T61" s="189">
        <v>0</v>
      </c>
      <c r="U61" s="189">
        <v>10708617</v>
      </c>
      <c r="V61" s="189">
        <v>0</v>
      </c>
      <c r="W61" s="189">
        <v>-8930955</v>
      </c>
      <c r="X61" s="189">
        <v>0</v>
      </c>
      <c r="Y61" s="189">
        <v>-479900</v>
      </c>
      <c r="Z61" s="189">
        <v>0</v>
      </c>
      <c r="AA61" s="189">
        <v>7445803</v>
      </c>
      <c r="AB61" s="189">
        <v>0</v>
      </c>
      <c r="AC61" s="189">
        <v>-5142435</v>
      </c>
      <c r="AD61" s="189">
        <v>0</v>
      </c>
      <c r="AE61" s="189">
        <v>-2199381</v>
      </c>
      <c r="AF61" s="189">
        <v>0</v>
      </c>
      <c r="AG61" s="189">
        <v>34971182</v>
      </c>
      <c r="AH61" s="189">
        <v>0</v>
      </c>
      <c r="AI61" s="189">
        <v>15580823.57</v>
      </c>
      <c r="AJ61" s="189">
        <v>0</v>
      </c>
      <c r="AK61" s="189">
        <v>-54388317.189999998</v>
      </c>
      <c r="AL61" s="189">
        <v>0</v>
      </c>
      <c r="AM61" s="189">
        <v>-25714464.890000001</v>
      </c>
      <c r="AN61" s="189">
        <v>0</v>
      </c>
      <c r="AO61" s="189">
        <v>-30314514.920000002</v>
      </c>
      <c r="AP61" s="189">
        <v>0</v>
      </c>
      <c r="AQ61" s="189">
        <v>-3052825.51</v>
      </c>
      <c r="AR61" s="189">
        <v>0</v>
      </c>
      <c r="AS61" s="189">
        <v>-1141264.93</v>
      </c>
      <c r="AT61" s="189">
        <v>0</v>
      </c>
      <c r="AU61" s="189">
        <v>-472308.79</v>
      </c>
      <c r="AV61" s="189">
        <v>0</v>
      </c>
      <c r="AW61" s="189">
        <v>0</v>
      </c>
      <c r="AX61" s="189">
        <v>0</v>
      </c>
      <c r="AY61" s="189">
        <v>0</v>
      </c>
      <c r="AZ61" s="189">
        <v>0</v>
      </c>
      <c r="BA61" s="189">
        <v>0</v>
      </c>
      <c r="BB61" s="189">
        <v>0</v>
      </c>
      <c r="BC61" s="189">
        <v>0</v>
      </c>
      <c r="BD61" s="189">
        <v>0</v>
      </c>
      <c r="BE61" s="189">
        <v>0</v>
      </c>
      <c r="BF61" s="189">
        <v>0</v>
      </c>
      <c r="BG61" s="189">
        <v>0</v>
      </c>
      <c r="BH61" s="189">
        <v>0</v>
      </c>
      <c r="BI61" s="189">
        <v>0</v>
      </c>
      <c r="BJ61" s="189">
        <v>0</v>
      </c>
      <c r="BK61" s="189">
        <v>0</v>
      </c>
      <c r="BL61" s="189">
        <v>0</v>
      </c>
      <c r="BM61" s="189">
        <v>0</v>
      </c>
      <c r="BN61" s="189">
        <v>0</v>
      </c>
      <c r="BO61" s="189">
        <v>0</v>
      </c>
      <c r="BP61" s="189">
        <v>0</v>
      </c>
      <c r="BQ61" s="189">
        <v>0</v>
      </c>
      <c r="BR61" s="189">
        <v>0</v>
      </c>
      <c r="BS61" s="189">
        <v>0</v>
      </c>
      <c r="BT61" s="189">
        <v>0</v>
      </c>
      <c r="BU61" s="189">
        <v>0</v>
      </c>
    </row>
    <row r="62" spans="1:73">
      <c r="A62" s="189" t="s">
        <v>275</v>
      </c>
      <c r="B62" s="189">
        <v>0</v>
      </c>
      <c r="C62" s="189">
        <v>17458540.68</v>
      </c>
      <c r="D62" s="189">
        <v>0</v>
      </c>
      <c r="E62" s="189">
        <v>-1021402.9</v>
      </c>
      <c r="F62" s="189">
        <v>0</v>
      </c>
      <c r="G62" s="189">
        <v>-510701.51</v>
      </c>
      <c r="H62" s="189">
        <v>0</v>
      </c>
      <c r="I62" s="189">
        <v>-1021402.96</v>
      </c>
      <c r="J62" s="189">
        <v>0</v>
      </c>
      <c r="K62" s="189">
        <v>-511654</v>
      </c>
      <c r="L62" s="189">
        <v>0</v>
      </c>
      <c r="M62" s="189">
        <v>-1023308</v>
      </c>
      <c r="N62" s="189">
        <v>0</v>
      </c>
      <c r="O62" s="189">
        <v>-511654</v>
      </c>
      <c r="P62" s="189">
        <v>0</v>
      </c>
      <c r="Q62" s="189">
        <v>4872471</v>
      </c>
      <c r="R62" s="189">
        <v>0</v>
      </c>
      <c r="S62" s="189">
        <v>0</v>
      </c>
      <c r="T62" s="189">
        <v>0</v>
      </c>
      <c r="U62" s="189">
        <v>0</v>
      </c>
      <c r="V62" s="189">
        <v>0</v>
      </c>
      <c r="W62" s="189">
        <v>0</v>
      </c>
      <c r="X62" s="189">
        <v>0</v>
      </c>
      <c r="Y62" s="189">
        <v>0</v>
      </c>
      <c r="Z62" s="189">
        <v>0</v>
      </c>
      <c r="AA62" s="189">
        <v>0</v>
      </c>
      <c r="AB62" s="189">
        <v>0</v>
      </c>
      <c r="AC62" s="189">
        <v>0</v>
      </c>
      <c r="AD62" s="189">
        <v>0</v>
      </c>
      <c r="AE62" s="189">
        <v>0</v>
      </c>
      <c r="AF62" s="189">
        <v>0</v>
      </c>
      <c r="AG62" s="189">
        <v>-32093</v>
      </c>
      <c r="AH62" s="189">
        <v>0</v>
      </c>
      <c r="AI62" s="189">
        <v>-175.31</v>
      </c>
      <c r="AJ62" s="189">
        <v>0</v>
      </c>
      <c r="AK62" s="189">
        <v>32092.54</v>
      </c>
      <c r="AL62" s="189">
        <v>0</v>
      </c>
      <c r="AM62" s="189">
        <v>0</v>
      </c>
      <c r="AN62" s="189">
        <v>0</v>
      </c>
      <c r="AO62" s="189">
        <v>0</v>
      </c>
      <c r="AP62" s="189">
        <v>0</v>
      </c>
      <c r="AQ62" s="189">
        <v>0</v>
      </c>
      <c r="AR62" s="189">
        <v>0</v>
      </c>
      <c r="AS62" s="189">
        <v>0</v>
      </c>
      <c r="AT62" s="189">
        <v>0</v>
      </c>
      <c r="AU62" s="189">
        <v>0</v>
      </c>
      <c r="AV62" s="189">
        <v>0</v>
      </c>
      <c r="AW62" s="189">
        <v>0</v>
      </c>
      <c r="AX62" s="189">
        <v>0</v>
      </c>
      <c r="AY62" s="189">
        <v>0</v>
      </c>
      <c r="AZ62" s="189">
        <v>0</v>
      </c>
      <c r="BA62" s="189">
        <v>0</v>
      </c>
      <c r="BB62" s="189">
        <v>0</v>
      </c>
      <c r="BC62" s="189">
        <v>0</v>
      </c>
      <c r="BD62" s="189">
        <v>0</v>
      </c>
      <c r="BE62" s="189">
        <v>0</v>
      </c>
      <c r="BF62" s="189">
        <v>0</v>
      </c>
      <c r="BG62" s="189">
        <v>0</v>
      </c>
      <c r="BH62" s="189">
        <v>0</v>
      </c>
      <c r="BI62" s="189">
        <v>0</v>
      </c>
      <c r="BJ62" s="189">
        <v>0</v>
      </c>
      <c r="BK62" s="189">
        <v>0</v>
      </c>
      <c r="BL62" s="189">
        <v>0</v>
      </c>
      <c r="BM62" s="189">
        <v>0</v>
      </c>
      <c r="BN62" s="189">
        <v>0</v>
      </c>
      <c r="BO62" s="189">
        <v>0</v>
      </c>
      <c r="BP62" s="189">
        <v>0</v>
      </c>
      <c r="BQ62" s="189">
        <v>0</v>
      </c>
      <c r="BR62" s="189">
        <v>0</v>
      </c>
      <c r="BS62" s="189">
        <v>0</v>
      </c>
      <c r="BT62" s="189">
        <v>0</v>
      </c>
      <c r="BU62" s="189">
        <v>0</v>
      </c>
    </row>
    <row r="63" spans="1:73">
      <c r="A63" s="189" t="s">
        <v>276</v>
      </c>
      <c r="B63" s="189">
        <v>0</v>
      </c>
      <c r="C63" s="189">
        <v>-189473281.16999999</v>
      </c>
      <c r="D63" s="189">
        <v>0</v>
      </c>
      <c r="E63" s="189">
        <v>-516513054.06999999</v>
      </c>
      <c r="F63" s="189">
        <v>0</v>
      </c>
      <c r="G63" s="189">
        <v>-312099283.06</v>
      </c>
      <c r="H63" s="189">
        <v>0</v>
      </c>
      <c r="I63" s="189">
        <v>318146991.94999999</v>
      </c>
      <c r="J63" s="189">
        <v>0</v>
      </c>
      <c r="K63" s="189">
        <v>114563384</v>
      </c>
      <c r="L63" s="189">
        <v>0</v>
      </c>
      <c r="M63" s="189">
        <v>106488171</v>
      </c>
      <c r="N63" s="189">
        <v>0</v>
      </c>
      <c r="O63" s="189">
        <v>-2612164</v>
      </c>
      <c r="P63" s="189">
        <v>0</v>
      </c>
      <c r="Q63" s="189">
        <v>146379868</v>
      </c>
      <c r="R63" s="189">
        <v>0</v>
      </c>
      <c r="S63" s="189">
        <v>-40992450</v>
      </c>
      <c r="T63" s="189">
        <v>0</v>
      </c>
      <c r="U63" s="189">
        <v>-48012390</v>
      </c>
      <c r="V63" s="189">
        <v>0</v>
      </c>
      <c r="W63" s="189">
        <v>38323126</v>
      </c>
      <c r="X63" s="189">
        <v>0</v>
      </c>
      <c r="Y63" s="189">
        <v>-108381058</v>
      </c>
      <c r="Z63" s="189">
        <v>0</v>
      </c>
      <c r="AA63" s="189">
        <v>5690147</v>
      </c>
      <c r="AB63" s="189">
        <v>0</v>
      </c>
      <c r="AC63" s="189">
        <v>51172146</v>
      </c>
      <c r="AD63" s="189">
        <v>0</v>
      </c>
      <c r="AE63" s="189">
        <v>-155637141</v>
      </c>
      <c r="AF63" s="189">
        <v>0</v>
      </c>
      <c r="AG63" s="189">
        <v>-215148345</v>
      </c>
      <c r="AH63" s="189">
        <v>0</v>
      </c>
      <c r="AI63" s="189">
        <v>-103380806.13</v>
      </c>
      <c r="AJ63" s="189">
        <v>0</v>
      </c>
      <c r="AK63" s="189">
        <v>69062109.730000004</v>
      </c>
      <c r="AL63" s="189">
        <v>0</v>
      </c>
      <c r="AM63" s="189">
        <v>19756170.890000001</v>
      </c>
      <c r="AN63" s="189">
        <v>0</v>
      </c>
      <c r="AO63" s="189">
        <v>-72776355.370000005</v>
      </c>
      <c r="AP63" s="189">
        <v>0</v>
      </c>
      <c r="AQ63" s="189">
        <v>18363516.140000001</v>
      </c>
      <c r="AR63" s="189">
        <v>0</v>
      </c>
      <c r="AS63" s="189">
        <v>-61237508.289999999</v>
      </c>
      <c r="AT63" s="189">
        <v>0</v>
      </c>
      <c r="AU63" s="189">
        <v>-53208767.380000003</v>
      </c>
      <c r="AV63" s="189">
        <v>0</v>
      </c>
      <c r="AW63" s="189">
        <v>-8631451.1500000004</v>
      </c>
      <c r="AX63" s="189">
        <v>-22091225.289999999</v>
      </c>
      <c r="AY63" s="189">
        <v>-14112657.42</v>
      </c>
      <c r="AZ63" s="189">
        <v>-7711098.0999999996</v>
      </c>
      <c r="BA63" s="189">
        <v>39142592.939999998</v>
      </c>
      <c r="BB63" s="189">
        <v>48818922.68</v>
      </c>
      <c r="BC63" s="189">
        <v>7021270.1200000001</v>
      </c>
      <c r="BD63" s="189">
        <v>24594683.489999998</v>
      </c>
      <c r="BE63" s="189">
        <v>-111755132.31</v>
      </c>
      <c r="BF63" s="189">
        <v>-102821431.56</v>
      </c>
      <c r="BG63" s="189">
        <v>-59661916.780000001</v>
      </c>
      <c r="BH63" s="189">
        <v>-20037516.670000002</v>
      </c>
      <c r="BI63" s="189">
        <v>-9594757.8900000006</v>
      </c>
      <c r="BJ63" s="189">
        <v>5606400.3200000003</v>
      </c>
      <c r="BK63" s="189">
        <v>-3090160.71</v>
      </c>
      <c r="BL63" s="189">
        <v>-11112768.84</v>
      </c>
      <c r="BM63" s="189">
        <v>-11263444.880000001</v>
      </c>
      <c r="BN63" s="189">
        <v>-2259727.92</v>
      </c>
      <c r="BO63" s="189">
        <v>36441464.509999998</v>
      </c>
      <c r="BP63" s="189">
        <v>6957837.0300000003</v>
      </c>
      <c r="BQ63" s="189">
        <v>-58789957.659999996</v>
      </c>
      <c r="BR63" s="189">
        <v>-24201097.670000002</v>
      </c>
      <c r="BS63" s="189">
        <v>-68278125.030000001</v>
      </c>
      <c r="BT63" s="189">
        <v>13685811.76</v>
      </c>
      <c r="BU63" s="189">
        <v>0</v>
      </c>
    </row>
    <row r="64" spans="1:73">
      <c r="A64" s="189" t="s">
        <v>277</v>
      </c>
      <c r="B64" s="189">
        <v>0</v>
      </c>
      <c r="C64" s="189">
        <v>-1613129898.4000001</v>
      </c>
      <c r="D64" s="189">
        <v>0</v>
      </c>
      <c r="E64" s="189">
        <v>-1333675165.24</v>
      </c>
      <c r="F64" s="189">
        <v>0</v>
      </c>
      <c r="G64" s="189">
        <v>-172806090.16999999</v>
      </c>
      <c r="H64" s="189">
        <v>0</v>
      </c>
      <c r="I64" s="189">
        <v>-1164398541.2</v>
      </c>
      <c r="J64" s="189">
        <v>0</v>
      </c>
      <c r="K64" s="189">
        <v>-348437539</v>
      </c>
      <c r="L64" s="189">
        <v>0</v>
      </c>
      <c r="M64" s="189">
        <v>651913038</v>
      </c>
      <c r="N64" s="189">
        <v>0</v>
      </c>
      <c r="O64" s="189">
        <v>51370419</v>
      </c>
      <c r="P64" s="189">
        <v>0</v>
      </c>
      <c r="Q64" s="189">
        <v>450087966</v>
      </c>
      <c r="R64" s="189">
        <v>0</v>
      </c>
      <c r="S64" s="189">
        <v>-93804543</v>
      </c>
      <c r="T64" s="189">
        <v>0</v>
      </c>
      <c r="U64" s="189">
        <v>-68921181</v>
      </c>
      <c r="V64" s="189">
        <v>0</v>
      </c>
      <c r="W64" s="189">
        <v>-3364222</v>
      </c>
      <c r="X64" s="189">
        <v>0</v>
      </c>
      <c r="Y64" s="189">
        <v>131235511</v>
      </c>
      <c r="Z64" s="189">
        <v>0</v>
      </c>
      <c r="AA64" s="189">
        <v>-331086073</v>
      </c>
      <c r="AB64" s="189">
        <v>0</v>
      </c>
      <c r="AC64" s="189">
        <v>-542607909</v>
      </c>
      <c r="AD64" s="189">
        <v>0</v>
      </c>
      <c r="AE64" s="189">
        <v>77124115</v>
      </c>
      <c r="AF64" s="189">
        <v>0</v>
      </c>
      <c r="AG64" s="189">
        <v>-549611436</v>
      </c>
      <c r="AH64" s="189">
        <v>0</v>
      </c>
      <c r="AI64" s="189">
        <v>-27724838.32</v>
      </c>
      <c r="AJ64" s="189">
        <v>0</v>
      </c>
      <c r="AK64" s="189">
        <v>148207410.33000001</v>
      </c>
      <c r="AL64" s="189">
        <v>0</v>
      </c>
      <c r="AM64" s="189">
        <v>86951209.349999994</v>
      </c>
      <c r="AN64" s="189">
        <v>0</v>
      </c>
      <c r="AO64" s="189">
        <v>332503511.97000003</v>
      </c>
      <c r="AP64" s="189">
        <v>0</v>
      </c>
      <c r="AQ64" s="189">
        <v>99650183.349999994</v>
      </c>
      <c r="AR64" s="189">
        <v>0</v>
      </c>
      <c r="AS64" s="189">
        <v>-62156051.520000003</v>
      </c>
      <c r="AT64" s="189">
        <v>0</v>
      </c>
      <c r="AU64" s="189">
        <v>36093965.030000001</v>
      </c>
      <c r="AV64" s="189">
        <v>0</v>
      </c>
      <c r="AW64" s="189">
        <v>-53543397.859999999</v>
      </c>
      <c r="AX64" s="189">
        <v>52206263.280000001</v>
      </c>
      <c r="AY64" s="189">
        <v>-42861150.340000004</v>
      </c>
      <c r="AZ64" s="189">
        <v>50602677.640000001</v>
      </c>
      <c r="BA64" s="189">
        <v>-8262328.5700000003</v>
      </c>
      <c r="BB64" s="189">
        <v>73353701.760000005</v>
      </c>
      <c r="BC64" s="189">
        <v>19907009.59</v>
      </c>
      <c r="BD64" s="189">
        <v>2974822.85</v>
      </c>
      <c r="BE64" s="189">
        <v>-166896065.22999999</v>
      </c>
      <c r="BF64" s="189">
        <v>-65898292.829999998</v>
      </c>
      <c r="BG64" s="189">
        <v>-74424674.900000006</v>
      </c>
      <c r="BH64" s="189">
        <v>42990609.130000003</v>
      </c>
      <c r="BI64" s="189">
        <v>-153481497.09</v>
      </c>
      <c r="BJ64" s="189">
        <v>-127412813.44</v>
      </c>
      <c r="BK64" s="189">
        <v>-66301255.200000003</v>
      </c>
      <c r="BL64" s="189">
        <v>-23750123.07</v>
      </c>
      <c r="BM64" s="189">
        <v>-26185658.109999999</v>
      </c>
      <c r="BN64" s="189">
        <v>-17917914.199999999</v>
      </c>
      <c r="BO64" s="189">
        <v>30503503.050000001</v>
      </c>
      <c r="BP64" s="189">
        <v>-2336512.25</v>
      </c>
      <c r="BQ64" s="189">
        <v>-18603199.129999999</v>
      </c>
      <c r="BR64" s="189">
        <v>-12624844.560000001</v>
      </c>
      <c r="BS64" s="189">
        <v>-23691999.5</v>
      </c>
      <c r="BT64" s="189">
        <v>-27553629.190000001</v>
      </c>
      <c r="BU64" s="189">
        <v>0</v>
      </c>
    </row>
    <row r="65" spans="1:73">
      <c r="A65" s="189" t="s">
        <v>278</v>
      </c>
      <c r="B65" s="189">
        <v>0</v>
      </c>
      <c r="C65" s="189">
        <v>-155896342.58000001</v>
      </c>
      <c r="D65" s="189">
        <v>0</v>
      </c>
      <c r="E65" s="189">
        <v>1413505384.1800001</v>
      </c>
      <c r="F65" s="189">
        <v>0</v>
      </c>
      <c r="G65" s="189">
        <v>-779711507.33000004</v>
      </c>
      <c r="H65" s="189">
        <v>0</v>
      </c>
      <c r="I65" s="189">
        <v>72968495.329999998</v>
      </c>
      <c r="J65" s="189">
        <v>0</v>
      </c>
      <c r="K65" s="189">
        <v>-2285308689</v>
      </c>
      <c r="L65" s="189">
        <v>0</v>
      </c>
      <c r="M65" s="189">
        <v>1651006484</v>
      </c>
      <c r="N65" s="189">
        <v>0</v>
      </c>
      <c r="O65" s="189">
        <v>-269625696</v>
      </c>
      <c r="P65" s="189">
        <v>0</v>
      </c>
      <c r="Q65" s="189">
        <v>-1218045491</v>
      </c>
      <c r="R65" s="189">
        <v>0</v>
      </c>
      <c r="S65" s="189">
        <v>-194619763</v>
      </c>
      <c r="T65" s="189">
        <v>0</v>
      </c>
      <c r="U65" s="189">
        <v>580994804</v>
      </c>
      <c r="V65" s="189">
        <v>0</v>
      </c>
      <c r="W65" s="189">
        <v>1546001</v>
      </c>
      <c r="X65" s="189">
        <v>0</v>
      </c>
      <c r="Y65" s="189">
        <v>-69232113</v>
      </c>
      <c r="Z65" s="189">
        <v>0</v>
      </c>
      <c r="AA65" s="189">
        <v>132433648</v>
      </c>
      <c r="AB65" s="189">
        <v>0</v>
      </c>
      <c r="AC65" s="189">
        <v>136892053</v>
      </c>
      <c r="AD65" s="189">
        <v>0</v>
      </c>
      <c r="AE65" s="189">
        <v>-181051969</v>
      </c>
      <c r="AF65" s="189">
        <v>0</v>
      </c>
      <c r="AG65" s="189">
        <v>509020069</v>
      </c>
      <c r="AH65" s="189">
        <v>0</v>
      </c>
      <c r="AI65" s="189">
        <v>-27602953.829999998</v>
      </c>
      <c r="AJ65" s="189">
        <v>0</v>
      </c>
      <c r="AK65" s="189">
        <v>52905273.039999999</v>
      </c>
      <c r="AL65" s="189">
        <v>0</v>
      </c>
      <c r="AM65" s="189">
        <v>37219760.649999999</v>
      </c>
      <c r="AN65" s="189">
        <v>0</v>
      </c>
      <c r="AO65" s="189">
        <v>-45685333.909999996</v>
      </c>
      <c r="AP65" s="189">
        <v>0</v>
      </c>
      <c r="AQ65" s="189">
        <v>-12064848.08</v>
      </c>
      <c r="AR65" s="189">
        <v>0</v>
      </c>
      <c r="AS65" s="189">
        <v>72968712.420000002</v>
      </c>
      <c r="AT65" s="189">
        <v>0</v>
      </c>
      <c r="AU65" s="189">
        <v>21725075.760000002</v>
      </c>
      <c r="AV65" s="189">
        <v>0</v>
      </c>
      <c r="AW65" s="189">
        <v>95676399.069999993</v>
      </c>
      <c r="AX65" s="189">
        <v>41239308.200000003</v>
      </c>
      <c r="AY65" s="189">
        <v>54107016.159999996</v>
      </c>
      <c r="AZ65" s="189">
        <v>9679696.8699999992</v>
      </c>
      <c r="BA65" s="189">
        <v>-51536526.579999998</v>
      </c>
      <c r="BB65" s="189">
        <v>-112150683.20999999</v>
      </c>
      <c r="BC65" s="189">
        <v>-60851677.75</v>
      </c>
      <c r="BD65" s="189">
        <v>-67861773.629999995</v>
      </c>
      <c r="BE65" s="189">
        <v>144730185.71000001</v>
      </c>
      <c r="BF65" s="189">
        <v>54959934.93</v>
      </c>
      <c r="BG65" s="189">
        <v>66165457.920000002</v>
      </c>
      <c r="BH65" s="189">
        <v>-13354143.99</v>
      </c>
      <c r="BI65" s="189">
        <v>70911625.540000007</v>
      </c>
      <c r="BJ65" s="189">
        <v>60130974.340000004</v>
      </c>
      <c r="BK65" s="189">
        <v>18520684.039999999</v>
      </c>
      <c r="BL65" s="189">
        <v>24672984.170000002</v>
      </c>
      <c r="BM65" s="189">
        <v>29506711.649999999</v>
      </c>
      <c r="BN65" s="189">
        <v>20256182.890000001</v>
      </c>
      <c r="BO65" s="189">
        <v>-35514891.140000001</v>
      </c>
      <c r="BP65" s="189">
        <v>-14353986.98</v>
      </c>
      <c r="BQ65" s="189">
        <v>27775679.609999999</v>
      </c>
      <c r="BR65" s="189">
        <v>12712673.130000001</v>
      </c>
      <c r="BS65" s="189">
        <v>13098927.17</v>
      </c>
      <c r="BT65" s="189">
        <v>-15529915.4</v>
      </c>
      <c r="BU65" s="189">
        <v>0</v>
      </c>
    </row>
    <row r="66" spans="1:73">
      <c r="A66" s="189" t="s">
        <v>279</v>
      </c>
      <c r="B66" s="189">
        <v>0</v>
      </c>
      <c r="C66" s="189">
        <v>0</v>
      </c>
      <c r="D66" s="189">
        <v>0</v>
      </c>
      <c r="E66" s="189">
        <v>0</v>
      </c>
      <c r="F66" s="189">
        <v>0</v>
      </c>
      <c r="G66" s="189">
        <v>0</v>
      </c>
      <c r="H66" s="189">
        <v>0</v>
      </c>
      <c r="I66" s="189">
        <v>0</v>
      </c>
      <c r="J66" s="189">
        <v>0</v>
      </c>
      <c r="K66" s="189">
        <v>0</v>
      </c>
      <c r="L66" s="189">
        <v>0</v>
      </c>
      <c r="M66" s="189">
        <v>0</v>
      </c>
      <c r="N66" s="189">
        <v>0</v>
      </c>
      <c r="O66" s="189">
        <v>0</v>
      </c>
      <c r="P66" s="189">
        <v>0</v>
      </c>
      <c r="Q66" s="189">
        <v>0</v>
      </c>
      <c r="R66" s="189">
        <v>0</v>
      </c>
      <c r="S66" s="189">
        <v>0</v>
      </c>
      <c r="T66" s="189">
        <v>0</v>
      </c>
      <c r="U66" s="189">
        <v>0</v>
      </c>
      <c r="V66" s="189">
        <v>0</v>
      </c>
      <c r="W66" s="189">
        <v>0</v>
      </c>
      <c r="X66" s="189">
        <v>0</v>
      </c>
      <c r="Y66" s="189">
        <v>0</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row>
    <row r="67" spans="1:73">
      <c r="A67" s="189" t="s">
        <v>280</v>
      </c>
      <c r="B67" s="189">
        <v>0</v>
      </c>
      <c r="C67" s="189">
        <v>0</v>
      </c>
      <c r="D67" s="189">
        <v>0</v>
      </c>
      <c r="E67" s="189">
        <v>0</v>
      </c>
      <c r="F67" s="189">
        <v>0</v>
      </c>
      <c r="G67" s="189">
        <v>0</v>
      </c>
      <c r="H67" s="189">
        <v>0</v>
      </c>
      <c r="I67" s="189">
        <v>0</v>
      </c>
      <c r="J67" s="189">
        <v>0</v>
      </c>
      <c r="K67" s="189">
        <v>0</v>
      </c>
      <c r="L67" s="189">
        <v>0</v>
      </c>
      <c r="M67" s="189">
        <v>0</v>
      </c>
      <c r="N67" s="189">
        <v>0</v>
      </c>
      <c r="O67" s="189">
        <v>0</v>
      </c>
      <c r="P67" s="189">
        <v>0</v>
      </c>
      <c r="Q67" s="189">
        <v>0</v>
      </c>
      <c r="R67" s="189">
        <v>0</v>
      </c>
      <c r="S67" s="189">
        <v>0</v>
      </c>
      <c r="T67" s="189">
        <v>0</v>
      </c>
      <c r="U67" s="189">
        <v>0</v>
      </c>
      <c r="V67" s="189">
        <v>0</v>
      </c>
      <c r="W67" s="189">
        <v>0</v>
      </c>
      <c r="X67" s="189">
        <v>0</v>
      </c>
      <c r="Y67" s="189">
        <v>0</v>
      </c>
      <c r="Z67" s="189">
        <v>0</v>
      </c>
      <c r="AA67" s="189">
        <v>0</v>
      </c>
      <c r="AB67" s="189">
        <v>0</v>
      </c>
      <c r="AC67" s="189">
        <v>0</v>
      </c>
      <c r="AD67" s="189">
        <v>0</v>
      </c>
      <c r="AE67" s="189">
        <v>0</v>
      </c>
      <c r="AF67" s="189">
        <v>0</v>
      </c>
      <c r="AG67" s="189">
        <v>0</v>
      </c>
      <c r="AH67" s="189">
        <v>0</v>
      </c>
      <c r="AI67" s="189">
        <v>0</v>
      </c>
      <c r="AJ67" s="189">
        <v>0</v>
      </c>
      <c r="AK67" s="189">
        <v>0</v>
      </c>
      <c r="AL67" s="189">
        <v>0</v>
      </c>
      <c r="AM67" s="189">
        <v>0</v>
      </c>
      <c r="AN67" s="189">
        <v>0</v>
      </c>
      <c r="AO67" s="189">
        <v>0</v>
      </c>
      <c r="AP67" s="189">
        <v>0</v>
      </c>
      <c r="AQ67" s="189">
        <v>0</v>
      </c>
      <c r="AR67" s="189">
        <v>0</v>
      </c>
      <c r="AS67" s="189">
        <v>0</v>
      </c>
      <c r="AT67" s="189">
        <v>0</v>
      </c>
      <c r="AU67" s="189">
        <v>0</v>
      </c>
      <c r="AV67" s="189">
        <v>0</v>
      </c>
      <c r="AW67" s="189">
        <v>0</v>
      </c>
      <c r="AX67" s="189">
        <v>0</v>
      </c>
      <c r="AY67" s="189">
        <v>0</v>
      </c>
      <c r="AZ67" s="189">
        <v>0</v>
      </c>
      <c r="BA67" s="189">
        <v>0</v>
      </c>
      <c r="BB67" s="189">
        <v>0</v>
      </c>
      <c r="BC67" s="189">
        <v>0</v>
      </c>
      <c r="BD67" s="189">
        <v>0</v>
      </c>
      <c r="BE67" s="189">
        <v>0</v>
      </c>
      <c r="BF67" s="189">
        <v>0</v>
      </c>
      <c r="BG67" s="189">
        <v>0</v>
      </c>
      <c r="BH67" s="189">
        <v>0</v>
      </c>
      <c r="BI67" s="189">
        <v>0</v>
      </c>
      <c r="BJ67" s="189">
        <v>0</v>
      </c>
      <c r="BK67" s="189">
        <v>0</v>
      </c>
      <c r="BL67" s="189">
        <v>0</v>
      </c>
      <c r="BM67" s="189">
        <v>0</v>
      </c>
      <c r="BN67" s="189">
        <v>0</v>
      </c>
      <c r="BO67" s="189">
        <v>0</v>
      </c>
      <c r="BP67" s="189">
        <v>0</v>
      </c>
      <c r="BQ67" s="189">
        <v>0</v>
      </c>
      <c r="BR67" s="189">
        <v>0</v>
      </c>
      <c r="BS67" s="189">
        <v>0</v>
      </c>
      <c r="BT67" s="189">
        <v>0</v>
      </c>
      <c r="BU67" s="189">
        <v>0</v>
      </c>
    </row>
    <row r="68" spans="1:73">
      <c r="A68" s="189" t="s">
        <v>281</v>
      </c>
      <c r="B68" s="189">
        <v>0</v>
      </c>
      <c r="C68" s="189">
        <v>0</v>
      </c>
      <c r="D68" s="189">
        <v>0</v>
      </c>
      <c r="E68" s="189">
        <v>0</v>
      </c>
      <c r="F68" s="189">
        <v>0</v>
      </c>
      <c r="G68" s="189">
        <v>0</v>
      </c>
      <c r="H68" s="189">
        <v>0</v>
      </c>
      <c r="I68" s="189">
        <v>0</v>
      </c>
      <c r="J68" s="189">
        <v>0</v>
      </c>
      <c r="K68" s="189">
        <v>0</v>
      </c>
      <c r="L68" s="189">
        <v>0</v>
      </c>
      <c r="M68" s="189">
        <v>0</v>
      </c>
      <c r="N68" s="189">
        <v>0</v>
      </c>
      <c r="O68" s="189">
        <v>0</v>
      </c>
      <c r="P68" s="189">
        <v>0</v>
      </c>
      <c r="Q68" s="189">
        <v>0</v>
      </c>
      <c r="R68" s="189">
        <v>0</v>
      </c>
      <c r="S68" s="189">
        <v>0</v>
      </c>
      <c r="T68" s="189">
        <v>0</v>
      </c>
      <c r="U68" s="189">
        <v>0</v>
      </c>
      <c r="V68" s="189">
        <v>0</v>
      </c>
      <c r="W68" s="189">
        <v>0</v>
      </c>
      <c r="X68" s="189">
        <v>0</v>
      </c>
      <c r="Y68" s="189">
        <v>0</v>
      </c>
      <c r="Z68" s="189">
        <v>0</v>
      </c>
      <c r="AA68" s="189">
        <v>0</v>
      </c>
      <c r="AB68" s="189">
        <v>0</v>
      </c>
      <c r="AC68" s="189">
        <v>0</v>
      </c>
      <c r="AD68" s="189">
        <v>0</v>
      </c>
      <c r="AE68" s="189">
        <v>0</v>
      </c>
      <c r="AF68" s="189">
        <v>0</v>
      </c>
      <c r="AG68" s="189">
        <v>0</v>
      </c>
      <c r="AH68" s="189">
        <v>0</v>
      </c>
      <c r="AI68" s="189">
        <v>896509.71</v>
      </c>
      <c r="AJ68" s="189">
        <v>0</v>
      </c>
      <c r="AK68" s="189">
        <v>0</v>
      </c>
      <c r="AL68" s="189">
        <v>0</v>
      </c>
      <c r="AM68" s="189">
        <v>-2114231.34</v>
      </c>
      <c r="AN68" s="189">
        <v>0</v>
      </c>
      <c r="AO68" s="189">
        <v>0</v>
      </c>
      <c r="AP68" s="189">
        <v>0</v>
      </c>
      <c r="AQ68" s="189">
        <v>0</v>
      </c>
      <c r="AR68" s="189">
        <v>0</v>
      </c>
      <c r="AS68" s="189">
        <v>0</v>
      </c>
      <c r="AT68" s="189">
        <v>0</v>
      </c>
      <c r="AU68" s="189">
        <v>0</v>
      </c>
      <c r="AV68" s="189">
        <v>0</v>
      </c>
      <c r="AW68" s="189">
        <v>0</v>
      </c>
      <c r="AX68" s="189">
        <v>0</v>
      </c>
      <c r="AY68" s="189">
        <v>0</v>
      </c>
      <c r="AZ68" s="189">
        <v>0</v>
      </c>
      <c r="BA68" s="189">
        <v>0</v>
      </c>
      <c r="BB68" s="189">
        <v>0</v>
      </c>
      <c r="BC68" s="189">
        <v>0</v>
      </c>
      <c r="BD68" s="189">
        <v>0</v>
      </c>
      <c r="BE68" s="189">
        <v>0</v>
      </c>
      <c r="BF68" s="189">
        <v>0</v>
      </c>
      <c r="BG68" s="189">
        <v>0</v>
      </c>
      <c r="BH68" s="189">
        <v>0</v>
      </c>
      <c r="BI68" s="189">
        <v>0</v>
      </c>
      <c r="BJ68" s="189">
        <v>0</v>
      </c>
      <c r="BK68" s="189">
        <v>0</v>
      </c>
      <c r="BL68" s="189">
        <v>0</v>
      </c>
      <c r="BM68" s="189">
        <v>0</v>
      </c>
      <c r="BN68" s="189">
        <v>0</v>
      </c>
      <c r="BO68" s="189">
        <v>0</v>
      </c>
      <c r="BP68" s="189">
        <v>0</v>
      </c>
      <c r="BQ68" s="189">
        <v>-20000</v>
      </c>
      <c r="BR68" s="189">
        <v>0</v>
      </c>
      <c r="BS68" s="189">
        <v>0</v>
      </c>
      <c r="BT68" s="189">
        <v>0</v>
      </c>
      <c r="BU68" s="189">
        <v>0</v>
      </c>
    </row>
    <row r="69" spans="1:73">
      <c r="A69" s="189" t="s">
        <v>282</v>
      </c>
      <c r="B69" s="189">
        <v>0</v>
      </c>
      <c r="C69" s="189">
        <v>956172589.92999995</v>
      </c>
      <c r="D69" s="189">
        <v>0</v>
      </c>
      <c r="E69" s="189">
        <v>1921203382</v>
      </c>
      <c r="F69" s="189">
        <v>0</v>
      </c>
      <c r="G69" s="189">
        <v>-133754593</v>
      </c>
      <c r="H69" s="189">
        <v>0</v>
      </c>
      <c r="I69" s="189">
        <v>980606988.61000001</v>
      </c>
      <c r="J69" s="189">
        <v>0</v>
      </c>
      <c r="K69" s="189">
        <v>-1579123796</v>
      </c>
      <c r="L69" s="189">
        <v>0</v>
      </c>
      <c r="M69" s="189">
        <v>4459078030</v>
      </c>
      <c r="N69" s="189">
        <v>0</v>
      </c>
      <c r="O69" s="189">
        <v>836757732</v>
      </c>
      <c r="P69" s="189">
        <v>0</v>
      </c>
      <c r="Q69" s="189">
        <v>1385683779</v>
      </c>
      <c r="R69" s="189">
        <v>0</v>
      </c>
      <c r="S69" s="189">
        <v>137255641</v>
      </c>
      <c r="T69" s="189">
        <v>0</v>
      </c>
      <c r="U69" s="189">
        <v>1421687316</v>
      </c>
      <c r="V69" s="189">
        <v>0</v>
      </c>
      <c r="W69" s="189">
        <v>414361128</v>
      </c>
      <c r="X69" s="189">
        <v>0</v>
      </c>
      <c r="Y69" s="189">
        <v>816946079</v>
      </c>
      <c r="Z69" s="189">
        <v>0</v>
      </c>
      <c r="AA69" s="189">
        <v>197831815</v>
      </c>
      <c r="AB69" s="189">
        <v>0</v>
      </c>
      <c r="AC69" s="189">
        <v>532957245</v>
      </c>
      <c r="AD69" s="189">
        <v>0</v>
      </c>
      <c r="AE69" s="189">
        <v>109353102</v>
      </c>
      <c r="AF69" s="189">
        <v>0</v>
      </c>
      <c r="AG69" s="189">
        <v>355446353</v>
      </c>
      <c r="AH69" s="189">
        <v>0</v>
      </c>
      <c r="AI69" s="189">
        <v>138627524.66999999</v>
      </c>
      <c r="AJ69" s="189">
        <v>0</v>
      </c>
      <c r="AK69" s="189">
        <v>436077993.11000001</v>
      </c>
      <c r="AL69" s="189">
        <v>0</v>
      </c>
      <c r="AM69" s="189">
        <v>153860936.88</v>
      </c>
      <c r="AN69" s="189">
        <v>0</v>
      </c>
      <c r="AO69" s="189">
        <v>223496679.47</v>
      </c>
      <c r="AP69" s="189">
        <v>0</v>
      </c>
      <c r="AQ69" s="189">
        <v>143511394.87</v>
      </c>
      <c r="AR69" s="189">
        <v>0</v>
      </c>
      <c r="AS69" s="189">
        <v>118042250.03</v>
      </c>
      <c r="AT69" s="189">
        <v>0</v>
      </c>
      <c r="AU69" s="189">
        <v>87685297.340000004</v>
      </c>
      <c r="AV69" s="189">
        <v>0</v>
      </c>
      <c r="AW69" s="189">
        <v>219506457.56</v>
      </c>
      <c r="AX69" s="189">
        <v>211168355.78999999</v>
      </c>
      <c r="AY69" s="189">
        <v>85142670.299999997</v>
      </c>
      <c r="AZ69" s="189">
        <v>88130296.239999995</v>
      </c>
      <c r="BA69" s="189">
        <v>102726880.20999999</v>
      </c>
      <c r="BB69" s="189">
        <v>98473063.219999999</v>
      </c>
      <c r="BC69" s="189">
        <v>50520858.369999997</v>
      </c>
      <c r="BD69" s="189">
        <v>-10636226.23</v>
      </c>
      <c r="BE69" s="189">
        <v>38807863.270000003</v>
      </c>
      <c r="BF69" s="189">
        <v>-13519325.689999999</v>
      </c>
      <c r="BG69" s="189">
        <v>2352091.84</v>
      </c>
      <c r="BH69" s="189">
        <v>38403963.600000001</v>
      </c>
      <c r="BI69" s="189">
        <v>430419.51</v>
      </c>
      <c r="BJ69" s="189">
        <v>557307.22</v>
      </c>
      <c r="BK69" s="189">
        <v>-5721360.2300000004</v>
      </c>
      <c r="BL69" s="189">
        <v>10138851.73</v>
      </c>
      <c r="BM69" s="189">
        <v>47598866.020000003</v>
      </c>
      <c r="BN69" s="189">
        <v>23880562.329999998</v>
      </c>
      <c r="BO69" s="189">
        <v>79034723.510000005</v>
      </c>
      <c r="BP69" s="189">
        <v>20794545.300000001</v>
      </c>
      <c r="BQ69" s="189">
        <v>9323546.5399999991</v>
      </c>
      <c r="BR69" s="189">
        <v>4438197.21</v>
      </c>
      <c r="BS69" s="189">
        <v>-22939163.289999999</v>
      </c>
      <c r="BT69" s="189">
        <v>9646307.7599999998</v>
      </c>
      <c r="BU69" s="189">
        <v>0</v>
      </c>
    </row>
    <row r="70" spans="1:73">
      <c r="A70" s="189" t="s">
        <v>283</v>
      </c>
      <c r="B70" s="189">
        <v>0</v>
      </c>
      <c r="C70" s="189">
        <v>0</v>
      </c>
      <c r="D70" s="189">
        <v>0</v>
      </c>
      <c r="E70" s="189">
        <v>0</v>
      </c>
      <c r="F70" s="189">
        <v>0</v>
      </c>
      <c r="G70" s="189">
        <v>0</v>
      </c>
      <c r="H70" s="189">
        <v>0</v>
      </c>
      <c r="I70" s="189">
        <v>0</v>
      </c>
      <c r="J70" s="189">
        <v>0</v>
      </c>
      <c r="K70" s="189">
        <v>0</v>
      </c>
      <c r="L70" s="189">
        <v>0</v>
      </c>
      <c r="M70" s="189">
        <v>0</v>
      </c>
      <c r="N70" s="189">
        <v>0</v>
      </c>
      <c r="O70" s="189">
        <v>0</v>
      </c>
      <c r="P70" s="189">
        <v>0</v>
      </c>
      <c r="Q70" s="189">
        <v>0</v>
      </c>
      <c r="R70" s="189">
        <v>0</v>
      </c>
      <c r="S70" s="189">
        <v>0</v>
      </c>
      <c r="T70" s="189">
        <v>0</v>
      </c>
      <c r="U70" s="189">
        <v>0</v>
      </c>
      <c r="V70" s="189">
        <v>0</v>
      </c>
      <c r="W70" s="189">
        <v>0</v>
      </c>
      <c r="X70" s="189">
        <v>0</v>
      </c>
      <c r="Y70" s="189">
        <v>0</v>
      </c>
      <c r="Z70" s="189">
        <v>0</v>
      </c>
      <c r="AA70" s="189">
        <v>0</v>
      </c>
      <c r="AB70" s="189">
        <v>0</v>
      </c>
      <c r="AC70" s="189">
        <v>0</v>
      </c>
      <c r="AD70" s="189">
        <v>0</v>
      </c>
      <c r="AE70" s="189">
        <v>0</v>
      </c>
      <c r="AF70" s="189">
        <v>0</v>
      </c>
      <c r="AG70" s="189">
        <v>0</v>
      </c>
      <c r="AH70" s="189">
        <v>0</v>
      </c>
      <c r="AI70" s="189">
        <v>0</v>
      </c>
      <c r="AJ70" s="189">
        <v>0</v>
      </c>
      <c r="AK70" s="189">
        <v>0</v>
      </c>
      <c r="AL70" s="189">
        <v>0</v>
      </c>
      <c r="AM70" s="189">
        <v>0</v>
      </c>
      <c r="AN70" s="189">
        <v>0</v>
      </c>
      <c r="AO70" s="189">
        <v>0</v>
      </c>
      <c r="AP70" s="189">
        <v>0</v>
      </c>
      <c r="AQ70" s="189">
        <v>0</v>
      </c>
      <c r="AR70" s="189">
        <v>0</v>
      </c>
      <c r="AS70" s="189">
        <v>0</v>
      </c>
      <c r="AT70" s="189">
        <v>0</v>
      </c>
      <c r="AU70" s="189">
        <v>0</v>
      </c>
      <c r="AV70" s="189">
        <v>0</v>
      </c>
      <c r="AW70" s="189">
        <v>0</v>
      </c>
      <c r="AX70" s="189">
        <v>0</v>
      </c>
      <c r="AY70" s="189">
        <v>0</v>
      </c>
      <c r="AZ70" s="189">
        <v>0</v>
      </c>
      <c r="BA70" s="189">
        <v>0</v>
      </c>
      <c r="BB70" s="189">
        <v>0</v>
      </c>
      <c r="BC70" s="189">
        <v>0</v>
      </c>
      <c r="BD70" s="189">
        <v>0</v>
      </c>
      <c r="BE70" s="189">
        <v>0</v>
      </c>
      <c r="BF70" s="189">
        <v>0</v>
      </c>
      <c r="BG70" s="189">
        <v>0</v>
      </c>
      <c r="BH70" s="189">
        <v>0</v>
      </c>
      <c r="BI70" s="189">
        <v>0</v>
      </c>
      <c r="BJ70" s="189">
        <v>0</v>
      </c>
      <c r="BK70" s="189">
        <v>0</v>
      </c>
      <c r="BL70" s="189">
        <v>0</v>
      </c>
      <c r="BM70" s="189">
        <v>0</v>
      </c>
      <c r="BN70" s="189">
        <v>0</v>
      </c>
      <c r="BO70" s="189">
        <v>0</v>
      </c>
      <c r="BP70" s="189">
        <v>0</v>
      </c>
      <c r="BQ70" s="189">
        <v>0</v>
      </c>
      <c r="BR70" s="189">
        <v>0</v>
      </c>
      <c r="BS70" s="189">
        <v>0</v>
      </c>
      <c r="BT70" s="189">
        <v>0</v>
      </c>
      <c r="BU70" s="189">
        <v>0</v>
      </c>
    </row>
    <row r="71" spans="1:73">
      <c r="A71" s="189" t="s">
        <v>284</v>
      </c>
      <c r="B71" s="189">
        <v>0</v>
      </c>
      <c r="C71" s="189">
        <v>0</v>
      </c>
      <c r="D71" s="189">
        <v>0</v>
      </c>
      <c r="E71" s="189">
        <v>0</v>
      </c>
      <c r="F71" s="189">
        <v>0</v>
      </c>
      <c r="G71" s="189">
        <v>0</v>
      </c>
      <c r="H71" s="189">
        <v>0</v>
      </c>
      <c r="I71" s="189">
        <v>0</v>
      </c>
      <c r="J71" s="189">
        <v>0</v>
      </c>
      <c r="K71" s="189">
        <v>0</v>
      </c>
      <c r="L71" s="189">
        <v>0</v>
      </c>
      <c r="M71" s="189">
        <v>0</v>
      </c>
      <c r="N71" s="189">
        <v>0</v>
      </c>
      <c r="O71" s="189">
        <v>0</v>
      </c>
      <c r="P71" s="189">
        <v>0</v>
      </c>
      <c r="Q71" s="189">
        <v>0</v>
      </c>
      <c r="R71" s="189">
        <v>0</v>
      </c>
      <c r="S71" s="189">
        <v>0</v>
      </c>
      <c r="T71" s="189">
        <v>0</v>
      </c>
      <c r="U71" s="189">
        <v>0</v>
      </c>
      <c r="V71" s="189">
        <v>0</v>
      </c>
      <c r="W71" s="189">
        <v>0</v>
      </c>
      <c r="X71" s="189">
        <v>0</v>
      </c>
      <c r="Y71" s="189">
        <v>0</v>
      </c>
      <c r="Z71" s="189">
        <v>0</v>
      </c>
      <c r="AA71" s="189">
        <v>0</v>
      </c>
      <c r="AB71" s="189">
        <v>0</v>
      </c>
      <c r="AC71" s="189">
        <v>0</v>
      </c>
      <c r="AD71" s="189">
        <v>0</v>
      </c>
      <c r="AE71" s="189">
        <v>0</v>
      </c>
      <c r="AF71" s="189">
        <v>0</v>
      </c>
      <c r="AG71" s="189">
        <v>0</v>
      </c>
      <c r="AH71" s="189">
        <v>0</v>
      </c>
      <c r="AI71" s="189">
        <v>0</v>
      </c>
      <c r="AJ71" s="189">
        <v>0</v>
      </c>
      <c r="AK71" s="189">
        <v>0</v>
      </c>
      <c r="AL71" s="189">
        <v>0</v>
      </c>
      <c r="AM71" s="189">
        <v>0</v>
      </c>
      <c r="AN71" s="189">
        <v>0</v>
      </c>
      <c r="AO71" s="189">
        <v>0</v>
      </c>
      <c r="AP71" s="189">
        <v>0</v>
      </c>
      <c r="AQ71" s="189">
        <v>0</v>
      </c>
      <c r="AR71" s="189">
        <v>0</v>
      </c>
      <c r="AS71" s="189">
        <v>0</v>
      </c>
      <c r="AT71" s="189">
        <v>0</v>
      </c>
      <c r="AU71" s="189">
        <v>0</v>
      </c>
      <c r="AV71" s="189">
        <v>0</v>
      </c>
      <c r="AW71" s="189">
        <v>0</v>
      </c>
      <c r="AX71" s="189">
        <v>0</v>
      </c>
      <c r="AY71" s="189">
        <v>0</v>
      </c>
      <c r="AZ71" s="189">
        <v>0</v>
      </c>
      <c r="BA71" s="189">
        <v>0</v>
      </c>
      <c r="BB71" s="189">
        <v>0</v>
      </c>
      <c r="BC71" s="189">
        <v>0</v>
      </c>
      <c r="BD71" s="189">
        <v>0</v>
      </c>
      <c r="BE71" s="189">
        <v>0</v>
      </c>
      <c r="BF71" s="189">
        <v>0</v>
      </c>
      <c r="BG71" s="189">
        <v>0</v>
      </c>
      <c r="BH71" s="189">
        <v>0</v>
      </c>
      <c r="BI71" s="189">
        <v>0</v>
      </c>
      <c r="BJ71" s="189">
        <v>0</v>
      </c>
      <c r="BK71" s="189">
        <v>0</v>
      </c>
      <c r="BL71" s="189">
        <v>0</v>
      </c>
      <c r="BM71" s="189">
        <v>0</v>
      </c>
      <c r="BN71" s="189">
        <v>0</v>
      </c>
      <c r="BO71" s="189">
        <v>0</v>
      </c>
      <c r="BP71" s="189">
        <v>0</v>
      </c>
      <c r="BQ71" s="189">
        <v>0</v>
      </c>
      <c r="BR71" s="189">
        <v>0</v>
      </c>
      <c r="BS71" s="189">
        <v>0</v>
      </c>
      <c r="BT71" s="189">
        <v>0</v>
      </c>
      <c r="BU71" s="189">
        <v>0</v>
      </c>
    </row>
    <row r="72" spans="1:73">
      <c r="A72" s="189" t="s">
        <v>285</v>
      </c>
      <c r="B72" s="189">
        <v>0</v>
      </c>
      <c r="C72" s="189">
        <v>0</v>
      </c>
      <c r="D72" s="189">
        <v>0</v>
      </c>
      <c r="E72" s="189">
        <v>0</v>
      </c>
      <c r="F72" s="189">
        <v>0</v>
      </c>
      <c r="G72" s="189">
        <v>0</v>
      </c>
      <c r="H72" s="189">
        <v>0</v>
      </c>
      <c r="I72" s="189">
        <v>0</v>
      </c>
      <c r="J72" s="189">
        <v>0</v>
      </c>
      <c r="K72" s="189">
        <v>0</v>
      </c>
      <c r="L72" s="189">
        <v>0</v>
      </c>
      <c r="M72" s="189">
        <v>0</v>
      </c>
      <c r="N72" s="189">
        <v>0</v>
      </c>
      <c r="O72" s="189">
        <v>0</v>
      </c>
      <c r="P72" s="189">
        <v>0</v>
      </c>
      <c r="Q72" s="189">
        <v>0</v>
      </c>
      <c r="R72" s="189">
        <v>0</v>
      </c>
      <c r="S72" s="189">
        <v>0</v>
      </c>
      <c r="T72" s="189">
        <v>0</v>
      </c>
      <c r="U72" s="189">
        <v>0</v>
      </c>
      <c r="V72" s="189">
        <v>0</v>
      </c>
      <c r="W72" s="189">
        <v>0</v>
      </c>
      <c r="X72" s="189">
        <v>0</v>
      </c>
      <c r="Y72" s="189">
        <v>0</v>
      </c>
      <c r="Z72" s="189">
        <v>0</v>
      </c>
      <c r="AA72" s="189">
        <v>0</v>
      </c>
      <c r="AB72" s="189">
        <v>0</v>
      </c>
      <c r="AC72" s="189">
        <v>0</v>
      </c>
      <c r="AD72" s="189">
        <v>0</v>
      </c>
      <c r="AE72" s="189">
        <v>0</v>
      </c>
      <c r="AF72" s="189">
        <v>0</v>
      </c>
      <c r="AG72" s="189">
        <v>0</v>
      </c>
      <c r="AH72" s="189">
        <v>0</v>
      </c>
      <c r="AI72" s="189">
        <v>0</v>
      </c>
      <c r="AJ72" s="189">
        <v>0</v>
      </c>
      <c r="AK72" s="189">
        <v>0</v>
      </c>
      <c r="AL72" s="189">
        <v>0</v>
      </c>
      <c r="AM72" s="189">
        <v>0</v>
      </c>
      <c r="AN72" s="189">
        <v>0</v>
      </c>
      <c r="AO72" s="189">
        <v>0</v>
      </c>
      <c r="AP72" s="189">
        <v>0</v>
      </c>
      <c r="AQ72" s="189">
        <v>0</v>
      </c>
      <c r="AR72" s="189">
        <v>0</v>
      </c>
      <c r="AS72" s="189">
        <v>0</v>
      </c>
      <c r="AT72" s="189">
        <v>0</v>
      </c>
      <c r="AU72" s="189">
        <v>0</v>
      </c>
      <c r="AV72" s="189">
        <v>0</v>
      </c>
      <c r="AW72" s="189">
        <v>0</v>
      </c>
      <c r="AX72" s="189">
        <v>0</v>
      </c>
      <c r="AY72" s="189">
        <v>0</v>
      </c>
      <c r="AZ72" s="189">
        <v>0</v>
      </c>
      <c r="BA72" s="189">
        <v>0</v>
      </c>
      <c r="BB72" s="189">
        <v>0</v>
      </c>
      <c r="BC72" s="189">
        <v>0</v>
      </c>
      <c r="BD72" s="189">
        <v>0</v>
      </c>
      <c r="BE72" s="189">
        <v>0</v>
      </c>
      <c r="BF72" s="189">
        <v>0</v>
      </c>
      <c r="BG72" s="189">
        <v>0</v>
      </c>
      <c r="BH72" s="189">
        <v>0</v>
      </c>
      <c r="BI72" s="189">
        <v>0</v>
      </c>
      <c r="BJ72" s="189">
        <v>0</v>
      </c>
      <c r="BK72" s="189">
        <v>0</v>
      </c>
      <c r="BL72" s="189">
        <v>0</v>
      </c>
      <c r="BM72" s="189">
        <v>0</v>
      </c>
      <c r="BN72" s="189">
        <v>0</v>
      </c>
      <c r="BO72" s="189">
        <v>0</v>
      </c>
      <c r="BP72" s="189">
        <v>0</v>
      </c>
      <c r="BQ72" s="189">
        <v>0</v>
      </c>
      <c r="BR72" s="189">
        <v>0</v>
      </c>
      <c r="BS72" s="189">
        <v>0</v>
      </c>
      <c r="BT72" s="189">
        <v>0</v>
      </c>
      <c r="BU72" s="189">
        <v>0</v>
      </c>
    </row>
    <row r="73" spans="1:73">
      <c r="A73" s="189" t="s">
        <v>286</v>
      </c>
      <c r="B73" s="189">
        <v>0</v>
      </c>
      <c r="C73" s="189">
        <v>3531318567.8200002</v>
      </c>
      <c r="D73" s="189">
        <v>0</v>
      </c>
      <c r="E73" s="189">
        <v>4157506890.6500001</v>
      </c>
      <c r="F73" s="189">
        <v>0</v>
      </c>
      <c r="G73" s="189">
        <v>2485569985.7800002</v>
      </c>
      <c r="H73" s="189">
        <v>0</v>
      </c>
      <c r="I73" s="189">
        <v>4459278424.8999996</v>
      </c>
      <c r="J73" s="189">
        <v>0</v>
      </c>
      <c r="K73" s="189">
        <v>4670986689</v>
      </c>
      <c r="L73" s="189">
        <v>0</v>
      </c>
      <c r="M73" s="189">
        <v>7333913973</v>
      </c>
      <c r="N73" s="189">
        <v>0</v>
      </c>
      <c r="O73" s="189">
        <v>3160932670</v>
      </c>
      <c r="P73" s="189">
        <v>0</v>
      </c>
      <c r="Q73" s="189">
        <v>810131128</v>
      </c>
      <c r="R73" s="189">
        <v>0</v>
      </c>
      <c r="S73" s="189">
        <v>515598597</v>
      </c>
      <c r="T73" s="189">
        <v>0</v>
      </c>
      <c r="U73" s="189">
        <v>0</v>
      </c>
      <c r="V73" s="189">
        <v>0</v>
      </c>
      <c r="W73" s="189">
        <v>423087120</v>
      </c>
      <c r="X73" s="189">
        <v>0</v>
      </c>
      <c r="Y73" s="189">
        <v>459634874</v>
      </c>
      <c r="Z73" s="189">
        <v>0</v>
      </c>
      <c r="AA73" s="189">
        <v>482420479</v>
      </c>
      <c r="AB73" s="189">
        <v>0</v>
      </c>
      <c r="AC73" s="189">
        <v>601195092</v>
      </c>
      <c r="AD73" s="189">
        <v>0</v>
      </c>
      <c r="AE73" s="189">
        <v>866004002</v>
      </c>
      <c r="AF73" s="189">
        <v>869834035.5</v>
      </c>
      <c r="AG73" s="189">
        <v>737142566</v>
      </c>
      <c r="AH73" s="189">
        <v>908677469.99000001</v>
      </c>
      <c r="AI73" s="189">
        <v>1444180255.23</v>
      </c>
      <c r="AJ73" s="189">
        <v>1060461646.34</v>
      </c>
      <c r="AK73" s="189">
        <v>1144169221.74</v>
      </c>
      <c r="AL73" s="189">
        <v>867015615.04999995</v>
      </c>
      <c r="AM73" s="189">
        <v>711355244.72000003</v>
      </c>
      <c r="AN73" s="189">
        <v>513436785.35000002</v>
      </c>
      <c r="AO73" s="189">
        <v>246445743.56999999</v>
      </c>
      <c r="AP73" s="189">
        <v>474434951.83999997</v>
      </c>
      <c r="AQ73" s="189">
        <v>538500540.88999999</v>
      </c>
      <c r="AR73" s="189">
        <v>727559188.16999996</v>
      </c>
      <c r="AS73" s="189">
        <v>615816225.69000006</v>
      </c>
      <c r="AT73" s="189">
        <v>1184021307.02</v>
      </c>
      <c r="AU73" s="189">
        <v>1637083795.79</v>
      </c>
      <c r="AV73" s="189">
        <v>325792804.25999999</v>
      </c>
      <c r="AW73" s="189">
        <v>122356099.13</v>
      </c>
      <c r="AX73" s="189">
        <v>163143405.16999999</v>
      </c>
      <c r="AY73" s="189">
        <v>169622133.06999999</v>
      </c>
      <c r="AZ73" s="189">
        <v>152620664.80000001</v>
      </c>
      <c r="BA73" s="189">
        <v>86803245.140000001</v>
      </c>
      <c r="BB73" s="189">
        <v>162998930.56</v>
      </c>
      <c r="BC73" s="189">
        <v>150919783.62</v>
      </c>
      <c r="BD73" s="189">
        <v>119436411.06999999</v>
      </c>
      <c r="BE73" s="189">
        <v>189887790.12</v>
      </c>
      <c r="BF73" s="189">
        <v>78010392.680000007</v>
      </c>
      <c r="BG73" s="189">
        <v>122892968.55</v>
      </c>
      <c r="BH73" s="189">
        <v>159401058.13</v>
      </c>
      <c r="BI73" s="189">
        <v>80133651.969999999</v>
      </c>
      <c r="BJ73" s="189">
        <v>120208425.98</v>
      </c>
      <c r="BK73" s="189">
        <v>156379116.71000001</v>
      </c>
      <c r="BL73" s="189">
        <v>201541801.53</v>
      </c>
      <c r="BM73" s="189">
        <v>186470525.56</v>
      </c>
      <c r="BN73" s="189">
        <v>235891915.81</v>
      </c>
      <c r="BO73" s="189">
        <v>208720378.13</v>
      </c>
      <c r="BP73" s="189">
        <v>217292639.86000001</v>
      </c>
      <c r="BQ73" s="189">
        <v>51608106.93</v>
      </c>
      <c r="BR73" s="189">
        <v>52122323.579999998</v>
      </c>
      <c r="BS73" s="189">
        <v>47519738.609999999</v>
      </c>
      <c r="BT73" s="189">
        <v>64515769.850000001</v>
      </c>
      <c r="BU73" s="189">
        <v>0</v>
      </c>
    </row>
    <row r="74" spans="1:73">
      <c r="A74" s="189" t="s">
        <v>287</v>
      </c>
      <c r="B74" s="189">
        <v>0</v>
      </c>
      <c r="C74" s="189">
        <v>5340457366.3000002</v>
      </c>
      <c r="D74" s="189">
        <v>0</v>
      </c>
      <c r="E74" s="189">
        <v>4459278424.8999996</v>
      </c>
      <c r="F74" s="189">
        <v>0</v>
      </c>
      <c r="G74" s="189">
        <v>4459278424.8999996</v>
      </c>
      <c r="H74" s="189">
        <v>0</v>
      </c>
      <c r="I74" s="189">
        <v>7333913971.2399998</v>
      </c>
      <c r="J74" s="189">
        <v>0</v>
      </c>
      <c r="K74" s="189">
        <v>7333913973</v>
      </c>
      <c r="L74" s="189">
        <v>0</v>
      </c>
      <c r="M74" s="189">
        <v>810131128</v>
      </c>
      <c r="N74" s="189">
        <v>0</v>
      </c>
      <c r="O74" s="189">
        <v>810131128</v>
      </c>
      <c r="P74" s="189">
        <v>0</v>
      </c>
      <c r="Q74" s="189">
        <v>1228793505</v>
      </c>
      <c r="R74" s="189">
        <v>0</v>
      </c>
      <c r="S74" s="189">
        <v>955188218</v>
      </c>
      <c r="T74" s="189">
        <v>0</v>
      </c>
      <c r="U74" s="189">
        <v>0</v>
      </c>
      <c r="V74" s="189">
        <v>0</v>
      </c>
      <c r="W74" s="189">
        <v>459634874</v>
      </c>
      <c r="X74" s="189">
        <v>0</v>
      </c>
      <c r="Y74" s="189">
        <v>601195092</v>
      </c>
      <c r="Z74" s="189">
        <v>0</v>
      </c>
      <c r="AA74" s="189">
        <v>601195092</v>
      </c>
      <c r="AB74" s="189">
        <v>0</v>
      </c>
      <c r="AC74" s="189">
        <v>737142566</v>
      </c>
      <c r="AD74" s="189">
        <v>0</v>
      </c>
      <c r="AE74" s="189">
        <v>737142566</v>
      </c>
      <c r="AF74" s="189">
        <v>871651808.71000004</v>
      </c>
      <c r="AG74" s="189">
        <v>1144169222</v>
      </c>
      <c r="AH74" s="189">
        <v>1187834884.98</v>
      </c>
      <c r="AI74" s="189">
        <v>1187834884.98</v>
      </c>
      <c r="AJ74" s="189">
        <v>1187834884.98</v>
      </c>
      <c r="AK74" s="189">
        <v>246445743.56999999</v>
      </c>
      <c r="AL74" s="189">
        <v>312283728.10000002</v>
      </c>
      <c r="AM74" s="189">
        <v>246445743.56999999</v>
      </c>
      <c r="AN74" s="189">
        <v>312283728.10000002</v>
      </c>
      <c r="AO74" s="189">
        <v>615816225.69000006</v>
      </c>
      <c r="AP74" s="189">
        <v>716927049.91999996</v>
      </c>
      <c r="AQ74" s="189">
        <v>615816225.69000006</v>
      </c>
      <c r="AR74" s="189">
        <v>716927049.91999996</v>
      </c>
      <c r="AS74" s="189">
        <v>356697703.64999998</v>
      </c>
      <c r="AT74" s="189">
        <v>356697703.64999998</v>
      </c>
      <c r="AU74" s="189">
        <v>122356099.13</v>
      </c>
      <c r="AV74" s="189">
        <v>356697703.64999998</v>
      </c>
      <c r="AW74" s="189">
        <v>86803245.140000001</v>
      </c>
      <c r="AX74" s="189">
        <v>86803245.140000001</v>
      </c>
      <c r="AY74" s="189">
        <v>86803245.140000001</v>
      </c>
      <c r="AZ74" s="189">
        <v>86803245.140000001</v>
      </c>
      <c r="BA74" s="189">
        <v>189887790.12</v>
      </c>
      <c r="BB74" s="189">
        <v>189887790.12</v>
      </c>
      <c r="BC74" s="189">
        <v>189887790.12</v>
      </c>
      <c r="BD74" s="189">
        <v>189887790.12</v>
      </c>
      <c r="BE74" s="189">
        <v>80133651.969999999</v>
      </c>
      <c r="BF74" s="189">
        <v>80133651.969999999</v>
      </c>
      <c r="BG74" s="189">
        <v>80133651.969999999</v>
      </c>
      <c r="BH74" s="189">
        <v>80133651.969999999</v>
      </c>
      <c r="BI74" s="189">
        <v>186470525.56</v>
      </c>
      <c r="BJ74" s="189">
        <v>186470525.56</v>
      </c>
      <c r="BK74" s="189">
        <v>186470525.56</v>
      </c>
      <c r="BL74" s="189">
        <v>186470525.56</v>
      </c>
      <c r="BM74" s="189">
        <v>208720378.13</v>
      </c>
      <c r="BN74" s="189">
        <v>211219835.93000001</v>
      </c>
      <c r="BO74" s="189">
        <v>51608106.93</v>
      </c>
      <c r="BP74" s="189">
        <v>58788728.390000001</v>
      </c>
      <c r="BQ74" s="189">
        <v>47519738.609999999</v>
      </c>
      <c r="BR74" s="189">
        <v>47519738.609999999</v>
      </c>
      <c r="BS74" s="189">
        <v>64515769.850000001</v>
      </c>
      <c r="BT74" s="189">
        <v>27156545.02</v>
      </c>
      <c r="BU74" s="189">
        <v>0</v>
      </c>
    </row>
    <row r="75" spans="1:73">
      <c r="A75" s="189" t="s">
        <v>288</v>
      </c>
      <c r="B75" s="189">
        <v>0</v>
      </c>
      <c r="C75" s="189">
        <v>0</v>
      </c>
      <c r="D75" s="189">
        <v>0</v>
      </c>
      <c r="E75" s="189">
        <v>0</v>
      </c>
      <c r="F75" s="189">
        <v>0</v>
      </c>
      <c r="G75" s="189">
        <v>0</v>
      </c>
      <c r="H75" s="189">
        <v>0</v>
      </c>
      <c r="I75" s="189">
        <v>0</v>
      </c>
      <c r="J75" s="189">
        <v>0</v>
      </c>
      <c r="K75" s="189">
        <v>0</v>
      </c>
      <c r="L75" s="189">
        <v>0</v>
      </c>
      <c r="M75" s="189">
        <v>0</v>
      </c>
      <c r="N75" s="189">
        <v>0</v>
      </c>
      <c r="O75" s="189">
        <v>0</v>
      </c>
      <c r="P75" s="189">
        <v>0</v>
      </c>
      <c r="Q75" s="189">
        <v>0</v>
      </c>
      <c r="R75" s="189">
        <v>0</v>
      </c>
      <c r="S75" s="189">
        <v>0</v>
      </c>
      <c r="T75" s="189">
        <v>0</v>
      </c>
      <c r="U75" s="189">
        <v>955188218</v>
      </c>
      <c r="V75" s="189">
        <v>0</v>
      </c>
      <c r="W75" s="189">
        <v>0</v>
      </c>
      <c r="X75" s="189">
        <v>0</v>
      </c>
      <c r="Y75" s="189">
        <v>0</v>
      </c>
      <c r="Z75" s="189">
        <v>0</v>
      </c>
      <c r="AA75" s="189">
        <v>0</v>
      </c>
      <c r="AB75" s="189">
        <v>0</v>
      </c>
      <c r="AC75" s="189">
        <v>0</v>
      </c>
      <c r="AD75" s="189">
        <v>0</v>
      </c>
      <c r="AE75" s="189">
        <v>0</v>
      </c>
      <c r="AF75" s="189">
        <v>0</v>
      </c>
      <c r="AG75" s="189">
        <v>0</v>
      </c>
      <c r="AH75" s="189">
        <v>0</v>
      </c>
      <c r="AI75" s="189">
        <v>0</v>
      </c>
      <c r="AJ75" s="189">
        <v>0</v>
      </c>
      <c r="AK75" s="189">
        <v>0</v>
      </c>
      <c r="AL75" s="189">
        <v>0</v>
      </c>
      <c r="AM75" s="189">
        <v>0</v>
      </c>
      <c r="AN75" s="189">
        <v>0</v>
      </c>
      <c r="AO75" s="189">
        <v>0</v>
      </c>
      <c r="AP75" s="189">
        <v>0</v>
      </c>
      <c r="AQ75" s="189">
        <v>0</v>
      </c>
      <c r="AR75" s="189">
        <v>0</v>
      </c>
      <c r="AS75" s="189">
        <v>0</v>
      </c>
      <c r="AT75" s="189">
        <v>0</v>
      </c>
      <c r="AU75" s="189">
        <v>0</v>
      </c>
      <c r="AV75" s="189">
        <v>0</v>
      </c>
      <c r="AW75" s="189">
        <v>0</v>
      </c>
      <c r="AX75" s="189">
        <v>0</v>
      </c>
      <c r="AY75" s="189">
        <v>0</v>
      </c>
      <c r="AZ75" s="189">
        <v>0</v>
      </c>
      <c r="BA75" s="189">
        <v>0</v>
      </c>
      <c r="BB75" s="189">
        <v>0</v>
      </c>
      <c r="BC75" s="189">
        <v>0</v>
      </c>
      <c r="BD75" s="189">
        <v>0</v>
      </c>
      <c r="BE75" s="189">
        <v>0</v>
      </c>
      <c r="BF75" s="189">
        <v>0</v>
      </c>
      <c r="BG75" s="189">
        <v>0</v>
      </c>
      <c r="BH75" s="189">
        <v>0</v>
      </c>
      <c r="BI75" s="189">
        <v>0</v>
      </c>
      <c r="BJ75" s="189">
        <v>0</v>
      </c>
      <c r="BK75" s="189">
        <v>0</v>
      </c>
      <c r="BL75" s="189">
        <v>0</v>
      </c>
      <c r="BM75" s="189">
        <v>0</v>
      </c>
      <c r="BN75" s="189">
        <v>0</v>
      </c>
      <c r="BO75" s="189">
        <v>0</v>
      </c>
      <c r="BP75" s="189">
        <v>0</v>
      </c>
      <c r="BQ75" s="189">
        <v>0</v>
      </c>
      <c r="BR75" s="189">
        <v>0</v>
      </c>
      <c r="BS75" s="189">
        <v>0</v>
      </c>
      <c r="BT75" s="189">
        <v>0</v>
      </c>
      <c r="BU75" s="189">
        <v>0</v>
      </c>
    </row>
    <row r="76" spans="1:73">
      <c r="A76" s="189" t="s">
        <v>289</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459634874</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0</v>
      </c>
      <c r="BQ76" s="189">
        <v>0</v>
      </c>
      <c r="BR76" s="189">
        <v>0</v>
      </c>
      <c r="BS76" s="189">
        <v>0</v>
      </c>
      <c r="BT76" s="189">
        <v>0</v>
      </c>
      <c r="BU76" s="189">
        <v>0</v>
      </c>
    </row>
    <row r="77" spans="1:73">
      <c r="A77" s="189" t="s">
        <v>290</v>
      </c>
      <c r="B77" s="189">
        <v>0</v>
      </c>
      <c r="C77" s="189">
        <v>-1809138798.48</v>
      </c>
      <c r="D77" s="189">
        <v>0</v>
      </c>
      <c r="E77" s="189">
        <v>-301771534.25</v>
      </c>
      <c r="F77" s="189">
        <v>0</v>
      </c>
      <c r="G77" s="189">
        <v>-1973708439.1199999</v>
      </c>
      <c r="H77" s="189">
        <v>0</v>
      </c>
      <c r="I77" s="189">
        <v>-2874635546.3400002</v>
      </c>
      <c r="J77" s="189">
        <v>0</v>
      </c>
      <c r="K77" s="189">
        <v>-2662927284</v>
      </c>
      <c r="L77" s="189">
        <v>0</v>
      </c>
      <c r="M77" s="189">
        <v>6523782845</v>
      </c>
      <c r="N77" s="189">
        <v>0</v>
      </c>
      <c r="O77" s="189">
        <v>2350801542</v>
      </c>
      <c r="P77" s="189">
        <v>0</v>
      </c>
      <c r="Q77" s="189">
        <v>-418662377</v>
      </c>
      <c r="R77" s="189">
        <v>0</v>
      </c>
      <c r="S77" s="189">
        <v>-439589621</v>
      </c>
      <c r="T77" s="189">
        <v>0</v>
      </c>
      <c r="U77" s="189">
        <v>495553344</v>
      </c>
      <c r="V77" s="189">
        <v>0</v>
      </c>
      <c r="W77" s="189">
        <v>-36547754</v>
      </c>
      <c r="X77" s="189">
        <v>0</v>
      </c>
      <c r="Y77" s="189">
        <v>-141560218</v>
      </c>
      <c r="Z77" s="189">
        <v>0</v>
      </c>
      <c r="AA77" s="189">
        <v>-118774613</v>
      </c>
      <c r="AB77" s="189">
        <v>0</v>
      </c>
      <c r="AC77" s="189">
        <v>-135947474</v>
      </c>
      <c r="AD77" s="189">
        <v>0</v>
      </c>
      <c r="AE77" s="189">
        <v>128861436</v>
      </c>
      <c r="AF77" s="189">
        <v>-1817773.21</v>
      </c>
      <c r="AG77" s="189">
        <v>-407026656</v>
      </c>
      <c r="AH77" s="189">
        <v>-279157414.99000001</v>
      </c>
      <c r="AI77" s="189">
        <v>256345370.25</v>
      </c>
      <c r="AJ77" s="189">
        <v>-127373238.64</v>
      </c>
      <c r="AK77" s="189">
        <v>897723478.16999996</v>
      </c>
      <c r="AL77" s="189">
        <v>554731886.95000005</v>
      </c>
      <c r="AM77" s="189">
        <v>464909501.14999998</v>
      </c>
      <c r="AN77" s="189">
        <v>201153057.25</v>
      </c>
      <c r="AO77" s="189">
        <v>-369370482.12</v>
      </c>
      <c r="AP77" s="189">
        <v>-242492098.08000001</v>
      </c>
      <c r="AQ77" s="189">
        <v>-77315684.799999997</v>
      </c>
      <c r="AR77" s="189">
        <v>10632138.25</v>
      </c>
      <c r="AS77" s="189">
        <v>259118522.03999999</v>
      </c>
      <c r="AT77" s="189">
        <v>827323603.37</v>
      </c>
      <c r="AU77" s="189">
        <v>1280386092.1400001</v>
      </c>
      <c r="AV77" s="189">
        <v>-30904899.390000001</v>
      </c>
      <c r="AW77" s="189">
        <v>35552853.990000002</v>
      </c>
      <c r="AX77" s="189">
        <v>76340160.030000001</v>
      </c>
      <c r="AY77" s="189">
        <v>82818887.930000007</v>
      </c>
      <c r="AZ77" s="189">
        <v>65817419.659999996</v>
      </c>
      <c r="BA77" s="189">
        <v>-103084544.98</v>
      </c>
      <c r="BB77" s="189">
        <v>-26888859.559999999</v>
      </c>
      <c r="BC77" s="189">
        <v>-38968006.5</v>
      </c>
      <c r="BD77" s="189">
        <v>-70451379.049999997</v>
      </c>
      <c r="BE77" s="189">
        <v>109754138.15000001</v>
      </c>
      <c r="BF77" s="189">
        <v>-2123259.29</v>
      </c>
      <c r="BG77" s="189">
        <v>42759316.579999998</v>
      </c>
      <c r="BH77" s="189">
        <v>79267406.159999996</v>
      </c>
      <c r="BI77" s="189">
        <v>-106336873.59</v>
      </c>
      <c r="BJ77" s="189">
        <v>-66262099.579999998</v>
      </c>
      <c r="BK77" s="189">
        <v>-30091408.850000001</v>
      </c>
      <c r="BL77" s="189">
        <v>15071275.970000001</v>
      </c>
      <c r="BM77" s="189">
        <v>-22249852.57</v>
      </c>
      <c r="BN77" s="189">
        <v>24672079.879999999</v>
      </c>
      <c r="BO77" s="189">
        <v>157112271.19999999</v>
      </c>
      <c r="BP77" s="189">
        <v>158503911.47</v>
      </c>
      <c r="BQ77" s="189">
        <v>4088368.32</v>
      </c>
      <c r="BR77" s="189">
        <v>4602584.97</v>
      </c>
      <c r="BS77" s="189">
        <v>-16996031.239999998</v>
      </c>
      <c r="BT77" s="189">
        <v>37359224.829999998</v>
      </c>
      <c r="BU77" s="189">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表"/>
  <dimension ref="A1:CL110"/>
  <sheetViews>
    <sheetView workbookViewId="0">
      <selection activeCell="E69" sqref="E69"/>
    </sheetView>
  </sheetViews>
  <sheetFormatPr defaultRowHeight="13.5"/>
  <cols>
    <col min="1" max="1" width="31.875" style="17" bestFit="1" customWidth="1"/>
    <col min="2" max="4" width="20.5" hidden="1" customWidth="1"/>
    <col min="5" max="5" width="22" bestFit="1" customWidth="1"/>
    <col min="6" max="8" width="22" hidden="1" customWidth="1"/>
    <col min="9" max="9" width="22" bestFit="1" customWidth="1"/>
    <col min="10" max="12" width="22" hidden="1" customWidth="1"/>
    <col min="13" max="13" width="22" bestFit="1" customWidth="1"/>
    <col min="14" max="16" width="22" hidden="1" customWidth="1"/>
    <col min="17" max="17" width="22" bestFit="1" customWidth="1"/>
    <col min="18" max="20" width="22" hidden="1" customWidth="1"/>
    <col min="21" max="21" width="22" bestFit="1" customWidth="1"/>
    <col min="22" max="24" width="22" hidden="1" customWidth="1"/>
    <col min="25" max="25" width="22" bestFit="1" customWidth="1"/>
    <col min="26" max="28" width="22" hidden="1" customWidth="1"/>
    <col min="29" max="29" width="22" bestFit="1" customWidth="1"/>
    <col min="30" max="32" width="22" hidden="1" customWidth="1"/>
    <col min="33" max="33" width="22" bestFit="1" customWidth="1"/>
    <col min="34" max="36" width="22" hidden="1" customWidth="1"/>
    <col min="37" max="37" width="22" bestFit="1" customWidth="1"/>
    <col min="38" max="40" width="22" hidden="1" customWidth="1"/>
    <col min="41" max="41" width="22" bestFit="1" customWidth="1"/>
    <col min="42" max="44" width="22" hidden="1" customWidth="1"/>
    <col min="45" max="45" width="22" bestFit="1" customWidth="1"/>
    <col min="46" max="47" width="22" hidden="1" customWidth="1"/>
    <col min="48" max="48" width="19.5" hidden="1" customWidth="1"/>
    <col min="49" max="49" width="19.5" bestFit="1" customWidth="1"/>
    <col min="50" max="52" width="19.5" hidden="1" customWidth="1"/>
    <col min="53" max="53" width="19.5" bestFit="1" customWidth="1"/>
    <col min="54" max="56" width="19.5" hidden="1" customWidth="1"/>
    <col min="57" max="57" width="19.5" bestFit="1" customWidth="1"/>
    <col min="58" max="60" width="19.5" hidden="1" customWidth="1"/>
    <col min="61" max="61" width="19.5" bestFit="1" customWidth="1"/>
    <col min="62" max="64" width="19.5" hidden="1" customWidth="1"/>
    <col min="65" max="65" width="19.5" bestFit="1" customWidth="1"/>
    <col min="66" max="68" width="19.5" hidden="1" customWidth="1"/>
    <col min="69" max="69" width="19.5" bestFit="1" customWidth="1"/>
    <col min="70" max="70" width="19.5" hidden="1" customWidth="1"/>
    <col min="71" max="71" width="19.5" bestFit="1" customWidth="1"/>
    <col min="72" max="72" width="19.5" hidden="1" customWidth="1"/>
    <col min="73" max="73" width="19.5" bestFit="1" customWidth="1"/>
    <col min="74" max="74" width="19.5" hidden="1" customWidth="1"/>
    <col min="75" max="75" width="18.25" bestFit="1" customWidth="1"/>
    <col min="76" max="76" width="19.5" hidden="1" customWidth="1"/>
    <col min="77" max="77" width="19.5" bestFit="1" customWidth="1"/>
    <col min="78" max="78" width="17.25" hidden="1" customWidth="1"/>
    <col min="79" max="79" width="19.5" bestFit="1" customWidth="1"/>
    <col min="80" max="80" width="17.25" hidden="1" customWidth="1"/>
    <col min="81" max="81" width="19.5" bestFit="1" customWidth="1"/>
    <col min="82" max="82" width="17.25" hidden="1" customWidth="1"/>
    <col min="83" max="84" width="19.5" bestFit="1" customWidth="1"/>
    <col min="85" max="86" width="16.125" bestFit="1" customWidth="1"/>
    <col min="87" max="87" width="9.5" hidden="1" customWidth="1"/>
    <col min="88" max="89" width="16.125" bestFit="1" customWidth="1"/>
    <col min="90" max="90" width="7.375" bestFit="1" customWidth="1"/>
  </cols>
  <sheetData>
    <row r="1" spans="1:90" s="41" customFormat="1" ht="14.45">
      <c r="A1" s="41">
        <v>50</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20010630</v>
      </c>
      <c r="BS1" s="189">
        <v>20001231</v>
      </c>
      <c r="BT1" s="189">
        <v>20000630</v>
      </c>
      <c r="BU1" s="189">
        <v>19991231</v>
      </c>
      <c r="BV1" s="189">
        <v>19990630</v>
      </c>
      <c r="BW1" s="189">
        <v>19981231</v>
      </c>
      <c r="BX1" s="189">
        <v>19980630</v>
      </c>
      <c r="BY1" s="189">
        <v>19971231</v>
      </c>
      <c r="BZ1" s="189">
        <v>19970630</v>
      </c>
      <c r="CA1" s="189">
        <v>19961231</v>
      </c>
      <c r="CB1" s="189">
        <v>19960630</v>
      </c>
      <c r="CC1" s="189">
        <v>19951231</v>
      </c>
      <c r="CD1" s="189">
        <v>19950630</v>
      </c>
      <c r="CE1" s="189">
        <v>19941231</v>
      </c>
      <c r="CF1" s="189">
        <v>19931231</v>
      </c>
      <c r="CG1" s="189">
        <v>19921231</v>
      </c>
      <c r="CH1" s="189">
        <v>19911231</v>
      </c>
      <c r="CI1" s="189">
        <v>19700101</v>
      </c>
      <c r="CJ1" s="189"/>
      <c r="CK1" s="189"/>
      <c r="CL1" s="189"/>
    </row>
    <row r="2" spans="1:90">
      <c r="A2" s="20" t="s">
        <v>0</v>
      </c>
      <c r="B2" s="26"/>
      <c r="C2" s="26"/>
      <c r="D2" s="26"/>
      <c r="E2" s="26"/>
      <c r="F2" s="26"/>
      <c r="G2" s="26"/>
      <c r="H2" s="26"/>
      <c r="I2" s="26"/>
      <c r="J2" s="26"/>
      <c r="K2" s="26"/>
      <c r="L2" s="23"/>
    </row>
    <row r="3" spans="1:90">
      <c r="A3" s="20" t="s">
        <v>316</v>
      </c>
      <c r="B3" s="26"/>
      <c r="C3" s="26"/>
      <c r="D3" s="26"/>
      <c r="E3" s="26"/>
      <c r="F3" s="26"/>
      <c r="G3" s="26"/>
      <c r="H3" s="26"/>
      <c r="I3" s="26"/>
      <c r="J3" s="26"/>
      <c r="K3" s="26"/>
      <c r="L3" s="23"/>
    </row>
    <row r="4" spans="1:90">
      <c r="A4" s="17" t="s">
        <v>1</v>
      </c>
      <c r="B4" s="189">
        <v>4073740696.8600001</v>
      </c>
      <c r="C4" s="189">
        <v>3587490442.7199998</v>
      </c>
      <c r="D4" s="189">
        <v>4990558562.4399996</v>
      </c>
      <c r="E4" s="189">
        <v>4290277164.6500001</v>
      </c>
      <c r="F4" s="189">
        <v>3144083068.9099998</v>
      </c>
      <c r="G4" s="189">
        <v>2487586006.3899999</v>
      </c>
      <c r="H4" s="189">
        <v>2037347704.3499999</v>
      </c>
      <c r="I4" s="189">
        <v>4463195250.29</v>
      </c>
      <c r="J4" s="189">
        <v>5061012865.3400002</v>
      </c>
      <c r="K4" s="189">
        <v>4674877450</v>
      </c>
      <c r="L4" s="189">
        <v>5543566520.8800001</v>
      </c>
      <c r="M4" s="189">
        <v>7341522190</v>
      </c>
      <c r="N4" s="189">
        <v>2626737484.3400002</v>
      </c>
      <c r="O4" s="189">
        <v>3176818634</v>
      </c>
      <c r="P4" s="189">
        <v>2512286470.3000002</v>
      </c>
      <c r="Q4" s="189">
        <v>833571561</v>
      </c>
      <c r="R4" s="189">
        <v>3201694825.0999999</v>
      </c>
      <c r="S4" s="189">
        <v>515598597</v>
      </c>
      <c r="T4" s="189">
        <v>789066231.25</v>
      </c>
      <c r="U4" s="189">
        <v>955188987</v>
      </c>
      <c r="V4" s="189">
        <v>375657785</v>
      </c>
      <c r="W4" s="189">
        <v>425414995</v>
      </c>
      <c r="X4" s="189">
        <v>476166573.50999999</v>
      </c>
      <c r="Y4" s="189">
        <v>472176166</v>
      </c>
      <c r="Z4" s="189">
        <v>501448106</v>
      </c>
      <c r="AA4" s="189">
        <v>545377287</v>
      </c>
      <c r="AB4" s="189">
        <v>742606677.33000004</v>
      </c>
      <c r="AC4" s="189">
        <v>706557839</v>
      </c>
      <c r="AD4" s="189">
        <v>820115869.16999996</v>
      </c>
      <c r="AE4" s="189">
        <v>1038700162</v>
      </c>
      <c r="AF4" s="189">
        <v>869834035.5</v>
      </c>
      <c r="AG4" s="189">
        <v>871651809</v>
      </c>
      <c r="AH4" s="189">
        <v>908677469.99000001</v>
      </c>
      <c r="AI4" s="189">
        <v>1444180255.23</v>
      </c>
      <c r="AJ4" s="189">
        <v>1060461646.34</v>
      </c>
      <c r="AK4" s="189">
        <v>1187834884.98</v>
      </c>
      <c r="AL4" s="189">
        <v>867015615.04999995</v>
      </c>
      <c r="AM4" s="189">
        <v>811155532.67999995</v>
      </c>
      <c r="AN4" s="189">
        <v>513436785.35000002</v>
      </c>
      <c r="AO4" s="189">
        <v>312283728.10000002</v>
      </c>
      <c r="AP4" s="189">
        <v>474434951.83999997</v>
      </c>
      <c r="AQ4" s="189">
        <v>634492803.25999999</v>
      </c>
      <c r="AR4" s="189">
        <v>727559188.16999996</v>
      </c>
      <c r="AS4" s="189">
        <v>716927049.91999996</v>
      </c>
      <c r="AT4" s="189">
        <v>1184021307.02</v>
      </c>
      <c r="AU4" s="189">
        <v>1637083795.79</v>
      </c>
      <c r="AV4" s="189">
        <v>325792804.25999999</v>
      </c>
      <c r="AW4" s="189">
        <v>122356099.13</v>
      </c>
      <c r="AX4" s="189">
        <v>163143405.16999999</v>
      </c>
      <c r="AY4" s="189">
        <v>169622133.06999999</v>
      </c>
      <c r="AZ4" s="189">
        <v>152620664.80000001</v>
      </c>
      <c r="BA4" s="189">
        <v>86803245.140000001</v>
      </c>
      <c r="BB4" s="189">
        <v>162998930.56</v>
      </c>
      <c r="BC4" s="189">
        <v>150919783.62</v>
      </c>
      <c r="BD4" s="189">
        <v>119436411.06999999</v>
      </c>
      <c r="BE4" s="189">
        <v>189887790.12</v>
      </c>
      <c r="BF4" s="189">
        <v>78010392.680000007</v>
      </c>
      <c r="BG4" s="189">
        <v>122892968.55</v>
      </c>
      <c r="BH4" s="189">
        <v>159401058.13</v>
      </c>
      <c r="BI4" s="189">
        <v>80133651.969999999</v>
      </c>
      <c r="BJ4" s="189">
        <v>120208425.98</v>
      </c>
      <c r="BK4" s="189">
        <v>156379116.71000001</v>
      </c>
      <c r="BL4" s="189">
        <v>201541801.53</v>
      </c>
      <c r="BM4" s="189">
        <v>186470525.56</v>
      </c>
      <c r="BN4" s="189">
        <v>129512168.59</v>
      </c>
      <c r="BO4" s="189">
        <v>235891915.81</v>
      </c>
      <c r="BP4" s="189">
        <v>218266046.78999999</v>
      </c>
      <c r="BQ4" s="189">
        <v>208720378.13</v>
      </c>
      <c r="BR4" s="189">
        <v>217292639.86000001</v>
      </c>
      <c r="BS4" s="189">
        <v>51608106.93</v>
      </c>
      <c r="BT4" s="189">
        <v>52122323.579999998</v>
      </c>
      <c r="BU4" s="189">
        <v>47519738.609999999</v>
      </c>
      <c r="BV4" s="189">
        <v>63053301.460000001</v>
      </c>
      <c r="BW4" s="189">
        <v>64515769.850000001</v>
      </c>
      <c r="BX4" s="189">
        <v>132379693.95</v>
      </c>
      <c r="BY4" s="189">
        <v>27156545.02</v>
      </c>
      <c r="BZ4" s="189">
        <v>0</v>
      </c>
      <c r="CA4" s="189">
        <v>25300084.43</v>
      </c>
      <c r="CB4" s="189">
        <v>0</v>
      </c>
      <c r="CC4" s="189">
        <v>17663466.109999999</v>
      </c>
      <c r="CD4" s="189">
        <v>0</v>
      </c>
      <c r="CE4" s="189">
        <v>5251851.1100000003</v>
      </c>
      <c r="CF4" s="189">
        <v>17082549.34</v>
      </c>
      <c r="CG4" s="189">
        <v>0</v>
      </c>
      <c r="CH4" s="189">
        <v>0</v>
      </c>
      <c r="CI4" s="189">
        <v>0</v>
      </c>
      <c r="CJ4" s="189"/>
      <c r="CK4" s="189"/>
      <c r="CL4" s="189"/>
    </row>
    <row r="5" spans="1:90">
      <c r="A5" s="17" t="s">
        <v>2</v>
      </c>
      <c r="B5" s="189">
        <v>0</v>
      </c>
      <c r="C5" s="189">
        <v>0</v>
      </c>
      <c r="D5" s="189">
        <v>0</v>
      </c>
      <c r="E5" s="189">
        <v>0</v>
      </c>
      <c r="F5" s="189">
        <v>0</v>
      </c>
      <c r="G5" s="189">
        <v>0</v>
      </c>
      <c r="H5" s="189">
        <v>0</v>
      </c>
      <c r="I5" s="189">
        <v>0</v>
      </c>
      <c r="J5" s="189">
        <v>0</v>
      </c>
      <c r="K5" s="189">
        <v>0</v>
      </c>
      <c r="L5" s="189">
        <v>0</v>
      </c>
      <c r="M5" s="189">
        <v>0</v>
      </c>
      <c r="N5" s="189">
        <v>0</v>
      </c>
      <c r="O5" s="189">
        <v>0</v>
      </c>
      <c r="P5" s="189">
        <v>0</v>
      </c>
      <c r="Q5" s="189">
        <v>0</v>
      </c>
      <c r="R5" s="189">
        <v>0</v>
      </c>
      <c r="S5" s="189">
        <v>0</v>
      </c>
      <c r="T5" s="189">
        <v>0</v>
      </c>
      <c r="U5" s="189">
        <v>0</v>
      </c>
      <c r="V5" s="189">
        <v>0</v>
      </c>
      <c r="W5" s="189">
        <v>0</v>
      </c>
      <c r="X5" s="189">
        <v>0</v>
      </c>
      <c r="Y5" s="189">
        <v>0</v>
      </c>
      <c r="Z5" s="189">
        <v>0</v>
      </c>
      <c r="AA5" s="189">
        <v>0</v>
      </c>
      <c r="AB5" s="189">
        <v>0</v>
      </c>
      <c r="AC5" s="189">
        <v>0</v>
      </c>
      <c r="AD5" s="189">
        <v>18474856.640000001</v>
      </c>
      <c r="AE5" s="189">
        <v>0</v>
      </c>
      <c r="AF5" s="189">
        <v>0</v>
      </c>
      <c r="AG5" s="189">
        <v>0</v>
      </c>
      <c r="AH5" s="189">
        <v>0</v>
      </c>
      <c r="AI5" s="189">
        <v>0</v>
      </c>
      <c r="AJ5" s="189">
        <v>0</v>
      </c>
      <c r="AK5" s="189">
        <v>0</v>
      </c>
      <c r="AL5" s="189">
        <v>0</v>
      </c>
      <c r="AM5" s="189">
        <v>0</v>
      </c>
      <c r="AN5" s="189">
        <v>0</v>
      </c>
      <c r="AO5" s="189">
        <v>0</v>
      </c>
      <c r="AP5" s="189">
        <v>0</v>
      </c>
      <c r="AQ5" s="189">
        <v>0</v>
      </c>
      <c r="AR5" s="189">
        <v>0</v>
      </c>
      <c r="AS5" s="189">
        <v>0</v>
      </c>
      <c r="AT5" s="189">
        <v>0</v>
      </c>
      <c r="AU5" s="189">
        <v>0</v>
      </c>
      <c r="AV5" s="189">
        <v>0</v>
      </c>
      <c r="AW5" s="189">
        <v>0</v>
      </c>
      <c r="AX5" s="189">
        <v>0</v>
      </c>
      <c r="AY5" s="189">
        <v>0</v>
      </c>
      <c r="AZ5" s="189">
        <v>0</v>
      </c>
      <c r="BA5" s="189">
        <v>0</v>
      </c>
      <c r="BB5" s="189">
        <v>0</v>
      </c>
      <c r="BC5" s="189">
        <v>0</v>
      </c>
      <c r="BD5" s="189">
        <v>330782.53000000003</v>
      </c>
      <c r="BE5" s="189">
        <v>330782.53000000003</v>
      </c>
      <c r="BF5" s="189">
        <v>425131.96</v>
      </c>
      <c r="BG5" s="189">
        <v>425131.96</v>
      </c>
      <c r="BH5" s="189">
        <v>420901.96</v>
      </c>
      <c r="BI5" s="189">
        <v>420901.96</v>
      </c>
      <c r="BJ5" s="189">
        <v>494102.08</v>
      </c>
      <c r="BK5" s="189">
        <v>494102.08</v>
      </c>
      <c r="BL5" s="189">
        <v>494102.08</v>
      </c>
      <c r="BM5" s="189">
        <v>494102.08</v>
      </c>
      <c r="BN5" s="189">
        <v>568700</v>
      </c>
      <c r="BO5" s="189">
        <v>150841200.90000001</v>
      </c>
      <c r="BP5" s="189">
        <v>150568270.46000001</v>
      </c>
      <c r="BQ5" s="189">
        <v>145568270.46000001</v>
      </c>
      <c r="BR5" s="189">
        <v>150710680.46000001</v>
      </c>
      <c r="BS5" s="189">
        <v>682440</v>
      </c>
      <c r="BT5" s="189">
        <v>763524.49</v>
      </c>
      <c r="BU5" s="189">
        <v>868600</v>
      </c>
      <c r="BV5" s="189">
        <v>4800000</v>
      </c>
      <c r="BW5" s="189">
        <v>4800000</v>
      </c>
      <c r="BX5" s="189">
        <v>4800000</v>
      </c>
      <c r="BY5" s="189">
        <v>14800000</v>
      </c>
      <c r="BZ5" s="189">
        <v>0</v>
      </c>
      <c r="CA5" s="189">
        <v>697384</v>
      </c>
      <c r="CB5" s="189">
        <v>0</v>
      </c>
      <c r="CC5" s="189">
        <v>4324384</v>
      </c>
      <c r="CD5" s="189">
        <v>0</v>
      </c>
      <c r="CE5" s="189">
        <v>17643965.079999998</v>
      </c>
      <c r="CF5" s="189">
        <v>752439.03</v>
      </c>
      <c r="CG5" s="189">
        <v>0</v>
      </c>
      <c r="CH5" s="189">
        <v>0</v>
      </c>
      <c r="CI5" s="189">
        <v>0</v>
      </c>
      <c r="CJ5" s="189"/>
      <c r="CK5" s="189"/>
      <c r="CL5" s="189"/>
    </row>
    <row r="6" spans="1:90">
      <c r="A6" s="17" t="s">
        <v>13</v>
      </c>
      <c r="B6" s="189">
        <v>0</v>
      </c>
      <c r="C6" s="189">
        <v>0</v>
      </c>
      <c r="D6" s="189">
        <v>0</v>
      </c>
      <c r="E6" s="189">
        <v>0</v>
      </c>
      <c r="F6" s="189">
        <v>0</v>
      </c>
      <c r="G6" s="189">
        <v>0</v>
      </c>
      <c r="H6" s="189">
        <v>0</v>
      </c>
      <c r="I6" s="189">
        <v>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c r="AR6" s="189">
        <v>0</v>
      </c>
      <c r="AS6" s="189">
        <v>0</v>
      </c>
      <c r="AT6" s="189">
        <v>0</v>
      </c>
      <c r="AU6" s="189">
        <v>0</v>
      </c>
      <c r="AV6" s="189">
        <v>0</v>
      </c>
      <c r="AW6" s="189">
        <v>0</v>
      </c>
      <c r="AX6" s="189">
        <v>0</v>
      </c>
      <c r="AY6" s="189">
        <v>0</v>
      </c>
      <c r="AZ6" s="189">
        <v>0</v>
      </c>
      <c r="BA6" s="189">
        <v>0</v>
      </c>
      <c r="BB6" s="189">
        <v>0</v>
      </c>
      <c r="BC6" s="189">
        <v>0</v>
      </c>
      <c r="BD6" s="189">
        <v>0</v>
      </c>
      <c r="BE6" s="189">
        <v>0</v>
      </c>
      <c r="BF6" s="189">
        <v>0</v>
      </c>
      <c r="BG6" s="189">
        <v>0</v>
      </c>
      <c r="BH6" s="189">
        <v>0</v>
      </c>
      <c r="BI6" s="189">
        <v>0</v>
      </c>
      <c r="BJ6" s="189">
        <v>0</v>
      </c>
      <c r="BK6" s="189">
        <v>0</v>
      </c>
      <c r="BL6" s="189">
        <v>0</v>
      </c>
      <c r="BM6" s="189">
        <v>0</v>
      </c>
      <c r="BN6" s="189">
        <v>0</v>
      </c>
      <c r="BO6" s="189">
        <v>0</v>
      </c>
      <c r="BP6" s="189">
        <v>0</v>
      </c>
      <c r="BQ6" s="189">
        <v>0</v>
      </c>
      <c r="BR6" s="189">
        <v>0</v>
      </c>
      <c r="BS6" s="189">
        <v>0</v>
      </c>
      <c r="BT6" s="189">
        <v>0</v>
      </c>
      <c r="BU6" s="189">
        <v>0</v>
      </c>
      <c r="BV6" s="189">
        <v>0</v>
      </c>
      <c r="BW6" s="189">
        <v>0</v>
      </c>
      <c r="BX6" s="189">
        <v>0</v>
      </c>
      <c r="BY6" s="189">
        <v>0</v>
      </c>
      <c r="BZ6" s="189">
        <v>0</v>
      </c>
      <c r="CA6" s="189">
        <v>0</v>
      </c>
      <c r="CB6" s="189">
        <v>0</v>
      </c>
      <c r="CC6" s="189">
        <v>0</v>
      </c>
      <c r="CD6" s="189">
        <v>0</v>
      </c>
      <c r="CE6" s="189">
        <v>0</v>
      </c>
      <c r="CF6" s="189">
        <v>0</v>
      </c>
      <c r="CG6" s="189">
        <v>0</v>
      </c>
      <c r="CH6" s="189">
        <v>0</v>
      </c>
      <c r="CI6" s="189">
        <v>0</v>
      </c>
      <c r="CJ6" s="189"/>
      <c r="CK6" s="189"/>
      <c r="CL6" s="189"/>
    </row>
    <row r="7" spans="1:90">
      <c r="A7" s="17" t="s">
        <v>4</v>
      </c>
      <c r="B7" s="189">
        <v>0</v>
      </c>
      <c r="C7" s="189">
        <v>0</v>
      </c>
      <c r="D7" s="189">
        <v>0</v>
      </c>
      <c r="E7" s="189">
        <v>0</v>
      </c>
      <c r="F7" s="189">
        <v>0</v>
      </c>
      <c r="G7" s="189">
        <v>0</v>
      </c>
      <c r="H7" s="189">
        <v>0</v>
      </c>
      <c r="I7" s="189">
        <v>0</v>
      </c>
      <c r="J7" s="189">
        <v>0</v>
      </c>
      <c r="K7" s="189">
        <v>0</v>
      </c>
      <c r="L7" s="189">
        <v>0</v>
      </c>
      <c r="M7" s="189">
        <v>0</v>
      </c>
      <c r="N7" s="189">
        <v>0</v>
      </c>
      <c r="O7" s="189">
        <v>0</v>
      </c>
      <c r="P7" s="189">
        <v>0</v>
      </c>
      <c r="Q7" s="189">
        <v>0</v>
      </c>
      <c r="R7" s="189">
        <v>0</v>
      </c>
      <c r="S7" s="189">
        <v>0</v>
      </c>
      <c r="T7" s="189">
        <v>0</v>
      </c>
      <c r="U7" s="189">
        <v>0</v>
      </c>
      <c r="V7" s="189">
        <v>0</v>
      </c>
      <c r="W7" s="189">
        <v>0</v>
      </c>
      <c r="X7" s="189">
        <v>0</v>
      </c>
      <c r="Y7" s="189">
        <v>0</v>
      </c>
      <c r="Z7" s="189">
        <v>0</v>
      </c>
      <c r="AA7" s="189">
        <v>0</v>
      </c>
      <c r="AB7" s="189">
        <v>0</v>
      </c>
      <c r="AC7" s="189">
        <v>0</v>
      </c>
      <c r="AD7" s="189">
        <v>0</v>
      </c>
      <c r="AE7" s="189">
        <v>0</v>
      </c>
      <c r="AF7" s="189">
        <v>0</v>
      </c>
      <c r="AG7" s="189">
        <v>0</v>
      </c>
      <c r="AH7" s="189">
        <v>0</v>
      </c>
      <c r="AI7" s="189">
        <v>0</v>
      </c>
      <c r="AJ7" s="189">
        <v>0</v>
      </c>
      <c r="AK7" s="189">
        <v>0</v>
      </c>
      <c r="AL7" s="189">
        <v>0</v>
      </c>
      <c r="AM7" s="189">
        <v>0</v>
      </c>
      <c r="AN7" s="189">
        <v>0</v>
      </c>
      <c r="AO7" s="189">
        <v>0</v>
      </c>
      <c r="AP7" s="189">
        <v>0</v>
      </c>
      <c r="AQ7" s="189">
        <v>0</v>
      </c>
      <c r="AR7" s="189">
        <v>0</v>
      </c>
      <c r="AS7" s="189">
        <v>0</v>
      </c>
      <c r="AT7" s="189">
        <v>0</v>
      </c>
      <c r="AU7" s="189">
        <v>0</v>
      </c>
      <c r="AV7" s="189">
        <v>0</v>
      </c>
      <c r="AW7" s="189">
        <v>0</v>
      </c>
      <c r="AX7" s="189">
        <v>0</v>
      </c>
      <c r="AY7" s="189">
        <v>0</v>
      </c>
      <c r="AZ7" s="189">
        <v>0</v>
      </c>
      <c r="BA7" s="189">
        <v>0</v>
      </c>
      <c r="BB7" s="189">
        <v>0</v>
      </c>
      <c r="BC7" s="189">
        <v>0</v>
      </c>
      <c r="BD7" s="189">
        <v>0</v>
      </c>
      <c r="BE7" s="189">
        <v>0</v>
      </c>
      <c r="BF7" s="189">
        <v>0</v>
      </c>
      <c r="BG7" s="189">
        <v>0</v>
      </c>
      <c r="BH7" s="189">
        <v>0</v>
      </c>
      <c r="BI7" s="189">
        <v>0</v>
      </c>
      <c r="BJ7" s="189">
        <v>0</v>
      </c>
      <c r="BK7" s="189">
        <v>0</v>
      </c>
      <c r="BL7" s="189">
        <v>0</v>
      </c>
      <c r="BM7" s="189">
        <v>0</v>
      </c>
      <c r="BN7" s="189">
        <v>0</v>
      </c>
      <c r="BO7" s="189">
        <v>0</v>
      </c>
      <c r="BP7" s="189">
        <v>0</v>
      </c>
      <c r="BQ7" s="189">
        <v>0</v>
      </c>
      <c r="BR7" s="189">
        <v>0</v>
      </c>
      <c r="BS7" s="189">
        <v>0</v>
      </c>
      <c r="BT7" s="189">
        <v>0</v>
      </c>
      <c r="BU7" s="189">
        <v>0</v>
      </c>
      <c r="BV7" s="189">
        <v>0</v>
      </c>
      <c r="BW7" s="189">
        <v>0</v>
      </c>
      <c r="BX7" s="189">
        <v>0</v>
      </c>
      <c r="BY7" s="189">
        <v>0</v>
      </c>
      <c r="BZ7" s="189">
        <v>0</v>
      </c>
      <c r="CA7" s="189">
        <v>0</v>
      </c>
      <c r="CB7" s="189">
        <v>0</v>
      </c>
      <c r="CC7" s="189">
        <v>0</v>
      </c>
      <c r="CD7" s="189">
        <v>0</v>
      </c>
      <c r="CE7" s="189">
        <v>0</v>
      </c>
      <c r="CF7" s="189">
        <v>0</v>
      </c>
      <c r="CG7" s="189">
        <v>0</v>
      </c>
      <c r="CH7" s="189">
        <v>0</v>
      </c>
      <c r="CI7" s="189">
        <v>0</v>
      </c>
      <c r="CJ7" s="189"/>
      <c r="CK7" s="189"/>
      <c r="CL7" s="189"/>
    </row>
    <row r="8" spans="1:90">
      <c r="A8" s="17" t="s">
        <v>5</v>
      </c>
      <c r="B8" s="189">
        <v>0</v>
      </c>
      <c r="C8" s="189">
        <v>0</v>
      </c>
      <c r="D8" s="189">
        <v>0</v>
      </c>
      <c r="E8" s="189">
        <v>0</v>
      </c>
      <c r="F8" s="189">
        <v>0</v>
      </c>
      <c r="G8" s="189">
        <v>0</v>
      </c>
      <c r="H8" s="189">
        <v>0</v>
      </c>
      <c r="I8" s="189">
        <v>0</v>
      </c>
      <c r="J8" s="189">
        <v>0</v>
      </c>
      <c r="K8" s="189">
        <v>0</v>
      </c>
      <c r="L8" s="189">
        <v>0</v>
      </c>
      <c r="M8" s="189">
        <v>0</v>
      </c>
      <c r="N8" s="189">
        <v>0</v>
      </c>
      <c r="O8" s="189">
        <v>0</v>
      </c>
      <c r="P8" s="189">
        <v>0</v>
      </c>
      <c r="Q8" s="189">
        <v>0</v>
      </c>
      <c r="R8" s="189">
        <v>38742614.969999999</v>
      </c>
      <c r="S8" s="189">
        <v>23886655</v>
      </c>
      <c r="T8" s="189">
        <v>24028706.170000002</v>
      </c>
      <c r="U8" s="189">
        <v>26340941</v>
      </c>
      <c r="V8" s="189">
        <v>17937684</v>
      </c>
      <c r="W8" s="189">
        <v>14607704</v>
      </c>
      <c r="X8" s="189">
        <v>16437053.439999999</v>
      </c>
      <c r="Y8" s="189">
        <v>17717764</v>
      </c>
      <c r="Z8" s="189">
        <v>15851430</v>
      </c>
      <c r="AA8" s="189">
        <v>17628680</v>
      </c>
      <c r="AB8" s="189">
        <v>19779378.960000001</v>
      </c>
      <c r="AC8" s="189">
        <v>17840224</v>
      </c>
      <c r="AD8" s="189">
        <v>0</v>
      </c>
      <c r="AE8" s="189">
        <v>0</v>
      </c>
      <c r="AF8" s="189">
        <v>0</v>
      </c>
      <c r="AG8" s="189">
        <v>0</v>
      </c>
      <c r="AH8" s="189">
        <v>0</v>
      </c>
      <c r="AI8" s="189">
        <v>0</v>
      </c>
      <c r="AJ8" s="189">
        <v>0</v>
      </c>
      <c r="AK8" s="189">
        <v>0</v>
      </c>
      <c r="AL8" s="189">
        <v>0</v>
      </c>
      <c r="AM8" s="189">
        <v>0</v>
      </c>
      <c r="AN8" s="189">
        <v>0</v>
      </c>
      <c r="AO8" s="189">
        <v>0</v>
      </c>
      <c r="AP8" s="189">
        <v>66779799.990000002</v>
      </c>
      <c r="AQ8" s="189">
        <v>88761799.989999995</v>
      </c>
      <c r="AR8" s="189">
        <v>170582550.94</v>
      </c>
      <c r="AS8" s="189">
        <v>210139462.05000001</v>
      </c>
      <c r="AT8" s="189">
        <v>203478014.44999999</v>
      </c>
      <c r="AU8" s="189">
        <v>0</v>
      </c>
      <c r="AV8" s="189">
        <v>0</v>
      </c>
      <c r="AW8" s="189">
        <v>0</v>
      </c>
      <c r="AX8" s="189">
        <v>0</v>
      </c>
      <c r="AY8" s="189">
        <v>0</v>
      </c>
      <c r="AZ8" s="189">
        <v>0</v>
      </c>
      <c r="BA8" s="189">
        <v>0</v>
      </c>
      <c r="BB8" s="189">
        <v>0</v>
      </c>
      <c r="BC8" s="189">
        <v>0</v>
      </c>
      <c r="BD8" s="189">
        <v>0</v>
      </c>
      <c r="BE8" s="189">
        <v>0</v>
      </c>
      <c r="BF8" s="189">
        <v>0</v>
      </c>
      <c r="BG8" s="189">
        <v>0</v>
      </c>
      <c r="BH8" s="189">
        <v>0</v>
      </c>
      <c r="BI8" s="189">
        <v>0</v>
      </c>
      <c r="BJ8" s="189">
        <v>0</v>
      </c>
      <c r="BK8" s="189">
        <v>0</v>
      </c>
      <c r="BL8" s="189">
        <v>0</v>
      </c>
      <c r="BM8" s="189">
        <v>0</v>
      </c>
      <c r="BN8" s="189">
        <v>0</v>
      </c>
      <c r="BO8" s="189">
        <v>0</v>
      </c>
      <c r="BP8" s="189">
        <v>0</v>
      </c>
      <c r="BQ8" s="189">
        <v>0</v>
      </c>
      <c r="BR8" s="189">
        <v>0</v>
      </c>
      <c r="BS8" s="189">
        <v>0</v>
      </c>
      <c r="BT8" s="189">
        <v>0</v>
      </c>
      <c r="BU8" s="189">
        <v>0</v>
      </c>
      <c r="BV8" s="189">
        <v>0</v>
      </c>
      <c r="BW8" s="189">
        <v>0</v>
      </c>
      <c r="BX8" s="189">
        <v>0</v>
      </c>
      <c r="BY8" s="189">
        <v>0</v>
      </c>
      <c r="BZ8" s="189">
        <v>0</v>
      </c>
      <c r="CA8" s="189">
        <v>0</v>
      </c>
      <c r="CB8" s="189">
        <v>0</v>
      </c>
      <c r="CC8" s="189">
        <v>0</v>
      </c>
      <c r="CD8" s="189">
        <v>0</v>
      </c>
      <c r="CE8" s="189">
        <v>0</v>
      </c>
      <c r="CF8" s="189">
        <v>0</v>
      </c>
      <c r="CG8" s="189">
        <v>0</v>
      </c>
      <c r="CH8" s="189">
        <v>0</v>
      </c>
      <c r="CI8" s="189">
        <v>0</v>
      </c>
      <c r="CJ8" s="189"/>
      <c r="CK8" s="189"/>
      <c r="CL8" s="189"/>
    </row>
    <row r="9" spans="1:90">
      <c r="A9" s="17" t="s">
        <v>6</v>
      </c>
      <c r="B9" s="189">
        <v>0</v>
      </c>
      <c r="C9" s="189">
        <v>0</v>
      </c>
      <c r="D9" s="189">
        <v>0</v>
      </c>
      <c r="E9" s="189">
        <v>0</v>
      </c>
      <c r="F9" s="189">
        <v>0</v>
      </c>
      <c r="G9" s="189">
        <v>0</v>
      </c>
      <c r="H9" s="189">
        <v>0</v>
      </c>
      <c r="I9" s="189">
        <v>0</v>
      </c>
      <c r="J9" s="189">
        <v>0</v>
      </c>
      <c r="K9" s="189">
        <v>0</v>
      </c>
      <c r="L9" s="189">
        <v>0</v>
      </c>
      <c r="M9" s="189">
        <v>0</v>
      </c>
      <c r="N9" s="189">
        <v>0</v>
      </c>
      <c r="O9" s="189">
        <v>0</v>
      </c>
      <c r="P9" s="189">
        <v>0</v>
      </c>
      <c r="Q9" s="189">
        <v>0</v>
      </c>
      <c r="R9" s="189">
        <v>0</v>
      </c>
      <c r="S9" s="189">
        <v>0</v>
      </c>
      <c r="T9" s="189">
        <v>0</v>
      </c>
      <c r="U9" s="189">
        <v>0</v>
      </c>
      <c r="V9" s="189">
        <v>0</v>
      </c>
      <c r="W9" s="189">
        <v>0</v>
      </c>
      <c r="X9" s="189">
        <v>0</v>
      </c>
      <c r="Y9" s="189">
        <v>0</v>
      </c>
      <c r="Z9" s="189">
        <v>0</v>
      </c>
      <c r="AA9" s="189">
        <v>0</v>
      </c>
      <c r="AB9" s="189">
        <v>0</v>
      </c>
      <c r="AC9" s="189">
        <v>0</v>
      </c>
      <c r="AD9" s="189">
        <v>0</v>
      </c>
      <c r="AE9" s="189">
        <v>0</v>
      </c>
      <c r="AF9" s="189">
        <v>0</v>
      </c>
      <c r="AG9" s="189">
        <v>0</v>
      </c>
      <c r="AH9" s="189">
        <v>0</v>
      </c>
      <c r="AI9" s="189">
        <v>0</v>
      </c>
      <c r="AJ9" s="189">
        <v>0</v>
      </c>
      <c r="AK9" s="189">
        <v>0</v>
      </c>
      <c r="AL9" s="189">
        <v>0</v>
      </c>
      <c r="AM9" s="189">
        <v>0</v>
      </c>
      <c r="AN9" s="189">
        <v>0</v>
      </c>
      <c r="AO9" s="189">
        <v>0</v>
      </c>
      <c r="AP9" s="189">
        <v>0</v>
      </c>
      <c r="AQ9" s="189">
        <v>0</v>
      </c>
      <c r="AR9" s="189">
        <v>0</v>
      </c>
      <c r="AS9" s="189">
        <v>0</v>
      </c>
      <c r="AT9" s="189">
        <v>0</v>
      </c>
      <c r="AU9" s="189">
        <v>0</v>
      </c>
      <c r="AV9" s="189">
        <v>0</v>
      </c>
      <c r="AW9" s="189">
        <v>0</v>
      </c>
      <c r="AX9" s="189">
        <v>0</v>
      </c>
      <c r="AY9" s="189">
        <v>0</v>
      </c>
      <c r="AZ9" s="189">
        <v>0</v>
      </c>
      <c r="BA9" s="189">
        <v>0</v>
      </c>
      <c r="BB9" s="189">
        <v>0</v>
      </c>
      <c r="BC9" s="189">
        <v>0</v>
      </c>
      <c r="BD9" s="189">
        <v>0</v>
      </c>
      <c r="BE9" s="189">
        <v>0</v>
      </c>
      <c r="BF9" s="189">
        <v>0</v>
      </c>
      <c r="BG9" s="189">
        <v>0</v>
      </c>
      <c r="BH9" s="189">
        <v>0</v>
      </c>
      <c r="BI9" s="189">
        <v>0</v>
      </c>
      <c r="BJ9" s="189">
        <v>0</v>
      </c>
      <c r="BK9" s="189">
        <v>0</v>
      </c>
      <c r="BL9" s="189">
        <v>0</v>
      </c>
      <c r="BM9" s="189">
        <v>0</v>
      </c>
      <c r="BN9" s="189">
        <v>0</v>
      </c>
      <c r="BO9" s="189">
        <v>0</v>
      </c>
      <c r="BP9" s="189">
        <v>0</v>
      </c>
      <c r="BQ9" s="189">
        <v>0</v>
      </c>
      <c r="BR9" s="189">
        <v>0</v>
      </c>
      <c r="BS9" s="189">
        <v>0</v>
      </c>
      <c r="BT9" s="189">
        <v>0</v>
      </c>
      <c r="BU9" s="189">
        <v>0</v>
      </c>
      <c r="BV9" s="189">
        <v>0</v>
      </c>
      <c r="BW9" s="189">
        <v>0</v>
      </c>
      <c r="BX9" s="189">
        <v>0</v>
      </c>
      <c r="BY9" s="189">
        <v>0</v>
      </c>
      <c r="BZ9" s="189">
        <v>0</v>
      </c>
      <c r="CA9" s="189">
        <v>0</v>
      </c>
      <c r="CB9" s="189">
        <v>0</v>
      </c>
      <c r="CC9" s="189">
        <v>0</v>
      </c>
      <c r="CD9" s="189">
        <v>0</v>
      </c>
      <c r="CE9" s="189">
        <v>0</v>
      </c>
      <c r="CF9" s="189">
        <v>0</v>
      </c>
      <c r="CG9" s="189">
        <v>0</v>
      </c>
      <c r="CH9" s="189">
        <v>0</v>
      </c>
      <c r="CI9" s="189">
        <v>0</v>
      </c>
      <c r="CJ9" s="189"/>
      <c r="CK9" s="189"/>
      <c r="CL9" s="189"/>
    </row>
    <row r="10" spans="1:90">
      <c r="A10" s="19" t="s">
        <v>7</v>
      </c>
      <c r="B10" s="189">
        <v>30130502.93</v>
      </c>
      <c r="C10" s="189">
        <v>30469796.059999999</v>
      </c>
      <c r="D10" s="189">
        <v>30809089.190000001</v>
      </c>
      <c r="E10" s="189">
        <v>32573294.18</v>
      </c>
      <c r="F10" s="189">
        <v>32938143.780000001</v>
      </c>
      <c r="G10" s="189">
        <v>33302993.010000002</v>
      </c>
      <c r="H10" s="189">
        <v>33667842.240000002</v>
      </c>
      <c r="I10" s="189">
        <v>34032691.469999999</v>
      </c>
      <c r="J10" s="189">
        <v>34397540.689999998</v>
      </c>
      <c r="K10" s="189">
        <v>34762390</v>
      </c>
      <c r="L10" s="189">
        <v>35127239.149999999</v>
      </c>
      <c r="M10" s="189">
        <v>35492088</v>
      </c>
      <c r="N10" s="189">
        <v>35925133</v>
      </c>
      <c r="O10" s="189">
        <v>36282923</v>
      </c>
      <c r="P10" s="189">
        <v>35621603.619999997</v>
      </c>
      <c r="Q10" s="189">
        <v>43526591</v>
      </c>
      <c r="R10" s="189">
        <v>42912341.32</v>
      </c>
      <c r="S10" s="189">
        <v>31037815</v>
      </c>
      <c r="T10" s="189">
        <v>31378382.550000001</v>
      </c>
      <c r="U10" s="189">
        <v>31814116</v>
      </c>
      <c r="V10" s="189">
        <v>45919839</v>
      </c>
      <c r="W10" s="189">
        <v>46417857</v>
      </c>
      <c r="X10" s="189">
        <v>32840760.190000001</v>
      </c>
      <c r="Y10" s="189">
        <v>33182976</v>
      </c>
      <c r="Z10" s="189">
        <v>33525190</v>
      </c>
      <c r="AA10" s="189">
        <v>33867404</v>
      </c>
      <c r="AB10" s="189">
        <v>35030288.939999998</v>
      </c>
      <c r="AC10" s="189">
        <v>19673150</v>
      </c>
      <c r="AD10" s="189">
        <v>19908470.530000001</v>
      </c>
      <c r="AE10" s="189">
        <v>20143791</v>
      </c>
      <c r="AF10" s="189">
        <v>20379111.789999999</v>
      </c>
      <c r="AG10" s="189">
        <v>20614433</v>
      </c>
      <c r="AH10" s="189">
        <v>20849752.920000002</v>
      </c>
      <c r="AI10" s="189">
        <v>21085073.550000001</v>
      </c>
      <c r="AJ10" s="189">
        <v>21320394.18</v>
      </c>
      <c r="AK10" s="189">
        <v>11374696.23</v>
      </c>
      <c r="AL10" s="189">
        <v>11495694.640000001</v>
      </c>
      <c r="AM10" s="189">
        <v>9322873.8399999999</v>
      </c>
      <c r="AN10" s="189">
        <v>9418316.2300000004</v>
      </c>
      <c r="AO10" s="189">
        <v>9513758.6199999992</v>
      </c>
      <c r="AP10" s="189">
        <v>4386354.46</v>
      </c>
      <c r="AQ10" s="189">
        <v>4433001.1900000004</v>
      </c>
      <c r="AR10" s="189">
        <v>4481077.5</v>
      </c>
      <c r="AS10" s="189">
        <v>4529868.5999999996</v>
      </c>
      <c r="AT10" s="189">
        <v>4578659.7</v>
      </c>
      <c r="AU10" s="189">
        <v>4627450.8</v>
      </c>
      <c r="AV10" s="189">
        <v>9234927.7300000004</v>
      </c>
      <c r="AW10" s="189">
        <v>0</v>
      </c>
      <c r="AX10" s="189">
        <v>0</v>
      </c>
      <c r="AY10" s="189">
        <v>0</v>
      </c>
      <c r="AZ10" s="189">
        <v>0</v>
      </c>
      <c r="BA10" s="189">
        <v>0</v>
      </c>
      <c r="BB10" s="189">
        <v>0</v>
      </c>
      <c r="BC10" s="189">
        <v>0</v>
      </c>
      <c r="BD10" s="189">
        <v>0</v>
      </c>
      <c r="BE10" s="189">
        <v>0</v>
      </c>
      <c r="BF10" s="189">
        <v>0</v>
      </c>
      <c r="BG10" s="189">
        <v>0</v>
      </c>
      <c r="BH10" s="189">
        <v>0</v>
      </c>
      <c r="BI10" s="189">
        <v>0</v>
      </c>
      <c r="BJ10" s="189">
        <v>0</v>
      </c>
      <c r="BK10" s="189">
        <v>0</v>
      </c>
      <c r="BL10" s="189">
        <v>0</v>
      </c>
      <c r="BM10" s="189">
        <v>0</v>
      </c>
      <c r="BN10" s="189">
        <v>0</v>
      </c>
      <c r="BO10" s="189">
        <v>0</v>
      </c>
      <c r="BP10" s="189">
        <v>0</v>
      </c>
      <c r="BQ10" s="189">
        <v>0</v>
      </c>
      <c r="BR10" s="189">
        <v>0</v>
      </c>
      <c r="BS10" s="189">
        <v>0</v>
      </c>
      <c r="BT10" s="189">
        <v>0</v>
      </c>
      <c r="BU10" s="189">
        <v>0</v>
      </c>
      <c r="BV10" s="189">
        <v>0</v>
      </c>
      <c r="BW10" s="189">
        <v>0</v>
      </c>
      <c r="BX10" s="189">
        <v>0</v>
      </c>
      <c r="BY10" s="189">
        <v>0</v>
      </c>
      <c r="BZ10" s="189">
        <v>0</v>
      </c>
      <c r="CA10" s="189">
        <v>0</v>
      </c>
      <c r="CB10" s="189">
        <v>0</v>
      </c>
      <c r="CC10" s="189">
        <v>0</v>
      </c>
      <c r="CD10" s="189">
        <v>0</v>
      </c>
      <c r="CE10" s="189">
        <v>0</v>
      </c>
      <c r="CF10" s="189">
        <v>0</v>
      </c>
      <c r="CG10" s="189">
        <v>0</v>
      </c>
      <c r="CH10" s="189">
        <v>0</v>
      </c>
      <c r="CI10" s="189">
        <v>0</v>
      </c>
      <c r="CJ10" s="189"/>
      <c r="CK10" s="189"/>
      <c r="CL10" s="189"/>
    </row>
    <row r="11" spans="1:90">
      <c r="A11" s="17" t="s">
        <v>8</v>
      </c>
      <c r="B11" s="189">
        <v>0</v>
      </c>
      <c r="C11" s="189">
        <v>0</v>
      </c>
      <c r="D11" s="189">
        <v>0</v>
      </c>
      <c r="E11" s="189">
        <v>0</v>
      </c>
      <c r="F11" s="189">
        <v>0</v>
      </c>
      <c r="G11" s="189">
        <v>0</v>
      </c>
      <c r="H11" s="189">
        <v>0</v>
      </c>
      <c r="I11" s="189">
        <v>0</v>
      </c>
      <c r="J11" s="189">
        <v>0</v>
      </c>
      <c r="K11" s="189">
        <v>0</v>
      </c>
      <c r="L11" s="189">
        <v>0</v>
      </c>
      <c r="M11" s="189">
        <v>0</v>
      </c>
      <c r="N11" s="189">
        <v>0</v>
      </c>
      <c r="O11" s="189">
        <v>0</v>
      </c>
      <c r="P11" s="189">
        <v>0</v>
      </c>
      <c r="Q11" s="189">
        <v>0</v>
      </c>
      <c r="R11" s="189">
        <v>0</v>
      </c>
      <c r="S11" s="189">
        <v>27904</v>
      </c>
      <c r="T11" s="189">
        <v>0</v>
      </c>
      <c r="U11" s="189">
        <v>0</v>
      </c>
      <c r="V11" s="189">
        <v>30380</v>
      </c>
      <c r="W11" s="189">
        <v>30380</v>
      </c>
      <c r="X11" s="189">
        <v>0</v>
      </c>
      <c r="Y11" s="189">
        <v>0</v>
      </c>
      <c r="Z11" s="189">
        <v>0</v>
      </c>
      <c r="AA11" s="189">
        <v>0</v>
      </c>
      <c r="AB11" s="189">
        <v>0</v>
      </c>
      <c r="AC11" s="189">
        <v>0</v>
      </c>
      <c r="AD11" s="189">
        <v>0</v>
      </c>
      <c r="AE11" s="189">
        <v>0</v>
      </c>
      <c r="AF11" s="189">
        <v>0</v>
      </c>
      <c r="AG11" s="189">
        <v>0</v>
      </c>
      <c r="AH11" s="189">
        <v>0</v>
      </c>
      <c r="AI11" s="189">
        <v>0</v>
      </c>
      <c r="AJ11" s="189">
        <v>0</v>
      </c>
      <c r="AK11" s="189">
        <v>0</v>
      </c>
      <c r="AL11" s="189">
        <v>0</v>
      </c>
      <c r="AM11" s="189">
        <v>0</v>
      </c>
      <c r="AN11" s="189">
        <v>0</v>
      </c>
      <c r="AO11" s="189">
        <v>0</v>
      </c>
      <c r="AP11" s="189">
        <v>0</v>
      </c>
      <c r="AQ11" s="189">
        <v>0</v>
      </c>
      <c r="AR11" s="189">
        <v>0</v>
      </c>
      <c r="AS11" s="189">
        <v>0</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0</v>
      </c>
      <c r="BT11" s="189">
        <v>0</v>
      </c>
      <c r="BU11" s="189">
        <v>0</v>
      </c>
      <c r="BV11" s="189">
        <v>0</v>
      </c>
      <c r="BW11" s="189">
        <v>0</v>
      </c>
      <c r="BX11" s="189">
        <v>0</v>
      </c>
      <c r="BY11" s="189">
        <v>0</v>
      </c>
      <c r="BZ11" s="189">
        <v>0</v>
      </c>
      <c r="CA11" s="189">
        <v>0</v>
      </c>
      <c r="CB11" s="189">
        <v>0</v>
      </c>
      <c r="CC11" s="189">
        <v>0</v>
      </c>
      <c r="CD11" s="189">
        <v>0</v>
      </c>
      <c r="CE11" s="189">
        <v>0</v>
      </c>
      <c r="CF11" s="189">
        <v>0</v>
      </c>
      <c r="CG11" s="189">
        <v>0</v>
      </c>
      <c r="CH11" s="189">
        <v>0</v>
      </c>
      <c r="CI11" s="189">
        <v>0</v>
      </c>
      <c r="CJ11" s="189"/>
      <c r="CK11" s="189"/>
      <c r="CL11" s="189"/>
    </row>
    <row r="12" spans="1:90">
      <c r="A12" s="17" t="s">
        <v>9</v>
      </c>
      <c r="B12" s="189">
        <v>0</v>
      </c>
      <c r="C12" s="189">
        <v>0</v>
      </c>
      <c r="D12" s="189">
        <v>0</v>
      </c>
      <c r="E12" s="189">
        <v>0</v>
      </c>
      <c r="F12" s="189">
        <v>0</v>
      </c>
      <c r="G12" s="189">
        <v>0</v>
      </c>
      <c r="H12" s="189">
        <v>0</v>
      </c>
      <c r="I12" s="189">
        <v>0</v>
      </c>
      <c r="J12" s="189">
        <v>0</v>
      </c>
      <c r="K12" s="189">
        <v>0</v>
      </c>
      <c r="L12" s="189">
        <v>0</v>
      </c>
      <c r="M12" s="189">
        <v>0</v>
      </c>
      <c r="N12" s="189">
        <v>0</v>
      </c>
      <c r="O12" s="189">
        <v>0</v>
      </c>
      <c r="P12" s="189">
        <v>0</v>
      </c>
      <c r="Q12" s="189">
        <v>0</v>
      </c>
      <c r="R12" s="189">
        <v>0</v>
      </c>
      <c r="S12" s="189">
        <v>0</v>
      </c>
      <c r="T12" s="189">
        <v>0</v>
      </c>
      <c r="U12" s="189">
        <v>0</v>
      </c>
      <c r="V12" s="189">
        <v>0</v>
      </c>
      <c r="W12" s="189">
        <v>0</v>
      </c>
      <c r="X12" s="189">
        <v>0</v>
      </c>
      <c r="Y12" s="189">
        <v>0</v>
      </c>
      <c r="Z12" s="189">
        <v>0</v>
      </c>
      <c r="AA12" s="189">
        <v>0</v>
      </c>
      <c r="AB12" s="189">
        <v>0</v>
      </c>
      <c r="AC12" s="189">
        <v>0</v>
      </c>
      <c r="AD12" s="189">
        <v>0</v>
      </c>
      <c r="AE12" s="189">
        <v>0</v>
      </c>
      <c r="AF12" s="189">
        <v>0</v>
      </c>
      <c r="AG12" s="189">
        <v>0</v>
      </c>
      <c r="AH12" s="189">
        <v>0</v>
      </c>
      <c r="AI12" s="189">
        <v>0</v>
      </c>
      <c r="AJ12" s="189">
        <v>0</v>
      </c>
      <c r="AK12" s="189">
        <v>0</v>
      </c>
      <c r="AL12" s="189">
        <v>0</v>
      </c>
      <c r="AM12" s="189">
        <v>0</v>
      </c>
      <c r="AN12" s="189">
        <v>0</v>
      </c>
      <c r="AO12" s="189">
        <v>0</v>
      </c>
      <c r="AP12" s="189">
        <v>0</v>
      </c>
      <c r="AQ12" s="189">
        <v>0</v>
      </c>
      <c r="AR12" s="189">
        <v>0</v>
      </c>
      <c r="AS12" s="189">
        <v>0</v>
      </c>
      <c r="AT12" s="189">
        <v>0</v>
      </c>
      <c r="AU12" s="189">
        <v>0</v>
      </c>
      <c r="AV12" s="189">
        <v>0</v>
      </c>
      <c r="AW12" s="189">
        <v>0</v>
      </c>
      <c r="AX12" s="189">
        <v>0</v>
      </c>
      <c r="AY12" s="189">
        <v>0</v>
      </c>
      <c r="AZ12" s="189">
        <v>0</v>
      </c>
      <c r="BA12" s="189">
        <v>0</v>
      </c>
      <c r="BB12" s="189">
        <v>0</v>
      </c>
      <c r="BC12" s="189">
        <v>0</v>
      </c>
      <c r="BD12" s="189">
        <v>0</v>
      </c>
      <c r="BE12" s="189">
        <v>0</v>
      </c>
      <c r="BF12" s="189">
        <v>0</v>
      </c>
      <c r="BG12" s="189">
        <v>0</v>
      </c>
      <c r="BH12" s="189">
        <v>0</v>
      </c>
      <c r="BI12" s="189">
        <v>0</v>
      </c>
      <c r="BJ12" s="189">
        <v>0</v>
      </c>
      <c r="BK12" s="189">
        <v>0</v>
      </c>
      <c r="BL12" s="189">
        <v>0</v>
      </c>
      <c r="BM12" s="189">
        <v>0</v>
      </c>
      <c r="BN12" s="189">
        <v>0</v>
      </c>
      <c r="BO12" s="189">
        <v>0</v>
      </c>
      <c r="BP12" s="189">
        <v>0</v>
      </c>
      <c r="BQ12" s="189">
        <v>0</v>
      </c>
      <c r="BR12" s="189">
        <v>0</v>
      </c>
      <c r="BS12" s="189">
        <v>0</v>
      </c>
      <c r="BT12" s="189">
        <v>0</v>
      </c>
      <c r="BU12" s="189">
        <v>0</v>
      </c>
      <c r="BV12" s="189">
        <v>0</v>
      </c>
      <c r="BW12" s="189">
        <v>0</v>
      </c>
      <c r="BX12" s="189">
        <v>0</v>
      </c>
      <c r="BY12" s="189">
        <v>0</v>
      </c>
      <c r="BZ12" s="189">
        <v>0</v>
      </c>
      <c r="CA12" s="189">
        <v>0</v>
      </c>
      <c r="CB12" s="189">
        <v>0</v>
      </c>
      <c r="CC12" s="189">
        <v>0</v>
      </c>
      <c r="CD12" s="189">
        <v>0</v>
      </c>
      <c r="CE12" s="189">
        <v>0</v>
      </c>
      <c r="CF12" s="189">
        <v>0</v>
      </c>
      <c r="CG12" s="189">
        <v>0</v>
      </c>
      <c r="CH12" s="189">
        <v>0</v>
      </c>
      <c r="CI12" s="189">
        <v>0</v>
      </c>
      <c r="CJ12" s="189"/>
      <c r="CK12" s="189"/>
      <c r="CL12" s="189"/>
    </row>
    <row r="13" spans="1:90">
      <c r="A13" s="17" t="s">
        <v>10</v>
      </c>
      <c r="B13" s="189">
        <v>0</v>
      </c>
      <c r="C13" s="189">
        <v>0</v>
      </c>
      <c r="D13" s="189">
        <v>0</v>
      </c>
      <c r="E13" s="189">
        <v>0</v>
      </c>
      <c r="F13" s="189">
        <v>0</v>
      </c>
      <c r="G13" s="189">
        <v>0</v>
      </c>
      <c r="H13" s="189">
        <v>0</v>
      </c>
      <c r="I13" s="189">
        <v>0</v>
      </c>
      <c r="J13" s="189">
        <v>0</v>
      </c>
      <c r="K13" s="189">
        <v>0</v>
      </c>
      <c r="L13" s="189">
        <v>0</v>
      </c>
      <c r="M13" s="189">
        <v>0</v>
      </c>
      <c r="N13" s="189">
        <v>0</v>
      </c>
      <c r="O13" s="189">
        <v>0</v>
      </c>
      <c r="P13" s="189">
        <v>0</v>
      </c>
      <c r="Q13" s="189">
        <v>0</v>
      </c>
      <c r="R13" s="189">
        <v>0</v>
      </c>
      <c r="S13" s="189">
        <v>0</v>
      </c>
      <c r="T13" s="189">
        <v>0</v>
      </c>
      <c r="U13" s="189">
        <v>0</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314981.7</v>
      </c>
      <c r="AL13" s="189">
        <v>0</v>
      </c>
      <c r="AM13" s="189">
        <v>0</v>
      </c>
      <c r="AN13" s="189">
        <v>0</v>
      </c>
      <c r="AO13" s="189">
        <v>0</v>
      </c>
      <c r="AP13" s="189">
        <v>0</v>
      </c>
      <c r="AQ13" s="189">
        <v>0</v>
      </c>
      <c r="AR13" s="189">
        <v>0</v>
      </c>
      <c r="AS13" s="189">
        <v>0</v>
      </c>
      <c r="AT13" s="189">
        <v>0</v>
      </c>
      <c r="AU13" s="189">
        <v>0</v>
      </c>
      <c r="AV13" s="189">
        <v>0</v>
      </c>
      <c r="AW13" s="189">
        <v>0</v>
      </c>
      <c r="AX13" s="189">
        <v>0</v>
      </c>
      <c r="AY13" s="189">
        <v>0</v>
      </c>
      <c r="AZ13" s="189">
        <v>0</v>
      </c>
      <c r="BA13" s="189">
        <v>0</v>
      </c>
      <c r="BB13" s="189">
        <v>0</v>
      </c>
      <c r="BC13" s="189">
        <v>0</v>
      </c>
      <c r="BD13" s="189">
        <v>0</v>
      </c>
      <c r="BE13" s="189">
        <v>0</v>
      </c>
      <c r="BF13" s="189">
        <v>0</v>
      </c>
      <c r="BG13" s="189">
        <v>0</v>
      </c>
      <c r="BH13" s="189">
        <v>0</v>
      </c>
      <c r="BI13" s="189">
        <v>0</v>
      </c>
      <c r="BJ13" s="189">
        <v>0</v>
      </c>
      <c r="BK13" s="189">
        <v>0</v>
      </c>
      <c r="BL13" s="189">
        <v>0</v>
      </c>
      <c r="BM13" s="189">
        <v>0</v>
      </c>
      <c r="BN13" s="189">
        <v>0</v>
      </c>
      <c r="BO13" s="189">
        <v>0</v>
      </c>
      <c r="BP13" s="189">
        <v>0</v>
      </c>
      <c r="BQ13" s="189">
        <v>0</v>
      </c>
      <c r="BR13" s="189">
        <v>0</v>
      </c>
      <c r="BS13" s="189">
        <v>0</v>
      </c>
      <c r="BT13" s="189">
        <v>0</v>
      </c>
      <c r="BU13" s="189">
        <v>0</v>
      </c>
      <c r="BV13" s="189">
        <v>0</v>
      </c>
      <c r="BW13" s="189">
        <v>0</v>
      </c>
      <c r="BX13" s="189">
        <v>0</v>
      </c>
      <c r="BY13" s="189">
        <v>0</v>
      </c>
      <c r="BZ13" s="189">
        <v>0</v>
      </c>
      <c r="CA13" s="189">
        <v>0</v>
      </c>
      <c r="CB13" s="189">
        <v>0</v>
      </c>
      <c r="CC13" s="189">
        <v>0</v>
      </c>
      <c r="CD13" s="189">
        <v>0</v>
      </c>
      <c r="CE13" s="189">
        <v>0</v>
      </c>
      <c r="CF13" s="189">
        <v>0</v>
      </c>
      <c r="CG13" s="189">
        <v>0</v>
      </c>
      <c r="CH13" s="189">
        <v>0</v>
      </c>
      <c r="CI13" s="189">
        <v>0</v>
      </c>
      <c r="CJ13" s="189"/>
      <c r="CK13" s="189"/>
      <c r="CL13" s="189"/>
    </row>
    <row r="14" spans="1:90" ht="14.45" hidden="1">
      <c r="B14" s="26"/>
      <c r="C14" s="26"/>
      <c r="D14" s="26"/>
      <c r="E14" s="26"/>
      <c r="F14" s="26"/>
      <c r="G14" s="26"/>
      <c r="H14" s="26"/>
      <c r="I14" s="26"/>
      <c r="J14" s="26"/>
      <c r="K14" s="26"/>
      <c r="L14" s="23"/>
    </row>
    <row r="15" spans="1:90" ht="14.45" hidden="1">
      <c r="B15" s="26"/>
      <c r="C15" s="26"/>
      <c r="D15" s="26"/>
      <c r="E15" s="26"/>
      <c r="F15" s="26"/>
      <c r="G15" s="26"/>
      <c r="H15" s="26"/>
      <c r="I15" s="26"/>
      <c r="J15" s="26"/>
      <c r="K15" s="26"/>
      <c r="L15" s="23"/>
    </row>
    <row r="16" spans="1:90" ht="14.45" hidden="1">
      <c r="B16" s="26"/>
      <c r="C16" s="26"/>
      <c r="D16" s="26"/>
      <c r="E16" s="26"/>
      <c r="F16" s="26"/>
      <c r="G16" s="26"/>
      <c r="H16" s="26"/>
      <c r="I16" s="26"/>
      <c r="J16" s="26"/>
      <c r="K16" s="26"/>
      <c r="L16" s="23"/>
    </row>
    <row r="17" spans="1:90" s="5" customFormat="1">
      <c r="A17" s="121" t="s">
        <v>11</v>
      </c>
      <c r="B17" s="33">
        <f>SUM(B4:B13)</f>
        <v>4103871199.79</v>
      </c>
      <c r="C17" s="33">
        <f t="shared" ref="C17:BN17" si="0">SUM(C4:C13)</f>
        <v>3617960238.7799997</v>
      </c>
      <c r="D17" s="33">
        <f t="shared" si="0"/>
        <v>5021367651.6299992</v>
      </c>
      <c r="E17" s="33">
        <f t="shared" si="0"/>
        <v>4322850458.8299999</v>
      </c>
      <c r="F17" s="33">
        <f t="shared" si="0"/>
        <v>3177021212.6900001</v>
      </c>
      <c r="G17" s="33">
        <f t="shared" si="0"/>
        <v>2520888999.4000001</v>
      </c>
      <c r="H17" s="33">
        <f t="shared" si="0"/>
        <v>2071015546.5899999</v>
      </c>
      <c r="I17" s="33">
        <f t="shared" si="0"/>
        <v>4497227941.7600002</v>
      </c>
      <c r="J17" s="33">
        <f t="shared" si="0"/>
        <v>5095410406.0299997</v>
      </c>
      <c r="K17" s="33">
        <f t="shared" si="0"/>
        <v>4709639840</v>
      </c>
      <c r="L17" s="33">
        <f t="shared" si="0"/>
        <v>5578693760.0299997</v>
      </c>
      <c r="M17" s="33">
        <f t="shared" si="0"/>
        <v>7377014278</v>
      </c>
      <c r="N17" s="33">
        <f t="shared" si="0"/>
        <v>2662662617.3400002</v>
      </c>
      <c r="O17" s="33">
        <f t="shared" si="0"/>
        <v>3213101557</v>
      </c>
      <c r="P17" s="33">
        <f t="shared" si="0"/>
        <v>2547908073.9200001</v>
      </c>
      <c r="Q17" s="33">
        <f t="shared" si="0"/>
        <v>877098152</v>
      </c>
      <c r="R17" s="33">
        <f t="shared" si="0"/>
        <v>3283349781.3899999</v>
      </c>
      <c r="S17" s="33">
        <f t="shared" si="0"/>
        <v>570550971</v>
      </c>
      <c r="T17" s="33">
        <f t="shared" si="0"/>
        <v>844473319.96999991</v>
      </c>
      <c r="U17" s="33">
        <f t="shared" si="0"/>
        <v>1013344044</v>
      </c>
      <c r="V17" s="33">
        <f t="shared" si="0"/>
        <v>439545688</v>
      </c>
      <c r="W17" s="33">
        <f t="shared" si="0"/>
        <v>486470936</v>
      </c>
      <c r="X17" s="33">
        <f t="shared" si="0"/>
        <v>525444387.13999999</v>
      </c>
      <c r="Y17" s="33">
        <f t="shared" si="0"/>
        <v>523076906</v>
      </c>
      <c r="Z17" s="33">
        <f t="shared" si="0"/>
        <v>550824726</v>
      </c>
      <c r="AA17" s="33">
        <f t="shared" si="0"/>
        <v>596873371</v>
      </c>
      <c r="AB17" s="33">
        <f t="shared" si="0"/>
        <v>797416345.23000002</v>
      </c>
      <c r="AC17" s="33">
        <f t="shared" si="0"/>
        <v>744071213</v>
      </c>
      <c r="AD17" s="33">
        <f t="shared" si="0"/>
        <v>858499196.33999991</v>
      </c>
      <c r="AE17" s="33">
        <f t="shared" si="0"/>
        <v>1058843953</v>
      </c>
      <c r="AF17" s="33">
        <f t="shared" si="0"/>
        <v>890213147.28999996</v>
      </c>
      <c r="AG17" s="33">
        <f t="shared" si="0"/>
        <v>892266242</v>
      </c>
      <c r="AH17" s="33">
        <f t="shared" si="0"/>
        <v>929527222.90999997</v>
      </c>
      <c r="AI17" s="33">
        <f t="shared" si="0"/>
        <v>1465265328.78</v>
      </c>
      <c r="AJ17" s="33">
        <f t="shared" si="0"/>
        <v>1081782040.52</v>
      </c>
      <c r="AK17" s="33">
        <f t="shared" si="0"/>
        <v>1199524562.9100001</v>
      </c>
      <c r="AL17" s="33">
        <f t="shared" si="0"/>
        <v>878511309.68999994</v>
      </c>
      <c r="AM17" s="33">
        <f t="shared" si="0"/>
        <v>820478406.51999998</v>
      </c>
      <c r="AN17" s="33">
        <f t="shared" si="0"/>
        <v>522855101.58000004</v>
      </c>
      <c r="AO17" s="33">
        <f t="shared" si="0"/>
        <v>321797486.72000003</v>
      </c>
      <c r="AP17" s="33">
        <f t="shared" si="0"/>
        <v>545601106.28999996</v>
      </c>
      <c r="AQ17" s="33">
        <f t="shared" si="0"/>
        <v>727687604.44000006</v>
      </c>
      <c r="AR17" s="33">
        <f t="shared" si="0"/>
        <v>902622816.6099999</v>
      </c>
      <c r="AS17" s="33">
        <f t="shared" si="0"/>
        <v>931596380.57000005</v>
      </c>
      <c r="AT17" s="33">
        <f t="shared" si="0"/>
        <v>1392077981.1700001</v>
      </c>
      <c r="AU17" s="33">
        <f t="shared" si="0"/>
        <v>1641711246.5899999</v>
      </c>
      <c r="AV17" s="33">
        <f t="shared" si="0"/>
        <v>335027731.99000001</v>
      </c>
      <c r="AW17" s="33">
        <f t="shared" si="0"/>
        <v>122356099.13</v>
      </c>
      <c r="AX17" s="33">
        <f t="shared" si="0"/>
        <v>163143405.16999999</v>
      </c>
      <c r="AY17" s="33">
        <f t="shared" si="0"/>
        <v>169622133.06999999</v>
      </c>
      <c r="AZ17" s="33">
        <f t="shared" si="0"/>
        <v>152620664.80000001</v>
      </c>
      <c r="BA17" s="33">
        <f t="shared" si="0"/>
        <v>86803245.140000001</v>
      </c>
      <c r="BB17" s="33">
        <f t="shared" si="0"/>
        <v>162998930.56</v>
      </c>
      <c r="BC17" s="33">
        <f t="shared" si="0"/>
        <v>150919783.62</v>
      </c>
      <c r="BD17" s="33">
        <f t="shared" si="0"/>
        <v>119767193.59999999</v>
      </c>
      <c r="BE17" s="33">
        <f t="shared" si="0"/>
        <v>190218572.65000001</v>
      </c>
      <c r="BF17" s="33">
        <f t="shared" si="0"/>
        <v>78435524.640000001</v>
      </c>
      <c r="BG17" s="33">
        <f t="shared" si="0"/>
        <v>123318100.50999999</v>
      </c>
      <c r="BH17" s="33">
        <f t="shared" si="0"/>
        <v>159821960.09</v>
      </c>
      <c r="BI17" s="33">
        <f t="shared" si="0"/>
        <v>80554553.929999992</v>
      </c>
      <c r="BJ17" s="33">
        <f t="shared" si="0"/>
        <v>120702528.06</v>
      </c>
      <c r="BK17" s="33">
        <f t="shared" si="0"/>
        <v>156873218.79000002</v>
      </c>
      <c r="BL17" s="33">
        <f t="shared" si="0"/>
        <v>202035903.61000001</v>
      </c>
      <c r="BM17" s="33">
        <f t="shared" si="0"/>
        <v>186964627.64000002</v>
      </c>
      <c r="BN17" s="33">
        <f t="shared" si="0"/>
        <v>130080868.59</v>
      </c>
      <c r="BO17" s="33">
        <f t="shared" ref="BO17:CK17" si="1">SUM(BO4:BO13)</f>
        <v>386733116.71000004</v>
      </c>
      <c r="BP17" s="33">
        <f t="shared" si="1"/>
        <v>368834317.25</v>
      </c>
      <c r="BQ17" s="33">
        <f t="shared" si="1"/>
        <v>354288648.59000003</v>
      </c>
      <c r="BR17" s="33">
        <f t="shared" si="1"/>
        <v>368003320.32000005</v>
      </c>
      <c r="BS17" s="33">
        <f t="shared" si="1"/>
        <v>52290546.93</v>
      </c>
      <c r="BT17" s="33">
        <f t="shared" si="1"/>
        <v>52885848.07</v>
      </c>
      <c r="BU17" s="33">
        <f t="shared" si="1"/>
        <v>48388338.609999999</v>
      </c>
      <c r="BV17" s="33">
        <f t="shared" si="1"/>
        <v>67853301.460000008</v>
      </c>
      <c r="BW17" s="33">
        <f t="shared" si="1"/>
        <v>69315769.849999994</v>
      </c>
      <c r="BX17" s="33">
        <f t="shared" si="1"/>
        <v>137179693.94999999</v>
      </c>
      <c r="BY17" s="33">
        <f t="shared" si="1"/>
        <v>41956545.019999996</v>
      </c>
      <c r="BZ17" s="33">
        <f t="shared" si="1"/>
        <v>0</v>
      </c>
      <c r="CA17" s="33">
        <f t="shared" si="1"/>
        <v>25997468.43</v>
      </c>
      <c r="CB17" s="33">
        <f t="shared" si="1"/>
        <v>0</v>
      </c>
      <c r="CC17" s="33">
        <f t="shared" si="1"/>
        <v>21987850.109999999</v>
      </c>
      <c r="CD17" s="33">
        <f t="shared" si="1"/>
        <v>0</v>
      </c>
      <c r="CE17" s="33">
        <f t="shared" si="1"/>
        <v>22895816.189999998</v>
      </c>
      <c r="CF17" s="33">
        <f t="shared" si="1"/>
        <v>17834988.370000001</v>
      </c>
      <c r="CG17" s="33">
        <f t="shared" si="1"/>
        <v>0</v>
      </c>
      <c r="CH17" s="33">
        <f t="shared" si="1"/>
        <v>0</v>
      </c>
      <c r="CI17" s="33">
        <f t="shared" si="1"/>
        <v>0</v>
      </c>
      <c r="CJ17" s="33">
        <f t="shared" si="1"/>
        <v>0</v>
      </c>
      <c r="CK17" s="33">
        <f t="shared" si="1"/>
        <v>0</v>
      </c>
    </row>
    <row r="18" spans="1:90" s="11" customFormat="1">
      <c r="A18" s="122" t="s">
        <v>79</v>
      </c>
      <c r="B18" s="34"/>
      <c r="C18" s="34"/>
      <c r="D18" s="34"/>
      <c r="E18" s="34"/>
      <c r="F18" s="34"/>
      <c r="G18" s="34"/>
      <c r="H18" s="34"/>
      <c r="I18" s="34"/>
      <c r="J18" s="34"/>
      <c r="K18" s="34"/>
      <c r="L18" s="32"/>
      <c r="M18" s="14"/>
      <c r="N18" s="14"/>
    </row>
    <row r="19" spans="1:90" s="5" customFormat="1">
      <c r="A19" s="121" t="s">
        <v>78</v>
      </c>
      <c r="B19" s="189">
        <v>31497023.199999999</v>
      </c>
      <c r="C19" s="189">
        <v>32090694.899999999</v>
      </c>
      <c r="D19" s="189">
        <v>31749723.829999998</v>
      </c>
      <c r="E19" s="189">
        <v>313407773.91000003</v>
      </c>
      <c r="F19" s="189">
        <v>326506232.54000002</v>
      </c>
      <c r="G19" s="189">
        <v>327578239.93000001</v>
      </c>
      <c r="H19" s="189">
        <v>328604800.81</v>
      </c>
      <c r="I19" s="189">
        <v>330350850.91000003</v>
      </c>
      <c r="J19" s="189">
        <v>331689783.13999999</v>
      </c>
      <c r="K19" s="189">
        <v>333346386</v>
      </c>
      <c r="L19" s="189">
        <v>300497495.66000003</v>
      </c>
      <c r="M19" s="189">
        <v>300917625</v>
      </c>
      <c r="N19" s="189">
        <v>301257779.44999999</v>
      </c>
      <c r="O19" s="189">
        <v>302151417</v>
      </c>
      <c r="P19" s="189">
        <v>303413324.44999999</v>
      </c>
      <c r="Q19" s="189">
        <v>304157073</v>
      </c>
      <c r="R19" s="189">
        <v>126249577.63</v>
      </c>
      <c r="S19" s="189">
        <v>288160300</v>
      </c>
      <c r="T19" s="189">
        <v>166483497.47999999</v>
      </c>
      <c r="U19" s="189">
        <v>165976435</v>
      </c>
      <c r="V19" s="189">
        <v>165648060</v>
      </c>
      <c r="W19" s="189">
        <v>160671791</v>
      </c>
      <c r="X19" s="189">
        <v>155291543</v>
      </c>
      <c r="Y19" s="189">
        <v>150583926</v>
      </c>
      <c r="Z19" s="189">
        <v>155643198</v>
      </c>
      <c r="AA19" s="189">
        <v>159047632</v>
      </c>
      <c r="AB19" s="189">
        <v>146890455.28</v>
      </c>
      <c r="AC19" s="189">
        <v>149138751</v>
      </c>
      <c r="AD19" s="189">
        <v>159853751.75</v>
      </c>
      <c r="AE19" s="189">
        <v>176165011</v>
      </c>
      <c r="AF19" s="189">
        <v>176997478.69999999</v>
      </c>
      <c r="AG19" s="189">
        <v>177808549</v>
      </c>
      <c r="AH19" s="189">
        <v>147630480.56</v>
      </c>
      <c r="AI19" s="189">
        <v>99630480.560000002</v>
      </c>
      <c r="AJ19" s="189">
        <v>45630480.560000002</v>
      </c>
      <c r="AK19" s="189">
        <v>32550000</v>
      </c>
      <c r="AL19" s="189">
        <v>34631000</v>
      </c>
      <c r="AM19" s="189">
        <v>34631000</v>
      </c>
      <c r="AN19" s="189">
        <v>5031000</v>
      </c>
      <c r="AO19" s="189">
        <v>5031000</v>
      </c>
      <c r="AP19" s="189">
        <v>7583403.1100000003</v>
      </c>
      <c r="AQ19" s="189">
        <v>7583403.1100000003</v>
      </c>
      <c r="AR19" s="189">
        <v>8000392.8200000003</v>
      </c>
      <c r="AS19" s="189">
        <v>8000392.8200000003</v>
      </c>
      <c r="AT19" s="189">
        <v>3235293.87</v>
      </c>
      <c r="AU19" s="189">
        <v>7695058.9500000002</v>
      </c>
      <c r="AV19" s="189">
        <v>11994707.42</v>
      </c>
      <c r="AW19" s="189">
        <v>166494707.41999999</v>
      </c>
      <c r="AX19" s="189">
        <v>167151773.53999999</v>
      </c>
      <c r="AY19" s="189">
        <v>73901773.540000007</v>
      </c>
      <c r="AZ19" s="189">
        <v>73901773.540000007</v>
      </c>
      <c r="BA19" s="189">
        <v>12101773.539999999</v>
      </c>
      <c r="BB19" s="189">
        <v>26465786.34</v>
      </c>
      <c r="BC19" s="189">
        <v>26465786.34</v>
      </c>
      <c r="BD19" s="189">
        <v>24773382.629999999</v>
      </c>
      <c r="BE19" s="189">
        <v>24773382.629999999</v>
      </c>
      <c r="BF19" s="189">
        <v>16639941.08</v>
      </c>
      <c r="BG19" s="189">
        <v>9548115.0800000001</v>
      </c>
      <c r="BH19" s="189">
        <v>9548115.0800000001</v>
      </c>
      <c r="BI19" s="189">
        <v>5409765.0800000001</v>
      </c>
      <c r="BJ19" s="189">
        <v>6017265.0800000001</v>
      </c>
      <c r="BK19" s="189">
        <v>6017265.0800000001</v>
      </c>
      <c r="BL19" s="189">
        <v>6017265.0800000001</v>
      </c>
      <c r="BM19" s="189">
        <v>6017265.0800000001</v>
      </c>
      <c r="BN19" s="189">
        <v>6017265.0800000001</v>
      </c>
      <c r="BO19" s="189">
        <v>6017265.0800000001</v>
      </c>
      <c r="BP19" s="189">
        <v>7284238.1100000003</v>
      </c>
      <c r="BQ19" s="189">
        <v>6017265.0800000001</v>
      </c>
      <c r="BR19" s="189">
        <v>7734238.1100000003</v>
      </c>
      <c r="BS19" s="189">
        <v>8184238.1100000003</v>
      </c>
      <c r="BT19" s="189">
        <v>8358022.2300000004</v>
      </c>
      <c r="BU19" s="189">
        <v>8059218.4000000004</v>
      </c>
      <c r="BV19" s="189">
        <v>7564970.96</v>
      </c>
      <c r="BW19" s="189">
        <v>7564970.96</v>
      </c>
      <c r="BX19" s="189">
        <v>7016490.8799999999</v>
      </c>
      <c r="BY19" s="189">
        <v>7016490.8799999999</v>
      </c>
      <c r="BZ19" s="189">
        <v>29297836.41</v>
      </c>
      <c r="CA19" s="189">
        <v>29216725.93</v>
      </c>
      <c r="CB19" s="189">
        <v>29160000</v>
      </c>
      <c r="CC19" s="189">
        <v>29722938.120000001</v>
      </c>
      <c r="CD19" s="189">
        <v>26390000</v>
      </c>
      <c r="CE19" s="189">
        <v>26590270.449999999</v>
      </c>
      <c r="CF19" s="189">
        <v>24565328.440000001</v>
      </c>
      <c r="CG19" s="189">
        <v>0</v>
      </c>
      <c r="CH19" s="189">
        <v>0</v>
      </c>
      <c r="CI19" s="189">
        <v>0</v>
      </c>
      <c r="CJ19" s="189"/>
      <c r="CK19" s="189"/>
      <c r="CL19" s="189"/>
    </row>
    <row r="20" spans="1:90">
      <c r="A20" s="20" t="s">
        <v>12</v>
      </c>
      <c r="B20" s="26"/>
      <c r="C20" s="26"/>
      <c r="D20" s="26"/>
      <c r="E20" s="26"/>
      <c r="F20" s="26"/>
      <c r="G20" s="26"/>
      <c r="H20" s="26"/>
      <c r="I20" s="26"/>
      <c r="J20" s="26"/>
      <c r="K20" s="26"/>
      <c r="L20" s="23"/>
      <c r="M20" s="13"/>
      <c r="N20" s="13"/>
    </row>
    <row r="21" spans="1:90">
      <c r="A21" s="20" t="s">
        <v>80</v>
      </c>
      <c r="B21" s="26"/>
      <c r="C21" s="26"/>
      <c r="D21" s="26"/>
      <c r="E21" s="26"/>
      <c r="F21" s="26"/>
      <c r="G21" s="26"/>
      <c r="H21" s="26"/>
      <c r="I21" s="26"/>
      <c r="J21" s="26"/>
      <c r="K21" s="26"/>
      <c r="L21" s="23"/>
      <c r="M21" s="13"/>
      <c r="N21" s="13"/>
    </row>
    <row r="22" spans="1:90">
      <c r="A22" s="17" t="s">
        <v>14</v>
      </c>
      <c r="B22" s="189">
        <v>264563389.61000001</v>
      </c>
      <c r="C22" s="189">
        <v>378757435.02999997</v>
      </c>
      <c r="D22" s="189">
        <v>424011443.60000002</v>
      </c>
      <c r="E22" s="189">
        <v>674976875.02999997</v>
      </c>
      <c r="F22" s="189">
        <v>827334094.30999994</v>
      </c>
      <c r="G22" s="189">
        <v>1086943794.73</v>
      </c>
      <c r="H22" s="189">
        <v>753106508.82000005</v>
      </c>
      <c r="I22" s="189">
        <v>1339096455.28</v>
      </c>
      <c r="J22" s="189">
        <v>1052984610.17</v>
      </c>
      <c r="K22" s="189">
        <v>70673005</v>
      </c>
      <c r="L22" s="189">
        <v>242139741.56999999</v>
      </c>
      <c r="M22" s="189">
        <v>192257071</v>
      </c>
      <c r="N22" s="189">
        <v>267576736.66</v>
      </c>
      <c r="O22" s="189">
        <v>154966371</v>
      </c>
      <c r="P22" s="189">
        <v>66289460.130000003</v>
      </c>
      <c r="Q22" s="189">
        <v>104903587</v>
      </c>
      <c r="R22" s="189">
        <v>148640580.63999999</v>
      </c>
      <c r="S22" s="189">
        <v>119727324</v>
      </c>
      <c r="T22" s="189">
        <v>82322108.170000002</v>
      </c>
      <c r="U22" s="189">
        <v>190879613</v>
      </c>
      <c r="V22" s="189">
        <v>193409494</v>
      </c>
      <c r="W22" s="189">
        <v>208406984</v>
      </c>
      <c r="X22" s="189">
        <v>162758090.74000001</v>
      </c>
      <c r="Y22" s="189">
        <v>139743040</v>
      </c>
      <c r="Z22" s="189">
        <v>337266829</v>
      </c>
      <c r="AA22" s="189">
        <v>147660074</v>
      </c>
      <c r="AB22" s="189">
        <v>99491391.379999995</v>
      </c>
      <c r="AC22" s="189">
        <v>106563124</v>
      </c>
      <c r="AD22" s="189">
        <v>72076370.790000007</v>
      </c>
      <c r="AE22" s="189">
        <v>42684464</v>
      </c>
      <c r="AF22" s="189">
        <v>54245003.530000001</v>
      </c>
      <c r="AG22" s="189">
        <v>79062076</v>
      </c>
      <c r="AH22" s="189">
        <v>76666803.129999995</v>
      </c>
      <c r="AI22" s="189">
        <v>24819405.829999998</v>
      </c>
      <c r="AJ22" s="189">
        <v>34591350.75</v>
      </c>
      <c r="AK22" s="189">
        <v>7262942.9000000004</v>
      </c>
      <c r="AL22" s="189">
        <v>3032089.91</v>
      </c>
      <c r="AM22" s="189">
        <v>6612454.75</v>
      </c>
      <c r="AN22" s="189">
        <v>16849404.050000001</v>
      </c>
      <c r="AO22" s="189">
        <v>59379743.609999999</v>
      </c>
      <c r="AP22" s="189">
        <v>105764336.28</v>
      </c>
      <c r="AQ22" s="189">
        <v>61620689.939999998</v>
      </c>
      <c r="AR22" s="189">
        <v>167916005.13</v>
      </c>
      <c r="AS22" s="189">
        <v>120493496.29000001</v>
      </c>
      <c r="AT22" s="189">
        <v>150450519.37</v>
      </c>
      <c r="AU22" s="189">
        <v>115759271</v>
      </c>
      <c r="AV22" s="189">
        <v>53105371.719999999</v>
      </c>
      <c r="AW22" s="189">
        <v>108695915.51000001</v>
      </c>
      <c r="AX22" s="189">
        <v>42873889.149999999</v>
      </c>
      <c r="AY22" s="189">
        <v>109812706.66</v>
      </c>
      <c r="AZ22" s="189">
        <v>60648234.259999998</v>
      </c>
      <c r="BA22" s="189">
        <v>79111161.090000004</v>
      </c>
      <c r="BB22" s="189">
        <v>59575379.859999999</v>
      </c>
      <c r="BC22" s="189">
        <v>24648148.02</v>
      </c>
      <c r="BD22" s="189">
        <v>15170000</v>
      </c>
      <c r="BE22" s="189">
        <v>22772341.039999999</v>
      </c>
      <c r="BF22" s="189">
        <v>1468573.2</v>
      </c>
      <c r="BG22" s="189">
        <v>7366160</v>
      </c>
      <c r="BH22" s="189">
        <v>36930611.509999998</v>
      </c>
      <c r="BI22" s="189">
        <v>35831915</v>
      </c>
      <c r="BJ22" s="189">
        <v>69057091.599999994</v>
      </c>
      <c r="BK22" s="189">
        <v>0</v>
      </c>
      <c r="BL22" s="189">
        <v>53278078.109999999</v>
      </c>
      <c r="BM22" s="189">
        <v>0</v>
      </c>
      <c r="BN22" s="189">
        <v>0</v>
      </c>
      <c r="BO22" s="189">
        <v>0</v>
      </c>
      <c r="BP22" s="189">
        <v>40020256.82</v>
      </c>
      <c r="BQ22" s="189">
        <v>0</v>
      </c>
      <c r="BR22" s="189">
        <v>0</v>
      </c>
      <c r="BS22" s="189">
        <v>0</v>
      </c>
      <c r="BT22" s="189">
        <v>0</v>
      </c>
      <c r="BU22" s="189">
        <v>0</v>
      </c>
      <c r="BV22" s="189">
        <v>0</v>
      </c>
      <c r="BW22" s="189">
        <v>0</v>
      </c>
      <c r="BX22" s="189">
        <v>0</v>
      </c>
      <c r="BY22" s="189">
        <v>0</v>
      </c>
      <c r="BZ22" s="189">
        <v>0</v>
      </c>
      <c r="CA22" s="189">
        <v>0</v>
      </c>
      <c r="CB22" s="189">
        <v>0</v>
      </c>
      <c r="CC22" s="189">
        <v>34670524.689999998</v>
      </c>
      <c r="CD22" s="189">
        <v>0</v>
      </c>
      <c r="CE22" s="189">
        <v>30532330.170000002</v>
      </c>
      <c r="CF22" s="189">
        <v>23004366.210000001</v>
      </c>
      <c r="CG22" s="189">
        <v>0</v>
      </c>
      <c r="CH22" s="189">
        <v>0</v>
      </c>
      <c r="CI22" s="189">
        <v>0</v>
      </c>
      <c r="CJ22" s="189"/>
      <c r="CK22" s="189"/>
      <c r="CL22" s="189"/>
    </row>
    <row r="23" spans="1:90">
      <c r="A23" s="17" t="s">
        <v>15</v>
      </c>
      <c r="B23" s="189">
        <v>6891474994.5799999</v>
      </c>
      <c r="C23" s="189">
        <v>7092882159.0699997</v>
      </c>
      <c r="D23" s="189">
        <v>6579568724.3500004</v>
      </c>
      <c r="E23" s="189">
        <v>3330300808.23</v>
      </c>
      <c r="F23" s="189">
        <v>2839879143.9000001</v>
      </c>
      <c r="G23" s="189">
        <v>2108055502.96</v>
      </c>
      <c r="H23" s="189">
        <v>2492868826.7399998</v>
      </c>
      <c r="I23" s="189">
        <v>1966606321.3299999</v>
      </c>
      <c r="J23" s="189">
        <v>1920950877.6700001</v>
      </c>
      <c r="K23" s="189">
        <v>2484225464</v>
      </c>
      <c r="L23" s="189">
        <v>1715291792.51</v>
      </c>
      <c r="M23" s="189">
        <v>2049405478</v>
      </c>
      <c r="N23" s="189">
        <v>2042317686.6099999</v>
      </c>
      <c r="O23" s="189">
        <v>2250390852</v>
      </c>
      <c r="P23" s="189">
        <v>2307433279.2800002</v>
      </c>
      <c r="Q23" s="189">
        <v>2397152879</v>
      </c>
      <c r="R23" s="189">
        <v>2744427387.6599998</v>
      </c>
      <c r="S23" s="189">
        <v>1147564795</v>
      </c>
      <c r="T23" s="189">
        <v>1068325257.92</v>
      </c>
      <c r="U23" s="189">
        <v>943820702</v>
      </c>
      <c r="V23" s="189">
        <v>1264751305</v>
      </c>
      <c r="W23" s="189">
        <v>1011130852</v>
      </c>
      <c r="X23" s="189">
        <v>999728447.95000005</v>
      </c>
      <c r="Y23" s="189">
        <v>943567496</v>
      </c>
      <c r="Z23" s="189">
        <v>1089075872</v>
      </c>
      <c r="AA23" s="189">
        <v>1217859935</v>
      </c>
      <c r="AB23" s="189">
        <v>864891955.05999994</v>
      </c>
      <c r="AC23" s="189">
        <v>1028721209</v>
      </c>
      <c r="AD23" s="189">
        <v>902476811.40999997</v>
      </c>
      <c r="AE23" s="189">
        <v>834399423</v>
      </c>
      <c r="AF23" s="189">
        <v>813392309.29999995</v>
      </c>
      <c r="AG23" s="189">
        <v>745429008</v>
      </c>
      <c r="AH23" s="189">
        <v>574500511.02999997</v>
      </c>
      <c r="AI23" s="189">
        <v>505849627.55000001</v>
      </c>
      <c r="AJ23" s="189">
        <v>320870791.91000003</v>
      </c>
      <c r="AK23" s="189">
        <v>250903649.93000001</v>
      </c>
      <c r="AL23" s="189">
        <v>365549767.56</v>
      </c>
      <c r="AM23" s="189">
        <v>290514773.74000001</v>
      </c>
      <c r="AN23" s="189">
        <v>240562962.31</v>
      </c>
      <c r="AO23" s="189">
        <v>243372874.28999999</v>
      </c>
      <c r="AP23" s="189">
        <v>413785082.75999999</v>
      </c>
      <c r="AQ23" s="189">
        <v>344281564.83999997</v>
      </c>
      <c r="AR23" s="189">
        <v>384760209.11000001</v>
      </c>
      <c r="AS23" s="189">
        <v>444226676.19</v>
      </c>
      <c r="AT23" s="189">
        <v>351019047.93000001</v>
      </c>
      <c r="AU23" s="189">
        <v>319115220.38</v>
      </c>
      <c r="AV23" s="189">
        <v>385580585.30000001</v>
      </c>
      <c r="AW23" s="189">
        <v>383831554.36000001</v>
      </c>
      <c r="AX23" s="189">
        <v>345883878.37</v>
      </c>
      <c r="AY23" s="189">
        <v>360672043.19999999</v>
      </c>
      <c r="AZ23" s="189">
        <v>319119736.67000002</v>
      </c>
      <c r="BA23" s="189">
        <v>357478317.05000001</v>
      </c>
      <c r="BB23" s="189">
        <v>293589247.52999997</v>
      </c>
      <c r="BC23" s="189">
        <v>381041858.19999999</v>
      </c>
      <c r="BD23" s="189">
        <v>393306341.17000002</v>
      </c>
      <c r="BE23" s="189">
        <v>404955551.04000002</v>
      </c>
      <c r="BF23" s="189">
        <v>284672008.85000002</v>
      </c>
      <c r="BG23" s="189">
        <v>299115482.13</v>
      </c>
      <c r="BH23" s="189">
        <v>208211681.53999999</v>
      </c>
      <c r="BI23" s="189">
        <v>227901374.56</v>
      </c>
      <c r="BJ23" s="189">
        <v>149101133.22999999</v>
      </c>
      <c r="BK23" s="189">
        <v>167817405.83000001</v>
      </c>
      <c r="BL23" s="189">
        <v>67213341.400000006</v>
      </c>
      <c r="BM23" s="189">
        <v>92465678.950000003</v>
      </c>
      <c r="BN23" s="189">
        <v>101133162.09999999</v>
      </c>
      <c r="BO23" s="189">
        <v>89326143.409999996</v>
      </c>
      <c r="BP23" s="189">
        <v>41294619.32</v>
      </c>
      <c r="BQ23" s="189">
        <v>74583964.480000004</v>
      </c>
      <c r="BR23" s="189">
        <v>87091365.090000004</v>
      </c>
      <c r="BS23" s="189">
        <v>92844070.299999997</v>
      </c>
      <c r="BT23" s="189">
        <v>97564475.540000007</v>
      </c>
      <c r="BU23" s="189">
        <v>85381495.549999997</v>
      </c>
      <c r="BV23" s="189">
        <v>77297328.989999995</v>
      </c>
      <c r="BW23" s="189">
        <v>48491646.939999998</v>
      </c>
      <c r="BX23" s="189">
        <v>41334663.259999998</v>
      </c>
      <c r="BY23" s="189">
        <v>31536574.75</v>
      </c>
      <c r="BZ23" s="189">
        <v>0</v>
      </c>
      <c r="CA23" s="189">
        <v>47498759.57</v>
      </c>
      <c r="CB23" s="189">
        <v>0</v>
      </c>
      <c r="CC23" s="189">
        <v>1836800.57</v>
      </c>
      <c r="CD23" s="189">
        <v>0</v>
      </c>
      <c r="CE23" s="189">
        <v>1679936.44</v>
      </c>
      <c r="CF23" s="189">
        <v>746575.01</v>
      </c>
      <c r="CG23" s="189">
        <v>0</v>
      </c>
      <c r="CH23" s="189">
        <v>0</v>
      </c>
      <c r="CI23" s="189">
        <v>0</v>
      </c>
      <c r="CJ23" s="189"/>
      <c r="CK23" s="189"/>
      <c r="CL23" s="189"/>
    </row>
    <row r="24" spans="1:90">
      <c r="A24" s="17" t="s">
        <v>16</v>
      </c>
      <c r="B24" s="189">
        <v>57086542.729999997</v>
      </c>
      <c r="C24" s="189">
        <v>40774172.689999998</v>
      </c>
      <c r="D24" s="189">
        <v>43066612.030000001</v>
      </c>
      <c r="E24" s="189">
        <v>25565521.949999999</v>
      </c>
      <c r="F24" s="189">
        <v>326922050.75999999</v>
      </c>
      <c r="G24" s="189">
        <v>138156760.63</v>
      </c>
      <c r="H24" s="189">
        <v>120241413.73</v>
      </c>
      <c r="I24" s="189">
        <v>32856111.98</v>
      </c>
      <c r="J24" s="189">
        <v>94068854.540000007</v>
      </c>
      <c r="K24" s="189">
        <v>68478245</v>
      </c>
      <c r="L24" s="189">
        <v>54264765.789999999</v>
      </c>
      <c r="M24" s="189">
        <v>55423229</v>
      </c>
      <c r="N24" s="189">
        <v>70853625.939999998</v>
      </c>
      <c r="O24" s="189">
        <v>72703572</v>
      </c>
      <c r="P24" s="189">
        <v>64141861.149999999</v>
      </c>
      <c r="Q24" s="189">
        <v>51403794</v>
      </c>
      <c r="R24" s="189">
        <v>102690457.22</v>
      </c>
      <c r="S24" s="189">
        <v>27661402</v>
      </c>
      <c r="T24" s="189">
        <v>21455254.890000001</v>
      </c>
      <c r="U24" s="189">
        <v>26994819</v>
      </c>
      <c r="V24" s="189">
        <v>18674285</v>
      </c>
      <c r="W24" s="189">
        <v>18043384</v>
      </c>
      <c r="X24" s="189">
        <v>22146835.420000002</v>
      </c>
      <c r="Y24" s="189">
        <v>18482986</v>
      </c>
      <c r="Z24" s="189">
        <v>104591963</v>
      </c>
      <c r="AA24" s="189">
        <v>85219460</v>
      </c>
      <c r="AB24" s="189">
        <v>36231798.579999998</v>
      </c>
      <c r="AC24" s="189">
        <v>49901392</v>
      </c>
      <c r="AD24" s="189">
        <v>70026895.609999999</v>
      </c>
      <c r="AE24" s="189">
        <v>24234640</v>
      </c>
      <c r="AF24" s="189">
        <v>50832706.770000003</v>
      </c>
      <c r="AG24" s="189">
        <v>114034246</v>
      </c>
      <c r="AH24" s="189">
        <v>108678656.27</v>
      </c>
      <c r="AI24" s="189">
        <v>133338178.65000001</v>
      </c>
      <c r="AJ24" s="189">
        <v>115384623.69</v>
      </c>
      <c r="AK24" s="189">
        <v>155708500.31999999</v>
      </c>
      <c r="AL24" s="189">
        <v>29040008.02</v>
      </c>
      <c r="AM24" s="189">
        <v>27570395.949999999</v>
      </c>
      <c r="AN24" s="189">
        <v>18092068.120000001</v>
      </c>
      <c r="AO24" s="189">
        <v>9399579.5700000003</v>
      </c>
      <c r="AP24" s="189">
        <v>28094798.09</v>
      </c>
      <c r="AQ24" s="189">
        <v>129700079.27</v>
      </c>
      <c r="AR24" s="189">
        <v>160081045.09999999</v>
      </c>
      <c r="AS24" s="189">
        <v>81081435.900000006</v>
      </c>
      <c r="AT24" s="189">
        <v>12739364.439999999</v>
      </c>
      <c r="AU24" s="189">
        <v>13484189.07</v>
      </c>
      <c r="AV24" s="189">
        <v>18487180.850000001</v>
      </c>
      <c r="AW24" s="189">
        <v>7463443.0599999996</v>
      </c>
      <c r="AX24" s="189">
        <v>17201673.440000001</v>
      </c>
      <c r="AY24" s="189">
        <v>8788316.6600000001</v>
      </c>
      <c r="AZ24" s="189">
        <v>6998274.3899999997</v>
      </c>
      <c r="BA24" s="189">
        <v>669531</v>
      </c>
      <c r="BB24" s="189">
        <v>406062.2</v>
      </c>
      <c r="BC24" s="189">
        <v>278218.73</v>
      </c>
      <c r="BD24" s="189">
        <v>15440880.73</v>
      </c>
      <c r="BE24" s="189">
        <v>184076.71</v>
      </c>
      <c r="BF24" s="189">
        <v>47784547.299999997</v>
      </c>
      <c r="BG24" s="189">
        <v>35190568.82</v>
      </c>
      <c r="BH24" s="189">
        <v>24002388.690000001</v>
      </c>
      <c r="BI24" s="189">
        <v>3199374.72</v>
      </c>
      <c r="BJ24" s="189">
        <v>17583892.420000002</v>
      </c>
      <c r="BK24" s="189">
        <v>11129271.279999999</v>
      </c>
      <c r="BL24" s="189">
        <v>14265719.74</v>
      </c>
      <c r="BM24" s="189">
        <v>13051521.17</v>
      </c>
      <c r="BN24" s="189">
        <v>169333800.58000001</v>
      </c>
      <c r="BO24" s="189">
        <v>25605036.079999998</v>
      </c>
      <c r="BP24" s="189">
        <v>18989783.100000001</v>
      </c>
      <c r="BQ24" s="189">
        <v>3476525.72</v>
      </c>
      <c r="BR24" s="189">
        <v>22623714.699999999</v>
      </c>
      <c r="BS24" s="189">
        <v>16989520.609999999</v>
      </c>
      <c r="BT24" s="189">
        <v>11648184.140000001</v>
      </c>
      <c r="BU24" s="189">
        <v>13914715.369999999</v>
      </c>
      <c r="BV24" s="189">
        <v>17737512.32</v>
      </c>
      <c r="BW24" s="189">
        <v>9000421.1799999997</v>
      </c>
      <c r="BX24" s="189">
        <v>23082493.109999999</v>
      </c>
      <c r="BY24" s="189">
        <v>30430855.48</v>
      </c>
      <c r="BZ24" s="189">
        <v>0</v>
      </c>
      <c r="CA24" s="189">
        <v>5108267.42</v>
      </c>
      <c r="CB24" s="189">
        <v>0</v>
      </c>
      <c r="CC24" s="189">
        <v>638038.91</v>
      </c>
      <c r="CD24" s="189">
        <v>0</v>
      </c>
      <c r="CE24" s="189">
        <v>1201851.03</v>
      </c>
      <c r="CF24" s="189">
        <v>667447.24</v>
      </c>
      <c r="CG24" s="189">
        <v>0</v>
      </c>
      <c r="CH24" s="189">
        <v>0</v>
      </c>
      <c r="CI24" s="189">
        <v>0</v>
      </c>
      <c r="CJ24" s="189"/>
      <c r="CK24" s="189"/>
      <c r="CL24" s="189"/>
    </row>
    <row r="25" spans="1:90">
      <c r="A25" s="17" t="s">
        <v>17</v>
      </c>
      <c r="B25" s="189">
        <v>36685911.829999998</v>
      </c>
      <c r="C25" s="189">
        <v>53409516.880000003</v>
      </c>
      <c r="D25" s="189">
        <v>76421309.290000007</v>
      </c>
      <c r="E25" s="189">
        <v>351335393.70999998</v>
      </c>
      <c r="F25" s="189">
        <v>309620288.04000002</v>
      </c>
      <c r="G25" s="189">
        <v>311046244.63</v>
      </c>
      <c r="H25" s="189">
        <v>369641545.31</v>
      </c>
      <c r="I25" s="189">
        <v>138825158.30000001</v>
      </c>
      <c r="J25" s="189">
        <v>61738861.100000001</v>
      </c>
      <c r="K25" s="189">
        <v>43996356</v>
      </c>
      <c r="L25" s="189">
        <v>636911112.10000002</v>
      </c>
      <c r="M25" s="189">
        <v>26675030</v>
      </c>
      <c r="N25" s="189">
        <v>162007967.56</v>
      </c>
      <c r="O25" s="189">
        <v>96945637</v>
      </c>
      <c r="P25" s="189">
        <v>66388858.079999998</v>
      </c>
      <c r="Q25" s="189">
        <v>84566432</v>
      </c>
      <c r="R25" s="189">
        <v>182406917.36000001</v>
      </c>
      <c r="S25" s="189">
        <v>40288689</v>
      </c>
      <c r="T25" s="189">
        <v>78808451.709999993</v>
      </c>
      <c r="U25" s="189">
        <v>72921030</v>
      </c>
      <c r="V25" s="189">
        <v>202299906</v>
      </c>
      <c r="W25" s="189">
        <v>26672258</v>
      </c>
      <c r="X25" s="189">
        <v>61535707.740000002</v>
      </c>
      <c r="Y25" s="189">
        <v>48655602</v>
      </c>
      <c r="Z25" s="189">
        <v>67206035</v>
      </c>
      <c r="AA25" s="189">
        <v>61496040</v>
      </c>
      <c r="AB25" s="189">
        <v>68162336.319999993</v>
      </c>
      <c r="AC25" s="189">
        <v>41650753</v>
      </c>
      <c r="AD25" s="189">
        <v>65352631.82</v>
      </c>
      <c r="AE25" s="189">
        <v>41841350</v>
      </c>
      <c r="AF25" s="189">
        <v>49573980.32</v>
      </c>
      <c r="AG25" s="189">
        <v>24668071</v>
      </c>
      <c r="AH25" s="189">
        <v>55635131.579999998</v>
      </c>
      <c r="AI25" s="189">
        <v>19531393.18</v>
      </c>
      <c r="AJ25" s="189">
        <v>50132429.149999999</v>
      </c>
      <c r="AK25" s="189">
        <v>9227008.9100000001</v>
      </c>
      <c r="AL25" s="189">
        <v>31634885.699999999</v>
      </c>
      <c r="AM25" s="189">
        <v>21239022.800000001</v>
      </c>
      <c r="AN25" s="189">
        <v>17194102.920000002</v>
      </c>
      <c r="AO25" s="189">
        <v>53049719.82</v>
      </c>
      <c r="AP25" s="189">
        <v>39442861.25</v>
      </c>
      <c r="AQ25" s="189">
        <v>28400045.539999999</v>
      </c>
      <c r="AR25" s="189">
        <v>10421807.18</v>
      </c>
      <c r="AS25" s="189">
        <v>6798825.5599999996</v>
      </c>
      <c r="AT25" s="189">
        <v>23663530.239999998</v>
      </c>
      <c r="AU25" s="189">
        <v>12522324.33</v>
      </c>
      <c r="AV25" s="189">
        <v>7560842.7000000002</v>
      </c>
      <c r="AW25" s="189">
        <v>6820262.6200000001</v>
      </c>
      <c r="AX25" s="189">
        <v>8103878.9299999997</v>
      </c>
      <c r="AY25" s="189">
        <v>13325424.550000001</v>
      </c>
      <c r="AZ25" s="189">
        <v>14976079.4</v>
      </c>
      <c r="BA25" s="189">
        <v>12478431.59</v>
      </c>
      <c r="BB25" s="189">
        <v>3743498.33</v>
      </c>
      <c r="BC25" s="189">
        <v>4792655.13</v>
      </c>
      <c r="BD25" s="189">
        <v>4814886.91</v>
      </c>
      <c r="BE25" s="189">
        <v>3794982.87</v>
      </c>
      <c r="BF25" s="189">
        <v>3265777.95</v>
      </c>
      <c r="BG25" s="189">
        <v>5014834.45</v>
      </c>
      <c r="BH25" s="189">
        <v>5976904.21</v>
      </c>
      <c r="BI25" s="189">
        <v>5329706.22</v>
      </c>
      <c r="BJ25" s="189">
        <v>13736566.26</v>
      </c>
      <c r="BK25" s="189">
        <v>13253371.609999999</v>
      </c>
      <c r="BL25" s="189">
        <v>18804535.800000001</v>
      </c>
      <c r="BM25" s="189">
        <v>16548669.949999999</v>
      </c>
      <c r="BN25" s="189">
        <v>174985497.34</v>
      </c>
      <c r="BO25" s="189">
        <v>40660306.530000001</v>
      </c>
      <c r="BP25" s="189">
        <v>17914235.48</v>
      </c>
      <c r="BQ25" s="189">
        <v>13230581.220000001</v>
      </c>
      <c r="BR25" s="189">
        <v>10076252.83</v>
      </c>
      <c r="BS25" s="189">
        <v>11952896.51</v>
      </c>
      <c r="BT25" s="189">
        <v>10300603.33</v>
      </c>
      <c r="BU25" s="189">
        <v>7853883.04</v>
      </c>
      <c r="BV25" s="189">
        <v>9395068.6799999997</v>
      </c>
      <c r="BW25" s="189">
        <v>25966026.34</v>
      </c>
      <c r="BX25" s="189">
        <v>121865802.44</v>
      </c>
      <c r="BY25" s="189">
        <v>114164878.38</v>
      </c>
      <c r="BZ25" s="189">
        <v>0</v>
      </c>
      <c r="CA25" s="189">
        <v>107761454.51000001</v>
      </c>
      <c r="CB25" s="189">
        <v>0</v>
      </c>
      <c r="CC25" s="189">
        <v>1720374.25</v>
      </c>
      <c r="CD25" s="189">
        <v>0</v>
      </c>
      <c r="CE25" s="189">
        <v>1531038.69</v>
      </c>
      <c r="CF25" s="189">
        <v>8162756.8099999996</v>
      </c>
      <c r="CG25" s="189">
        <v>0</v>
      </c>
      <c r="CH25" s="189">
        <v>0</v>
      </c>
      <c r="CI25" s="189">
        <v>0</v>
      </c>
      <c r="CJ25" s="189"/>
      <c r="CK25" s="189"/>
      <c r="CL25" s="189"/>
    </row>
    <row r="26" spans="1:90">
      <c r="A26" s="17" t="s">
        <v>18</v>
      </c>
      <c r="B26" s="189">
        <v>3015205954.9000001</v>
      </c>
      <c r="C26" s="189">
        <v>2779835486.3200002</v>
      </c>
      <c r="D26" s="189">
        <v>2621947836.7399998</v>
      </c>
      <c r="E26" s="189">
        <v>1602881187.3699999</v>
      </c>
      <c r="F26" s="189">
        <v>1501072303.74</v>
      </c>
      <c r="G26" s="189">
        <v>1402869620.76</v>
      </c>
      <c r="H26" s="189">
        <v>1259837211.6700001</v>
      </c>
      <c r="I26" s="189">
        <v>1082076944.4300001</v>
      </c>
      <c r="J26" s="189">
        <v>1338784306.5999999</v>
      </c>
      <c r="K26" s="189">
        <v>1276089954</v>
      </c>
      <c r="L26" s="189">
        <v>1245849428.25</v>
      </c>
      <c r="M26" s="189">
        <v>1386952360</v>
      </c>
      <c r="N26" s="189">
        <v>1457131037.3199999</v>
      </c>
      <c r="O26" s="189">
        <v>1494593554</v>
      </c>
      <c r="P26" s="189">
        <v>1454558035.3099999</v>
      </c>
      <c r="Q26" s="189">
        <v>1507631874</v>
      </c>
      <c r="R26" s="189">
        <v>1562086616.03</v>
      </c>
      <c r="S26" s="189">
        <v>540446777</v>
      </c>
      <c r="T26" s="189">
        <v>465614325.83999997</v>
      </c>
      <c r="U26" s="189">
        <v>514145967</v>
      </c>
      <c r="V26" s="189">
        <v>474724183</v>
      </c>
      <c r="W26" s="189">
        <v>458459969</v>
      </c>
      <c r="X26" s="189">
        <v>510574402.30000001</v>
      </c>
      <c r="Y26" s="189">
        <v>512007522</v>
      </c>
      <c r="Z26" s="189">
        <v>492772981</v>
      </c>
      <c r="AA26" s="189">
        <v>425906195</v>
      </c>
      <c r="AB26" s="189">
        <v>439996194.42000002</v>
      </c>
      <c r="AC26" s="189">
        <v>441726323</v>
      </c>
      <c r="AD26" s="189">
        <v>489012409.32999998</v>
      </c>
      <c r="AE26" s="189">
        <v>647602722</v>
      </c>
      <c r="AF26" s="189">
        <v>591887824.72000003</v>
      </c>
      <c r="AG26" s="189">
        <v>497124627</v>
      </c>
      <c r="AH26" s="189">
        <v>438706400.38999999</v>
      </c>
      <c r="AI26" s="189">
        <v>380365185.16000003</v>
      </c>
      <c r="AJ26" s="189">
        <v>336121562.14999998</v>
      </c>
      <c r="AK26" s="189">
        <v>277687544.02999997</v>
      </c>
      <c r="AL26" s="189">
        <v>302897877.91000003</v>
      </c>
      <c r="AM26" s="189">
        <v>328523098.20999998</v>
      </c>
      <c r="AN26" s="189">
        <v>311070112.31</v>
      </c>
      <c r="AO26" s="189">
        <v>334798422.24000001</v>
      </c>
      <c r="AP26" s="189">
        <v>543622966.25999999</v>
      </c>
      <c r="AQ26" s="189">
        <v>560971644.51999998</v>
      </c>
      <c r="AR26" s="189">
        <v>385544244.88999999</v>
      </c>
      <c r="AS26" s="189">
        <v>317012927.07999998</v>
      </c>
      <c r="AT26" s="189">
        <v>274001564.29000002</v>
      </c>
      <c r="AU26" s="189">
        <v>261795854.00999999</v>
      </c>
      <c r="AV26" s="189">
        <v>213481268.11000001</v>
      </c>
      <c r="AW26" s="189">
        <v>202258611.91999999</v>
      </c>
      <c r="AX26" s="189">
        <v>228801267.65000001</v>
      </c>
      <c r="AY26" s="189">
        <v>220822699.78</v>
      </c>
      <c r="AZ26" s="189">
        <v>214421140.46000001</v>
      </c>
      <c r="BA26" s="189">
        <v>206710042.36000001</v>
      </c>
      <c r="BB26" s="189">
        <v>195098355.34999999</v>
      </c>
      <c r="BC26" s="189">
        <v>216896007.91</v>
      </c>
      <c r="BD26" s="189">
        <v>219322594.53999999</v>
      </c>
      <c r="BE26" s="189">
        <v>243917278.03</v>
      </c>
      <c r="BF26" s="189">
        <v>287512917.74000001</v>
      </c>
      <c r="BG26" s="189">
        <v>244353402.96000001</v>
      </c>
      <c r="BH26" s="189">
        <v>204729002.84999999</v>
      </c>
      <c r="BI26" s="189">
        <v>184691486.18000001</v>
      </c>
      <c r="BJ26" s="189">
        <v>168730003.18000001</v>
      </c>
      <c r="BK26" s="189">
        <v>180426564.21000001</v>
      </c>
      <c r="BL26" s="189">
        <v>193027632.71000001</v>
      </c>
      <c r="BM26" s="189">
        <v>177336403.5</v>
      </c>
      <c r="BN26" s="189">
        <v>179777373.69</v>
      </c>
      <c r="BO26" s="189">
        <v>171701445.5</v>
      </c>
      <c r="BP26" s="189">
        <v>159206475.38</v>
      </c>
      <c r="BQ26" s="189">
        <v>169193245.99000001</v>
      </c>
      <c r="BR26" s="189">
        <v>199332473.38999999</v>
      </c>
      <c r="BS26" s="189">
        <v>205634710.5</v>
      </c>
      <c r="BT26" s="189">
        <v>171525850.50999999</v>
      </c>
      <c r="BU26" s="189">
        <v>146844752.84</v>
      </c>
      <c r="BV26" s="189">
        <v>134768586.56</v>
      </c>
      <c r="BW26" s="189">
        <v>79293410.75</v>
      </c>
      <c r="BX26" s="189">
        <v>80000557.359999999</v>
      </c>
      <c r="BY26" s="189">
        <v>92979222.510000005</v>
      </c>
      <c r="BZ26" s="189">
        <v>0</v>
      </c>
      <c r="CA26" s="189">
        <v>67395705.099999994</v>
      </c>
      <c r="CB26" s="189">
        <v>0</v>
      </c>
      <c r="CC26" s="189">
        <v>72545459.629999995</v>
      </c>
      <c r="CD26" s="189">
        <v>0</v>
      </c>
      <c r="CE26" s="189">
        <v>48126125.93</v>
      </c>
      <c r="CF26" s="189">
        <v>54055412.979999997</v>
      </c>
      <c r="CG26" s="189">
        <v>0</v>
      </c>
      <c r="CH26" s="189">
        <v>0</v>
      </c>
      <c r="CI26" s="189">
        <v>0</v>
      </c>
      <c r="CJ26" s="189"/>
      <c r="CK26" s="189"/>
      <c r="CL26" s="189"/>
    </row>
    <row r="27" spans="1:90">
      <c r="A27" s="17" t="s">
        <v>19</v>
      </c>
      <c r="B27" s="189">
        <v>1257566406.1900001</v>
      </c>
      <c r="C27" s="189">
        <v>1245671436.3699999</v>
      </c>
      <c r="D27" s="189">
        <v>1293092522.01</v>
      </c>
      <c r="E27" s="189">
        <v>984896826.91999996</v>
      </c>
      <c r="F27" s="189">
        <v>583115727.09000003</v>
      </c>
      <c r="G27" s="189">
        <v>498267228.60000002</v>
      </c>
      <c r="H27" s="189">
        <v>273470358.77999997</v>
      </c>
      <c r="I27" s="189">
        <v>352108139.55000001</v>
      </c>
      <c r="J27" s="189">
        <v>243536131.94</v>
      </c>
      <c r="K27" s="189">
        <v>341625621</v>
      </c>
      <c r="L27" s="189">
        <v>335972901.10000002</v>
      </c>
      <c r="M27" s="189">
        <v>166969262</v>
      </c>
      <c r="N27" s="189">
        <v>150591903.06</v>
      </c>
      <c r="O27" s="189">
        <v>202946745</v>
      </c>
      <c r="P27" s="189">
        <v>227968199.38</v>
      </c>
      <c r="Q27" s="189">
        <v>156998636</v>
      </c>
      <c r="R27" s="189">
        <v>83869750.920000002</v>
      </c>
      <c r="S27" s="189">
        <v>60582633</v>
      </c>
      <c r="T27" s="189">
        <v>21768043.390000001</v>
      </c>
      <c r="U27" s="189">
        <v>110211257</v>
      </c>
      <c r="V27" s="189">
        <v>26550889</v>
      </c>
      <c r="W27" s="189">
        <v>30915799</v>
      </c>
      <c r="X27" s="189">
        <v>65323961.609999999</v>
      </c>
      <c r="Y27" s="189">
        <v>56647420</v>
      </c>
      <c r="Z27" s="189">
        <v>0</v>
      </c>
      <c r="AA27" s="189">
        <v>0</v>
      </c>
      <c r="AB27" s="189">
        <v>0</v>
      </c>
      <c r="AC27" s="189">
        <v>0</v>
      </c>
      <c r="AD27" s="189">
        <v>0</v>
      </c>
      <c r="AE27" s="189">
        <v>0</v>
      </c>
      <c r="AF27" s="189">
        <v>110050.78</v>
      </c>
      <c r="AG27" s="189">
        <v>436453</v>
      </c>
      <c r="AH27" s="189">
        <v>819856.06</v>
      </c>
      <c r="AI27" s="189">
        <v>1164993.7</v>
      </c>
      <c r="AJ27" s="189">
        <v>0</v>
      </c>
      <c r="AK27" s="189">
        <v>0</v>
      </c>
      <c r="AL27" s="189">
        <v>0</v>
      </c>
      <c r="AM27" s="189">
        <v>0</v>
      </c>
      <c r="AN27" s="189">
        <v>0</v>
      </c>
      <c r="AO27" s="189">
        <v>0</v>
      </c>
      <c r="AP27" s="189">
        <v>0</v>
      </c>
      <c r="AQ27" s="189">
        <v>0</v>
      </c>
      <c r="AR27" s="189">
        <v>0</v>
      </c>
      <c r="AS27" s="189">
        <v>0</v>
      </c>
      <c r="AT27" s="189">
        <v>0</v>
      </c>
      <c r="AU27" s="189">
        <v>0</v>
      </c>
      <c r="AV27" s="189">
        <v>0</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c r="BX27" s="189">
        <v>0</v>
      </c>
      <c r="BY27" s="189">
        <v>0</v>
      </c>
      <c r="BZ27" s="189">
        <v>0</v>
      </c>
      <c r="CA27" s="189">
        <v>0</v>
      </c>
      <c r="CB27" s="189">
        <v>0</v>
      </c>
      <c r="CC27" s="189">
        <v>0</v>
      </c>
      <c r="CD27" s="189">
        <v>0</v>
      </c>
      <c r="CE27" s="189">
        <v>0</v>
      </c>
      <c r="CF27" s="189">
        <v>20360648.09</v>
      </c>
      <c r="CG27" s="189">
        <v>0</v>
      </c>
      <c r="CH27" s="189">
        <v>0</v>
      </c>
      <c r="CI27" s="189">
        <v>0</v>
      </c>
      <c r="CJ27" s="189"/>
      <c r="CK27" s="189"/>
      <c r="CL27" s="189"/>
    </row>
    <row r="28" spans="1:90">
      <c r="A28" s="17" t="s">
        <v>76</v>
      </c>
      <c r="B28" s="189">
        <v>27928642.800000001</v>
      </c>
      <c r="C28" s="189">
        <v>28041315.27</v>
      </c>
      <c r="D28" s="189">
        <v>28152303.609999999</v>
      </c>
      <c r="E28" s="189">
        <v>28259923.690000001</v>
      </c>
      <c r="F28" s="189">
        <v>28367543.780000001</v>
      </c>
      <c r="G28" s="189">
        <v>28465013.27</v>
      </c>
      <c r="H28" s="189">
        <v>28562482.760000002</v>
      </c>
      <c r="I28" s="189">
        <v>28659952.25</v>
      </c>
      <c r="J28" s="189">
        <v>41247881.68</v>
      </c>
      <c r="K28" s="189">
        <v>41335811</v>
      </c>
      <c r="L28" s="189">
        <v>41441418.490000002</v>
      </c>
      <c r="M28" s="189">
        <v>41590482</v>
      </c>
      <c r="N28" s="189">
        <v>39708484.799999997</v>
      </c>
      <c r="O28" s="189">
        <v>39840452</v>
      </c>
      <c r="P28" s="189">
        <v>39252423.829999998</v>
      </c>
      <c r="Q28" s="189">
        <v>39375996</v>
      </c>
      <c r="R28" s="189">
        <v>39677468.450000003</v>
      </c>
      <c r="S28" s="189">
        <v>27888380</v>
      </c>
      <c r="T28" s="189">
        <v>27980201.73</v>
      </c>
      <c r="U28" s="189">
        <v>28072023</v>
      </c>
      <c r="V28" s="189">
        <v>0</v>
      </c>
      <c r="W28" s="189">
        <v>0</v>
      </c>
      <c r="X28" s="189">
        <v>0</v>
      </c>
      <c r="Y28" s="189">
        <v>0</v>
      </c>
      <c r="Z28" s="189">
        <v>0</v>
      </c>
      <c r="AA28" s="189">
        <v>0</v>
      </c>
      <c r="AB28" s="189">
        <v>0</v>
      </c>
      <c r="AC28" s="189">
        <v>0</v>
      </c>
      <c r="AD28" s="189">
        <v>0</v>
      </c>
      <c r="AE28" s="189">
        <v>0</v>
      </c>
      <c r="AF28" s="189">
        <v>0</v>
      </c>
      <c r="AG28" s="189">
        <v>0</v>
      </c>
      <c r="AH28" s="189">
        <v>0</v>
      </c>
      <c r="AI28" s="189">
        <v>0</v>
      </c>
      <c r="AJ28" s="189">
        <v>0</v>
      </c>
      <c r="AK28" s="189">
        <v>0</v>
      </c>
      <c r="AL28" s="189">
        <v>0</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0</v>
      </c>
      <c r="BF28" s="189">
        <v>0</v>
      </c>
      <c r="BG28" s="189">
        <v>0</v>
      </c>
      <c r="BH28" s="189">
        <v>0</v>
      </c>
      <c r="BI28" s="189">
        <v>0</v>
      </c>
      <c r="BJ28" s="189">
        <v>0</v>
      </c>
      <c r="BK28" s="189">
        <v>0</v>
      </c>
      <c r="BL28" s="189">
        <v>0</v>
      </c>
      <c r="BM28" s="189">
        <v>0</v>
      </c>
      <c r="BN28" s="189">
        <v>0</v>
      </c>
      <c r="BO28" s="189">
        <v>0</v>
      </c>
      <c r="BP28" s="189">
        <v>0</v>
      </c>
      <c r="BQ28" s="189">
        <v>0</v>
      </c>
      <c r="BR28" s="189">
        <v>0</v>
      </c>
      <c r="BS28" s="189">
        <v>0</v>
      </c>
      <c r="BT28" s="189">
        <v>0</v>
      </c>
      <c r="BU28" s="189">
        <v>0</v>
      </c>
      <c r="BV28" s="189">
        <v>0</v>
      </c>
      <c r="BW28" s="189">
        <v>0</v>
      </c>
      <c r="BX28" s="189">
        <v>0</v>
      </c>
      <c r="BY28" s="189">
        <v>0</v>
      </c>
      <c r="BZ28" s="189">
        <v>0</v>
      </c>
      <c r="CA28" s="189">
        <v>0</v>
      </c>
      <c r="CB28" s="189">
        <v>0</v>
      </c>
      <c r="CC28" s="189">
        <v>0</v>
      </c>
      <c r="CD28" s="189">
        <v>0</v>
      </c>
      <c r="CE28" s="189">
        <v>0</v>
      </c>
      <c r="CF28" s="189">
        <v>0</v>
      </c>
      <c r="CG28" s="189">
        <v>0</v>
      </c>
      <c r="CH28" s="189">
        <v>0</v>
      </c>
      <c r="CI28" s="189">
        <v>0</v>
      </c>
      <c r="CJ28" s="189"/>
      <c r="CK28" s="189"/>
      <c r="CL28" s="189"/>
    </row>
    <row r="29" spans="1:90">
      <c r="A29" s="17" t="s">
        <v>3</v>
      </c>
      <c r="B29" s="189">
        <v>0</v>
      </c>
      <c r="C29" s="189">
        <v>0</v>
      </c>
      <c r="D29" s="189">
        <v>0</v>
      </c>
      <c r="E29" s="189">
        <v>0</v>
      </c>
      <c r="F29" s="189">
        <v>0</v>
      </c>
      <c r="G29" s="189">
        <v>12500000</v>
      </c>
      <c r="H29" s="189">
        <v>12500000</v>
      </c>
      <c r="I29" s="189">
        <v>12500000</v>
      </c>
      <c r="J29" s="189">
        <v>0</v>
      </c>
      <c r="K29" s="189">
        <v>0</v>
      </c>
      <c r="L29" s="189">
        <v>0</v>
      </c>
      <c r="M29" s="189">
        <v>0</v>
      </c>
      <c r="N29" s="189">
        <v>0</v>
      </c>
      <c r="O29" s="189">
        <v>0</v>
      </c>
      <c r="P29" s="189">
        <v>0</v>
      </c>
      <c r="Q29" s="189">
        <v>0</v>
      </c>
      <c r="R29" s="189">
        <v>0</v>
      </c>
      <c r="S29" s="189">
        <v>0</v>
      </c>
      <c r="T29" s="189">
        <v>0</v>
      </c>
      <c r="U29" s="189">
        <v>0</v>
      </c>
      <c r="V29" s="189">
        <v>0</v>
      </c>
      <c r="W29" s="189">
        <v>0</v>
      </c>
      <c r="X29" s="189">
        <v>0</v>
      </c>
      <c r="Y29" s="189">
        <v>0</v>
      </c>
      <c r="Z29" s="189">
        <v>0</v>
      </c>
      <c r="AA29" s="189">
        <v>0</v>
      </c>
      <c r="AB29" s="189">
        <v>0</v>
      </c>
      <c r="AC29" s="189">
        <v>0</v>
      </c>
      <c r="AD29" s="189">
        <v>0</v>
      </c>
      <c r="AE29" s="189">
        <v>0</v>
      </c>
      <c r="AF29" s="189">
        <v>0</v>
      </c>
      <c r="AG29" s="189">
        <v>0</v>
      </c>
      <c r="AH29" s="189">
        <v>0</v>
      </c>
      <c r="AI29" s="189">
        <v>0</v>
      </c>
      <c r="AJ29" s="189">
        <v>0</v>
      </c>
      <c r="AK29" s="189">
        <v>0</v>
      </c>
      <c r="AL29" s="189">
        <v>0</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c r="BR29" s="189">
        <v>0</v>
      </c>
      <c r="BS29" s="189">
        <v>0</v>
      </c>
      <c r="BT29" s="189">
        <v>0</v>
      </c>
      <c r="BU29" s="189">
        <v>0</v>
      </c>
      <c r="BV29" s="189">
        <v>0</v>
      </c>
      <c r="BW29" s="189">
        <v>0</v>
      </c>
      <c r="BX29" s="189">
        <v>0</v>
      </c>
      <c r="BY29" s="189">
        <v>0</v>
      </c>
      <c r="BZ29" s="189">
        <v>0</v>
      </c>
      <c r="CA29" s="189">
        <v>0</v>
      </c>
      <c r="CB29" s="189">
        <v>0</v>
      </c>
      <c r="CC29" s="189">
        <v>0</v>
      </c>
      <c r="CD29" s="189">
        <v>0</v>
      </c>
      <c r="CE29" s="189">
        <v>0</v>
      </c>
      <c r="CF29" s="189">
        <v>0</v>
      </c>
      <c r="CG29" s="189">
        <v>0</v>
      </c>
      <c r="CH29" s="189">
        <v>0</v>
      </c>
      <c r="CI29" s="189">
        <v>0</v>
      </c>
      <c r="CJ29" s="189"/>
      <c r="CK29" s="189"/>
      <c r="CL29" s="189"/>
    </row>
    <row r="30" spans="1:90" ht="14.45" hidden="1">
      <c r="B30" s="26"/>
      <c r="C30" s="26"/>
      <c r="D30" s="26"/>
      <c r="E30" s="26"/>
      <c r="F30" s="26"/>
      <c r="G30" s="26"/>
      <c r="H30" s="26"/>
      <c r="I30" s="26"/>
      <c r="J30" s="26"/>
      <c r="K30" s="26"/>
      <c r="L30" s="23"/>
    </row>
    <row r="31" spans="1:90" ht="14.45" hidden="1">
      <c r="B31" s="26"/>
      <c r="C31" s="26"/>
      <c r="D31" s="26"/>
      <c r="E31" s="26"/>
      <c r="F31" s="26"/>
      <c r="G31" s="26"/>
      <c r="H31" s="26"/>
      <c r="I31" s="26"/>
      <c r="J31" s="26"/>
      <c r="K31" s="26"/>
      <c r="L31" s="23"/>
    </row>
    <row r="32" spans="1:90" ht="14.45" hidden="1">
      <c r="B32" s="26"/>
      <c r="C32" s="26"/>
      <c r="D32" s="26"/>
      <c r="E32" s="26"/>
      <c r="F32" s="26"/>
      <c r="G32" s="26"/>
      <c r="H32" s="26"/>
      <c r="I32" s="26"/>
      <c r="J32" s="26"/>
      <c r="K32" s="26"/>
      <c r="L32" s="23"/>
    </row>
    <row r="33" spans="1:90" s="10" customFormat="1">
      <c r="A33" s="123" t="s">
        <v>20</v>
      </c>
      <c r="B33" s="35">
        <f>SUM(B22:B29)</f>
        <v>11550511842.639999</v>
      </c>
      <c r="C33" s="35">
        <f t="shared" ref="C33:BN33" si="2">SUM(C22:C29)</f>
        <v>11619371521.630001</v>
      </c>
      <c r="D33" s="35">
        <f t="shared" si="2"/>
        <v>11066260751.630001</v>
      </c>
      <c r="E33" s="35">
        <f t="shared" si="2"/>
        <v>6998216536.8999996</v>
      </c>
      <c r="F33" s="35">
        <f t="shared" si="2"/>
        <v>6416311151.6199999</v>
      </c>
      <c r="G33" s="35">
        <f t="shared" si="2"/>
        <v>5586304165.5800009</v>
      </c>
      <c r="H33" s="35">
        <f t="shared" si="2"/>
        <v>5310228347.8100004</v>
      </c>
      <c r="I33" s="35">
        <f t="shared" si="2"/>
        <v>4952729083.1199999</v>
      </c>
      <c r="J33" s="35">
        <f t="shared" si="2"/>
        <v>4753311523.6999998</v>
      </c>
      <c r="K33" s="35">
        <f t="shared" si="2"/>
        <v>4326424456</v>
      </c>
      <c r="L33" s="35">
        <f t="shared" si="2"/>
        <v>4271871159.8099995</v>
      </c>
      <c r="M33" s="35">
        <f t="shared" si="2"/>
        <v>3919272912</v>
      </c>
      <c r="N33" s="35">
        <f t="shared" si="2"/>
        <v>4190187441.9500003</v>
      </c>
      <c r="O33" s="35">
        <f t="shared" si="2"/>
        <v>4312387183</v>
      </c>
      <c r="P33" s="35">
        <f t="shared" si="2"/>
        <v>4226032117.1600003</v>
      </c>
      <c r="Q33" s="35">
        <f t="shared" si="2"/>
        <v>4342033198</v>
      </c>
      <c r="R33" s="35">
        <f t="shared" si="2"/>
        <v>4863799178.2799997</v>
      </c>
      <c r="S33" s="35">
        <f t="shared" si="2"/>
        <v>1964160000</v>
      </c>
      <c r="T33" s="35">
        <f t="shared" si="2"/>
        <v>1766273643.6500001</v>
      </c>
      <c r="U33" s="35">
        <f t="shared" si="2"/>
        <v>1887045411</v>
      </c>
      <c r="V33" s="35">
        <f t="shared" si="2"/>
        <v>2180410062</v>
      </c>
      <c r="W33" s="35">
        <f t="shared" si="2"/>
        <v>1753629246</v>
      </c>
      <c r="X33" s="35">
        <f t="shared" si="2"/>
        <v>1822067445.76</v>
      </c>
      <c r="Y33" s="35">
        <f t="shared" si="2"/>
        <v>1719104066</v>
      </c>
      <c r="Z33" s="35">
        <f t="shared" si="2"/>
        <v>2090913680</v>
      </c>
      <c r="AA33" s="35">
        <f t="shared" si="2"/>
        <v>1938141704</v>
      </c>
      <c r="AB33" s="35">
        <f t="shared" si="2"/>
        <v>1508773675.76</v>
      </c>
      <c r="AC33" s="35">
        <f t="shared" si="2"/>
        <v>1668562801</v>
      </c>
      <c r="AD33" s="35">
        <f t="shared" si="2"/>
        <v>1598945118.9599998</v>
      </c>
      <c r="AE33" s="35">
        <f t="shared" si="2"/>
        <v>1590762599</v>
      </c>
      <c r="AF33" s="35">
        <f t="shared" si="2"/>
        <v>1560041875.4199998</v>
      </c>
      <c r="AG33" s="35">
        <f t="shared" si="2"/>
        <v>1460754481</v>
      </c>
      <c r="AH33" s="35">
        <f t="shared" si="2"/>
        <v>1255007358.46</v>
      </c>
      <c r="AI33" s="35">
        <f t="shared" si="2"/>
        <v>1065068784.0699999</v>
      </c>
      <c r="AJ33" s="35">
        <f t="shared" si="2"/>
        <v>857100757.64999998</v>
      </c>
      <c r="AK33" s="35">
        <f t="shared" si="2"/>
        <v>700789646.08999991</v>
      </c>
      <c r="AL33" s="35">
        <f t="shared" si="2"/>
        <v>732154629.10000002</v>
      </c>
      <c r="AM33" s="35">
        <f t="shared" si="2"/>
        <v>674459745.45000005</v>
      </c>
      <c r="AN33" s="35">
        <f t="shared" si="2"/>
        <v>603768649.71000004</v>
      </c>
      <c r="AO33" s="35">
        <f t="shared" si="2"/>
        <v>700000339.52999997</v>
      </c>
      <c r="AP33" s="35">
        <f t="shared" si="2"/>
        <v>1130710044.6399999</v>
      </c>
      <c r="AQ33" s="35">
        <f t="shared" si="2"/>
        <v>1124974024.1099999</v>
      </c>
      <c r="AR33" s="35">
        <f t="shared" si="2"/>
        <v>1108723311.4099998</v>
      </c>
      <c r="AS33" s="35">
        <f t="shared" si="2"/>
        <v>969613361.01999998</v>
      </c>
      <c r="AT33" s="35">
        <f t="shared" si="2"/>
        <v>811874026.26999998</v>
      </c>
      <c r="AU33" s="35">
        <f t="shared" si="2"/>
        <v>722676858.78999996</v>
      </c>
      <c r="AV33" s="35">
        <f t="shared" si="2"/>
        <v>678215248.68000007</v>
      </c>
      <c r="AW33" s="35">
        <f t="shared" si="2"/>
        <v>709069787.47000003</v>
      </c>
      <c r="AX33" s="35">
        <f t="shared" si="2"/>
        <v>642864587.53999996</v>
      </c>
      <c r="AY33" s="35">
        <f t="shared" si="2"/>
        <v>713421190.85000002</v>
      </c>
      <c r="AZ33" s="35">
        <f t="shared" si="2"/>
        <v>616163465.17999995</v>
      </c>
      <c r="BA33" s="35">
        <f t="shared" si="2"/>
        <v>656447483.08999991</v>
      </c>
      <c r="BB33" s="35">
        <f t="shared" si="2"/>
        <v>552412543.26999998</v>
      </c>
      <c r="BC33" s="35">
        <f t="shared" si="2"/>
        <v>627656887.99000001</v>
      </c>
      <c r="BD33" s="35">
        <f t="shared" si="2"/>
        <v>648054703.35000002</v>
      </c>
      <c r="BE33" s="35">
        <f t="shared" si="2"/>
        <v>675624229.69000006</v>
      </c>
      <c r="BF33" s="35">
        <f t="shared" si="2"/>
        <v>624703825.03999996</v>
      </c>
      <c r="BG33" s="35">
        <f t="shared" si="2"/>
        <v>591040448.36000001</v>
      </c>
      <c r="BH33" s="35">
        <f t="shared" si="2"/>
        <v>479850588.79999995</v>
      </c>
      <c r="BI33" s="35">
        <f t="shared" si="2"/>
        <v>456953856.68000001</v>
      </c>
      <c r="BJ33" s="35">
        <f t="shared" si="2"/>
        <v>418208686.69</v>
      </c>
      <c r="BK33" s="35">
        <f t="shared" si="2"/>
        <v>372626612.93000007</v>
      </c>
      <c r="BL33" s="35">
        <f t="shared" si="2"/>
        <v>346589307.75999999</v>
      </c>
      <c r="BM33" s="35">
        <f t="shared" si="2"/>
        <v>299402273.56999999</v>
      </c>
      <c r="BN33" s="35">
        <f t="shared" si="2"/>
        <v>625229833.71000004</v>
      </c>
      <c r="BO33" s="35">
        <f t="shared" ref="BO33:CK33" si="3">SUM(BO22:BO29)</f>
        <v>327292931.51999998</v>
      </c>
      <c r="BP33" s="35">
        <f t="shared" si="3"/>
        <v>277425370.10000002</v>
      </c>
      <c r="BQ33" s="35">
        <f t="shared" si="3"/>
        <v>260484317.41000003</v>
      </c>
      <c r="BR33" s="35">
        <f t="shared" si="3"/>
        <v>319123806.00999999</v>
      </c>
      <c r="BS33" s="35">
        <f t="shared" si="3"/>
        <v>327421197.92000002</v>
      </c>
      <c r="BT33" s="35">
        <f t="shared" si="3"/>
        <v>291039113.51999998</v>
      </c>
      <c r="BU33" s="35">
        <f t="shared" si="3"/>
        <v>253994846.80000001</v>
      </c>
      <c r="BV33" s="35">
        <f t="shared" si="3"/>
        <v>239198496.55000001</v>
      </c>
      <c r="BW33" s="35">
        <f t="shared" si="3"/>
        <v>162751505.20999998</v>
      </c>
      <c r="BX33" s="35">
        <f t="shared" si="3"/>
        <v>266283516.17000002</v>
      </c>
      <c r="BY33" s="35">
        <f t="shared" si="3"/>
        <v>269111531.12</v>
      </c>
      <c r="BZ33" s="35">
        <f t="shared" si="3"/>
        <v>0</v>
      </c>
      <c r="CA33" s="35">
        <f t="shared" si="3"/>
        <v>227764186.59999999</v>
      </c>
      <c r="CB33" s="35">
        <f t="shared" si="3"/>
        <v>0</v>
      </c>
      <c r="CC33" s="35">
        <f t="shared" si="3"/>
        <v>111411198.04999998</v>
      </c>
      <c r="CD33" s="35">
        <f t="shared" si="3"/>
        <v>0</v>
      </c>
      <c r="CE33" s="35">
        <f t="shared" si="3"/>
        <v>83071282.260000005</v>
      </c>
      <c r="CF33" s="35">
        <f t="shared" si="3"/>
        <v>106997206.34</v>
      </c>
      <c r="CG33" s="35">
        <f t="shared" si="3"/>
        <v>0</v>
      </c>
      <c r="CH33" s="35">
        <f t="shared" si="3"/>
        <v>0</v>
      </c>
      <c r="CI33" s="35">
        <f t="shared" si="3"/>
        <v>0</v>
      </c>
      <c r="CJ33" s="35">
        <f t="shared" si="3"/>
        <v>0</v>
      </c>
      <c r="CK33" s="35">
        <f t="shared" si="3"/>
        <v>0</v>
      </c>
    </row>
    <row r="34" spans="1:90" s="11" customFormat="1">
      <c r="A34" s="122" t="s">
        <v>82</v>
      </c>
      <c r="B34" s="34"/>
      <c r="C34" s="34"/>
      <c r="D34" s="34"/>
      <c r="E34" s="34"/>
      <c r="F34" s="34"/>
      <c r="G34" s="34"/>
      <c r="H34" s="34"/>
      <c r="I34" s="34"/>
      <c r="J34" s="34"/>
      <c r="K34" s="34"/>
      <c r="L34" s="32"/>
      <c r="M34" s="14"/>
      <c r="N34" s="14"/>
    </row>
    <row r="35" spans="1:90">
      <c r="A35" s="17" t="s">
        <v>21</v>
      </c>
      <c r="B35" s="189">
        <v>0</v>
      </c>
      <c r="C35" s="189">
        <v>1305197545.55</v>
      </c>
      <c r="D35" s="189">
        <v>2013713354.27</v>
      </c>
      <c r="E35" s="189">
        <v>1602677326.9000001</v>
      </c>
      <c r="F35" s="189">
        <v>1159702696.3800001</v>
      </c>
      <c r="G35" s="189">
        <v>986884096.33000004</v>
      </c>
      <c r="H35" s="189">
        <v>1332016080.5699999</v>
      </c>
      <c r="I35" s="189">
        <v>1411563110.9400001</v>
      </c>
      <c r="J35" s="189">
        <v>1391647418.5599999</v>
      </c>
      <c r="K35" s="189">
        <v>1135101997</v>
      </c>
      <c r="L35" s="189">
        <v>808350825.24000001</v>
      </c>
      <c r="M35" s="189">
        <v>1252100843</v>
      </c>
      <c r="N35" s="189">
        <v>712268019.73000002</v>
      </c>
      <c r="O35" s="189">
        <v>504882899</v>
      </c>
      <c r="P35" s="189">
        <v>670198412.88999999</v>
      </c>
      <c r="Q35" s="189">
        <v>502319302</v>
      </c>
      <c r="R35" s="189">
        <v>536613970.19999999</v>
      </c>
      <c r="S35" s="189">
        <v>219122855</v>
      </c>
      <c r="T35" s="189">
        <v>206135700.72999999</v>
      </c>
      <c r="U35" s="189">
        <v>210543997</v>
      </c>
      <c r="V35" s="189">
        <v>236213386</v>
      </c>
      <c r="W35" s="189">
        <v>180187615</v>
      </c>
      <c r="X35" s="189">
        <v>214823778.47999999</v>
      </c>
      <c r="Y35" s="189">
        <v>169784346</v>
      </c>
      <c r="Z35" s="189">
        <v>305253793</v>
      </c>
      <c r="AA35" s="189">
        <v>268691064</v>
      </c>
      <c r="AB35" s="189">
        <v>256993219.16</v>
      </c>
      <c r="AC35" s="189">
        <v>236513243</v>
      </c>
      <c r="AD35" s="189">
        <v>262156405.21000001</v>
      </c>
      <c r="AE35" s="189">
        <v>311817355</v>
      </c>
      <c r="AF35" s="189">
        <v>255965657.63999999</v>
      </c>
      <c r="AG35" s="189">
        <v>253316653</v>
      </c>
      <c r="AH35" s="189">
        <v>192999207.00999999</v>
      </c>
      <c r="AI35" s="189">
        <v>191437373.38</v>
      </c>
      <c r="AJ35" s="189">
        <v>111767074.48999999</v>
      </c>
      <c r="AK35" s="189">
        <v>157357343.30000001</v>
      </c>
      <c r="AL35" s="189">
        <v>148308102.84999999</v>
      </c>
      <c r="AM35" s="189">
        <v>95084747.170000002</v>
      </c>
      <c r="AN35" s="189">
        <v>49665110.859999999</v>
      </c>
      <c r="AO35" s="189">
        <v>87394166.060000002</v>
      </c>
      <c r="AP35" s="189">
        <v>98236806.569999993</v>
      </c>
      <c r="AQ35" s="189">
        <v>36541277.859999999</v>
      </c>
      <c r="AR35" s="189">
        <v>89720628.439999998</v>
      </c>
      <c r="AS35" s="189">
        <v>86751462.400000006</v>
      </c>
      <c r="AT35" s="189">
        <v>86802707.5</v>
      </c>
      <c r="AU35" s="189">
        <v>43037125.990000002</v>
      </c>
      <c r="AV35" s="189">
        <v>94729332.879999995</v>
      </c>
      <c r="AW35" s="189">
        <v>54402572.240000002</v>
      </c>
      <c r="AX35" s="189">
        <v>34460423.119999997</v>
      </c>
      <c r="AY35" s="189">
        <v>20959079.66</v>
      </c>
      <c r="AZ35" s="189">
        <v>14360394.720000001</v>
      </c>
      <c r="BA35" s="189">
        <v>5714996.7400000002</v>
      </c>
      <c r="BB35" s="189">
        <v>2784633.09</v>
      </c>
      <c r="BC35" s="189">
        <v>11679233.67</v>
      </c>
      <c r="BD35" s="189">
        <v>16434894.199999999</v>
      </c>
      <c r="BE35" s="189">
        <v>6815489.29</v>
      </c>
      <c r="BF35" s="189">
        <v>0</v>
      </c>
      <c r="BG35" s="189">
        <v>0</v>
      </c>
      <c r="BH35" s="189">
        <v>0</v>
      </c>
      <c r="BI35" s="189">
        <v>0</v>
      </c>
      <c r="BJ35" s="189">
        <v>0</v>
      </c>
      <c r="BK35" s="189">
        <v>0</v>
      </c>
      <c r="BL35" s="189">
        <v>0</v>
      </c>
      <c r="BM35" s="189">
        <v>0</v>
      </c>
      <c r="BN35" s="189">
        <v>0</v>
      </c>
      <c r="BO35" s="189">
        <v>0</v>
      </c>
      <c r="BP35" s="189">
        <v>0</v>
      </c>
      <c r="BQ35" s="189">
        <v>0</v>
      </c>
      <c r="BR35" s="189">
        <v>0</v>
      </c>
      <c r="BS35" s="189">
        <v>0</v>
      </c>
      <c r="BT35" s="189">
        <v>0</v>
      </c>
      <c r="BU35" s="189">
        <v>0</v>
      </c>
      <c r="BV35" s="189">
        <v>0</v>
      </c>
      <c r="BW35" s="189">
        <v>0</v>
      </c>
      <c r="BX35" s="189">
        <v>0</v>
      </c>
      <c r="BY35" s="189">
        <v>0</v>
      </c>
      <c r="BZ35" s="189">
        <v>0</v>
      </c>
      <c r="CA35" s="189">
        <v>0</v>
      </c>
      <c r="CB35" s="189">
        <v>0</v>
      </c>
      <c r="CC35" s="189">
        <v>0</v>
      </c>
      <c r="CD35" s="189">
        <v>0</v>
      </c>
      <c r="CE35" s="189">
        <v>0</v>
      </c>
      <c r="CF35" s="189">
        <v>0</v>
      </c>
      <c r="CG35" s="189">
        <v>0</v>
      </c>
      <c r="CH35" s="189">
        <v>0</v>
      </c>
      <c r="CI35" s="189">
        <v>0</v>
      </c>
      <c r="CJ35" s="189"/>
      <c r="CK35" s="189"/>
      <c r="CL35" s="189"/>
    </row>
    <row r="36" spans="1:90">
      <c r="A36" s="17" t="s">
        <v>22</v>
      </c>
      <c r="B36" s="189">
        <v>0</v>
      </c>
      <c r="C36" s="189">
        <v>5967850185.0299997</v>
      </c>
      <c r="D36" s="189">
        <v>5006987852.8500004</v>
      </c>
      <c r="E36" s="189">
        <v>3419770351.8600001</v>
      </c>
      <c r="F36" s="189">
        <v>3346794290.9299998</v>
      </c>
      <c r="G36" s="189">
        <v>2173879532.0300002</v>
      </c>
      <c r="H36" s="189">
        <v>1677149414.8399999</v>
      </c>
      <c r="I36" s="189">
        <v>2670552709.5599999</v>
      </c>
      <c r="J36" s="189">
        <v>2337204398.3800001</v>
      </c>
      <c r="K36" s="189">
        <v>1098199090</v>
      </c>
      <c r="L36" s="189">
        <v>1767977098.71</v>
      </c>
      <c r="M36" s="189">
        <v>2856799449</v>
      </c>
      <c r="N36" s="189">
        <v>2343993885.6199999</v>
      </c>
      <c r="O36" s="189">
        <v>2119485542</v>
      </c>
      <c r="P36" s="189">
        <v>2035970458.48</v>
      </c>
      <c r="Q36" s="189">
        <v>2256699982</v>
      </c>
      <c r="R36" s="189">
        <v>2719355074.21</v>
      </c>
      <c r="S36" s="189">
        <v>1002293283</v>
      </c>
      <c r="T36" s="189">
        <v>822595616.83000004</v>
      </c>
      <c r="U36" s="189">
        <v>1153987545</v>
      </c>
      <c r="V36" s="189">
        <v>754623856</v>
      </c>
      <c r="W36" s="189">
        <v>756365723</v>
      </c>
      <c r="X36" s="189">
        <v>749962900.96000004</v>
      </c>
      <c r="Y36" s="189">
        <v>752993751</v>
      </c>
      <c r="Z36" s="189">
        <v>818817548</v>
      </c>
      <c r="AA36" s="189">
        <v>859084002</v>
      </c>
      <c r="AB36" s="189">
        <v>705609823.28999996</v>
      </c>
      <c r="AC36" s="189">
        <v>744076714</v>
      </c>
      <c r="AD36" s="189">
        <v>662803966.92999995</v>
      </c>
      <c r="AE36" s="189">
        <v>605643583</v>
      </c>
      <c r="AF36" s="189">
        <v>801385267.21000004</v>
      </c>
      <c r="AG36" s="189">
        <v>782717494</v>
      </c>
      <c r="AH36" s="189">
        <v>710573443.44000006</v>
      </c>
      <c r="AI36" s="189">
        <v>648231139.22000003</v>
      </c>
      <c r="AJ36" s="189">
        <v>504044094.26999998</v>
      </c>
      <c r="AK36" s="189">
        <v>359701411.30000001</v>
      </c>
      <c r="AL36" s="189">
        <v>464373849.63999999</v>
      </c>
      <c r="AM36" s="189">
        <v>410521735.38999999</v>
      </c>
      <c r="AN36" s="189">
        <v>273126919.22000003</v>
      </c>
      <c r="AO36" s="189">
        <v>291349002.94999999</v>
      </c>
      <c r="AP36" s="189">
        <v>456762788.17000002</v>
      </c>
      <c r="AQ36" s="189">
        <v>408494111.51999998</v>
      </c>
      <c r="AR36" s="189">
        <v>356382092.56</v>
      </c>
      <c r="AS36" s="189">
        <v>309069944.73000002</v>
      </c>
      <c r="AT36" s="189">
        <v>248856449.25999999</v>
      </c>
      <c r="AU36" s="189">
        <v>285857394.88</v>
      </c>
      <c r="AV36" s="189">
        <v>201640024.56999999</v>
      </c>
      <c r="AW36" s="189">
        <v>225622573.36000001</v>
      </c>
      <c r="AX36" s="189">
        <v>186325458.03999999</v>
      </c>
      <c r="AY36" s="189">
        <v>201936730.93000001</v>
      </c>
      <c r="AZ36" s="189">
        <v>176066060.47</v>
      </c>
      <c r="BA36" s="189">
        <v>176396197.59999999</v>
      </c>
      <c r="BB36" s="189">
        <v>108473076.90000001</v>
      </c>
      <c r="BC36" s="189">
        <v>145484488.94</v>
      </c>
      <c r="BD36" s="189">
        <v>142608339.72999999</v>
      </c>
      <c r="BE36" s="189">
        <v>239595830.18000001</v>
      </c>
      <c r="BF36" s="189">
        <v>167809923.31999999</v>
      </c>
      <c r="BG36" s="189">
        <v>183546735.41</v>
      </c>
      <c r="BH36" s="189">
        <v>121677356.94</v>
      </c>
      <c r="BI36" s="189">
        <v>120790489.02</v>
      </c>
      <c r="BJ36" s="189">
        <v>100082819.73</v>
      </c>
      <c r="BK36" s="189">
        <v>68715053.939999998</v>
      </c>
      <c r="BL36" s="189">
        <v>63765196.549999997</v>
      </c>
      <c r="BM36" s="189">
        <v>72645769.150000006</v>
      </c>
      <c r="BN36" s="189">
        <v>47345126.030000001</v>
      </c>
      <c r="BO36" s="189">
        <v>61784999.899999999</v>
      </c>
      <c r="BP36" s="189">
        <v>38955893.509999998</v>
      </c>
      <c r="BQ36" s="189">
        <v>18160706.890000001</v>
      </c>
      <c r="BR36" s="189">
        <v>37174380.460000001</v>
      </c>
      <c r="BS36" s="189">
        <v>41967092.030000001</v>
      </c>
      <c r="BT36" s="189">
        <v>36006124.200000003</v>
      </c>
      <c r="BU36" s="189">
        <v>30502564.760000002</v>
      </c>
      <c r="BV36" s="189">
        <v>46477176.469999999</v>
      </c>
      <c r="BW36" s="189">
        <v>13119390.359999999</v>
      </c>
      <c r="BX36" s="189">
        <v>14473591.310000001</v>
      </c>
      <c r="BY36" s="189">
        <v>31336922.5</v>
      </c>
      <c r="BZ36" s="189">
        <v>0</v>
      </c>
      <c r="CA36" s="189">
        <v>11600680.970000001</v>
      </c>
      <c r="CB36" s="189">
        <v>0</v>
      </c>
      <c r="CC36" s="189">
        <v>13975601.189999999</v>
      </c>
      <c r="CD36" s="189">
        <v>0</v>
      </c>
      <c r="CE36" s="189">
        <v>16724990</v>
      </c>
      <c r="CF36" s="189">
        <v>7641643.4100000001</v>
      </c>
      <c r="CG36" s="189">
        <v>0</v>
      </c>
      <c r="CH36" s="189">
        <v>0</v>
      </c>
      <c r="CI36" s="189">
        <v>0</v>
      </c>
      <c r="CJ36" s="189"/>
      <c r="CK36" s="189"/>
      <c r="CL36" s="189"/>
    </row>
    <row r="37" spans="1:90">
      <c r="A37" s="17" t="s">
        <v>23</v>
      </c>
      <c r="B37" s="189">
        <v>308919479.00999999</v>
      </c>
      <c r="C37" s="189">
        <v>310551487.74000001</v>
      </c>
      <c r="D37" s="189">
        <v>185250362.84</v>
      </c>
      <c r="E37" s="189">
        <v>135651416.66999999</v>
      </c>
      <c r="F37" s="189">
        <v>158271390.27000001</v>
      </c>
      <c r="G37" s="189">
        <v>136464884.25999999</v>
      </c>
      <c r="H37" s="189">
        <v>171850144.00999999</v>
      </c>
      <c r="I37" s="189">
        <v>143101095.78999999</v>
      </c>
      <c r="J37" s="189">
        <v>152104670.53999999</v>
      </c>
      <c r="K37" s="189">
        <v>137480836</v>
      </c>
      <c r="L37" s="189">
        <v>145400659.41</v>
      </c>
      <c r="M37" s="189">
        <v>123682399</v>
      </c>
      <c r="N37" s="189">
        <v>104111759.23999999</v>
      </c>
      <c r="O37" s="189">
        <v>102617681</v>
      </c>
      <c r="P37" s="189">
        <v>330239624.66000003</v>
      </c>
      <c r="Q37" s="189">
        <v>68099306</v>
      </c>
      <c r="R37" s="189">
        <v>113051490.41</v>
      </c>
      <c r="S37" s="189">
        <v>65616570</v>
      </c>
      <c r="T37" s="189">
        <v>74215698.390000001</v>
      </c>
      <c r="U37" s="189">
        <v>74572186</v>
      </c>
      <c r="V37" s="189">
        <v>73445528</v>
      </c>
      <c r="W37" s="189">
        <v>48244623</v>
      </c>
      <c r="X37" s="189">
        <v>34196158.439999998</v>
      </c>
      <c r="Y37" s="189">
        <v>36915914</v>
      </c>
      <c r="Z37" s="189">
        <v>57617924</v>
      </c>
      <c r="AA37" s="189">
        <v>38334328</v>
      </c>
      <c r="AB37" s="189">
        <v>52188166.460000001</v>
      </c>
      <c r="AC37" s="189">
        <v>42598477</v>
      </c>
      <c r="AD37" s="189">
        <v>99134030.969999999</v>
      </c>
      <c r="AE37" s="189">
        <v>70008290</v>
      </c>
      <c r="AF37" s="189">
        <v>121782379.45</v>
      </c>
      <c r="AG37" s="189">
        <v>86421083</v>
      </c>
      <c r="AH37" s="189">
        <v>59424556.030000001</v>
      </c>
      <c r="AI37" s="189">
        <v>69510777.170000002</v>
      </c>
      <c r="AJ37" s="189">
        <v>66655076.18</v>
      </c>
      <c r="AK37" s="189">
        <v>30166040.52</v>
      </c>
      <c r="AL37" s="189">
        <v>31404065.579999998</v>
      </c>
      <c r="AM37" s="189">
        <v>28389984.98</v>
      </c>
      <c r="AN37" s="189">
        <v>22338797.34</v>
      </c>
      <c r="AO37" s="189">
        <v>16806145.190000001</v>
      </c>
      <c r="AP37" s="189">
        <v>15592114.42</v>
      </c>
      <c r="AQ37" s="189">
        <v>10618144.050000001</v>
      </c>
      <c r="AR37" s="189">
        <v>9730421.3399999999</v>
      </c>
      <c r="AS37" s="189">
        <v>14240613.74</v>
      </c>
      <c r="AT37" s="189">
        <v>338202.77</v>
      </c>
      <c r="AU37" s="189">
        <v>30400.02</v>
      </c>
      <c r="AV37" s="189">
        <v>518708.01</v>
      </c>
      <c r="AW37" s="189">
        <v>30922.45</v>
      </c>
      <c r="AX37" s="189">
        <v>11787412.58</v>
      </c>
      <c r="AY37" s="189">
        <v>4433804.67</v>
      </c>
      <c r="AZ37" s="189">
        <v>185431.13</v>
      </c>
      <c r="BA37" s="189">
        <v>0</v>
      </c>
      <c r="BB37" s="189">
        <v>36500</v>
      </c>
      <c r="BC37" s="189">
        <v>0</v>
      </c>
      <c r="BD37" s="189">
        <v>0</v>
      </c>
      <c r="BE37" s="189">
        <v>0</v>
      </c>
      <c r="BF37" s="189">
        <v>0</v>
      </c>
      <c r="BG37" s="189">
        <v>0</v>
      </c>
      <c r="BH37" s="189">
        <v>0</v>
      </c>
      <c r="BI37" s="189">
        <v>0</v>
      </c>
      <c r="BJ37" s="189">
        <v>0</v>
      </c>
      <c r="BK37" s="189">
        <v>920861.08</v>
      </c>
      <c r="BL37" s="189">
        <v>920861.08</v>
      </c>
      <c r="BM37" s="189">
        <v>3944861.08</v>
      </c>
      <c r="BN37" s="189">
        <v>2494214.4900000002</v>
      </c>
      <c r="BO37" s="189">
        <v>2415859.58</v>
      </c>
      <c r="BP37" s="189">
        <v>1544859.58</v>
      </c>
      <c r="BQ37" s="189">
        <v>1578819.58</v>
      </c>
      <c r="BR37" s="189">
        <v>10791501.58</v>
      </c>
      <c r="BS37" s="189">
        <v>9656901.3200000003</v>
      </c>
      <c r="BT37" s="189">
        <v>3051977.58</v>
      </c>
      <c r="BU37" s="189">
        <v>573135.57999999996</v>
      </c>
      <c r="BV37" s="189">
        <v>4285135.58</v>
      </c>
      <c r="BW37" s="189">
        <v>5656456.1799999997</v>
      </c>
      <c r="BX37" s="189">
        <v>949331.08</v>
      </c>
      <c r="BY37" s="189">
        <v>858078.88</v>
      </c>
      <c r="BZ37" s="189">
        <v>0</v>
      </c>
      <c r="CA37" s="189">
        <v>681778.76</v>
      </c>
      <c r="CB37" s="189">
        <v>0</v>
      </c>
      <c r="CC37" s="189">
        <v>1410553.86</v>
      </c>
      <c r="CD37" s="189">
        <v>0</v>
      </c>
      <c r="CE37" s="189">
        <v>1386461.63</v>
      </c>
      <c r="CF37" s="189">
        <v>1270397.46</v>
      </c>
      <c r="CG37" s="189">
        <v>0</v>
      </c>
      <c r="CH37" s="189">
        <v>0</v>
      </c>
      <c r="CI37" s="189">
        <v>0</v>
      </c>
      <c r="CJ37" s="189"/>
      <c r="CK37" s="189"/>
      <c r="CL37" s="189"/>
    </row>
    <row r="38" spans="1:90">
      <c r="A38" s="17" t="s">
        <v>24</v>
      </c>
      <c r="B38" s="189">
        <v>0</v>
      </c>
      <c r="C38" s="189">
        <v>0</v>
      </c>
      <c r="D38" s="189">
        <v>0</v>
      </c>
      <c r="E38" s="189">
        <v>0</v>
      </c>
      <c r="F38" s="189">
        <v>0</v>
      </c>
      <c r="G38" s="189">
        <v>0</v>
      </c>
      <c r="H38" s="189">
        <v>0</v>
      </c>
      <c r="I38" s="189">
        <v>0</v>
      </c>
      <c r="J38" s="189">
        <v>0</v>
      </c>
      <c r="K38" s="189">
        <v>0</v>
      </c>
      <c r="L38" s="189">
        <v>0</v>
      </c>
      <c r="M38" s="189">
        <v>0</v>
      </c>
      <c r="N38" s="189">
        <v>0</v>
      </c>
      <c r="O38" s="189">
        <v>0</v>
      </c>
      <c r="P38" s="189">
        <v>0</v>
      </c>
      <c r="Q38" s="189">
        <v>0</v>
      </c>
      <c r="R38" s="189">
        <v>0</v>
      </c>
      <c r="S38" s="189">
        <v>0</v>
      </c>
      <c r="T38" s="189">
        <v>0</v>
      </c>
      <c r="U38" s="189">
        <v>0</v>
      </c>
      <c r="V38" s="189">
        <v>0</v>
      </c>
      <c r="W38" s="189">
        <v>0</v>
      </c>
      <c r="X38" s="189">
        <v>0</v>
      </c>
      <c r="Y38" s="189">
        <v>0</v>
      </c>
      <c r="Z38" s="189">
        <v>0</v>
      </c>
      <c r="AA38" s="189">
        <v>0</v>
      </c>
      <c r="AB38" s="189">
        <v>0</v>
      </c>
      <c r="AC38" s="189">
        <v>0</v>
      </c>
      <c r="AD38" s="189">
        <v>0</v>
      </c>
      <c r="AE38" s="189">
        <v>0</v>
      </c>
      <c r="AF38" s="189">
        <v>0</v>
      </c>
      <c r="AG38" s="189">
        <v>0</v>
      </c>
      <c r="AH38" s="189">
        <v>0</v>
      </c>
      <c r="AI38" s="189">
        <v>0</v>
      </c>
      <c r="AJ38" s="189">
        <v>0</v>
      </c>
      <c r="AK38" s="189">
        <v>0</v>
      </c>
      <c r="AL38" s="189">
        <v>0</v>
      </c>
      <c r="AM38" s="189">
        <v>0</v>
      </c>
      <c r="AN38" s="189">
        <v>0</v>
      </c>
      <c r="AO38" s="189">
        <v>0</v>
      </c>
      <c r="AP38" s="189">
        <v>0</v>
      </c>
      <c r="AQ38" s="189">
        <v>0</v>
      </c>
      <c r="AR38" s="189">
        <v>0</v>
      </c>
      <c r="AS38" s="189">
        <v>0</v>
      </c>
      <c r="AT38" s="189">
        <v>0</v>
      </c>
      <c r="AU38" s="189">
        <v>0</v>
      </c>
      <c r="AV38" s="189">
        <v>0</v>
      </c>
      <c r="AW38" s="189">
        <v>0</v>
      </c>
      <c r="AX38" s="189">
        <v>0</v>
      </c>
      <c r="AY38" s="189">
        <v>0</v>
      </c>
      <c r="AZ38" s="189">
        <v>0</v>
      </c>
      <c r="BA38" s="189">
        <v>0</v>
      </c>
      <c r="BB38" s="189">
        <v>0</v>
      </c>
      <c r="BC38" s="189">
        <v>0</v>
      </c>
      <c r="BD38" s="189">
        <v>0</v>
      </c>
      <c r="BE38" s="189">
        <v>0</v>
      </c>
      <c r="BF38" s="189">
        <v>0</v>
      </c>
      <c r="BG38" s="189">
        <v>0</v>
      </c>
      <c r="BH38" s="189">
        <v>0</v>
      </c>
      <c r="BI38" s="189">
        <v>0</v>
      </c>
      <c r="BJ38" s="189">
        <v>0</v>
      </c>
      <c r="BK38" s="189">
        <v>0</v>
      </c>
      <c r="BL38" s="189">
        <v>0</v>
      </c>
      <c r="BM38" s="189">
        <v>0</v>
      </c>
      <c r="BN38" s="189">
        <v>0</v>
      </c>
      <c r="BO38" s="189">
        <v>0</v>
      </c>
      <c r="BP38" s="189">
        <v>0</v>
      </c>
      <c r="BQ38" s="189">
        <v>0</v>
      </c>
      <c r="BR38" s="189">
        <v>0</v>
      </c>
      <c r="BS38" s="189">
        <v>0</v>
      </c>
      <c r="BT38" s="189">
        <v>0</v>
      </c>
      <c r="BU38" s="189">
        <v>0</v>
      </c>
      <c r="BV38" s="189">
        <v>0</v>
      </c>
      <c r="BW38" s="189">
        <v>0</v>
      </c>
      <c r="BX38" s="189">
        <v>0</v>
      </c>
      <c r="BY38" s="189">
        <v>0</v>
      </c>
      <c r="BZ38" s="189">
        <v>0</v>
      </c>
      <c r="CA38" s="189">
        <v>0</v>
      </c>
      <c r="CB38" s="189">
        <v>0</v>
      </c>
      <c r="CC38" s="189">
        <v>0</v>
      </c>
      <c r="CD38" s="189">
        <v>0</v>
      </c>
      <c r="CE38" s="189">
        <v>0</v>
      </c>
      <c r="CF38" s="189">
        <v>0</v>
      </c>
      <c r="CG38" s="189">
        <v>0</v>
      </c>
      <c r="CH38" s="189">
        <v>0</v>
      </c>
      <c r="CI38" s="189">
        <v>0</v>
      </c>
      <c r="CJ38" s="189"/>
      <c r="CK38" s="189"/>
      <c r="CL38" s="189"/>
    </row>
    <row r="39" spans="1:90">
      <c r="A39" s="17" t="s">
        <v>25</v>
      </c>
      <c r="B39" s="189">
        <v>468352863.52999997</v>
      </c>
      <c r="C39" s="189">
        <v>378142389.44</v>
      </c>
      <c r="D39" s="189">
        <v>407267430.63</v>
      </c>
      <c r="E39" s="189">
        <v>364369356.68000001</v>
      </c>
      <c r="F39" s="189">
        <v>214246032.15000001</v>
      </c>
      <c r="G39" s="189">
        <v>239126370.69</v>
      </c>
      <c r="H39" s="189">
        <v>226332743.53</v>
      </c>
      <c r="I39" s="189">
        <v>270552512.37</v>
      </c>
      <c r="J39" s="189">
        <v>204931426.40000001</v>
      </c>
      <c r="K39" s="189">
        <v>230516320</v>
      </c>
      <c r="L39" s="189">
        <v>224531085.63</v>
      </c>
      <c r="M39" s="189">
        <v>252039973</v>
      </c>
      <c r="N39" s="189">
        <v>219955342.52000001</v>
      </c>
      <c r="O39" s="189">
        <v>206508725</v>
      </c>
      <c r="P39" s="189">
        <v>217181242.19999999</v>
      </c>
      <c r="Q39" s="189">
        <v>243913924</v>
      </c>
      <c r="R39" s="189">
        <v>188925226.18000001</v>
      </c>
      <c r="S39" s="189">
        <v>97587650</v>
      </c>
      <c r="T39" s="189">
        <v>81644946.209999993</v>
      </c>
      <c r="U39" s="189">
        <v>107810070</v>
      </c>
      <c r="V39" s="189">
        <v>67057282</v>
      </c>
      <c r="W39" s="189">
        <v>71962304</v>
      </c>
      <c r="X39" s="189">
        <v>57264041.710000001</v>
      </c>
      <c r="Y39" s="189">
        <v>77845662</v>
      </c>
      <c r="Z39" s="189">
        <v>27319199</v>
      </c>
      <c r="AA39" s="189">
        <v>30780225</v>
      </c>
      <c r="AB39" s="189">
        <v>29819986.539999999</v>
      </c>
      <c r="AC39" s="189">
        <v>74754535</v>
      </c>
      <c r="AD39" s="189">
        <v>33144185.969999999</v>
      </c>
      <c r="AE39" s="189">
        <v>46842376</v>
      </c>
      <c r="AF39" s="189">
        <v>36877499.799999997</v>
      </c>
      <c r="AG39" s="189">
        <v>52479952</v>
      </c>
      <c r="AH39" s="189">
        <v>42588411.32</v>
      </c>
      <c r="AI39" s="189">
        <v>39308776.159999996</v>
      </c>
      <c r="AJ39" s="189">
        <v>35041901.530000001</v>
      </c>
      <c r="AK39" s="189">
        <v>55050502.890000001</v>
      </c>
      <c r="AL39" s="189">
        <v>32876859.75</v>
      </c>
      <c r="AM39" s="189">
        <v>29590916.879999999</v>
      </c>
      <c r="AN39" s="189">
        <v>27458622.530000001</v>
      </c>
      <c r="AO39" s="189">
        <v>36402282.609999999</v>
      </c>
      <c r="AP39" s="189">
        <v>37098323.799999997</v>
      </c>
      <c r="AQ39" s="189">
        <v>30912650.789999999</v>
      </c>
      <c r="AR39" s="189">
        <v>28813201.510000002</v>
      </c>
      <c r="AS39" s="189">
        <v>33859012.229999997</v>
      </c>
      <c r="AT39" s="189">
        <v>34654179.880000003</v>
      </c>
      <c r="AU39" s="189">
        <v>24273469.640000001</v>
      </c>
      <c r="AV39" s="189">
        <v>17442802.100000001</v>
      </c>
      <c r="AW39" s="189">
        <v>15307193.119999999</v>
      </c>
      <c r="AX39" s="189">
        <v>15242529.390000001</v>
      </c>
      <c r="AY39" s="189">
        <v>13420072.4</v>
      </c>
      <c r="AZ39" s="189">
        <v>10495767.449999999</v>
      </c>
      <c r="BA39" s="189">
        <v>10877262.779999999</v>
      </c>
      <c r="BB39" s="189">
        <v>10893236.49</v>
      </c>
      <c r="BC39" s="189">
        <v>11475763.27</v>
      </c>
      <c r="BD39" s="189">
        <v>5328390.8600000003</v>
      </c>
      <c r="BE39" s="189">
        <v>1417502.19</v>
      </c>
      <c r="BF39" s="189">
        <v>2176502.31</v>
      </c>
      <c r="BG39" s="189">
        <v>1097044.8899999999</v>
      </c>
      <c r="BH39" s="189">
        <v>758483.26</v>
      </c>
      <c r="BI39" s="189">
        <v>638232.81999999995</v>
      </c>
      <c r="BJ39" s="189">
        <v>897854.07</v>
      </c>
      <c r="BK39" s="189">
        <v>499563.14</v>
      </c>
      <c r="BL39" s="189">
        <v>945568.38</v>
      </c>
      <c r="BM39" s="189">
        <v>776268.91</v>
      </c>
      <c r="BN39" s="189">
        <v>508133.76</v>
      </c>
      <c r="BO39" s="189">
        <v>368294.48</v>
      </c>
      <c r="BP39" s="189">
        <v>500916.15</v>
      </c>
      <c r="BQ39" s="189">
        <v>385108.67</v>
      </c>
      <c r="BR39" s="189">
        <v>842756.68</v>
      </c>
      <c r="BS39" s="189">
        <v>1012184.27</v>
      </c>
      <c r="BT39" s="189">
        <v>1356692.24</v>
      </c>
      <c r="BU39" s="189">
        <v>2446697.87</v>
      </c>
      <c r="BV39" s="189">
        <v>1686036.59</v>
      </c>
      <c r="BW39" s="189">
        <v>1841683.35</v>
      </c>
      <c r="BX39" s="189">
        <v>1560678.51</v>
      </c>
      <c r="BY39" s="189">
        <v>3094187.89</v>
      </c>
      <c r="BZ39" s="189">
        <v>0</v>
      </c>
      <c r="CA39" s="189">
        <v>3149492.58</v>
      </c>
      <c r="CB39" s="189">
        <v>0</v>
      </c>
      <c r="CC39" s="189">
        <v>1431850.01</v>
      </c>
      <c r="CD39" s="189">
        <v>0</v>
      </c>
      <c r="CE39" s="189">
        <v>679779.65</v>
      </c>
      <c r="CF39" s="189">
        <v>-619516.34</v>
      </c>
      <c r="CG39" s="189">
        <v>0</v>
      </c>
      <c r="CH39" s="189">
        <v>0</v>
      </c>
      <c r="CI39" s="189">
        <v>0</v>
      </c>
      <c r="CJ39" s="189"/>
      <c r="CK39" s="189"/>
      <c r="CL39" s="189"/>
    </row>
    <row r="40" spans="1:90">
      <c r="A40" s="17" t="s">
        <v>26</v>
      </c>
      <c r="B40" s="189">
        <v>74380207.299999997</v>
      </c>
      <c r="C40" s="189">
        <v>102645711.84</v>
      </c>
      <c r="D40" s="189">
        <v>296055504.19</v>
      </c>
      <c r="E40" s="189">
        <v>150821716.71000001</v>
      </c>
      <c r="F40" s="189">
        <v>192745905.09999999</v>
      </c>
      <c r="G40" s="189">
        <v>109861428.81999999</v>
      </c>
      <c r="H40" s="189">
        <v>59622488.219999999</v>
      </c>
      <c r="I40" s="189">
        <v>98119591.920000002</v>
      </c>
      <c r="J40" s="189">
        <v>52998738.630000003</v>
      </c>
      <c r="K40" s="189">
        <v>34743309</v>
      </c>
      <c r="L40" s="189">
        <v>52688579.5</v>
      </c>
      <c r="M40" s="189">
        <v>70637354</v>
      </c>
      <c r="N40" s="189">
        <v>47175896.729999997</v>
      </c>
      <c r="O40" s="189">
        <v>39791111</v>
      </c>
      <c r="P40" s="189">
        <v>48240822.57</v>
      </c>
      <c r="Q40" s="189">
        <v>60269276</v>
      </c>
      <c r="R40" s="189">
        <v>38442586.280000001</v>
      </c>
      <c r="S40" s="189">
        <v>17812224</v>
      </c>
      <c r="T40" s="189">
        <v>18348086.920000002</v>
      </c>
      <c r="U40" s="189">
        <v>22200489</v>
      </c>
      <c r="V40" s="189">
        <v>26687641</v>
      </c>
      <c r="W40" s="189">
        <v>11397880</v>
      </c>
      <c r="X40" s="189">
        <v>11042538.52</v>
      </c>
      <c r="Y40" s="189">
        <v>10368291</v>
      </c>
      <c r="Z40" s="189">
        <v>-248016230</v>
      </c>
      <c r="AA40" s="189">
        <v>-263800284</v>
      </c>
      <c r="AB40" s="189">
        <v>-221272120.78999999</v>
      </c>
      <c r="AC40" s="189">
        <v>-235909870</v>
      </c>
      <c r="AD40" s="189">
        <v>-210102266.53</v>
      </c>
      <c r="AE40" s="189">
        <v>-245696830</v>
      </c>
      <c r="AF40" s="189">
        <v>-253551955.09999999</v>
      </c>
      <c r="AG40" s="189">
        <v>-235053385</v>
      </c>
      <c r="AH40" s="189">
        <v>-257640216.43000001</v>
      </c>
      <c r="AI40" s="189">
        <v>-241272548.84999999</v>
      </c>
      <c r="AJ40" s="189">
        <v>-223214449.81</v>
      </c>
      <c r="AK40" s="189">
        <v>-154216252.31999999</v>
      </c>
      <c r="AL40" s="189">
        <v>-66649759.770000003</v>
      </c>
      <c r="AM40" s="189">
        <v>-47753586.5</v>
      </c>
      <c r="AN40" s="189">
        <v>-39328478.43</v>
      </c>
      <c r="AO40" s="189">
        <v>-34048597.270000003</v>
      </c>
      <c r="AP40" s="189">
        <v>-45344053.439999998</v>
      </c>
      <c r="AQ40" s="189">
        <v>-38070359.32</v>
      </c>
      <c r="AR40" s="189">
        <v>-36281841.640000001</v>
      </c>
      <c r="AS40" s="189">
        <v>-5973233.6900000004</v>
      </c>
      <c r="AT40" s="189">
        <v>-22383487.52</v>
      </c>
      <c r="AU40" s="189">
        <v>-23040796.940000001</v>
      </c>
      <c r="AV40" s="189">
        <v>-20556560.93</v>
      </c>
      <c r="AW40" s="189">
        <v>-9271293.9900000002</v>
      </c>
      <c r="AX40" s="189">
        <v>-4025063.35</v>
      </c>
      <c r="AY40" s="189">
        <v>3043395.29</v>
      </c>
      <c r="AZ40" s="189">
        <v>2551284.89</v>
      </c>
      <c r="BA40" s="189">
        <v>1112572.6200000001</v>
      </c>
      <c r="BB40" s="189">
        <v>2196976.06</v>
      </c>
      <c r="BC40" s="189">
        <v>6163218.0099999998</v>
      </c>
      <c r="BD40" s="189">
        <v>3172588.13</v>
      </c>
      <c r="BE40" s="189">
        <v>9309044.3699999992</v>
      </c>
      <c r="BF40" s="189">
        <v>-23765358.030000001</v>
      </c>
      <c r="BG40" s="189">
        <v>-14675218.82</v>
      </c>
      <c r="BH40" s="189">
        <v>5129728.8099999996</v>
      </c>
      <c r="BI40" s="189">
        <v>8166393.3600000003</v>
      </c>
      <c r="BJ40" s="189">
        <v>1788874.69</v>
      </c>
      <c r="BK40" s="189">
        <v>-1013240.58</v>
      </c>
      <c r="BL40" s="189">
        <v>839069.02</v>
      </c>
      <c r="BM40" s="189">
        <v>-3445743.63</v>
      </c>
      <c r="BN40" s="189">
        <v>-5989066.1500000004</v>
      </c>
      <c r="BO40" s="189">
        <v>-4990293.17</v>
      </c>
      <c r="BP40" s="189">
        <v>-4696216.03</v>
      </c>
      <c r="BQ40" s="189">
        <v>862266.77</v>
      </c>
      <c r="BR40" s="189">
        <v>296701.2</v>
      </c>
      <c r="BS40" s="189">
        <v>1270247.55</v>
      </c>
      <c r="BT40" s="189">
        <v>-2260452.5499999998</v>
      </c>
      <c r="BU40" s="189">
        <v>-5630402.46</v>
      </c>
      <c r="BV40" s="189">
        <v>-2453658.64</v>
      </c>
      <c r="BW40" s="189">
        <v>-3581182.17</v>
      </c>
      <c r="BX40" s="189">
        <v>-5990845.6900000004</v>
      </c>
      <c r="BY40" s="189">
        <v>-4635076.83</v>
      </c>
      <c r="BZ40" s="189">
        <v>0</v>
      </c>
      <c r="CA40" s="189">
        <v>-544326.85</v>
      </c>
      <c r="CB40" s="189">
        <v>0</v>
      </c>
      <c r="CC40" s="189">
        <v>-281233.24</v>
      </c>
      <c r="CD40" s="189">
        <v>0</v>
      </c>
      <c r="CE40" s="189">
        <v>3102420.99</v>
      </c>
      <c r="CF40" s="189">
        <v>1174464.07</v>
      </c>
      <c r="CG40" s="189">
        <v>0</v>
      </c>
      <c r="CH40" s="189">
        <v>0</v>
      </c>
      <c r="CI40" s="189">
        <v>0</v>
      </c>
      <c r="CJ40" s="189"/>
      <c r="CK40" s="189"/>
      <c r="CL40" s="189"/>
    </row>
    <row r="41" spans="1:90">
      <c r="A41" s="17" t="s">
        <v>27</v>
      </c>
      <c r="B41" s="189">
        <v>3167302470.5</v>
      </c>
      <c r="C41" s="189">
        <v>3096505424.79</v>
      </c>
      <c r="D41" s="189">
        <v>3018477127.4699998</v>
      </c>
      <c r="E41" s="189">
        <v>840110400.02999997</v>
      </c>
      <c r="F41" s="189">
        <v>661914176.24000001</v>
      </c>
      <c r="G41" s="189">
        <v>605448686.23000002</v>
      </c>
      <c r="H41" s="189">
        <v>567161962.17999995</v>
      </c>
      <c r="I41" s="189">
        <v>541209831.04999995</v>
      </c>
      <c r="J41" s="189">
        <v>401715734.72000003</v>
      </c>
      <c r="K41" s="189">
        <v>530853784</v>
      </c>
      <c r="L41" s="189">
        <v>429171348.88999999</v>
      </c>
      <c r="M41" s="189">
        <v>343650431</v>
      </c>
      <c r="N41" s="189">
        <v>321448856.52999997</v>
      </c>
      <c r="O41" s="189">
        <v>325681012</v>
      </c>
      <c r="P41" s="189">
        <v>263817084.88999999</v>
      </c>
      <c r="Q41" s="189">
        <v>294047640</v>
      </c>
      <c r="R41" s="189">
        <v>377071909.24000001</v>
      </c>
      <c r="S41" s="189">
        <v>153206572</v>
      </c>
      <c r="T41" s="189">
        <v>119215007.48999999</v>
      </c>
      <c r="U41" s="189">
        <v>117893346</v>
      </c>
      <c r="V41" s="189">
        <v>157713898</v>
      </c>
      <c r="W41" s="189">
        <v>176185065</v>
      </c>
      <c r="X41" s="189">
        <v>169612210.36000001</v>
      </c>
      <c r="Y41" s="189">
        <v>172251895</v>
      </c>
      <c r="Z41" s="189">
        <v>197658612</v>
      </c>
      <c r="AA41" s="189">
        <v>202557584</v>
      </c>
      <c r="AB41" s="189">
        <v>277197172.29000002</v>
      </c>
      <c r="AC41" s="189">
        <v>327334892</v>
      </c>
      <c r="AD41" s="189">
        <v>331141194.88</v>
      </c>
      <c r="AE41" s="189">
        <v>341687563</v>
      </c>
      <c r="AF41" s="189">
        <v>276079117.23000002</v>
      </c>
      <c r="AG41" s="189">
        <v>454720263</v>
      </c>
      <c r="AH41" s="189">
        <v>153136550.43000001</v>
      </c>
      <c r="AI41" s="189">
        <v>140773892.34</v>
      </c>
      <c r="AJ41" s="189">
        <v>163371728.33000001</v>
      </c>
      <c r="AK41" s="189">
        <v>302665233.94</v>
      </c>
      <c r="AL41" s="189">
        <v>233084309.09999999</v>
      </c>
      <c r="AM41" s="189">
        <v>276692881.44</v>
      </c>
      <c r="AN41" s="189">
        <v>313269527.12</v>
      </c>
      <c r="AO41" s="189">
        <v>324349901.92000002</v>
      </c>
      <c r="AP41" s="189">
        <v>331291343.81</v>
      </c>
      <c r="AQ41" s="189">
        <v>235970617.90000001</v>
      </c>
      <c r="AR41" s="189">
        <v>42900021.619999997</v>
      </c>
      <c r="AS41" s="189">
        <v>55786424.060000002</v>
      </c>
      <c r="AT41" s="189">
        <v>75868680.170000002</v>
      </c>
      <c r="AU41" s="189">
        <v>41300474.689999998</v>
      </c>
      <c r="AV41" s="189">
        <v>21576542.41</v>
      </c>
      <c r="AW41" s="189">
        <v>15481057.560000001</v>
      </c>
      <c r="AX41" s="189">
        <v>12472302.01</v>
      </c>
      <c r="AY41" s="189">
        <v>12832369.32</v>
      </c>
      <c r="AZ41" s="189">
        <v>11767082.5</v>
      </c>
      <c r="BA41" s="189">
        <v>12552217.369999999</v>
      </c>
      <c r="BB41" s="189">
        <v>11740896</v>
      </c>
      <c r="BC41" s="189">
        <v>17949477.09</v>
      </c>
      <c r="BD41" s="189">
        <v>13277002.710000001</v>
      </c>
      <c r="BE41" s="189">
        <v>6403707.6699999999</v>
      </c>
      <c r="BF41" s="189">
        <v>19413196.66</v>
      </c>
      <c r="BG41" s="189">
        <v>22229968.399999999</v>
      </c>
      <c r="BH41" s="189">
        <v>23281006.460000001</v>
      </c>
      <c r="BI41" s="189">
        <v>3833441.49</v>
      </c>
      <c r="BJ41" s="189">
        <v>33635224.409999996</v>
      </c>
      <c r="BK41" s="189">
        <v>34351949.759999998</v>
      </c>
      <c r="BL41" s="189">
        <v>37419444.43</v>
      </c>
      <c r="BM41" s="189">
        <v>2873061.49</v>
      </c>
      <c r="BN41" s="189">
        <v>5317965.78</v>
      </c>
      <c r="BO41" s="189">
        <v>4104756.75</v>
      </c>
      <c r="BP41" s="189">
        <v>4124414.12</v>
      </c>
      <c r="BQ41" s="189">
        <v>11641053.869999999</v>
      </c>
      <c r="BR41" s="189">
        <v>4787912.03</v>
      </c>
      <c r="BS41" s="189">
        <v>10956138.9</v>
      </c>
      <c r="BT41" s="189">
        <v>10408067.26</v>
      </c>
      <c r="BU41" s="189">
        <v>4953327.55</v>
      </c>
      <c r="BV41" s="189">
        <v>2296936.9700000002</v>
      </c>
      <c r="BW41" s="189">
        <v>1581058.58</v>
      </c>
      <c r="BX41" s="189">
        <v>1544792.53</v>
      </c>
      <c r="BY41" s="189">
        <v>1258404.81</v>
      </c>
      <c r="BZ41" s="189">
        <v>0</v>
      </c>
      <c r="CA41" s="189">
        <v>14449151.310000001</v>
      </c>
      <c r="CB41" s="189">
        <v>0</v>
      </c>
      <c r="CC41" s="189">
        <v>14215909.67</v>
      </c>
      <c r="CD41" s="189">
        <v>0</v>
      </c>
      <c r="CE41" s="189">
        <v>3980810.7</v>
      </c>
      <c r="CF41" s="189">
        <v>11515482.310000001</v>
      </c>
      <c r="CG41" s="189">
        <v>0</v>
      </c>
      <c r="CH41" s="189">
        <v>0</v>
      </c>
      <c r="CI41" s="189">
        <v>0</v>
      </c>
      <c r="CJ41" s="189"/>
      <c r="CK41" s="189"/>
      <c r="CL41" s="189"/>
    </row>
    <row r="42" spans="1:90" s="39" customFormat="1">
      <c r="A42" s="124" t="s">
        <v>28</v>
      </c>
      <c r="B42" s="189">
        <v>216594306.63999999</v>
      </c>
      <c r="C42" s="189">
        <v>212378286.59999999</v>
      </c>
      <c r="D42" s="189">
        <v>207673795.5</v>
      </c>
      <c r="E42" s="189">
        <v>202047732.34</v>
      </c>
      <c r="F42" s="189">
        <v>205495180.16</v>
      </c>
      <c r="G42" s="189">
        <v>210533278.83000001</v>
      </c>
      <c r="H42" s="189">
        <v>220035499.52000001</v>
      </c>
      <c r="I42" s="189">
        <v>210811638.53</v>
      </c>
      <c r="J42" s="189">
        <v>236374270.47999999</v>
      </c>
      <c r="K42" s="189">
        <v>213413536</v>
      </c>
      <c r="L42" s="189">
        <v>188726125.02000001</v>
      </c>
      <c r="M42" s="189">
        <v>176676747</v>
      </c>
      <c r="N42" s="189">
        <v>173017632.50999999</v>
      </c>
      <c r="O42" s="189">
        <v>161815982</v>
      </c>
      <c r="P42" s="189">
        <v>164207424.37</v>
      </c>
      <c r="Q42" s="189">
        <v>0</v>
      </c>
      <c r="R42" s="189">
        <v>0</v>
      </c>
      <c r="S42" s="189">
        <v>0</v>
      </c>
      <c r="T42" s="189">
        <v>0</v>
      </c>
      <c r="U42" s="189">
        <v>0</v>
      </c>
      <c r="V42" s="189">
        <v>0</v>
      </c>
      <c r="W42" s="189">
        <v>0</v>
      </c>
      <c r="X42" s="189">
        <v>0</v>
      </c>
      <c r="Y42" s="189">
        <v>0</v>
      </c>
      <c r="Z42" s="189">
        <v>0</v>
      </c>
      <c r="AA42" s="189">
        <v>0</v>
      </c>
      <c r="AB42" s="189">
        <v>0</v>
      </c>
      <c r="AC42" s="189">
        <v>0</v>
      </c>
      <c r="AD42" s="189">
        <v>0</v>
      </c>
      <c r="AE42" s="189">
        <v>0</v>
      </c>
      <c r="AF42" s="189">
        <v>0</v>
      </c>
      <c r="AG42" s="189">
        <v>0</v>
      </c>
      <c r="AH42" s="189">
        <v>0</v>
      </c>
      <c r="AI42" s="189">
        <v>0</v>
      </c>
      <c r="AJ42" s="189">
        <v>0</v>
      </c>
      <c r="AK42" s="189">
        <v>0</v>
      </c>
      <c r="AL42" s="189">
        <v>0</v>
      </c>
      <c r="AM42" s="189">
        <v>0</v>
      </c>
      <c r="AN42" s="189">
        <v>0</v>
      </c>
      <c r="AO42" s="189">
        <v>0</v>
      </c>
      <c r="AP42" s="189">
        <v>0</v>
      </c>
      <c r="AQ42" s="189">
        <v>0</v>
      </c>
      <c r="AR42" s="189">
        <v>0</v>
      </c>
      <c r="AS42" s="189">
        <v>0</v>
      </c>
      <c r="AT42" s="189">
        <v>0</v>
      </c>
      <c r="AU42" s="189">
        <v>0</v>
      </c>
      <c r="AV42" s="189">
        <v>0</v>
      </c>
      <c r="AW42" s="189">
        <v>0</v>
      </c>
      <c r="AX42" s="189">
        <v>0</v>
      </c>
      <c r="AY42" s="189">
        <v>0</v>
      </c>
      <c r="AZ42" s="189">
        <v>0</v>
      </c>
      <c r="BA42" s="189">
        <v>0</v>
      </c>
      <c r="BB42" s="189">
        <v>0</v>
      </c>
      <c r="BC42" s="189">
        <v>0</v>
      </c>
      <c r="BD42" s="189">
        <v>0</v>
      </c>
      <c r="BE42" s="189">
        <v>0</v>
      </c>
      <c r="BF42" s="189">
        <v>0</v>
      </c>
      <c r="BG42" s="189">
        <v>0</v>
      </c>
      <c r="BH42" s="189">
        <v>0</v>
      </c>
      <c r="BI42" s="189">
        <v>0</v>
      </c>
      <c r="BJ42" s="189">
        <v>0</v>
      </c>
      <c r="BK42" s="189">
        <v>0</v>
      </c>
      <c r="BL42" s="189">
        <v>0</v>
      </c>
      <c r="BM42" s="189">
        <v>0</v>
      </c>
      <c r="BN42" s="189">
        <v>0</v>
      </c>
      <c r="BO42" s="189">
        <v>0</v>
      </c>
      <c r="BP42" s="189">
        <v>0</v>
      </c>
      <c r="BQ42" s="189">
        <v>0</v>
      </c>
      <c r="BR42" s="189">
        <v>0</v>
      </c>
      <c r="BS42" s="189">
        <v>0</v>
      </c>
      <c r="BT42" s="189">
        <v>0</v>
      </c>
      <c r="BU42" s="189">
        <v>0</v>
      </c>
      <c r="BV42" s="189">
        <v>0</v>
      </c>
      <c r="BW42" s="189">
        <v>0</v>
      </c>
      <c r="BX42" s="189">
        <v>0</v>
      </c>
      <c r="BY42" s="189">
        <v>0</v>
      </c>
      <c r="BZ42" s="189">
        <v>0</v>
      </c>
      <c r="CA42" s="189">
        <v>0</v>
      </c>
      <c r="CB42" s="189">
        <v>0</v>
      </c>
      <c r="CC42" s="189">
        <v>0</v>
      </c>
      <c r="CD42" s="189">
        <v>0</v>
      </c>
      <c r="CE42" s="189">
        <v>0</v>
      </c>
      <c r="CF42" s="189">
        <v>0</v>
      </c>
      <c r="CG42" s="189">
        <v>0</v>
      </c>
      <c r="CH42" s="189">
        <v>0</v>
      </c>
      <c r="CI42" s="189">
        <v>0</v>
      </c>
      <c r="CJ42" s="189"/>
      <c r="CK42" s="189"/>
      <c r="CL42" s="189"/>
    </row>
    <row r="43" spans="1:90">
      <c r="A43" s="17" t="s">
        <v>29</v>
      </c>
      <c r="B43" s="189">
        <v>1086398008.6199999</v>
      </c>
      <c r="C43" s="189">
        <v>1227426910.3900001</v>
      </c>
      <c r="D43" s="189">
        <v>1345824559.3199999</v>
      </c>
      <c r="E43" s="189">
        <v>606944127.74000001</v>
      </c>
      <c r="F43" s="189">
        <v>1087489664.48</v>
      </c>
      <c r="G43" s="189">
        <v>808264908.46000004</v>
      </c>
      <c r="H43" s="189">
        <v>456711515.11000001</v>
      </c>
      <c r="I43" s="189">
        <v>571740460.77999997</v>
      </c>
      <c r="J43" s="189">
        <v>331838833.63999999</v>
      </c>
      <c r="K43" s="189">
        <v>277868326</v>
      </c>
      <c r="L43" s="189">
        <v>394022696.37</v>
      </c>
      <c r="M43" s="189">
        <v>506129438</v>
      </c>
      <c r="N43" s="189">
        <v>370064960.62</v>
      </c>
      <c r="O43" s="189">
        <v>379170699</v>
      </c>
      <c r="P43" s="189">
        <v>344485741.14999998</v>
      </c>
      <c r="Q43" s="189">
        <v>362719306</v>
      </c>
      <c r="R43" s="189">
        <v>267955011.25</v>
      </c>
      <c r="S43" s="189">
        <v>0</v>
      </c>
      <c r="T43" s="189">
        <v>0</v>
      </c>
      <c r="U43" s="189">
        <v>0</v>
      </c>
      <c r="V43" s="189">
        <v>0</v>
      </c>
      <c r="W43" s="189">
        <v>0</v>
      </c>
      <c r="X43" s="189">
        <v>0</v>
      </c>
      <c r="Y43" s="189">
        <v>0</v>
      </c>
      <c r="Z43" s="189">
        <v>0</v>
      </c>
      <c r="AA43" s="189">
        <v>0</v>
      </c>
      <c r="AB43" s="189">
        <v>0</v>
      </c>
      <c r="AC43" s="189">
        <v>0</v>
      </c>
      <c r="AD43" s="189">
        <v>0</v>
      </c>
      <c r="AE43" s="189">
        <v>0</v>
      </c>
      <c r="AF43" s="189">
        <v>0</v>
      </c>
      <c r="AG43" s="189">
        <v>0</v>
      </c>
      <c r="AH43" s="189">
        <v>0</v>
      </c>
      <c r="AI43" s="189">
        <v>0</v>
      </c>
      <c r="AJ43" s="189">
        <v>0</v>
      </c>
      <c r="AK43" s="189">
        <v>0</v>
      </c>
      <c r="AL43" s="189">
        <v>0</v>
      </c>
      <c r="AM43" s="189">
        <v>0</v>
      </c>
      <c r="AN43" s="189">
        <v>0</v>
      </c>
      <c r="AO43" s="189">
        <v>0</v>
      </c>
      <c r="AP43" s="189">
        <v>0</v>
      </c>
      <c r="AQ43" s="189">
        <v>0</v>
      </c>
      <c r="AR43" s="189">
        <v>0</v>
      </c>
      <c r="AS43" s="189">
        <v>0</v>
      </c>
      <c r="AT43" s="189">
        <v>0</v>
      </c>
      <c r="AU43" s="189">
        <v>0</v>
      </c>
      <c r="AV43" s="189">
        <v>0</v>
      </c>
      <c r="AW43" s="189">
        <v>0</v>
      </c>
      <c r="AX43" s="189">
        <v>0</v>
      </c>
      <c r="AY43" s="189">
        <v>0</v>
      </c>
      <c r="AZ43" s="189">
        <v>0</v>
      </c>
      <c r="BA43" s="189">
        <v>0</v>
      </c>
      <c r="BB43" s="189">
        <v>0</v>
      </c>
      <c r="BC43" s="189">
        <v>0</v>
      </c>
      <c r="BD43" s="189">
        <v>0</v>
      </c>
      <c r="BE43" s="189">
        <v>0</v>
      </c>
      <c r="BF43" s="189">
        <v>0</v>
      </c>
      <c r="BG43" s="189">
        <v>0</v>
      </c>
      <c r="BH43" s="189">
        <v>0</v>
      </c>
      <c r="BI43" s="189">
        <v>0</v>
      </c>
      <c r="BJ43" s="189">
        <v>0</v>
      </c>
      <c r="BK43" s="189">
        <v>0</v>
      </c>
      <c r="BL43" s="189">
        <v>0</v>
      </c>
      <c r="BM43" s="189">
        <v>0</v>
      </c>
      <c r="BN43" s="189">
        <v>0</v>
      </c>
      <c r="BO43" s="189">
        <v>0</v>
      </c>
      <c r="BP43" s="189">
        <v>0</v>
      </c>
      <c r="BQ43" s="189">
        <v>0</v>
      </c>
      <c r="BR43" s="189">
        <v>0</v>
      </c>
      <c r="BS43" s="189">
        <v>0</v>
      </c>
      <c r="BT43" s="189">
        <v>0</v>
      </c>
      <c r="BU43" s="189">
        <v>0</v>
      </c>
      <c r="BV43" s="189">
        <v>0</v>
      </c>
      <c r="BW43" s="189">
        <v>0</v>
      </c>
      <c r="BX43" s="189">
        <v>0</v>
      </c>
      <c r="BY43" s="189">
        <v>0</v>
      </c>
      <c r="BZ43" s="189">
        <v>0</v>
      </c>
      <c r="CA43" s="189">
        <v>0</v>
      </c>
      <c r="CB43" s="189">
        <v>0</v>
      </c>
      <c r="CC43" s="189">
        <v>0</v>
      </c>
      <c r="CD43" s="189">
        <v>0</v>
      </c>
      <c r="CE43" s="189">
        <v>0</v>
      </c>
      <c r="CF43" s="189">
        <v>0</v>
      </c>
      <c r="CG43" s="189">
        <v>0</v>
      </c>
      <c r="CH43" s="189">
        <v>0</v>
      </c>
      <c r="CI43" s="189">
        <v>0</v>
      </c>
      <c r="CJ43" s="189"/>
      <c r="CK43" s="189"/>
      <c r="CL43" s="189"/>
    </row>
    <row r="44" spans="1:90">
      <c r="A44" s="17" t="s">
        <v>30</v>
      </c>
      <c r="B44" s="189">
        <v>0</v>
      </c>
      <c r="C44" s="189">
        <v>191600000</v>
      </c>
      <c r="D44" s="189">
        <v>191600000</v>
      </c>
      <c r="E44" s="189">
        <v>191600000</v>
      </c>
      <c r="F44" s="189">
        <v>191600000</v>
      </c>
      <c r="G44" s="189">
        <v>191600000</v>
      </c>
      <c r="H44" s="189">
        <v>191600000</v>
      </c>
      <c r="I44" s="189">
        <v>191600000</v>
      </c>
      <c r="J44" s="189">
        <v>191600000</v>
      </c>
      <c r="K44" s="189">
        <v>191600000</v>
      </c>
      <c r="L44" s="189">
        <v>191600000</v>
      </c>
      <c r="M44" s="189">
        <v>191600000</v>
      </c>
      <c r="N44" s="189">
        <v>191600000</v>
      </c>
      <c r="O44" s="189">
        <v>191600000</v>
      </c>
      <c r="P44" s="189">
        <v>191600000</v>
      </c>
      <c r="Q44" s="189">
        <v>191600000</v>
      </c>
      <c r="R44" s="189">
        <v>191600000</v>
      </c>
      <c r="S44" s="189">
        <v>191600000</v>
      </c>
      <c r="T44" s="189">
        <v>191600000</v>
      </c>
      <c r="U44" s="189">
        <v>191600000</v>
      </c>
      <c r="V44" s="189">
        <v>191600000</v>
      </c>
      <c r="W44" s="189">
        <v>191600000</v>
      </c>
      <c r="X44" s="189">
        <v>191600000</v>
      </c>
      <c r="Y44" s="189">
        <v>191600000</v>
      </c>
      <c r="Z44" s="189">
        <v>191600000</v>
      </c>
      <c r="AA44" s="189">
        <v>191600000</v>
      </c>
      <c r="AB44" s="189">
        <v>191600000</v>
      </c>
      <c r="AC44" s="189">
        <v>191600000</v>
      </c>
      <c r="AD44" s="189">
        <v>191600000</v>
      </c>
      <c r="AE44" s="189">
        <v>191600000</v>
      </c>
      <c r="AF44" s="189">
        <v>191600000</v>
      </c>
      <c r="AG44" s="189">
        <v>191600000</v>
      </c>
      <c r="AH44" s="189">
        <v>114185253.81999999</v>
      </c>
      <c r="AI44" s="189">
        <v>124194462.2</v>
      </c>
      <c r="AJ44" s="189">
        <v>64524942.340000004</v>
      </c>
      <c r="AK44" s="189">
        <v>64031457.93</v>
      </c>
      <c r="AL44" s="189">
        <v>85151457.930000007</v>
      </c>
      <c r="AM44" s="189">
        <v>32151457.93</v>
      </c>
      <c r="AN44" s="189">
        <v>31221457.93</v>
      </c>
      <c r="AO44" s="189">
        <v>26221457.93</v>
      </c>
      <c r="AP44" s="189">
        <v>20240537.609999999</v>
      </c>
      <c r="AQ44" s="189">
        <v>18314614.530000001</v>
      </c>
      <c r="AR44" s="189">
        <v>13357079.68</v>
      </c>
      <c r="AS44" s="189">
        <v>13357079.68</v>
      </c>
      <c r="AT44" s="189">
        <v>13397079.68</v>
      </c>
      <c r="AU44" s="189">
        <v>7197079.6799999997</v>
      </c>
      <c r="AV44" s="189">
        <v>6897079.6799999997</v>
      </c>
      <c r="AW44" s="189">
        <v>3897079.68</v>
      </c>
      <c r="AX44" s="189">
        <v>3897079.68</v>
      </c>
      <c r="AY44" s="189">
        <v>3897079.68</v>
      </c>
      <c r="AZ44" s="189">
        <v>3897079.68</v>
      </c>
      <c r="BA44" s="189">
        <v>3897079.68</v>
      </c>
      <c r="BB44" s="189">
        <v>3697079.68</v>
      </c>
      <c r="BC44" s="189">
        <v>3697079.68</v>
      </c>
      <c r="BD44" s="189">
        <v>3697079.68</v>
      </c>
      <c r="BE44" s="189">
        <v>3697079.68</v>
      </c>
      <c r="BF44" s="189">
        <v>3697079.68</v>
      </c>
      <c r="BG44" s="189">
        <v>3735575.4</v>
      </c>
      <c r="BH44" s="189">
        <v>3349575.4</v>
      </c>
      <c r="BI44" s="189">
        <v>3379575.4</v>
      </c>
      <c r="BJ44" s="189">
        <v>1383800</v>
      </c>
      <c r="BK44" s="189">
        <v>1407800</v>
      </c>
      <c r="BL44" s="189">
        <v>1471000</v>
      </c>
      <c r="BM44" s="189">
        <v>1471000</v>
      </c>
      <c r="BN44" s="189">
        <v>0</v>
      </c>
      <c r="BO44" s="189">
        <v>0</v>
      </c>
      <c r="BP44" s="189">
        <v>0</v>
      </c>
      <c r="BQ44" s="189">
        <v>0</v>
      </c>
      <c r="BR44" s="189">
        <v>0</v>
      </c>
      <c r="BS44" s="189">
        <v>0</v>
      </c>
      <c r="BT44" s="189">
        <v>0</v>
      </c>
      <c r="BU44" s="189">
        <v>0</v>
      </c>
      <c r="BV44" s="189">
        <v>0</v>
      </c>
      <c r="BW44" s="189">
        <v>0</v>
      </c>
      <c r="BX44" s="189">
        <v>0</v>
      </c>
      <c r="BY44" s="189">
        <v>0</v>
      </c>
      <c r="BZ44" s="189">
        <v>0</v>
      </c>
      <c r="CA44" s="189">
        <v>0</v>
      </c>
      <c r="CB44" s="189">
        <v>0</v>
      </c>
      <c r="CC44" s="189">
        <v>0</v>
      </c>
      <c r="CD44" s="189">
        <v>0</v>
      </c>
      <c r="CE44" s="189">
        <v>0</v>
      </c>
      <c r="CF44" s="189">
        <v>0</v>
      </c>
      <c r="CG44" s="189">
        <v>0</v>
      </c>
      <c r="CH44" s="189">
        <v>0</v>
      </c>
      <c r="CI44" s="189">
        <v>0</v>
      </c>
      <c r="CJ44" s="189"/>
      <c r="CK44" s="189"/>
      <c r="CL44" s="189"/>
    </row>
    <row r="45" spans="1:90">
      <c r="A45" s="17" t="s">
        <v>31</v>
      </c>
      <c r="B45" s="189">
        <v>647765297.58000004</v>
      </c>
      <c r="C45" s="189">
        <v>788529587.30999994</v>
      </c>
      <c r="D45" s="189">
        <v>363317429.73000002</v>
      </c>
      <c r="E45" s="189">
        <v>451901768.47000003</v>
      </c>
      <c r="F45" s="189">
        <v>0</v>
      </c>
      <c r="G45" s="189">
        <v>0</v>
      </c>
      <c r="H45" s="189">
        <v>0</v>
      </c>
      <c r="I45" s="189">
        <v>0</v>
      </c>
      <c r="J45" s="189">
        <v>0</v>
      </c>
      <c r="K45" s="189">
        <v>0</v>
      </c>
      <c r="L45" s="189">
        <v>0</v>
      </c>
      <c r="M45" s="189">
        <v>0</v>
      </c>
      <c r="N45" s="189">
        <v>0</v>
      </c>
      <c r="O45" s="189">
        <v>0</v>
      </c>
      <c r="P45" s="189">
        <v>0</v>
      </c>
      <c r="Q45" s="189">
        <v>0</v>
      </c>
      <c r="R45" s="189">
        <v>0</v>
      </c>
      <c r="S45" s="189">
        <v>0</v>
      </c>
      <c r="T45" s="189">
        <v>0</v>
      </c>
      <c r="U45" s="189">
        <v>0</v>
      </c>
      <c r="V45" s="189">
        <v>0</v>
      </c>
      <c r="W45" s="189">
        <v>0</v>
      </c>
      <c r="X45" s="189">
        <v>0</v>
      </c>
      <c r="Y45" s="189">
        <v>0</v>
      </c>
      <c r="Z45" s="189">
        <v>0</v>
      </c>
      <c r="AA45" s="189">
        <v>0</v>
      </c>
      <c r="AB45" s="189">
        <v>0</v>
      </c>
      <c r="AC45" s="189">
        <v>0</v>
      </c>
      <c r="AD45" s="189">
        <v>0</v>
      </c>
      <c r="AE45" s="189">
        <v>0</v>
      </c>
      <c r="AF45" s="189">
        <v>0</v>
      </c>
      <c r="AG45" s="189">
        <v>0</v>
      </c>
      <c r="AH45" s="189">
        <v>0</v>
      </c>
      <c r="AI45" s="189">
        <v>0</v>
      </c>
      <c r="AJ45" s="189">
        <v>0</v>
      </c>
      <c r="AK45" s="189">
        <v>0</v>
      </c>
      <c r="AL45" s="189">
        <v>0</v>
      </c>
      <c r="AM45" s="189">
        <v>0</v>
      </c>
      <c r="AN45" s="189">
        <v>0</v>
      </c>
      <c r="AO45" s="189">
        <v>0</v>
      </c>
      <c r="AP45" s="189">
        <v>0</v>
      </c>
      <c r="AQ45" s="189">
        <v>0</v>
      </c>
      <c r="AR45" s="189">
        <v>0</v>
      </c>
      <c r="AS45" s="189">
        <v>0</v>
      </c>
      <c r="AT45" s="189">
        <v>0</v>
      </c>
      <c r="AU45" s="189">
        <v>0</v>
      </c>
      <c r="AV45" s="189">
        <v>0</v>
      </c>
      <c r="AW45" s="189">
        <v>0</v>
      </c>
      <c r="AX45" s="189">
        <v>0</v>
      </c>
      <c r="AY45" s="189">
        <v>0</v>
      </c>
      <c r="AZ45" s="189">
        <v>0</v>
      </c>
      <c r="BA45" s="189">
        <v>0</v>
      </c>
      <c r="BB45" s="189">
        <v>0</v>
      </c>
      <c r="BC45" s="189">
        <v>0</v>
      </c>
      <c r="BD45" s="189">
        <v>0</v>
      </c>
      <c r="BE45" s="189">
        <v>0</v>
      </c>
      <c r="BF45" s="189">
        <v>0</v>
      </c>
      <c r="BG45" s="189">
        <v>0</v>
      </c>
      <c r="BH45" s="189">
        <v>0</v>
      </c>
      <c r="BI45" s="189">
        <v>0</v>
      </c>
      <c r="BJ45" s="189">
        <v>0</v>
      </c>
      <c r="BK45" s="189">
        <v>0</v>
      </c>
      <c r="BL45" s="189">
        <v>0</v>
      </c>
      <c r="BM45" s="189">
        <v>0</v>
      </c>
      <c r="BN45" s="189">
        <v>0</v>
      </c>
      <c r="BO45" s="189">
        <v>0</v>
      </c>
      <c r="BP45" s="189">
        <v>0</v>
      </c>
      <c r="BQ45" s="189">
        <v>0</v>
      </c>
      <c r="BR45" s="189">
        <v>0</v>
      </c>
      <c r="BS45" s="189">
        <v>0</v>
      </c>
      <c r="BT45" s="189">
        <v>0</v>
      </c>
      <c r="BU45" s="189">
        <v>0</v>
      </c>
      <c r="BV45" s="189">
        <v>0</v>
      </c>
      <c r="BW45" s="189">
        <v>0</v>
      </c>
      <c r="BX45" s="189">
        <v>0</v>
      </c>
      <c r="BY45" s="189">
        <v>0</v>
      </c>
      <c r="BZ45" s="189">
        <v>0</v>
      </c>
      <c r="CA45" s="189">
        <v>0</v>
      </c>
      <c r="CB45" s="189">
        <v>0</v>
      </c>
      <c r="CC45" s="189">
        <v>0</v>
      </c>
      <c r="CD45" s="189">
        <v>0</v>
      </c>
      <c r="CE45" s="189">
        <v>0</v>
      </c>
      <c r="CF45" s="189">
        <v>212304.41</v>
      </c>
      <c r="CG45" s="189">
        <v>0</v>
      </c>
      <c r="CH45" s="189">
        <v>0</v>
      </c>
      <c r="CI45" s="189">
        <v>0</v>
      </c>
      <c r="CJ45" s="189"/>
      <c r="CK45" s="189"/>
      <c r="CL45" s="189"/>
    </row>
    <row r="46" spans="1:90" ht="14.45" hidden="1">
      <c r="B46" s="26"/>
      <c r="C46" s="26"/>
      <c r="D46" s="26"/>
      <c r="E46" s="26"/>
      <c r="F46" s="26"/>
      <c r="G46" s="26"/>
      <c r="H46" s="26"/>
      <c r="I46" s="26"/>
      <c r="J46" s="26"/>
      <c r="K46" s="26"/>
      <c r="L46" s="23"/>
    </row>
    <row r="47" spans="1:90" ht="14.45" hidden="1">
      <c r="B47" s="26"/>
      <c r="C47" s="26"/>
      <c r="D47" s="26"/>
      <c r="E47" s="26"/>
      <c r="F47" s="26"/>
      <c r="G47" s="26"/>
      <c r="H47" s="26"/>
      <c r="I47" s="26"/>
      <c r="J47" s="26"/>
      <c r="K47" s="26"/>
      <c r="L47" s="23"/>
    </row>
    <row r="48" spans="1:90" ht="14.45" hidden="1">
      <c r="B48" s="26"/>
      <c r="C48" s="26"/>
      <c r="D48" s="26"/>
      <c r="E48" s="26"/>
      <c r="F48" s="26"/>
      <c r="G48" s="26"/>
      <c r="H48" s="26"/>
      <c r="I48" s="26"/>
      <c r="J48" s="26"/>
      <c r="K48" s="26"/>
      <c r="L48" s="23"/>
    </row>
    <row r="49" spans="1:90" s="10" customFormat="1">
      <c r="A49" s="123" t="s">
        <v>32</v>
      </c>
      <c r="B49" s="35">
        <f>SUM(B35:B41)+SUM(B43:B45)</f>
        <v>5753118326.54</v>
      </c>
      <c r="C49" s="35">
        <f>SUM(C35:C41)+SUM(C43:C45)</f>
        <v>13368449242.09</v>
      </c>
      <c r="D49" s="35">
        <f>SUM(D35:D41)+SUM(D43:D45)</f>
        <v>12828493621.299999</v>
      </c>
      <c r="E49" s="35">
        <f>SUM(E35:E45)</f>
        <v>7965894197.4000006</v>
      </c>
      <c r="F49" s="35">
        <f t="shared" ref="F49:BQ49" si="4">SUM(F35:F45)</f>
        <v>7218259335.7099991</v>
      </c>
      <c r="G49" s="35">
        <f t="shared" si="4"/>
        <v>5462063185.6500006</v>
      </c>
      <c r="H49" s="35">
        <f t="shared" si="4"/>
        <v>4902479847.9799995</v>
      </c>
      <c r="I49" s="35">
        <f t="shared" si="4"/>
        <v>6109250950.9399996</v>
      </c>
      <c r="J49" s="35">
        <f t="shared" si="4"/>
        <v>5300415491.3500004</v>
      </c>
      <c r="K49" s="35">
        <f t="shared" si="4"/>
        <v>3849777198</v>
      </c>
      <c r="L49" s="35">
        <f t="shared" si="4"/>
        <v>4202468418.7699995</v>
      </c>
      <c r="M49" s="35">
        <f t="shared" si="4"/>
        <v>5773316634</v>
      </c>
      <c r="N49" s="35">
        <f t="shared" si="4"/>
        <v>4483636353.5</v>
      </c>
      <c r="O49" s="35">
        <f t="shared" si="4"/>
        <v>4031553651</v>
      </c>
      <c r="P49" s="35">
        <f t="shared" si="4"/>
        <v>4265940811.2099996</v>
      </c>
      <c r="Q49" s="35">
        <f t="shared" si="4"/>
        <v>3979668736</v>
      </c>
      <c r="R49" s="35">
        <f t="shared" si="4"/>
        <v>4433015267.7699995</v>
      </c>
      <c r="S49" s="35">
        <f t="shared" si="4"/>
        <v>1747239154</v>
      </c>
      <c r="T49" s="35">
        <f t="shared" si="4"/>
        <v>1513755056.5700002</v>
      </c>
      <c r="U49" s="35">
        <f t="shared" si="4"/>
        <v>1878607633</v>
      </c>
      <c r="V49" s="35">
        <f t="shared" si="4"/>
        <v>1507341591</v>
      </c>
      <c r="W49" s="35">
        <f t="shared" si="4"/>
        <v>1435943210</v>
      </c>
      <c r="X49" s="35">
        <f t="shared" si="4"/>
        <v>1428501628.4700003</v>
      </c>
      <c r="Y49" s="35">
        <f t="shared" si="4"/>
        <v>1411759859</v>
      </c>
      <c r="Z49" s="35">
        <f t="shared" si="4"/>
        <v>1350250846</v>
      </c>
      <c r="AA49" s="35">
        <f t="shared" si="4"/>
        <v>1327246919</v>
      </c>
      <c r="AB49" s="35">
        <f t="shared" si="4"/>
        <v>1292136246.95</v>
      </c>
      <c r="AC49" s="35">
        <f t="shared" si="4"/>
        <v>1380967991</v>
      </c>
      <c r="AD49" s="35">
        <f t="shared" si="4"/>
        <v>1369877517.4300001</v>
      </c>
      <c r="AE49" s="35">
        <f t="shared" si="4"/>
        <v>1321902337</v>
      </c>
      <c r="AF49" s="35">
        <f t="shared" si="4"/>
        <v>1430137966.23</v>
      </c>
      <c r="AG49" s="35">
        <f t="shared" si="4"/>
        <v>1586202060</v>
      </c>
      <c r="AH49" s="35">
        <f t="shared" si="4"/>
        <v>1015267205.6200001</v>
      </c>
      <c r="AI49" s="35">
        <f t="shared" si="4"/>
        <v>972183871.62</v>
      </c>
      <c r="AJ49" s="35">
        <f t="shared" si="4"/>
        <v>722190367.32999992</v>
      </c>
      <c r="AK49" s="35">
        <f t="shared" si="4"/>
        <v>814755737.55999994</v>
      </c>
      <c r="AL49" s="35">
        <f t="shared" si="4"/>
        <v>928548885.08000016</v>
      </c>
      <c r="AM49" s="35">
        <f t="shared" si="4"/>
        <v>824678137.29000008</v>
      </c>
      <c r="AN49" s="35">
        <f t="shared" si="4"/>
        <v>677751956.57000005</v>
      </c>
      <c r="AO49" s="35">
        <f t="shared" si="4"/>
        <v>748474359.38999999</v>
      </c>
      <c r="AP49" s="35">
        <f t="shared" si="4"/>
        <v>913877860.93999994</v>
      </c>
      <c r="AQ49" s="35">
        <f t="shared" si="4"/>
        <v>702781057.33000004</v>
      </c>
      <c r="AR49" s="35">
        <f t="shared" si="4"/>
        <v>504621603.50999999</v>
      </c>
      <c r="AS49" s="35">
        <f t="shared" si="4"/>
        <v>507091303.15000004</v>
      </c>
      <c r="AT49" s="35">
        <f t="shared" si="4"/>
        <v>437533811.74000001</v>
      </c>
      <c r="AU49" s="35">
        <f t="shared" si="4"/>
        <v>378655147.95999998</v>
      </c>
      <c r="AV49" s="35">
        <f t="shared" si="4"/>
        <v>322247928.72000003</v>
      </c>
      <c r="AW49" s="35">
        <f t="shared" si="4"/>
        <v>305470104.42000002</v>
      </c>
      <c r="AX49" s="35">
        <f t="shared" si="4"/>
        <v>260160141.47</v>
      </c>
      <c r="AY49" s="35">
        <f t="shared" si="4"/>
        <v>260522531.94999999</v>
      </c>
      <c r="AZ49" s="35">
        <f t="shared" si="4"/>
        <v>219323100.83999997</v>
      </c>
      <c r="BA49" s="35">
        <f t="shared" si="4"/>
        <v>210550326.79000002</v>
      </c>
      <c r="BB49" s="35">
        <f t="shared" si="4"/>
        <v>139822398.22000003</v>
      </c>
      <c r="BC49" s="35">
        <f t="shared" si="4"/>
        <v>196449260.66</v>
      </c>
      <c r="BD49" s="35">
        <f t="shared" si="4"/>
        <v>184518295.31</v>
      </c>
      <c r="BE49" s="35">
        <f t="shared" si="4"/>
        <v>267238653.38</v>
      </c>
      <c r="BF49" s="35">
        <f t="shared" si="4"/>
        <v>169331343.94</v>
      </c>
      <c r="BG49" s="35">
        <f t="shared" si="4"/>
        <v>195934105.28</v>
      </c>
      <c r="BH49" s="35">
        <f t="shared" si="4"/>
        <v>154196150.87</v>
      </c>
      <c r="BI49" s="35">
        <f t="shared" si="4"/>
        <v>136808132.08999997</v>
      </c>
      <c r="BJ49" s="35">
        <f t="shared" si="4"/>
        <v>137788572.89999998</v>
      </c>
      <c r="BK49" s="35">
        <f t="shared" si="4"/>
        <v>104881987.34</v>
      </c>
      <c r="BL49" s="35">
        <f t="shared" si="4"/>
        <v>105361139.46000001</v>
      </c>
      <c r="BM49" s="35">
        <f t="shared" si="4"/>
        <v>78265217</v>
      </c>
      <c r="BN49" s="35">
        <f t="shared" si="4"/>
        <v>49676373.910000004</v>
      </c>
      <c r="BO49" s="35">
        <f t="shared" si="4"/>
        <v>63683617.539999992</v>
      </c>
      <c r="BP49" s="35">
        <f t="shared" si="4"/>
        <v>40429867.329999991</v>
      </c>
      <c r="BQ49" s="35">
        <f t="shared" si="4"/>
        <v>32627955.780000001</v>
      </c>
      <c r="BR49" s="35">
        <f t="shared" ref="BR49:CK49" si="5">SUM(BR35:BR45)</f>
        <v>53893251.950000003</v>
      </c>
      <c r="BS49" s="35">
        <f t="shared" si="5"/>
        <v>64862564.07</v>
      </c>
      <c r="BT49" s="35">
        <f t="shared" si="5"/>
        <v>48562408.730000004</v>
      </c>
      <c r="BU49" s="35">
        <f t="shared" si="5"/>
        <v>32845323.300000001</v>
      </c>
      <c r="BV49" s="35">
        <f t="shared" si="5"/>
        <v>52291626.969999999</v>
      </c>
      <c r="BW49" s="35">
        <f t="shared" si="5"/>
        <v>18617406.299999997</v>
      </c>
      <c r="BX49" s="35">
        <f t="shared" si="5"/>
        <v>12537547.74</v>
      </c>
      <c r="BY49" s="35">
        <f t="shared" si="5"/>
        <v>31912517.249999996</v>
      </c>
      <c r="BZ49" s="35">
        <f t="shared" si="5"/>
        <v>0</v>
      </c>
      <c r="CA49" s="35">
        <f t="shared" si="5"/>
        <v>29336776.770000003</v>
      </c>
      <c r="CB49" s="35">
        <f t="shared" si="5"/>
        <v>0</v>
      </c>
      <c r="CC49" s="35">
        <f t="shared" si="5"/>
        <v>30752681.489999998</v>
      </c>
      <c r="CD49" s="35">
        <f t="shared" si="5"/>
        <v>0</v>
      </c>
      <c r="CE49" s="35">
        <f t="shared" si="5"/>
        <v>25874462.969999995</v>
      </c>
      <c r="CF49" s="35">
        <f t="shared" si="5"/>
        <v>21194775.320000004</v>
      </c>
      <c r="CG49" s="35">
        <f t="shared" si="5"/>
        <v>0</v>
      </c>
      <c r="CH49" s="35">
        <f t="shared" si="5"/>
        <v>0</v>
      </c>
      <c r="CI49" s="35">
        <f t="shared" si="5"/>
        <v>0</v>
      </c>
      <c r="CJ49" s="35">
        <f t="shared" si="5"/>
        <v>0</v>
      </c>
      <c r="CK49" s="35">
        <f t="shared" si="5"/>
        <v>0</v>
      </c>
    </row>
    <row r="50" spans="1:90" s="15" customFormat="1">
      <c r="A50" s="125" t="s">
        <v>81</v>
      </c>
      <c r="B50" s="36">
        <f>B33-B49</f>
        <v>5797393516.0999994</v>
      </c>
      <c r="C50" s="36">
        <f t="shared" ref="C50:BN50" si="6">C33-C49</f>
        <v>-1749077720.4599991</v>
      </c>
      <c r="D50" s="36">
        <f t="shared" si="6"/>
        <v>-1762232869.6699982</v>
      </c>
      <c r="E50" s="36">
        <f t="shared" si="6"/>
        <v>-967677660.50000095</v>
      </c>
      <c r="F50" s="36">
        <f t="shared" si="6"/>
        <v>-801948184.0899992</v>
      </c>
      <c r="G50" s="36">
        <f t="shared" si="6"/>
        <v>124240979.93000031</v>
      </c>
      <c r="H50" s="36">
        <f t="shared" si="6"/>
        <v>407748499.83000088</v>
      </c>
      <c r="I50" s="36">
        <f t="shared" si="6"/>
        <v>-1156521867.8199997</v>
      </c>
      <c r="J50" s="36">
        <f t="shared" si="6"/>
        <v>-547103967.65000057</v>
      </c>
      <c r="K50" s="36">
        <f t="shared" si="6"/>
        <v>476647258</v>
      </c>
      <c r="L50" s="36">
        <f t="shared" si="6"/>
        <v>69402741.039999962</v>
      </c>
      <c r="M50" s="36">
        <f t="shared" si="6"/>
        <v>-1854043722</v>
      </c>
      <c r="N50" s="36">
        <f t="shared" si="6"/>
        <v>-293448911.54999971</v>
      </c>
      <c r="O50" s="36">
        <f t="shared" si="6"/>
        <v>280833532</v>
      </c>
      <c r="P50" s="36">
        <f t="shared" si="6"/>
        <v>-39908694.049999237</v>
      </c>
      <c r="Q50" s="36">
        <f t="shared" si="6"/>
        <v>362364462</v>
      </c>
      <c r="R50" s="36">
        <f t="shared" si="6"/>
        <v>430783910.51000023</v>
      </c>
      <c r="S50" s="36">
        <f t="shared" si="6"/>
        <v>216920846</v>
      </c>
      <c r="T50" s="36">
        <f t="shared" si="6"/>
        <v>252518587.07999992</v>
      </c>
      <c r="U50" s="36">
        <f t="shared" si="6"/>
        <v>8437778</v>
      </c>
      <c r="V50" s="36">
        <f t="shared" si="6"/>
        <v>673068471</v>
      </c>
      <c r="W50" s="36">
        <f t="shared" si="6"/>
        <v>317686036</v>
      </c>
      <c r="X50" s="36">
        <f t="shared" si="6"/>
        <v>393565817.28999972</v>
      </c>
      <c r="Y50" s="36">
        <f t="shared" si="6"/>
        <v>307344207</v>
      </c>
      <c r="Z50" s="36">
        <f t="shared" si="6"/>
        <v>740662834</v>
      </c>
      <c r="AA50" s="36">
        <f t="shared" si="6"/>
        <v>610894785</v>
      </c>
      <c r="AB50" s="36">
        <f t="shared" si="6"/>
        <v>216637428.80999994</v>
      </c>
      <c r="AC50" s="36">
        <f t="shared" si="6"/>
        <v>287594810</v>
      </c>
      <c r="AD50" s="36">
        <f t="shared" si="6"/>
        <v>229067601.52999973</v>
      </c>
      <c r="AE50" s="36">
        <f t="shared" si="6"/>
        <v>268860262</v>
      </c>
      <c r="AF50" s="36">
        <f t="shared" si="6"/>
        <v>129903909.18999982</v>
      </c>
      <c r="AG50" s="36">
        <f t="shared" si="6"/>
        <v>-125447579</v>
      </c>
      <c r="AH50" s="36">
        <f t="shared" si="6"/>
        <v>239740152.83999991</v>
      </c>
      <c r="AI50" s="36">
        <f t="shared" si="6"/>
        <v>92884912.449999928</v>
      </c>
      <c r="AJ50" s="36">
        <f t="shared" si="6"/>
        <v>134910390.32000005</v>
      </c>
      <c r="AK50" s="36">
        <f t="shared" si="6"/>
        <v>-113966091.47000003</v>
      </c>
      <c r="AL50" s="36">
        <f t="shared" si="6"/>
        <v>-196394255.98000014</v>
      </c>
      <c r="AM50" s="36">
        <f t="shared" si="6"/>
        <v>-150218391.84000003</v>
      </c>
      <c r="AN50" s="36">
        <f t="shared" si="6"/>
        <v>-73983306.860000014</v>
      </c>
      <c r="AO50" s="36">
        <f t="shared" si="6"/>
        <v>-48474019.860000014</v>
      </c>
      <c r="AP50" s="36">
        <f t="shared" si="6"/>
        <v>216832183.69999993</v>
      </c>
      <c r="AQ50" s="36">
        <f t="shared" si="6"/>
        <v>422192966.77999985</v>
      </c>
      <c r="AR50" s="36">
        <f t="shared" si="6"/>
        <v>604101707.89999986</v>
      </c>
      <c r="AS50" s="36">
        <f t="shared" si="6"/>
        <v>462522057.86999995</v>
      </c>
      <c r="AT50" s="36">
        <f t="shared" si="6"/>
        <v>374340214.52999997</v>
      </c>
      <c r="AU50" s="36">
        <f t="shared" si="6"/>
        <v>344021710.82999998</v>
      </c>
      <c r="AV50" s="36">
        <f t="shared" si="6"/>
        <v>355967319.96000004</v>
      </c>
      <c r="AW50" s="36">
        <f t="shared" si="6"/>
        <v>403599683.05000001</v>
      </c>
      <c r="AX50" s="36">
        <f t="shared" si="6"/>
        <v>382704446.06999993</v>
      </c>
      <c r="AY50" s="36">
        <f t="shared" si="6"/>
        <v>452898658.90000004</v>
      </c>
      <c r="AZ50" s="36">
        <f t="shared" si="6"/>
        <v>396840364.33999997</v>
      </c>
      <c r="BA50" s="36">
        <f t="shared" si="6"/>
        <v>445897156.29999989</v>
      </c>
      <c r="BB50" s="36">
        <f t="shared" si="6"/>
        <v>412590145.04999995</v>
      </c>
      <c r="BC50" s="36">
        <f t="shared" si="6"/>
        <v>431207627.33000004</v>
      </c>
      <c r="BD50" s="36">
        <f t="shared" si="6"/>
        <v>463536408.04000002</v>
      </c>
      <c r="BE50" s="36">
        <f t="shared" si="6"/>
        <v>408385576.31000006</v>
      </c>
      <c r="BF50" s="36">
        <f t="shared" si="6"/>
        <v>455372481.09999996</v>
      </c>
      <c r="BG50" s="36">
        <f t="shared" si="6"/>
        <v>395106343.08000004</v>
      </c>
      <c r="BH50" s="36">
        <f t="shared" si="6"/>
        <v>325654437.92999995</v>
      </c>
      <c r="BI50" s="36">
        <f t="shared" si="6"/>
        <v>320145724.59000003</v>
      </c>
      <c r="BJ50" s="36">
        <f t="shared" si="6"/>
        <v>280420113.79000002</v>
      </c>
      <c r="BK50" s="36">
        <f t="shared" si="6"/>
        <v>267744625.59000006</v>
      </c>
      <c r="BL50" s="36">
        <f t="shared" si="6"/>
        <v>241228168.29999998</v>
      </c>
      <c r="BM50" s="36">
        <f t="shared" si="6"/>
        <v>221137056.56999999</v>
      </c>
      <c r="BN50" s="36">
        <f t="shared" si="6"/>
        <v>575553459.80000007</v>
      </c>
      <c r="BO50" s="36">
        <f t="shared" ref="BO50:CK50" si="7">BO33-BO49</f>
        <v>263609313.97999999</v>
      </c>
      <c r="BP50" s="36">
        <f t="shared" si="7"/>
        <v>236995502.77000004</v>
      </c>
      <c r="BQ50" s="36">
        <f t="shared" si="7"/>
        <v>227856361.63000003</v>
      </c>
      <c r="BR50" s="36">
        <f t="shared" si="7"/>
        <v>265230554.06</v>
      </c>
      <c r="BS50" s="36">
        <f t="shared" si="7"/>
        <v>262558633.85000002</v>
      </c>
      <c r="BT50" s="36">
        <f t="shared" si="7"/>
        <v>242476704.78999996</v>
      </c>
      <c r="BU50" s="36">
        <f t="shared" si="7"/>
        <v>221149523.5</v>
      </c>
      <c r="BV50" s="36">
        <f t="shared" si="7"/>
        <v>186906869.58000001</v>
      </c>
      <c r="BW50" s="36">
        <f t="shared" si="7"/>
        <v>144134098.90999997</v>
      </c>
      <c r="BX50" s="36">
        <f t="shared" si="7"/>
        <v>253745968.43000001</v>
      </c>
      <c r="BY50" s="36">
        <f t="shared" si="7"/>
        <v>237199013.87</v>
      </c>
      <c r="BZ50" s="36">
        <f t="shared" si="7"/>
        <v>0</v>
      </c>
      <c r="CA50" s="36">
        <f t="shared" si="7"/>
        <v>198427409.82999998</v>
      </c>
      <c r="CB50" s="36">
        <f t="shared" si="7"/>
        <v>0</v>
      </c>
      <c r="CC50" s="36">
        <f t="shared" si="7"/>
        <v>80658516.559999987</v>
      </c>
      <c r="CD50" s="36">
        <f t="shared" si="7"/>
        <v>0</v>
      </c>
      <c r="CE50" s="36">
        <f t="shared" si="7"/>
        <v>57196819.290000007</v>
      </c>
      <c r="CF50" s="36">
        <f t="shared" si="7"/>
        <v>85802431.019999996</v>
      </c>
      <c r="CG50" s="36">
        <f t="shared" si="7"/>
        <v>0</v>
      </c>
      <c r="CH50" s="36">
        <f t="shared" si="7"/>
        <v>0</v>
      </c>
      <c r="CI50" s="36">
        <f t="shared" si="7"/>
        <v>0</v>
      </c>
      <c r="CJ50" s="36">
        <f t="shared" si="7"/>
        <v>0</v>
      </c>
      <c r="CK50" s="36">
        <f t="shared" si="7"/>
        <v>0</v>
      </c>
    </row>
    <row r="51" spans="1:90" s="192" customFormat="1">
      <c r="A51" s="192" t="s">
        <v>33</v>
      </c>
    </row>
    <row r="52" spans="1:90" s="192" customFormat="1">
      <c r="A52" s="192" t="s">
        <v>34</v>
      </c>
      <c r="B52" s="189">
        <v>29522077710.330002</v>
      </c>
      <c r="C52" s="189">
        <v>30204168497.16</v>
      </c>
      <c r="D52" s="189">
        <v>30350560631.900002</v>
      </c>
      <c r="E52" s="189">
        <v>6622115057.1800003</v>
      </c>
      <c r="F52" s="189">
        <v>6529609597.1999998</v>
      </c>
      <c r="G52" s="189">
        <v>6041124168.9099998</v>
      </c>
      <c r="H52" s="189">
        <v>6123151500.6000004</v>
      </c>
      <c r="I52" s="189">
        <v>6268134989.3199997</v>
      </c>
      <c r="J52" s="189">
        <v>6459390362.6400003</v>
      </c>
      <c r="K52" s="189">
        <v>6598863476</v>
      </c>
      <c r="L52" s="189">
        <v>6812488804.8900003</v>
      </c>
      <c r="M52" s="189">
        <v>6845571380</v>
      </c>
      <c r="N52" s="189">
        <v>7050355130.8800001</v>
      </c>
      <c r="O52" s="189">
        <v>7300912499</v>
      </c>
      <c r="P52" s="189">
        <v>7582244530.04</v>
      </c>
      <c r="Q52" s="189">
        <v>7816029519</v>
      </c>
      <c r="R52" s="189">
        <v>8071947724.4200001</v>
      </c>
      <c r="S52" s="189">
        <v>3788048550</v>
      </c>
      <c r="T52" s="189">
        <v>3874729665.0700002</v>
      </c>
      <c r="U52" s="189">
        <v>3986723070</v>
      </c>
      <c r="V52" s="189">
        <v>4087328114</v>
      </c>
      <c r="W52" s="189">
        <v>4202621533</v>
      </c>
      <c r="X52" s="189">
        <v>4332951924.8400002</v>
      </c>
      <c r="Y52" s="189">
        <v>4412502695</v>
      </c>
      <c r="Z52" s="189">
        <v>4498385230</v>
      </c>
      <c r="AA52" s="189">
        <v>4607263672</v>
      </c>
      <c r="AB52" s="189">
        <v>4445580010.5600004</v>
      </c>
      <c r="AC52" s="189">
        <v>4574048642</v>
      </c>
      <c r="AD52" s="189">
        <v>4682678319.6000004</v>
      </c>
      <c r="AE52" s="189">
        <v>4790543754</v>
      </c>
      <c r="AF52" s="189">
        <v>4888850900.54</v>
      </c>
      <c r="AG52" s="189">
        <v>4995034450</v>
      </c>
      <c r="AH52" s="189">
        <v>3203428879.0100002</v>
      </c>
      <c r="AI52" s="189">
        <v>3263335011.98</v>
      </c>
      <c r="AJ52" s="189">
        <v>3336112314.5999999</v>
      </c>
      <c r="AK52" s="189">
        <v>3416417873.8899999</v>
      </c>
      <c r="AL52" s="189">
        <v>3539545426.0999999</v>
      </c>
      <c r="AM52" s="189">
        <v>3607610568.8099999</v>
      </c>
      <c r="AN52" s="189">
        <v>3671977804.4000001</v>
      </c>
      <c r="AO52" s="189">
        <v>3744076083.5300002</v>
      </c>
      <c r="AP52" s="189">
        <v>3435968354.5500002</v>
      </c>
      <c r="AQ52" s="189">
        <v>1387930539.8</v>
      </c>
      <c r="AR52" s="189">
        <v>504260539.55000001</v>
      </c>
      <c r="AS52" s="189">
        <v>510361097.72000003</v>
      </c>
      <c r="AT52" s="189">
        <v>499449749.80000001</v>
      </c>
      <c r="AU52" s="189">
        <v>507878415.33999997</v>
      </c>
      <c r="AV52" s="189">
        <v>527532490.57999998</v>
      </c>
      <c r="AW52" s="189">
        <v>537722021.47000003</v>
      </c>
      <c r="AX52" s="189">
        <v>536690591.70999998</v>
      </c>
      <c r="AY52" s="189">
        <v>543398299.13</v>
      </c>
      <c r="AZ52" s="189">
        <v>556722441.57000005</v>
      </c>
      <c r="BA52" s="189">
        <v>569373460.89999998</v>
      </c>
      <c r="BB52" s="189">
        <v>580239933.60000002</v>
      </c>
      <c r="BC52" s="189">
        <v>591190255.88999999</v>
      </c>
      <c r="BD52" s="189">
        <v>603768202.26999998</v>
      </c>
      <c r="BE52" s="189">
        <v>584490661.57000005</v>
      </c>
      <c r="BF52" s="189">
        <v>593899574.30999994</v>
      </c>
      <c r="BG52" s="189">
        <v>585359737.99000001</v>
      </c>
      <c r="BH52" s="189">
        <v>585004559.86000001</v>
      </c>
      <c r="BI52" s="189">
        <v>595940536.23000002</v>
      </c>
      <c r="BJ52" s="189">
        <v>353184821.61000001</v>
      </c>
      <c r="BK52" s="189">
        <v>354270531.19</v>
      </c>
      <c r="BL52" s="189">
        <v>175530873.91</v>
      </c>
      <c r="BM52" s="189">
        <v>179234172.50999999</v>
      </c>
      <c r="BN52" s="189">
        <v>187368978.58000001</v>
      </c>
      <c r="BO52" s="189">
        <v>191271402.83000001</v>
      </c>
      <c r="BP52" s="189">
        <v>195421347.99000001</v>
      </c>
      <c r="BQ52" s="189">
        <v>194399206.31</v>
      </c>
      <c r="BR52" s="189">
        <v>203631182.38999999</v>
      </c>
      <c r="BS52" s="189">
        <v>205719372</v>
      </c>
      <c r="BT52" s="189">
        <v>218020347.34</v>
      </c>
      <c r="BU52" s="189">
        <v>212651751.69999999</v>
      </c>
      <c r="BV52" s="189">
        <v>218579504.99000001</v>
      </c>
      <c r="BW52" s="189">
        <v>225743490.75999999</v>
      </c>
      <c r="BX52" s="189">
        <v>87533711.549999997</v>
      </c>
      <c r="BY52" s="189">
        <v>90885305.290000007</v>
      </c>
      <c r="BZ52" s="189">
        <v>93160345.109999999</v>
      </c>
      <c r="CA52" s="189">
        <v>95668293.459999993</v>
      </c>
      <c r="CB52" s="189">
        <v>95990000</v>
      </c>
      <c r="CC52" s="189">
        <v>97771962.189999998</v>
      </c>
      <c r="CD52" s="189">
        <v>101730000</v>
      </c>
      <c r="CE52" s="189">
        <v>104529465.17</v>
      </c>
      <c r="CF52" s="189">
        <v>42091998.079999998</v>
      </c>
      <c r="CG52" s="189">
        <v>33919300</v>
      </c>
      <c r="CH52" s="189">
        <v>35843600</v>
      </c>
      <c r="CI52" s="189">
        <v>0</v>
      </c>
      <c r="CJ52" s="189"/>
      <c r="CK52" s="189"/>
      <c r="CL52" s="189"/>
    </row>
    <row r="53" spans="1:90" s="192" customFormat="1">
      <c r="A53" s="192" t="s">
        <v>35</v>
      </c>
      <c r="B53" s="189">
        <v>12011001473.709999</v>
      </c>
      <c r="C53" s="189">
        <v>10873263813.08</v>
      </c>
      <c r="D53" s="189">
        <v>9633965406.1700001</v>
      </c>
      <c r="E53" s="189">
        <v>9785253439.2199993</v>
      </c>
      <c r="F53" s="189">
        <v>9179464913.4899998</v>
      </c>
      <c r="G53" s="189">
        <v>8635934326.0300007</v>
      </c>
      <c r="H53" s="189">
        <v>7346779182.1899996</v>
      </c>
      <c r="I53" s="189">
        <v>3688779156.3499999</v>
      </c>
      <c r="J53" s="189">
        <v>2867459024.1599998</v>
      </c>
      <c r="K53" s="189">
        <v>2025416046</v>
      </c>
      <c r="L53" s="189">
        <v>1683891573.8900001</v>
      </c>
      <c r="M53" s="189">
        <v>1543504792</v>
      </c>
      <c r="N53" s="189">
        <v>1312363273.5799999</v>
      </c>
      <c r="O53" s="189">
        <v>1044078082</v>
      </c>
      <c r="P53" s="189">
        <v>858305252.01999998</v>
      </c>
      <c r="Q53" s="189">
        <v>719316755</v>
      </c>
      <c r="R53" s="189">
        <v>705808852</v>
      </c>
      <c r="S53" s="189">
        <v>565407380</v>
      </c>
      <c r="T53" s="189">
        <v>528124642.42000002</v>
      </c>
      <c r="U53" s="189">
        <v>486235855</v>
      </c>
      <c r="V53" s="189">
        <v>473033061</v>
      </c>
      <c r="W53" s="189">
        <v>458923850</v>
      </c>
      <c r="X53" s="189">
        <v>441336755.93000001</v>
      </c>
      <c r="Y53" s="189">
        <v>440377821</v>
      </c>
      <c r="Z53" s="189">
        <v>426689236</v>
      </c>
      <c r="AA53" s="189">
        <v>392613313</v>
      </c>
      <c r="AB53" s="189">
        <v>632716530.63999999</v>
      </c>
      <c r="AC53" s="189">
        <v>601560696</v>
      </c>
      <c r="AD53" s="189">
        <v>360883930.62</v>
      </c>
      <c r="AE53" s="189">
        <v>306078765</v>
      </c>
      <c r="AF53" s="189">
        <v>244999167.63</v>
      </c>
      <c r="AG53" s="189">
        <v>153105868</v>
      </c>
      <c r="AH53" s="189">
        <v>1819611801.3399999</v>
      </c>
      <c r="AI53" s="189">
        <v>1514094372.8399999</v>
      </c>
      <c r="AJ53" s="189">
        <v>1341467841.9100001</v>
      </c>
      <c r="AK53" s="189">
        <v>832457926.90999997</v>
      </c>
      <c r="AL53" s="189">
        <v>330308850.58999997</v>
      </c>
      <c r="AM53" s="189">
        <v>198020938.41999999</v>
      </c>
      <c r="AN53" s="189">
        <v>73285561.950000003</v>
      </c>
      <c r="AO53" s="189">
        <v>41282814.799999997</v>
      </c>
      <c r="AP53" s="189">
        <v>71030893.120000005</v>
      </c>
      <c r="AQ53" s="189">
        <v>1776624628.8599999</v>
      </c>
      <c r="AR53" s="189">
        <v>2309198511.8600001</v>
      </c>
      <c r="AS53" s="189">
        <v>2084618323.0999999</v>
      </c>
      <c r="AT53" s="189">
        <v>1693607805.98</v>
      </c>
      <c r="AU53" s="189">
        <v>568097102.70000005</v>
      </c>
      <c r="AV53" s="189">
        <v>341456480.54000002</v>
      </c>
      <c r="AW53" s="189">
        <v>12754698.35</v>
      </c>
      <c r="AX53" s="189">
        <v>5087541.68</v>
      </c>
      <c r="AY53" s="189">
        <v>5682599.6500000004</v>
      </c>
      <c r="AZ53" s="189">
        <v>5271075.29</v>
      </c>
      <c r="BA53" s="189">
        <v>4625839.29</v>
      </c>
      <c r="BB53" s="189">
        <v>4709664.9000000004</v>
      </c>
      <c r="BC53" s="189">
        <v>4978713.9000000004</v>
      </c>
      <c r="BD53" s="189">
        <v>4509263.9000000004</v>
      </c>
      <c r="BE53" s="189">
        <v>32781420.32</v>
      </c>
      <c r="BF53" s="189">
        <v>51070</v>
      </c>
      <c r="BG53" s="189">
        <v>19247187.969999999</v>
      </c>
      <c r="BH53" s="189">
        <v>15627995.869999999</v>
      </c>
      <c r="BI53" s="189">
        <v>14092386.039999999</v>
      </c>
      <c r="BJ53" s="189">
        <v>221294106.53999999</v>
      </c>
      <c r="BK53" s="189">
        <v>209840829.21000001</v>
      </c>
      <c r="BL53" s="189">
        <v>355568248.92000002</v>
      </c>
      <c r="BM53" s="189">
        <v>348235071.95999998</v>
      </c>
      <c r="BN53" s="189">
        <v>75658145.590000004</v>
      </c>
      <c r="BO53" s="189">
        <v>58594455.560000002</v>
      </c>
      <c r="BP53" s="189">
        <v>43157691.310000002</v>
      </c>
      <c r="BQ53" s="189">
        <v>29255763.309999999</v>
      </c>
      <c r="BR53" s="189">
        <v>17230015.84</v>
      </c>
      <c r="BS53" s="189">
        <v>3855280</v>
      </c>
      <c r="BT53" s="189">
        <v>0</v>
      </c>
      <c r="BU53" s="189">
        <v>529345.07999999996</v>
      </c>
      <c r="BV53" s="189">
        <v>529345.07999999996</v>
      </c>
      <c r="BW53" s="189">
        <v>529345.07999999996</v>
      </c>
      <c r="BX53" s="189">
        <v>603775.07999999996</v>
      </c>
      <c r="BY53" s="189">
        <v>603575.07999999996</v>
      </c>
      <c r="BZ53" s="189">
        <v>747608.2</v>
      </c>
      <c r="CA53" s="189">
        <v>529345.07999999996</v>
      </c>
      <c r="CB53" s="189">
        <v>520000</v>
      </c>
      <c r="CC53" s="189">
        <v>466371.9</v>
      </c>
      <c r="CD53" s="189">
        <v>460000</v>
      </c>
      <c r="CE53" s="189">
        <v>250506.3</v>
      </c>
      <c r="CF53" s="189">
        <v>90708549</v>
      </c>
      <c r="CG53" s="189">
        <v>2374100</v>
      </c>
      <c r="CH53" s="189">
        <v>37700</v>
      </c>
      <c r="CI53" s="189">
        <v>0</v>
      </c>
      <c r="CJ53" s="189"/>
      <c r="CK53" s="189"/>
      <c r="CL53" s="189"/>
    </row>
    <row r="54" spans="1:90" s="192" customFormat="1">
      <c r="A54" s="192" t="s">
        <v>36</v>
      </c>
      <c r="B54" s="189">
        <v>0</v>
      </c>
      <c r="C54" s="189">
        <v>0</v>
      </c>
      <c r="D54" s="189">
        <v>0</v>
      </c>
      <c r="E54" s="189">
        <v>0</v>
      </c>
      <c r="F54" s="189">
        <v>0</v>
      </c>
      <c r="G54" s="189">
        <v>0</v>
      </c>
      <c r="H54" s="189">
        <v>0</v>
      </c>
      <c r="I54" s="189">
        <v>0</v>
      </c>
      <c r="J54" s="189">
        <v>0</v>
      </c>
      <c r="K54" s="189">
        <v>0</v>
      </c>
      <c r="L54" s="189">
        <v>0</v>
      </c>
      <c r="M54" s="189">
        <v>0</v>
      </c>
      <c r="N54" s="189">
        <v>0</v>
      </c>
      <c r="O54" s="189">
        <v>0</v>
      </c>
      <c r="P54" s="189">
        <v>0</v>
      </c>
      <c r="Q54" s="189">
        <v>0</v>
      </c>
      <c r="R54" s="189">
        <v>0</v>
      </c>
      <c r="S54" s="189">
        <v>0</v>
      </c>
      <c r="T54" s="189">
        <v>0</v>
      </c>
      <c r="U54" s="189">
        <v>0</v>
      </c>
      <c r="V54" s="189">
        <v>0</v>
      </c>
      <c r="W54" s="189">
        <v>0</v>
      </c>
      <c r="X54" s="189">
        <v>0</v>
      </c>
      <c r="Y54" s="189">
        <v>0</v>
      </c>
      <c r="Z54" s="189">
        <v>0</v>
      </c>
      <c r="AA54" s="189">
        <v>0</v>
      </c>
      <c r="AB54" s="189">
        <v>0</v>
      </c>
      <c r="AC54" s="189">
        <v>0</v>
      </c>
      <c r="AD54" s="189">
        <v>0</v>
      </c>
      <c r="AE54" s="189">
        <v>0</v>
      </c>
      <c r="AF54" s="189">
        <v>0</v>
      </c>
      <c r="AG54" s="189">
        <v>0</v>
      </c>
      <c r="AH54" s="189">
        <v>0</v>
      </c>
      <c r="AI54" s="189">
        <v>0</v>
      </c>
      <c r="AJ54" s="189">
        <v>0</v>
      </c>
      <c r="AK54" s="189">
        <v>0</v>
      </c>
      <c r="AL54" s="189">
        <v>0</v>
      </c>
      <c r="AM54" s="189">
        <v>0</v>
      </c>
      <c r="AN54" s="189">
        <v>0</v>
      </c>
      <c r="AO54" s="189">
        <v>0</v>
      </c>
      <c r="AP54" s="189">
        <v>0</v>
      </c>
      <c r="AQ54" s="189">
        <v>0</v>
      </c>
      <c r="AR54" s="189">
        <v>0</v>
      </c>
      <c r="AS54" s="189">
        <v>0</v>
      </c>
      <c r="AT54" s="189">
        <v>0</v>
      </c>
      <c r="AU54" s="189">
        <v>0</v>
      </c>
      <c r="AV54" s="189">
        <v>0</v>
      </c>
      <c r="AW54" s="189">
        <v>0</v>
      </c>
      <c r="AX54" s="189">
        <v>0</v>
      </c>
      <c r="AY54" s="189">
        <v>0</v>
      </c>
      <c r="AZ54" s="189">
        <v>0</v>
      </c>
      <c r="BA54" s="189">
        <v>0</v>
      </c>
      <c r="BB54" s="189">
        <v>0</v>
      </c>
      <c r="BC54" s="189">
        <v>0</v>
      </c>
      <c r="BD54" s="189">
        <v>0</v>
      </c>
      <c r="BE54" s="189">
        <v>0</v>
      </c>
      <c r="BF54" s="189">
        <v>0</v>
      </c>
      <c r="BG54" s="189">
        <v>0</v>
      </c>
      <c r="BH54" s="189">
        <v>0</v>
      </c>
      <c r="BI54" s="189">
        <v>11132301.35</v>
      </c>
      <c r="BJ54" s="189">
        <v>0</v>
      </c>
      <c r="BK54" s="189">
        <v>0</v>
      </c>
      <c r="BL54" s="189">
        <v>0</v>
      </c>
      <c r="BM54" s="189">
        <v>0</v>
      </c>
      <c r="BN54" s="189">
        <v>0</v>
      </c>
      <c r="BO54" s="189">
        <v>0</v>
      </c>
      <c r="BP54" s="189">
        <v>0</v>
      </c>
      <c r="BQ54" s="189">
        <v>0</v>
      </c>
      <c r="BR54" s="189">
        <v>0</v>
      </c>
      <c r="BS54" s="189">
        <v>0</v>
      </c>
      <c r="BT54" s="189">
        <v>0</v>
      </c>
      <c r="BU54" s="189">
        <v>0</v>
      </c>
      <c r="BV54" s="189">
        <v>0</v>
      </c>
      <c r="BW54" s="189">
        <v>0</v>
      </c>
      <c r="BX54" s="189">
        <v>0</v>
      </c>
      <c r="BY54" s="189">
        <v>0</v>
      </c>
      <c r="BZ54" s="189">
        <v>0</v>
      </c>
      <c r="CA54" s="189">
        <v>0</v>
      </c>
      <c r="CB54" s="189">
        <v>0</v>
      </c>
      <c r="CC54" s="189">
        <v>0</v>
      </c>
      <c r="CD54" s="189">
        <v>0</v>
      </c>
      <c r="CE54" s="189">
        <v>0</v>
      </c>
      <c r="CF54" s="189">
        <v>0</v>
      </c>
      <c r="CG54" s="189">
        <v>0</v>
      </c>
      <c r="CH54" s="189">
        <v>0</v>
      </c>
      <c r="CI54" s="189">
        <v>0</v>
      </c>
      <c r="CJ54" s="189"/>
      <c r="CK54" s="189"/>
      <c r="CL54" s="189"/>
    </row>
    <row r="55" spans="1:90" s="192" customFormat="1">
      <c r="A55" s="192" t="s">
        <v>37</v>
      </c>
      <c r="B55" s="189">
        <v>0</v>
      </c>
      <c r="C55" s="189">
        <v>0</v>
      </c>
      <c r="D55" s="189">
        <v>0</v>
      </c>
      <c r="E55" s="189">
        <v>0</v>
      </c>
      <c r="F55" s="189">
        <v>0</v>
      </c>
      <c r="G55" s="189">
        <v>0</v>
      </c>
      <c r="H55" s="189">
        <v>0</v>
      </c>
      <c r="I55" s="189">
        <v>0</v>
      </c>
      <c r="J55" s="189">
        <v>174598.04</v>
      </c>
      <c r="K55" s="189">
        <v>0</v>
      </c>
      <c r="L55" s="189">
        <v>303174.75</v>
      </c>
      <c r="M55" s="189">
        <v>0</v>
      </c>
      <c r="N55" s="189">
        <v>0</v>
      </c>
      <c r="O55" s="189">
        <v>0</v>
      </c>
      <c r="P55" s="189">
        <v>0</v>
      </c>
      <c r="Q55" s="189">
        <v>0</v>
      </c>
      <c r="R55" s="189">
        <v>0</v>
      </c>
      <c r="S55" s="189">
        <v>0</v>
      </c>
      <c r="T55" s="189">
        <v>0</v>
      </c>
      <c r="U55" s="189">
        <v>0</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v>0</v>
      </c>
      <c r="AO55" s="189">
        <v>0</v>
      </c>
      <c r="AP55" s="189">
        <v>0</v>
      </c>
      <c r="AQ55" s="189">
        <v>0</v>
      </c>
      <c r="AR55" s="189">
        <v>0</v>
      </c>
      <c r="AS55" s="189">
        <v>0</v>
      </c>
      <c r="AT55" s="189">
        <v>7500</v>
      </c>
      <c r="AU55" s="189">
        <v>0</v>
      </c>
      <c r="AV55" s="189">
        <v>0</v>
      </c>
      <c r="AW55" s="189">
        <v>0</v>
      </c>
      <c r="AX55" s="189">
        <v>0</v>
      </c>
      <c r="AY55" s="189">
        <v>0</v>
      </c>
      <c r="AZ55" s="189">
        <v>0</v>
      </c>
      <c r="BA55" s="189">
        <v>0</v>
      </c>
      <c r="BB55" s="189">
        <v>0</v>
      </c>
      <c r="BC55" s="189">
        <v>0</v>
      </c>
      <c r="BD55" s="189">
        <v>0</v>
      </c>
      <c r="BE55" s="189">
        <v>0</v>
      </c>
      <c r="BF55" s="189">
        <v>0</v>
      </c>
      <c r="BG55" s="189">
        <v>0</v>
      </c>
      <c r="BH55" s="189">
        <v>0</v>
      </c>
      <c r="BI55" s="189">
        <v>0</v>
      </c>
      <c r="BJ55" s="189">
        <v>0</v>
      </c>
      <c r="BK55" s="189">
        <v>0</v>
      </c>
      <c r="BL55" s="189">
        <v>15945.6</v>
      </c>
      <c r="BM55" s="189">
        <v>0</v>
      </c>
      <c r="BN55" s="189">
        <v>-3483.36</v>
      </c>
      <c r="BO55" s="189">
        <v>17800.580000000002</v>
      </c>
      <c r="BP55" s="189">
        <v>0</v>
      </c>
      <c r="BQ55" s="189">
        <v>0</v>
      </c>
      <c r="BR55" s="189">
        <v>58980.88</v>
      </c>
      <c r="BS55" s="189">
        <v>0</v>
      </c>
      <c r="BT55" s="189">
        <v>0</v>
      </c>
      <c r="BU55" s="189">
        <v>0</v>
      </c>
      <c r="BV55" s="189">
        <v>0</v>
      </c>
      <c r="BW55" s="189">
        <v>0</v>
      </c>
      <c r="BX55" s="189">
        <v>93478.73</v>
      </c>
      <c r="BY55" s="189">
        <v>0</v>
      </c>
      <c r="BZ55" s="189">
        <v>0</v>
      </c>
      <c r="CA55" s="189">
        <v>0</v>
      </c>
      <c r="CB55" s="189">
        <v>0</v>
      </c>
      <c r="CC55" s="189">
        <v>-50000</v>
      </c>
      <c r="CD55" s="189">
        <v>0</v>
      </c>
      <c r="CE55" s="189">
        <v>0</v>
      </c>
      <c r="CF55" s="189">
        <v>0</v>
      </c>
      <c r="CG55" s="189">
        <v>0</v>
      </c>
      <c r="CH55" s="189">
        <v>0</v>
      </c>
      <c r="CI55" s="189">
        <v>0</v>
      </c>
      <c r="CJ55" s="189"/>
      <c r="CK55" s="189"/>
      <c r="CL55" s="189"/>
    </row>
    <row r="56" spans="1:90" s="192" customFormat="1">
      <c r="A56" s="192" t="s">
        <v>38</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c r="BT56" s="189">
        <v>0</v>
      </c>
      <c r="BU56" s="189">
        <v>0</v>
      </c>
      <c r="BV56" s="189">
        <v>0</v>
      </c>
      <c r="BW56" s="189">
        <v>0</v>
      </c>
      <c r="BX56" s="189">
        <v>0</v>
      </c>
      <c r="BY56" s="189">
        <v>0</v>
      </c>
      <c r="BZ56" s="189">
        <v>0</v>
      </c>
      <c r="CA56" s="189">
        <v>0</v>
      </c>
      <c r="CB56" s="189">
        <v>0</v>
      </c>
      <c r="CC56" s="189">
        <v>0</v>
      </c>
      <c r="CD56" s="189">
        <v>0</v>
      </c>
      <c r="CE56" s="189">
        <v>0</v>
      </c>
      <c r="CF56" s="189">
        <v>0</v>
      </c>
      <c r="CG56" s="189">
        <v>0</v>
      </c>
      <c r="CH56" s="189">
        <v>0</v>
      </c>
      <c r="CI56" s="189">
        <v>0</v>
      </c>
      <c r="CJ56" s="189"/>
      <c r="CK56" s="189"/>
      <c r="CL56" s="189"/>
    </row>
    <row r="57" spans="1:90" s="192" customFormat="1">
      <c r="A57" s="192" t="s">
        <v>39</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c r="BT57" s="189">
        <v>0</v>
      </c>
      <c r="BU57" s="189">
        <v>0</v>
      </c>
      <c r="BV57" s="189">
        <v>0</v>
      </c>
      <c r="BW57" s="189">
        <v>0</v>
      </c>
      <c r="BX57" s="189">
        <v>0</v>
      </c>
      <c r="BY57" s="189">
        <v>0</v>
      </c>
      <c r="BZ57" s="189">
        <v>0</v>
      </c>
      <c r="CA57" s="189">
        <v>0</v>
      </c>
      <c r="CB57" s="189">
        <v>0</v>
      </c>
      <c r="CC57" s="189">
        <v>0</v>
      </c>
      <c r="CD57" s="189">
        <v>0</v>
      </c>
      <c r="CE57" s="189">
        <v>0</v>
      </c>
      <c r="CF57" s="189">
        <v>0</v>
      </c>
      <c r="CG57" s="189">
        <v>0</v>
      </c>
      <c r="CH57" s="189">
        <v>0</v>
      </c>
      <c r="CI57" s="189">
        <v>0</v>
      </c>
      <c r="CJ57" s="189"/>
      <c r="CK57" s="189"/>
      <c r="CL57" s="189"/>
    </row>
    <row r="58" spans="1:90" s="192" customFormat="1">
      <c r="A58" s="192" t="s">
        <v>40</v>
      </c>
      <c r="B58" s="189">
        <v>2129397264.3199999</v>
      </c>
      <c r="C58" s="189">
        <v>2140908706.8199999</v>
      </c>
      <c r="D58" s="189">
        <v>2159663839.1799998</v>
      </c>
      <c r="E58" s="189">
        <v>1019078617.59</v>
      </c>
      <c r="F58" s="189">
        <v>1021912273.9299999</v>
      </c>
      <c r="G58" s="189">
        <v>1030548770.01</v>
      </c>
      <c r="H58" s="189">
        <v>1035354607.1900001</v>
      </c>
      <c r="I58" s="189">
        <v>1044619087.28</v>
      </c>
      <c r="J58" s="189">
        <v>957782963.70000005</v>
      </c>
      <c r="K58" s="189">
        <v>947167291</v>
      </c>
      <c r="L58" s="189">
        <v>952326736.48000002</v>
      </c>
      <c r="M58" s="189">
        <v>957723367</v>
      </c>
      <c r="N58" s="189">
        <v>968007005.13</v>
      </c>
      <c r="O58" s="189">
        <v>975671773</v>
      </c>
      <c r="P58" s="189">
        <v>743833126.11000001</v>
      </c>
      <c r="Q58" s="189">
        <v>593973950</v>
      </c>
      <c r="R58" s="189">
        <v>643514646.01999998</v>
      </c>
      <c r="S58" s="189">
        <v>198451128</v>
      </c>
      <c r="T58" s="189">
        <v>200786281.74000001</v>
      </c>
      <c r="U58" s="189">
        <v>202221792</v>
      </c>
      <c r="V58" s="189">
        <v>202654349</v>
      </c>
      <c r="W58" s="189">
        <v>204955006</v>
      </c>
      <c r="X58" s="189">
        <v>203699778.78999999</v>
      </c>
      <c r="Y58" s="189">
        <v>205700066</v>
      </c>
      <c r="Z58" s="189">
        <v>207041251</v>
      </c>
      <c r="AA58" s="189">
        <v>208005336</v>
      </c>
      <c r="AB58" s="189">
        <v>207400199.13999999</v>
      </c>
      <c r="AC58" s="189">
        <v>209585758</v>
      </c>
      <c r="AD58" s="189">
        <v>207345644</v>
      </c>
      <c r="AE58" s="189">
        <v>208464355</v>
      </c>
      <c r="AF58" s="189">
        <v>209931259.56999999</v>
      </c>
      <c r="AG58" s="189">
        <v>211994592</v>
      </c>
      <c r="AH58" s="189">
        <v>188852698.19999999</v>
      </c>
      <c r="AI58" s="189">
        <v>190439210.97999999</v>
      </c>
      <c r="AJ58" s="189">
        <v>190051979.22</v>
      </c>
      <c r="AK58" s="189">
        <v>191172525.22</v>
      </c>
      <c r="AL58" s="189">
        <v>189716089.72</v>
      </c>
      <c r="AM58" s="189">
        <v>191135570.40000001</v>
      </c>
      <c r="AN58" s="189">
        <v>192490797.66999999</v>
      </c>
      <c r="AO58" s="189">
        <v>163871803.75</v>
      </c>
      <c r="AP58" s="189">
        <v>160042604.43000001</v>
      </c>
      <c r="AQ58" s="189">
        <v>161073667.94</v>
      </c>
      <c r="AR58" s="189">
        <v>158873680.31</v>
      </c>
      <c r="AS58" s="189">
        <v>156359912.53</v>
      </c>
      <c r="AT58" s="189">
        <v>155623331.36000001</v>
      </c>
      <c r="AU58" s="189">
        <v>155926883.86000001</v>
      </c>
      <c r="AV58" s="189">
        <v>115407768.20999999</v>
      </c>
      <c r="AW58" s="189">
        <v>2016621.31</v>
      </c>
      <c r="AX58" s="189">
        <v>1527477.33</v>
      </c>
      <c r="AY58" s="189">
        <v>1441966.15</v>
      </c>
      <c r="AZ58" s="189">
        <v>1474196</v>
      </c>
      <c r="BA58" s="189">
        <v>1519340.31</v>
      </c>
      <c r="BB58" s="189">
        <v>876311.67</v>
      </c>
      <c r="BC58" s="189">
        <v>720613.94</v>
      </c>
      <c r="BD58" s="189">
        <v>739916.21</v>
      </c>
      <c r="BE58" s="189">
        <v>476988.71</v>
      </c>
      <c r="BF58" s="189">
        <v>132947.26</v>
      </c>
      <c r="BG58" s="189">
        <v>93930.81</v>
      </c>
      <c r="BH58" s="189">
        <v>83904.36</v>
      </c>
      <c r="BI58" s="189">
        <v>86192.639999999999</v>
      </c>
      <c r="BJ58" s="189">
        <v>36525.14</v>
      </c>
      <c r="BK58" s="189">
        <v>30146.67</v>
      </c>
      <c r="BL58" s="189">
        <v>0</v>
      </c>
      <c r="BM58" s="189">
        <v>0</v>
      </c>
      <c r="BN58" s="189">
        <v>0</v>
      </c>
      <c r="BO58" s="189">
        <v>0</v>
      </c>
      <c r="BP58" s="189">
        <v>0</v>
      </c>
      <c r="BQ58" s="189">
        <v>0</v>
      </c>
      <c r="BR58" s="189">
        <v>119132.95</v>
      </c>
      <c r="BS58" s="189">
        <v>238265.59</v>
      </c>
      <c r="BT58" s="189">
        <v>357398.23</v>
      </c>
      <c r="BU58" s="189">
        <v>476530.87</v>
      </c>
      <c r="BV58" s="189">
        <v>595663.51</v>
      </c>
      <c r="BW58" s="189">
        <v>714796.15</v>
      </c>
      <c r="BX58" s="189">
        <v>833928.79</v>
      </c>
      <c r="BY58" s="189">
        <v>953061.43</v>
      </c>
      <c r="BZ58" s="189">
        <v>0</v>
      </c>
      <c r="CA58" s="189">
        <v>1191326.71</v>
      </c>
      <c r="CB58" s="189">
        <v>0</v>
      </c>
      <c r="CC58" s="189">
        <v>1429591.88</v>
      </c>
      <c r="CD58" s="189">
        <v>0</v>
      </c>
      <c r="CE58" s="189">
        <v>1667857.16</v>
      </c>
      <c r="CF58" s="189">
        <v>1906122.44</v>
      </c>
      <c r="CG58" s="189">
        <v>0</v>
      </c>
      <c r="CH58" s="189">
        <v>0</v>
      </c>
      <c r="CI58" s="189">
        <v>0</v>
      </c>
      <c r="CJ58" s="189"/>
      <c r="CK58" s="189"/>
      <c r="CL58" s="189"/>
    </row>
    <row r="59" spans="1:90" s="192" customFormat="1">
      <c r="A59" s="192" t="s">
        <v>41</v>
      </c>
      <c r="B59" s="189">
        <v>0</v>
      </c>
      <c r="C59" s="189">
        <v>0</v>
      </c>
      <c r="D59" s="189">
        <v>0</v>
      </c>
      <c r="E59" s="189">
        <v>0</v>
      </c>
      <c r="F59" s="189">
        <v>0</v>
      </c>
      <c r="G59" s="189">
        <v>0</v>
      </c>
      <c r="H59" s="189">
        <v>0</v>
      </c>
      <c r="I59" s="189">
        <v>0</v>
      </c>
      <c r="J59" s="189">
        <v>0</v>
      </c>
      <c r="K59" s="189">
        <v>0</v>
      </c>
      <c r="L59" s="189">
        <v>0</v>
      </c>
      <c r="M59" s="189">
        <v>0</v>
      </c>
      <c r="N59" s="189">
        <v>0</v>
      </c>
      <c r="O59" s="189">
        <v>0</v>
      </c>
      <c r="P59" s="189">
        <v>0</v>
      </c>
      <c r="Q59" s="189">
        <v>0</v>
      </c>
      <c r="R59" s="189">
        <v>0</v>
      </c>
      <c r="S59" s="189">
        <v>0</v>
      </c>
      <c r="T59" s="189">
        <v>0</v>
      </c>
      <c r="U59" s="189">
        <v>0</v>
      </c>
      <c r="V59" s="189">
        <v>0</v>
      </c>
      <c r="W59" s="189">
        <v>0</v>
      </c>
      <c r="X59" s="189">
        <v>0</v>
      </c>
      <c r="Y59" s="189">
        <v>0</v>
      </c>
      <c r="Z59" s="189">
        <v>0</v>
      </c>
      <c r="AA59" s="189">
        <v>0</v>
      </c>
      <c r="AB59" s="189">
        <v>0</v>
      </c>
      <c r="AC59" s="189">
        <v>0</v>
      </c>
      <c r="AD59" s="189">
        <v>0</v>
      </c>
      <c r="AE59" s="189">
        <v>0</v>
      </c>
      <c r="AF59" s="189">
        <v>0</v>
      </c>
      <c r="AG59" s="189">
        <v>0</v>
      </c>
      <c r="AH59" s="189">
        <v>0</v>
      </c>
      <c r="AI59" s="189">
        <v>0</v>
      </c>
      <c r="AJ59" s="189">
        <v>0</v>
      </c>
      <c r="AK59" s="189">
        <v>0</v>
      </c>
      <c r="AL59" s="189">
        <v>0</v>
      </c>
      <c r="AM59" s="189">
        <v>0</v>
      </c>
      <c r="AN59" s="189">
        <v>0</v>
      </c>
      <c r="AO59" s="189">
        <v>0</v>
      </c>
      <c r="AP59" s="189">
        <v>0</v>
      </c>
      <c r="AQ59" s="189">
        <v>0</v>
      </c>
      <c r="AR59" s="189">
        <v>0</v>
      </c>
      <c r="AS59" s="189">
        <v>0</v>
      </c>
      <c r="AT59" s="189">
        <v>0</v>
      </c>
      <c r="AU59" s="189">
        <v>0</v>
      </c>
      <c r="AV59" s="189">
        <v>0</v>
      </c>
      <c r="AW59" s="189">
        <v>0</v>
      </c>
      <c r="AX59" s="189">
        <v>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0</v>
      </c>
      <c r="BO59" s="189">
        <v>0</v>
      </c>
      <c r="BP59" s="189">
        <v>0</v>
      </c>
      <c r="BQ59" s="189">
        <v>0</v>
      </c>
      <c r="BR59" s="189">
        <v>0</v>
      </c>
      <c r="BS59" s="189">
        <v>0</v>
      </c>
      <c r="BT59" s="189">
        <v>0</v>
      </c>
      <c r="BU59" s="189">
        <v>0</v>
      </c>
      <c r="BV59" s="189">
        <v>0</v>
      </c>
      <c r="BW59" s="189">
        <v>0</v>
      </c>
      <c r="BX59" s="189">
        <v>0</v>
      </c>
      <c r="BY59" s="189">
        <v>0</v>
      </c>
      <c r="BZ59" s="189">
        <v>0</v>
      </c>
      <c r="CA59" s="189">
        <v>0</v>
      </c>
      <c r="CB59" s="189">
        <v>0</v>
      </c>
      <c r="CC59" s="189">
        <v>0</v>
      </c>
      <c r="CD59" s="189">
        <v>0</v>
      </c>
      <c r="CE59" s="189">
        <v>0</v>
      </c>
      <c r="CF59" s="189">
        <v>0</v>
      </c>
      <c r="CG59" s="189">
        <v>0</v>
      </c>
      <c r="CH59" s="189">
        <v>0</v>
      </c>
      <c r="CI59" s="189">
        <v>0</v>
      </c>
      <c r="CJ59" s="189"/>
      <c r="CK59" s="189"/>
      <c r="CL59" s="189"/>
    </row>
    <row r="60" spans="1:90" s="192" customFormat="1">
      <c r="A60" s="192" t="s">
        <v>42</v>
      </c>
      <c r="B60" s="189">
        <v>318993084.26999998</v>
      </c>
      <c r="C60" s="189">
        <v>318993084.26999998</v>
      </c>
      <c r="D60" s="189">
        <v>280286989.68000001</v>
      </c>
      <c r="E60" s="189">
        <v>268614996.52999997</v>
      </c>
      <c r="F60" s="189">
        <v>268763619.47000003</v>
      </c>
      <c r="G60" s="189">
        <v>268935657.30000001</v>
      </c>
      <c r="H60" s="189">
        <v>269093522.95999998</v>
      </c>
      <c r="I60" s="189">
        <v>268825484.07999998</v>
      </c>
      <c r="J60" s="189">
        <v>269616783.56</v>
      </c>
      <c r="K60" s="189">
        <v>269429341</v>
      </c>
      <c r="L60" s="189">
        <v>268571493.52999997</v>
      </c>
      <c r="M60" s="189">
        <v>268121065</v>
      </c>
      <c r="N60" s="189">
        <v>268018532.38999999</v>
      </c>
      <c r="O60" s="189">
        <v>267649933</v>
      </c>
      <c r="P60" s="189">
        <v>267800280.96000001</v>
      </c>
      <c r="Q60" s="189">
        <v>267812481</v>
      </c>
      <c r="R60" s="189">
        <v>267201255.22</v>
      </c>
      <c r="S60" s="189">
        <v>0</v>
      </c>
      <c r="T60" s="189">
        <v>0</v>
      </c>
      <c r="U60" s="189">
        <v>0</v>
      </c>
      <c r="V60" s="189">
        <v>0</v>
      </c>
      <c r="W60" s="189">
        <v>0</v>
      </c>
      <c r="X60" s="189">
        <v>0</v>
      </c>
      <c r="Y60" s="189">
        <v>0</v>
      </c>
      <c r="Z60" s="189">
        <v>0</v>
      </c>
      <c r="AA60" s="189">
        <v>0</v>
      </c>
      <c r="AB60" s="189">
        <v>0</v>
      </c>
      <c r="AC60" s="189">
        <v>0</v>
      </c>
      <c r="AD60" s="189">
        <v>0</v>
      </c>
      <c r="AE60" s="189">
        <v>0</v>
      </c>
      <c r="AF60" s="189">
        <v>0</v>
      </c>
      <c r="AG60" s="189">
        <v>0</v>
      </c>
      <c r="AH60" s="189">
        <v>0</v>
      </c>
      <c r="AI60" s="189">
        <v>0</v>
      </c>
      <c r="AJ60" s="189">
        <v>0</v>
      </c>
      <c r="AK60" s="189">
        <v>0</v>
      </c>
      <c r="AL60" s="189">
        <v>0</v>
      </c>
      <c r="AM60" s="189">
        <v>0</v>
      </c>
      <c r="AN60" s="189">
        <v>0</v>
      </c>
      <c r="AO60" s="189">
        <v>0</v>
      </c>
      <c r="AP60" s="189">
        <v>0</v>
      </c>
      <c r="AQ60" s="189">
        <v>0</v>
      </c>
      <c r="AR60" s="189">
        <v>0</v>
      </c>
      <c r="AS60" s="189">
        <v>0</v>
      </c>
      <c r="AT60" s="189">
        <v>4299648.47</v>
      </c>
      <c r="AU60" s="189">
        <v>4299648.47</v>
      </c>
      <c r="AV60" s="189">
        <v>0</v>
      </c>
      <c r="AW60" s="189">
        <v>0</v>
      </c>
      <c r="AX60" s="189">
        <v>0</v>
      </c>
      <c r="AY60" s="189">
        <v>0</v>
      </c>
      <c r="AZ60" s="189">
        <v>0</v>
      </c>
      <c r="BA60" s="189">
        <v>0</v>
      </c>
      <c r="BB60" s="189">
        <v>0</v>
      </c>
      <c r="BC60" s="189">
        <v>0</v>
      </c>
      <c r="BD60" s="189">
        <v>0</v>
      </c>
      <c r="BE60" s="189">
        <v>0</v>
      </c>
      <c r="BF60" s="189">
        <v>0</v>
      </c>
      <c r="BG60" s="189">
        <v>0</v>
      </c>
      <c r="BH60" s="189">
        <v>0</v>
      </c>
      <c r="BI60" s="189">
        <v>0</v>
      </c>
      <c r="BJ60" s="189">
        <v>0</v>
      </c>
      <c r="BK60" s="189">
        <v>0</v>
      </c>
      <c r="BL60" s="189">
        <v>0</v>
      </c>
      <c r="BM60" s="189">
        <v>0</v>
      </c>
      <c r="BN60" s="189">
        <v>0</v>
      </c>
      <c r="BO60" s="189">
        <v>0</v>
      </c>
      <c r="BP60" s="189">
        <v>0</v>
      </c>
      <c r="BQ60" s="189">
        <v>0</v>
      </c>
      <c r="BR60" s="189">
        <v>0</v>
      </c>
      <c r="BS60" s="189">
        <v>0</v>
      </c>
      <c r="BT60" s="189">
        <v>0</v>
      </c>
      <c r="BU60" s="189">
        <v>0</v>
      </c>
      <c r="BV60" s="189">
        <v>0</v>
      </c>
      <c r="BW60" s="189">
        <v>0</v>
      </c>
      <c r="BX60" s="189">
        <v>0</v>
      </c>
      <c r="BY60" s="189">
        <v>0</v>
      </c>
      <c r="BZ60" s="189">
        <v>0</v>
      </c>
      <c r="CA60" s="189">
        <v>0</v>
      </c>
      <c r="CB60" s="189">
        <v>0</v>
      </c>
      <c r="CC60" s="189">
        <v>0</v>
      </c>
      <c r="CD60" s="189">
        <v>0</v>
      </c>
      <c r="CE60" s="189">
        <v>0</v>
      </c>
      <c r="CF60" s="189">
        <v>0</v>
      </c>
      <c r="CG60" s="189">
        <v>0</v>
      </c>
      <c r="CH60" s="189">
        <v>0</v>
      </c>
      <c r="CI60" s="189">
        <v>0</v>
      </c>
      <c r="CJ60" s="189"/>
      <c r="CK60" s="189"/>
      <c r="CL60" s="189"/>
    </row>
    <row r="61" spans="1:90" s="192" customFormat="1">
      <c r="A61" s="192" t="s">
        <v>43</v>
      </c>
      <c r="B61" s="189">
        <v>408393666.47000003</v>
      </c>
      <c r="C61" s="189">
        <v>354785275.44999999</v>
      </c>
      <c r="D61" s="189">
        <v>296552349.56999999</v>
      </c>
      <c r="E61" s="189">
        <v>31255212.34</v>
      </c>
      <c r="F61" s="189">
        <v>26722101.329999998</v>
      </c>
      <c r="G61" s="189">
        <v>30921099.77</v>
      </c>
      <c r="H61" s="189">
        <v>34692310.090000004</v>
      </c>
      <c r="I61" s="189">
        <v>44889084.670000002</v>
      </c>
      <c r="J61" s="189">
        <v>55029109.909999996</v>
      </c>
      <c r="K61" s="189">
        <v>64107649</v>
      </c>
      <c r="L61" s="189">
        <v>73873233.370000005</v>
      </c>
      <c r="M61" s="189">
        <v>84617648</v>
      </c>
      <c r="N61" s="189">
        <v>95768614.75</v>
      </c>
      <c r="O61" s="189">
        <v>112478405</v>
      </c>
      <c r="P61" s="189">
        <v>129535268.04000001</v>
      </c>
      <c r="Q61" s="189">
        <v>132550551</v>
      </c>
      <c r="R61" s="189">
        <v>138101628.50999999</v>
      </c>
      <c r="S61" s="189">
        <v>58817870</v>
      </c>
      <c r="T61" s="189">
        <v>59457572.68</v>
      </c>
      <c r="U61" s="189">
        <v>60905724</v>
      </c>
      <c r="V61" s="189">
        <v>64072599</v>
      </c>
      <c r="W61" s="189">
        <v>63777622</v>
      </c>
      <c r="X61" s="189">
        <v>59642968.509999998</v>
      </c>
      <c r="Y61" s="189">
        <v>57866021</v>
      </c>
      <c r="Z61" s="189">
        <v>50521215</v>
      </c>
      <c r="AA61" s="189">
        <v>44061238</v>
      </c>
      <c r="AB61" s="189">
        <v>37361683.140000001</v>
      </c>
      <c r="AC61" s="189">
        <v>32778714</v>
      </c>
      <c r="AD61" s="189">
        <v>25083332.449999999</v>
      </c>
      <c r="AE61" s="189">
        <v>21691239</v>
      </c>
      <c r="AF61" s="189">
        <v>19395906.079999998</v>
      </c>
      <c r="AG61" s="189">
        <v>13933000</v>
      </c>
      <c r="AH61" s="189">
        <v>2338544.1</v>
      </c>
      <c r="AI61" s="189">
        <v>478232.39</v>
      </c>
      <c r="AJ61" s="189">
        <v>881605.04</v>
      </c>
      <c r="AK61" s="189">
        <v>1570896.8</v>
      </c>
      <c r="AL61" s="189">
        <v>2260555.21</v>
      </c>
      <c r="AM61" s="189">
        <v>2950213.45</v>
      </c>
      <c r="AN61" s="189">
        <v>1294768.8500000001</v>
      </c>
      <c r="AO61" s="189">
        <v>122133.31</v>
      </c>
      <c r="AP61" s="189">
        <v>132233.32</v>
      </c>
      <c r="AQ61" s="189">
        <v>171742.95</v>
      </c>
      <c r="AR61" s="189">
        <v>152400</v>
      </c>
      <c r="AS61" s="189">
        <v>162450</v>
      </c>
      <c r="AT61" s="189">
        <v>6006434.8399999999</v>
      </c>
      <c r="AU61" s="189">
        <v>5194330.3499999996</v>
      </c>
      <c r="AV61" s="189">
        <v>148965.29999999999</v>
      </c>
      <c r="AW61" s="189">
        <v>65523.19</v>
      </c>
      <c r="AX61" s="189">
        <v>17190</v>
      </c>
      <c r="AY61" s="189">
        <v>25709.8</v>
      </c>
      <c r="AZ61" s="189">
        <v>20832.86</v>
      </c>
      <c r="BA61" s="189">
        <v>127604.26</v>
      </c>
      <c r="BB61" s="189">
        <v>529480.84</v>
      </c>
      <c r="BC61" s="189">
        <v>725579.54</v>
      </c>
      <c r="BD61" s="189">
        <v>906848.24</v>
      </c>
      <c r="BE61" s="189">
        <v>1108066.94</v>
      </c>
      <c r="BF61" s="189">
        <v>1890464.1</v>
      </c>
      <c r="BG61" s="189">
        <v>1457366.84</v>
      </c>
      <c r="BH61" s="189">
        <v>1699364.96</v>
      </c>
      <c r="BI61" s="189">
        <v>1941363.08</v>
      </c>
      <c r="BJ61" s="189">
        <v>6687883.6100000003</v>
      </c>
      <c r="BK61" s="189">
        <v>7010469.54</v>
      </c>
      <c r="BL61" s="189">
        <v>2772609.86</v>
      </c>
      <c r="BM61" s="189">
        <v>3105724.89</v>
      </c>
      <c r="BN61" s="189">
        <v>3463564.95</v>
      </c>
      <c r="BO61" s="189">
        <v>3849405.21</v>
      </c>
      <c r="BP61" s="189">
        <v>4235245.47</v>
      </c>
      <c r="BQ61" s="189">
        <v>4621085.7300000004</v>
      </c>
      <c r="BR61" s="189">
        <v>4497313.88</v>
      </c>
      <c r="BS61" s="189">
        <v>4981740.62</v>
      </c>
      <c r="BT61" s="189">
        <v>3135028.22</v>
      </c>
      <c r="BU61" s="189">
        <v>3597144.24</v>
      </c>
      <c r="BV61" s="189">
        <v>4239606.21</v>
      </c>
      <c r="BW61" s="189">
        <v>5284720.6100000003</v>
      </c>
      <c r="BX61" s="189">
        <v>5974148.04</v>
      </c>
      <c r="BY61" s="189">
        <v>0</v>
      </c>
      <c r="BZ61" s="189">
        <v>0</v>
      </c>
      <c r="CA61" s="189">
        <v>0</v>
      </c>
      <c r="CB61" s="189">
        <v>0</v>
      </c>
      <c r="CC61" s="189">
        <v>0</v>
      </c>
      <c r="CD61" s="189">
        <v>0</v>
      </c>
      <c r="CE61" s="189">
        <v>0</v>
      </c>
      <c r="CF61" s="189">
        <v>0</v>
      </c>
      <c r="CG61" s="189">
        <v>0</v>
      </c>
      <c r="CH61" s="189">
        <v>0</v>
      </c>
      <c r="CI61" s="189">
        <v>0</v>
      </c>
      <c r="CJ61" s="189"/>
      <c r="CK61" s="189"/>
      <c r="CL61" s="189"/>
    </row>
    <row r="62" spans="1:90" s="192" customFormat="1">
      <c r="A62" s="192" t="s">
        <v>44</v>
      </c>
      <c r="B62" s="189">
        <v>380768502.64999998</v>
      </c>
      <c r="C62" s="189">
        <v>346805109.75</v>
      </c>
      <c r="D62" s="189">
        <v>309409124.56999999</v>
      </c>
      <c r="E62" s="189">
        <v>271732067.31</v>
      </c>
      <c r="F62" s="189">
        <v>264984112.34</v>
      </c>
      <c r="G62" s="189">
        <v>226382554.44</v>
      </c>
      <c r="H62" s="189">
        <v>202683759.09</v>
      </c>
      <c r="I62" s="189">
        <v>228666980.59999999</v>
      </c>
      <c r="J62" s="189">
        <v>270507307.04000002</v>
      </c>
      <c r="K62" s="189">
        <v>273963506</v>
      </c>
      <c r="L62" s="189">
        <v>278539140.00999999</v>
      </c>
      <c r="M62" s="189">
        <v>271274232</v>
      </c>
      <c r="N62" s="189">
        <v>282472303.36000001</v>
      </c>
      <c r="O62" s="189">
        <v>259400202</v>
      </c>
      <c r="P62" s="189">
        <v>260559923.28</v>
      </c>
      <c r="Q62" s="189">
        <v>261310824</v>
      </c>
      <c r="R62" s="189">
        <v>225384538.21000001</v>
      </c>
      <c r="S62" s="189">
        <v>60266644</v>
      </c>
      <c r="T62" s="189">
        <v>60680940.170000002</v>
      </c>
      <c r="U62" s="189">
        <v>60366650</v>
      </c>
      <c r="V62" s="189">
        <v>65427796</v>
      </c>
      <c r="W62" s="189">
        <v>81663635</v>
      </c>
      <c r="X62" s="189">
        <v>75470953.150000006</v>
      </c>
      <c r="Y62" s="189">
        <v>72340313</v>
      </c>
      <c r="Z62" s="189">
        <v>71389507</v>
      </c>
      <c r="AA62" s="189">
        <v>79205348</v>
      </c>
      <c r="AB62" s="189">
        <v>75826420.099999994</v>
      </c>
      <c r="AC62" s="189">
        <v>71759544</v>
      </c>
      <c r="AD62" s="189">
        <v>65057320.82</v>
      </c>
      <c r="AE62" s="189">
        <v>68816489</v>
      </c>
      <c r="AF62" s="189">
        <v>66728778.810000002</v>
      </c>
      <c r="AG62" s="189">
        <v>66617109</v>
      </c>
      <c r="AH62" s="189">
        <v>72403911.569999993</v>
      </c>
      <c r="AI62" s="189">
        <v>86007467.879999995</v>
      </c>
      <c r="AJ62" s="189">
        <v>99223333.390000001</v>
      </c>
      <c r="AK62" s="189">
        <v>101588291.45</v>
      </c>
      <c r="AL62" s="189">
        <v>72502257.370000005</v>
      </c>
      <c r="AM62" s="189">
        <v>72822016.540000007</v>
      </c>
      <c r="AN62" s="189">
        <v>60656858.759999998</v>
      </c>
      <c r="AO62" s="189">
        <v>47046272.450000003</v>
      </c>
      <c r="AP62" s="189">
        <v>21161570.98</v>
      </c>
      <c r="AQ62" s="189">
        <v>19784583.039999999</v>
      </c>
      <c r="AR62" s="189">
        <v>17140263.109999999</v>
      </c>
      <c r="AS62" s="189">
        <v>16731757.529999999</v>
      </c>
      <c r="AT62" s="189">
        <v>14144697.609999999</v>
      </c>
      <c r="AU62" s="189">
        <v>14084328.17</v>
      </c>
      <c r="AV62" s="189">
        <v>13908012.35</v>
      </c>
      <c r="AW62" s="189">
        <v>0</v>
      </c>
      <c r="AX62" s="189">
        <v>0</v>
      </c>
      <c r="AY62" s="189">
        <v>0</v>
      </c>
      <c r="AZ62" s="189">
        <v>0</v>
      </c>
      <c r="BA62" s="189">
        <v>0</v>
      </c>
      <c r="BB62" s="189">
        <v>0</v>
      </c>
      <c r="BC62" s="189">
        <v>0</v>
      </c>
      <c r="BD62" s="189">
        <v>0</v>
      </c>
      <c r="BE62" s="189">
        <v>0</v>
      </c>
      <c r="BF62" s="189">
        <v>0</v>
      </c>
      <c r="BG62" s="189">
        <v>0</v>
      </c>
      <c r="BH62" s="189">
        <v>0</v>
      </c>
      <c r="BI62" s="189">
        <v>0</v>
      </c>
      <c r="BJ62" s="189">
        <v>0</v>
      </c>
      <c r="BK62" s="189">
        <v>0</v>
      </c>
      <c r="BL62" s="189">
        <v>0</v>
      </c>
      <c r="BM62" s="189">
        <v>0</v>
      </c>
      <c r="BN62" s="189">
        <v>0</v>
      </c>
      <c r="BO62" s="189">
        <v>0</v>
      </c>
      <c r="BP62" s="189">
        <v>0</v>
      </c>
      <c r="BQ62" s="189">
        <v>0</v>
      </c>
      <c r="BR62" s="189">
        <v>0</v>
      </c>
      <c r="BS62" s="189">
        <v>0</v>
      </c>
      <c r="BT62" s="189">
        <v>0</v>
      </c>
      <c r="BU62" s="189">
        <v>0</v>
      </c>
      <c r="BV62" s="189">
        <v>0</v>
      </c>
      <c r="BW62" s="189">
        <v>0</v>
      </c>
      <c r="BX62" s="189">
        <v>0</v>
      </c>
      <c r="BY62" s="189">
        <v>0</v>
      </c>
      <c r="BZ62" s="189">
        <v>0</v>
      </c>
      <c r="CA62" s="189">
        <v>0</v>
      </c>
      <c r="CB62" s="189">
        <v>0</v>
      </c>
      <c r="CC62" s="189">
        <v>0</v>
      </c>
      <c r="CD62" s="189">
        <v>0</v>
      </c>
      <c r="CE62" s="189">
        <v>0</v>
      </c>
      <c r="CF62" s="189">
        <v>0</v>
      </c>
      <c r="CG62" s="189">
        <v>0</v>
      </c>
      <c r="CH62" s="189">
        <v>0</v>
      </c>
      <c r="CI62" s="189">
        <v>0</v>
      </c>
      <c r="CJ62" s="189"/>
      <c r="CK62" s="189"/>
      <c r="CL62" s="189"/>
    </row>
    <row r="63" spans="1:90" s="192" customFormat="1">
      <c r="A63" s="192" t="s">
        <v>45</v>
      </c>
      <c r="B63" s="189">
        <v>55045146.149999999</v>
      </c>
      <c r="C63" s="189">
        <v>55804785.600000001</v>
      </c>
      <c r="D63" s="189">
        <v>50065548.020000003</v>
      </c>
      <c r="E63" s="189">
        <v>38346244.920000002</v>
      </c>
      <c r="F63" s="189">
        <v>38601595.560000002</v>
      </c>
      <c r="G63" s="189">
        <v>38856946.310000002</v>
      </c>
      <c r="H63" s="189">
        <v>39112297.07</v>
      </c>
      <c r="I63" s="189">
        <v>39367647.82</v>
      </c>
      <c r="J63" s="189">
        <v>39621569.93</v>
      </c>
      <c r="K63" s="189">
        <v>39877397</v>
      </c>
      <c r="L63" s="189">
        <v>40133223.82</v>
      </c>
      <c r="M63" s="189">
        <v>40389051</v>
      </c>
      <c r="N63" s="189">
        <v>40644877.710000001</v>
      </c>
      <c r="O63" s="189">
        <v>40900705</v>
      </c>
      <c r="P63" s="189">
        <v>41156531.600000001</v>
      </c>
      <c r="Q63" s="189">
        <v>41412359</v>
      </c>
      <c r="R63" s="189">
        <v>0</v>
      </c>
      <c r="S63" s="189">
        <v>0</v>
      </c>
      <c r="T63" s="189">
        <v>0</v>
      </c>
      <c r="U63" s="189">
        <v>0</v>
      </c>
      <c r="V63" s="189">
        <v>0</v>
      </c>
      <c r="W63" s="189">
        <v>0</v>
      </c>
      <c r="X63" s="189">
        <v>0</v>
      </c>
      <c r="Y63" s="189">
        <v>0</v>
      </c>
      <c r="Z63" s="189">
        <v>333142</v>
      </c>
      <c r="AA63" s="189">
        <v>0</v>
      </c>
      <c r="AB63" s="189">
        <v>1004834.77</v>
      </c>
      <c r="AC63" s="189">
        <v>0</v>
      </c>
      <c r="AD63" s="189">
        <v>809156.42</v>
      </c>
      <c r="AE63" s="189">
        <v>0</v>
      </c>
      <c r="AF63" s="189">
        <v>0</v>
      </c>
      <c r="AG63" s="189">
        <v>0</v>
      </c>
      <c r="AH63" s="189">
        <v>31495.17</v>
      </c>
      <c r="AI63" s="189">
        <v>31917.23</v>
      </c>
      <c r="AJ63" s="189">
        <v>32083.61</v>
      </c>
      <c r="AK63" s="189">
        <v>32092.54</v>
      </c>
      <c r="AL63" s="189">
        <v>47803</v>
      </c>
      <c r="AM63" s="189">
        <v>47823.3</v>
      </c>
      <c r="AN63" s="189">
        <v>0</v>
      </c>
      <c r="AO63" s="189">
        <v>0</v>
      </c>
      <c r="AP63" s="189">
        <v>11598489.199999999</v>
      </c>
      <c r="AQ63" s="189">
        <v>15555734.720000001</v>
      </c>
      <c r="AR63" s="189">
        <v>25084443.98</v>
      </c>
      <c r="AS63" s="189">
        <v>31021379.289999999</v>
      </c>
      <c r="AT63" s="189">
        <v>29852737.41</v>
      </c>
      <c r="AU63" s="189">
        <v>0</v>
      </c>
      <c r="AV63" s="189">
        <v>0</v>
      </c>
      <c r="AW63" s="189">
        <v>0</v>
      </c>
      <c r="AX63" s="189">
        <v>0</v>
      </c>
      <c r="AY63" s="189">
        <v>0</v>
      </c>
      <c r="AZ63" s="189">
        <v>0</v>
      </c>
      <c r="BA63" s="189">
        <v>0</v>
      </c>
      <c r="BB63" s="189">
        <v>0</v>
      </c>
      <c r="BC63" s="189">
        <v>0</v>
      </c>
      <c r="BD63" s="189">
        <v>0</v>
      </c>
      <c r="BE63" s="189">
        <v>0</v>
      </c>
      <c r="BF63" s="189">
        <v>0</v>
      </c>
      <c r="BG63" s="189">
        <v>0</v>
      </c>
      <c r="BH63" s="189">
        <v>0</v>
      </c>
      <c r="BI63" s="189">
        <v>0</v>
      </c>
      <c r="BJ63" s="189">
        <v>0</v>
      </c>
      <c r="BK63" s="189">
        <v>0</v>
      </c>
      <c r="BL63" s="189">
        <v>0</v>
      </c>
      <c r="BM63" s="189">
        <v>0</v>
      </c>
      <c r="BN63" s="189">
        <v>0</v>
      </c>
      <c r="BO63" s="189">
        <v>0</v>
      </c>
      <c r="BP63" s="189">
        <v>0</v>
      </c>
      <c r="BQ63" s="189">
        <v>0</v>
      </c>
      <c r="BR63" s="189">
        <v>0</v>
      </c>
      <c r="BS63" s="189">
        <v>0</v>
      </c>
      <c r="BT63" s="189">
        <v>0</v>
      </c>
      <c r="BU63" s="189">
        <v>0</v>
      </c>
      <c r="BV63" s="189">
        <v>0</v>
      </c>
      <c r="BW63" s="189">
        <v>0</v>
      </c>
      <c r="BX63" s="189">
        <v>0</v>
      </c>
      <c r="BY63" s="189">
        <v>0</v>
      </c>
      <c r="BZ63" s="189">
        <v>0</v>
      </c>
      <c r="CA63" s="189">
        <v>0</v>
      </c>
      <c r="CB63" s="189">
        <v>0</v>
      </c>
      <c r="CC63" s="189">
        <v>0</v>
      </c>
      <c r="CD63" s="189">
        <v>0</v>
      </c>
      <c r="CE63" s="189">
        <v>0</v>
      </c>
      <c r="CF63" s="189">
        <v>0</v>
      </c>
      <c r="CG63" s="189">
        <v>0</v>
      </c>
      <c r="CH63" s="189">
        <v>0</v>
      </c>
      <c r="CI63" s="189">
        <v>0</v>
      </c>
      <c r="CJ63" s="189"/>
      <c r="CK63" s="189"/>
      <c r="CL63" s="189"/>
    </row>
    <row r="64" spans="1:90" s="192" customFormat="1">
      <c r="A64" s="192" t="s">
        <v>46</v>
      </c>
      <c r="B64" s="189">
        <v>19410356.809999999</v>
      </c>
      <c r="C64" s="189">
        <v>34645686.539999999</v>
      </c>
      <c r="D64" s="189">
        <v>366047749.22000003</v>
      </c>
      <c r="E64" s="189">
        <v>19736400.379999999</v>
      </c>
      <c r="F64" s="189">
        <v>22818160.420000002</v>
      </c>
      <c r="G64" s="189">
        <v>17103101.34</v>
      </c>
      <c r="H64" s="189">
        <v>32051183.93</v>
      </c>
      <c r="I64" s="189">
        <v>355113642.12</v>
      </c>
      <c r="J64" s="189">
        <v>112321974.08</v>
      </c>
      <c r="K64" s="189">
        <v>143850182</v>
      </c>
      <c r="L64" s="189">
        <v>77580207.040000007</v>
      </c>
      <c r="M64" s="189">
        <v>60674919</v>
      </c>
      <c r="N64" s="189">
        <v>76741574.299999997</v>
      </c>
      <c r="O64" s="189">
        <v>96838594</v>
      </c>
      <c r="P64" s="189">
        <v>169331259.83000001</v>
      </c>
      <c r="Q64" s="189">
        <v>371716080</v>
      </c>
      <c r="R64" s="189">
        <v>222263944.84999999</v>
      </c>
      <c r="S64" s="189">
        <v>78644532</v>
      </c>
      <c r="T64" s="189">
        <v>102538656.95999999</v>
      </c>
      <c r="U64" s="189">
        <v>113942323</v>
      </c>
      <c r="V64" s="189">
        <v>168389548</v>
      </c>
      <c r="W64" s="189">
        <v>183116893</v>
      </c>
      <c r="X64" s="189">
        <v>192147977.91</v>
      </c>
      <c r="Y64" s="189">
        <v>221636627</v>
      </c>
      <c r="Z64" s="189">
        <v>0</v>
      </c>
      <c r="AA64" s="189">
        <v>0</v>
      </c>
      <c r="AB64" s="189">
        <v>0</v>
      </c>
      <c r="AC64" s="189">
        <v>658382</v>
      </c>
      <c r="AD64" s="189">
        <v>0</v>
      </c>
      <c r="AE64" s="189">
        <v>6486000</v>
      </c>
      <c r="AF64" s="189">
        <v>0</v>
      </c>
      <c r="AG64" s="189">
        <v>0</v>
      </c>
      <c r="AH64" s="189">
        <v>0</v>
      </c>
      <c r="AI64" s="189">
        <v>0</v>
      </c>
      <c r="AJ64" s="189">
        <v>0</v>
      </c>
      <c r="AK64" s="189">
        <v>0</v>
      </c>
      <c r="AL64" s="189">
        <v>0</v>
      </c>
      <c r="AM64" s="189">
        <v>0</v>
      </c>
      <c r="AN64" s="189">
        <v>0</v>
      </c>
      <c r="AO64" s="189">
        <v>0</v>
      </c>
      <c r="AP64" s="189">
        <v>0</v>
      </c>
      <c r="AQ64" s="189">
        <v>0</v>
      </c>
      <c r="AR64" s="189">
        <v>0</v>
      </c>
      <c r="AS64" s="189">
        <v>0</v>
      </c>
      <c r="AT64" s="189">
        <v>0</v>
      </c>
      <c r="AU64" s="189">
        <v>0</v>
      </c>
      <c r="AV64" s="189">
        <v>0</v>
      </c>
      <c r="AW64" s="189">
        <v>0</v>
      </c>
      <c r="AX64" s="189">
        <v>0</v>
      </c>
      <c r="AY64" s="189">
        <v>0</v>
      </c>
      <c r="AZ64" s="189">
        <v>0</v>
      </c>
      <c r="BA64" s="189">
        <v>0</v>
      </c>
      <c r="BB64" s="189">
        <v>0</v>
      </c>
      <c r="BC64" s="189">
        <v>0</v>
      </c>
      <c r="BD64" s="189">
        <v>0</v>
      </c>
      <c r="BE64" s="189">
        <v>0</v>
      </c>
      <c r="BF64" s="189">
        <v>0</v>
      </c>
      <c r="BG64" s="189">
        <v>0</v>
      </c>
      <c r="BH64" s="189">
        <v>0</v>
      </c>
      <c r="BI64" s="189">
        <v>0</v>
      </c>
      <c r="BJ64" s="189">
        <v>0</v>
      </c>
      <c r="BK64" s="189">
        <v>0</v>
      </c>
      <c r="BL64" s="189">
        <v>0</v>
      </c>
      <c r="BM64" s="189">
        <v>0</v>
      </c>
      <c r="BN64" s="189">
        <v>0</v>
      </c>
      <c r="BO64" s="189">
        <v>0</v>
      </c>
      <c r="BP64" s="189">
        <v>0</v>
      </c>
      <c r="BQ64" s="189">
        <v>0</v>
      </c>
      <c r="BR64" s="189">
        <v>0</v>
      </c>
      <c r="BS64" s="189">
        <v>0</v>
      </c>
      <c r="BT64" s="189">
        <v>0</v>
      </c>
      <c r="BU64" s="189">
        <v>0</v>
      </c>
      <c r="BV64" s="189">
        <v>0</v>
      </c>
      <c r="BW64" s="189">
        <v>0</v>
      </c>
      <c r="BX64" s="189">
        <v>358650</v>
      </c>
      <c r="BY64" s="189">
        <v>6013900.2800000003</v>
      </c>
      <c r="BZ64" s="189">
        <v>0</v>
      </c>
      <c r="CA64" s="189">
        <v>7586578.29</v>
      </c>
      <c r="CB64" s="189">
        <v>0</v>
      </c>
      <c r="CC64" s="189">
        <v>5890489.4299999997</v>
      </c>
      <c r="CD64" s="189">
        <v>0</v>
      </c>
      <c r="CE64" s="189">
        <v>5912777.7999999998</v>
      </c>
      <c r="CF64" s="189">
        <v>12517626.5</v>
      </c>
      <c r="CG64" s="189">
        <v>0</v>
      </c>
      <c r="CH64" s="189">
        <v>0</v>
      </c>
      <c r="CI64" s="189">
        <v>0</v>
      </c>
      <c r="CJ64" s="189"/>
      <c r="CK64" s="189"/>
      <c r="CL64" s="189"/>
    </row>
    <row r="65" spans="1:90" ht="14.45" hidden="1">
      <c r="B65" s="26"/>
      <c r="C65" s="26"/>
      <c r="D65" s="26"/>
      <c r="E65" s="26"/>
      <c r="F65" s="26"/>
      <c r="G65" s="26"/>
      <c r="H65" s="26"/>
      <c r="I65" s="26"/>
      <c r="J65" s="26"/>
      <c r="K65" s="26"/>
      <c r="L65" s="23"/>
    </row>
    <row r="66" spans="1:90" ht="14.45" hidden="1">
      <c r="B66" s="26"/>
      <c r="C66" s="26"/>
      <c r="D66" s="26"/>
      <c r="E66" s="26"/>
      <c r="F66" s="26"/>
      <c r="G66" s="26"/>
      <c r="H66" s="26"/>
      <c r="I66" s="26"/>
      <c r="J66" s="26"/>
      <c r="K66" s="26"/>
      <c r="L66" s="23"/>
    </row>
    <row r="67" spans="1:90" ht="14.45" hidden="1">
      <c r="B67" s="26"/>
      <c r="C67" s="26"/>
      <c r="D67" s="26"/>
      <c r="E67" s="26"/>
      <c r="F67" s="26"/>
      <c r="G67" s="26"/>
      <c r="H67" s="26"/>
      <c r="I67" s="26"/>
      <c r="J67" s="26"/>
      <c r="K67" s="26"/>
      <c r="L67" s="23"/>
    </row>
    <row r="68" spans="1:90" s="12" customFormat="1">
      <c r="A68" s="125" t="s">
        <v>47</v>
      </c>
      <c r="B68" s="36">
        <f>SUM(B52:B64)-2*B63</f>
        <v>44734996912.409996</v>
      </c>
      <c r="C68" s="36">
        <f t="shared" ref="C68:BN68" si="8">SUM(C52:C64)-2*C63</f>
        <v>44217765387.469994</v>
      </c>
      <c r="D68" s="36">
        <f t="shared" si="8"/>
        <v>43346420542.269997</v>
      </c>
      <c r="E68" s="36">
        <f t="shared" si="8"/>
        <v>17979439545.629997</v>
      </c>
      <c r="F68" s="36">
        <f t="shared" si="8"/>
        <v>17275673182.619999</v>
      </c>
      <c r="G68" s="36">
        <f t="shared" si="8"/>
        <v>16212092731.49</v>
      </c>
      <c r="H68" s="36">
        <f t="shared" si="8"/>
        <v>15004693768.980001</v>
      </c>
      <c r="I68" s="36">
        <f t="shared" si="8"/>
        <v>11859660776.600002</v>
      </c>
      <c r="J68" s="36">
        <f t="shared" si="8"/>
        <v>10952660553.200001</v>
      </c>
      <c r="K68" s="36">
        <f t="shared" si="8"/>
        <v>10282920094</v>
      </c>
      <c r="L68" s="36">
        <f t="shared" si="8"/>
        <v>10107441140.140003</v>
      </c>
      <c r="M68" s="36">
        <f t="shared" si="8"/>
        <v>9991098352</v>
      </c>
      <c r="N68" s="36">
        <f t="shared" si="8"/>
        <v>10013081556.679998</v>
      </c>
      <c r="O68" s="36">
        <f t="shared" si="8"/>
        <v>10016128783</v>
      </c>
      <c r="P68" s="36">
        <f t="shared" si="8"/>
        <v>9970453108.6800003</v>
      </c>
      <c r="Q68" s="36">
        <f t="shared" si="8"/>
        <v>10121297801</v>
      </c>
      <c r="R68" s="36">
        <f t="shared" si="8"/>
        <v>10274222589.23</v>
      </c>
      <c r="S68" s="36">
        <f t="shared" si="8"/>
        <v>4749636104</v>
      </c>
      <c r="T68" s="36">
        <f t="shared" si="8"/>
        <v>4826317759.04</v>
      </c>
      <c r="U68" s="36">
        <f t="shared" si="8"/>
        <v>4910395414</v>
      </c>
      <c r="V68" s="36">
        <f t="shared" si="8"/>
        <v>5060905467</v>
      </c>
      <c r="W68" s="36">
        <f t="shared" si="8"/>
        <v>5195058539</v>
      </c>
      <c r="X68" s="36">
        <f t="shared" si="8"/>
        <v>5305250359.1300001</v>
      </c>
      <c r="Y68" s="36">
        <f t="shared" si="8"/>
        <v>5410423543</v>
      </c>
      <c r="Z68" s="36">
        <f t="shared" si="8"/>
        <v>5253693297</v>
      </c>
      <c r="AA68" s="36">
        <f t="shared" si="8"/>
        <v>5331148907</v>
      </c>
      <c r="AB68" s="36">
        <f t="shared" si="8"/>
        <v>5397880008.8100023</v>
      </c>
      <c r="AC68" s="36">
        <f t="shared" si="8"/>
        <v>5490391736</v>
      </c>
      <c r="AD68" s="36">
        <f t="shared" si="8"/>
        <v>5340239391.0699997</v>
      </c>
      <c r="AE68" s="36">
        <f t="shared" si="8"/>
        <v>5402080602</v>
      </c>
      <c r="AF68" s="36">
        <f t="shared" si="8"/>
        <v>5429906012.6300001</v>
      </c>
      <c r="AG68" s="36">
        <f t="shared" si="8"/>
        <v>5440685019</v>
      </c>
      <c r="AH68" s="36">
        <f t="shared" si="8"/>
        <v>5286604339.0500002</v>
      </c>
      <c r="AI68" s="36">
        <f t="shared" si="8"/>
        <v>5054322378.8399992</v>
      </c>
      <c r="AJ68" s="36">
        <f t="shared" si="8"/>
        <v>4967704990.5500002</v>
      </c>
      <c r="AK68" s="36">
        <f t="shared" si="8"/>
        <v>4543175421.7299995</v>
      </c>
      <c r="AL68" s="36">
        <f t="shared" si="8"/>
        <v>4134285375.9899998</v>
      </c>
      <c r="AM68" s="36">
        <f t="shared" si="8"/>
        <v>4072491484.3200002</v>
      </c>
      <c r="AN68" s="36">
        <f t="shared" si="8"/>
        <v>3999705791.6300001</v>
      </c>
      <c r="AO68" s="36">
        <f t="shared" si="8"/>
        <v>3996399107.8400002</v>
      </c>
      <c r="AP68" s="36">
        <f t="shared" si="8"/>
        <v>3676737167.1999998</v>
      </c>
      <c r="AQ68" s="36">
        <f t="shared" si="8"/>
        <v>3330029427.8699994</v>
      </c>
      <c r="AR68" s="36">
        <f t="shared" si="8"/>
        <v>2964540950.8500004</v>
      </c>
      <c r="AS68" s="36">
        <f t="shared" si="8"/>
        <v>2737212161.5900002</v>
      </c>
      <c r="AT68" s="36">
        <f t="shared" si="8"/>
        <v>2343286430.6500001</v>
      </c>
      <c r="AU68" s="36">
        <f t="shared" si="8"/>
        <v>1255480708.8900001</v>
      </c>
      <c r="AV68" s="36">
        <f t="shared" si="8"/>
        <v>998453716.98000002</v>
      </c>
      <c r="AW68" s="36">
        <f t="shared" si="8"/>
        <v>552558864.32000005</v>
      </c>
      <c r="AX68" s="36">
        <f t="shared" si="8"/>
        <v>543322800.72000003</v>
      </c>
      <c r="AY68" s="36">
        <f t="shared" si="8"/>
        <v>550548574.7299999</v>
      </c>
      <c r="AZ68" s="36">
        <f t="shared" si="8"/>
        <v>563488545.72000003</v>
      </c>
      <c r="BA68" s="36">
        <f t="shared" si="8"/>
        <v>575646244.75999987</v>
      </c>
      <c r="BB68" s="36">
        <f t="shared" si="8"/>
        <v>586355391.00999999</v>
      </c>
      <c r="BC68" s="36">
        <f t="shared" si="8"/>
        <v>597615163.26999998</v>
      </c>
      <c r="BD68" s="36">
        <f t="shared" si="8"/>
        <v>609924230.62</v>
      </c>
      <c r="BE68" s="36">
        <f t="shared" si="8"/>
        <v>618857137.5400002</v>
      </c>
      <c r="BF68" s="36">
        <f t="shared" si="8"/>
        <v>595974055.66999996</v>
      </c>
      <c r="BG68" s="36">
        <f t="shared" si="8"/>
        <v>606158223.61000001</v>
      </c>
      <c r="BH68" s="36">
        <f t="shared" si="8"/>
        <v>602415825.05000007</v>
      </c>
      <c r="BI68" s="36">
        <f t="shared" si="8"/>
        <v>623192779.34000003</v>
      </c>
      <c r="BJ68" s="36">
        <f t="shared" si="8"/>
        <v>581203336.89999998</v>
      </c>
      <c r="BK68" s="36">
        <f t="shared" si="8"/>
        <v>571151976.6099999</v>
      </c>
      <c r="BL68" s="36">
        <f t="shared" si="8"/>
        <v>533887678.29000008</v>
      </c>
      <c r="BM68" s="36">
        <f t="shared" si="8"/>
        <v>530574969.35999995</v>
      </c>
      <c r="BN68" s="36">
        <f t="shared" si="8"/>
        <v>266487205.75999999</v>
      </c>
      <c r="BO68" s="36">
        <f t="shared" ref="BO68:CK68" si="9">SUM(BO52:BO64)-2*BO63</f>
        <v>253733064.18000004</v>
      </c>
      <c r="BP68" s="36">
        <f t="shared" si="9"/>
        <v>242814284.77000001</v>
      </c>
      <c r="BQ68" s="36">
        <f t="shared" si="9"/>
        <v>228276055.34999999</v>
      </c>
      <c r="BR68" s="36">
        <f t="shared" si="9"/>
        <v>225536625.93999997</v>
      </c>
      <c r="BS68" s="36">
        <f t="shared" si="9"/>
        <v>214794658.21000001</v>
      </c>
      <c r="BT68" s="36">
        <f t="shared" si="9"/>
        <v>221512773.78999999</v>
      </c>
      <c r="BU68" s="36">
        <f t="shared" si="9"/>
        <v>217254771.89000002</v>
      </c>
      <c r="BV68" s="36">
        <f t="shared" si="9"/>
        <v>223944119.79000002</v>
      </c>
      <c r="BW68" s="36">
        <f t="shared" si="9"/>
        <v>232272352.60000002</v>
      </c>
      <c r="BX68" s="36">
        <f t="shared" si="9"/>
        <v>95397692.190000013</v>
      </c>
      <c r="BY68" s="36">
        <f t="shared" si="9"/>
        <v>98455842.080000013</v>
      </c>
      <c r="BZ68" s="36">
        <f t="shared" si="9"/>
        <v>93907953.310000002</v>
      </c>
      <c r="CA68" s="36">
        <f t="shared" si="9"/>
        <v>104975543.53999999</v>
      </c>
      <c r="CB68" s="36">
        <f t="shared" si="9"/>
        <v>96510000</v>
      </c>
      <c r="CC68" s="36">
        <f t="shared" si="9"/>
        <v>105508415.40000001</v>
      </c>
      <c r="CD68" s="36">
        <f t="shared" si="9"/>
        <v>102190000</v>
      </c>
      <c r="CE68" s="36">
        <f t="shared" si="9"/>
        <v>112360606.42999999</v>
      </c>
      <c r="CF68" s="36">
        <f t="shared" si="9"/>
        <v>147224296.02000001</v>
      </c>
      <c r="CG68" s="36">
        <f t="shared" si="9"/>
        <v>36293400</v>
      </c>
      <c r="CH68" s="36">
        <f t="shared" si="9"/>
        <v>35881300</v>
      </c>
      <c r="CI68" s="36">
        <f t="shared" si="9"/>
        <v>0</v>
      </c>
      <c r="CJ68" s="36">
        <f t="shared" si="9"/>
        <v>0</v>
      </c>
      <c r="CK68" s="36">
        <f t="shared" si="9"/>
        <v>0</v>
      </c>
    </row>
    <row r="69" spans="1:90" s="5" customFormat="1">
      <c r="A69" s="126" t="s">
        <v>48</v>
      </c>
      <c r="B69" s="33">
        <f>B50+B68</f>
        <v>50532390428.509995</v>
      </c>
      <c r="C69" s="33">
        <f t="shared" ref="C69:BN69" si="10">C50+C68</f>
        <v>42468687667.009995</v>
      </c>
      <c r="D69" s="33">
        <f t="shared" si="10"/>
        <v>41584187672.599998</v>
      </c>
      <c r="E69" s="33">
        <f t="shared" si="10"/>
        <v>17011761885.129997</v>
      </c>
      <c r="F69" s="33">
        <f t="shared" si="10"/>
        <v>16473724998.529999</v>
      </c>
      <c r="G69" s="33">
        <f t="shared" si="10"/>
        <v>16336333711.42</v>
      </c>
      <c r="H69" s="33">
        <f t="shared" si="10"/>
        <v>15412442268.810001</v>
      </c>
      <c r="I69" s="33">
        <f t="shared" si="10"/>
        <v>10703138908.780003</v>
      </c>
      <c r="J69" s="33">
        <f t="shared" si="10"/>
        <v>10405556585.549999</v>
      </c>
      <c r="K69" s="33">
        <f t="shared" si="10"/>
        <v>10759567352</v>
      </c>
      <c r="L69" s="33">
        <f t="shared" si="10"/>
        <v>10176843881.180004</v>
      </c>
      <c r="M69" s="33">
        <f t="shared" si="10"/>
        <v>8137054630</v>
      </c>
      <c r="N69" s="33">
        <f t="shared" si="10"/>
        <v>9719632645.1299992</v>
      </c>
      <c r="O69" s="33">
        <f t="shared" si="10"/>
        <v>10296962315</v>
      </c>
      <c r="P69" s="33">
        <f t="shared" si="10"/>
        <v>9930544414.6300011</v>
      </c>
      <c r="Q69" s="33">
        <f t="shared" si="10"/>
        <v>10483662263</v>
      </c>
      <c r="R69" s="33">
        <f t="shared" si="10"/>
        <v>10705006499.74</v>
      </c>
      <c r="S69" s="33">
        <f t="shared" si="10"/>
        <v>4966556950</v>
      </c>
      <c r="T69" s="33">
        <f t="shared" si="10"/>
        <v>5078836346.1199999</v>
      </c>
      <c r="U69" s="33">
        <f t="shared" si="10"/>
        <v>4918833192</v>
      </c>
      <c r="V69" s="33">
        <f t="shared" si="10"/>
        <v>5733973938</v>
      </c>
      <c r="W69" s="33">
        <f t="shared" si="10"/>
        <v>5512744575</v>
      </c>
      <c r="X69" s="33">
        <f t="shared" si="10"/>
        <v>5698816176.4200001</v>
      </c>
      <c r="Y69" s="33">
        <f t="shared" si="10"/>
        <v>5717767750</v>
      </c>
      <c r="Z69" s="33">
        <f t="shared" si="10"/>
        <v>5994356131</v>
      </c>
      <c r="AA69" s="33">
        <f t="shared" si="10"/>
        <v>5942043692</v>
      </c>
      <c r="AB69" s="33">
        <f t="shared" si="10"/>
        <v>5614517437.6200027</v>
      </c>
      <c r="AC69" s="33">
        <f t="shared" si="10"/>
        <v>5777986546</v>
      </c>
      <c r="AD69" s="33">
        <f t="shared" si="10"/>
        <v>5569306992.5999994</v>
      </c>
      <c r="AE69" s="33">
        <f t="shared" si="10"/>
        <v>5670940864</v>
      </c>
      <c r="AF69" s="33">
        <f t="shared" si="10"/>
        <v>5559809921.8199997</v>
      </c>
      <c r="AG69" s="33">
        <f t="shared" si="10"/>
        <v>5315237440</v>
      </c>
      <c r="AH69" s="33">
        <f t="shared" si="10"/>
        <v>5526344491.8900003</v>
      </c>
      <c r="AI69" s="33">
        <f t="shared" si="10"/>
        <v>5147207291.289999</v>
      </c>
      <c r="AJ69" s="33">
        <f t="shared" si="10"/>
        <v>5102615380.8699999</v>
      </c>
      <c r="AK69" s="33">
        <f t="shared" si="10"/>
        <v>4429209330.2599993</v>
      </c>
      <c r="AL69" s="33">
        <f t="shared" si="10"/>
        <v>3937891120.0099998</v>
      </c>
      <c r="AM69" s="33">
        <f t="shared" si="10"/>
        <v>3922273092.48</v>
      </c>
      <c r="AN69" s="33">
        <f t="shared" si="10"/>
        <v>3925722484.77</v>
      </c>
      <c r="AO69" s="33">
        <f t="shared" si="10"/>
        <v>3947925087.98</v>
      </c>
      <c r="AP69" s="33">
        <f t="shared" si="10"/>
        <v>3893569350.8999996</v>
      </c>
      <c r="AQ69" s="33">
        <f t="shared" si="10"/>
        <v>3752222394.6499991</v>
      </c>
      <c r="AR69" s="33">
        <f t="shared" si="10"/>
        <v>3568642658.75</v>
      </c>
      <c r="AS69" s="33">
        <f t="shared" si="10"/>
        <v>3199734219.46</v>
      </c>
      <c r="AT69" s="33">
        <f t="shared" si="10"/>
        <v>2717626645.1800003</v>
      </c>
      <c r="AU69" s="33">
        <f t="shared" si="10"/>
        <v>1599502419.72</v>
      </c>
      <c r="AV69" s="33">
        <f t="shared" si="10"/>
        <v>1354421036.9400001</v>
      </c>
      <c r="AW69" s="33">
        <f t="shared" si="10"/>
        <v>956158547.37000012</v>
      </c>
      <c r="AX69" s="33">
        <f t="shared" si="10"/>
        <v>926027246.78999996</v>
      </c>
      <c r="AY69" s="33">
        <f t="shared" si="10"/>
        <v>1003447233.6299999</v>
      </c>
      <c r="AZ69" s="33">
        <f t="shared" si="10"/>
        <v>960328910.05999994</v>
      </c>
      <c r="BA69" s="33">
        <f t="shared" si="10"/>
        <v>1021543401.0599997</v>
      </c>
      <c r="BB69" s="33">
        <f t="shared" si="10"/>
        <v>998945536.05999994</v>
      </c>
      <c r="BC69" s="33">
        <f t="shared" si="10"/>
        <v>1028822790.6</v>
      </c>
      <c r="BD69" s="33">
        <f t="shared" si="10"/>
        <v>1073460638.6600001</v>
      </c>
      <c r="BE69" s="33">
        <f t="shared" si="10"/>
        <v>1027242713.8500003</v>
      </c>
      <c r="BF69" s="33">
        <f t="shared" si="10"/>
        <v>1051346536.77</v>
      </c>
      <c r="BG69" s="33">
        <f t="shared" si="10"/>
        <v>1001264566.6900001</v>
      </c>
      <c r="BH69" s="33">
        <f t="shared" si="10"/>
        <v>928070262.98000002</v>
      </c>
      <c r="BI69" s="33">
        <f t="shared" si="10"/>
        <v>943338503.93000007</v>
      </c>
      <c r="BJ69" s="33">
        <f t="shared" si="10"/>
        <v>861623450.69000006</v>
      </c>
      <c r="BK69" s="33">
        <f t="shared" si="10"/>
        <v>838896602.19999993</v>
      </c>
      <c r="BL69" s="33">
        <f t="shared" si="10"/>
        <v>775115846.59000003</v>
      </c>
      <c r="BM69" s="33">
        <f t="shared" si="10"/>
        <v>751712025.92999995</v>
      </c>
      <c r="BN69" s="33">
        <f t="shared" si="10"/>
        <v>842040665.56000006</v>
      </c>
      <c r="BO69" s="33">
        <f t="shared" ref="BO69:CL69" si="11">BO50+BO68</f>
        <v>517342378.16000003</v>
      </c>
      <c r="BP69" s="33">
        <f t="shared" si="11"/>
        <v>479809787.54000008</v>
      </c>
      <c r="BQ69" s="33">
        <f t="shared" si="11"/>
        <v>456132416.98000002</v>
      </c>
      <c r="BR69" s="33">
        <f t="shared" si="11"/>
        <v>490767180</v>
      </c>
      <c r="BS69" s="33">
        <f t="shared" si="11"/>
        <v>477353292.06000006</v>
      </c>
      <c r="BT69" s="33">
        <f t="shared" si="11"/>
        <v>463989478.57999992</v>
      </c>
      <c r="BU69" s="33">
        <f t="shared" si="11"/>
        <v>438404295.38999999</v>
      </c>
      <c r="BV69" s="33">
        <f t="shared" si="11"/>
        <v>410850989.37</v>
      </c>
      <c r="BW69" s="33">
        <f t="shared" si="11"/>
        <v>376406451.50999999</v>
      </c>
      <c r="BX69" s="33">
        <f t="shared" si="11"/>
        <v>349143660.62</v>
      </c>
      <c r="BY69" s="33">
        <f t="shared" si="11"/>
        <v>335654855.95000005</v>
      </c>
      <c r="BZ69" s="33">
        <f t="shared" si="11"/>
        <v>93907953.310000002</v>
      </c>
      <c r="CA69" s="33">
        <f t="shared" si="11"/>
        <v>303402953.37</v>
      </c>
      <c r="CB69" s="33">
        <f t="shared" si="11"/>
        <v>96510000</v>
      </c>
      <c r="CC69" s="33">
        <f t="shared" si="11"/>
        <v>186166931.95999998</v>
      </c>
      <c r="CD69" s="33">
        <f t="shared" si="11"/>
        <v>102190000</v>
      </c>
      <c r="CE69" s="33">
        <f t="shared" si="11"/>
        <v>169557425.72</v>
      </c>
      <c r="CF69" s="33">
        <f t="shared" si="11"/>
        <v>233026727.04000002</v>
      </c>
      <c r="CG69" s="33">
        <f t="shared" si="11"/>
        <v>36293400</v>
      </c>
      <c r="CH69" s="33">
        <f t="shared" si="11"/>
        <v>35881300</v>
      </c>
      <c r="CI69" s="33">
        <f t="shared" si="11"/>
        <v>0</v>
      </c>
      <c r="CJ69" s="33">
        <f t="shared" si="11"/>
        <v>0</v>
      </c>
      <c r="CK69" s="33">
        <f t="shared" si="11"/>
        <v>0</v>
      </c>
      <c r="CL69" s="33">
        <f t="shared" si="11"/>
        <v>0</v>
      </c>
    </row>
    <row r="70" spans="1:90" s="9" customFormat="1">
      <c r="A70" s="127" t="s">
        <v>49</v>
      </c>
      <c r="B70" s="37">
        <f>B17+B19+B69</f>
        <v>54667758651.499992</v>
      </c>
      <c r="C70" s="37">
        <f t="shared" ref="C70:BN70" si="12">C17+C19+C69</f>
        <v>46118738600.689995</v>
      </c>
      <c r="D70" s="37">
        <f t="shared" si="12"/>
        <v>46637305048.059998</v>
      </c>
      <c r="E70" s="37">
        <f t="shared" si="12"/>
        <v>21648020117.869995</v>
      </c>
      <c r="F70" s="37">
        <f t="shared" si="12"/>
        <v>19977252443.759998</v>
      </c>
      <c r="G70" s="37">
        <f t="shared" si="12"/>
        <v>19184800950.75</v>
      </c>
      <c r="H70" s="37">
        <f t="shared" si="12"/>
        <v>17812062616.210003</v>
      </c>
      <c r="I70" s="37">
        <f t="shared" si="12"/>
        <v>15530717701.450003</v>
      </c>
      <c r="J70" s="37">
        <f t="shared" si="12"/>
        <v>15832656774.719999</v>
      </c>
      <c r="K70" s="37">
        <f t="shared" si="12"/>
        <v>15802553578</v>
      </c>
      <c r="L70" s="37">
        <f t="shared" si="12"/>
        <v>16056035136.870003</v>
      </c>
      <c r="M70" s="37">
        <f t="shared" si="12"/>
        <v>15814986533</v>
      </c>
      <c r="N70" s="37">
        <f t="shared" si="12"/>
        <v>12683553041.919998</v>
      </c>
      <c r="O70" s="37">
        <f t="shared" si="12"/>
        <v>13812215289</v>
      </c>
      <c r="P70" s="37">
        <f t="shared" si="12"/>
        <v>12781865813</v>
      </c>
      <c r="Q70" s="37">
        <f t="shared" si="12"/>
        <v>11664917488</v>
      </c>
      <c r="R70" s="37">
        <f t="shared" si="12"/>
        <v>14114605858.76</v>
      </c>
      <c r="S70" s="37">
        <f t="shared" si="12"/>
        <v>5825268221</v>
      </c>
      <c r="T70" s="37">
        <f t="shared" si="12"/>
        <v>6089793163.5699997</v>
      </c>
      <c r="U70" s="37">
        <f t="shared" si="12"/>
        <v>6098153671</v>
      </c>
      <c r="V70" s="37">
        <f t="shared" si="12"/>
        <v>6339167686</v>
      </c>
      <c r="W70" s="37">
        <f t="shared" si="12"/>
        <v>6159887302</v>
      </c>
      <c r="X70" s="37">
        <f t="shared" si="12"/>
        <v>6379552106.5600004</v>
      </c>
      <c r="Y70" s="37">
        <f t="shared" si="12"/>
        <v>6391428582</v>
      </c>
      <c r="Z70" s="37">
        <f t="shared" si="12"/>
        <v>6700824055</v>
      </c>
      <c r="AA70" s="37">
        <f t="shared" si="12"/>
        <v>6697964695</v>
      </c>
      <c r="AB70" s="37">
        <f t="shared" si="12"/>
        <v>6558824238.130003</v>
      </c>
      <c r="AC70" s="37">
        <f t="shared" si="12"/>
        <v>6671196510</v>
      </c>
      <c r="AD70" s="37">
        <f t="shared" si="12"/>
        <v>6587659940.6899996</v>
      </c>
      <c r="AE70" s="37">
        <f t="shared" si="12"/>
        <v>6905949828</v>
      </c>
      <c r="AF70" s="37">
        <f t="shared" si="12"/>
        <v>6627020547.8099995</v>
      </c>
      <c r="AG70" s="37">
        <f t="shared" si="12"/>
        <v>6385312231</v>
      </c>
      <c r="AH70" s="37">
        <f t="shared" si="12"/>
        <v>6603502195.3600006</v>
      </c>
      <c r="AI70" s="37">
        <f t="shared" si="12"/>
        <v>6712103100.6299992</v>
      </c>
      <c r="AJ70" s="37">
        <f t="shared" si="12"/>
        <v>6230027901.9499998</v>
      </c>
      <c r="AK70" s="37">
        <f t="shared" si="12"/>
        <v>5661283893.1699991</v>
      </c>
      <c r="AL70" s="37">
        <f t="shared" si="12"/>
        <v>4851033429.6999998</v>
      </c>
      <c r="AM70" s="37">
        <f t="shared" si="12"/>
        <v>4777382499</v>
      </c>
      <c r="AN70" s="37">
        <f t="shared" si="12"/>
        <v>4453608586.3500004</v>
      </c>
      <c r="AO70" s="37">
        <f t="shared" si="12"/>
        <v>4274753574.6999998</v>
      </c>
      <c r="AP70" s="37">
        <f t="shared" si="12"/>
        <v>4446753860.2999992</v>
      </c>
      <c r="AQ70" s="37">
        <f t="shared" si="12"/>
        <v>4487493402.1999989</v>
      </c>
      <c r="AR70" s="37">
        <f t="shared" si="12"/>
        <v>4479265868.1800003</v>
      </c>
      <c r="AS70" s="37">
        <f t="shared" si="12"/>
        <v>4139330992.8500004</v>
      </c>
      <c r="AT70" s="37">
        <f t="shared" si="12"/>
        <v>4112939920.2200003</v>
      </c>
      <c r="AU70" s="37">
        <f t="shared" si="12"/>
        <v>3248908725.2600002</v>
      </c>
      <c r="AV70" s="37">
        <f t="shared" si="12"/>
        <v>1701443476.3500001</v>
      </c>
      <c r="AW70" s="37">
        <f t="shared" si="12"/>
        <v>1245009353.9200001</v>
      </c>
      <c r="AX70" s="37">
        <f t="shared" si="12"/>
        <v>1256322425.5</v>
      </c>
      <c r="AY70" s="37">
        <f t="shared" si="12"/>
        <v>1246971140.2399998</v>
      </c>
      <c r="AZ70" s="37">
        <f t="shared" si="12"/>
        <v>1186851348.4000001</v>
      </c>
      <c r="BA70" s="37">
        <f t="shared" si="12"/>
        <v>1120448419.7399998</v>
      </c>
      <c r="BB70" s="37">
        <f t="shared" si="12"/>
        <v>1188410252.96</v>
      </c>
      <c r="BC70" s="37">
        <f t="shared" si="12"/>
        <v>1206208360.5599999</v>
      </c>
      <c r="BD70" s="37">
        <f t="shared" si="12"/>
        <v>1218001214.8900001</v>
      </c>
      <c r="BE70" s="37">
        <f t="shared" si="12"/>
        <v>1242234669.1300004</v>
      </c>
      <c r="BF70" s="37">
        <f t="shared" si="12"/>
        <v>1146422002.49</v>
      </c>
      <c r="BG70" s="37">
        <f t="shared" si="12"/>
        <v>1134130782.28</v>
      </c>
      <c r="BH70" s="37">
        <f t="shared" si="12"/>
        <v>1097440338.1500001</v>
      </c>
      <c r="BI70" s="37">
        <f t="shared" si="12"/>
        <v>1029302822.9400001</v>
      </c>
      <c r="BJ70" s="37">
        <f t="shared" si="12"/>
        <v>988343243.83000004</v>
      </c>
      <c r="BK70" s="37">
        <f t="shared" si="12"/>
        <v>1001787086.0699999</v>
      </c>
      <c r="BL70" s="37">
        <f t="shared" si="12"/>
        <v>983169015.28000009</v>
      </c>
      <c r="BM70" s="37">
        <f t="shared" si="12"/>
        <v>944693918.64999998</v>
      </c>
      <c r="BN70" s="37">
        <f t="shared" si="12"/>
        <v>978138799.23000002</v>
      </c>
      <c r="BO70" s="37">
        <f t="shared" ref="BO70:CL70" si="13">BO17+BO19+BO69</f>
        <v>910092759.95000005</v>
      </c>
      <c r="BP70" s="37">
        <f t="shared" si="13"/>
        <v>855928342.9000001</v>
      </c>
      <c r="BQ70" s="37">
        <f t="shared" si="13"/>
        <v>816438330.6500001</v>
      </c>
      <c r="BR70" s="37">
        <f t="shared" si="13"/>
        <v>866504738.43000007</v>
      </c>
      <c r="BS70" s="37">
        <f t="shared" si="13"/>
        <v>537828077.10000002</v>
      </c>
      <c r="BT70" s="37">
        <f t="shared" si="13"/>
        <v>525233348.87999994</v>
      </c>
      <c r="BU70" s="37">
        <f t="shared" si="13"/>
        <v>494851852.39999998</v>
      </c>
      <c r="BV70" s="37">
        <f t="shared" si="13"/>
        <v>486269261.79000002</v>
      </c>
      <c r="BW70" s="37">
        <f t="shared" si="13"/>
        <v>453287192.31999999</v>
      </c>
      <c r="BX70" s="37">
        <f t="shared" si="13"/>
        <v>493339845.44999999</v>
      </c>
      <c r="BY70" s="37">
        <f t="shared" si="13"/>
        <v>384627891.85000002</v>
      </c>
      <c r="BZ70" s="37">
        <f t="shared" si="13"/>
        <v>123205789.72</v>
      </c>
      <c r="CA70" s="37">
        <f t="shared" si="13"/>
        <v>358617147.73000002</v>
      </c>
      <c r="CB70" s="37">
        <f t="shared" si="13"/>
        <v>125670000</v>
      </c>
      <c r="CC70" s="37">
        <f t="shared" si="13"/>
        <v>237877720.19</v>
      </c>
      <c r="CD70" s="37">
        <f t="shared" si="13"/>
        <v>128580000</v>
      </c>
      <c r="CE70" s="37">
        <f t="shared" si="13"/>
        <v>219043512.36000001</v>
      </c>
      <c r="CF70" s="37">
        <f t="shared" si="13"/>
        <v>275427043.85000002</v>
      </c>
      <c r="CG70" s="37">
        <f t="shared" si="13"/>
        <v>36293400</v>
      </c>
      <c r="CH70" s="37">
        <f t="shared" si="13"/>
        <v>35881300</v>
      </c>
      <c r="CI70" s="37">
        <f t="shared" si="13"/>
        <v>0</v>
      </c>
      <c r="CJ70" s="37">
        <f t="shared" si="13"/>
        <v>0</v>
      </c>
      <c r="CK70" s="37">
        <f t="shared" si="13"/>
        <v>0</v>
      </c>
      <c r="CL70" s="37">
        <f t="shared" si="13"/>
        <v>0</v>
      </c>
    </row>
    <row r="71" spans="1:90">
      <c r="A71" s="20" t="s">
        <v>50</v>
      </c>
      <c r="B71" s="26"/>
      <c r="C71" s="26"/>
      <c r="D71" s="26"/>
      <c r="E71" s="26"/>
      <c r="F71" s="26"/>
      <c r="G71" s="26"/>
      <c r="H71" s="26"/>
      <c r="I71" s="26"/>
      <c r="J71" s="26"/>
      <c r="K71" s="26"/>
      <c r="L71" s="23"/>
      <c r="M71" s="13"/>
      <c r="N71" s="13"/>
    </row>
    <row r="72" spans="1:90" s="2" customFormat="1">
      <c r="A72" s="20" t="s">
        <v>51</v>
      </c>
      <c r="B72" s="28"/>
      <c r="C72" s="28"/>
      <c r="D72" s="28"/>
      <c r="E72" s="28">
        <f>SUM(E73:E77)</f>
        <v>3233731137.7200003</v>
      </c>
      <c r="F72" s="28">
        <f t="shared" ref="F72:BQ72" si="14">SUM(F73:F77)</f>
        <v>3356567736.0999999</v>
      </c>
      <c r="G72" s="28">
        <f t="shared" si="14"/>
        <v>2775598395.8299999</v>
      </c>
      <c r="H72" s="28">
        <f t="shared" si="14"/>
        <v>1618814858.6400001</v>
      </c>
      <c r="I72" s="28">
        <f t="shared" si="14"/>
        <v>268592114</v>
      </c>
      <c r="J72" s="28">
        <f t="shared" si="14"/>
        <v>461257697.76999998</v>
      </c>
      <c r="K72" s="28">
        <f t="shared" si="14"/>
        <v>469528759</v>
      </c>
      <c r="L72" s="28">
        <f t="shared" si="14"/>
        <v>932283840.64999998</v>
      </c>
      <c r="M72" s="28">
        <f t="shared" si="14"/>
        <v>1226162522</v>
      </c>
      <c r="N72" s="28">
        <f t="shared" si="14"/>
        <v>781754967.38999999</v>
      </c>
      <c r="O72" s="28">
        <f t="shared" si="14"/>
        <v>1665440156</v>
      </c>
      <c r="P72" s="28">
        <f t="shared" si="14"/>
        <v>1129056753.53</v>
      </c>
      <c r="Q72" s="28">
        <f t="shared" si="14"/>
        <v>1349689823</v>
      </c>
      <c r="R72" s="28">
        <f t="shared" si="14"/>
        <v>2116473620.3000002</v>
      </c>
      <c r="S72" s="28">
        <f t="shared" si="14"/>
        <v>1346548494</v>
      </c>
      <c r="T72" s="28">
        <f t="shared" si="14"/>
        <v>1178057360.53</v>
      </c>
      <c r="U72" s="28">
        <f t="shared" si="14"/>
        <v>1166262283</v>
      </c>
      <c r="V72" s="28">
        <f t="shared" si="14"/>
        <v>1233863072</v>
      </c>
      <c r="W72" s="28">
        <f t="shared" si="14"/>
        <v>1132844370</v>
      </c>
      <c r="X72" s="28">
        <f t="shared" si="14"/>
        <v>1607594252.6799998</v>
      </c>
      <c r="Y72" s="28">
        <f t="shared" si="14"/>
        <v>1316474143</v>
      </c>
      <c r="Z72" s="28">
        <f t="shared" si="14"/>
        <v>1381335643</v>
      </c>
      <c r="AA72" s="28">
        <f t="shared" si="14"/>
        <v>1360976296</v>
      </c>
      <c r="AB72" s="28">
        <f t="shared" si="14"/>
        <v>1011224355.3099999</v>
      </c>
      <c r="AC72" s="28">
        <f t="shared" si="14"/>
        <v>998532782</v>
      </c>
      <c r="AD72" s="28">
        <f t="shared" si="14"/>
        <v>852551559.35000002</v>
      </c>
      <c r="AE72" s="28">
        <f t="shared" si="14"/>
        <v>1053700457</v>
      </c>
      <c r="AF72" s="28">
        <f t="shared" si="14"/>
        <v>890436176.6500001</v>
      </c>
      <c r="AG72" s="28">
        <f t="shared" si="14"/>
        <v>783877210</v>
      </c>
      <c r="AH72" s="28">
        <f t="shared" si="14"/>
        <v>1001798895.63</v>
      </c>
      <c r="AI72" s="28">
        <f t="shared" si="14"/>
        <v>1027869733.53</v>
      </c>
      <c r="AJ72" s="28">
        <f t="shared" si="14"/>
        <v>1124730645.1900001</v>
      </c>
      <c r="AK72" s="28">
        <f t="shared" si="14"/>
        <v>922572249</v>
      </c>
      <c r="AL72" s="28">
        <f t="shared" si="14"/>
        <v>480010678.63999999</v>
      </c>
      <c r="AM72" s="28">
        <f t="shared" si="14"/>
        <v>503755748.19</v>
      </c>
      <c r="AN72" s="28">
        <f t="shared" si="14"/>
        <v>277697195.22000003</v>
      </c>
      <c r="AO72" s="28">
        <f t="shared" si="14"/>
        <v>181369946.63</v>
      </c>
      <c r="AP72" s="28">
        <f t="shared" si="14"/>
        <v>217690317.11000001</v>
      </c>
      <c r="AQ72" s="28">
        <f t="shared" si="14"/>
        <v>251821444.57999998</v>
      </c>
      <c r="AR72" s="28">
        <f t="shared" si="14"/>
        <v>257356385.06</v>
      </c>
      <c r="AS72" s="28">
        <f t="shared" si="14"/>
        <v>168174049.03999999</v>
      </c>
      <c r="AT72" s="28">
        <f t="shared" si="14"/>
        <v>56491450.100000001</v>
      </c>
      <c r="AU72" s="28">
        <f t="shared" si="14"/>
        <v>415000000</v>
      </c>
      <c r="AV72" s="28">
        <f t="shared" si="14"/>
        <v>375000000</v>
      </c>
      <c r="AW72" s="28">
        <f t="shared" si="14"/>
        <v>362598500.05000001</v>
      </c>
      <c r="AX72" s="28">
        <f t="shared" si="14"/>
        <v>318351000</v>
      </c>
      <c r="AY72" s="28">
        <f t="shared" si="14"/>
        <v>343351000</v>
      </c>
      <c r="AZ72" s="28">
        <f t="shared" si="14"/>
        <v>300351000</v>
      </c>
      <c r="BA72" s="28">
        <f t="shared" si="14"/>
        <v>261157000</v>
      </c>
      <c r="BB72" s="28">
        <f t="shared" si="14"/>
        <v>422478000</v>
      </c>
      <c r="BC72" s="28">
        <f t="shared" si="14"/>
        <v>445421500</v>
      </c>
      <c r="BD72" s="28">
        <f t="shared" si="14"/>
        <v>345609000</v>
      </c>
      <c r="BE72" s="28">
        <f t="shared" si="14"/>
        <v>381974500</v>
      </c>
      <c r="BF72" s="28">
        <f t="shared" si="14"/>
        <v>390703900</v>
      </c>
      <c r="BG72" s="28">
        <f t="shared" si="14"/>
        <v>390951600</v>
      </c>
      <c r="BH72" s="28">
        <f t="shared" si="14"/>
        <v>377257300</v>
      </c>
      <c r="BI72" s="28">
        <f t="shared" si="14"/>
        <v>322427200</v>
      </c>
      <c r="BJ72" s="28">
        <f t="shared" si="14"/>
        <v>298667970</v>
      </c>
      <c r="BK72" s="28">
        <f t="shared" si="14"/>
        <v>322822200</v>
      </c>
      <c r="BL72" s="28">
        <f t="shared" si="14"/>
        <v>314697100</v>
      </c>
      <c r="BM72" s="28">
        <f t="shared" si="14"/>
        <v>284697100</v>
      </c>
      <c r="BN72" s="28">
        <f t="shared" si="14"/>
        <v>274220674.54000002</v>
      </c>
      <c r="BO72" s="28">
        <f t="shared" si="14"/>
        <v>175612300</v>
      </c>
      <c r="BP72" s="28">
        <f t="shared" si="14"/>
        <v>125612300</v>
      </c>
      <c r="BQ72" s="28">
        <f t="shared" si="14"/>
        <v>106296607.69</v>
      </c>
      <c r="BR72" s="28">
        <f t="shared" ref="BR72:CL72" si="15">SUM(BR73:BR77)</f>
        <v>140370230.77000001</v>
      </c>
      <c r="BS72" s="28">
        <f t="shared" si="15"/>
        <v>172575127.5</v>
      </c>
      <c r="BT72" s="28">
        <f t="shared" si="15"/>
        <v>151089720.90000001</v>
      </c>
      <c r="BU72" s="28">
        <f t="shared" si="15"/>
        <v>136129032.75</v>
      </c>
      <c r="BV72" s="28">
        <f t="shared" si="15"/>
        <v>118991210.45999999</v>
      </c>
      <c r="BW72" s="28">
        <f t="shared" si="15"/>
        <v>95047932.230000004</v>
      </c>
      <c r="BX72" s="28">
        <f t="shared" si="15"/>
        <v>110702727.2</v>
      </c>
      <c r="BY72" s="28">
        <f t="shared" si="15"/>
        <v>130771211.66</v>
      </c>
      <c r="BZ72" s="28">
        <f t="shared" si="15"/>
        <v>0</v>
      </c>
      <c r="CA72" s="28">
        <f t="shared" si="15"/>
        <v>136570027.87</v>
      </c>
      <c r="CB72" s="28">
        <f t="shared" si="15"/>
        <v>0</v>
      </c>
      <c r="CC72" s="28">
        <f t="shared" si="15"/>
        <v>152281013.96000001</v>
      </c>
      <c r="CD72" s="28">
        <f t="shared" si="15"/>
        <v>0</v>
      </c>
      <c r="CE72" s="28">
        <f t="shared" si="15"/>
        <v>143253671.35999998</v>
      </c>
      <c r="CF72" s="28">
        <f t="shared" si="15"/>
        <v>131238236.94</v>
      </c>
      <c r="CG72" s="28">
        <f t="shared" si="15"/>
        <v>0</v>
      </c>
      <c r="CH72" s="28">
        <f t="shared" si="15"/>
        <v>0</v>
      </c>
      <c r="CI72" s="28">
        <f t="shared" si="15"/>
        <v>0</v>
      </c>
      <c r="CJ72" s="28">
        <f t="shared" si="15"/>
        <v>0</v>
      </c>
      <c r="CK72" s="28">
        <f t="shared" si="15"/>
        <v>0</v>
      </c>
      <c r="CL72" s="28">
        <f t="shared" si="15"/>
        <v>0</v>
      </c>
    </row>
    <row r="73" spans="1:90">
      <c r="A73" s="128" t="s">
        <v>52</v>
      </c>
      <c r="B73" s="189">
        <v>4923219254.2799997</v>
      </c>
      <c r="C73" s="189">
        <v>5354321209.8599997</v>
      </c>
      <c r="D73" s="189">
        <v>7077189642.4700003</v>
      </c>
      <c r="E73" s="189">
        <v>2960000000</v>
      </c>
      <c r="F73" s="189">
        <v>3335000000</v>
      </c>
      <c r="G73" s="189">
        <v>2500000000</v>
      </c>
      <c r="H73" s="189">
        <v>1350000000</v>
      </c>
      <c r="I73" s="189">
        <v>0</v>
      </c>
      <c r="J73" s="189">
        <v>0</v>
      </c>
      <c r="K73" s="189">
        <v>0</v>
      </c>
      <c r="L73" s="189">
        <v>440000000</v>
      </c>
      <c r="M73" s="189">
        <v>740000000</v>
      </c>
      <c r="N73" s="189">
        <v>532533427</v>
      </c>
      <c r="O73" s="189">
        <v>791887836</v>
      </c>
      <c r="P73" s="189">
        <v>337299438.75999999</v>
      </c>
      <c r="Q73" s="189">
        <v>411405240</v>
      </c>
      <c r="R73" s="189">
        <v>1049316844.85</v>
      </c>
      <c r="S73" s="189">
        <v>465942525</v>
      </c>
      <c r="T73" s="189">
        <v>568877389.02999997</v>
      </c>
      <c r="U73" s="189">
        <v>541566292</v>
      </c>
      <c r="V73" s="189">
        <v>579910185</v>
      </c>
      <c r="W73" s="189">
        <v>460202859</v>
      </c>
      <c r="X73" s="189">
        <v>732150291.17999995</v>
      </c>
      <c r="Y73" s="189">
        <v>642327230</v>
      </c>
      <c r="Z73" s="189">
        <v>695662847</v>
      </c>
      <c r="AA73" s="189">
        <v>678139890</v>
      </c>
      <c r="AB73" s="189">
        <v>331990800.61000001</v>
      </c>
      <c r="AC73" s="189">
        <v>322226830</v>
      </c>
      <c r="AD73" s="189">
        <v>321311056.18000001</v>
      </c>
      <c r="AE73" s="189">
        <v>520976868</v>
      </c>
      <c r="AF73" s="189">
        <v>515604041.60000002</v>
      </c>
      <c r="AG73" s="189">
        <v>410000000</v>
      </c>
      <c r="AH73" s="189">
        <v>624000000</v>
      </c>
      <c r="AI73" s="189">
        <v>650114457.65999997</v>
      </c>
      <c r="AJ73" s="189">
        <v>862408515.82000005</v>
      </c>
      <c r="AK73" s="189">
        <v>587542236.21000004</v>
      </c>
      <c r="AL73" s="189">
        <v>476803806.36000001</v>
      </c>
      <c r="AM73" s="189">
        <v>500815188.85000002</v>
      </c>
      <c r="AN73" s="189">
        <v>274000000</v>
      </c>
      <c r="AO73" s="189">
        <v>176895361.09</v>
      </c>
      <c r="AP73" s="189">
        <v>122139768.3</v>
      </c>
      <c r="AQ73" s="189">
        <v>99098194.780000001</v>
      </c>
      <c r="AR73" s="189">
        <v>103622759.27</v>
      </c>
      <c r="AS73" s="189">
        <v>15491450.1</v>
      </c>
      <c r="AT73" s="189">
        <v>56491450.100000001</v>
      </c>
      <c r="AU73" s="189">
        <v>405000000</v>
      </c>
      <c r="AV73" s="189">
        <v>345000000</v>
      </c>
      <c r="AW73" s="189">
        <v>332598500.05000001</v>
      </c>
      <c r="AX73" s="189">
        <v>318351000</v>
      </c>
      <c r="AY73" s="189">
        <v>343351000</v>
      </c>
      <c r="AZ73" s="189">
        <v>200351000</v>
      </c>
      <c r="BA73" s="189">
        <v>161157000</v>
      </c>
      <c r="BB73" s="189">
        <v>322478000</v>
      </c>
      <c r="BC73" s="189">
        <v>345421500</v>
      </c>
      <c r="BD73" s="189">
        <v>345609000</v>
      </c>
      <c r="BE73" s="189">
        <v>381974500</v>
      </c>
      <c r="BF73" s="189">
        <v>390703900</v>
      </c>
      <c r="BG73" s="189">
        <v>390951600</v>
      </c>
      <c r="BH73" s="189">
        <v>377257300</v>
      </c>
      <c r="BI73" s="189">
        <v>322427200</v>
      </c>
      <c r="BJ73" s="189">
        <v>298667970</v>
      </c>
      <c r="BK73" s="189">
        <v>322822200</v>
      </c>
      <c r="BL73" s="189">
        <v>314697100</v>
      </c>
      <c r="BM73" s="189">
        <v>284697100</v>
      </c>
      <c r="BN73" s="189">
        <v>274220674.54000002</v>
      </c>
      <c r="BO73" s="189">
        <v>175612300</v>
      </c>
      <c r="BP73" s="189">
        <v>125612300</v>
      </c>
      <c r="BQ73" s="189">
        <v>106296607.69</v>
      </c>
      <c r="BR73" s="189">
        <v>140370230.77000001</v>
      </c>
      <c r="BS73" s="189">
        <v>172575127.5</v>
      </c>
      <c r="BT73" s="189">
        <v>151089720.90000001</v>
      </c>
      <c r="BU73" s="189">
        <v>136129032.75</v>
      </c>
      <c r="BV73" s="189">
        <v>118991210.45999999</v>
      </c>
      <c r="BW73" s="189">
        <v>95047932.230000004</v>
      </c>
      <c r="BX73" s="189">
        <v>110702727.2</v>
      </c>
      <c r="BY73" s="189">
        <v>130771211.66</v>
      </c>
      <c r="BZ73" s="189">
        <v>0</v>
      </c>
      <c r="CA73" s="189">
        <v>136570027.87</v>
      </c>
      <c r="CB73" s="189">
        <v>0</v>
      </c>
      <c r="CC73" s="189">
        <v>152281013.96000001</v>
      </c>
      <c r="CD73" s="189">
        <v>0</v>
      </c>
      <c r="CE73" s="189">
        <v>141887599.06999999</v>
      </c>
      <c r="CF73" s="189">
        <v>126804724.88</v>
      </c>
      <c r="CG73" s="189">
        <v>0</v>
      </c>
      <c r="CH73" s="189">
        <v>0</v>
      </c>
      <c r="CI73" s="189">
        <v>0</v>
      </c>
      <c r="CJ73" s="189"/>
      <c r="CK73" s="189"/>
      <c r="CL73" s="189"/>
    </row>
    <row r="74" spans="1:90">
      <c r="A74" s="128" t="s">
        <v>77</v>
      </c>
      <c r="B74" s="189">
        <v>0</v>
      </c>
      <c r="C74" s="189">
        <v>49891881.439999998</v>
      </c>
      <c r="D74" s="189">
        <v>48603383.560000002</v>
      </c>
      <c r="E74" s="189">
        <v>13694297.9</v>
      </c>
      <c r="F74" s="189">
        <v>1567736.1</v>
      </c>
      <c r="G74" s="189">
        <v>5598395.8300000001</v>
      </c>
      <c r="H74" s="189">
        <v>730957.64</v>
      </c>
      <c r="I74" s="189">
        <v>0</v>
      </c>
      <c r="J74" s="189">
        <v>184027.77</v>
      </c>
      <c r="K74" s="189">
        <v>0</v>
      </c>
      <c r="L74" s="189">
        <v>202430.57</v>
      </c>
      <c r="M74" s="189">
        <v>251315</v>
      </c>
      <c r="N74" s="189">
        <v>10017569.390000001</v>
      </c>
      <c r="O74" s="189">
        <v>8710226</v>
      </c>
      <c r="P74" s="189">
        <v>6719253.7699999996</v>
      </c>
      <c r="Q74" s="189">
        <v>4670777</v>
      </c>
      <c r="R74" s="189">
        <v>20851897.449999999</v>
      </c>
      <c r="S74" s="189">
        <v>8682769</v>
      </c>
      <c r="T74" s="189">
        <v>7335521.5</v>
      </c>
      <c r="U74" s="189">
        <v>5438591</v>
      </c>
      <c r="V74" s="189">
        <v>12007587</v>
      </c>
      <c r="W74" s="189">
        <v>9663911</v>
      </c>
      <c r="X74" s="189">
        <v>8136761.5</v>
      </c>
      <c r="Y74" s="189">
        <v>6042913</v>
      </c>
      <c r="Z74" s="189">
        <v>14904796</v>
      </c>
      <c r="AA74" s="189">
        <v>12841206</v>
      </c>
      <c r="AB74" s="189">
        <v>10707154.699999999</v>
      </c>
      <c r="AC74" s="189">
        <v>7462752</v>
      </c>
      <c r="AD74" s="189">
        <v>14128803.17</v>
      </c>
      <c r="AE74" s="189">
        <v>11760789</v>
      </c>
      <c r="AF74" s="189">
        <v>8416935.0500000007</v>
      </c>
      <c r="AG74" s="189">
        <v>6268610</v>
      </c>
      <c r="AH74" s="189">
        <v>8779095.6300000008</v>
      </c>
      <c r="AI74" s="189">
        <v>7119075.8700000001</v>
      </c>
      <c r="AJ74" s="189">
        <v>4449749.1399999997</v>
      </c>
      <c r="AK74" s="189">
        <v>4935182.5599999996</v>
      </c>
      <c r="AL74" s="189">
        <v>3206872.28</v>
      </c>
      <c r="AM74" s="189">
        <v>2940559.34</v>
      </c>
      <c r="AN74" s="189">
        <v>3697195.22</v>
      </c>
      <c r="AO74" s="189">
        <v>4474585.54</v>
      </c>
      <c r="AP74" s="189">
        <v>3550548.81</v>
      </c>
      <c r="AQ74" s="189">
        <v>2723249.8</v>
      </c>
      <c r="AR74" s="189">
        <v>3733625.79</v>
      </c>
      <c r="AS74" s="189">
        <v>2682598.94</v>
      </c>
      <c r="AT74" s="189">
        <v>0</v>
      </c>
      <c r="AU74" s="189">
        <v>0</v>
      </c>
      <c r="AV74" s="189">
        <v>0</v>
      </c>
      <c r="AW74" s="189">
        <v>0</v>
      </c>
      <c r="AX74" s="189">
        <v>0</v>
      </c>
      <c r="AY74" s="189">
        <v>0</v>
      </c>
      <c r="AZ74" s="189">
        <v>0</v>
      </c>
      <c r="BA74" s="189">
        <v>0</v>
      </c>
      <c r="BB74" s="189">
        <v>0</v>
      </c>
      <c r="BC74" s="189">
        <v>0</v>
      </c>
      <c r="BD74" s="189">
        <v>0</v>
      </c>
      <c r="BE74" s="189">
        <v>0</v>
      </c>
      <c r="BF74" s="189">
        <v>0</v>
      </c>
      <c r="BG74" s="189">
        <v>0</v>
      </c>
      <c r="BH74" s="189">
        <v>0</v>
      </c>
      <c r="BI74" s="189">
        <v>0</v>
      </c>
      <c r="BJ74" s="189">
        <v>0</v>
      </c>
      <c r="BK74" s="189">
        <v>0</v>
      </c>
      <c r="BL74" s="189">
        <v>0</v>
      </c>
      <c r="BM74" s="189">
        <v>0</v>
      </c>
      <c r="BN74" s="189">
        <v>0</v>
      </c>
      <c r="BO74" s="189">
        <v>0</v>
      </c>
      <c r="BP74" s="189">
        <v>0</v>
      </c>
      <c r="BQ74" s="189">
        <v>0</v>
      </c>
      <c r="BR74" s="189">
        <v>0</v>
      </c>
      <c r="BS74" s="189">
        <v>0</v>
      </c>
      <c r="BT74" s="189">
        <v>0</v>
      </c>
      <c r="BU74" s="189">
        <v>0</v>
      </c>
      <c r="BV74" s="189">
        <v>0</v>
      </c>
      <c r="BW74" s="189">
        <v>0</v>
      </c>
      <c r="BX74" s="189">
        <v>0</v>
      </c>
      <c r="BY74" s="189">
        <v>0</v>
      </c>
      <c r="BZ74" s="189">
        <v>0</v>
      </c>
      <c r="CA74" s="189">
        <v>0</v>
      </c>
      <c r="CB74" s="189">
        <v>0</v>
      </c>
      <c r="CC74" s="189">
        <v>0</v>
      </c>
      <c r="CD74" s="189">
        <v>0</v>
      </c>
      <c r="CE74" s="189">
        <v>0</v>
      </c>
      <c r="CF74" s="189">
        <v>0</v>
      </c>
      <c r="CG74" s="189">
        <v>0</v>
      </c>
      <c r="CH74" s="189">
        <v>0</v>
      </c>
      <c r="CI74" s="189">
        <v>0</v>
      </c>
      <c r="CJ74" s="189"/>
      <c r="CK74" s="189"/>
      <c r="CL74" s="189"/>
    </row>
    <row r="75" spans="1:90">
      <c r="A75" s="128" t="s">
        <v>53</v>
      </c>
      <c r="B75" s="189">
        <v>0</v>
      </c>
      <c r="C75" s="189">
        <v>0</v>
      </c>
      <c r="D75" s="189">
        <v>0</v>
      </c>
      <c r="E75" s="189">
        <v>0</v>
      </c>
      <c r="F75" s="189">
        <v>0</v>
      </c>
      <c r="G75" s="189">
        <v>0</v>
      </c>
      <c r="H75" s="189">
        <v>0</v>
      </c>
      <c r="I75" s="189">
        <v>0</v>
      </c>
      <c r="J75" s="189">
        <v>0</v>
      </c>
      <c r="K75" s="189">
        <v>0</v>
      </c>
      <c r="L75" s="189">
        <v>0</v>
      </c>
      <c r="M75" s="189">
        <v>0</v>
      </c>
      <c r="N75" s="189">
        <v>0</v>
      </c>
      <c r="O75" s="189">
        <v>0</v>
      </c>
      <c r="P75" s="189">
        <v>0</v>
      </c>
      <c r="Q75" s="189">
        <v>0</v>
      </c>
      <c r="R75" s="189">
        <v>0</v>
      </c>
      <c r="S75" s="189">
        <v>0</v>
      </c>
      <c r="T75" s="189">
        <v>0</v>
      </c>
      <c r="U75" s="189">
        <v>0</v>
      </c>
      <c r="V75" s="189">
        <v>0</v>
      </c>
      <c r="W75" s="189">
        <v>0</v>
      </c>
      <c r="X75" s="189">
        <v>0</v>
      </c>
      <c r="Y75" s="189">
        <v>0</v>
      </c>
      <c r="Z75" s="189">
        <v>0</v>
      </c>
      <c r="AA75" s="189">
        <v>0</v>
      </c>
      <c r="AB75" s="189">
        <v>0</v>
      </c>
      <c r="AC75" s="189">
        <v>0</v>
      </c>
      <c r="AD75" s="189">
        <v>0</v>
      </c>
      <c r="AE75" s="189">
        <v>0</v>
      </c>
      <c r="AF75" s="189">
        <v>0</v>
      </c>
      <c r="AG75" s="189">
        <v>0</v>
      </c>
      <c r="AH75" s="189">
        <v>0</v>
      </c>
      <c r="AI75" s="189">
        <v>0</v>
      </c>
      <c r="AJ75" s="189">
        <v>43630.23</v>
      </c>
      <c r="AK75" s="189">
        <v>43630.23</v>
      </c>
      <c r="AL75" s="189">
        <v>0</v>
      </c>
      <c r="AM75" s="189">
        <v>0</v>
      </c>
      <c r="AN75" s="189">
        <v>0</v>
      </c>
      <c r="AO75" s="189">
        <v>0</v>
      </c>
      <c r="AP75" s="189">
        <v>0</v>
      </c>
      <c r="AQ75" s="189">
        <v>0</v>
      </c>
      <c r="AR75" s="189">
        <v>0</v>
      </c>
      <c r="AS75" s="189">
        <v>0</v>
      </c>
      <c r="AT75" s="189">
        <v>0</v>
      </c>
      <c r="AU75" s="189">
        <v>0</v>
      </c>
      <c r="AV75" s="189">
        <v>0</v>
      </c>
      <c r="AW75" s="189">
        <v>0</v>
      </c>
      <c r="AX75" s="189">
        <v>0</v>
      </c>
      <c r="AY75" s="189">
        <v>0</v>
      </c>
      <c r="AZ75" s="189">
        <v>0</v>
      </c>
      <c r="BA75" s="189">
        <v>0</v>
      </c>
      <c r="BB75" s="189">
        <v>0</v>
      </c>
      <c r="BC75" s="189">
        <v>0</v>
      </c>
      <c r="BD75" s="189">
        <v>0</v>
      </c>
      <c r="BE75" s="189">
        <v>0</v>
      </c>
      <c r="BF75" s="189">
        <v>0</v>
      </c>
      <c r="BG75" s="189">
        <v>0</v>
      </c>
      <c r="BH75" s="189">
        <v>0</v>
      </c>
      <c r="BI75" s="189">
        <v>0</v>
      </c>
      <c r="BJ75" s="189">
        <v>0</v>
      </c>
      <c r="BK75" s="189">
        <v>0</v>
      </c>
      <c r="BL75" s="189">
        <v>0</v>
      </c>
      <c r="BM75" s="189">
        <v>0</v>
      </c>
      <c r="BN75" s="189">
        <v>0</v>
      </c>
      <c r="BO75" s="189">
        <v>0</v>
      </c>
      <c r="BP75" s="189">
        <v>0</v>
      </c>
      <c r="BQ75" s="189">
        <v>0</v>
      </c>
      <c r="BR75" s="189">
        <v>0</v>
      </c>
      <c r="BS75" s="189">
        <v>0</v>
      </c>
      <c r="BT75" s="189">
        <v>0</v>
      </c>
      <c r="BU75" s="189">
        <v>0</v>
      </c>
      <c r="BV75" s="189">
        <v>0</v>
      </c>
      <c r="BW75" s="189">
        <v>0</v>
      </c>
      <c r="BX75" s="189">
        <v>0</v>
      </c>
      <c r="BY75" s="189">
        <v>0</v>
      </c>
      <c r="BZ75" s="189">
        <v>0</v>
      </c>
      <c r="CA75" s="189">
        <v>0</v>
      </c>
      <c r="CB75" s="189">
        <v>0</v>
      </c>
      <c r="CC75" s="189">
        <v>0</v>
      </c>
      <c r="CD75" s="189">
        <v>0</v>
      </c>
      <c r="CE75" s="189">
        <v>0</v>
      </c>
      <c r="CF75" s="189">
        <v>0</v>
      </c>
      <c r="CG75" s="189">
        <v>0</v>
      </c>
      <c r="CH75" s="189">
        <v>0</v>
      </c>
      <c r="CI75" s="189">
        <v>0</v>
      </c>
      <c r="CJ75" s="189"/>
      <c r="CK75" s="189"/>
      <c r="CL75" s="189"/>
    </row>
    <row r="76" spans="1:90">
      <c r="A76" s="128" t="s">
        <v>54</v>
      </c>
      <c r="B76" s="189">
        <v>2157300000</v>
      </c>
      <c r="C76" s="189">
        <v>2257800000</v>
      </c>
      <c r="D76" s="189">
        <v>2007870904.6199999</v>
      </c>
      <c r="E76" s="189">
        <v>260036839.81999999</v>
      </c>
      <c r="F76" s="189">
        <v>20000000</v>
      </c>
      <c r="G76" s="189">
        <v>270000000</v>
      </c>
      <c r="H76" s="189">
        <v>268083901</v>
      </c>
      <c r="I76" s="189">
        <v>268592114</v>
      </c>
      <c r="J76" s="189">
        <v>461073670</v>
      </c>
      <c r="K76" s="189">
        <v>469528759</v>
      </c>
      <c r="L76" s="189">
        <v>492081410.07999998</v>
      </c>
      <c r="M76" s="189">
        <v>485911207</v>
      </c>
      <c r="N76" s="189">
        <v>239203971</v>
      </c>
      <c r="O76" s="189">
        <v>864842094</v>
      </c>
      <c r="P76" s="189">
        <v>785038061</v>
      </c>
      <c r="Q76" s="189">
        <v>933613806</v>
      </c>
      <c r="R76" s="189">
        <v>1046304878</v>
      </c>
      <c r="S76" s="189">
        <v>871923200</v>
      </c>
      <c r="T76" s="189">
        <v>601844450</v>
      </c>
      <c r="U76" s="189">
        <v>619257400</v>
      </c>
      <c r="V76" s="189">
        <v>641945300</v>
      </c>
      <c r="W76" s="189">
        <v>662977600</v>
      </c>
      <c r="X76" s="189">
        <v>867307200</v>
      </c>
      <c r="Y76" s="189">
        <v>668104000</v>
      </c>
      <c r="Z76" s="189">
        <v>670768000</v>
      </c>
      <c r="AA76" s="189">
        <v>669995200</v>
      </c>
      <c r="AB76" s="189">
        <v>668526400</v>
      </c>
      <c r="AC76" s="189">
        <v>668843200</v>
      </c>
      <c r="AD76" s="189">
        <v>517111700</v>
      </c>
      <c r="AE76" s="189">
        <v>520962800</v>
      </c>
      <c r="AF76" s="189">
        <v>366415200</v>
      </c>
      <c r="AG76" s="189">
        <v>367608600</v>
      </c>
      <c r="AH76" s="189">
        <v>369019800</v>
      </c>
      <c r="AI76" s="189">
        <v>370636200</v>
      </c>
      <c r="AJ76" s="189">
        <v>257828750</v>
      </c>
      <c r="AK76" s="189">
        <v>330051200</v>
      </c>
      <c r="AL76" s="189">
        <v>0</v>
      </c>
      <c r="AM76" s="189">
        <v>0</v>
      </c>
      <c r="AN76" s="189">
        <v>0</v>
      </c>
      <c r="AO76" s="189">
        <v>0</v>
      </c>
      <c r="AP76" s="189">
        <v>92000000</v>
      </c>
      <c r="AQ76" s="189">
        <v>150000000</v>
      </c>
      <c r="AR76" s="189">
        <v>150000000</v>
      </c>
      <c r="AS76" s="189">
        <v>150000000</v>
      </c>
      <c r="AT76" s="189">
        <v>0</v>
      </c>
      <c r="AU76" s="189">
        <v>10000000</v>
      </c>
      <c r="AV76" s="189">
        <v>30000000</v>
      </c>
      <c r="AW76" s="189">
        <v>30000000</v>
      </c>
      <c r="AX76" s="189">
        <v>0</v>
      </c>
      <c r="AY76" s="189">
        <v>0</v>
      </c>
      <c r="AZ76" s="189">
        <v>100000000</v>
      </c>
      <c r="BA76" s="189">
        <v>100000000</v>
      </c>
      <c r="BB76" s="189">
        <v>100000000</v>
      </c>
      <c r="BC76" s="189">
        <v>100000000</v>
      </c>
      <c r="BD76" s="189">
        <v>0</v>
      </c>
      <c r="BE76" s="189">
        <v>0</v>
      </c>
      <c r="BF76" s="189">
        <v>0</v>
      </c>
      <c r="BG76" s="189">
        <v>0</v>
      </c>
      <c r="BH76" s="189">
        <v>0</v>
      </c>
      <c r="BI76" s="189">
        <v>0</v>
      </c>
      <c r="BJ76" s="189">
        <v>0</v>
      </c>
      <c r="BK76" s="189">
        <v>0</v>
      </c>
      <c r="BL76" s="189">
        <v>0</v>
      </c>
      <c r="BM76" s="189">
        <v>0</v>
      </c>
      <c r="BN76" s="189">
        <v>0</v>
      </c>
      <c r="BO76" s="189">
        <v>0</v>
      </c>
      <c r="BP76" s="189">
        <v>0</v>
      </c>
      <c r="BQ76" s="189">
        <v>0</v>
      </c>
      <c r="BR76" s="189">
        <v>0</v>
      </c>
      <c r="BS76" s="189">
        <v>0</v>
      </c>
      <c r="BT76" s="189">
        <v>0</v>
      </c>
      <c r="BU76" s="189">
        <v>0</v>
      </c>
      <c r="BV76" s="189">
        <v>0</v>
      </c>
      <c r="BW76" s="189">
        <v>0</v>
      </c>
      <c r="BX76" s="189">
        <v>0</v>
      </c>
      <c r="BY76" s="189">
        <v>0</v>
      </c>
      <c r="BZ76" s="189">
        <v>0</v>
      </c>
      <c r="CA76" s="189">
        <v>0</v>
      </c>
      <c r="CB76" s="189">
        <v>0</v>
      </c>
      <c r="CC76" s="189">
        <v>0</v>
      </c>
      <c r="CD76" s="189">
        <v>0</v>
      </c>
      <c r="CE76" s="189">
        <v>1366072.29</v>
      </c>
      <c r="CF76" s="189">
        <v>4433512.0599999996</v>
      </c>
      <c r="CG76" s="189">
        <v>0</v>
      </c>
      <c r="CH76" s="189">
        <v>0</v>
      </c>
      <c r="CI76" s="189">
        <v>0</v>
      </c>
      <c r="CJ76" s="189"/>
      <c r="CK76" s="189"/>
      <c r="CL76" s="189"/>
    </row>
    <row r="77" spans="1:90">
      <c r="A77" s="128" t="s">
        <v>55</v>
      </c>
      <c r="B77" s="189">
        <v>0</v>
      </c>
      <c r="C77" s="189">
        <v>0</v>
      </c>
      <c r="D77" s="189">
        <v>0</v>
      </c>
      <c r="E77" s="189">
        <v>0</v>
      </c>
      <c r="F77" s="189">
        <v>0</v>
      </c>
      <c r="G77" s="189">
        <v>0</v>
      </c>
      <c r="H77" s="189">
        <v>0</v>
      </c>
      <c r="I77" s="189">
        <v>0</v>
      </c>
      <c r="J77" s="189">
        <v>0</v>
      </c>
      <c r="K77" s="189">
        <v>0</v>
      </c>
      <c r="L77" s="189">
        <v>0</v>
      </c>
      <c r="M77" s="189">
        <v>0</v>
      </c>
      <c r="N77" s="189">
        <v>0</v>
      </c>
      <c r="O77" s="189">
        <v>0</v>
      </c>
      <c r="P77" s="189">
        <v>0</v>
      </c>
      <c r="Q77" s="189">
        <v>0</v>
      </c>
      <c r="R77" s="189">
        <v>0</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c r="AN77" s="189">
        <v>0</v>
      </c>
      <c r="AO77" s="189">
        <v>0</v>
      </c>
      <c r="AP77" s="189">
        <v>0</v>
      </c>
      <c r="AQ77" s="189">
        <v>0</v>
      </c>
      <c r="AR77" s="189">
        <v>0</v>
      </c>
      <c r="AS77" s="189">
        <v>0</v>
      </c>
      <c r="AT77" s="189">
        <v>0</v>
      </c>
      <c r="AU77" s="189">
        <v>0</v>
      </c>
      <c r="AV77" s="189">
        <v>0</v>
      </c>
      <c r="AW77" s="189">
        <v>0</v>
      </c>
      <c r="AX77" s="189">
        <v>0</v>
      </c>
      <c r="AY77" s="189">
        <v>0</v>
      </c>
      <c r="AZ77" s="189">
        <v>0</v>
      </c>
      <c r="BA77" s="189">
        <v>0</v>
      </c>
      <c r="BB77" s="189">
        <v>0</v>
      </c>
      <c r="BC77" s="189">
        <v>0</v>
      </c>
      <c r="BD77" s="189">
        <v>0</v>
      </c>
      <c r="BE77" s="189">
        <v>0</v>
      </c>
      <c r="BF77" s="189">
        <v>0</v>
      </c>
      <c r="BG77" s="189">
        <v>0</v>
      </c>
      <c r="BH77" s="189">
        <v>0</v>
      </c>
      <c r="BI77" s="189">
        <v>0</v>
      </c>
      <c r="BJ77" s="189">
        <v>0</v>
      </c>
      <c r="BK77" s="189">
        <v>0</v>
      </c>
      <c r="BL77" s="189">
        <v>0</v>
      </c>
      <c r="BM77" s="189">
        <v>0</v>
      </c>
      <c r="BN77" s="189">
        <v>0</v>
      </c>
      <c r="BO77" s="189">
        <v>0</v>
      </c>
      <c r="BP77" s="189">
        <v>0</v>
      </c>
      <c r="BQ77" s="189">
        <v>0</v>
      </c>
      <c r="BR77" s="189">
        <v>0</v>
      </c>
      <c r="BS77" s="189">
        <v>0</v>
      </c>
      <c r="BT77" s="189">
        <v>0</v>
      </c>
      <c r="BU77" s="189">
        <v>0</v>
      </c>
      <c r="BV77" s="189">
        <v>0</v>
      </c>
      <c r="BW77" s="189">
        <v>0</v>
      </c>
      <c r="BX77" s="189">
        <v>0</v>
      </c>
      <c r="BY77" s="189">
        <v>0</v>
      </c>
      <c r="BZ77" s="189">
        <v>0</v>
      </c>
      <c r="CA77" s="189">
        <v>0</v>
      </c>
      <c r="CB77" s="189">
        <v>0</v>
      </c>
      <c r="CC77" s="189">
        <v>0</v>
      </c>
      <c r="CD77" s="189">
        <v>0</v>
      </c>
      <c r="CE77" s="189">
        <v>0</v>
      </c>
      <c r="CF77" s="189">
        <v>0</v>
      </c>
      <c r="CG77" s="189">
        <v>0</v>
      </c>
      <c r="CH77" s="189">
        <v>0</v>
      </c>
      <c r="CI77" s="189">
        <v>0</v>
      </c>
      <c r="CJ77" s="189"/>
      <c r="CK77" s="189"/>
      <c r="CL77" s="189"/>
    </row>
    <row r="78" spans="1:90" ht="14.45" hidden="1">
      <c r="A78" s="128"/>
      <c r="B78" s="26"/>
      <c r="C78" s="26"/>
      <c r="D78" s="26"/>
      <c r="E78" s="26"/>
      <c r="F78" s="26"/>
      <c r="G78" s="26"/>
      <c r="H78" s="26"/>
      <c r="I78" s="26"/>
      <c r="J78" s="26"/>
      <c r="K78" s="26"/>
      <c r="L78" s="23"/>
    </row>
    <row r="79" spans="1:90" ht="14.45" hidden="1">
      <c r="A79" s="128"/>
      <c r="B79" s="26"/>
      <c r="C79" s="26"/>
      <c r="D79" s="26"/>
      <c r="E79" s="26"/>
      <c r="F79" s="26"/>
      <c r="G79" s="26"/>
      <c r="H79" s="26"/>
      <c r="I79" s="26"/>
      <c r="J79" s="26"/>
      <c r="K79" s="26"/>
      <c r="L79" s="23"/>
    </row>
    <row r="80" spans="1:90" ht="14.45" hidden="1">
      <c r="A80" s="128"/>
      <c r="B80" s="26"/>
      <c r="C80" s="26"/>
      <c r="D80" s="26"/>
      <c r="E80" s="26"/>
      <c r="F80" s="26"/>
      <c r="G80" s="26"/>
      <c r="H80" s="26"/>
      <c r="I80" s="26"/>
      <c r="J80" s="26"/>
      <c r="K80" s="26"/>
      <c r="L80" s="23"/>
    </row>
    <row r="81" spans="1:90" s="2" customFormat="1">
      <c r="A81" s="20" t="s">
        <v>56</v>
      </c>
      <c r="B81" s="28"/>
      <c r="C81" s="28"/>
      <c r="D81" s="28"/>
      <c r="E81" s="28">
        <f>SUM(E82:E85)</f>
        <v>3930000000</v>
      </c>
      <c r="F81" s="28">
        <f t="shared" ref="F81:BQ81" si="16">SUM(F82:F85)</f>
        <v>2183399291.0700002</v>
      </c>
      <c r="G81" s="28">
        <f t="shared" si="16"/>
        <v>2183509991.4500003</v>
      </c>
      <c r="H81" s="28">
        <f t="shared" si="16"/>
        <v>2183615244.6599998</v>
      </c>
      <c r="I81" s="28">
        <f t="shared" si="16"/>
        <v>1493518127.79</v>
      </c>
      <c r="J81" s="28">
        <f t="shared" si="16"/>
        <v>1753908217.01</v>
      </c>
      <c r="K81" s="28">
        <f t="shared" si="16"/>
        <v>1741436818</v>
      </c>
      <c r="L81" s="28">
        <f t="shared" si="16"/>
        <v>1751630668.1999998</v>
      </c>
      <c r="M81" s="28">
        <f t="shared" si="16"/>
        <v>1334041793</v>
      </c>
      <c r="N81" s="28">
        <f t="shared" si="16"/>
        <v>3100198577.7599998</v>
      </c>
      <c r="O81" s="28">
        <f t="shared" si="16"/>
        <v>3331124999</v>
      </c>
      <c r="P81" s="28">
        <f t="shared" si="16"/>
        <v>2961572646.9299998</v>
      </c>
      <c r="Q81" s="28">
        <f t="shared" si="16"/>
        <v>1590784328</v>
      </c>
      <c r="R81" s="28">
        <f t="shared" si="16"/>
        <v>3660597107.5599999</v>
      </c>
      <c r="S81" s="28">
        <f t="shared" si="16"/>
        <v>1064252747</v>
      </c>
      <c r="T81" s="28">
        <f t="shared" si="16"/>
        <v>1574769633.24</v>
      </c>
      <c r="U81" s="28">
        <f t="shared" si="16"/>
        <v>1646166926</v>
      </c>
      <c r="V81" s="28">
        <f t="shared" si="16"/>
        <v>1882068696</v>
      </c>
      <c r="W81" s="28">
        <f t="shared" si="16"/>
        <v>1955354233</v>
      </c>
      <c r="X81" s="28">
        <f t="shared" si="16"/>
        <v>1722275945.4000001</v>
      </c>
      <c r="Y81" s="28">
        <f t="shared" si="16"/>
        <v>2018842448</v>
      </c>
      <c r="Z81" s="28">
        <f t="shared" si="16"/>
        <v>2278195624</v>
      </c>
      <c r="AA81" s="28">
        <f t="shared" si="16"/>
        <v>2380658043</v>
      </c>
      <c r="AB81" s="28">
        <f t="shared" si="16"/>
        <v>2639994849.4499998</v>
      </c>
      <c r="AC81" s="28">
        <f t="shared" si="16"/>
        <v>2753753835</v>
      </c>
      <c r="AD81" s="28">
        <f t="shared" si="16"/>
        <v>2977225594.8499999</v>
      </c>
      <c r="AE81" s="28">
        <f t="shared" si="16"/>
        <v>3125564348</v>
      </c>
      <c r="AF81" s="28">
        <f t="shared" si="16"/>
        <v>3065882838.4299998</v>
      </c>
      <c r="AG81" s="28">
        <f t="shared" si="16"/>
        <v>3110755291</v>
      </c>
      <c r="AH81" s="28">
        <f t="shared" si="16"/>
        <v>3108918003.5900002</v>
      </c>
      <c r="AI81" s="28">
        <f t="shared" si="16"/>
        <v>3252876169.0700002</v>
      </c>
      <c r="AJ81" s="28">
        <f t="shared" si="16"/>
        <v>2742884854.1199999</v>
      </c>
      <c r="AK81" s="28">
        <f t="shared" si="16"/>
        <v>2640027384.4400001</v>
      </c>
      <c r="AL81" s="28">
        <f t="shared" si="16"/>
        <v>2428341669.6199999</v>
      </c>
      <c r="AM81" s="28">
        <f t="shared" si="16"/>
        <v>2310239979.8800001</v>
      </c>
      <c r="AN81" s="28">
        <f t="shared" si="16"/>
        <v>2129468615.3499999</v>
      </c>
      <c r="AO81" s="28">
        <f t="shared" si="16"/>
        <v>2096526736.6400001</v>
      </c>
      <c r="AP81" s="28">
        <f t="shared" si="16"/>
        <v>2077672000</v>
      </c>
      <c r="AQ81" s="28">
        <f t="shared" si="16"/>
        <v>2065910000</v>
      </c>
      <c r="AR81" s="28">
        <f t="shared" si="16"/>
        <v>1971348000</v>
      </c>
      <c r="AS81" s="28">
        <f t="shared" si="16"/>
        <v>1694577200</v>
      </c>
      <c r="AT81" s="28">
        <f t="shared" si="16"/>
        <v>1911485600</v>
      </c>
      <c r="AU81" s="28">
        <f t="shared" si="16"/>
        <v>1402930000</v>
      </c>
      <c r="AV81" s="28">
        <f t="shared" si="16"/>
        <v>10000000</v>
      </c>
      <c r="AW81" s="28">
        <f t="shared" si="16"/>
        <v>10000000</v>
      </c>
      <c r="AX81" s="28">
        <f t="shared" si="16"/>
        <v>80000000</v>
      </c>
      <c r="AY81" s="28">
        <f t="shared" si="16"/>
        <v>80000000</v>
      </c>
      <c r="AZ81" s="28">
        <f t="shared" si="16"/>
        <v>80000000</v>
      </c>
      <c r="BA81" s="28">
        <f t="shared" si="16"/>
        <v>70000000</v>
      </c>
      <c r="BB81" s="28">
        <f t="shared" si="16"/>
        <v>0</v>
      </c>
      <c r="BC81" s="28">
        <f t="shared" si="16"/>
        <v>0</v>
      </c>
      <c r="BD81" s="28">
        <f t="shared" si="16"/>
        <v>100000000</v>
      </c>
      <c r="BE81" s="28">
        <f t="shared" si="16"/>
        <v>100000000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20000000</v>
      </c>
      <c r="BY81" s="28">
        <f t="shared" si="17"/>
        <v>21807653.68</v>
      </c>
      <c r="BZ81" s="28">
        <f t="shared" si="17"/>
        <v>0</v>
      </c>
      <c r="CA81" s="28">
        <f t="shared" si="17"/>
        <v>21280671.73</v>
      </c>
      <c r="CB81" s="28">
        <f t="shared" si="17"/>
        <v>0</v>
      </c>
      <c r="CC81" s="28">
        <f t="shared" si="17"/>
        <v>252937.26</v>
      </c>
      <c r="CD81" s="28">
        <f t="shared" si="17"/>
        <v>0</v>
      </c>
      <c r="CE81" s="28">
        <f t="shared" si="17"/>
        <v>0</v>
      </c>
      <c r="CF81" s="28">
        <f t="shared" si="17"/>
        <v>26974172.73</v>
      </c>
      <c r="CG81" s="28">
        <f t="shared" si="17"/>
        <v>0</v>
      </c>
      <c r="CH81" s="28">
        <f>SUM(CH82:CH85)</f>
        <v>0</v>
      </c>
      <c r="CI81" s="28">
        <f>SUM(CI82:CI85)</f>
        <v>0</v>
      </c>
      <c r="CJ81" s="28">
        <f>SUM(CJ82:CJ85)</f>
        <v>0</v>
      </c>
      <c r="CK81" s="28">
        <f>SUM(CK82:CK85)</f>
        <v>0</v>
      </c>
    </row>
    <row r="82" spans="1:90">
      <c r="A82" s="128" t="s">
        <v>57</v>
      </c>
      <c r="B82" s="189">
        <v>11521550000</v>
      </c>
      <c r="C82" s="189">
        <v>10904650000</v>
      </c>
      <c r="D82" s="189">
        <v>10197250000</v>
      </c>
      <c r="E82" s="189">
        <v>3730000000</v>
      </c>
      <c r="F82" s="189">
        <v>1980000000</v>
      </c>
      <c r="G82" s="189">
        <v>1980000000</v>
      </c>
      <c r="H82" s="189">
        <v>1980000000</v>
      </c>
      <c r="I82" s="189">
        <v>1290000000</v>
      </c>
      <c r="J82" s="189">
        <v>1550000000</v>
      </c>
      <c r="K82" s="189">
        <v>1300000000</v>
      </c>
      <c r="L82" s="189">
        <v>1314000000</v>
      </c>
      <c r="M82" s="189">
        <v>900000000</v>
      </c>
      <c r="N82" s="189">
        <v>2680000000</v>
      </c>
      <c r="O82" s="189">
        <v>2680000000</v>
      </c>
      <c r="P82" s="189">
        <v>2456683400</v>
      </c>
      <c r="Q82" s="189">
        <v>1105593000</v>
      </c>
      <c r="R82" s="189">
        <v>2868475000</v>
      </c>
      <c r="S82" s="189">
        <v>868473600</v>
      </c>
      <c r="T82" s="189">
        <v>1379544100</v>
      </c>
      <c r="U82" s="189">
        <v>1444739600</v>
      </c>
      <c r="V82" s="189">
        <v>1669680700</v>
      </c>
      <c r="W82" s="189">
        <v>1743142200</v>
      </c>
      <c r="X82" s="189">
        <v>1506046950</v>
      </c>
      <c r="Y82" s="189">
        <v>1798515000</v>
      </c>
      <c r="Z82" s="189">
        <v>2050479500</v>
      </c>
      <c r="AA82" s="189">
        <v>2138634600</v>
      </c>
      <c r="AB82" s="189">
        <v>2377761050</v>
      </c>
      <c r="AC82" s="189">
        <v>2469360200</v>
      </c>
      <c r="AD82" s="189">
        <v>2723992750</v>
      </c>
      <c r="AE82" s="189">
        <v>2838263200</v>
      </c>
      <c r="AF82" s="189">
        <v>2755358840</v>
      </c>
      <c r="AG82" s="189">
        <v>2859732020</v>
      </c>
      <c r="AH82" s="189">
        <v>2967086810</v>
      </c>
      <c r="AI82" s="189">
        <v>3077445440</v>
      </c>
      <c r="AJ82" s="189">
        <v>2595721150</v>
      </c>
      <c r="AK82" s="189">
        <v>2483476000</v>
      </c>
      <c r="AL82" s="189">
        <v>2348787100</v>
      </c>
      <c r="AM82" s="189">
        <v>2242282730</v>
      </c>
      <c r="AN82" s="189">
        <v>2063590000</v>
      </c>
      <c r="AO82" s="189">
        <v>2063460000</v>
      </c>
      <c r="AP82" s="189">
        <v>2061830000</v>
      </c>
      <c r="AQ82" s="189">
        <v>2065910000</v>
      </c>
      <c r="AR82" s="189">
        <v>1971348000</v>
      </c>
      <c r="AS82" s="189">
        <v>1694577200</v>
      </c>
      <c r="AT82" s="189">
        <v>1911485600</v>
      </c>
      <c r="AU82" s="189">
        <v>1402930000</v>
      </c>
      <c r="AV82" s="189">
        <v>10000000</v>
      </c>
      <c r="AW82" s="189">
        <v>10000000</v>
      </c>
      <c r="AX82" s="189">
        <v>80000000</v>
      </c>
      <c r="AY82" s="189">
        <v>80000000</v>
      </c>
      <c r="AZ82" s="189">
        <v>80000000</v>
      </c>
      <c r="BA82" s="189">
        <v>70000000</v>
      </c>
      <c r="BB82" s="189">
        <v>0</v>
      </c>
      <c r="BC82" s="189">
        <v>0</v>
      </c>
      <c r="BD82" s="189">
        <v>100000000</v>
      </c>
      <c r="BE82" s="189">
        <v>100000000</v>
      </c>
      <c r="BF82" s="189">
        <v>0</v>
      </c>
      <c r="BG82" s="189">
        <v>0</v>
      </c>
      <c r="BH82" s="189">
        <v>0</v>
      </c>
      <c r="BI82" s="189">
        <v>0</v>
      </c>
      <c r="BJ82" s="189">
        <v>0</v>
      </c>
      <c r="BK82" s="189">
        <v>0</v>
      </c>
      <c r="BL82" s="189">
        <v>0</v>
      </c>
      <c r="BM82" s="189">
        <v>0</v>
      </c>
      <c r="BN82" s="189">
        <v>0</v>
      </c>
      <c r="BO82" s="189">
        <v>0</v>
      </c>
      <c r="BP82" s="189">
        <v>0</v>
      </c>
      <c r="BQ82" s="189">
        <v>0</v>
      </c>
      <c r="BR82" s="189">
        <v>0</v>
      </c>
      <c r="BS82" s="189">
        <v>0</v>
      </c>
      <c r="BT82" s="189">
        <v>0</v>
      </c>
      <c r="BU82" s="189">
        <v>0</v>
      </c>
      <c r="BV82" s="189">
        <v>0</v>
      </c>
      <c r="BW82" s="189">
        <v>0</v>
      </c>
      <c r="BX82" s="189">
        <v>20000000</v>
      </c>
      <c r="BY82" s="189">
        <v>20000000</v>
      </c>
      <c r="BZ82" s="189">
        <v>0</v>
      </c>
      <c r="CA82" s="189">
        <v>20000000</v>
      </c>
      <c r="CB82" s="189">
        <v>0</v>
      </c>
      <c r="CC82" s="189">
        <v>0</v>
      </c>
      <c r="CD82" s="189">
        <v>0</v>
      </c>
      <c r="CE82" s="189">
        <v>0</v>
      </c>
      <c r="CF82" s="189">
        <v>26974172.73</v>
      </c>
      <c r="CG82" s="189">
        <v>0</v>
      </c>
      <c r="CH82" s="189">
        <v>0</v>
      </c>
      <c r="CI82" s="189">
        <v>0</v>
      </c>
      <c r="CJ82" s="189"/>
      <c r="CK82" s="189"/>
      <c r="CL82" s="189"/>
    </row>
    <row r="83" spans="1:90">
      <c r="A83" s="128" t="s">
        <v>58</v>
      </c>
      <c r="B83" s="189">
        <v>0</v>
      </c>
      <c r="C83" s="189">
        <v>0</v>
      </c>
      <c r="D83" s="189">
        <v>0</v>
      </c>
      <c r="E83" s="189">
        <v>0</v>
      </c>
      <c r="F83" s="189">
        <v>0</v>
      </c>
      <c r="G83" s="189">
        <v>0</v>
      </c>
      <c r="H83" s="189">
        <v>0</v>
      </c>
      <c r="I83" s="189">
        <v>0</v>
      </c>
      <c r="J83" s="189">
        <v>0</v>
      </c>
      <c r="K83" s="189">
        <v>0</v>
      </c>
      <c r="L83" s="189">
        <v>0</v>
      </c>
      <c r="M83" s="189">
        <v>0</v>
      </c>
      <c r="N83" s="189">
        <v>0</v>
      </c>
      <c r="O83" s="189">
        <v>0</v>
      </c>
      <c r="P83" s="189">
        <v>0</v>
      </c>
      <c r="Q83" s="189">
        <v>0</v>
      </c>
      <c r="R83" s="189">
        <v>0</v>
      </c>
      <c r="S83" s="189">
        <v>0</v>
      </c>
      <c r="T83" s="189">
        <v>0</v>
      </c>
      <c r="U83" s="189">
        <v>0</v>
      </c>
      <c r="V83" s="189">
        <v>0</v>
      </c>
      <c r="W83" s="189">
        <v>0</v>
      </c>
      <c r="X83" s="189">
        <v>0</v>
      </c>
      <c r="Y83" s="189">
        <v>0</v>
      </c>
      <c r="Z83" s="189">
        <v>0</v>
      </c>
      <c r="AA83" s="189">
        <v>0</v>
      </c>
      <c r="AB83" s="189">
        <v>0</v>
      </c>
      <c r="AC83" s="189">
        <v>0</v>
      </c>
      <c r="AD83" s="189">
        <v>0</v>
      </c>
      <c r="AE83" s="189">
        <v>0</v>
      </c>
      <c r="AF83" s="189">
        <v>0</v>
      </c>
      <c r="AG83" s="189">
        <v>0</v>
      </c>
      <c r="AH83" s="189">
        <v>0</v>
      </c>
      <c r="AI83" s="189">
        <v>0</v>
      </c>
      <c r="AJ83" s="189">
        <v>0</v>
      </c>
      <c r="AK83" s="189">
        <v>0</v>
      </c>
      <c r="AL83" s="189">
        <v>0</v>
      </c>
      <c r="AM83" s="189">
        <v>0</v>
      </c>
      <c r="AN83" s="189">
        <v>0</v>
      </c>
      <c r="AO83" s="189">
        <v>0</v>
      </c>
      <c r="AP83" s="189">
        <v>0</v>
      </c>
      <c r="AQ83" s="189">
        <v>0</v>
      </c>
      <c r="AR83" s="189">
        <v>0</v>
      </c>
      <c r="AS83" s="189">
        <v>0</v>
      </c>
      <c r="AT83" s="189">
        <v>0</v>
      </c>
      <c r="AU83" s="189">
        <v>0</v>
      </c>
      <c r="AV83" s="189">
        <v>0</v>
      </c>
      <c r="AW83" s="189">
        <v>0</v>
      </c>
      <c r="AX83" s="189">
        <v>0</v>
      </c>
      <c r="AY83" s="189">
        <v>0</v>
      </c>
      <c r="AZ83" s="189">
        <v>0</v>
      </c>
      <c r="BA83" s="189">
        <v>0</v>
      </c>
      <c r="BB83" s="189">
        <v>0</v>
      </c>
      <c r="BC83" s="189">
        <v>0</v>
      </c>
      <c r="BD83" s="189">
        <v>0</v>
      </c>
      <c r="BE83" s="189">
        <v>0</v>
      </c>
      <c r="BF83" s="189">
        <v>0</v>
      </c>
      <c r="BG83" s="189">
        <v>0</v>
      </c>
      <c r="BH83" s="189">
        <v>0</v>
      </c>
      <c r="BI83" s="189">
        <v>0</v>
      </c>
      <c r="BJ83" s="189">
        <v>0</v>
      </c>
      <c r="BK83" s="189">
        <v>0</v>
      </c>
      <c r="BL83" s="189">
        <v>0</v>
      </c>
      <c r="BM83" s="189">
        <v>0</v>
      </c>
      <c r="BN83" s="189">
        <v>0</v>
      </c>
      <c r="BO83" s="189">
        <v>0</v>
      </c>
      <c r="BP83" s="189">
        <v>0</v>
      </c>
      <c r="BQ83" s="189">
        <v>0</v>
      </c>
      <c r="BR83" s="189">
        <v>0</v>
      </c>
      <c r="BS83" s="189">
        <v>0</v>
      </c>
      <c r="BT83" s="189">
        <v>0</v>
      </c>
      <c r="BU83" s="189">
        <v>0</v>
      </c>
      <c r="BV83" s="189">
        <v>0</v>
      </c>
      <c r="BW83" s="189">
        <v>0</v>
      </c>
      <c r="BX83" s="189">
        <v>0</v>
      </c>
      <c r="BY83" s="189">
        <v>0</v>
      </c>
      <c r="BZ83" s="189">
        <v>0</v>
      </c>
      <c r="CA83" s="189">
        <v>0</v>
      </c>
      <c r="CB83" s="189">
        <v>0</v>
      </c>
      <c r="CC83" s="189">
        <v>0</v>
      </c>
      <c r="CD83" s="189">
        <v>0</v>
      </c>
      <c r="CE83" s="189">
        <v>0</v>
      </c>
      <c r="CF83" s="189">
        <v>0</v>
      </c>
      <c r="CG83" s="189">
        <v>0</v>
      </c>
      <c r="CH83" s="189">
        <v>0</v>
      </c>
      <c r="CI83" s="189">
        <v>0</v>
      </c>
      <c r="CJ83" s="189"/>
      <c r="CK83" s="189"/>
      <c r="CL83" s="189"/>
    </row>
    <row r="84" spans="1:90">
      <c r="A84" s="128" t="s">
        <v>59</v>
      </c>
      <c r="B84" s="189">
        <v>191600000</v>
      </c>
      <c r="C84" s="189">
        <v>0</v>
      </c>
      <c r="D84" s="189">
        <v>0</v>
      </c>
      <c r="E84" s="189">
        <v>0</v>
      </c>
      <c r="F84" s="189">
        <v>13107.88</v>
      </c>
      <c r="G84" s="189">
        <v>37740.18</v>
      </c>
      <c r="H84" s="189">
        <v>63252.78</v>
      </c>
      <c r="I84" s="189">
        <v>85130.86</v>
      </c>
      <c r="J84" s="189">
        <v>98617.75</v>
      </c>
      <c r="K84" s="189">
        <v>105317</v>
      </c>
      <c r="L84" s="189">
        <v>109814.56</v>
      </c>
      <c r="M84" s="189">
        <v>114495</v>
      </c>
      <c r="N84" s="189">
        <v>36689825.990000002</v>
      </c>
      <c r="O84" s="189">
        <v>34588648</v>
      </c>
      <c r="P84" s="189">
        <v>35381892.369999997</v>
      </c>
      <c r="Q84" s="189">
        <v>35351870</v>
      </c>
      <c r="R84" s="189">
        <v>226547864.91</v>
      </c>
      <c r="S84" s="189">
        <v>0</v>
      </c>
      <c r="T84" s="189">
        <v>0</v>
      </c>
      <c r="U84" s="189">
        <v>0</v>
      </c>
      <c r="V84" s="189">
        <v>0</v>
      </c>
      <c r="W84" s="189">
        <v>0</v>
      </c>
      <c r="X84" s="189">
        <v>0</v>
      </c>
      <c r="Y84" s="189">
        <v>0</v>
      </c>
      <c r="Z84" s="189">
        <v>0</v>
      </c>
      <c r="AA84" s="189">
        <v>0</v>
      </c>
      <c r="AB84" s="189">
        <v>0</v>
      </c>
      <c r="AC84" s="189">
        <v>0</v>
      </c>
      <c r="AD84" s="189">
        <v>0</v>
      </c>
      <c r="AE84" s="189">
        <v>0</v>
      </c>
      <c r="AF84" s="189">
        <v>0</v>
      </c>
      <c r="AG84" s="189">
        <v>0</v>
      </c>
      <c r="AH84" s="189">
        <v>0</v>
      </c>
      <c r="AI84" s="189">
        <v>0</v>
      </c>
      <c r="AJ84" s="189">
        <v>0</v>
      </c>
      <c r="AK84" s="189">
        <v>0</v>
      </c>
      <c r="AL84" s="189">
        <v>0</v>
      </c>
      <c r="AM84" s="189">
        <v>0</v>
      </c>
      <c r="AN84" s="189">
        <v>0</v>
      </c>
      <c r="AO84" s="189">
        <v>0</v>
      </c>
      <c r="AP84" s="189">
        <v>0</v>
      </c>
      <c r="AQ84" s="189">
        <v>0</v>
      </c>
      <c r="AR84" s="189">
        <v>0</v>
      </c>
      <c r="AS84" s="189">
        <v>0</v>
      </c>
      <c r="AT84" s="189">
        <v>0</v>
      </c>
      <c r="AU84" s="189">
        <v>0</v>
      </c>
      <c r="AV84" s="189">
        <v>0</v>
      </c>
      <c r="AW84" s="189">
        <v>0</v>
      </c>
      <c r="AX84" s="189">
        <v>0</v>
      </c>
      <c r="AY84" s="189">
        <v>0</v>
      </c>
      <c r="AZ84" s="189">
        <v>0</v>
      </c>
      <c r="BA84" s="189">
        <v>0</v>
      </c>
      <c r="BB84" s="189">
        <v>0</v>
      </c>
      <c r="BC84" s="189">
        <v>0</v>
      </c>
      <c r="BD84" s="189">
        <v>0</v>
      </c>
      <c r="BE84" s="189">
        <v>0</v>
      </c>
      <c r="BF84" s="189">
        <v>0</v>
      </c>
      <c r="BG84" s="189">
        <v>0</v>
      </c>
      <c r="BH84" s="189">
        <v>0</v>
      </c>
      <c r="BI84" s="189">
        <v>0</v>
      </c>
      <c r="BJ84" s="189">
        <v>0</v>
      </c>
      <c r="BK84" s="189">
        <v>0</v>
      </c>
      <c r="BL84" s="189">
        <v>0</v>
      </c>
      <c r="BM84" s="189">
        <v>0</v>
      </c>
      <c r="BN84" s="189">
        <v>0</v>
      </c>
      <c r="BO84" s="189">
        <v>0</v>
      </c>
      <c r="BP84" s="189">
        <v>0</v>
      </c>
      <c r="BQ84" s="189">
        <v>0</v>
      </c>
      <c r="BR84" s="189">
        <v>0</v>
      </c>
      <c r="BS84" s="189">
        <v>0</v>
      </c>
      <c r="BT84" s="189">
        <v>0</v>
      </c>
      <c r="BU84" s="189">
        <v>0</v>
      </c>
      <c r="BV84" s="189">
        <v>0</v>
      </c>
      <c r="BW84" s="189">
        <v>0</v>
      </c>
      <c r="BX84" s="189">
        <v>0</v>
      </c>
      <c r="BY84" s="189">
        <v>1807653.68</v>
      </c>
      <c r="BZ84" s="189">
        <v>0</v>
      </c>
      <c r="CA84" s="189">
        <v>1280671.73</v>
      </c>
      <c r="CB84" s="189">
        <v>0</v>
      </c>
      <c r="CC84" s="189">
        <v>252937.26</v>
      </c>
      <c r="CD84" s="189">
        <v>0</v>
      </c>
      <c r="CE84" s="189">
        <v>0</v>
      </c>
      <c r="CF84" s="189">
        <v>0</v>
      </c>
      <c r="CG84" s="189">
        <v>0</v>
      </c>
      <c r="CH84" s="189">
        <v>0</v>
      </c>
      <c r="CI84" s="189">
        <v>0</v>
      </c>
      <c r="CJ84" s="189"/>
      <c r="CK84" s="189"/>
      <c r="CL84" s="189"/>
    </row>
    <row r="85" spans="1:90">
      <c r="A85" s="128" t="s">
        <v>83</v>
      </c>
      <c r="B85" s="189">
        <v>1488000000</v>
      </c>
      <c r="C85" s="189">
        <v>1488000000</v>
      </c>
      <c r="D85" s="189">
        <v>1488000000</v>
      </c>
      <c r="E85" s="189">
        <v>200000000</v>
      </c>
      <c r="F85" s="189">
        <v>203386183.19</v>
      </c>
      <c r="G85" s="189">
        <v>203472251.27000001</v>
      </c>
      <c r="H85" s="189">
        <v>203551991.88</v>
      </c>
      <c r="I85" s="189">
        <v>203432996.93000001</v>
      </c>
      <c r="J85" s="189">
        <v>203809599.25999999</v>
      </c>
      <c r="K85" s="189">
        <v>441331501</v>
      </c>
      <c r="L85" s="189">
        <v>437520853.63999999</v>
      </c>
      <c r="M85" s="189">
        <v>433927298</v>
      </c>
      <c r="N85" s="189">
        <v>383508751.76999998</v>
      </c>
      <c r="O85" s="189">
        <v>616536351</v>
      </c>
      <c r="P85" s="189">
        <v>469507354.56</v>
      </c>
      <c r="Q85" s="189">
        <v>449839458</v>
      </c>
      <c r="R85" s="189">
        <v>565574242.64999998</v>
      </c>
      <c r="S85" s="189">
        <v>195779147</v>
      </c>
      <c r="T85" s="189">
        <v>195225533.24000001</v>
      </c>
      <c r="U85" s="189">
        <v>201427326</v>
      </c>
      <c r="V85" s="189">
        <v>212387996</v>
      </c>
      <c r="W85" s="189">
        <v>212212033</v>
      </c>
      <c r="X85" s="189">
        <v>216228995.40000001</v>
      </c>
      <c r="Y85" s="189">
        <v>220327448</v>
      </c>
      <c r="Z85" s="189">
        <v>227716124</v>
      </c>
      <c r="AA85" s="189">
        <v>242023443</v>
      </c>
      <c r="AB85" s="189">
        <v>262233799.44999999</v>
      </c>
      <c r="AC85" s="189">
        <v>284393635</v>
      </c>
      <c r="AD85" s="189">
        <v>253232844.84999999</v>
      </c>
      <c r="AE85" s="189">
        <v>287301148</v>
      </c>
      <c r="AF85" s="189">
        <v>310523998.43000001</v>
      </c>
      <c r="AG85" s="189">
        <v>251023271</v>
      </c>
      <c r="AH85" s="189">
        <v>141831193.59</v>
      </c>
      <c r="AI85" s="189">
        <v>175430729.06999999</v>
      </c>
      <c r="AJ85" s="189">
        <v>147163704.12</v>
      </c>
      <c r="AK85" s="189">
        <v>156551384.44</v>
      </c>
      <c r="AL85" s="189">
        <v>79554569.620000005</v>
      </c>
      <c r="AM85" s="189">
        <v>67957249.879999995</v>
      </c>
      <c r="AN85" s="189">
        <v>65878615.350000001</v>
      </c>
      <c r="AO85" s="189">
        <v>33066736.640000001</v>
      </c>
      <c r="AP85" s="189">
        <v>15842000</v>
      </c>
      <c r="AQ85" s="189">
        <v>0</v>
      </c>
      <c r="AR85" s="189">
        <v>0</v>
      </c>
      <c r="AS85" s="189">
        <v>0</v>
      </c>
      <c r="AT85" s="189">
        <v>0</v>
      </c>
      <c r="AU85" s="189">
        <v>0</v>
      </c>
      <c r="AV85" s="189">
        <v>0</v>
      </c>
      <c r="AW85" s="189">
        <v>0</v>
      </c>
      <c r="AX85" s="189">
        <v>0</v>
      </c>
      <c r="AY85" s="189">
        <v>0</v>
      </c>
      <c r="AZ85" s="189">
        <v>0</v>
      </c>
      <c r="BA85" s="189">
        <v>0</v>
      </c>
      <c r="BB85" s="189">
        <v>0</v>
      </c>
      <c r="BC85" s="189">
        <v>0</v>
      </c>
      <c r="BD85" s="189">
        <v>0</v>
      </c>
      <c r="BE85" s="189">
        <v>0</v>
      </c>
      <c r="BF85" s="189">
        <v>0</v>
      </c>
      <c r="BG85" s="189">
        <v>0</v>
      </c>
      <c r="BH85" s="189">
        <v>0</v>
      </c>
      <c r="BI85" s="189">
        <v>0</v>
      </c>
      <c r="BJ85" s="189">
        <v>0</v>
      </c>
      <c r="BK85" s="189">
        <v>0</v>
      </c>
      <c r="BL85" s="189">
        <v>0</v>
      </c>
      <c r="BM85" s="189">
        <v>0</v>
      </c>
      <c r="BN85" s="189">
        <v>0</v>
      </c>
      <c r="BO85" s="189">
        <v>0</v>
      </c>
      <c r="BP85" s="189">
        <v>0</v>
      </c>
      <c r="BQ85" s="189">
        <v>0</v>
      </c>
      <c r="BR85" s="189">
        <v>0</v>
      </c>
      <c r="BS85" s="189">
        <v>0</v>
      </c>
      <c r="BT85" s="189">
        <v>0</v>
      </c>
      <c r="BU85" s="189">
        <v>0</v>
      </c>
      <c r="BV85" s="189">
        <v>0</v>
      </c>
      <c r="BW85" s="189">
        <v>0</v>
      </c>
      <c r="BX85" s="189">
        <v>0</v>
      </c>
      <c r="BY85" s="189">
        <v>0</v>
      </c>
      <c r="BZ85" s="189">
        <v>0</v>
      </c>
      <c r="CA85" s="189">
        <v>0</v>
      </c>
      <c r="CB85" s="189">
        <v>0</v>
      </c>
      <c r="CC85" s="189">
        <v>0</v>
      </c>
      <c r="CD85" s="189">
        <v>0</v>
      </c>
      <c r="CE85" s="189">
        <v>0</v>
      </c>
      <c r="CF85" s="189">
        <v>0</v>
      </c>
      <c r="CG85" s="189">
        <v>0</v>
      </c>
      <c r="CH85" s="189">
        <v>0</v>
      </c>
      <c r="CI85" s="189">
        <v>0</v>
      </c>
      <c r="CJ85" s="189"/>
      <c r="CK85" s="189"/>
      <c r="CL85" s="189"/>
    </row>
    <row r="86" spans="1:90" ht="14.45" hidden="1">
      <c r="A86" s="128"/>
      <c r="B86" s="26"/>
      <c r="C86" s="26"/>
      <c r="D86" s="26"/>
      <c r="E86" s="26"/>
      <c r="F86" s="26"/>
      <c r="G86" s="26"/>
      <c r="H86" s="26"/>
      <c r="I86" s="26"/>
      <c r="J86" s="26"/>
      <c r="K86" s="26"/>
      <c r="L86" s="23"/>
    </row>
    <row r="87" spans="1:90" ht="14.45" hidden="1">
      <c r="A87" s="128"/>
      <c r="B87" s="26"/>
      <c r="C87" s="26"/>
      <c r="D87" s="26"/>
      <c r="E87" s="26"/>
      <c r="F87" s="26"/>
      <c r="G87" s="26"/>
      <c r="H87" s="26"/>
      <c r="I87" s="26"/>
      <c r="J87" s="26"/>
      <c r="K87" s="26"/>
      <c r="L87" s="23"/>
    </row>
    <row r="88" spans="1:90" ht="14.45" hidden="1">
      <c r="A88" s="128"/>
      <c r="B88" s="26"/>
      <c r="C88" s="26"/>
      <c r="D88" s="26"/>
      <c r="E88" s="26"/>
      <c r="F88" s="26"/>
      <c r="G88" s="26"/>
      <c r="H88" s="26"/>
      <c r="I88" s="26"/>
      <c r="J88" s="26"/>
      <c r="K88" s="26"/>
      <c r="L88" s="23"/>
    </row>
    <row r="89" spans="1:90" s="5" customFormat="1">
      <c r="A89" s="129" t="s">
        <v>60</v>
      </c>
      <c r="B89" s="33">
        <f>SUM(B73:B85)</f>
        <v>20281669254.279999</v>
      </c>
      <c r="C89" s="33">
        <f>SUM(C73:C85)</f>
        <v>20054663091.299999</v>
      </c>
      <c r="D89" s="33">
        <f>SUM(D73:D85)</f>
        <v>20818913930.650002</v>
      </c>
      <c r="E89" s="33">
        <f>E72+E81</f>
        <v>7163731137.7200003</v>
      </c>
      <c r="F89" s="33">
        <f t="shared" ref="F89:BQ89" si="18">F72+F81</f>
        <v>5539967027.1700001</v>
      </c>
      <c r="G89" s="33">
        <f t="shared" si="18"/>
        <v>4959108387.2800007</v>
      </c>
      <c r="H89" s="33">
        <f t="shared" si="18"/>
        <v>3802430103.3000002</v>
      </c>
      <c r="I89" s="33">
        <f t="shared" si="18"/>
        <v>1762110241.79</v>
      </c>
      <c r="J89" s="33">
        <f t="shared" si="18"/>
        <v>2215165914.7799997</v>
      </c>
      <c r="K89" s="33">
        <f t="shared" si="18"/>
        <v>2210965577</v>
      </c>
      <c r="L89" s="33">
        <f t="shared" si="18"/>
        <v>2683914508.8499999</v>
      </c>
      <c r="M89" s="33">
        <f t="shared" si="18"/>
        <v>2560204315</v>
      </c>
      <c r="N89" s="33">
        <f t="shared" si="18"/>
        <v>3881953545.1499996</v>
      </c>
      <c r="O89" s="33">
        <f t="shared" si="18"/>
        <v>4996565155</v>
      </c>
      <c r="P89" s="33">
        <f t="shared" si="18"/>
        <v>4090629400.46</v>
      </c>
      <c r="Q89" s="33">
        <f t="shared" si="18"/>
        <v>2940474151</v>
      </c>
      <c r="R89" s="33">
        <f t="shared" si="18"/>
        <v>5777070727.8600006</v>
      </c>
      <c r="S89" s="33">
        <f t="shared" si="18"/>
        <v>2410801241</v>
      </c>
      <c r="T89" s="33">
        <f t="shared" si="18"/>
        <v>2752826993.77</v>
      </c>
      <c r="U89" s="33">
        <f t="shared" si="18"/>
        <v>2812429209</v>
      </c>
      <c r="V89" s="33">
        <f t="shared" si="18"/>
        <v>3115931768</v>
      </c>
      <c r="W89" s="33">
        <f t="shared" si="18"/>
        <v>3088198603</v>
      </c>
      <c r="X89" s="33">
        <f t="shared" si="18"/>
        <v>3329870198.0799999</v>
      </c>
      <c r="Y89" s="33">
        <f t="shared" si="18"/>
        <v>3335316591</v>
      </c>
      <c r="Z89" s="33">
        <f t="shared" si="18"/>
        <v>3659531267</v>
      </c>
      <c r="AA89" s="33">
        <f t="shared" si="18"/>
        <v>3741634339</v>
      </c>
      <c r="AB89" s="33">
        <f t="shared" si="18"/>
        <v>3651219204.7599998</v>
      </c>
      <c r="AC89" s="33">
        <f t="shared" si="18"/>
        <v>3752286617</v>
      </c>
      <c r="AD89" s="33">
        <f t="shared" si="18"/>
        <v>3829777154.1999998</v>
      </c>
      <c r="AE89" s="33">
        <f t="shared" si="18"/>
        <v>4179264805</v>
      </c>
      <c r="AF89" s="33">
        <f t="shared" si="18"/>
        <v>3956319015.0799999</v>
      </c>
      <c r="AG89" s="33">
        <f t="shared" si="18"/>
        <v>3894632501</v>
      </c>
      <c r="AH89" s="33">
        <f t="shared" si="18"/>
        <v>4110716899.2200003</v>
      </c>
      <c r="AI89" s="33">
        <f t="shared" si="18"/>
        <v>4280745902.6000004</v>
      </c>
      <c r="AJ89" s="33">
        <f t="shared" si="18"/>
        <v>3867615499.3099999</v>
      </c>
      <c r="AK89" s="33">
        <f t="shared" si="18"/>
        <v>3562599633.4400001</v>
      </c>
      <c r="AL89" s="33">
        <f t="shared" si="18"/>
        <v>2908352348.2599998</v>
      </c>
      <c r="AM89" s="33">
        <f t="shared" si="18"/>
        <v>2813995728.0700002</v>
      </c>
      <c r="AN89" s="33">
        <f t="shared" si="18"/>
        <v>2407165810.5699997</v>
      </c>
      <c r="AO89" s="33">
        <f t="shared" si="18"/>
        <v>2277896683.27</v>
      </c>
      <c r="AP89" s="33">
        <f t="shared" si="18"/>
        <v>2295362317.1100001</v>
      </c>
      <c r="AQ89" s="33">
        <f t="shared" si="18"/>
        <v>2317731444.5799999</v>
      </c>
      <c r="AR89" s="33">
        <f t="shared" si="18"/>
        <v>2228704385.0599999</v>
      </c>
      <c r="AS89" s="33">
        <f t="shared" si="18"/>
        <v>1862751249.04</v>
      </c>
      <c r="AT89" s="33">
        <f t="shared" si="18"/>
        <v>1967977050.0999999</v>
      </c>
      <c r="AU89" s="33">
        <f t="shared" si="18"/>
        <v>1817930000</v>
      </c>
      <c r="AV89" s="33">
        <f t="shared" si="18"/>
        <v>385000000</v>
      </c>
      <c r="AW89" s="33">
        <f t="shared" si="18"/>
        <v>372598500.05000001</v>
      </c>
      <c r="AX89" s="33">
        <f t="shared" si="18"/>
        <v>398351000</v>
      </c>
      <c r="AY89" s="33">
        <f t="shared" si="18"/>
        <v>423351000</v>
      </c>
      <c r="AZ89" s="33">
        <f t="shared" si="18"/>
        <v>380351000</v>
      </c>
      <c r="BA89" s="33">
        <f t="shared" si="18"/>
        <v>331157000</v>
      </c>
      <c r="BB89" s="33">
        <f t="shared" si="18"/>
        <v>422478000</v>
      </c>
      <c r="BC89" s="33">
        <f t="shared" si="18"/>
        <v>445421500</v>
      </c>
      <c r="BD89" s="33">
        <f t="shared" si="18"/>
        <v>445609000</v>
      </c>
      <c r="BE89" s="33">
        <f t="shared" si="18"/>
        <v>481974500</v>
      </c>
      <c r="BF89" s="33">
        <f t="shared" si="18"/>
        <v>390703900</v>
      </c>
      <c r="BG89" s="33">
        <f t="shared" si="18"/>
        <v>390951600</v>
      </c>
      <c r="BH89" s="33">
        <f t="shared" si="18"/>
        <v>377257300</v>
      </c>
      <c r="BI89" s="33">
        <f t="shared" si="18"/>
        <v>322427200</v>
      </c>
      <c r="BJ89" s="33">
        <f t="shared" si="18"/>
        <v>298667970</v>
      </c>
      <c r="BK89" s="33">
        <f t="shared" si="18"/>
        <v>322822200</v>
      </c>
      <c r="BL89" s="33">
        <f t="shared" si="18"/>
        <v>314697100</v>
      </c>
      <c r="BM89" s="33">
        <f t="shared" si="18"/>
        <v>284697100</v>
      </c>
      <c r="BN89" s="33">
        <f t="shared" si="18"/>
        <v>274220674.54000002</v>
      </c>
      <c r="BO89" s="33">
        <f t="shared" si="18"/>
        <v>175612300</v>
      </c>
      <c r="BP89" s="33">
        <f t="shared" si="18"/>
        <v>125612300</v>
      </c>
      <c r="BQ89" s="33">
        <f t="shared" si="18"/>
        <v>106296607.69</v>
      </c>
      <c r="BR89" s="33">
        <f t="shared" ref="BR89:CK89" si="19">BR72+BR81</f>
        <v>140370230.77000001</v>
      </c>
      <c r="BS89" s="33">
        <f t="shared" si="19"/>
        <v>172575127.5</v>
      </c>
      <c r="BT89" s="33">
        <f t="shared" si="19"/>
        <v>151089720.90000001</v>
      </c>
      <c r="BU89" s="33">
        <f t="shared" si="19"/>
        <v>136129032.75</v>
      </c>
      <c r="BV89" s="33">
        <f t="shared" si="19"/>
        <v>118991210.45999999</v>
      </c>
      <c r="BW89" s="33">
        <f t="shared" si="19"/>
        <v>95047932.230000004</v>
      </c>
      <c r="BX89" s="33">
        <f t="shared" si="19"/>
        <v>130702727.2</v>
      </c>
      <c r="BY89" s="33">
        <f t="shared" si="19"/>
        <v>152578865.34</v>
      </c>
      <c r="BZ89" s="33">
        <f t="shared" si="19"/>
        <v>0</v>
      </c>
      <c r="CA89" s="33">
        <f t="shared" si="19"/>
        <v>157850699.59999999</v>
      </c>
      <c r="CB89" s="33">
        <f t="shared" si="19"/>
        <v>0</v>
      </c>
      <c r="CC89" s="33">
        <f t="shared" si="19"/>
        <v>152533951.22</v>
      </c>
      <c r="CD89" s="33">
        <f t="shared" si="19"/>
        <v>0</v>
      </c>
      <c r="CE89" s="33">
        <f t="shared" si="19"/>
        <v>143253671.35999998</v>
      </c>
      <c r="CF89" s="33">
        <f t="shared" si="19"/>
        <v>158212409.66999999</v>
      </c>
      <c r="CG89" s="33">
        <f t="shared" si="19"/>
        <v>0</v>
      </c>
      <c r="CH89" s="33">
        <f t="shared" si="19"/>
        <v>0</v>
      </c>
      <c r="CI89" s="33">
        <f t="shared" si="19"/>
        <v>0</v>
      </c>
      <c r="CJ89" s="33">
        <f t="shared" si="19"/>
        <v>0</v>
      </c>
      <c r="CK89" s="33">
        <f t="shared" si="19"/>
        <v>0</v>
      </c>
    </row>
    <row r="90" spans="1:90">
      <c r="A90" s="20" t="s">
        <v>61</v>
      </c>
      <c r="B90" s="26"/>
      <c r="C90" s="26"/>
      <c r="D90" s="26"/>
      <c r="E90" s="26"/>
      <c r="F90" s="26"/>
      <c r="G90" s="26"/>
      <c r="H90" s="26"/>
      <c r="I90" s="26"/>
      <c r="J90" s="26"/>
      <c r="K90" s="26"/>
      <c r="L90" s="23"/>
      <c r="M90" s="13"/>
      <c r="N90" s="13"/>
    </row>
    <row r="91" spans="1:90">
      <c r="A91" s="128" t="s">
        <v>62</v>
      </c>
      <c r="B91" s="189">
        <v>2048123051</v>
      </c>
      <c r="C91" s="189">
        <v>2048123051</v>
      </c>
      <c r="D91" s="189">
        <v>2048123051</v>
      </c>
      <c r="E91" s="189">
        <v>1401098744</v>
      </c>
      <c r="F91" s="189">
        <v>1401098744</v>
      </c>
      <c r="G91" s="189">
        <v>1401098744</v>
      </c>
      <c r="H91" s="189">
        <v>1401098744</v>
      </c>
      <c r="I91" s="189">
        <v>1401098744</v>
      </c>
      <c r="J91" s="189">
        <v>1401098744</v>
      </c>
      <c r="K91" s="189">
        <v>1401098744</v>
      </c>
      <c r="L91" s="189">
        <v>1401098744</v>
      </c>
      <c r="M91" s="189">
        <v>1401098744</v>
      </c>
      <c r="N91" s="189">
        <v>1131738475</v>
      </c>
      <c r="O91" s="189">
        <v>1131738475</v>
      </c>
      <c r="P91" s="189">
        <v>1131738475</v>
      </c>
      <c r="Q91" s="189">
        <v>1131738475</v>
      </c>
      <c r="R91" s="189">
        <v>1131738475</v>
      </c>
      <c r="S91" s="189">
        <v>574237500</v>
      </c>
      <c r="T91" s="189">
        <v>574237500</v>
      </c>
      <c r="U91" s="189">
        <v>574237500</v>
      </c>
      <c r="V91" s="189">
        <v>574237500</v>
      </c>
      <c r="W91" s="189">
        <v>574237500</v>
      </c>
      <c r="X91" s="189">
        <v>574237500</v>
      </c>
      <c r="Y91" s="189">
        <v>574237500</v>
      </c>
      <c r="Z91" s="189">
        <v>574237500</v>
      </c>
      <c r="AA91" s="189">
        <v>574237500</v>
      </c>
      <c r="AB91" s="189">
        <v>574237500</v>
      </c>
      <c r="AC91" s="189">
        <v>574237500</v>
      </c>
      <c r="AD91" s="189">
        <v>574237500</v>
      </c>
      <c r="AE91" s="189">
        <v>574237500</v>
      </c>
      <c r="AF91" s="189">
        <v>574237500</v>
      </c>
      <c r="AG91" s="189">
        <v>574237500</v>
      </c>
      <c r="AH91" s="189">
        <v>574237500</v>
      </c>
      <c r="AI91" s="189">
        <v>574237500</v>
      </c>
      <c r="AJ91" s="189">
        <v>574237500</v>
      </c>
      <c r="AK91" s="189">
        <v>574237500</v>
      </c>
      <c r="AL91" s="189">
        <v>574237500</v>
      </c>
      <c r="AM91" s="189">
        <v>574237500</v>
      </c>
      <c r="AN91" s="189">
        <v>574237500</v>
      </c>
      <c r="AO91" s="189">
        <v>574237500</v>
      </c>
      <c r="AP91" s="189">
        <v>382825000</v>
      </c>
      <c r="AQ91" s="189">
        <v>382825000</v>
      </c>
      <c r="AR91" s="189">
        <v>382825000</v>
      </c>
      <c r="AS91" s="189">
        <v>382825000</v>
      </c>
      <c r="AT91" s="189">
        <v>382825000</v>
      </c>
      <c r="AU91" s="189">
        <v>331925000</v>
      </c>
      <c r="AV91" s="189">
        <v>331925000</v>
      </c>
      <c r="AW91" s="189">
        <v>331925000</v>
      </c>
      <c r="AX91" s="189">
        <v>331925000</v>
      </c>
      <c r="AY91" s="189">
        <v>331925000</v>
      </c>
      <c r="AZ91" s="189">
        <v>265540000</v>
      </c>
      <c r="BA91" s="189">
        <v>265540000</v>
      </c>
      <c r="BB91" s="189">
        <v>265540000</v>
      </c>
      <c r="BC91" s="189">
        <v>265540000</v>
      </c>
      <c r="BD91" s="189">
        <v>265540000</v>
      </c>
      <c r="BE91" s="189">
        <v>265540000</v>
      </c>
      <c r="BF91" s="189">
        <v>265540000</v>
      </c>
      <c r="BG91" s="189">
        <v>265540000</v>
      </c>
      <c r="BH91" s="189">
        <v>132770000</v>
      </c>
      <c r="BI91" s="189">
        <v>132770000</v>
      </c>
      <c r="BJ91" s="189">
        <v>132770000</v>
      </c>
      <c r="BK91" s="189">
        <v>132770000</v>
      </c>
      <c r="BL91" s="189">
        <v>132770000</v>
      </c>
      <c r="BM91" s="189">
        <v>132770000</v>
      </c>
      <c r="BN91" s="189">
        <v>132770000</v>
      </c>
      <c r="BO91" s="189">
        <v>132770000</v>
      </c>
      <c r="BP91" s="189">
        <v>132770000</v>
      </c>
      <c r="BQ91" s="189">
        <v>132770000</v>
      </c>
      <c r="BR91" s="189">
        <v>132770000</v>
      </c>
      <c r="BS91" s="189">
        <v>116270000</v>
      </c>
      <c r="BT91" s="189">
        <v>116270000</v>
      </c>
      <c r="BU91" s="189">
        <v>116270000</v>
      </c>
      <c r="BV91" s="189">
        <v>116270000</v>
      </c>
      <c r="BW91" s="189">
        <v>116270000</v>
      </c>
      <c r="BX91" s="189">
        <v>116270000</v>
      </c>
      <c r="BY91" s="189">
        <v>91355000</v>
      </c>
      <c r="BZ91" s="189">
        <v>83050000</v>
      </c>
      <c r="CA91" s="189">
        <v>83050000</v>
      </c>
      <c r="CB91" s="189">
        <v>83050000</v>
      </c>
      <c r="CC91" s="189">
        <v>75500000</v>
      </c>
      <c r="CD91" s="189">
        <v>75500000</v>
      </c>
      <c r="CE91" s="189">
        <v>68728867.129999995</v>
      </c>
      <c r="CF91" s="189">
        <v>68728867.129999995</v>
      </c>
      <c r="CG91" s="189">
        <v>0</v>
      </c>
      <c r="CH91" s="189">
        <v>0</v>
      </c>
      <c r="CI91" s="189">
        <v>0</v>
      </c>
      <c r="CJ91" s="189"/>
      <c r="CK91" s="189"/>
      <c r="CL91" s="189"/>
    </row>
    <row r="92" spans="1:90">
      <c r="A92" s="128" t="s">
        <v>63</v>
      </c>
      <c r="B92" s="189">
        <v>20135887538.27</v>
      </c>
      <c r="C92" s="189">
        <v>20135887538.27</v>
      </c>
      <c r="D92" s="189">
        <v>20214104987.41</v>
      </c>
      <c r="E92" s="189">
        <v>11337646689.75</v>
      </c>
      <c r="F92" s="189">
        <v>11337646689.75</v>
      </c>
      <c r="G92" s="189">
        <v>11337646689.75</v>
      </c>
      <c r="H92" s="189">
        <v>11337646689.75</v>
      </c>
      <c r="I92" s="189">
        <v>11337646689.75</v>
      </c>
      <c r="J92" s="189">
        <v>11337646690.040001</v>
      </c>
      <c r="K92" s="189">
        <v>11337646690</v>
      </c>
      <c r="L92" s="189">
        <v>11337646690.030001</v>
      </c>
      <c r="M92" s="189">
        <v>11337646346</v>
      </c>
      <c r="N92" s="189">
        <v>6967560510.0699997</v>
      </c>
      <c r="O92" s="189">
        <v>6967560496</v>
      </c>
      <c r="P92" s="189">
        <v>6967560496</v>
      </c>
      <c r="Q92" s="189">
        <v>6967560496</v>
      </c>
      <c r="R92" s="189">
        <v>6975595288.9899998</v>
      </c>
      <c r="S92" s="189">
        <v>543920670</v>
      </c>
      <c r="T92" s="189">
        <v>543644235.69000006</v>
      </c>
      <c r="U92" s="189">
        <v>545609635</v>
      </c>
      <c r="V92" s="189">
        <v>538588546</v>
      </c>
      <c r="W92" s="189">
        <v>536572198</v>
      </c>
      <c r="X92" s="189">
        <v>538127143.05999994</v>
      </c>
      <c r="Y92" s="189">
        <v>539215748</v>
      </c>
      <c r="Z92" s="189">
        <v>537629364</v>
      </c>
      <c r="AA92" s="189">
        <v>539607526</v>
      </c>
      <c r="AB92" s="189">
        <v>541435620.40999997</v>
      </c>
      <c r="AC92" s="189">
        <v>539787339</v>
      </c>
      <c r="AD92" s="189">
        <v>535741556.77999997</v>
      </c>
      <c r="AE92" s="189">
        <v>535741557</v>
      </c>
      <c r="AF92" s="189">
        <v>535741556.77999997</v>
      </c>
      <c r="AG92" s="189">
        <v>535741557</v>
      </c>
      <c r="AH92" s="189">
        <v>535741556.77999997</v>
      </c>
      <c r="AI92" s="189">
        <v>535741556.77999997</v>
      </c>
      <c r="AJ92" s="189">
        <v>535741556.77999997</v>
      </c>
      <c r="AK92" s="189">
        <v>535741556.77999997</v>
      </c>
      <c r="AL92" s="189">
        <v>536256189.83999997</v>
      </c>
      <c r="AM92" s="189">
        <v>536256189.83999997</v>
      </c>
      <c r="AN92" s="189">
        <v>536256189.83999997</v>
      </c>
      <c r="AO92" s="189">
        <v>536256189.83999997</v>
      </c>
      <c r="AP92" s="189">
        <v>780136624.14999998</v>
      </c>
      <c r="AQ92" s="189">
        <v>798161864.14999998</v>
      </c>
      <c r="AR92" s="189">
        <v>869340557.83000004</v>
      </c>
      <c r="AS92" s="189">
        <v>902963932.26999998</v>
      </c>
      <c r="AT92" s="189">
        <v>896834201.80999994</v>
      </c>
      <c r="AU92" s="189">
        <v>294692914.85000002</v>
      </c>
      <c r="AV92" s="189">
        <v>294692914.85000002</v>
      </c>
      <c r="AW92" s="189">
        <v>294692914.85000002</v>
      </c>
      <c r="AX92" s="189">
        <v>297636776.43000001</v>
      </c>
      <c r="AY92" s="189">
        <v>297636776.43000001</v>
      </c>
      <c r="AZ92" s="189">
        <v>364021776.43000001</v>
      </c>
      <c r="BA92" s="189">
        <v>364021776.43000001</v>
      </c>
      <c r="BB92" s="189">
        <v>363791776.43000001</v>
      </c>
      <c r="BC92" s="189">
        <v>363791776.43000001</v>
      </c>
      <c r="BD92" s="189">
        <v>363791776.43000001</v>
      </c>
      <c r="BE92" s="189">
        <v>363791776.43000001</v>
      </c>
      <c r="BF92" s="189">
        <v>363791776.43000001</v>
      </c>
      <c r="BG92" s="189">
        <v>363791776.43000001</v>
      </c>
      <c r="BH92" s="189">
        <v>496561776.43000001</v>
      </c>
      <c r="BI92" s="189">
        <v>496561776.43000001</v>
      </c>
      <c r="BJ92" s="189">
        <v>495447491.72000003</v>
      </c>
      <c r="BK92" s="189">
        <v>495447491.72000003</v>
      </c>
      <c r="BL92" s="189">
        <v>495447491.72000003</v>
      </c>
      <c r="BM92" s="189">
        <v>495489841.72000003</v>
      </c>
      <c r="BN92" s="189">
        <v>495447491.72000003</v>
      </c>
      <c r="BO92" s="189">
        <v>495447491.72000003</v>
      </c>
      <c r="BP92" s="189">
        <v>495938921.72000003</v>
      </c>
      <c r="BQ92" s="189">
        <v>495447491.72000003</v>
      </c>
      <c r="BR92" s="189">
        <v>495938921.72000003</v>
      </c>
      <c r="BS92" s="189">
        <v>159458137.28</v>
      </c>
      <c r="BT92" s="189">
        <v>159458137.28</v>
      </c>
      <c r="BU92" s="189">
        <v>159458137.28</v>
      </c>
      <c r="BV92" s="189">
        <v>159458137.28</v>
      </c>
      <c r="BW92" s="189">
        <v>159590137.28</v>
      </c>
      <c r="BX92" s="189">
        <v>159590137.28</v>
      </c>
      <c r="BY92" s="189">
        <v>52468946.350000001</v>
      </c>
      <c r="BZ92" s="189">
        <v>52468946.350000001</v>
      </c>
      <c r="CA92" s="189">
        <v>52468946.350000001</v>
      </c>
      <c r="CB92" s="189">
        <v>52470000</v>
      </c>
      <c r="CC92" s="189">
        <v>52468946.350000001</v>
      </c>
      <c r="CD92" s="189">
        <v>0</v>
      </c>
      <c r="CE92" s="189">
        <v>12722921.82</v>
      </c>
      <c r="CF92" s="189">
        <v>13228595.720000001</v>
      </c>
      <c r="CG92" s="189">
        <v>0</v>
      </c>
      <c r="CH92" s="189">
        <v>0</v>
      </c>
      <c r="CI92" s="189">
        <v>0</v>
      </c>
      <c r="CJ92" s="189"/>
      <c r="CK92" s="189"/>
      <c r="CL92" s="189"/>
    </row>
    <row r="93" spans="1:90">
      <c r="A93" s="128" t="s">
        <v>64</v>
      </c>
      <c r="B93" s="189">
        <v>0</v>
      </c>
      <c r="C93" s="189">
        <v>0</v>
      </c>
      <c r="D93" s="189">
        <v>0</v>
      </c>
      <c r="E93" s="189">
        <v>0</v>
      </c>
      <c r="F93" s="189">
        <v>0</v>
      </c>
      <c r="G93" s="189">
        <v>0</v>
      </c>
      <c r="H93" s="189">
        <v>0</v>
      </c>
      <c r="I93" s="189">
        <v>0</v>
      </c>
      <c r="J93" s="189">
        <v>0</v>
      </c>
      <c r="K93" s="189">
        <v>0</v>
      </c>
      <c r="L93" s="189">
        <v>0</v>
      </c>
      <c r="M93" s="189">
        <v>0</v>
      </c>
      <c r="N93" s="189">
        <v>0</v>
      </c>
      <c r="O93" s="189">
        <v>0</v>
      </c>
      <c r="P93" s="189">
        <v>0</v>
      </c>
      <c r="Q93" s="189">
        <v>0</v>
      </c>
      <c r="R93" s="189">
        <v>0</v>
      </c>
      <c r="S93" s="189">
        <v>0</v>
      </c>
      <c r="T93" s="189">
        <v>0</v>
      </c>
      <c r="U93" s="189">
        <v>0</v>
      </c>
      <c r="V93" s="189">
        <v>0</v>
      </c>
      <c r="W93" s="189">
        <v>0</v>
      </c>
      <c r="X93" s="189">
        <v>0</v>
      </c>
      <c r="Y93" s="189">
        <v>0</v>
      </c>
      <c r="Z93" s="189">
        <v>0</v>
      </c>
      <c r="AA93" s="189">
        <v>0</v>
      </c>
      <c r="AB93" s="189">
        <v>0</v>
      </c>
      <c r="AC93" s="189">
        <v>0</v>
      </c>
      <c r="AD93" s="189">
        <v>0</v>
      </c>
      <c r="AE93" s="189">
        <v>0</v>
      </c>
      <c r="AF93" s="189">
        <v>0</v>
      </c>
      <c r="AG93" s="189">
        <v>0</v>
      </c>
      <c r="AH93" s="189">
        <v>0</v>
      </c>
      <c r="AI93" s="189">
        <v>0</v>
      </c>
      <c r="AJ93" s="189">
        <v>0</v>
      </c>
      <c r="AK93" s="189">
        <v>0</v>
      </c>
      <c r="AL93" s="189">
        <v>0</v>
      </c>
      <c r="AM93" s="189">
        <v>0</v>
      </c>
      <c r="AN93" s="189">
        <v>0</v>
      </c>
      <c r="AO93" s="189">
        <v>0</v>
      </c>
      <c r="AP93" s="189">
        <v>0</v>
      </c>
      <c r="AQ93" s="189">
        <v>0</v>
      </c>
      <c r="AR93" s="189">
        <v>0</v>
      </c>
      <c r="AS93" s="189">
        <v>0</v>
      </c>
      <c r="AT93" s="189">
        <v>0</v>
      </c>
      <c r="AU93" s="189">
        <v>0</v>
      </c>
      <c r="AV93" s="189">
        <v>0</v>
      </c>
      <c r="AW93" s="189">
        <v>0</v>
      </c>
      <c r="AX93" s="189">
        <v>0</v>
      </c>
      <c r="AY93" s="189">
        <v>0</v>
      </c>
      <c r="AZ93" s="189">
        <v>0</v>
      </c>
      <c r="BA93" s="189">
        <v>0</v>
      </c>
      <c r="BB93" s="189">
        <v>0</v>
      </c>
      <c r="BC93" s="189">
        <v>0</v>
      </c>
      <c r="BD93" s="189">
        <v>0</v>
      </c>
      <c r="BE93" s="189">
        <v>0</v>
      </c>
      <c r="BF93" s="189">
        <v>0</v>
      </c>
      <c r="BG93" s="189">
        <v>0</v>
      </c>
      <c r="BH93" s="189">
        <v>0</v>
      </c>
      <c r="BI93" s="189">
        <v>0</v>
      </c>
      <c r="BJ93" s="189">
        <v>0</v>
      </c>
      <c r="BK93" s="189">
        <v>0</v>
      </c>
      <c r="BL93" s="189">
        <v>0</v>
      </c>
      <c r="BM93" s="189">
        <v>0</v>
      </c>
      <c r="BN93" s="189">
        <v>0</v>
      </c>
      <c r="BO93" s="189">
        <v>0</v>
      </c>
      <c r="BP93" s="189">
        <v>0</v>
      </c>
      <c r="BQ93" s="189">
        <v>0</v>
      </c>
      <c r="BR93" s="189">
        <v>0</v>
      </c>
      <c r="BS93" s="189">
        <v>0</v>
      </c>
      <c r="BT93" s="189">
        <v>0</v>
      </c>
      <c r="BU93" s="189">
        <v>0</v>
      </c>
      <c r="BV93" s="189">
        <v>0</v>
      </c>
      <c r="BW93" s="189">
        <v>0</v>
      </c>
      <c r="BX93" s="189">
        <v>0</v>
      </c>
      <c r="BY93" s="189">
        <v>0</v>
      </c>
      <c r="BZ93" s="189">
        <v>0</v>
      </c>
      <c r="CA93" s="189">
        <v>0</v>
      </c>
      <c r="CB93" s="189">
        <v>0</v>
      </c>
      <c r="CC93" s="189">
        <v>0</v>
      </c>
      <c r="CD93" s="189">
        <v>0</v>
      </c>
      <c r="CE93" s="189">
        <v>0</v>
      </c>
      <c r="CF93" s="189">
        <v>0</v>
      </c>
      <c r="CG93" s="189">
        <v>0</v>
      </c>
      <c r="CH93" s="189">
        <v>0</v>
      </c>
      <c r="CI93" s="189">
        <v>0</v>
      </c>
      <c r="CJ93" s="189">
        <v>0</v>
      </c>
      <c r="CK93" s="189">
        <v>0</v>
      </c>
      <c r="CL93" s="189">
        <v>0</v>
      </c>
    </row>
    <row r="94" spans="1:90">
      <c r="A94" s="128" t="s">
        <v>65</v>
      </c>
      <c r="B94" s="189">
        <v>-58442802.649999999</v>
      </c>
      <c r="C94" s="189">
        <v>-71154179.980000004</v>
      </c>
      <c r="D94" s="189">
        <v>-81050131.450000003</v>
      </c>
      <c r="E94" s="189">
        <v>-85057448.390000001</v>
      </c>
      <c r="F94" s="189">
        <v>-78414173.560000002</v>
      </c>
      <c r="G94" s="189">
        <v>-68616986.109999999</v>
      </c>
      <c r="H94" s="189">
        <v>-62255201.079999998</v>
      </c>
      <c r="I94" s="189">
        <v>-77756687.489999995</v>
      </c>
      <c r="J94" s="189">
        <v>-35725748.210000001</v>
      </c>
      <c r="K94" s="189">
        <v>-32496805</v>
      </c>
      <c r="L94" s="189">
        <v>-77283925.060000002</v>
      </c>
      <c r="M94" s="189">
        <v>-103270219</v>
      </c>
      <c r="N94" s="189">
        <v>-109510720.26000001</v>
      </c>
      <c r="O94" s="189">
        <v>-132652739</v>
      </c>
      <c r="P94" s="189">
        <v>-124604103.48</v>
      </c>
      <c r="Q94" s="189">
        <v>-123386299</v>
      </c>
      <c r="R94" s="189">
        <v>13834616.35</v>
      </c>
      <c r="S94" s="189">
        <v>0</v>
      </c>
      <c r="T94" s="189">
        <v>0</v>
      </c>
      <c r="U94" s="189">
        <v>0</v>
      </c>
      <c r="V94" s="189">
        <v>0</v>
      </c>
      <c r="W94" s="189">
        <v>0</v>
      </c>
      <c r="X94" s="189">
        <v>0</v>
      </c>
      <c r="Y94" s="189">
        <v>0</v>
      </c>
      <c r="Z94" s="189">
        <v>0</v>
      </c>
      <c r="AA94" s="189">
        <v>0</v>
      </c>
      <c r="AB94" s="189">
        <v>0</v>
      </c>
      <c r="AC94" s="189">
        <v>0</v>
      </c>
      <c r="AD94" s="189">
        <v>0</v>
      </c>
      <c r="AE94" s="189">
        <v>0</v>
      </c>
      <c r="AF94" s="189">
        <v>0</v>
      </c>
      <c r="AG94" s="189">
        <v>0</v>
      </c>
      <c r="AH94" s="189">
        <v>0</v>
      </c>
      <c r="AI94" s="189">
        <v>0</v>
      </c>
      <c r="AJ94" s="189">
        <v>0</v>
      </c>
      <c r="AK94" s="189">
        <v>0</v>
      </c>
      <c r="AL94" s="189">
        <v>0</v>
      </c>
      <c r="AM94" s="189">
        <v>0</v>
      </c>
      <c r="AN94" s="189">
        <v>0</v>
      </c>
      <c r="AO94" s="189">
        <v>0</v>
      </c>
      <c r="AP94" s="189">
        <v>0</v>
      </c>
      <c r="AQ94" s="189">
        <v>0</v>
      </c>
      <c r="AR94" s="189">
        <v>0</v>
      </c>
      <c r="AS94" s="189">
        <v>0</v>
      </c>
      <c r="AT94" s="189">
        <v>0</v>
      </c>
      <c r="AU94" s="189">
        <v>0</v>
      </c>
      <c r="AV94" s="189">
        <v>0</v>
      </c>
      <c r="AW94" s="189">
        <v>0</v>
      </c>
      <c r="AX94" s="189">
        <v>0</v>
      </c>
      <c r="AY94" s="189">
        <v>0</v>
      </c>
      <c r="AZ94" s="189">
        <v>0</v>
      </c>
      <c r="BA94" s="189">
        <v>0</v>
      </c>
      <c r="BB94" s="189">
        <v>0</v>
      </c>
      <c r="BC94" s="189">
        <v>0</v>
      </c>
      <c r="BD94" s="189">
        <v>0</v>
      </c>
      <c r="BE94" s="189">
        <v>0</v>
      </c>
      <c r="BF94" s="189">
        <v>0</v>
      </c>
      <c r="BG94" s="189">
        <v>0</v>
      </c>
      <c r="BH94" s="189">
        <v>0</v>
      </c>
      <c r="BI94" s="189">
        <v>0</v>
      </c>
      <c r="BJ94" s="189">
        <v>0</v>
      </c>
      <c r="BK94" s="189">
        <v>0</v>
      </c>
      <c r="BL94" s="189">
        <v>0</v>
      </c>
      <c r="BM94" s="189">
        <v>0</v>
      </c>
      <c r="BN94" s="189">
        <v>0</v>
      </c>
      <c r="BO94" s="189">
        <v>0</v>
      </c>
      <c r="BP94" s="189">
        <v>0</v>
      </c>
      <c r="BQ94" s="189">
        <v>0</v>
      </c>
      <c r="BR94" s="189">
        <v>0</v>
      </c>
      <c r="BS94" s="189">
        <v>0</v>
      </c>
      <c r="BT94" s="189">
        <v>0</v>
      </c>
      <c r="BU94" s="189">
        <v>0</v>
      </c>
      <c r="BV94" s="189">
        <v>0</v>
      </c>
      <c r="BW94" s="189">
        <v>0</v>
      </c>
      <c r="BX94" s="189">
        <v>0</v>
      </c>
      <c r="BY94" s="189">
        <v>0</v>
      </c>
      <c r="BZ94" s="189">
        <v>0</v>
      </c>
      <c r="CA94" s="189">
        <v>0</v>
      </c>
      <c r="CB94" s="189">
        <v>0</v>
      </c>
      <c r="CC94" s="189">
        <v>0</v>
      </c>
      <c r="CD94" s="189">
        <v>0</v>
      </c>
      <c r="CE94" s="189">
        <v>0</v>
      </c>
      <c r="CF94" s="189">
        <v>0</v>
      </c>
      <c r="CG94" s="189">
        <v>0</v>
      </c>
      <c r="CH94" s="189">
        <v>0</v>
      </c>
      <c r="CI94" s="189">
        <v>0</v>
      </c>
      <c r="CJ94" s="189">
        <v>0</v>
      </c>
      <c r="CK94" s="189">
        <v>0</v>
      </c>
      <c r="CL94" s="189">
        <v>0</v>
      </c>
    </row>
    <row r="95" spans="1:90">
      <c r="A95" s="128" t="s">
        <v>66</v>
      </c>
      <c r="B95" s="189">
        <v>0</v>
      </c>
      <c r="C95" s="189">
        <v>0</v>
      </c>
      <c r="D95" s="189">
        <v>0</v>
      </c>
      <c r="E95" s="189">
        <v>0</v>
      </c>
      <c r="F95" s="189">
        <v>0</v>
      </c>
      <c r="G95" s="189">
        <v>0</v>
      </c>
      <c r="H95" s="189">
        <v>0</v>
      </c>
      <c r="I95" s="189">
        <v>0</v>
      </c>
      <c r="J95" s="189">
        <v>0</v>
      </c>
      <c r="K95" s="189">
        <v>0</v>
      </c>
      <c r="L95" s="189">
        <v>0</v>
      </c>
      <c r="M95" s="189">
        <v>0</v>
      </c>
      <c r="N95" s="189">
        <v>0</v>
      </c>
      <c r="O95" s="189">
        <v>0</v>
      </c>
      <c r="P95" s="189">
        <v>0</v>
      </c>
      <c r="Q95" s="189">
        <v>0</v>
      </c>
      <c r="R95" s="189">
        <v>0</v>
      </c>
      <c r="S95" s="189">
        <v>0</v>
      </c>
      <c r="T95" s="189">
        <v>0</v>
      </c>
      <c r="U95" s="189">
        <v>0</v>
      </c>
      <c r="V95" s="189">
        <v>0</v>
      </c>
      <c r="W95" s="189">
        <v>0</v>
      </c>
      <c r="X95" s="189">
        <v>0</v>
      </c>
      <c r="Y95" s="189">
        <v>0</v>
      </c>
      <c r="Z95" s="189">
        <v>0</v>
      </c>
      <c r="AA95" s="189">
        <v>0</v>
      </c>
      <c r="AB95" s="189">
        <v>0</v>
      </c>
      <c r="AC95" s="189">
        <v>0</v>
      </c>
      <c r="AD95" s="189">
        <v>0</v>
      </c>
      <c r="AE95" s="189">
        <v>0</v>
      </c>
      <c r="AF95" s="189">
        <v>0</v>
      </c>
      <c r="AG95" s="189">
        <v>0</v>
      </c>
      <c r="AH95" s="189">
        <v>0</v>
      </c>
      <c r="AI95" s="189">
        <v>0</v>
      </c>
      <c r="AJ95" s="189">
        <v>0</v>
      </c>
      <c r="AK95" s="189">
        <v>0</v>
      </c>
      <c r="AL95" s="189">
        <v>0</v>
      </c>
      <c r="AM95" s="189">
        <v>0</v>
      </c>
      <c r="AN95" s="189">
        <v>0</v>
      </c>
      <c r="AO95" s="189">
        <v>0</v>
      </c>
      <c r="AP95" s="189">
        <v>0</v>
      </c>
      <c r="AQ95" s="189">
        <v>0</v>
      </c>
      <c r="AR95" s="189">
        <v>0</v>
      </c>
      <c r="AS95" s="189">
        <v>0</v>
      </c>
      <c r="AT95" s="189">
        <v>0</v>
      </c>
      <c r="AU95" s="189">
        <v>0</v>
      </c>
      <c r="AV95" s="189">
        <v>0</v>
      </c>
      <c r="AW95" s="189">
        <v>0</v>
      </c>
      <c r="AX95" s="189">
        <v>0</v>
      </c>
      <c r="AY95" s="189">
        <v>0</v>
      </c>
      <c r="AZ95" s="189">
        <v>0</v>
      </c>
      <c r="BA95" s="189">
        <v>0</v>
      </c>
      <c r="BB95" s="189">
        <v>0</v>
      </c>
      <c r="BC95" s="189">
        <v>0</v>
      </c>
      <c r="BD95" s="189">
        <v>0</v>
      </c>
      <c r="BE95" s="189">
        <v>0</v>
      </c>
      <c r="BF95" s="189">
        <v>0</v>
      </c>
      <c r="BG95" s="189">
        <v>0</v>
      </c>
      <c r="BH95" s="189">
        <v>0</v>
      </c>
      <c r="BI95" s="189">
        <v>0</v>
      </c>
      <c r="BJ95" s="189">
        <v>0</v>
      </c>
      <c r="BK95" s="189">
        <v>0</v>
      </c>
      <c r="BL95" s="189">
        <v>0</v>
      </c>
      <c r="BM95" s="189">
        <v>0</v>
      </c>
      <c r="BN95" s="189">
        <v>0</v>
      </c>
      <c r="BO95" s="189">
        <v>0</v>
      </c>
      <c r="BP95" s="189">
        <v>0</v>
      </c>
      <c r="BQ95" s="189">
        <v>0</v>
      </c>
      <c r="BR95" s="189">
        <v>0</v>
      </c>
      <c r="BS95" s="189">
        <v>0</v>
      </c>
      <c r="BT95" s="189">
        <v>0</v>
      </c>
      <c r="BU95" s="189">
        <v>0</v>
      </c>
      <c r="BV95" s="189">
        <v>0</v>
      </c>
      <c r="BW95" s="189">
        <v>0</v>
      </c>
      <c r="BX95" s="189">
        <v>0</v>
      </c>
      <c r="BY95" s="189">
        <v>0</v>
      </c>
      <c r="BZ95" s="189">
        <v>0</v>
      </c>
      <c r="CA95" s="189">
        <v>0</v>
      </c>
      <c r="CB95" s="189">
        <v>0</v>
      </c>
      <c r="CC95" s="189">
        <v>0</v>
      </c>
      <c r="CD95" s="189">
        <v>0</v>
      </c>
      <c r="CE95" s="189">
        <v>0</v>
      </c>
      <c r="CF95" s="189">
        <v>0</v>
      </c>
      <c r="CG95" s="189">
        <v>0</v>
      </c>
      <c r="CH95" s="189">
        <v>0</v>
      </c>
      <c r="CI95" s="189">
        <v>0</v>
      </c>
      <c r="CJ95" s="189">
        <v>0</v>
      </c>
      <c r="CK95" s="189">
        <v>0</v>
      </c>
      <c r="CL95" s="189">
        <v>0</v>
      </c>
    </row>
    <row r="96" spans="1:90">
      <c r="A96" s="128" t="s">
        <v>67</v>
      </c>
      <c r="B96" s="189">
        <v>164412621.61000001</v>
      </c>
      <c r="C96" s="189">
        <v>164412621.61000001</v>
      </c>
      <c r="D96" s="189">
        <v>164412621.61000001</v>
      </c>
      <c r="E96" s="189">
        <v>164412621.61000001</v>
      </c>
      <c r="F96" s="189">
        <v>159041385.27000001</v>
      </c>
      <c r="G96" s="189">
        <v>159041385.27000001</v>
      </c>
      <c r="H96" s="189">
        <v>159041385.27000001</v>
      </c>
      <c r="I96" s="189">
        <v>159041385.27000001</v>
      </c>
      <c r="J96" s="189">
        <v>141705474</v>
      </c>
      <c r="K96" s="189">
        <v>141705474</v>
      </c>
      <c r="L96" s="189">
        <v>141705474</v>
      </c>
      <c r="M96" s="189">
        <v>141705474</v>
      </c>
      <c r="N96" s="189">
        <v>120847418</v>
      </c>
      <c r="O96" s="189">
        <v>120847418</v>
      </c>
      <c r="P96" s="189">
        <v>120847418</v>
      </c>
      <c r="Q96" s="189">
        <v>120847418</v>
      </c>
      <c r="R96" s="189">
        <v>104916920</v>
      </c>
      <c r="S96" s="189">
        <v>104916920</v>
      </c>
      <c r="T96" s="189">
        <v>104916920</v>
      </c>
      <c r="U96" s="189">
        <v>104916920</v>
      </c>
      <c r="V96" s="189">
        <v>95777205</v>
      </c>
      <c r="W96" s="189">
        <v>95777205</v>
      </c>
      <c r="X96" s="189">
        <v>95777205</v>
      </c>
      <c r="Y96" s="189">
        <v>95777205</v>
      </c>
      <c r="Z96" s="189">
        <v>94396274</v>
      </c>
      <c r="AA96" s="189">
        <v>94396274</v>
      </c>
      <c r="AB96" s="189">
        <v>94396273.659999996</v>
      </c>
      <c r="AC96" s="189">
        <v>94396274</v>
      </c>
      <c r="AD96" s="189">
        <v>91357090.760000005</v>
      </c>
      <c r="AE96" s="189">
        <v>91357091</v>
      </c>
      <c r="AF96" s="189">
        <v>91357090.760000005</v>
      </c>
      <c r="AG96" s="189">
        <v>91357091</v>
      </c>
      <c r="AH96" s="189">
        <v>87181957.760000005</v>
      </c>
      <c r="AI96" s="189">
        <v>87181957.760000005</v>
      </c>
      <c r="AJ96" s="189">
        <v>87181957.760000005</v>
      </c>
      <c r="AK96" s="189">
        <v>87181957.760000005</v>
      </c>
      <c r="AL96" s="189">
        <v>87181957.760000005</v>
      </c>
      <c r="AM96" s="189">
        <v>87181957.760000005</v>
      </c>
      <c r="AN96" s="189">
        <v>87181957.760000005</v>
      </c>
      <c r="AO96" s="189">
        <v>87181957.760000005</v>
      </c>
      <c r="AP96" s="189">
        <v>82732129.939999998</v>
      </c>
      <c r="AQ96" s="189">
        <v>82732129.939999998</v>
      </c>
      <c r="AR96" s="189">
        <v>82732129.939999998</v>
      </c>
      <c r="AS96" s="189">
        <v>82732129.939999998</v>
      </c>
      <c r="AT96" s="189">
        <v>72274024.609999999</v>
      </c>
      <c r="AU96" s="189">
        <v>72274024.609999999</v>
      </c>
      <c r="AV96" s="189">
        <v>72274024.609999999</v>
      </c>
      <c r="AW96" s="189">
        <v>72274024.609999999</v>
      </c>
      <c r="AX96" s="189">
        <v>62707481.710000001</v>
      </c>
      <c r="AY96" s="189">
        <v>62707481.710000001</v>
      </c>
      <c r="AZ96" s="189">
        <v>62707481.710000001</v>
      </c>
      <c r="BA96" s="189">
        <v>62707481.710000001</v>
      </c>
      <c r="BB96" s="189">
        <v>54397075.32</v>
      </c>
      <c r="BC96" s="189">
        <v>54397075.32</v>
      </c>
      <c r="BD96" s="189">
        <v>54397075.32</v>
      </c>
      <c r="BE96" s="189">
        <v>54397075.32</v>
      </c>
      <c r="BF96" s="189">
        <v>47188077.280000001</v>
      </c>
      <c r="BG96" s="189">
        <v>47188077.280000001</v>
      </c>
      <c r="BH96" s="189">
        <v>47188077.280000001</v>
      </c>
      <c r="BI96" s="189">
        <v>47188077.280000001</v>
      </c>
      <c r="BJ96" s="189">
        <v>44484453.210000001</v>
      </c>
      <c r="BK96" s="189">
        <v>44484453.210000001</v>
      </c>
      <c r="BL96" s="189">
        <v>44484453.210000001</v>
      </c>
      <c r="BM96" s="189">
        <v>44484453.210000001</v>
      </c>
      <c r="BN96" s="189">
        <v>45943167.859999999</v>
      </c>
      <c r="BO96" s="189">
        <v>45943167.859999999</v>
      </c>
      <c r="BP96" s="189">
        <v>46996229.469999999</v>
      </c>
      <c r="BQ96" s="189">
        <v>44484453.210000001</v>
      </c>
      <c r="BR96" s="189">
        <v>42872349.649999999</v>
      </c>
      <c r="BS96" s="189">
        <v>42248611.420000002</v>
      </c>
      <c r="BT96" s="189">
        <v>37994648.560000002</v>
      </c>
      <c r="BU96" s="189">
        <v>37994648.560000002</v>
      </c>
      <c r="BV96" s="189">
        <v>36192545.640000001</v>
      </c>
      <c r="BW96" s="189">
        <v>36192545.640000001</v>
      </c>
      <c r="BX96" s="189">
        <v>31905455.460000001</v>
      </c>
      <c r="BY96" s="189">
        <v>31905455.460000001</v>
      </c>
      <c r="BZ96" s="189">
        <v>22662485.5</v>
      </c>
      <c r="CA96" s="189">
        <v>22662485.5</v>
      </c>
      <c r="CB96" s="189">
        <v>20020000</v>
      </c>
      <c r="CC96" s="189">
        <v>20022320.620000001</v>
      </c>
      <c r="CD96" s="189">
        <v>0</v>
      </c>
      <c r="CE96" s="189">
        <v>11583475.75</v>
      </c>
      <c r="CF96" s="189">
        <v>6725070.3600000003</v>
      </c>
      <c r="CG96" s="189">
        <v>0</v>
      </c>
      <c r="CH96" s="189">
        <v>0</v>
      </c>
      <c r="CI96" s="189">
        <v>0</v>
      </c>
      <c r="CJ96" s="189">
        <v>0</v>
      </c>
      <c r="CK96" s="189">
        <v>0</v>
      </c>
      <c r="CL96" s="189">
        <v>0</v>
      </c>
    </row>
    <row r="97" spans="1:90">
      <c r="A97" s="128" t="s">
        <v>68</v>
      </c>
      <c r="B97" s="189">
        <v>0</v>
      </c>
      <c r="C97" s="189">
        <v>0</v>
      </c>
      <c r="D97" s="189">
        <v>0</v>
      </c>
      <c r="E97" s="189">
        <v>0</v>
      </c>
      <c r="F97" s="189">
        <v>0</v>
      </c>
      <c r="G97" s="189">
        <v>0</v>
      </c>
      <c r="H97" s="189">
        <v>0</v>
      </c>
      <c r="I97" s="189">
        <v>0</v>
      </c>
      <c r="J97" s="189">
        <v>0</v>
      </c>
      <c r="K97" s="189">
        <v>0</v>
      </c>
      <c r="L97" s="189">
        <v>0</v>
      </c>
      <c r="M97" s="189">
        <v>0</v>
      </c>
      <c r="N97" s="189">
        <v>0</v>
      </c>
      <c r="O97" s="189">
        <v>0</v>
      </c>
      <c r="P97" s="189">
        <v>0</v>
      </c>
      <c r="Q97" s="189">
        <v>0</v>
      </c>
      <c r="R97" s="189">
        <v>0</v>
      </c>
      <c r="S97" s="189">
        <v>0</v>
      </c>
      <c r="T97" s="189">
        <v>0</v>
      </c>
      <c r="U97" s="189">
        <v>0</v>
      </c>
      <c r="V97" s="189">
        <v>0</v>
      </c>
      <c r="W97" s="189">
        <v>0</v>
      </c>
      <c r="X97" s="189">
        <v>0</v>
      </c>
      <c r="Y97" s="189">
        <v>0</v>
      </c>
      <c r="Z97" s="189">
        <v>0</v>
      </c>
      <c r="AA97" s="189">
        <v>0</v>
      </c>
      <c r="AB97" s="189">
        <v>0</v>
      </c>
      <c r="AC97" s="189">
        <v>0</v>
      </c>
      <c r="AD97" s="189">
        <v>0</v>
      </c>
      <c r="AE97" s="189">
        <v>0</v>
      </c>
      <c r="AF97" s="189">
        <v>0</v>
      </c>
      <c r="AG97" s="189">
        <v>0</v>
      </c>
      <c r="AH97" s="189">
        <v>0</v>
      </c>
      <c r="AI97" s="189">
        <v>0</v>
      </c>
      <c r="AJ97" s="189">
        <v>0</v>
      </c>
      <c r="AK97" s="189">
        <v>0</v>
      </c>
      <c r="AL97" s="189">
        <v>0</v>
      </c>
      <c r="AM97" s="189">
        <v>0</v>
      </c>
      <c r="AN97" s="189">
        <v>0</v>
      </c>
      <c r="AO97" s="189">
        <v>0</v>
      </c>
      <c r="AP97" s="189">
        <v>0</v>
      </c>
      <c r="AQ97" s="189">
        <v>0</v>
      </c>
      <c r="AR97" s="189">
        <v>0</v>
      </c>
      <c r="AS97" s="189">
        <v>0</v>
      </c>
      <c r="AT97" s="189">
        <v>0</v>
      </c>
      <c r="AU97" s="189">
        <v>0</v>
      </c>
      <c r="AV97" s="189">
        <v>0</v>
      </c>
      <c r="AW97" s="189">
        <v>0</v>
      </c>
      <c r="AX97" s="189">
        <v>0</v>
      </c>
      <c r="AY97" s="189">
        <v>0</v>
      </c>
      <c r="AZ97" s="189">
        <v>0</v>
      </c>
      <c r="BA97" s="189">
        <v>0</v>
      </c>
      <c r="BB97" s="189">
        <v>0</v>
      </c>
      <c r="BC97" s="189">
        <v>0</v>
      </c>
      <c r="BD97" s="189">
        <v>0</v>
      </c>
      <c r="BE97" s="189">
        <v>0</v>
      </c>
      <c r="BF97" s="189">
        <v>0</v>
      </c>
      <c r="BG97" s="189">
        <v>0</v>
      </c>
      <c r="BH97" s="189">
        <v>0</v>
      </c>
      <c r="BI97" s="189">
        <v>0</v>
      </c>
      <c r="BJ97" s="189">
        <v>0</v>
      </c>
      <c r="BK97" s="189">
        <v>0</v>
      </c>
      <c r="BL97" s="189">
        <v>0</v>
      </c>
      <c r="BM97" s="189">
        <v>0</v>
      </c>
      <c r="BN97" s="189">
        <v>0</v>
      </c>
      <c r="BO97" s="189">
        <v>0</v>
      </c>
      <c r="BP97" s="189">
        <v>0</v>
      </c>
      <c r="BQ97" s="189">
        <v>0</v>
      </c>
      <c r="BR97" s="189">
        <v>0</v>
      </c>
      <c r="BS97" s="189">
        <v>0</v>
      </c>
      <c r="BT97" s="189">
        <v>0</v>
      </c>
      <c r="BU97" s="189">
        <v>0</v>
      </c>
      <c r="BV97" s="189">
        <v>0</v>
      </c>
      <c r="BW97" s="189">
        <v>0</v>
      </c>
      <c r="BX97" s="189">
        <v>0</v>
      </c>
      <c r="BY97" s="189">
        <v>0</v>
      </c>
      <c r="BZ97" s="189">
        <v>0</v>
      </c>
      <c r="CA97" s="189">
        <v>0</v>
      </c>
      <c r="CB97" s="189">
        <v>0</v>
      </c>
      <c r="CC97" s="189">
        <v>0</v>
      </c>
      <c r="CD97" s="189">
        <v>0</v>
      </c>
      <c r="CE97" s="189">
        <v>0</v>
      </c>
      <c r="CF97" s="189">
        <v>0</v>
      </c>
      <c r="CG97" s="189">
        <v>0</v>
      </c>
      <c r="CH97" s="189">
        <v>0</v>
      </c>
      <c r="CI97" s="189">
        <v>0</v>
      </c>
      <c r="CJ97" s="189">
        <v>0</v>
      </c>
      <c r="CK97" s="189">
        <v>0</v>
      </c>
      <c r="CL97" s="189">
        <v>0</v>
      </c>
    </row>
    <row r="98" spans="1:90">
      <c r="A98" s="128" t="s">
        <v>69</v>
      </c>
      <c r="B98" s="189">
        <v>3999475115.0700002</v>
      </c>
      <c r="C98" s="189">
        <v>3564539838.0599999</v>
      </c>
      <c r="D98" s="189">
        <v>3112072354.2800002</v>
      </c>
      <c r="E98" s="189">
        <v>1656696539.6900001</v>
      </c>
      <c r="F98" s="189">
        <v>1608253906.3199999</v>
      </c>
      <c r="G98" s="189">
        <v>1386667129.74</v>
      </c>
      <c r="H98" s="189">
        <v>1164068688.9200001</v>
      </c>
      <c r="I98" s="189">
        <v>938929385.04999995</v>
      </c>
      <c r="J98" s="189">
        <v>764765922.41999996</v>
      </c>
      <c r="K98" s="189">
        <v>651784797</v>
      </c>
      <c r="L98" s="189">
        <v>562039359.25999999</v>
      </c>
      <c r="M98" s="189">
        <v>471153830</v>
      </c>
      <c r="N98" s="189">
        <v>275890083.25</v>
      </c>
      <c r="O98" s="189">
        <v>194615429</v>
      </c>
      <c r="P98" s="189">
        <v>179747586.63</v>
      </c>
      <c r="Q98" s="189">
        <v>50510243</v>
      </c>
      <c r="R98" s="189">
        <v>-234560005.5</v>
      </c>
      <c r="S98" s="189">
        <v>292507530</v>
      </c>
      <c r="T98" s="189">
        <v>298217136.48000002</v>
      </c>
      <c r="U98" s="189">
        <v>268538846</v>
      </c>
      <c r="V98" s="189">
        <v>253366032</v>
      </c>
      <c r="W98" s="189">
        <v>155544402</v>
      </c>
      <c r="X98" s="189">
        <v>170045508.81999999</v>
      </c>
      <c r="Y98" s="189">
        <v>168587585</v>
      </c>
      <c r="Z98" s="189">
        <v>175328435</v>
      </c>
      <c r="AA98" s="189">
        <v>126400831</v>
      </c>
      <c r="AB98" s="189">
        <v>108324933.20999999</v>
      </c>
      <c r="AC98" s="189">
        <v>115551728</v>
      </c>
      <c r="AD98" s="189">
        <v>66653264.229999997</v>
      </c>
      <c r="AE98" s="189">
        <v>54282103</v>
      </c>
      <c r="AF98" s="189">
        <v>25311101.609999999</v>
      </c>
      <c r="AG98" s="189">
        <v>17457568</v>
      </c>
      <c r="AH98" s="189">
        <v>20319759.640000001</v>
      </c>
      <c r="AI98" s="189">
        <v>-3979355.66</v>
      </c>
      <c r="AJ98" s="189">
        <v>-43315720.409999996</v>
      </c>
      <c r="AK98" s="189">
        <v>-48749120.159999996</v>
      </c>
      <c r="AL98" s="189">
        <v>36240332.869999997</v>
      </c>
      <c r="AM98" s="189">
        <v>58254501.890000001</v>
      </c>
      <c r="AN98" s="189">
        <v>102551882.31</v>
      </c>
      <c r="AO98" s="189">
        <v>156888444.58000001</v>
      </c>
      <c r="AP98" s="189">
        <v>191746099.72999999</v>
      </c>
      <c r="AQ98" s="189">
        <v>194257784.72</v>
      </c>
      <c r="AR98" s="189">
        <v>199911492.09</v>
      </c>
      <c r="AS98" s="189">
        <v>190260700.27000001</v>
      </c>
      <c r="AT98" s="189">
        <v>174452654.33000001</v>
      </c>
      <c r="AU98" s="189">
        <v>152777788.47</v>
      </c>
      <c r="AV98" s="189">
        <v>191345102.77000001</v>
      </c>
      <c r="AW98" s="189">
        <v>161117416.16999999</v>
      </c>
      <c r="AX98" s="189">
        <v>150438318.75999999</v>
      </c>
      <c r="AY98" s="189">
        <v>119899052.53</v>
      </c>
      <c r="AZ98" s="189">
        <v>103665773.95999999</v>
      </c>
      <c r="BA98" s="189">
        <v>90165348.239999995</v>
      </c>
      <c r="BB98" s="189">
        <v>81857424.239999995</v>
      </c>
      <c r="BC98" s="189">
        <v>74642061.359999999</v>
      </c>
      <c r="BD98" s="189">
        <v>81182453.060000002</v>
      </c>
      <c r="BE98" s="189">
        <v>69627045.319999993</v>
      </c>
      <c r="BF98" s="189">
        <v>76172763.260000005</v>
      </c>
      <c r="BG98" s="189">
        <v>63814335.509999998</v>
      </c>
      <c r="BH98" s="189">
        <v>39862579.200000003</v>
      </c>
      <c r="BI98" s="189">
        <v>28776056.449999999</v>
      </c>
      <c r="BJ98" s="189">
        <v>8492187.1300000008</v>
      </c>
      <c r="BK98" s="189">
        <v>1820671.3</v>
      </c>
      <c r="BL98" s="189">
        <v>-7421711.9199999999</v>
      </c>
      <c r="BM98" s="189">
        <v>-12572383.119999999</v>
      </c>
      <c r="BN98" s="189">
        <v>29330613.399999999</v>
      </c>
      <c r="BO98" s="189">
        <v>39312078.520000003</v>
      </c>
      <c r="BP98" s="189">
        <v>54173701.960000001</v>
      </c>
      <c r="BQ98" s="189">
        <v>16432056.18</v>
      </c>
      <c r="BR98" s="189">
        <v>43712767.140000001</v>
      </c>
      <c r="BS98" s="189">
        <v>23677786.07</v>
      </c>
      <c r="BT98" s="189">
        <v>37651238.57</v>
      </c>
      <c r="BU98" s="189">
        <v>22435653.91</v>
      </c>
      <c r="BV98" s="189">
        <v>31353346.550000001</v>
      </c>
      <c r="BW98" s="189">
        <v>20915025.109999999</v>
      </c>
      <c r="BX98" s="189">
        <v>34923168.719999999</v>
      </c>
      <c r="BY98" s="189">
        <v>18712814.140000001</v>
      </c>
      <c r="BZ98" s="189">
        <v>26834734.059999999</v>
      </c>
      <c r="CA98" s="189">
        <v>8316934.3200000003</v>
      </c>
      <c r="CB98" s="189">
        <v>9470000</v>
      </c>
      <c r="CC98" s="189">
        <v>0</v>
      </c>
      <c r="CD98" s="189">
        <v>0</v>
      </c>
      <c r="CE98" s="189">
        <v>29053794.420000002</v>
      </c>
      <c r="CF98" s="189">
        <v>27762316.469999999</v>
      </c>
      <c r="CG98" s="189">
        <v>0</v>
      </c>
      <c r="CH98" s="189">
        <v>0</v>
      </c>
      <c r="CI98" s="189">
        <v>0</v>
      </c>
      <c r="CJ98" s="189">
        <v>0</v>
      </c>
      <c r="CK98" s="189">
        <v>0</v>
      </c>
      <c r="CL98" s="189">
        <v>0</v>
      </c>
    </row>
    <row r="99" spans="1:90">
      <c r="A99" s="128" t="s">
        <v>70</v>
      </c>
      <c r="B99" s="189">
        <v>0</v>
      </c>
      <c r="C99" s="189">
        <v>0</v>
      </c>
      <c r="D99" s="189">
        <v>143368613.56999999</v>
      </c>
      <c r="E99" s="189">
        <v>0</v>
      </c>
      <c r="F99" s="189">
        <v>0</v>
      </c>
      <c r="G99" s="189">
        <v>0</v>
      </c>
      <c r="H99" s="189">
        <v>0</v>
      </c>
      <c r="I99" s="189">
        <v>0</v>
      </c>
      <c r="J99" s="189">
        <v>0</v>
      </c>
      <c r="K99" s="189">
        <v>84065925</v>
      </c>
      <c r="L99" s="189">
        <v>0</v>
      </c>
      <c r="M99" s="189">
        <v>0</v>
      </c>
      <c r="N99" s="189">
        <v>0</v>
      </c>
      <c r="O99" s="189">
        <v>113173848</v>
      </c>
      <c r="P99" s="189">
        <v>0</v>
      </c>
      <c r="Q99" s="189">
        <v>0</v>
      </c>
      <c r="R99" s="189">
        <v>0</v>
      </c>
      <c r="S99" s="189">
        <v>57423750</v>
      </c>
      <c r="T99" s="189">
        <v>0</v>
      </c>
      <c r="U99" s="189">
        <v>0</v>
      </c>
      <c r="V99" s="189">
        <v>0</v>
      </c>
      <c r="W99" s="189">
        <v>24500000</v>
      </c>
      <c r="X99" s="189">
        <v>0</v>
      </c>
      <c r="Y99" s="189">
        <v>0</v>
      </c>
      <c r="Z99" s="189">
        <v>0</v>
      </c>
      <c r="AA99" s="189">
        <v>0</v>
      </c>
      <c r="AB99" s="189">
        <v>0</v>
      </c>
      <c r="AC99" s="189">
        <v>0</v>
      </c>
      <c r="AD99" s="189">
        <v>0</v>
      </c>
      <c r="AE99" s="189">
        <v>0</v>
      </c>
      <c r="AF99" s="189">
        <v>0</v>
      </c>
      <c r="AG99" s="189">
        <v>0</v>
      </c>
      <c r="AH99" s="189">
        <v>0</v>
      </c>
      <c r="AI99" s="189">
        <v>0</v>
      </c>
      <c r="AJ99" s="189">
        <v>0</v>
      </c>
      <c r="AK99" s="189">
        <v>0</v>
      </c>
      <c r="AL99" s="189">
        <v>0</v>
      </c>
      <c r="AM99" s="189">
        <v>0</v>
      </c>
      <c r="AN99" s="189">
        <v>0</v>
      </c>
      <c r="AO99" s="189">
        <v>0</v>
      </c>
      <c r="AP99" s="189">
        <v>0</v>
      </c>
      <c r="AQ99" s="189">
        <v>0</v>
      </c>
      <c r="AR99" s="189">
        <v>0</v>
      </c>
      <c r="AS99" s="189">
        <v>0</v>
      </c>
      <c r="AT99" s="189">
        <v>0</v>
      </c>
      <c r="AU99" s="189">
        <v>0</v>
      </c>
      <c r="AV99" s="189">
        <v>0</v>
      </c>
      <c r="AW99" s="189">
        <v>0</v>
      </c>
      <c r="AX99" s="189">
        <v>0</v>
      </c>
      <c r="AY99" s="189">
        <v>0</v>
      </c>
      <c r="AZ99" s="189">
        <v>0</v>
      </c>
      <c r="BA99" s="189">
        <v>0</v>
      </c>
      <c r="BB99" s="189">
        <v>0</v>
      </c>
      <c r="BC99" s="189">
        <v>0</v>
      </c>
      <c r="BD99" s="189">
        <v>0</v>
      </c>
      <c r="BE99" s="189">
        <v>0</v>
      </c>
      <c r="BF99" s="189">
        <v>0</v>
      </c>
      <c r="BG99" s="189">
        <v>0</v>
      </c>
      <c r="BH99" s="189">
        <v>0</v>
      </c>
      <c r="BI99" s="189">
        <v>0</v>
      </c>
      <c r="BJ99" s="189">
        <v>0</v>
      </c>
      <c r="BK99" s="189">
        <v>0</v>
      </c>
      <c r="BL99" s="189">
        <v>0</v>
      </c>
      <c r="BM99" s="189">
        <v>0</v>
      </c>
      <c r="BN99" s="189">
        <v>0</v>
      </c>
      <c r="BO99" s="189">
        <v>19928205.93</v>
      </c>
      <c r="BP99" s="189">
        <v>12705.93</v>
      </c>
      <c r="BQ99" s="189">
        <v>19928205.93</v>
      </c>
      <c r="BR99" s="189">
        <v>9348645.9600000009</v>
      </c>
      <c r="BS99" s="189">
        <v>23265970.920000002</v>
      </c>
      <c r="BT99" s="189">
        <v>11638970.92</v>
      </c>
      <c r="BU99" s="189">
        <v>11638970.92</v>
      </c>
      <c r="BV99" s="189">
        <v>22103270.920000002</v>
      </c>
      <c r="BW99" s="189">
        <v>22103270.920000002</v>
      </c>
      <c r="BX99" s="189">
        <v>18269927.219999999</v>
      </c>
      <c r="BY99" s="189">
        <v>37589039.909999996</v>
      </c>
      <c r="BZ99" s="189">
        <v>0</v>
      </c>
      <c r="CA99" s="189">
        <v>32033249.530000001</v>
      </c>
      <c r="CB99" s="189">
        <v>0</v>
      </c>
      <c r="CC99" s="189">
        <v>35205689.530000001</v>
      </c>
      <c r="CD99" s="189">
        <v>0</v>
      </c>
      <c r="CE99" s="189">
        <v>7191812.5700000003</v>
      </c>
      <c r="CF99" s="189">
        <v>0</v>
      </c>
      <c r="CG99" s="189">
        <v>0</v>
      </c>
      <c r="CH99" s="189">
        <v>0</v>
      </c>
      <c r="CI99" s="189">
        <v>0</v>
      </c>
      <c r="CJ99" s="189">
        <v>0</v>
      </c>
      <c r="CK99" s="189">
        <v>0</v>
      </c>
      <c r="CL99" s="189">
        <v>0</v>
      </c>
    </row>
    <row r="100" spans="1:90">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c r="A101" s="128" t="s">
        <v>71</v>
      </c>
      <c r="B101" s="189">
        <v>0</v>
      </c>
      <c r="C101" s="189">
        <v>0</v>
      </c>
      <c r="D101" s="189">
        <v>0</v>
      </c>
      <c r="E101" s="189">
        <v>0</v>
      </c>
      <c r="F101" s="189">
        <v>0</v>
      </c>
      <c r="G101" s="189">
        <v>0</v>
      </c>
      <c r="H101" s="189">
        <v>0</v>
      </c>
      <c r="I101" s="189">
        <v>0</v>
      </c>
      <c r="J101" s="189">
        <v>0</v>
      </c>
      <c r="K101" s="189">
        <v>0</v>
      </c>
      <c r="L101" s="189">
        <v>0</v>
      </c>
      <c r="M101" s="189">
        <v>0</v>
      </c>
      <c r="N101" s="189">
        <v>0</v>
      </c>
      <c r="O101" s="189">
        <v>0</v>
      </c>
      <c r="P101" s="189">
        <v>0</v>
      </c>
      <c r="Q101" s="189">
        <v>0</v>
      </c>
      <c r="R101" s="189">
        <v>0</v>
      </c>
      <c r="S101" s="189">
        <v>0</v>
      </c>
      <c r="T101" s="189">
        <v>0</v>
      </c>
      <c r="U101" s="189">
        <v>0</v>
      </c>
      <c r="V101" s="189">
        <v>0</v>
      </c>
      <c r="W101" s="189">
        <v>0</v>
      </c>
      <c r="X101" s="189">
        <v>0</v>
      </c>
      <c r="Y101" s="189">
        <v>0</v>
      </c>
      <c r="Z101" s="189">
        <v>0</v>
      </c>
      <c r="AA101" s="189">
        <v>0</v>
      </c>
      <c r="AB101" s="189">
        <v>0</v>
      </c>
      <c r="AC101" s="189">
        <v>0</v>
      </c>
      <c r="AD101" s="189">
        <v>0</v>
      </c>
      <c r="AE101" s="189">
        <v>0</v>
      </c>
      <c r="AF101" s="189">
        <v>0</v>
      </c>
      <c r="AG101" s="189">
        <v>0</v>
      </c>
      <c r="AH101" s="189">
        <v>0</v>
      </c>
      <c r="AI101" s="189">
        <v>0</v>
      </c>
      <c r="AJ101" s="189">
        <v>0</v>
      </c>
      <c r="AK101" s="189">
        <v>0</v>
      </c>
      <c r="AL101" s="189">
        <v>0</v>
      </c>
      <c r="AM101" s="189">
        <v>0</v>
      </c>
      <c r="AN101" s="189">
        <v>0</v>
      </c>
      <c r="AO101" s="189">
        <v>0</v>
      </c>
      <c r="AP101" s="189">
        <v>0</v>
      </c>
      <c r="AQ101" s="189">
        <v>0</v>
      </c>
      <c r="AR101" s="189">
        <v>0</v>
      </c>
      <c r="AS101" s="189">
        <v>0</v>
      </c>
      <c r="AT101" s="189">
        <v>0</v>
      </c>
      <c r="AU101" s="189">
        <v>0</v>
      </c>
      <c r="AV101" s="189">
        <v>0</v>
      </c>
      <c r="AW101" s="189">
        <v>0</v>
      </c>
      <c r="AX101" s="189">
        <v>0</v>
      </c>
      <c r="AY101" s="189">
        <v>0</v>
      </c>
      <c r="AZ101" s="189">
        <v>0</v>
      </c>
      <c r="BA101" s="189">
        <v>0</v>
      </c>
      <c r="BB101" s="189">
        <v>0</v>
      </c>
      <c r="BC101" s="189">
        <v>0</v>
      </c>
      <c r="BD101" s="189">
        <v>0</v>
      </c>
      <c r="BE101" s="189">
        <v>0</v>
      </c>
      <c r="BF101" s="189">
        <v>0</v>
      </c>
      <c r="BG101" s="189">
        <v>0</v>
      </c>
      <c r="BH101" s="189">
        <v>0</v>
      </c>
      <c r="BI101" s="189">
        <v>0</v>
      </c>
      <c r="BJ101" s="189">
        <v>0</v>
      </c>
      <c r="BK101" s="189">
        <v>0</v>
      </c>
      <c r="BL101" s="189">
        <v>0</v>
      </c>
      <c r="BM101" s="189">
        <v>0</v>
      </c>
      <c r="BN101" s="189">
        <v>0</v>
      </c>
      <c r="BO101" s="189">
        <v>0</v>
      </c>
      <c r="BP101" s="189">
        <v>0</v>
      </c>
      <c r="BQ101" s="189">
        <v>0</v>
      </c>
      <c r="BR101" s="189">
        <v>0</v>
      </c>
      <c r="BS101" s="189">
        <v>0</v>
      </c>
      <c r="BT101" s="189">
        <v>0</v>
      </c>
      <c r="BU101" s="189">
        <v>0</v>
      </c>
      <c r="BV101" s="189"/>
      <c r="BW101" s="189"/>
      <c r="BX101" s="189"/>
      <c r="BY101" s="189"/>
      <c r="BZ101" s="189"/>
      <c r="CA101" s="189"/>
      <c r="CB101" s="189"/>
      <c r="CC101" s="189"/>
      <c r="CD101" s="189"/>
      <c r="CE101" s="189"/>
      <c r="CF101" s="189"/>
      <c r="CG101" s="189"/>
      <c r="CH101" s="189"/>
      <c r="CI101" s="189"/>
      <c r="CJ101" s="189"/>
      <c r="CK101" s="189"/>
      <c r="CL101" s="189"/>
    </row>
    <row r="102" spans="1:90">
      <c r="A102" s="128" t="s">
        <v>72</v>
      </c>
      <c r="B102" s="189">
        <v>26289455523.299999</v>
      </c>
      <c r="C102" s="189">
        <v>25841808868.959999</v>
      </c>
      <c r="D102" s="189">
        <v>25457662882.849998</v>
      </c>
      <c r="E102" s="189">
        <v>14474797146.66</v>
      </c>
      <c r="F102" s="189">
        <v>14427626551.780001</v>
      </c>
      <c r="G102" s="189">
        <v>14215836962.65</v>
      </c>
      <c r="H102" s="189">
        <v>13999600306.860001</v>
      </c>
      <c r="I102" s="189">
        <v>13758959516.58</v>
      </c>
      <c r="J102" s="189">
        <v>13609491082.25</v>
      </c>
      <c r="K102" s="189">
        <v>13499738900</v>
      </c>
      <c r="L102" s="189">
        <v>13365206342.23</v>
      </c>
      <c r="M102" s="189">
        <v>13248334175</v>
      </c>
      <c r="N102" s="189">
        <v>8386525766.0600004</v>
      </c>
      <c r="O102" s="189">
        <v>8282109079</v>
      </c>
      <c r="P102" s="189">
        <v>8275289872.1499996</v>
      </c>
      <c r="Q102" s="189">
        <v>8147270333</v>
      </c>
      <c r="R102" s="189">
        <v>7916711172.8199997</v>
      </c>
      <c r="S102" s="189">
        <v>1509075071</v>
      </c>
      <c r="T102" s="189">
        <v>1514576669.53</v>
      </c>
      <c r="U102" s="189">
        <v>1486033795</v>
      </c>
      <c r="V102" s="189">
        <v>1455118035</v>
      </c>
      <c r="W102" s="189">
        <v>1354675249</v>
      </c>
      <c r="X102" s="189">
        <v>1371514117.45</v>
      </c>
      <c r="Y102" s="189">
        <v>1373011622</v>
      </c>
      <c r="Z102" s="189">
        <v>1376653494</v>
      </c>
      <c r="AA102" s="189">
        <v>1329101595</v>
      </c>
      <c r="AB102" s="189">
        <v>1313340511.1400001</v>
      </c>
      <c r="AC102" s="189">
        <v>1318953568</v>
      </c>
      <c r="AD102" s="189">
        <v>1263079302.6199999</v>
      </c>
      <c r="AE102" s="189">
        <v>1251903133</v>
      </c>
      <c r="AF102" s="189">
        <v>1223072094.3599999</v>
      </c>
      <c r="AG102" s="189">
        <v>1215025194</v>
      </c>
      <c r="AH102" s="189">
        <v>1214050650.0799999</v>
      </c>
      <c r="AI102" s="189">
        <v>1189126034.9200001</v>
      </c>
      <c r="AJ102" s="189">
        <v>1150368782.4400001</v>
      </c>
      <c r="AK102" s="189">
        <v>1145253364.5599999</v>
      </c>
      <c r="AL102" s="189">
        <v>1230771717.3199999</v>
      </c>
      <c r="AM102" s="189">
        <v>1252243999.8599999</v>
      </c>
      <c r="AN102" s="189">
        <v>1295791248.26</v>
      </c>
      <c r="AO102" s="189">
        <v>1351034958.72</v>
      </c>
      <c r="AP102" s="189">
        <v>1434395770.0899999</v>
      </c>
      <c r="AQ102" s="189">
        <v>1456029359.3199999</v>
      </c>
      <c r="AR102" s="189">
        <v>1533499200.8900001</v>
      </c>
      <c r="AS102" s="189">
        <v>1557966077.77</v>
      </c>
      <c r="AT102" s="189">
        <v>1525812010.9100001</v>
      </c>
      <c r="AU102" s="189">
        <v>851204388.75</v>
      </c>
      <c r="AV102" s="189">
        <v>889654058.5</v>
      </c>
      <c r="AW102" s="189">
        <v>859872190.13</v>
      </c>
      <c r="AX102" s="189">
        <v>843053558.48000002</v>
      </c>
      <c r="AY102" s="189">
        <v>812545325.34000003</v>
      </c>
      <c r="AZ102" s="189">
        <v>795125559.66999996</v>
      </c>
      <c r="BA102" s="189">
        <v>781625133.95000005</v>
      </c>
      <c r="BB102" s="189">
        <v>765586275.99000001</v>
      </c>
      <c r="BC102" s="189">
        <v>758370913.11000001</v>
      </c>
      <c r="BD102" s="189">
        <v>764911304.80999994</v>
      </c>
      <c r="BE102" s="189">
        <v>753355897.07000005</v>
      </c>
      <c r="BF102" s="189">
        <v>752692616.97000003</v>
      </c>
      <c r="BG102" s="189">
        <v>740334189.22000003</v>
      </c>
      <c r="BH102" s="189">
        <v>716382432.90999997</v>
      </c>
      <c r="BI102" s="189">
        <v>705295910.15999997</v>
      </c>
      <c r="BJ102" s="189">
        <v>681194132.05999994</v>
      </c>
      <c r="BK102" s="189">
        <v>674522616.23000002</v>
      </c>
      <c r="BL102" s="189">
        <v>665280233.00999999</v>
      </c>
      <c r="BM102" s="189">
        <v>660171911.80999994</v>
      </c>
      <c r="BN102" s="189">
        <v>703491272.98000002</v>
      </c>
      <c r="BO102" s="189">
        <v>713472738.10000002</v>
      </c>
      <c r="BP102" s="189">
        <v>729878853.14999998</v>
      </c>
      <c r="BQ102" s="189">
        <v>689134001.11000001</v>
      </c>
      <c r="BR102" s="189">
        <v>715294038.50999999</v>
      </c>
      <c r="BS102" s="189">
        <v>341654534.76999998</v>
      </c>
      <c r="BT102" s="189">
        <v>351374024.41000003</v>
      </c>
      <c r="BU102" s="189">
        <v>336158439.75</v>
      </c>
      <c r="BV102" s="189">
        <v>343274029.47000003</v>
      </c>
      <c r="BW102" s="189">
        <v>332967708.02999997</v>
      </c>
      <c r="BX102" s="189">
        <v>342688761.45999998</v>
      </c>
      <c r="BY102" s="189">
        <v>194442215.94999999</v>
      </c>
      <c r="BZ102" s="189">
        <v>185016165.91</v>
      </c>
      <c r="CA102" s="189">
        <v>166498366.16999999</v>
      </c>
      <c r="CB102" s="189">
        <v>165010000</v>
      </c>
      <c r="CC102" s="189">
        <v>147991266.97</v>
      </c>
      <c r="CD102" s="189">
        <v>182020000</v>
      </c>
      <c r="CE102" s="189">
        <v>122089059.12</v>
      </c>
      <c r="CF102" s="189">
        <v>116444849.68000001</v>
      </c>
      <c r="CG102" s="189">
        <v>76513100</v>
      </c>
      <c r="CH102" s="189">
        <v>34011300</v>
      </c>
      <c r="CI102" s="189">
        <v>0</v>
      </c>
      <c r="CJ102" s="189">
        <v>92660000</v>
      </c>
      <c r="CK102" s="189">
        <v>75420000</v>
      </c>
      <c r="CL102" s="189">
        <v>0</v>
      </c>
    </row>
    <row r="103" spans="1:90">
      <c r="A103" s="128" t="s">
        <v>73</v>
      </c>
      <c r="B103" s="189">
        <v>0</v>
      </c>
      <c r="C103" s="189">
        <v>0</v>
      </c>
      <c r="D103" s="189">
        <v>0</v>
      </c>
      <c r="E103" s="189">
        <v>0</v>
      </c>
      <c r="F103" s="189">
        <v>0</v>
      </c>
      <c r="G103" s="189">
        <v>0</v>
      </c>
      <c r="H103" s="189">
        <v>0</v>
      </c>
      <c r="I103" s="189">
        <v>0</v>
      </c>
      <c r="J103" s="189">
        <v>0</v>
      </c>
      <c r="K103" s="189">
        <v>0</v>
      </c>
      <c r="L103" s="189">
        <v>0</v>
      </c>
      <c r="M103" s="189">
        <v>0</v>
      </c>
      <c r="N103" s="189">
        <v>408751323.79000002</v>
      </c>
      <c r="O103" s="189">
        <v>414425898</v>
      </c>
      <c r="P103" s="189">
        <v>409885602.20999998</v>
      </c>
      <c r="Q103" s="189">
        <v>413845304</v>
      </c>
      <c r="R103" s="189">
        <v>414230406.12</v>
      </c>
      <c r="S103" s="189">
        <v>1847968159</v>
      </c>
      <c r="T103" s="189">
        <v>1822389500.27</v>
      </c>
      <c r="U103" s="189">
        <v>1799690667</v>
      </c>
      <c r="V103" s="189">
        <v>1768117883</v>
      </c>
      <c r="W103" s="189">
        <v>1692513450</v>
      </c>
      <c r="X103" s="189">
        <v>1678167791.03</v>
      </c>
      <c r="Y103" s="189">
        <v>1683100369</v>
      </c>
      <c r="Z103" s="189">
        <v>1664639294</v>
      </c>
      <c r="AA103" s="189">
        <v>1627228761</v>
      </c>
      <c r="AB103" s="189">
        <v>1594264522.23</v>
      </c>
      <c r="AC103" s="189">
        <v>1599956325</v>
      </c>
      <c r="AD103" s="189">
        <v>1494803483.8699999</v>
      </c>
      <c r="AE103" s="189">
        <v>1474781890</v>
      </c>
      <c r="AF103" s="189">
        <v>1447629438.3699999</v>
      </c>
      <c r="AG103" s="189">
        <v>1275654536</v>
      </c>
      <c r="AH103" s="189">
        <v>1278734646.0599999</v>
      </c>
      <c r="AI103" s="189">
        <v>1242231163.1099999</v>
      </c>
      <c r="AJ103" s="189">
        <v>1212043620.2</v>
      </c>
      <c r="AK103" s="189">
        <v>953430895.16999996</v>
      </c>
      <c r="AL103" s="189">
        <v>711909364.12</v>
      </c>
      <c r="AM103" s="189">
        <v>711142771.07000005</v>
      </c>
      <c r="AN103" s="189">
        <v>750409271.99000001</v>
      </c>
      <c r="AO103" s="189">
        <v>645579677.17999995</v>
      </c>
      <c r="AP103" s="189">
        <v>716995773.10000002</v>
      </c>
      <c r="AQ103" s="189">
        <v>713732598.29999995</v>
      </c>
      <c r="AR103" s="189">
        <v>717062282.23000002</v>
      </c>
      <c r="AS103" s="189">
        <v>718613666.03999996</v>
      </c>
      <c r="AT103" s="189">
        <v>619150859.21000004</v>
      </c>
      <c r="AU103" s="189">
        <v>579774336.50999999</v>
      </c>
      <c r="AV103" s="189">
        <v>426789417.85000002</v>
      </c>
      <c r="AW103" s="189">
        <v>7802496.7199999997</v>
      </c>
      <c r="AX103" s="189">
        <v>6855062.4199999999</v>
      </c>
      <c r="AY103" s="189">
        <v>6786103.2800000003</v>
      </c>
      <c r="AZ103" s="189">
        <v>6959627.9199999999</v>
      </c>
      <c r="BA103" s="189">
        <v>6715652.4400000004</v>
      </c>
      <c r="BB103" s="189">
        <v>0</v>
      </c>
      <c r="BC103" s="189">
        <v>0</v>
      </c>
      <c r="BD103" s="189">
        <v>0</v>
      </c>
      <c r="BE103" s="189">
        <v>0</v>
      </c>
      <c r="BF103" s="189">
        <v>0</v>
      </c>
      <c r="BG103" s="189">
        <v>0</v>
      </c>
      <c r="BH103" s="189">
        <v>0</v>
      </c>
      <c r="BI103" s="189">
        <v>0</v>
      </c>
      <c r="BJ103" s="189">
        <v>0</v>
      </c>
      <c r="BK103" s="189">
        <v>0</v>
      </c>
      <c r="BL103" s="189">
        <v>0</v>
      </c>
      <c r="BM103" s="189">
        <v>0</v>
      </c>
      <c r="BN103" s="189">
        <v>0</v>
      </c>
      <c r="BO103" s="189">
        <v>0</v>
      </c>
      <c r="BP103" s="189">
        <v>0</v>
      </c>
      <c r="BQ103" s="189">
        <v>0</v>
      </c>
      <c r="BR103" s="189">
        <v>0</v>
      </c>
      <c r="BS103" s="189">
        <v>0</v>
      </c>
      <c r="BT103" s="189">
        <v>0</v>
      </c>
      <c r="BU103" s="189">
        <v>0</v>
      </c>
      <c r="BV103" s="189">
        <v>0</v>
      </c>
      <c r="BW103" s="189">
        <v>0</v>
      </c>
      <c r="BX103" s="189">
        <v>0</v>
      </c>
      <c r="BY103" s="189">
        <v>0</v>
      </c>
      <c r="BZ103" s="189">
        <v>0</v>
      </c>
      <c r="CA103" s="189">
        <v>0</v>
      </c>
      <c r="CB103" s="189">
        <v>0</v>
      </c>
      <c r="CC103" s="189">
        <v>0</v>
      </c>
      <c r="CD103" s="189">
        <v>0</v>
      </c>
      <c r="CE103" s="189">
        <v>0</v>
      </c>
      <c r="CF103" s="189">
        <v>0</v>
      </c>
      <c r="CG103" s="189">
        <v>0</v>
      </c>
      <c r="CH103" s="189">
        <v>0</v>
      </c>
      <c r="CI103" s="189">
        <v>0</v>
      </c>
      <c r="CJ103" s="189">
        <v>0</v>
      </c>
      <c r="CK103" s="189">
        <v>0</v>
      </c>
      <c r="CL103" s="189">
        <v>0</v>
      </c>
    </row>
    <row r="104" spans="1:90" ht="14.45" hidden="1">
      <c r="A104" s="128"/>
      <c r="B104" s="26"/>
      <c r="C104" s="26"/>
      <c r="D104" s="26"/>
      <c r="E104" s="26"/>
      <c r="F104" s="26"/>
      <c r="G104" s="26"/>
      <c r="H104" s="26"/>
      <c r="I104" s="26"/>
      <c r="J104" s="26"/>
      <c r="K104" s="26"/>
      <c r="L104" s="23"/>
    </row>
    <row r="105" spans="1:90" ht="14.45" hidden="1">
      <c r="A105" s="128"/>
      <c r="B105" s="26"/>
      <c r="C105" s="26"/>
      <c r="D105" s="26"/>
      <c r="E105" s="26"/>
      <c r="F105" s="26"/>
      <c r="G105" s="26"/>
      <c r="H105" s="26"/>
      <c r="I105" s="26"/>
      <c r="J105" s="26"/>
      <c r="K105" s="26"/>
      <c r="L105" s="23"/>
    </row>
    <row r="106" spans="1:90" ht="14.45" hidden="1">
      <c r="A106" s="128"/>
      <c r="B106" s="26"/>
      <c r="C106" s="26"/>
      <c r="D106" s="26"/>
      <c r="E106" s="26"/>
      <c r="F106" s="26"/>
      <c r="G106" s="26"/>
      <c r="H106" s="26"/>
      <c r="I106" s="26"/>
      <c r="J106" s="26"/>
      <c r="K106" s="26"/>
      <c r="L106" s="23"/>
    </row>
    <row r="107" spans="1:90" s="5" customFormat="1">
      <c r="A107" s="129" t="s">
        <v>74</v>
      </c>
      <c r="B107" s="33">
        <f>B102+B103</f>
        <v>26289455523.299999</v>
      </c>
      <c r="C107" s="33">
        <f>C102+C103</f>
        <v>25841808868.959999</v>
      </c>
      <c r="D107" s="33">
        <f>D102+D103</f>
        <v>25457662882.849998</v>
      </c>
      <c r="E107" s="33">
        <f>E102+E103</f>
        <v>14474797146.66</v>
      </c>
      <c r="F107" s="33">
        <f t="shared" ref="F107:BQ107" si="20">F102+F103</f>
        <v>14427626551.780001</v>
      </c>
      <c r="G107" s="33">
        <f t="shared" si="20"/>
        <v>14215836962.65</v>
      </c>
      <c r="H107" s="33">
        <f t="shared" si="20"/>
        <v>13999600306.860001</v>
      </c>
      <c r="I107" s="33">
        <f t="shared" si="20"/>
        <v>13758959516.58</v>
      </c>
      <c r="J107" s="33">
        <f t="shared" si="20"/>
        <v>13609491082.25</v>
      </c>
      <c r="K107" s="33">
        <f t="shared" si="20"/>
        <v>13499738900</v>
      </c>
      <c r="L107" s="33">
        <f t="shared" si="20"/>
        <v>13365206342.23</v>
      </c>
      <c r="M107" s="33">
        <f t="shared" si="20"/>
        <v>13248334175</v>
      </c>
      <c r="N107" s="33">
        <f t="shared" si="20"/>
        <v>8795277089.8500004</v>
      </c>
      <c r="O107" s="33">
        <f t="shared" si="20"/>
        <v>8696534977</v>
      </c>
      <c r="P107" s="33">
        <f t="shared" si="20"/>
        <v>8685175474.3599987</v>
      </c>
      <c r="Q107" s="33">
        <f t="shared" si="20"/>
        <v>8561115637</v>
      </c>
      <c r="R107" s="33">
        <f t="shared" si="20"/>
        <v>8330941578.9399996</v>
      </c>
      <c r="S107" s="33">
        <f t="shared" si="20"/>
        <v>3357043230</v>
      </c>
      <c r="T107" s="33">
        <f t="shared" si="20"/>
        <v>3336966169.8000002</v>
      </c>
      <c r="U107" s="33">
        <f t="shared" si="20"/>
        <v>3285724462</v>
      </c>
      <c r="V107" s="33">
        <f t="shared" si="20"/>
        <v>3223235918</v>
      </c>
      <c r="W107" s="33">
        <f t="shared" si="20"/>
        <v>3047188699</v>
      </c>
      <c r="X107" s="33">
        <f t="shared" si="20"/>
        <v>3049681908.48</v>
      </c>
      <c r="Y107" s="33">
        <f t="shared" si="20"/>
        <v>3056111991</v>
      </c>
      <c r="Z107" s="33">
        <f t="shared" si="20"/>
        <v>3041292788</v>
      </c>
      <c r="AA107" s="33">
        <f t="shared" si="20"/>
        <v>2956330356</v>
      </c>
      <c r="AB107" s="33">
        <f t="shared" si="20"/>
        <v>2907605033.3699999</v>
      </c>
      <c r="AC107" s="33">
        <f t="shared" si="20"/>
        <v>2918909893</v>
      </c>
      <c r="AD107" s="33">
        <f t="shared" si="20"/>
        <v>2757882786.4899998</v>
      </c>
      <c r="AE107" s="33">
        <f t="shared" si="20"/>
        <v>2726685023</v>
      </c>
      <c r="AF107" s="33">
        <f t="shared" si="20"/>
        <v>2670701532.7299995</v>
      </c>
      <c r="AG107" s="33">
        <f t="shared" si="20"/>
        <v>2490679730</v>
      </c>
      <c r="AH107" s="33">
        <f t="shared" si="20"/>
        <v>2492785296.1399999</v>
      </c>
      <c r="AI107" s="33">
        <f t="shared" si="20"/>
        <v>2431357198.0299997</v>
      </c>
      <c r="AJ107" s="33">
        <f t="shared" si="20"/>
        <v>2362412402.6400003</v>
      </c>
      <c r="AK107" s="33">
        <f t="shared" si="20"/>
        <v>2098684259.73</v>
      </c>
      <c r="AL107" s="33">
        <f t="shared" si="20"/>
        <v>1942681081.4400001</v>
      </c>
      <c r="AM107" s="33">
        <f t="shared" si="20"/>
        <v>1963386770.9299998</v>
      </c>
      <c r="AN107" s="33">
        <f t="shared" si="20"/>
        <v>2046200520.25</v>
      </c>
      <c r="AO107" s="33">
        <f t="shared" si="20"/>
        <v>1996614635.9000001</v>
      </c>
      <c r="AP107" s="33">
        <f t="shared" si="20"/>
        <v>2151391543.1900001</v>
      </c>
      <c r="AQ107" s="33">
        <f t="shared" si="20"/>
        <v>2169761957.6199999</v>
      </c>
      <c r="AR107" s="33">
        <f t="shared" si="20"/>
        <v>2250561483.1199999</v>
      </c>
      <c r="AS107" s="33">
        <f t="shared" si="20"/>
        <v>2276579743.8099999</v>
      </c>
      <c r="AT107" s="33">
        <f t="shared" si="20"/>
        <v>2144962870.1200001</v>
      </c>
      <c r="AU107" s="33">
        <f t="shared" si="20"/>
        <v>1430978725.26</v>
      </c>
      <c r="AV107" s="33">
        <f t="shared" si="20"/>
        <v>1316443476.3499999</v>
      </c>
      <c r="AW107" s="33">
        <f t="shared" si="20"/>
        <v>867674686.85000002</v>
      </c>
      <c r="AX107" s="33">
        <f t="shared" si="20"/>
        <v>849908620.89999998</v>
      </c>
      <c r="AY107" s="33">
        <f t="shared" si="20"/>
        <v>819331428.62</v>
      </c>
      <c r="AZ107" s="33">
        <f t="shared" si="20"/>
        <v>802085187.58999991</v>
      </c>
      <c r="BA107" s="33">
        <f t="shared" si="20"/>
        <v>788340786.3900001</v>
      </c>
      <c r="BB107" s="33">
        <f t="shared" si="20"/>
        <v>765586275.99000001</v>
      </c>
      <c r="BC107" s="33">
        <f t="shared" si="20"/>
        <v>758370913.11000001</v>
      </c>
      <c r="BD107" s="33">
        <f t="shared" si="20"/>
        <v>764911304.80999994</v>
      </c>
      <c r="BE107" s="33">
        <f t="shared" si="20"/>
        <v>753355897.07000005</v>
      </c>
      <c r="BF107" s="33">
        <f t="shared" si="20"/>
        <v>752692616.97000003</v>
      </c>
      <c r="BG107" s="33">
        <f t="shared" si="20"/>
        <v>740334189.22000003</v>
      </c>
      <c r="BH107" s="33">
        <f t="shared" si="20"/>
        <v>716382432.90999997</v>
      </c>
      <c r="BI107" s="33">
        <f t="shared" si="20"/>
        <v>705295910.15999997</v>
      </c>
      <c r="BJ107" s="33">
        <f t="shared" si="20"/>
        <v>681194132.05999994</v>
      </c>
      <c r="BK107" s="33">
        <f t="shared" si="20"/>
        <v>674522616.23000002</v>
      </c>
      <c r="BL107" s="33">
        <f t="shared" si="20"/>
        <v>665280233.00999999</v>
      </c>
      <c r="BM107" s="33">
        <f t="shared" si="20"/>
        <v>660171911.80999994</v>
      </c>
      <c r="BN107" s="33">
        <f t="shared" si="20"/>
        <v>703491272.98000002</v>
      </c>
      <c r="BO107" s="33">
        <f t="shared" si="20"/>
        <v>713472738.10000002</v>
      </c>
      <c r="BP107" s="33">
        <f t="shared" si="20"/>
        <v>729878853.14999998</v>
      </c>
      <c r="BQ107" s="33">
        <f t="shared" si="20"/>
        <v>689134001.11000001</v>
      </c>
      <c r="BR107" s="33">
        <f t="shared" ref="BR107:CK107" si="21">BR102+BR103</f>
        <v>715294038.50999999</v>
      </c>
      <c r="BS107" s="33">
        <f t="shared" si="21"/>
        <v>341654534.76999998</v>
      </c>
      <c r="BT107" s="33">
        <f t="shared" si="21"/>
        <v>351374024.41000003</v>
      </c>
      <c r="BU107" s="33">
        <f t="shared" si="21"/>
        <v>336158439.75</v>
      </c>
      <c r="BV107" s="33">
        <f t="shared" si="21"/>
        <v>343274029.47000003</v>
      </c>
      <c r="BW107" s="33">
        <f t="shared" si="21"/>
        <v>332967708.02999997</v>
      </c>
      <c r="BX107" s="33">
        <f t="shared" si="21"/>
        <v>342688761.45999998</v>
      </c>
      <c r="BY107" s="33">
        <f t="shared" si="21"/>
        <v>194442215.94999999</v>
      </c>
      <c r="BZ107" s="33">
        <f t="shared" si="21"/>
        <v>185016165.91</v>
      </c>
      <c r="CA107" s="33">
        <f t="shared" si="21"/>
        <v>166498366.16999999</v>
      </c>
      <c r="CB107" s="33">
        <f t="shared" si="21"/>
        <v>165010000</v>
      </c>
      <c r="CC107" s="33">
        <f t="shared" si="21"/>
        <v>147991266.97</v>
      </c>
      <c r="CD107" s="33">
        <f t="shared" si="21"/>
        <v>182020000</v>
      </c>
      <c r="CE107" s="33">
        <f t="shared" si="21"/>
        <v>122089059.12</v>
      </c>
      <c r="CF107" s="33">
        <f t="shared" si="21"/>
        <v>116444849.68000001</v>
      </c>
      <c r="CG107" s="33">
        <f t="shared" si="21"/>
        <v>76513100</v>
      </c>
      <c r="CH107" s="33">
        <f t="shared" si="21"/>
        <v>34011300</v>
      </c>
      <c r="CI107" s="33">
        <f t="shared" si="21"/>
        <v>0</v>
      </c>
      <c r="CJ107" s="33">
        <f t="shared" si="21"/>
        <v>92660000</v>
      </c>
      <c r="CK107" s="33">
        <f t="shared" si="21"/>
        <v>75420000</v>
      </c>
      <c r="CL107" s="33">
        <f>CL102+CL103</f>
        <v>0</v>
      </c>
    </row>
    <row r="108" spans="1:90" s="8" customFormat="1">
      <c r="A108" s="130" t="s">
        <v>75</v>
      </c>
      <c r="B108" s="38">
        <f>SUM(B89+B107)</f>
        <v>46571124777.580002</v>
      </c>
      <c r="C108" s="38">
        <f t="shared" ref="C108:BN108" si="22">SUM(C89+C107)</f>
        <v>45896471960.259995</v>
      </c>
      <c r="D108" s="38">
        <f t="shared" si="22"/>
        <v>46276576813.5</v>
      </c>
      <c r="E108" s="38">
        <f>SUM(E107+E89)</f>
        <v>21638528284.380001</v>
      </c>
      <c r="F108" s="38">
        <f t="shared" si="22"/>
        <v>19967593578.950001</v>
      </c>
      <c r="G108" s="38">
        <f t="shared" si="22"/>
        <v>19174945349.93</v>
      </c>
      <c r="H108" s="38">
        <f t="shared" si="22"/>
        <v>17802030410.16</v>
      </c>
      <c r="I108" s="38">
        <f t="shared" si="22"/>
        <v>15521069758.369999</v>
      </c>
      <c r="J108" s="38">
        <f t="shared" si="22"/>
        <v>15824656997.029999</v>
      </c>
      <c r="K108" s="38">
        <f t="shared" si="22"/>
        <v>15710704477</v>
      </c>
      <c r="L108" s="38">
        <f t="shared" si="22"/>
        <v>16049120851.08</v>
      </c>
      <c r="M108" s="38">
        <f t="shared" si="22"/>
        <v>15808538490</v>
      </c>
      <c r="N108" s="38">
        <f t="shared" si="22"/>
        <v>12677230635</v>
      </c>
      <c r="O108" s="38">
        <f t="shared" si="22"/>
        <v>13693100132</v>
      </c>
      <c r="P108" s="38">
        <f t="shared" si="22"/>
        <v>12775804874.82</v>
      </c>
      <c r="Q108" s="38">
        <f t="shared" si="22"/>
        <v>11501589788</v>
      </c>
      <c r="R108" s="38">
        <f t="shared" si="22"/>
        <v>14108012306.799999</v>
      </c>
      <c r="S108" s="38">
        <f t="shared" si="22"/>
        <v>5767844471</v>
      </c>
      <c r="T108" s="38">
        <f t="shared" si="22"/>
        <v>6089793163.5699997</v>
      </c>
      <c r="U108" s="38">
        <f t="shared" si="22"/>
        <v>6098153671</v>
      </c>
      <c r="V108" s="38">
        <f t="shared" si="22"/>
        <v>6339167686</v>
      </c>
      <c r="W108" s="38">
        <f t="shared" si="22"/>
        <v>6135387302</v>
      </c>
      <c r="X108" s="38">
        <f t="shared" si="22"/>
        <v>6379552106.5599995</v>
      </c>
      <c r="Y108" s="38">
        <f t="shared" si="22"/>
        <v>6391428582</v>
      </c>
      <c r="Z108" s="38">
        <f t="shared" si="22"/>
        <v>6700824055</v>
      </c>
      <c r="AA108" s="38">
        <f t="shared" si="22"/>
        <v>6697964695</v>
      </c>
      <c r="AB108" s="38">
        <f t="shared" si="22"/>
        <v>6558824238.1299992</v>
      </c>
      <c r="AC108" s="38">
        <f t="shared" si="22"/>
        <v>6671196510</v>
      </c>
      <c r="AD108" s="38">
        <f t="shared" si="22"/>
        <v>6587659940.6899996</v>
      </c>
      <c r="AE108" s="38">
        <f t="shared" si="22"/>
        <v>6905949828</v>
      </c>
      <c r="AF108" s="38">
        <f t="shared" si="22"/>
        <v>6627020547.8099995</v>
      </c>
      <c r="AG108" s="38">
        <f t="shared" si="22"/>
        <v>6385312231</v>
      </c>
      <c r="AH108" s="38">
        <f t="shared" si="22"/>
        <v>6603502195.3600006</v>
      </c>
      <c r="AI108" s="38">
        <f t="shared" si="22"/>
        <v>6712103100.6300001</v>
      </c>
      <c r="AJ108" s="38">
        <f t="shared" si="22"/>
        <v>6230027901.9500008</v>
      </c>
      <c r="AK108" s="38">
        <f t="shared" si="22"/>
        <v>5661283893.1700001</v>
      </c>
      <c r="AL108" s="38">
        <f t="shared" si="22"/>
        <v>4851033429.6999998</v>
      </c>
      <c r="AM108" s="38">
        <f t="shared" si="22"/>
        <v>4777382499</v>
      </c>
      <c r="AN108" s="38">
        <f t="shared" si="22"/>
        <v>4453366330.8199997</v>
      </c>
      <c r="AO108" s="38">
        <f t="shared" si="22"/>
        <v>4274511319.1700001</v>
      </c>
      <c r="AP108" s="38">
        <f t="shared" si="22"/>
        <v>4446753860.3000002</v>
      </c>
      <c r="AQ108" s="38">
        <f t="shared" si="22"/>
        <v>4487493402.1999998</v>
      </c>
      <c r="AR108" s="38">
        <f t="shared" si="22"/>
        <v>4479265868.1800003</v>
      </c>
      <c r="AS108" s="38">
        <f t="shared" si="22"/>
        <v>4139330992.8499999</v>
      </c>
      <c r="AT108" s="38">
        <f t="shared" si="22"/>
        <v>4112939920.2200003</v>
      </c>
      <c r="AU108" s="38">
        <f t="shared" si="22"/>
        <v>3248908725.2600002</v>
      </c>
      <c r="AV108" s="38">
        <f t="shared" si="22"/>
        <v>1701443476.3499999</v>
      </c>
      <c r="AW108" s="38">
        <f t="shared" si="22"/>
        <v>1240273186.9000001</v>
      </c>
      <c r="AX108" s="38">
        <f t="shared" si="22"/>
        <v>1248259620.9000001</v>
      </c>
      <c r="AY108" s="38">
        <f t="shared" si="22"/>
        <v>1242682428.6199999</v>
      </c>
      <c r="AZ108" s="38">
        <f t="shared" si="22"/>
        <v>1182436187.5899999</v>
      </c>
      <c r="BA108" s="38">
        <f t="shared" si="22"/>
        <v>1119497786.3900001</v>
      </c>
      <c r="BB108" s="38">
        <f t="shared" si="22"/>
        <v>1188064275.99</v>
      </c>
      <c r="BC108" s="38">
        <f t="shared" si="22"/>
        <v>1203792413.1100001</v>
      </c>
      <c r="BD108" s="38">
        <f t="shared" si="22"/>
        <v>1210520304.8099999</v>
      </c>
      <c r="BE108" s="38">
        <f t="shared" si="22"/>
        <v>1235330397.0700002</v>
      </c>
      <c r="BF108" s="38">
        <f t="shared" si="22"/>
        <v>1143396516.97</v>
      </c>
      <c r="BG108" s="38">
        <f t="shared" si="22"/>
        <v>1131285789.22</v>
      </c>
      <c r="BH108" s="38">
        <f t="shared" si="22"/>
        <v>1093639732.9099998</v>
      </c>
      <c r="BI108" s="38">
        <f t="shared" si="22"/>
        <v>1027723110.16</v>
      </c>
      <c r="BJ108" s="38">
        <f t="shared" si="22"/>
        <v>979862102.05999994</v>
      </c>
      <c r="BK108" s="38">
        <f t="shared" si="22"/>
        <v>997344816.23000002</v>
      </c>
      <c r="BL108" s="38">
        <f t="shared" si="22"/>
        <v>979977333.00999999</v>
      </c>
      <c r="BM108" s="38">
        <f t="shared" si="22"/>
        <v>944869011.80999994</v>
      </c>
      <c r="BN108" s="38">
        <f t="shared" si="22"/>
        <v>977711947.51999998</v>
      </c>
      <c r="BO108" s="38">
        <f t="shared" ref="BO108:CK108" si="23">SUM(BO89+BO107)</f>
        <v>889085038.10000002</v>
      </c>
      <c r="BP108" s="38">
        <f t="shared" si="23"/>
        <v>855491153.14999998</v>
      </c>
      <c r="BQ108" s="38">
        <f t="shared" si="23"/>
        <v>795430608.79999995</v>
      </c>
      <c r="BR108" s="38">
        <f t="shared" si="23"/>
        <v>855664269.27999997</v>
      </c>
      <c r="BS108" s="38">
        <f t="shared" si="23"/>
        <v>514229662.26999998</v>
      </c>
      <c r="BT108" s="38">
        <f t="shared" si="23"/>
        <v>502463745.31000006</v>
      </c>
      <c r="BU108" s="38">
        <f t="shared" si="23"/>
        <v>472287472.5</v>
      </c>
      <c r="BV108" s="38">
        <f t="shared" si="23"/>
        <v>462265239.93000001</v>
      </c>
      <c r="BW108" s="38">
        <f t="shared" si="23"/>
        <v>428015640.25999999</v>
      </c>
      <c r="BX108" s="38">
        <f t="shared" si="23"/>
        <v>473391488.65999997</v>
      </c>
      <c r="BY108" s="38">
        <f t="shared" si="23"/>
        <v>347021081.28999996</v>
      </c>
      <c r="BZ108" s="38">
        <f t="shared" si="23"/>
        <v>185016165.91</v>
      </c>
      <c r="CA108" s="38">
        <f t="shared" si="23"/>
        <v>324349065.76999998</v>
      </c>
      <c r="CB108" s="38">
        <f t="shared" si="23"/>
        <v>165010000</v>
      </c>
      <c r="CC108" s="38">
        <f t="shared" si="23"/>
        <v>300525218.19</v>
      </c>
      <c r="CD108" s="38">
        <f t="shared" si="23"/>
        <v>182020000</v>
      </c>
      <c r="CE108" s="38">
        <f t="shared" si="23"/>
        <v>265342730.47999999</v>
      </c>
      <c r="CF108" s="38">
        <f t="shared" si="23"/>
        <v>274657259.35000002</v>
      </c>
      <c r="CG108" s="38">
        <f t="shared" si="23"/>
        <v>76513100</v>
      </c>
      <c r="CH108" s="38">
        <f t="shared" si="23"/>
        <v>34011300</v>
      </c>
      <c r="CI108" s="38">
        <f t="shared" si="23"/>
        <v>0</v>
      </c>
      <c r="CJ108" s="38">
        <f t="shared" si="23"/>
        <v>92660000</v>
      </c>
      <c r="CK108" s="38">
        <f t="shared" si="23"/>
        <v>75420000</v>
      </c>
    </row>
    <row r="110" spans="1:90">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表"/>
  <dimension ref="A1:CK70"/>
  <sheetViews>
    <sheetView topLeftCell="A31" workbookViewId="0">
      <selection activeCell="AG55" sqref="AG55"/>
    </sheetView>
  </sheetViews>
  <sheetFormatPr defaultRowHeight="13.5"/>
  <cols>
    <col min="1" max="1" width="56" style="17" bestFit="1" customWidth="1"/>
    <col min="2" max="2" width="22" hidden="1" customWidth="1"/>
    <col min="3" max="4" width="23.25" hidden="1" customWidth="1"/>
    <col min="5" max="5" width="20.75" bestFit="1" customWidth="1"/>
    <col min="6" max="6" width="22" hidden="1" customWidth="1"/>
    <col min="7" max="8" width="20.75" hidden="1" customWidth="1"/>
    <col min="9" max="9" width="20.75" bestFit="1" customWidth="1"/>
    <col min="10" max="12" width="20.75" hidden="1" customWidth="1"/>
    <col min="13" max="13" width="20.75" bestFit="1" customWidth="1"/>
    <col min="14" max="16" width="20.75" hidden="1" customWidth="1"/>
    <col min="17" max="17" width="19.5" bestFit="1" customWidth="1"/>
    <col min="18" max="20" width="20.75" hidden="1" customWidth="1"/>
    <col min="21" max="21" width="19.5" bestFit="1" customWidth="1"/>
    <col min="22" max="22" width="19.5" hidden="1" customWidth="1"/>
    <col min="23" max="24" width="20.75" hidden="1" customWidth="1"/>
    <col min="25" max="25" width="20.75" bestFit="1" customWidth="1"/>
    <col min="26" max="28" width="20.75" hidden="1" customWidth="1"/>
    <col min="29" max="29" width="19.5" bestFit="1" customWidth="1"/>
    <col min="30" max="32" width="20.75" hidden="1" customWidth="1"/>
    <col min="33" max="33" width="19.5" bestFit="1" customWidth="1"/>
    <col min="34" max="34" width="19.5" hidden="1" customWidth="1"/>
    <col min="35" max="36" width="20.75" hidden="1" customWidth="1"/>
    <col min="37" max="37" width="20.75" bestFit="1" customWidth="1"/>
    <col min="38" max="40" width="20.75" hidden="1" customWidth="1"/>
    <col min="41" max="41" width="20.75" bestFit="1" customWidth="1"/>
    <col min="42" max="44" width="20.75" hidden="1" customWidth="1"/>
    <col min="45" max="45" width="19.5" bestFit="1" customWidth="1"/>
    <col min="46" max="46" width="20.75" hidden="1" customWidth="1"/>
    <col min="47" max="48" width="19.5" hidden="1" customWidth="1"/>
    <col min="49" max="49" width="19.5" bestFit="1" customWidth="1"/>
    <col min="50" max="52" width="19.5" hidden="1" customWidth="1"/>
    <col min="53" max="53" width="19.5" bestFit="1" customWidth="1"/>
    <col min="54" max="56" width="19.5" hidden="1" customWidth="1"/>
    <col min="57" max="57" width="19.5" bestFit="1" customWidth="1"/>
    <col min="58" max="60" width="19.5" hidden="1" customWidth="1"/>
    <col min="61" max="61" width="19.5" bestFit="1" customWidth="1"/>
    <col min="62" max="64" width="19.5" hidden="1" customWidth="1"/>
    <col min="65" max="65" width="19.5" bestFit="1" customWidth="1"/>
    <col min="66" max="68" width="19.5" hidden="1" customWidth="1"/>
    <col min="69" max="69" width="19.5" bestFit="1" customWidth="1"/>
    <col min="70" max="70" width="19.5" hidden="1" customWidth="1"/>
    <col min="71" max="71" width="18.25" bestFit="1" customWidth="1"/>
    <col min="72" max="72" width="19.5" hidden="1" customWidth="1"/>
    <col min="73" max="73" width="18.25" bestFit="1" customWidth="1"/>
    <col min="74" max="74" width="19.5" hidden="1" customWidth="1"/>
    <col min="75" max="75" width="18.25" bestFit="1" customWidth="1"/>
    <col min="76" max="76" width="19.5" hidden="1" customWidth="1"/>
    <col min="77" max="77" width="18.25" bestFit="1" customWidth="1"/>
    <col min="78" max="78" width="19.5" hidden="1" customWidth="1"/>
    <col min="79" max="79" width="18.25" bestFit="1" customWidth="1"/>
    <col min="80" max="80" width="18.25" hidden="1" customWidth="1"/>
    <col min="81" max="81" width="18.25" bestFit="1" customWidth="1"/>
    <col min="82" max="82" width="18.25" hidden="1" customWidth="1"/>
    <col min="83" max="86" width="18.25" bestFit="1" customWidth="1"/>
    <col min="87" max="87" width="9.625" hidden="1" customWidth="1"/>
    <col min="88" max="88" width="18.25" bestFit="1" customWidth="1"/>
    <col min="89" max="89" width="9.625" bestFit="1" customWidth="1"/>
  </cols>
  <sheetData>
    <row r="1" spans="1:89" ht="14.45">
      <c r="A1" s="17">
        <v>50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34334</v>
      </c>
      <c r="CG1" s="1">
        <v>33969</v>
      </c>
      <c r="CH1" s="1">
        <v>33603</v>
      </c>
      <c r="CI1" s="1">
        <v>25569</v>
      </c>
      <c r="CJ1" s="1"/>
      <c r="CK1" s="1"/>
    </row>
    <row r="2" spans="1:89">
      <c r="A2" s="17" t="s">
        <v>84</v>
      </c>
    </row>
    <row r="3" spans="1:89" s="6" customFormat="1">
      <c r="A3" s="18" t="s">
        <v>85</v>
      </c>
    </row>
    <row r="4" spans="1:89">
      <c r="A4" s="17" t="s">
        <v>384</v>
      </c>
      <c r="B4" s="189">
        <v>21739416742.669998</v>
      </c>
      <c r="C4" s="189">
        <v>13975822553.030001</v>
      </c>
      <c r="D4" s="189">
        <v>6573890689.21</v>
      </c>
      <c r="E4" s="189">
        <v>14012500489.6</v>
      </c>
      <c r="F4" s="189">
        <v>10101263607.549999</v>
      </c>
      <c r="G4" s="189">
        <v>6204369367.1700001</v>
      </c>
      <c r="H4" s="189">
        <v>2902672264.27</v>
      </c>
      <c r="I4" s="189">
        <v>10736756430.530001</v>
      </c>
      <c r="J4" s="189">
        <v>7753412466.4899998</v>
      </c>
      <c r="K4" s="189">
        <v>4970453217</v>
      </c>
      <c r="L4" s="189">
        <v>2451540177.1700001</v>
      </c>
      <c r="M4" s="189">
        <v>10530002724</v>
      </c>
      <c r="N4" s="189">
        <v>7798701732.9399996</v>
      </c>
      <c r="O4" s="189">
        <v>5137805297</v>
      </c>
      <c r="P4" s="189">
        <v>2440217347.02</v>
      </c>
      <c r="Q4" s="189">
        <v>9322363339</v>
      </c>
      <c r="R4" s="189">
        <v>6534329893.3699999</v>
      </c>
      <c r="S4" s="189">
        <v>2485591860</v>
      </c>
      <c r="T4" s="189">
        <v>1179748523.6800001</v>
      </c>
      <c r="U4" s="189">
        <v>4519377681</v>
      </c>
      <c r="V4" s="189">
        <v>3497195925</v>
      </c>
      <c r="W4" s="189">
        <v>2251106750</v>
      </c>
      <c r="X4" s="189">
        <v>1040384420.38</v>
      </c>
      <c r="Y4" s="189">
        <v>4333544367</v>
      </c>
      <c r="Z4" s="189">
        <v>3309222233</v>
      </c>
      <c r="AA4" s="189">
        <v>2237318777</v>
      </c>
      <c r="AB4" s="189">
        <v>983311090.32000005</v>
      </c>
      <c r="AC4" s="189">
        <v>4614967219</v>
      </c>
      <c r="AD4" s="189">
        <v>3351943781.3899999</v>
      </c>
      <c r="AE4" s="189">
        <v>2109214855</v>
      </c>
      <c r="AF4" s="189">
        <v>1016773975.08</v>
      </c>
      <c r="AG4" s="189">
        <v>3454211508</v>
      </c>
      <c r="AH4" s="189">
        <v>2331874989.3000002</v>
      </c>
      <c r="AI4" s="189">
        <v>1482501080.6800001</v>
      </c>
      <c r="AJ4" s="189">
        <v>654990128.36000001</v>
      </c>
      <c r="AK4" s="189">
        <v>2190447604.0900002</v>
      </c>
      <c r="AL4" s="189">
        <v>1582234481.26</v>
      </c>
      <c r="AM4" s="189">
        <v>877566161.70000005</v>
      </c>
      <c r="AN4" s="189">
        <v>348986536.45999998</v>
      </c>
      <c r="AO4" s="189">
        <v>1376252455.3199999</v>
      </c>
      <c r="AP4" s="189">
        <v>1039055393.03</v>
      </c>
      <c r="AQ4" s="189">
        <v>688263087.98000002</v>
      </c>
      <c r="AR4" s="189">
        <v>345739706.98000002</v>
      </c>
      <c r="AS4" s="189">
        <v>1721551769.9000001</v>
      </c>
      <c r="AT4" s="189">
        <v>1233069401.45</v>
      </c>
      <c r="AU4" s="189">
        <v>766793416.89999998</v>
      </c>
      <c r="AV4" s="189">
        <v>353680370.72000003</v>
      </c>
      <c r="AW4" s="189">
        <v>1511181193.1300001</v>
      </c>
      <c r="AX4" s="189">
        <v>1021355833.87</v>
      </c>
      <c r="AY4" s="189">
        <v>640682641.66999996</v>
      </c>
      <c r="AZ4" s="189">
        <v>252638836.43000001</v>
      </c>
      <c r="BA4" s="189">
        <v>1102472837.22</v>
      </c>
      <c r="BB4" s="189">
        <v>757278828.25999999</v>
      </c>
      <c r="BC4" s="189">
        <v>525047305.04000002</v>
      </c>
      <c r="BD4" s="189">
        <v>235781336</v>
      </c>
      <c r="BE4" s="189">
        <v>1070912713.53</v>
      </c>
      <c r="BF4" s="189">
        <v>658451923.87</v>
      </c>
      <c r="BG4" s="189">
        <v>440634384.5</v>
      </c>
      <c r="BH4" s="189">
        <v>175134049.22999999</v>
      </c>
      <c r="BI4" s="189">
        <v>635780184.69000006</v>
      </c>
      <c r="BJ4" s="189">
        <v>444161175.67000002</v>
      </c>
      <c r="BK4" s="189">
        <v>259543114.94999999</v>
      </c>
      <c r="BL4" s="189">
        <v>108906147.65000001</v>
      </c>
      <c r="BM4" s="189">
        <v>325573860.41000003</v>
      </c>
      <c r="BN4" s="189">
        <v>242239931.31999999</v>
      </c>
      <c r="BO4" s="189">
        <v>150534298.19999999</v>
      </c>
      <c r="BP4" s="189">
        <v>64662895.729999997</v>
      </c>
      <c r="BQ4" s="189">
        <v>278936200.85000002</v>
      </c>
      <c r="BR4" s="189">
        <v>151843112.88999999</v>
      </c>
      <c r="BS4" s="189">
        <v>317613770.89999998</v>
      </c>
      <c r="BT4" s="189">
        <v>155847802.03</v>
      </c>
      <c r="BU4" s="189">
        <v>269058645.97000003</v>
      </c>
      <c r="BV4" s="189">
        <v>123867036.98</v>
      </c>
      <c r="BW4" s="189">
        <v>172359929.78999999</v>
      </c>
      <c r="BX4" s="189">
        <v>96802269.069999993</v>
      </c>
      <c r="BY4" s="189">
        <v>219024479.13999999</v>
      </c>
      <c r="BZ4" s="189">
        <v>104071345.44</v>
      </c>
      <c r="CA4" s="189">
        <v>153766691.63999999</v>
      </c>
      <c r="CB4" s="189">
        <v>65350000</v>
      </c>
      <c r="CC4" s="189">
        <v>150277584.41999999</v>
      </c>
      <c r="CD4" s="189">
        <v>72860000</v>
      </c>
      <c r="CE4" s="189">
        <v>172102849.21000001</v>
      </c>
      <c r="CF4" s="189">
        <v>134608301.97</v>
      </c>
      <c r="CG4" s="189">
        <v>110910400</v>
      </c>
      <c r="CH4" s="189">
        <v>59300500</v>
      </c>
      <c r="CI4" s="189">
        <v>0</v>
      </c>
      <c r="CJ4" s="189"/>
      <c r="CK4" s="189"/>
    </row>
    <row r="5" spans="1:89">
      <c r="A5" s="19" t="s">
        <v>385</v>
      </c>
      <c r="B5" s="189">
        <v>18378750212.439999</v>
      </c>
      <c r="C5" s="189">
        <v>11836037125.93</v>
      </c>
      <c r="D5" s="189">
        <v>5538786709.4499998</v>
      </c>
      <c r="E5" s="189">
        <v>11090998905.58</v>
      </c>
      <c r="F5" s="189">
        <v>7957111655.1599998</v>
      </c>
      <c r="G5" s="189">
        <v>4831519743.2299995</v>
      </c>
      <c r="H5" s="189">
        <v>2233500029.1700001</v>
      </c>
      <c r="I5" s="189">
        <v>8569738675.75</v>
      </c>
      <c r="J5" s="189">
        <v>6219877948.6300001</v>
      </c>
      <c r="K5" s="189">
        <v>3981758424</v>
      </c>
      <c r="L5" s="189">
        <v>1973339656.6500001</v>
      </c>
      <c r="M5" s="189">
        <v>8809723501</v>
      </c>
      <c r="N5" s="189">
        <v>6474105825.6199999</v>
      </c>
      <c r="O5" s="189">
        <v>4290191837</v>
      </c>
      <c r="P5" s="189">
        <v>2018137160.51</v>
      </c>
      <c r="Q5" s="189">
        <v>7583469512</v>
      </c>
      <c r="R5" s="189">
        <v>5200557948.0799999</v>
      </c>
      <c r="S5" s="189">
        <v>1978256079</v>
      </c>
      <c r="T5" s="189">
        <v>949721061.24000001</v>
      </c>
      <c r="U5" s="189">
        <v>3699343634</v>
      </c>
      <c r="V5" s="189">
        <v>2903216446</v>
      </c>
      <c r="W5" s="189">
        <v>1879321834</v>
      </c>
      <c r="X5" s="189">
        <v>889651839.38</v>
      </c>
      <c r="Y5" s="189">
        <v>3710965307</v>
      </c>
      <c r="Z5" s="189">
        <v>2842770554</v>
      </c>
      <c r="AA5" s="189">
        <v>1950502608</v>
      </c>
      <c r="AB5" s="189">
        <v>893446570.84000003</v>
      </c>
      <c r="AC5" s="189">
        <v>4067266812</v>
      </c>
      <c r="AD5" s="189">
        <v>2923463345.8800001</v>
      </c>
      <c r="AE5" s="189">
        <v>1814607570</v>
      </c>
      <c r="AF5" s="189">
        <v>885449169.89999998</v>
      </c>
      <c r="AG5" s="189">
        <v>2903758242</v>
      </c>
      <c r="AH5" s="189">
        <v>1931085020.97</v>
      </c>
      <c r="AI5" s="189">
        <v>1234888962.49</v>
      </c>
      <c r="AJ5" s="189">
        <v>570656934.16999996</v>
      </c>
      <c r="AK5" s="189">
        <v>2103463504.24</v>
      </c>
      <c r="AL5" s="189">
        <v>1539537001.5</v>
      </c>
      <c r="AM5" s="189">
        <v>913852280.34000003</v>
      </c>
      <c r="AN5" s="189">
        <v>385272873.02999997</v>
      </c>
      <c r="AO5" s="189">
        <v>1212670645.51</v>
      </c>
      <c r="AP5" s="189">
        <v>897299345.59000003</v>
      </c>
      <c r="AQ5" s="189">
        <v>580463331.17999995</v>
      </c>
      <c r="AR5" s="189">
        <v>292928793.81</v>
      </c>
      <c r="AS5" s="189">
        <v>1447665821.4400001</v>
      </c>
      <c r="AT5" s="189">
        <v>1038589737.84</v>
      </c>
      <c r="AU5" s="189">
        <v>639585374.01999998</v>
      </c>
      <c r="AV5" s="189">
        <v>294623899.29000002</v>
      </c>
      <c r="AW5" s="189">
        <v>1232007100.49</v>
      </c>
      <c r="AX5" s="189">
        <v>821974717.88</v>
      </c>
      <c r="AY5" s="189">
        <v>518568112.83999997</v>
      </c>
      <c r="AZ5" s="189">
        <v>204774076</v>
      </c>
      <c r="BA5" s="189">
        <v>914092649.19000006</v>
      </c>
      <c r="BB5" s="189">
        <v>632616397.76999998</v>
      </c>
      <c r="BC5" s="189">
        <v>433922447.14999998</v>
      </c>
      <c r="BD5" s="189">
        <v>192465803.43000001</v>
      </c>
      <c r="BE5" s="189">
        <v>851118025.92999995</v>
      </c>
      <c r="BF5" s="189">
        <v>529052950.43000001</v>
      </c>
      <c r="BG5" s="189">
        <v>349747987.5</v>
      </c>
      <c r="BH5" s="189">
        <v>139734767.99000001</v>
      </c>
      <c r="BI5" s="189">
        <v>498281218.69999999</v>
      </c>
      <c r="BJ5" s="189">
        <v>354609679.56999999</v>
      </c>
      <c r="BK5" s="189">
        <v>197952959.43000001</v>
      </c>
      <c r="BL5" s="189">
        <v>79725639.400000006</v>
      </c>
      <c r="BM5" s="189">
        <v>257169236.63999999</v>
      </c>
      <c r="BN5" s="189">
        <v>188066429.68000001</v>
      </c>
      <c r="BO5" s="189">
        <v>116288685.59</v>
      </c>
      <c r="BP5" s="189">
        <v>48795219.490000002</v>
      </c>
      <c r="BQ5" s="189">
        <v>228096073.81999999</v>
      </c>
      <c r="BR5" s="189">
        <v>116264848.81</v>
      </c>
      <c r="BS5" s="189">
        <v>245698330.44999999</v>
      </c>
      <c r="BT5" s="189">
        <v>121763071.65000001</v>
      </c>
      <c r="BU5" s="189">
        <v>215152248.36000001</v>
      </c>
      <c r="BV5" s="189">
        <v>98777194.159999996</v>
      </c>
      <c r="BW5" s="189">
        <v>121967726.47</v>
      </c>
      <c r="BX5" s="189">
        <v>68453618.700000003</v>
      </c>
      <c r="BY5" s="189">
        <v>147121164.18000001</v>
      </c>
      <c r="BZ5" s="189">
        <v>0</v>
      </c>
      <c r="CA5" s="189">
        <v>113422664.66</v>
      </c>
      <c r="CB5" s="189">
        <v>0</v>
      </c>
      <c r="CC5" s="189">
        <v>91668806.090000004</v>
      </c>
      <c r="CD5" s="189">
        <v>0</v>
      </c>
      <c r="CE5" s="189">
        <v>103241992.44</v>
      </c>
      <c r="CF5" s="189">
        <v>91356905.969999999</v>
      </c>
      <c r="CG5" s="189">
        <v>79129800</v>
      </c>
      <c r="CH5" s="189">
        <v>43869100</v>
      </c>
      <c r="CI5" s="189">
        <v>0</v>
      </c>
      <c r="CJ5" s="189"/>
      <c r="CK5" s="189"/>
    </row>
    <row r="6" spans="1:89" s="3" customFormat="1">
      <c r="A6" s="20" t="s">
        <v>386</v>
      </c>
      <c r="B6" s="27">
        <f>B4-B5</f>
        <v>3360666530.2299995</v>
      </c>
      <c r="C6" s="27">
        <f t="shared" ref="C6:BN6" si="0">C4-C5</f>
        <v>2139785427.1000004</v>
      </c>
      <c r="D6" s="27">
        <f t="shared" si="0"/>
        <v>1035103979.7600002</v>
      </c>
      <c r="E6" s="27">
        <f t="shared" si="0"/>
        <v>2921501584.0200005</v>
      </c>
      <c r="F6" s="27">
        <f t="shared" si="0"/>
        <v>2144151952.3899994</v>
      </c>
      <c r="G6" s="27">
        <f t="shared" si="0"/>
        <v>1372849623.9400005</v>
      </c>
      <c r="H6" s="27">
        <f t="shared" si="0"/>
        <v>669172235.0999999</v>
      </c>
      <c r="I6" s="27">
        <f t="shared" si="0"/>
        <v>2167017754.7800007</v>
      </c>
      <c r="J6" s="27">
        <f t="shared" si="0"/>
        <v>1533534517.8599997</v>
      </c>
      <c r="K6" s="27">
        <f t="shared" si="0"/>
        <v>988694793</v>
      </c>
      <c r="L6" s="27">
        <f t="shared" si="0"/>
        <v>478200520.51999998</v>
      </c>
      <c r="M6" s="27">
        <f t="shared" si="0"/>
        <v>1720279223</v>
      </c>
      <c r="N6" s="27">
        <f t="shared" si="0"/>
        <v>1324595907.3199997</v>
      </c>
      <c r="O6" s="27">
        <f t="shared" si="0"/>
        <v>847613460</v>
      </c>
      <c r="P6" s="27">
        <f t="shared" si="0"/>
        <v>422080186.50999999</v>
      </c>
      <c r="Q6" s="27">
        <f t="shared" si="0"/>
        <v>1738893827</v>
      </c>
      <c r="R6" s="27">
        <f t="shared" si="0"/>
        <v>1333771945.29</v>
      </c>
      <c r="S6" s="27">
        <f t="shared" si="0"/>
        <v>507335781</v>
      </c>
      <c r="T6" s="27">
        <f t="shared" si="0"/>
        <v>230027462.44000006</v>
      </c>
      <c r="U6" s="27">
        <f t="shared" si="0"/>
        <v>820034047</v>
      </c>
      <c r="V6" s="27">
        <f t="shared" si="0"/>
        <v>593979479</v>
      </c>
      <c r="W6" s="27">
        <f t="shared" si="0"/>
        <v>371784916</v>
      </c>
      <c r="X6" s="27">
        <f t="shared" si="0"/>
        <v>150732581</v>
      </c>
      <c r="Y6" s="27">
        <f t="shared" si="0"/>
        <v>622579060</v>
      </c>
      <c r="Z6" s="27">
        <f t="shared" si="0"/>
        <v>466451679</v>
      </c>
      <c r="AA6" s="27">
        <f t="shared" si="0"/>
        <v>286816169</v>
      </c>
      <c r="AB6" s="27">
        <f t="shared" si="0"/>
        <v>89864519.480000019</v>
      </c>
      <c r="AC6" s="27">
        <f t="shared" si="0"/>
        <v>547700407</v>
      </c>
      <c r="AD6" s="27">
        <f t="shared" si="0"/>
        <v>428480435.50999975</v>
      </c>
      <c r="AE6" s="27">
        <f t="shared" si="0"/>
        <v>294607285</v>
      </c>
      <c r="AF6" s="27">
        <f t="shared" si="0"/>
        <v>131324805.18000007</v>
      </c>
      <c r="AG6" s="27">
        <f t="shared" si="0"/>
        <v>550453266</v>
      </c>
      <c r="AH6" s="27">
        <f t="shared" si="0"/>
        <v>400789968.33000016</v>
      </c>
      <c r="AI6" s="27">
        <f t="shared" si="0"/>
        <v>247612118.19000006</v>
      </c>
      <c r="AJ6" s="27">
        <f t="shared" si="0"/>
        <v>84333194.190000057</v>
      </c>
      <c r="AK6" s="27">
        <f t="shared" si="0"/>
        <v>86984099.850000143</v>
      </c>
      <c r="AL6" s="27">
        <f t="shared" si="0"/>
        <v>42697479.75999999</v>
      </c>
      <c r="AM6" s="27">
        <f t="shared" si="0"/>
        <v>-36286118.639999986</v>
      </c>
      <c r="AN6" s="27">
        <f t="shared" si="0"/>
        <v>-36286336.569999993</v>
      </c>
      <c r="AO6" s="27">
        <f t="shared" si="0"/>
        <v>163581809.80999994</v>
      </c>
      <c r="AP6" s="27">
        <f t="shared" si="0"/>
        <v>141756047.43999994</v>
      </c>
      <c r="AQ6" s="27">
        <f t="shared" si="0"/>
        <v>107799756.80000007</v>
      </c>
      <c r="AR6" s="27">
        <f t="shared" si="0"/>
        <v>52810913.170000017</v>
      </c>
      <c r="AS6" s="27">
        <f t="shared" si="0"/>
        <v>273885948.46000004</v>
      </c>
      <c r="AT6" s="27">
        <f t="shared" si="0"/>
        <v>194479663.61000001</v>
      </c>
      <c r="AU6" s="27">
        <f t="shared" si="0"/>
        <v>127208042.88</v>
      </c>
      <c r="AV6" s="27">
        <f t="shared" si="0"/>
        <v>59056471.430000007</v>
      </c>
      <c r="AW6" s="27">
        <f t="shared" si="0"/>
        <v>279174092.6400001</v>
      </c>
      <c r="AX6" s="27">
        <f t="shared" si="0"/>
        <v>199381115.99000001</v>
      </c>
      <c r="AY6" s="27">
        <f t="shared" si="0"/>
        <v>122114528.82999998</v>
      </c>
      <c r="AZ6" s="27">
        <f t="shared" si="0"/>
        <v>47864760.430000007</v>
      </c>
      <c r="BA6" s="27">
        <f t="shared" si="0"/>
        <v>188380188.02999997</v>
      </c>
      <c r="BB6" s="27">
        <f t="shared" si="0"/>
        <v>124662430.49000001</v>
      </c>
      <c r="BC6" s="27">
        <f t="shared" si="0"/>
        <v>91124857.890000045</v>
      </c>
      <c r="BD6" s="27">
        <f t="shared" si="0"/>
        <v>43315532.569999993</v>
      </c>
      <c r="BE6" s="27">
        <f t="shared" si="0"/>
        <v>219794687.60000002</v>
      </c>
      <c r="BF6" s="27">
        <f t="shared" si="0"/>
        <v>129398973.44</v>
      </c>
      <c r="BG6" s="27">
        <f t="shared" si="0"/>
        <v>90886397</v>
      </c>
      <c r="BH6" s="27">
        <f t="shared" si="0"/>
        <v>35399281.23999998</v>
      </c>
      <c r="BI6" s="27">
        <f t="shared" si="0"/>
        <v>137498965.99000007</v>
      </c>
      <c r="BJ6" s="27">
        <f t="shared" si="0"/>
        <v>89551496.100000024</v>
      </c>
      <c r="BK6" s="27">
        <f t="shared" si="0"/>
        <v>61590155.519999981</v>
      </c>
      <c r="BL6" s="27">
        <f t="shared" si="0"/>
        <v>29180508.25</v>
      </c>
      <c r="BM6" s="27">
        <f t="shared" si="0"/>
        <v>68404623.770000041</v>
      </c>
      <c r="BN6" s="27">
        <f t="shared" si="0"/>
        <v>54173501.639999986</v>
      </c>
      <c r="BO6" s="27">
        <f t="shared" ref="BO6:CK6" si="1">BO4-BO5</f>
        <v>34245612.609999985</v>
      </c>
      <c r="BP6" s="27">
        <f t="shared" si="1"/>
        <v>15867676.239999995</v>
      </c>
      <c r="BQ6" s="27">
        <f t="shared" si="1"/>
        <v>50840127.030000031</v>
      </c>
      <c r="BR6" s="27">
        <f t="shared" si="1"/>
        <v>35578264.079999983</v>
      </c>
      <c r="BS6" s="27">
        <f t="shared" si="1"/>
        <v>71915440.449999988</v>
      </c>
      <c r="BT6" s="27">
        <f t="shared" si="1"/>
        <v>34084730.379999995</v>
      </c>
      <c r="BU6" s="27">
        <f t="shared" si="1"/>
        <v>53906397.610000014</v>
      </c>
      <c r="BV6" s="27">
        <f t="shared" si="1"/>
        <v>25089842.820000008</v>
      </c>
      <c r="BW6" s="27">
        <f t="shared" si="1"/>
        <v>50392203.319999993</v>
      </c>
      <c r="BX6" s="27">
        <f t="shared" si="1"/>
        <v>28348650.36999999</v>
      </c>
      <c r="BY6" s="27">
        <f t="shared" si="1"/>
        <v>71903314.959999979</v>
      </c>
      <c r="BZ6" s="27">
        <f t="shared" si="1"/>
        <v>104071345.44</v>
      </c>
      <c r="CA6" s="27">
        <f t="shared" si="1"/>
        <v>40344026.979999989</v>
      </c>
      <c r="CB6" s="27">
        <f t="shared" si="1"/>
        <v>65350000</v>
      </c>
      <c r="CC6" s="27">
        <f t="shared" si="1"/>
        <v>58608778.329999983</v>
      </c>
      <c r="CD6" s="27">
        <f t="shared" si="1"/>
        <v>72860000</v>
      </c>
      <c r="CE6" s="27">
        <f t="shared" si="1"/>
        <v>68860856.770000011</v>
      </c>
      <c r="CF6" s="27">
        <f t="shared" si="1"/>
        <v>43251396</v>
      </c>
      <c r="CG6" s="27">
        <f t="shared" si="1"/>
        <v>31780600</v>
      </c>
      <c r="CH6" s="27">
        <f t="shared" si="1"/>
        <v>15431400</v>
      </c>
      <c r="CI6" s="27">
        <f t="shared" si="1"/>
        <v>0</v>
      </c>
      <c r="CJ6" s="27">
        <f t="shared" si="1"/>
        <v>0</v>
      </c>
      <c r="CK6" s="27">
        <f t="shared" si="1"/>
        <v>0</v>
      </c>
    </row>
    <row r="7" spans="1:89" s="57" customFormat="1">
      <c r="A7" s="57" t="s">
        <v>387</v>
      </c>
      <c r="B7" s="57">
        <f>B6/B4*100</f>
        <v>15.458862443322607</v>
      </c>
      <c r="C7" s="57">
        <f t="shared" ref="C7:D7" si="2">C6/C4*100</f>
        <v>15.310622462332912</v>
      </c>
      <c r="D7" s="57">
        <f t="shared" si="2"/>
        <v>15.745682864166868</v>
      </c>
      <c r="E7" s="57">
        <f>E6/E4</f>
        <v>0.20849252324296599</v>
      </c>
      <c r="F7" s="57">
        <f t="shared" ref="F7:BQ7" si="3">F6/F4</f>
        <v>0.21226571602263636</v>
      </c>
      <c r="G7" s="57">
        <f t="shared" si="3"/>
        <v>0.22127142062243121</v>
      </c>
      <c r="H7" s="57">
        <f t="shared" si="3"/>
        <v>0.23053661391162658</v>
      </c>
      <c r="I7" s="57">
        <f t="shared" si="3"/>
        <v>0.20183169552194355</v>
      </c>
      <c r="J7" s="57">
        <f t="shared" si="3"/>
        <v>0.19778833184586617</v>
      </c>
      <c r="K7" s="57">
        <f t="shared" si="3"/>
        <v>0.19891441480999256</v>
      </c>
      <c r="L7" s="57">
        <f t="shared" si="3"/>
        <v>0.19506126188477291</v>
      </c>
      <c r="M7" s="57">
        <f t="shared" si="3"/>
        <v>0.16336930465166327</v>
      </c>
      <c r="N7" s="57">
        <f t="shared" si="3"/>
        <v>0.16984825842552717</v>
      </c>
      <c r="O7" s="57">
        <f t="shared" si="3"/>
        <v>0.16497578460104889</v>
      </c>
      <c r="P7" s="57">
        <f t="shared" si="3"/>
        <v>0.17296827556178365</v>
      </c>
      <c r="Q7" s="57">
        <f t="shared" si="3"/>
        <v>0.1865292913145058</v>
      </c>
      <c r="R7" s="57">
        <f t="shared" si="3"/>
        <v>0.20411763211454934</v>
      </c>
      <c r="S7" s="57">
        <f t="shared" si="3"/>
        <v>0.20411065435336595</v>
      </c>
      <c r="T7" s="57">
        <f t="shared" si="3"/>
        <v>0.19498008077388676</v>
      </c>
      <c r="U7" s="57">
        <f t="shared" si="3"/>
        <v>0.18144844376417585</v>
      </c>
      <c r="V7" s="57">
        <f t="shared" si="3"/>
        <v>0.16984449591568135</v>
      </c>
      <c r="W7" s="57">
        <f t="shared" si="3"/>
        <v>0.16515650179628311</v>
      </c>
      <c r="X7" s="57">
        <f t="shared" si="3"/>
        <v>0.14488162072337163</v>
      </c>
      <c r="Y7" s="57">
        <f t="shared" si="3"/>
        <v>0.14366509426808874</v>
      </c>
      <c r="Z7" s="57">
        <f t="shared" si="3"/>
        <v>0.14095507831069259</v>
      </c>
      <c r="AA7" s="57">
        <f t="shared" si="3"/>
        <v>0.12819638039447787</v>
      </c>
      <c r="AB7" s="57">
        <f t="shared" si="3"/>
        <v>9.1389714165387173E-2</v>
      </c>
      <c r="AC7" s="57">
        <f t="shared" si="3"/>
        <v>0.11867915437082545</v>
      </c>
      <c r="AD7" s="57">
        <f t="shared" si="3"/>
        <v>0.12783043614541634</v>
      </c>
      <c r="AE7" s="57">
        <f t="shared" si="3"/>
        <v>0.13967628015781255</v>
      </c>
      <c r="AF7" s="57">
        <f t="shared" si="3"/>
        <v>0.12915830695771632</v>
      </c>
      <c r="AG7" s="57">
        <f t="shared" si="3"/>
        <v>0.15935713974814306</v>
      </c>
      <c r="AH7" s="57">
        <f t="shared" si="3"/>
        <v>0.17187455166724538</v>
      </c>
      <c r="AI7" s="57">
        <f t="shared" si="3"/>
        <v>0.16702322947139051</v>
      </c>
      <c r="AJ7" s="57">
        <f t="shared" si="3"/>
        <v>0.12875490872077433</v>
      </c>
      <c r="AK7" s="57">
        <f t="shared" si="3"/>
        <v>3.9710650776390896E-2</v>
      </c>
      <c r="AL7" s="57">
        <f t="shared" si="3"/>
        <v>2.6985557618487865E-2</v>
      </c>
      <c r="AM7" s="57">
        <f t="shared" si="3"/>
        <v>-4.1348584555388271E-2</v>
      </c>
      <c r="AN7" s="57">
        <f t="shared" si="3"/>
        <v>-0.10397632223316171</v>
      </c>
      <c r="AO7" s="57">
        <f t="shared" si="3"/>
        <v>0.11886032186730207</v>
      </c>
      <c r="AP7" s="57">
        <f t="shared" si="3"/>
        <v>0.13642780586184505</v>
      </c>
      <c r="AQ7" s="57">
        <f t="shared" si="3"/>
        <v>0.15662580005036184</v>
      </c>
      <c r="AR7" s="57">
        <f t="shared" si="3"/>
        <v>0.15274760782120686</v>
      </c>
      <c r="AS7" s="57">
        <f t="shared" si="3"/>
        <v>0.15909248461108391</v>
      </c>
      <c r="AT7" s="57">
        <f t="shared" si="3"/>
        <v>0.15771996562505408</v>
      </c>
      <c r="AU7" s="57">
        <f t="shared" si="3"/>
        <v>0.16589610718657175</v>
      </c>
      <c r="AV7" s="57">
        <f t="shared" si="3"/>
        <v>0.16697695523722902</v>
      </c>
      <c r="AW7" s="57">
        <f t="shared" si="3"/>
        <v>0.18473899351656636</v>
      </c>
      <c r="AX7" s="57">
        <f t="shared" si="3"/>
        <v>0.19521219674687598</v>
      </c>
      <c r="AY7" s="57">
        <f t="shared" si="3"/>
        <v>0.19060065137974849</v>
      </c>
      <c r="AZ7" s="57">
        <f t="shared" si="3"/>
        <v>0.18945923400522846</v>
      </c>
      <c r="BA7" s="57">
        <f t="shared" si="3"/>
        <v>0.17087059351504769</v>
      </c>
      <c r="BB7" s="57">
        <f t="shared" si="3"/>
        <v>0.16461893009268058</v>
      </c>
      <c r="BC7" s="57">
        <f t="shared" si="3"/>
        <v>0.17355551969371183</v>
      </c>
      <c r="BD7" s="57">
        <f t="shared" si="3"/>
        <v>0.18371060790833754</v>
      </c>
      <c r="BE7" s="57">
        <f t="shared" si="3"/>
        <v>0.20524052504288701</v>
      </c>
      <c r="BF7" s="57">
        <f t="shared" si="3"/>
        <v>0.1965200020670721</v>
      </c>
      <c r="BG7" s="57">
        <f t="shared" si="3"/>
        <v>0.20626260727049547</v>
      </c>
      <c r="BH7" s="57">
        <f t="shared" si="3"/>
        <v>0.20212677886246336</v>
      </c>
      <c r="BI7" s="57">
        <f t="shared" si="3"/>
        <v>0.21626808966536629</v>
      </c>
      <c r="BJ7" s="57">
        <f t="shared" si="3"/>
        <v>0.20161936928619445</v>
      </c>
      <c r="BK7" s="57">
        <f t="shared" si="3"/>
        <v>0.23730221289771103</v>
      </c>
      <c r="BL7" s="57">
        <f t="shared" si="3"/>
        <v>0.26794179097932674</v>
      </c>
      <c r="BM7" s="57">
        <f t="shared" si="3"/>
        <v>0.21010477832543767</v>
      </c>
      <c r="BN7" s="57">
        <f t="shared" si="3"/>
        <v>0.22363572076990296</v>
      </c>
      <c r="BO7" s="57">
        <f t="shared" si="3"/>
        <v>0.22749375404468447</v>
      </c>
      <c r="BP7" s="57">
        <f t="shared" si="3"/>
        <v>0.24539074628293012</v>
      </c>
      <c r="BQ7" s="57">
        <f t="shared" si="3"/>
        <v>0.18226435606090327</v>
      </c>
      <c r="BR7" s="57">
        <f t="shared" ref="BR7:CK7" si="4">BR6/BR4</f>
        <v>0.23430936973594593</v>
      </c>
      <c r="BS7" s="57">
        <f t="shared" si="4"/>
        <v>0.22642418887008023</v>
      </c>
      <c r="BT7" s="57">
        <f t="shared" si="4"/>
        <v>0.21870523636540501</v>
      </c>
      <c r="BU7" s="57">
        <f t="shared" si="4"/>
        <v>0.20035185048842685</v>
      </c>
      <c r="BV7" s="57">
        <f t="shared" si="4"/>
        <v>0.20255463787392525</v>
      </c>
      <c r="BW7" s="57">
        <f t="shared" si="4"/>
        <v>0.29236611654110606</v>
      </c>
      <c r="BX7" s="57">
        <f t="shared" si="4"/>
        <v>0.29285109370215706</v>
      </c>
      <c r="BY7" s="57">
        <f t="shared" si="4"/>
        <v>0.32828894396794583</v>
      </c>
      <c r="BZ7" s="57">
        <f t="shared" si="4"/>
        <v>1</v>
      </c>
      <c r="CA7" s="57">
        <f t="shared" si="4"/>
        <v>0.26237169148734629</v>
      </c>
      <c r="CB7" s="57">
        <f t="shared" si="4"/>
        <v>1</v>
      </c>
      <c r="CC7" s="57">
        <f t="shared" si="4"/>
        <v>0.39000346296623012</v>
      </c>
      <c r="CD7" s="57">
        <f t="shared" si="4"/>
        <v>1</v>
      </c>
      <c r="CE7" s="57">
        <f t="shared" si="4"/>
        <v>0.4001145657151553</v>
      </c>
      <c r="CF7" s="57">
        <f t="shared" si="4"/>
        <v>0.32131299011289355</v>
      </c>
      <c r="CG7" s="57">
        <f t="shared" si="4"/>
        <v>0.28654301129560439</v>
      </c>
      <c r="CH7" s="57">
        <f t="shared" si="4"/>
        <v>0.26022377551622666</v>
      </c>
      <c r="CI7" s="57" t="e">
        <f t="shared" si="4"/>
        <v>#DIV/0!</v>
      </c>
      <c r="CJ7" s="57" t="e">
        <f t="shared" si="4"/>
        <v>#DIV/0!</v>
      </c>
      <c r="CK7" s="57" t="e">
        <f t="shared" si="4"/>
        <v>#DIV/0!</v>
      </c>
    </row>
    <row r="8" spans="1:89">
      <c r="A8" s="17" t="s">
        <v>388</v>
      </c>
      <c r="B8" s="189">
        <v>107164479.18000001</v>
      </c>
      <c r="C8" s="189">
        <v>62752006.340000004</v>
      </c>
      <c r="D8" s="189">
        <v>25872263.300000001</v>
      </c>
      <c r="E8" s="189">
        <v>65156739.600000001</v>
      </c>
      <c r="F8" s="189">
        <v>49255247.539999999</v>
      </c>
      <c r="G8" s="189">
        <v>33034417.109999999</v>
      </c>
      <c r="H8" s="189">
        <v>19904288.920000002</v>
      </c>
      <c r="I8" s="189">
        <v>47959849.380000003</v>
      </c>
      <c r="J8" s="189">
        <v>15324387.130000001</v>
      </c>
      <c r="K8" s="189">
        <v>9734324</v>
      </c>
      <c r="L8" s="189">
        <v>1024711.2</v>
      </c>
      <c r="M8" s="189">
        <v>9182659</v>
      </c>
      <c r="N8" s="189">
        <v>8178970.7599999998</v>
      </c>
      <c r="O8" s="189">
        <v>6064144</v>
      </c>
      <c r="P8" s="189">
        <v>2022576.5</v>
      </c>
      <c r="Q8" s="189">
        <v>13782574</v>
      </c>
      <c r="R8" s="189">
        <v>10905591.289999999</v>
      </c>
      <c r="S8" s="189">
        <v>3068340</v>
      </c>
      <c r="T8" s="189">
        <v>1405154.3</v>
      </c>
      <c r="U8" s="189">
        <v>9525591</v>
      </c>
      <c r="V8" s="189">
        <v>7967561</v>
      </c>
      <c r="W8" s="189">
        <v>6490541</v>
      </c>
      <c r="X8" s="189">
        <v>1848052.64</v>
      </c>
      <c r="Y8" s="189">
        <v>9837982</v>
      </c>
      <c r="Z8" s="189">
        <v>7816185</v>
      </c>
      <c r="AA8" s="189">
        <v>7659550</v>
      </c>
      <c r="AB8" s="189">
        <v>3678557.94</v>
      </c>
      <c r="AC8" s="189">
        <v>13350824</v>
      </c>
      <c r="AD8" s="189">
        <v>7846345.9199999999</v>
      </c>
      <c r="AE8" s="189">
        <v>4281035</v>
      </c>
      <c r="AF8" s="189">
        <v>1516125.03</v>
      </c>
      <c r="AG8" s="189">
        <v>11092932</v>
      </c>
      <c r="AH8" s="189">
        <v>8025654.8499999996</v>
      </c>
      <c r="AI8" s="189">
        <v>5507566.4199999999</v>
      </c>
      <c r="AJ8" s="189">
        <v>3005033.98</v>
      </c>
      <c r="AK8" s="189">
        <v>3752842.66</v>
      </c>
      <c r="AL8" s="189">
        <v>1455302.17</v>
      </c>
      <c r="AM8" s="189">
        <v>848400.73</v>
      </c>
      <c r="AN8" s="189">
        <v>160894.04999999999</v>
      </c>
      <c r="AO8" s="189">
        <v>2887569.08</v>
      </c>
      <c r="AP8" s="189">
        <v>1803886.05</v>
      </c>
      <c r="AQ8" s="189">
        <v>1185554.17</v>
      </c>
      <c r="AR8" s="189">
        <v>612105.35</v>
      </c>
      <c r="AS8" s="189">
        <v>1680085.07</v>
      </c>
      <c r="AT8" s="189">
        <v>1031388.32</v>
      </c>
      <c r="AU8" s="189">
        <v>572323.92000000004</v>
      </c>
      <c r="AV8" s="189">
        <v>101181.65</v>
      </c>
      <c r="AW8" s="189">
        <v>3153744.26</v>
      </c>
      <c r="AX8" s="189">
        <v>1582886.49</v>
      </c>
      <c r="AY8" s="189">
        <v>630549.80000000005</v>
      </c>
      <c r="AZ8" s="189">
        <v>48932.53</v>
      </c>
      <c r="BA8" s="189">
        <v>2560740.37</v>
      </c>
      <c r="BB8" s="189">
        <v>859332.92</v>
      </c>
      <c r="BC8" s="189">
        <v>642444.77</v>
      </c>
      <c r="BD8" s="189">
        <v>275558.09000000003</v>
      </c>
      <c r="BE8" s="189">
        <v>1267446.1100000001</v>
      </c>
      <c r="BF8" s="189">
        <v>864179.98</v>
      </c>
      <c r="BG8" s="189">
        <v>864179.98</v>
      </c>
      <c r="BH8" s="189">
        <v>400912.64000000001</v>
      </c>
      <c r="BI8" s="189">
        <v>754846.31</v>
      </c>
      <c r="BJ8" s="189">
        <v>566455.49</v>
      </c>
      <c r="BK8" s="189">
        <v>376457.17</v>
      </c>
      <c r="BL8" s="189">
        <v>147571.66</v>
      </c>
      <c r="BM8" s="189">
        <v>200319.17</v>
      </c>
      <c r="BN8" s="189">
        <v>157341.18</v>
      </c>
      <c r="BO8" s="189">
        <v>133383.46</v>
      </c>
      <c r="BP8" s="189">
        <v>54782.67</v>
      </c>
      <c r="BQ8" s="189">
        <v>209617.88</v>
      </c>
      <c r="BR8" s="189">
        <v>193282.44</v>
      </c>
      <c r="BS8" s="189">
        <v>24377.45</v>
      </c>
      <c r="BT8" s="189">
        <v>36551.49</v>
      </c>
      <c r="BU8" s="189">
        <v>101077.69</v>
      </c>
      <c r="BV8" s="189">
        <v>36464.04</v>
      </c>
      <c r="BW8" s="189">
        <v>79334.22</v>
      </c>
      <c r="BX8" s="189">
        <v>6859.07</v>
      </c>
      <c r="BY8" s="189">
        <v>442342.3</v>
      </c>
      <c r="BZ8" s="189">
        <v>0</v>
      </c>
      <c r="CA8" s="189">
        <v>44021.57</v>
      </c>
      <c r="CB8" s="189">
        <v>0</v>
      </c>
      <c r="CC8" s="189">
        <v>31867.919999999998</v>
      </c>
      <c r="CD8" s="189">
        <v>0</v>
      </c>
      <c r="CE8" s="189">
        <v>58096.52</v>
      </c>
      <c r="CF8" s="189">
        <v>314948.40000000002</v>
      </c>
      <c r="CG8" s="189">
        <v>0</v>
      </c>
      <c r="CH8" s="189">
        <v>0</v>
      </c>
      <c r="CI8" s="189">
        <v>0</v>
      </c>
      <c r="CJ8" s="189"/>
      <c r="CK8" s="189"/>
    </row>
    <row r="9" spans="1:89">
      <c r="A9" s="17" t="s">
        <v>389</v>
      </c>
      <c r="B9" s="189">
        <v>358066986.93000001</v>
      </c>
      <c r="C9" s="189">
        <v>233408952.25999999</v>
      </c>
      <c r="D9" s="189">
        <v>99518638.689999998</v>
      </c>
      <c r="E9" s="189">
        <v>398025370.25</v>
      </c>
      <c r="F9" s="189">
        <v>273316220.35000002</v>
      </c>
      <c r="G9" s="189">
        <v>173711947.25</v>
      </c>
      <c r="H9" s="189">
        <v>80605156.439999998</v>
      </c>
      <c r="I9" s="189">
        <v>343407135.30000001</v>
      </c>
      <c r="J9" s="189">
        <v>256512247.34999999</v>
      </c>
      <c r="K9" s="189">
        <v>173621530</v>
      </c>
      <c r="L9" s="189">
        <v>85390934.840000004</v>
      </c>
      <c r="M9" s="189">
        <v>332022916</v>
      </c>
      <c r="N9" s="189">
        <v>244475744.61000001</v>
      </c>
      <c r="O9" s="189">
        <v>154791214</v>
      </c>
      <c r="P9" s="189">
        <v>66753841.109999999</v>
      </c>
      <c r="Q9" s="189">
        <v>287637540</v>
      </c>
      <c r="R9" s="189">
        <v>200395263.5</v>
      </c>
      <c r="S9" s="189">
        <v>53177659</v>
      </c>
      <c r="T9" s="189">
        <v>25467368.559999999</v>
      </c>
      <c r="U9" s="189">
        <v>96877866</v>
      </c>
      <c r="V9" s="189">
        <v>75918576</v>
      </c>
      <c r="W9" s="189">
        <v>51780772</v>
      </c>
      <c r="X9" s="189">
        <v>27560417.57</v>
      </c>
      <c r="Y9" s="189">
        <v>98707212</v>
      </c>
      <c r="Z9" s="189">
        <v>69230853</v>
      </c>
      <c r="AA9" s="189">
        <v>45057825</v>
      </c>
      <c r="AB9" s="189">
        <v>20113835.460000001</v>
      </c>
      <c r="AC9" s="189">
        <v>93659879</v>
      </c>
      <c r="AD9" s="189">
        <v>62598690.799999997</v>
      </c>
      <c r="AE9" s="189">
        <v>41739477</v>
      </c>
      <c r="AF9" s="189">
        <v>22645175.800000001</v>
      </c>
      <c r="AG9" s="189">
        <v>86971650</v>
      </c>
      <c r="AH9" s="189">
        <v>61703094.93</v>
      </c>
      <c r="AI9" s="189">
        <v>38557115.880000003</v>
      </c>
      <c r="AJ9" s="189">
        <v>17764411.579999998</v>
      </c>
      <c r="AK9" s="189">
        <v>73770678.5</v>
      </c>
      <c r="AL9" s="189">
        <v>49435345.270000003</v>
      </c>
      <c r="AM9" s="189">
        <v>29413643.030000001</v>
      </c>
      <c r="AN9" s="189">
        <v>14822606.59</v>
      </c>
      <c r="AO9" s="189">
        <v>64211958.119999997</v>
      </c>
      <c r="AP9" s="189">
        <v>40379895.560000002</v>
      </c>
      <c r="AQ9" s="189">
        <v>29289183.469999999</v>
      </c>
      <c r="AR9" s="189">
        <v>11179076.84</v>
      </c>
      <c r="AS9" s="189">
        <v>48053677.729999997</v>
      </c>
      <c r="AT9" s="189">
        <v>33041118.129999999</v>
      </c>
      <c r="AU9" s="189">
        <v>21164648.870000001</v>
      </c>
      <c r="AV9" s="189">
        <v>10201946.49</v>
      </c>
      <c r="AW9" s="189">
        <v>41181831.719999999</v>
      </c>
      <c r="AX9" s="189">
        <v>27224355.969999999</v>
      </c>
      <c r="AY9" s="189">
        <v>16354365.289999999</v>
      </c>
      <c r="AZ9" s="189">
        <v>7752813.7000000002</v>
      </c>
      <c r="BA9" s="189">
        <v>24062441.050000001</v>
      </c>
      <c r="BB9" s="189">
        <v>11378157.359999999</v>
      </c>
      <c r="BC9" s="189">
        <v>7832364.9400000004</v>
      </c>
      <c r="BD9" s="189">
        <v>4141825.6</v>
      </c>
      <c r="BE9" s="189">
        <v>16881011.260000002</v>
      </c>
      <c r="BF9" s="189">
        <v>12219897.84</v>
      </c>
      <c r="BG9" s="189">
        <v>7614422.1600000001</v>
      </c>
      <c r="BH9" s="189">
        <v>3893644.69</v>
      </c>
      <c r="BI9" s="189">
        <v>12418773.960000001</v>
      </c>
      <c r="BJ9" s="189">
        <v>8298227.1299999999</v>
      </c>
      <c r="BK9" s="189">
        <v>4888035.96</v>
      </c>
      <c r="BL9" s="189">
        <v>2374450.71</v>
      </c>
      <c r="BM9" s="189">
        <v>9197767.4100000001</v>
      </c>
      <c r="BN9" s="189">
        <v>6317396.4199999999</v>
      </c>
      <c r="BO9" s="189">
        <v>4100756.43</v>
      </c>
      <c r="BP9" s="189">
        <v>2137968.48</v>
      </c>
      <c r="BQ9" s="189">
        <v>7353414.1299999999</v>
      </c>
      <c r="BR9" s="189">
        <v>4035417.79</v>
      </c>
      <c r="BS9" s="189">
        <v>7688042.0199999996</v>
      </c>
      <c r="BT9" s="189">
        <v>3413102.5</v>
      </c>
      <c r="BU9" s="189">
        <v>7751140.0800000001</v>
      </c>
      <c r="BV9" s="189">
        <v>3251387.2</v>
      </c>
      <c r="BW9" s="189">
        <v>4768727.04</v>
      </c>
      <c r="BX9" s="189">
        <v>2441731.0299999998</v>
      </c>
      <c r="BY9" s="189">
        <v>4131141.73</v>
      </c>
      <c r="BZ9" s="189">
        <v>0</v>
      </c>
      <c r="CA9" s="189">
        <v>2704778.42</v>
      </c>
      <c r="CB9" s="189">
        <v>0</v>
      </c>
      <c r="CC9" s="189">
        <v>2682027</v>
      </c>
      <c r="CD9" s="189">
        <v>0</v>
      </c>
      <c r="CE9" s="189">
        <v>1543813.86</v>
      </c>
      <c r="CF9" s="189">
        <v>1223702.47</v>
      </c>
      <c r="CG9" s="189">
        <v>0</v>
      </c>
      <c r="CH9" s="189">
        <v>0</v>
      </c>
      <c r="CI9" s="189">
        <v>0</v>
      </c>
      <c r="CJ9" s="189"/>
      <c r="CK9" s="189"/>
    </row>
    <row r="10" spans="1:89">
      <c r="A10" s="17" t="s">
        <v>390</v>
      </c>
      <c r="B10" s="189">
        <v>424468639.91000003</v>
      </c>
      <c r="C10" s="189">
        <v>975817200.99000001</v>
      </c>
      <c r="D10" s="189">
        <v>431730647.62</v>
      </c>
      <c r="E10" s="189">
        <v>1562874219</v>
      </c>
      <c r="F10" s="189">
        <v>1064956415.03</v>
      </c>
      <c r="G10" s="189">
        <v>710539906.90999997</v>
      </c>
      <c r="H10" s="189">
        <v>338444437.02999997</v>
      </c>
      <c r="I10" s="189">
        <v>1457430157.79</v>
      </c>
      <c r="J10" s="189">
        <v>1050004447.4</v>
      </c>
      <c r="K10" s="189">
        <v>686214715</v>
      </c>
      <c r="L10" s="189">
        <v>344790741.86000001</v>
      </c>
      <c r="M10" s="189">
        <v>1270483375</v>
      </c>
      <c r="N10" s="189">
        <v>945132807.03999996</v>
      </c>
      <c r="O10" s="189">
        <v>595302499</v>
      </c>
      <c r="P10" s="189">
        <v>277005885.17000002</v>
      </c>
      <c r="Q10" s="189">
        <v>1000762138</v>
      </c>
      <c r="R10" s="189">
        <v>664100659.88</v>
      </c>
      <c r="S10" s="189">
        <v>245167916</v>
      </c>
      <c r="T10" s="189">
        <v>122007833.5</v>
      </c>
      <c r="U10" s="189">
        <v>449367489</v>
      </c>
      <c r="V10" s="189">
        <v>312895143</v>
      </c>
      <c r="W10" s="189">
        <v>206921248</v>
      </c>
      <c r="X10" s="189">
        <v>101151456.55</v>
      </c>
      <c r="Y10" s="189">
        <v>365825658</v>
      </c>
      <c r="Z10" s="189">
        <v>246442408</v>
      </c>
      <c r="AA10" s="189">
        <v>155189388</v>
      </c>
      <c r="AB10" s="189">
        <v>71109449.299999997</v>
      </c>
      <c r="AC10" s="189">
        <v>341945229</v>
      </c>
      <c r="AD10" s="189">
        <v>224713126.91</v>
      </c>
      <c r="AE10" s="189">
        <v>149947985</v>
      </c>
      <c r="AF10" s="189">
        <v>76118123.650000006</v>
      </c>
      <c r="AG10" s="189">
        <v>251656351</v>
      </c>
      <c r="AH10" s="189">
        <v>163472934.34</v>
      </c>
      <c r="AI10" s="189">
        <v>93120197.189999998</v>
      </c>
      <c r="AJ10" s="189">
        <v>46937760.280000001</v>
      </c>
      <c r="AK10" s="189">
        <v>171257795.52000001</v>
      </c>
      <c r="AL10" s="189">
        <v>113597076.61</v>
      </c>
      <c r="AM10" s="189">
        <v>75147130.980000004</v>
      </c>
      <c r="AN10" s="189">
        <v>36983690.899999999</v>
      </c>
      <c r="AO10" s="189">
        <v>152712783.55000001</v>
      </c>
      <c r="AP10" s="189">
        <v>95517675.510000005</v>
      </c>
      <c r="AQ10" s="189">
        <v>60268837.270000003</v>
      </c>
      <c r="AR10" s="189">
        <v>25338261.489999998</v>
      </c>
      <c r="AS10" s="189">
        <v>106168683.48</v>
      </c>
      <c r="AT10" s="189">
        <v>72546733.530000001</v>
      </c>
      <c r="AU10" s="189">
        <v>47344720.609999999</v>
      </c>
      <c r="AV10" s="189">
        <v>25314712.530000001</v>
      </c>
      <c r="AW10" s="189">
        <v>94168880.849999994</v>
      </c>
      <c r="AX10" s="189">
        <v>67691591.859999999</v>
      </c>
      <c r="AY10" s="189">
        <v>47102197.759999998</v>
      </c>
      <c r="AZ10" s="189">
        <v>20615957.359999999</v>
      </c>
      <c r="BA10" s="189">
        <v>85834784.439999998</v>
      </c>
      <c r="BB10" s="189">
        <v>56282692.990000002</v>
      </c>
      <c r="BC10" s="189">
        <v>37982710.600000001</v>
      </c>
      <c r="BD10" s="189">
        <v>20861189.629999999</v>
      </c>
      <c r="BE10" s="189">
        <v>86140722.579999998</v>
      </c>
      <c r="BF10" s="189">
        <v>50381620.039999999</v>
      </c>
      <c r="BG10" s="189">
        <v>33819568.909999996</v>
      </c>
      <c r="BH10" s="189">
        <v>13088330.289999999</v>
      </c>
      <c r="BI10" s="189">
        <v>54098751.759999998</v>
      </c>
      <c r="BJ10" s="189">
        <v>39723544.799999997</v>
      </c>
      <c r="BK10" s="189">
        <v>26418556.5</v>
      </c>
      <c r="BL10" s="189">
        <v>10832004.970000001</v>
      </c>
      <c r="BM10" s="189">
        <v>78203773.230000004</v>
      </c>
      <c r="BN10" s="189">
        <v>37516027.640000001</v>
      </c>
      <c r="BO10" s="189">
        <v>13403329.66</v>
      </c>
      <c r="BP10" s="189">
        <v>4717840.59</v>
      </c>
      <c r="BQ10" s="189">
        <v>28611507.640000001</v>
      </c>
      <c r="BR10" s="189">
        <v>12194349.32</v>
      </c>
      <c r="BS10" s="189">
        <v>29767355.739999998</v>
      </c>
      <c r="BT10" s="189">
        <v>13743013.779999999</v>
      </c>
      <c r="BU10" s="189">
        <v>26806334.98</v>
      </c>
      <c r="BV10" s="189">
        <v>10862457.800000001</v>
      </c>
      <c r="BW10" s="189">
        <v>20761182.789999999</v>
      </c>
      <c r="BX10" s="189">
        <v>11064116.699999999</v>
      </c>
      <c r="BY10" s="189">
        <v>23902868</v>
      </c>
      <c r="BZ10" s="189">
        <v>0</v>
      </c>
      <c r="CA10" s="189">
        <v>23248459.800000001</v>
      </c>
      <c r="CB10" s="189">
        <v>0</v>
      </c>
      <c r="CC10" s="189">
        <v>21439682.940000001</v>
      </c>
      <c r="CD10" s="189">
        <v>0</v>
      </c>
      <c r="CE10" s="189">
        <v>21577844.440000001</v>
      </c>
      <c r="CF10" s="189">
        <v>15392056.970000001</v>
      </c>
      <c r="CG10" s="189">
        <v>0</v>
      </c>
      <c r="CH10" s="189">
        <v>0</v>
      </c>
      <c r="CI10" s="189">
        <v>0</v>
      </c>
      <c r="CJ10" s="189"/>
      <c r="CK10" s="189"/>
    </row>
    <row r="11" spans="1:89">
      <c r="A11" s="17" t="s">
        <v>391</v>
      </c>
      <c r="B11" s="189">
        <v>127800388.98999999</v>
      </c>
      <c r="C11" s="189">
        <v>73172304.019999996</v>
      </c>
      <c r="D11" s="189">
        <v>60371233.359999999</v>
      </c>
      <c r="E11" s="189">
        <v>267174076.71000001</v>
      </c>
      <c r="F11" s="189">
        <v>60451257.850000001</v>
      </c>
      <c r="G11" s="189">
        <v>46510416.07</v>
      </c>
      <c r="H11" s="189">
        <v>22389232.280000001</v>
      </c>
      <c r="I11" s="189">
        <v>107634337.56999999</v>
      </c>
      <c r="J11" s="189">
        <v>76854225.980000004</v>
      </c>
      <c r="K11" s="189">
        <v>57711133</v>
      </c>
      <c r="L11" s="189">
        <v>27341201.59</v>
      </c>
      <c r="M11" s="189">
        <v>88309940</v>
      </c>
      <c r="N11" s="189">
        <v>63119179.299999997</v>
      </c>
      <c r="O11" s="189">
        <v>21000286</v>
      </c>
      <c r="P11" s="189">
        <v>24490081.23</v>
      </c>
      <c r="Q11" s="189">
        <v>85312190</v>
      </c>
      <c r="R11" s="189">
        <v>56484847.57</v>
      </c>
      <c r="S11" s="189">
        <v>15221293</v>
      </c>
      <c r="T11" s="189">
        <v>0</v>
      </c>
      <c r="U11" s="189">
        <v>46695092</v>
      </c>
      <c r="V11" s="189">
        <v>17468143</v>
      </c>
      <c r="W11" s="189">
        <v>17468143</v>
      </c>
      <c r="X11" s="189">
        <v>0</v>
      </c>
      <c r="Y11" s="189">
        <v>36436326</v>
      </c>
      <c r="Z11" s="189">
        <v>6798938</v>
      </c>
      <c r="AA11" s="189">
        <v>7043964</v>
      </c>
      <c r="AB11" s="189">
        <v>0</v>
      </c>
      <c r="AC11" s="189">
        <v>14277515</v>
      </c>
      <c r="AD11" s="189">
        <v>9820711.9000000004</v>
      </c>
      <c r="AE11" s="189">
        <v>9797469</v>
      </c>
      <c r="AF11" s="189">
        <v>98702.080000000002</v>
      </c>
      <c r="AG11" s="189">
        <v>-3949798</v>
      </c>
      <c r="AH11" s="189">
        <v>4495546.58</v>
      </c>
      <c r="AI11" s="189">
        <v>4501415.66</v>
      </c>
      <c r="AJ11" s="189">
        <v>0</v>
      </c>
      <c r="AK11" s="189">
        <v>71243239.799999997</v>
      </c>
      <c r="AL11" s="189">
        <v>3716771.52</v>
      </c>
      <c r="AM11" s="189">
        <v>3704924.07</v>
      </c>
      <c r="AN11" s="189">
        <v>0</v>
      </c>
      <c r="AO11" s="189">
        <v>44197810.490000002</v>
      </c>
      <c r="AP11" s="189">
        <v>3177666.9</v>
      </c>
      <c r="AQ11" s="189">
        <v>3235741.98</v>
      </c>
      <c r="AR11" s="189">
        <v>28062.55</v>
      </c>
      <c r="AS11" s="189">
        <v>1299879.78</v>
      </c>
      <c r="AT11" s="189">
        <v>-2827292.48</v>
      </c>
      <c r="AU11" s="189">
        <v>-2576429.0099999998</v>
      </c>
      <c r="AV11" s="189">
        <v>1276562.72</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614281.69999999995</v>
      </c>
      <c r="BT11" s="189">
        <v>-41318.22</v>
      </c>
      <c r="BU11" s="189">
        <v>579755.56000000006</v>
      </c>
      <c r="BV11" s="189">
        <v>0</v>
      </c>
      <c r="BW11" s="189">
        <v>0</v>
      </c>
      <c r="BX11" s="189">
        <v>0</v>
      </c>
      <c r="BY11" s="189">
        <v>0</v>
      </c>
      <c r="BZ11" s="189">
        <v>0</v>
      </c>
      <c r="CA11" s="189">
        <v>0</v>
      </c>
      <c r="CB11" s="189">
        <v>0</v>
      </c>
      <c r="CC11" s="189">
        <v>0</v>
      </c>
      <c r="CD11" s="189">
        <v>0</v>
      </c>
      <c r="CE11" s="189">
        <v>0</v>
      </c>
      <c r="CF11" s="189">
        <v>0</v>
      </c>
      <c r="CG11" s="189">
        <v>0</v>
      </c>
      <c r="CH11" s="189">
        <v>0</v>
      </c>
      <c r="CI11" s="189">
        <v>0</v>
      </c>
      <c r="CJ11" s="189"/>
      <c r="CK11" s="189"/>
    </row>
    <row r="12" spans="1:89" s="7" customFormat="1">
      <c r="A12" s="21" t="s">
        <v>392</v>
      </c>
      <c r="B12" s="29">
        <f>B55</f>
        <v>463</v>
      </c>
      <c r="C12" s="29">
        <f t="shared" ref="C12:BN12" si="5">C55</f>
        <v>603</v>
      </c>
      <c r="D12" s="29">
        <f t="shared" si="5"/>
        <v>653</v>
      </c>
      <c r="E12" s="29">
        <f t="shared" si="5"/>
        <v>14281536.07</v>
      </c>
      <c r="F12" s="29">
        <f t="shared" si="5"/>
        <v>0</v>
      </c>
      <c r="G12" s="29">
        <f t="shared" si="5"/>
        <v>0</v>
      </c>
      <c r="H12" s="29">
        <f t="shared" si="5"/>
        <v>0</v>
      </c>
      <c r="I12" s="29">
        <f t="shared" si="5"/>
        <v>5506595.5700000003</v>
      </c>
      <c r="J12" s="29">
        <f t="shared" si="5"/>
        <v>0</v>
      </c>
      <c r="K12" s="29">
        <f t="shared" si="5"/>
        <v>0</v>
      </c>
      <c r="L12" s="29">
        <f t="shared" si="5"/>
        <v>0</v>
      </c>
      <c r="M12" s="29">
        <f t="shared" si="5"/>
        <v>6992242</v>
      </c>
      <c r="N12" s="29">
        <f t="shared" si="5"/>
        <v>0</v>
      </c>
      <c r="O12" s="29">
        <f t="shared" si="5"/>
        <v>0</v>
      </c>
      <c r="P12" s="29">
        <f t="shared" si="5"/>
        <v>0</v>
      </c>
      <c r="Q12" s="29">
        <f t="shared" si="5"/>
        <v>5019431</v>
      </c>
      <c r="R12" s="29">
        <f t="shared" si="5"/>
        <v>0</v>
      </c>
      <c r="S12" s="29">
        <f t="shared" si="5"/>
        <v>0</v>
      </c>
      <c r="T12" s="29">
        <f t="shared" si="5"/>
        <v>0</v>
      </c>
      <c r="U12" s="29">
        <f t="shared" si="5"/>
        <v>3366418</v>
      </c>
      <c r="V12" s="29">
        <f t="shared" si="5"/>
        <v>0</v>
      </c>
      <c r="W12" s="29">
        <f t="shared" si="5"/>
        <v>0</v>
      </c>
      <c r="X12" s="29">
        <f t="shared" si="5"/>
        <v>0</v>
      </c>
      <c r="Y12" s="29">
        <f t="shared" si="5"/>
        <v>3588935</v>
      </c>
      <c r="Z12" s="29">
        <f t="shared" si="5"/>
        <v>0</v>
      </c>
      <c r="AA12" s="29">
        <f t="shared" si="5"/>
        <v>0</v>
      </c>
      <c r="AB12" s="29">
        <f t="shared" si="5"/>
        <v>0</v>
      </c>
      <c r="AC12" s="29">
        <f t="shared" si="5"/>
        <v>8251055</v>
      </c>
      <c r="AD12" s="29">
        <f t="shared" si="5"/>
        <v>0</v>
      </c>
      <c r="AE12" s="29">
        <f t="shared" si="5"/>
        <v>0</v>
      </c>
      <c r="AF12" s="29">
        <f t="shared" si="5"/>
        <v>0</v>
      </c>
      <c r="AG12" s="29">
        <f t="shared" si="5"/>
        <v>3762003</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c r="A13" s="17" t="s">
        <v>393</v>
      </c>
      <c r="B13" s="189">
        <v>33496159.93</v>
      </c>
      <c r="C13" s="189">
        <v>16654524.130000001</v>
      </c>
      <c r="D13" s="189">
        <v>9107297.9100000001</v>
      </c>
      <c r="E13" s="189">
        <v>14454980.68</v>
      </c>
      <c r="F13" s="189">
        <v>371650918.69</v>
      </c>
      <c r="G13" s="189">
        <v>235364088.86000001</v>
      </c>
      <c r="H13" s="189">
        <v>124615459.09999999</v>
      </c>
      <c r="I13" s="189">
        <v>343299073.54000002</v>
      </c>
      <c r="J13" s="189">
        <v>304502936.80000001</v>
      </c>
      <c r="K13" s="189">
        <v>245328921</v>
      </c>
      <c r="L13" s="189">
        <v>124598655.72</v>
      </c>
      <c r="M13" s="189">
        <v>589927316</v>
      </c>
      <c r="N13" s="189">
        <v>329583928.47000003</v>
      </c>
      <c r="O13" s="189">
        <v>252854554</v>
      </c>
      <c r="P13" s="189">
        <v>128270104.27</v>
      </c>
      <c r="Q13" s="189">
        <v>620690504</v>
      </c>
      <c r="R13" s="189">
        <v>158975998.31</v>
      </c>
      <c r="S13" s="189">
        <v>15442718</v>
      </c>
      <c r="T13" s="189">
        <v>8895939.9299999997</v>
      </c>
      <c r="U13" s="189">
        <v>195351029</v>
      </c>
      <c r="V13" s="189">
        <v>155486396</v>
      </c>
      <c r="W13" s="189">
        <v>9742248</v>
      </c>
      <c r="X13" s="189">
        <v>4609809.8099999996</v>
      </c>
      <c r="Y13" s="189">
        <v>214144935</v>
      </c>
      <c r="Z13" s="189">
        <v>136738528</v>
      </c>
      <c r="AA13" s="189">
        <v>46681870</v>
      </c>
      <c r="AB13" s="189">
        <v>23621687</v>
      </c>
      <c r="AC13" s="189">
        <v>334925361</v>
      </c>
      <c r="AD13" s="189">
        <v>76533846.709999993</v>
      </c>
      <c r="AE13" s="189">
        <v>39912604</v>
      </c>
      <c r="AF13" s="189">
        <v>5321045.5999999996</v>
      </c>
      <c r="AG13" s="189">
        <v>91848030</v>
      </c>
      <c r="AH13" s="189">
        <v>72854346.689999998</v>
      </c>
      <c r="AI13" s="189">
        <v>31842112.039999999</v>
      </c>
      <c r="AJ13" s="189">
        <v>16421738.220000001</v>
      </c>
      <c r="AK13" s="189">
        <v>15940622.609999999</v>
      </c>
      <c r="AL13" s="189">
        <v>6692155.0199999996</v>
      </c>
      <c r="AM13" s="189">
        <v>4596702.32</v>
      </c>
      <c r="AN13" s="189">
        <v>222492</v>
      </c>
      <c r="AO13" s="189">
        <v>1911979.21</v>
      </c>
      <c r="AP13" s="189">
        <v>1010968.34</v>
      </c>
      <c r="AQ13" s="189">
        <v>776847.2</v>
      </c>
      <c r="AR13" s="189">
        <v>386336.2</v>
      </c>
      <c r="AS13" s="189">
        <v>1189672.55</v>
      </c>
      <c r="AT13" s="189">
        <v>1207781.95</v>
      </c>
      <c r="AU13" s="189">
        <v>983948.66</v>
      </c>
      <c r="AV13" s="189">
        <v>322517.71000000002</v>
      </c>
      <c r="AW13" s="189">
        <v>1047505.68</v>
      </c>
      <c r="AX13" s="189">
        <v>888479.07</v>
      </c>
      <c r="AY13" s="189">
        <v>541948.26</v>
      </c>
      <c r="AZ13" s="189">
        <v>1422695.14</v>
      </c>
      <c r="BA13" s="189">
        <v>1081161.54</v>
      </c>
      <c r="BB13" s="189">
        <v>818001.71</v>
      </c>
      <c r="BC13" s="189">
        <v>422225.31</v>
      </c>
      <c r="BD13" s="189">
        <v>202690</v>
      </c>
      <c r="BE13" s="189">
        <v>869690.52</v>
      </c>
      <c r="BF13" s="189">
        <v>709872.92</v>
      </c>
      <c r="BG13" s="189">
        <v>581533.26</v>
      </c>
      <c r="BH13" s="189">
        <v>468268</v>
      </c>
      <c r="BI13" s="189">
        <v>1035324.69</v>
      </c>
      <c r="BJ13" s="189">
        <v>1086918.27</v>
      </c>
      <c r="BK13" s="189">
        <v>819978.23</v>
      </c>
      <c r="BL13" s="189">
        <v>665269.69999999995</v>
      </c>
      <c r="BM13" s="189">
        <v>5496517.4900000002</v>
      </c>
      <c r="BN13" s="189">
        <v>5660870.96</v>
      </c>
      <c r="BO13" s="189">
        <v>3626647.51</v>
      </c>
      <c r="BP13" s="189">
        <v>1244938.3</v>
      </c>
      <c r="BQ13" s="189">
        <v>6609048.1399999997</v>
      </c>
      <c r="BR13" s="189">
        <v>5015045.6100000003</v>
      </c>
      <c r="BS13" s="189">
        <v>7367680.9400000004</v>
      </c>
      <c r="BT13" s="189">
        <v>3748307.31</v>
      </c>
      <c r="BU13" s="189">
        <v>7790948.4900000002</v>
      </c>
      <c r="BV13" s="189">
        <v>1879131.25</v>
      </c>
      <c r="BW13" s="189">
        <v>4705573.21</v>
      </c>
      <c r="BX13" s="189">
        <v>2192357.02</v>
      </c>
      <c r="BY13" s="189">
        <v>3016129.54</v>
      </c>
      <c r="BZ13" s="189">
        <v>0</v>
      </c>
      <c r="CA13" s="189">
        <v>1882996.46</v>
      </c>
      <c r="CB13" s="189">
        <v>0</v>
      </c>
      <c r="CC13" s="189">
        <v>3229472.63</v>
      </c>
      <c r="CD13" s="189">
        <v>0</v>
      </c>
      <c r="CE13" s="189">
        <v>6009402.2699999996</v>
      </c>
      <c r="CF13" s="189">
        <v>25366.1</v>
      </c>
      <c r="CG13" s="189">
        <v>0</v>
      </c>
      <c r="CH13" s="189">
        <v>0</v>
      </c>
      <c r="CI13" s="189">
        <v>0</v>
      </c>
      <c r="CJ13" s="189"/>
      <c r="CK13" s="189"/>
    </row>
    <row r="14" spans="1:89">
      <c r="A14" s="17" t="s">
        <v>394</v>
      </c>
      <c r="B14" s="189">
        <v>4365967.16</v>
      </c>
      <c r="C14" s="189">
        <v>2458683.7200000002</v>
      </c>
      <c r="D14" s="189">
        <v>203510.86</v>
      </c>
      <c r="E14" s="189">
        <v>6416239.1699999999</v>
      </c>
      <c r="F14" s="189">
        <v>1683782.56</v>
      </c>
      <c r="G14" s="189">
        <v>1514961.06</v>
      </c>
      <c r="H14" s="189">
        <v>615744.26</v>
      </c>
      <c r="I14" s="189">
        <v>5920878</v>
      </c>
      <c r="J14" s="189">
        <v>2289612.2999999998</v>
      </c>
      <c r="K14" s="189">
        <v>2250410</v>
      </c>
      <c r="L14" s="189">
        <v>1234910.1000000001</v>
      </c>
      <c r="M14" s="189">
        <v>970969</v>
      </c>
      <c r="N14" s="189">
        <v>930274.81</v>
      </c>
      <c r="O14" s="189">
        <v>573097</v>
      </c>
      <c r="P14" s="189">
        <v>333521.26</v>
      </c>
      <c r="Q14" s="189">
        <v>1893828</v>
      </c>
      <c r="R14" s="189">
        <v>1196845.52</v>
      </c>
      <c r="S14" s="189">
        <v>171774</v>
      </c>
      <c r="T14" s="189">
        <v>56788.6</v>
      </c>
      <c r="U14" s="189">
        <v>1356474</v>
      </c>
      <c r="V14" s="189">
        <v>1141719</v>
      </c>
      <c r="W14" s="189">
        <v>889506</v>
      </c>
      <c r="X14" s="189">
        <v>87353.96</v>
      </c>
      <c r="Y14" s="189">
        <v>3217596</v>
      </c>
      <c r="Z14" s="189">
        <v>1694343</v>
      </c>
      <c r="AA14" s="189">
        <v>1586102</v>
      </c>
      <c r="AB14" s="189">
        <v>372270.83</v>
      </c>
      <c r="AC14" s="189">
        <v>452071</v>
      </c>
      <c r="AD14" s="189">
        <v>229598.92</v>
      </c>
      <c r="AE14" s="189">
        <v>53902</v>
      </c>
      <c r="AF14" s="189">
        <v>158775.74</v>
      </c>
      <c r="AG14" s="189">
        <v>929895</v>
      </c>
      <c r="AH14" s="189">
        <v>869920.42</v>
      </c>
      <c r="AI14" s="189">
        <v>806543.23</v>
      </c>
      <c r="AJ14" s="189">
        <v>4534.91</v>
      </c>
      <c r="AK14" s="189">
        <v>3165474.3</v>
      </c>
      <c r="AL14" s="189">
        <v>3126722.25</v>
      </c>
      <c r="AM14" s="189">
        <v>987442.1</v>
      </c>
      <c r="AN14" s="189">
        <v>1041263.18</v>
      </c>
      <c r="AO14" s="189">
        <v>2593025.19</v>
      </c>
      <c r="AP14" s="189">
        <v>331489.17</v>
      </c>
      <c r="AQ14" s="189">
        <v>122894.79</v>
      </c>
      <c r="AR14" s="189">
        <v>73218.570000000007</v>
      </c>
      <c r="AS14" s="189">
        <v>3327609.28</v>
      </c>
      <c r="AT14" s="189">
        <v>1063657.76</v>
      </c>
      <c r="AU14" s="189">
        <v>763544.09</v>
      </c>
      <c r="AV14" s="189">
        <v>10328.74</v>
      </c>
      <c r="AW14" s="189">
        <v>633700.75</v>
      </c>
      <c r="AX14" s="189">
        <v>838704.59</v>
      </c>
      <c r="AY14" s="189">
        <v>312343.57</v>
      </c>
      <c r="AZ14" s="189">
        <v>571550.67000000004</v>
      </c>
      <c r="BA14" s="189">
        <v>647349.36</v>
      </c>
      <c r="BB14" s="189">
        <v>427502.21</v>
      </c>
      <c r="BC14" s="189">
        <v>194511.96</v>
      </c>
      <c r="BD14" s="189">
        <v>1300</v>
      </c>
      <c r="BE14" s="189">
        <v>507689.51</v>
      </c>
      <c r="BF14" s="189">
        <v>506453.81</v>
      </c>
      <c r="BG14" s="189">
        <v>484831.45</v>
      </c>
      <c r="BH14" s="189">
        <v>479111.16</v>
      </c>
      <c r="BI14" s="189">
        <v>428616.81</v>
      </c>
      <c r="BJ14" s="189">
        <v>388180.75</v>
      </c>
      <c r="BK14" s="189">
        <v>182623.71</v>
      </c>
      <c r="BL14" s="189">
        <v>148966.51</v>
      </c>
      <c r="BM14" s="189">
        <v>2002551.97</v>
      </c>
      <c r="BN14" s="189">
        <v>1598007.88</v>
      </c>
      <c r="BO14" s="189">
        <v>948340.76</v>
      </c>
      <c r="BP14" s="189">
        <v>410943.49</v>
      </c>
      <c r="BQ14" s="189">
        <v>1865480.16</v>
      </c>
      <c r="BR14" s="189">
        <v>903400.86</v>
      </c>
      <c r="BS14" s="189">
        <v>886887.83</v>
      </c>
      <c r="BT14" s="189">
        <v>377609.53</v>
      </c>
      <c r="BU14" s="189">
        <v>1018414.87</v>
      </c>
      <c r="BV14" s="189">
        <v>1227288.69</v>
      </c>
      <c r="BW14" s="189">
        <v>1737540.18</v>
      </c>
      <c r="BX14" s="189">
        <v>1952276.67</v>
      </c>
      <c r="BY14" s="189">
        <v>1067165.9099999999</v>
      </c>
      <c r="BZ14" s="189">
        <v>0</v>
      </c>
      <c r="CA14" s="189">
        <v>194669.55</v>
      </c>
      <c r="CB14" s="189">
        <v>0</v>
      </c>
      <c r="CC14" s="189">
        <v>137695.53</v>
      </c>
      <c r="CD14" s="189">
        <v>0</v>
      </c>
      <c r="CE14" s="189">
        <v>13864231.949999999</v>
      </c>
      <c r="CF14" s="189">
        <v>213634.16</v>
      </c>
      <c r="CG14" s="189">
        <v>0</v>
      </c>
      <c r="CH14" s="189">
        <v>0</v>
      </c>
      <c r="CI14" s="189">
        <v>0</v>
      </c>
      <c r="CJ14" s="189"/>
      <c r="CK14" s="189"/>
    </row>
    <row r="15" spans="1:89" s="2" customFormat="1">
      <c r="A15" s="20" t="s">
        <v>397</v>
      </c>
      <c r="B15" s="28">
        <f>B6-(B8+B9+B10+B11+B12)+B13-B14</f>
        <v>2372295764.9899993</v>
      </c>
      <c r="C15" s="28">
        <f t="shared" ref="C15:BN15" si="7">C6-(C8+C9+C10+C11+C12)+C13-C14</f>
        <v>808830200.90000021</v>
      </c>
      <c r="D15" s="28">
        <f t="shared" si="7"/>
        <v>426514330.84000021</v>
      </c>
      <c r="E15" s="28">
        <f t="shared" si="7"/>
        <v>622028383.90000033</v>
      </c>
      <c r="F15" s="28">
        <f t="shared" si="7"/>
        <v>1066139947.7499995</v>
      </c>
      <c r="G15" s="28">
        <f t="shared" si="7"/>
        <v>642902064.40000057</v>
      </c>
      <c r="H15" s="28">
        <f t="shared" si="7"/>
        <v>331828835.26999998</v>
      </c>
      <c r="I15" s="28">
        <f t="shared" si="7"/>
        <v>542457874.71000075</v>
      </c>
      <c r="J15" s="28">
        <f t="shared" si="7"/>
        <v>437052534.49999952</v>
      </c>
      <c r="K15" s="28">
        <f t="shared" si="7"/>
        <v>304491602</v>
      </c>
      <c r="L15" s="28">
        <f t="shared" si="7"/>
        <v>143016676.64999998</v>
      </c>
      <c r="M15" s="28">
        <f t="shared" si="7"/>
        <v>602244438</v>
      </c>
      <c r="N15" s="28">
        <f t="shared" si="7"/>
        <v>392342859.26999992</v>
      </c>
      <c r="O15" s="28">
        <f t="shared" si="7"/>
        <v>322736774</v>
      </c>
      <c r="P15" s="28">
        <f t="shared" si="7"/>
        <v>179744385.50999993</v>
      </c>
      <c r="Q15" s="28">
        <f t="shared" si="7"/>
        <v>965176630</v>
      </c>
      <c r="R15" s="28">
        <f t="shared" si="7"/>
        <v>559664735.83999991</v>
      </c>
      <c r="S15" s="28">
        <f t="shared" si="7"/>
        <v>205971517</v>
      </c>
      <c r="T15" s="28">
        <f t="shared" si="7"/>
        <v>89986257.410000056</v>
      </c>
      <c r="U15" s="28">
        <f t="shared" si="7"/>
        <v>408196146</v>
      </c>
      <c r="V15" s="28">
        <f t="shared" si="7"/>
        <v>334074733</v>
      </c>
      <c r="W15" s="28">
        <f t="shared" si="7"/>
        <v>97976954</v>
      </c>
      <c r="X15" s="28">
        <f t="shared" si="7"/>
        <v>24695110.090000007</v>
      </c>
      <c r="Y15" s="28">
        <f t="shared" si="7"/>
        <v>319110286</v>
      </c>
      <c r="Z15" s="28">
        <f t="shared" si="7"/>
        <v>271207480</v>
      </c>
      <c r="AA15" s="28">
        <f t="shared" si="7"/>
        <v>116961210</v>
      </c>
      <c r="AB15" s="28">
        <f t="shared" si="7"/>
        <v>18212092.950000018</v>
      </c>
      <c r="AC15" s="28">
        <f t="shared" si="7"/>
        <v>410689195</v>
      </c>
      <c r="AD15" s="28">
        <f t="shared" si="7"/>
        <v>199805807.76999977</v>
      </c>
      <c r="AE15" s="28">
        <f t="shared" si="7"/>
        <v>128700021</v>
      </c>
      <c r="AF15" s="28">
        <f t="shared" si="7"/>
        <v>36108948.480000064</v>
      </c>
      <c r="AG15" s="28">
        <f t="shared" si="7"/>
        <v>291838263</v>
      </c>
      <c r="AH15" s="28">
        <f t="shared" si="7"/>
        <v>235077163.90000015</v>
      </c>
      <c r="AI15" s="28">
        <f t="shared" si="7"/>
        <v>136961391.85000005</v>
      </c>
      <c r="AJ15" s="28">
        <f t="shared" si="7"/>
        <v>33043191.660000052</v>
      </c>
      <c r="AK15" s="28">
        <f t="shared" si="7"/>
        <v>-220265308.31999987</v>
      </c>
      <c r="AL15" s="28">
        <f t="shared" si="7"/>
        <v>-121941583.04000004</v>
      </c>
      <c r="AM15" s="28">
        <f t="shared" si="7"/>
        <v>-141790957.22999999</v>
      </c>
      <c r="AN15" s="28">
        <f t="shared" si="7"/>
        <v>-89072299.289999992</v>
      </c>
      <c r="AO15" s="28">
        <f t="shared" si="7"/>
        <v>-101109357.41000007</v>
      </c>
      <c r="AP15" s="28">
        <f t="shared" si="7"/>
        <v>1556402.5899999272</v>
      </c>
      <c r="AQ15" s="28">
        <f t="shared" si="7"/>
        <v>14474392.320000071</v>
      </c>
      <c r="AR15" s="28">
        <f t="shared" si="7"/>
        <v>15966524.570000019</v>
      </c>
      <c r="AS15" s="28">
        <f t="shared" si="7"/>
        <v>114545685.67000003</v>
      </c>
      <c r="AT15" s="28">
        <f t="shared" si="7"/>
        <v>90831840.300000027</v>
      </c>
      <c r="AU15" s="28">
        <f t="shared" si="7"/>
        <v>60923183.05999998</v>
      </c>
      <c r="AV15" s="28">
        <f t="shared" si="7"/>
        <v>22474257.010000009</v>
      </c>
      <c r="AW15" s="28">
        <f t="shared" si="7"/>
        <v>141083440.74000013</v>
      </c>
      <c r="AX15" s="28">
        <f t="shared" si="7"/>
        <v>102932056.15000001</v>
      </c>
      <c r="AY15" s="28">
        <f t="shared" si="7"/>
        <v>58257020.669999987</v>
      </c>
      <c r="AZ15" s="28">
        <f t="shared" si="7"/>
        <v>20298201.310000006</v>
      </c>
      <c r="BA15" s="28">
        <f t="shared" si="7"/>
        <v>76356034.349999979</v>
      </c>
      <c r="BB15" s="28">
        <f t="shared" si="7"/>
        <v>56532746.720000014</v>
      </c>
      <c r="BC15" s="28">
        <f t="shared" si="7"/>
        <v>44895050.930000044</v>
      </c>
      <c r="BD15" s="28">
        <f t="shared" si="7"/>
        <v>18238349.249999993</v>
      </c>
      <c r="BE15" s="28">
        <f t="shared" si="7"/>
        <v>115867508.66000001</v>
      </c>
      <c r="BF15" s="28">
        <f t="shared" si="7"/>
        <v>66136694.689999998</v>
      </c>
      <c r="BG15" s="28">
        <f t="shared" si="7"/>
        <v>48684927.759999998</v>
      </c>
      <c r="BH15" s="28">
        <f t="shared" si="7"/>
        <v>18005550.459999982</v>
      </c>
      <c r="BI15" s="28">
        <f t="shared" si="7"/>
        <v>70833301.840000063</v>
      </c>
      <c r="BJ15" s="28">
        <f t="shared" si="7"/>
        <v>41662006.200000033</v>
      </c>
      <c r="BK15" s="28">
        <f t="shared" si="7"/>
        <v>30544460.409999982</v>
      </c>
      <c r="BL15" s="28">
        <f t="shared" si="7"/>
        <v>16342784.1</v>
      </c>
      <c r="BM15" s="28">
        <f t="shared" si="7"/>
        <v>-15703270.519999962</v>
      </c>
      <c r="BN15" s="28">
        <f t="shared" si="7"/>
        <v>14245599.479999986</v>
      </c>
      <c r="BO15" s="28">
        <f t="shared" ref="BO15:CJ15" si="8">BO6-(BO8+BO9+BO10+BO11+BO12)+BO13-BO14</f>
        <v>19286449.809999984</v>
      </c>
      <c r="BP15" s="28">
        <f t="shared" si="8"/>
        <v>9791079.3099999949</v>
      </c>
      <c r="BQ15" s="28">
        <f t="shared" si="8"/>
        <v>19409155.360000033</v>
      </c>
      <c r="BR15" s="28">
        <f t="shared" si="8"/>
        <v>23266859.279999983</v>
      </c>
      <c r="BS15" s="28">
        <f t="shared" si="8"/>
        <v>40302176.649999984</v>
      </c>
      <c r="BT15" s="28">
        <f t="shared" si="8"/>
        <v>20304078.609999992</v>
      </c>
      <c r="BU15" s="28">
        <f t="shared" si="8"/>
        <v>25440622.920000013</v>
      </c>
      <c r="BV15" s="28">
        <f t="shared" si="8"/>
        <v>11591376.340000007</v>
      </c>
      <c r="BW15" s="28">
        <f t="shared" si="8"/>
        <v>27750992.299999997</v>
      </c>
      <c r="BX15" s="28">
        <f t="shared" si="8"/>
        <v>15076023.919999992</v>
      </c>
      <c r="BY15" s="28">
        <f t="shared" si="8"/>
        <v>45375926.55999998</v>
      </c>
      <c r="BZ15" s="28">
        <f t="shared" si="8"/>
        <v>104071345.44</v>
      </c>
      <c r="CA15" s="28">
        <f t="shared" si="8"/>
        <v>16035094.09999999</v>
      </c>
      <c r="CB15" s="28">
        <f t="shared" si="8"/>
        <v>65350000</v>
      </c>
      <c r="CC15" s="28">
        <f t="shared" si="8"/>
        <v>37546977.569999985</v>
      </c>
      <c r="CD15" s="28">
        <f t="shared" si="8"/>
        <v>72860000</v>
      </c>
      <c r="CE15" s="28">
        <f t="shared" si="8"/>
        <v>37826272.270000011</v>
      </c>
      <c r="CF15" s="28">
        <f t="shared" si="8"/>
        <v>26132420.100000001</v>
      </c>
      <c r="CG15" s="28">
        <f t="shared" si="8"/>
        <v>31780600</v>
      </c>
      <c r="CH15" s="28">
        <f t="shared" si="8"/>
        <v>15431400</v>
      </c>
      <c r="CI15" s="28">
        <f t="shared" si="8"/>
        <v>0</v>
      </c>
      <c r="CJ15" s="28">
        <f t="shared" si="8"/>
        <v>0</v>
      </c>
    </row>
    <row r="16" spans="1:89" s="23" customFormat="1">
      <c r="A16" s="17" t="s">
        <v>395</v>
      </c>
      <c r="B16" s="26">
        <f>B15*B41</f>
        <v>96939635.83616364</v>
      </c>
      <c r="C16" s="26">
        <f t="shared" ref="C16:BN16" si="9">C15*C41</f>
        <v>104570827.98527209</v>
      </c>
      <c r="D16" s="26">
        <f t="shared" si="9"/>
        <v>122370065.26141459</v>
      </c>
      <c r="E16" s="26">
        <f t="shared" si="9"/>
        <v>215281459.68406332</v>
      </c>
      <c r="F16" s="26">
        <f t="shared" si="9"/>
        <v>163737713.47026375</v>
      </c>
      <c r="G16" s="26">
        <f t="shared" si="9"/>
        <v>98428798.274297923</v>
      </c>
      <c r="H16" s="26">
        <f t="shared" si="9"/>
        <v>45302183.248299882</v>
      </c>
      <c r="I16" s="26">
        <f t="shared" si="9"/>
        <v>76591961.258282229</v>
      </c>
      <c r="J16" s="26">
        <f t="shared" si="9"/>
        <v>58448504.741002105</v>
      </c>
      <c r="K16" s="26">
        <f t="shared" si="9"/>
        <v>31678850.823484506</v>
      </c>
      <c r="L16" s="26">
        <f t="shared" si="9"/>
        <v>10739097.219920905</v>
      </c>
      <c r="M16" s="26">
        <f t="shared" si="9"/>
        <v>46679240.438020766</v>
      </c>
      <c r="N16" s="26">
        <f t="shared" si="9"/>
        <v>27071910.398100797</v>
      </c>
      <c r="O16" s="26">
        <f t="shared" si="9"/>
        <v>21630509.160111338</v>
      </c>
      <c r="P16" s="26">
        <f t="shared" si="9"/>
        <v>12421908.938261189</v>
      </c>
      <c r="Q16" s="26">
        <f t="shared" si="9"/>
        <v>119287900.78411198</v>
      </c>
      <c r="R16" s="26">
        <f t="shared" si="9"/>
        <v>70749284.068736553</v>
      </c>
      <c r="S16" s="26">
        <f t="shared" si="9"/>
        <v>20152659.484007284</v>
      </c>
      <c r="T16" s="26">
        <f t="shared" si="9"/>
        <v>6281861.9437579652</v>
      </c>
      <c r="U16" s="26">
        <f t="shared" si="9"/>
        <v>49154085.91176568</v>
      </c>
      <c r="V16" s="26">
        <f t="shared" si="9"/>
        <v>42936050.292864576</v>
      </c>
      <c r="W16" s="26">
        <f t="shared" si="9"/>
        <v>-20765621.602746606</v>
      </c>
      <c r="X16" s="26">
        <f t="shared" si="9"/>
        <v>2744512.3625766663</v>
      </c>
      <c r="Y16" s="26">
        <f t="shared" si="9"/>
        <v>28153443.985621076</v>
      </c>
      <c r="Z16" s="26">
        <f t="shared" si="9"/>
        <v>10150724.379164256</v>
      </c>
      <c r="AA16" s="26">
        <f t="shared" si="9"/>
        <v>-27822523.781547435</v>
      </c>
      <c r="AB16" s="26">
        <f t="shared" si="9"/>
        <v>2306960.7233502083</v>
      </c>
      <c r="AC16" s="26">
        <f t="shared" si="9"/>
        <v>26117910.710037876</v>
      </c>
      <c r="AD16" s="26">
        <f t="shared" si="9"/>
        <v>16529391.101656657</v>
      </c>
      <c r="AE16" s="26">
        <f t="shared" si="9"/>
        <v>1848291.0391447418</v>
      </c>
      <c r="AF16" s="26">
        <f t="shared" si="9"/>
        <v>-384011.62888019631</v>
      </c>
      <c r="AG16" s="26">
        <f t="shared" si="9"/>
        <v>61428297.990221456</v>
      </c>
      <c r="AH16" s="26">
        <f t="shared" si="9"/>
        <v>38950089.01581376</v>
      </c>
      <c r="AI16" s="26">
        <f t="shared" si="9"/>
        <v>22176605.45887427</v>
      </c>
      <c r="AJ16" s="26">
        <f t="shared" si="9"/>
        <v>4965717.0461949939</v>
      </c>
      <c r="AK16" s="26">
        <f t="shared" si="9"/>
        <v>-32867143.969128843</v>
      </c>
      <c r="AL16" s="26">
        <f t="shared" si="9"/>
        <v>-13161346.448896902</v>
      </c>
      <c r="AM16" s="26">
        <f t="shared" si="9"/>
        <v>-16345624.220919432</v>
      </c>
      <c r="AN16" s="26">
        <f t="shared" si="9"/>
        <v>-9723321.4859587736</v>
      </c>
      <c r="AO16" s="26">
        <f t="shared" si="9"/>
        <v>-32945384.595891055</v>
      </c>
      <c r="AP16" s="26">
        <f t="shared" si="9"/>
        <v>-69383.767529484336</v>
      </c>
      <c r="AQ16" s="26">
        <f t="shared" si="9"/>
        <v>773309.70674892748</v>
      </c>
      <c r="AR16" s="26">
        <f t="shared" si="9"/>
        <v>801683.68900212075</v>
      </c>
      <c r="AS16" s="26">
        <f t="shared" si="9"/>
        <v>8724680.9803885687</v>
      </c>
      <c r="AT16" s="26">
        <f t="shared" si="9"/>
        <v>6463737.8578300718</v>
      </c>
      <c r="AU16" s="26">
        <f t="shared" si="9"/>
        <v>5528546.3106657304</v>
      </c>
      <c r="AV16" s="26">
        <f t="shared" si="9"/>
        <v>1156085.8272257801</v>
      </c>
      <c r="AW16" s="26">
        <f t="shared" si="9"/>
        <v>16705975.139131</v>
      </c>
      <c r="AX16" s="26">
        <f t="shared" si="9"/>
        <v>9281593.9351330455</v>
      </c>
      <c r="AY16" s="26">
        <f t="shared" si="9"/>
        <v>5205528.428785691</v>
      </c>
      <c r="AZ16" s="26">
        <f t="shared" si="9"/>
        <v>1610159.2370063576</v>
      </c>
      <c r="BA16" s="26">
        <f t="shared" si="9"/>
        <v>2089744.889433299</v>
      </c>
      <c r="BB16" s="26">
        <f t="shared" si="9"/>
        <v>990344.81200457329</v>
      </c>
      <c r="BC16" s="26">
        <f t="shared" si="9"/>
        <v>956231.74714082957</v>
      </c>
      <c r="BD16" s="26">
        <f t="shared" si="9"/>
        <v>1041146.2387618101</v>
      </c>
      <c r="BE16" s="26">
        <f t="shared" si="9"/>
        <v>4627999.1006525438</v>
      </c>
      <c r="BF16" s="26">
        <f t="shared" si="9"/>
        <v>8110358.2445623819</v>
      </c>
      <c r="BG16" s="26">
        <f t="shared" si="9"/>
        <v>6492145.9341740366</v>
      </c>
      <c r="BH16" s="26">
        <f t="shared" si="9"/>
        <v>2762767.1439543394</v>
      </c>
      <c r="BI16" s="26">
        <f t="shared" si="9"/>
        <v>11888057.889343332</v>
      </c>
      <c r="BJ16" s="26">
        <f t="shared" si="9"/>
        <v>5827645.8376781521</v>
      </c>
      <c r="BK16" s="26">
        <f t="shared" si="9"/>
        <v>4158767.2125353552</v>
      </c>
      <c r="BL16" s="26">
        <f t="shared" si="9"/>
        <v>1873583.6299388821</v>
      </c>
      <c r="BM16" s="26">
        <f t="shared" si="9"/>
        <v>1875688.1715036305</v>
      </c>
      <c r="BN16" s="26">
        <f t="shared" si="9"/>
        <v>7700957.5947681805</v>
      </c>
      <c r="BO16" s="26">
        <f t="shared" ref="BO16:CK16" si="10">BO15*BO41</f>
        <v>3039308.694665127</v>
      </c>
      <c r="BP16" s="26">
        <f t="shared" si="10"/>
        <v>1535538.5907107093</v>
      </c>
      <c r="BQ16" s="26">
        <f t="shared" si="10"/>
        <v>460728.72958239773</v>
      </c>
      <c r="BR16" s="26">
        <f t="shared" si="10"/>
        <v>3692210.8653580644</v>
      </c>
      <c r="BS16" s="26">
        <f t="shared" si="10"/>
        <v>5805959.2123797694</v>
      </c>
      <c r="BT16" s="26">
        <f t="shared" si="10"/>
        <v>2973687.7114164033</v>
      </c>
      <c r="BU16" s="26">
        <f t="shared" si="10"/>
        <v>2645142.8464122131</v>
      </c>
      <c r="BV16" s="26">
        <f t="shared" si="10"/>
        <v>1174061.3894699824</v>
      </c>
      <c r="BW16" s="26">
        <f t="shared" si="10"/>
        <v>2727657.1077957405</v>
      </c>
      <c r="BX16" s="26">
        <f t="shared" si="10"/>
        <v>1412909.9792233079</v>
      </c>
      <c r="BY16" s="26">
        <f t="shared" si="10"/>
        <v>5048703.6630894262</v>
      </c>
      <c r="BZ16" s="26">
        <f t="shared" si="10"/>
        <v>1983242.8838805959</v>
      </c>
      <c r="CA16" s="26">
        <f t="shared" si="10"/>
        <v>1503344.7838026276</v>
      </c>
      <c r="CB16" s="26">
        <f t="shared" si="10"/>
        <v>797662.99493896996</v>
      </c>
      <c r="CC16" s="26">
        <f t="shared" si="10"/>
        <v>3741016.9966754466</v>
      </c>
      <c r="CD16" s="26">
        <f t="shared" si="10"/>
        <v>1390000</v>
      </c>
      <c r="CE16" s="26">
        <f t="shared" si="10"/>
        <v>3482717.0942966235</v>
      </c>
      <c r="CF16" s="26">
        <f t="shared" si="10"/>
        <v>2769445.2268109168</v>
      </c>
      <c r="CG16" s="26">
        <f t="shared" si="10"/>
        <v>0</v>
      </c>
      <c r="CH16" s="26">
        <f t="shared" si="10"/>
        <v>0</v>
      </c>
      <c r="CI16" s="26" t="e">
        <f t="shared" si="10"/>
        <v>#DIV/0!</v>
      </c>
      <c r="CJ16" s="26" t="e">
        <f t="shared" si="10"/>
        <v>#DIV/0!</v>
      </c>
      <c r="CK16" s="26">
        <f t="shared" si="10"/>
        <v>0</v>
      </c>
    </row>
    <row r="17" spans="1:89" s="25" customFormat="1">
      <c r="A17" s="20" t="s">
        <v>396</v>
      </c>
      <c r="B17" s="27">
        <f>B15-B16</f>
        <v>2275356129.1538358</v>
      </c>
      <c r="C17" s="27">
        <f t="shared" ref="C17:BN17" si="11">C15-C16</f>
        <v>704259372.91472816</v>
      </c>
      <c r="D17" s="27">
        <f t="shared" si="11"/>
        <v>304144265.57858562</v>
      </c>
      <c r="E17" s="27">
        <f t="shared" si="11"/>
        <v>406746924.21593702</v>
      </c>
      <c r="F17" s="27">
        <f t="shared" si="11"/>
        <v>902402234.2797358</v>
      </c>
      <c r="G17" s="27">
        <f t="shared" si="11"/>
        <v>544473266.12570262</v>
      </c>
      <c r="H17" s="27">
        <f t="shared" si="11"/>
        <v>286526652.02170008</v>
      </c>
      <c r="I17" s="27">
        <f t="shared" si="11"/>
        <v>465865913.45171851</v>
      </c>
      <c r="J17" s="27">
        <f t="shared" si="11"/>
        <v>378604029.75899744</v>
      </c>
      <c r="K17" s="27">
        <f t="shared" si="11"/>
        <v>272812751.17651552</v>
      </c>
      <c r="L17" s="27">
        <f t="shared" si="11"/>
        <v>132277579.43007907</v>
      </c>
      <c r="M17" s="27">
        <f t="shared" si="11"/>
        <v>555565197.56197929</v>
      </c>
      <c r="N17" s="27">
        <f t="shared" si="11"/>
        <v>365270948.87189913</v>
      </c>
      <c r="O17" s="27">
        <f t="shared" si="11"/>
        <v>301106264.83988869</v>
      </c>
      <c r="P17" s="27">
        <f t="shared" si="11"/>
        <v>167322476.57173875</v>
      </c>
      <c r="Q17" s="27">
        <f t="shared" si="11"/>
        <v>845888729.21588802</v>
      </c>
      <c r="R17" s="27">
        <f t="shared" si="11"/>
        <v>488915451.77126336</v>
      </c>
      <c r="S17" s="27">
        <f t="shared" si="11"/>
        <v>185818857.5159927</v>
      </c>
      <c r="T17" s="27">
        <f t="shared" si="11"/>
        <v>83704395.46624209</v>
      </c>
      <c r="U17" s="27">
        <f t="shared" si="11"/>
        <v>359042060.08823431</v>
      </c>
      <c r="V17" s="27">
        <f t="shared" si="11"/>
        <v>291138682.70713544</v>
      </c>
      <c r="W17" s="27">
        <f t="shared" si="11"/>
        <v>118742575.60274661</v>
      </c>
      <c r="X17" s="27">
        <f t="shared" si="11"/>
        <v>21950597.72742334</v>
      </c>
      <c r="Y17" s="27">
        <f t="shared" si="11"/>
        <v>290956842.01437891</v>
      </c>
      <c r="Z17" s="27">
        <f t="shared" si="11"/>
        <v>261056755.62083575</v>
      </c>
      <c r="AA17" s="27">
        <f t="shared" si="11"/>
        <v>144783733.78154743</v>
      </c>
      <c r="AB17" s="27">
        <f t="shared" si="11"/>
        <v>15905132.22664981</v>
      </c>
      <c r="AC17" s="27">
        <f t="shared" si="11"/>
        <v>384571284.28996211</v>
      </c>
      <c r="AD17" s="27">
        <f t="shared" si="11"/>
        <v>183276416.66834313</v>
      </c>
      <c r="AE17" s="27">
        <f t="shared" si="11"/>
        <v>126851729.96085526</v>
      </c>
      <c r="AF17" s="27">
        <f t="shared" si="11"/>
        <v>36492960.108880259</v>
      </c>
      <c r="AG17" s="27">
        <f t="shared" si="11"/>
        <v>230409965.00977856</v>
      </c>
      <c r="AH17" s="27">
        <f t="shared" si="11"/>
        <v>196127074.88418639</v>
      </c>
      <c r="AI17" s="27">
        <f t="shared" si="11"/>
        <v>114784786.39112578</v>
      </c>
      <c r="AJ17" s="27">
        <f t="shared" si="11"/>
        <v>28077474.613805059</v>
      </c>
      <c r="AK17" s="27">
        <f t="shared" si="11"/>
        <v>-187398164.35087103</v>
      </c>
      <c r="AL17" s="27">
        <f t="shared" si="11"/>
        <v>-108780236.59110314</v>
      </c>
      <c r="AM17" s="27">
        <f t="shared" si="11"/>
        <v>-125445333.00908056</v>
      </c>
      <c r="AN17" s="27">
        <f t="shared" si="11"/>
        <v>-79348977.804041222</v>
      </c>
      <c r="AO17" s="27">
        <f t="shared" si="11"/>
        <v>-68163972.814109012</v>
      </c>
      <c r="AP17" s="27">
        <f t="shared" si="11"/>
        <v>1625786.3575294116</v>
      </c>
      <c r="AQ17" s="27">
        <f t="shared" si="11"/>
        <v>13701082.613251144</v>
      </c>
      <c r="AR17" s="27">
        <f t="shared" si="11"/>
        <v>15164840.880997898</v>
      </c>
      <c r="AS17" s="27">
        <f t="shared" si="11"/>
        <v>105821004.68961146</v>
      </c>
      <c r="AT17" s="27">
        <f t="shared" si="11"/>
        <v>84368102.442169949</v>
      </c>
      <c r="AU17" s="27">
        <f t="shared" si="11"/>
        <v>55394636.749334246</v>
      </c>
      <c r="AV17" s="27">
        <f t="shared" si="11"/>
        <v>21318171.182774231</v>
      </c>
      <c r="AW17" s="27">
        <f t="shared" si="11"/>
        <v>124377465.60086913</v>
      </c>
      <c r="AX17" s="27">
        <f t="shared" si="11"/>
        <v>93650462.214866966</v>
      </c>
      <c r="AY17" s="27">
        <f t="shared" si="11"/>
        <v>53051492.241214298</v>
      </c>
      <c r="AZ17" s="27">
        <f t="shared" si="11"/>
        <v>18688042.072993647</v>
      </c>
      <c r="BA17" s="27">
        <f t="shared" si="11"/>
        <v>74266289.460566685</v>
      </c>
      <c r="BB17" s="27">
        <f t="shared" si="11"/>
        <v>55542401.90799544</v>
      </c>
      <c r="BC17" s="27">
        <f t="shared" si="11"/>
        <v>43938819.182859212</v>
      </c>
      <c r="BD17" s="27">
        <f t="shared" si="11"/>
        <v>17197203.011238184</v>
      </c>
      <c r="BE17" s="27">
        <f t="shared" si="11"/>
        <v>111239509.55934747</v>
      </c>
      <c r="BF17" s="27">
        <f t="shared" si="11"/>
        <v>58026336.445437618</v>
      </c>
      <c r="BG17" s="27">
        <f t="shared" si="11"/>
        <v>42192781.825825959</v>
      </c>
      <c r="BH17" s="27">
        <f t="shared" si="11"/>
        <v>15242783.316045642</v>
      </c>
      <c r="BI17" s="27">
        <f t="shared" si="11"/>
        <v>58945243.950656727</v>
      </c>
      <c r="BJ17" s="27">
        <f t="shared" si="11"/>
        <v>35834360.362321883</v>
      </c>
      <c r="BK17" s="27">
        <f t="shared" si="11"/>
        <v>26385693.197464626</v>
      </c>
      <c r="BL17" s="27">
        <f t="shared" si="11"/>
        <v>14469200.470061118</v>
      </c>
      <c r="BM17" s="27">
        <f t="shared" si="11"/>
        <v>-17578958.691503592</v>
      </c>
      <c r="BN17" s="27">
        <f t="shared" si="11"/>
        <v>6544641.885231805</v>
      </c>
      <c r="BO17" s="27">
        <f t="shared" ref="BO17:CJ17" si="12">BO15-BO16</f>
        <v>16247141.115334857</v>
      </c>
      <c r="BP17" s="27">
        <f t="shared" si="12"/>
        <v>8255540.7192892861</v>
      </c>
      <c r="BQ17" s="27">
        <f t="shared" si="12"/>
        <v>18948426.630417634</v>
      </c>
      <c r="BR17" s="27">
        <f t="shared" si="12"/>
        <v>19574648.414641917</v>
      </c>
      <c r="BS17" s="27">
        <f t="shared" si="12"/>
        <v>34496217.437620215</v>
      </c>
      <c r="BT17" s="27">
        <f t="shared" si="12"/>
        <v>17330390.898583587</v>
      </c>
      <c r="BU17" s="27">
        <f t="shared" si="12"/>
        <v>22795480.073587801</v>
      </c>
      <c r="BV17" s="27">
        <f t="shared" si="12"/>
        <v>10417314.950530024</v>
      </c>
      <c r="BW17" s="27">
        <f t="shared" si="12"/>
        <v>25023335.192204256</v>
      </c>
      <c r="BX17" s="27">
        <f t="shared" si="12"/>
        <v>13663113.940776685</v>
      </c>
      <c r="BY17" s="27">
        <f t="shared" si="12"/>
        <v>40327222.896910556</v>
      </c>
      <c r="BZ17" s="27">
        <f t="shared" si="12"/>
        <v>102088102.5561194</v>
      </c>
      <c r="CA17" s="27">
        <f t="shared" si="12"/>
        <v>14531749.316197362</v>
      </c>
      <c r="CB17" s="27">
        <f t="shared" si="12"/>
        <v>64552337.00506103</v>
      </c>
      <c r="CC17" s="27">
        <f t="shared" si="12"/>
        <v>33805960.573324539</v>
      </c>
      <c r="CD17" s="27">
        <f t="shared" si="12"/>
        <v>71470000</v>
      </c>
      <c r="CE17" s="27">
        <f t="shared" si="12"/>
        <v>34343555.175703384</v>
      </c>
      <c r="CF17" s="27">
        <f t="shared" si="12"/>
        <v>23362974.873189084</v>
      </c>
      <c r="CG17" s="27">
        <f t="shared" si="12"/>
        <v>31780600</v>
      </c>
      <c r="CH17" s="27">
        <f t="shared" si="12"/>
        <v>15431400</v>
      </c>
      <c r="CI17" s="27" t="e">
        <f t="shared" si="12"/>
        <v>#DIV/0!</v>
      </c>
      <c r="CJ17" s="27" t="e">
        <f t="shared" si="12"/>
        <v>#DIV/0!</v>
      </c>
    </row>
    <row r="18" spans="1:89" s="57" customFormat="1">
      <c r="A18" s="57" t="s">
        <v>398</v>
      </c>
      <c r="B18" s="57">
        <f>B17/B4*100</f>
        <v>10.466500348593899</v>
      </c>
      <c r="C18" s="57">
        <f t="shared" ref="C18:D18" si="13">C17/C4*100</f>
        <v>5.039126464596122</v>
      </c>
      <c r="D18" s="57">
        <f t="shared" si="13"/>
        <v>4.6265488727670858</v>
      </c>
      <c r="E18" s="57">
        <f>E17/E4</f>
        <v>2.9027433363361686E-2</v>
      </c>
      <c r="F18" s="57">
        <f t="shared" ref="F18:BQ18" si="14">F17/F4</f>
        <v>8.9335579125492004E-2</v>
      </c>
      <c r="G18" s="57">
        <f t="shared" si="14"/>
        <v>8.7756423562843633E-2</v>
      </c>
      <c r="H18" s="57">
        <f t="shared" si="14"/>
        <v>9.8711334224209898E-2</v>
      </c>
      <c r="I18" s="57">
        <f t="shared" si="14"/>
        <v>4.338981856075521E-2</v>
      </c>
      <c r="J18" s="57">
        <f t="shared" si="14"/>
        <v>4.8830631853433816E-2</v>
      </c>
      <c r="K18" s="57">
        <f t="shared" si="14"/>
        <v>5.4886896479266374E-2</v>
      </c>
      <c r="L18" s="57">
        <f t="shared" si="14"/>
        <v>5.3956929061132981E-2</v>
      </c>
      <c r="M18" s="57">
        <f t="shared" si="14"/>
        <v>5.2760214040185778E-2</v>
      </c>
      <c r="N18" s="57">
        <f t="shared" si="14"/>
        <v>4.6837404657890047E-2</v>
      </c>
      <c r="O18" s="57">
        <f t="shared" si="14"/>
        <v>5.8606009265416641E-2</v>
      </c>
      <c r="P18" s="57">
        <f t="shared" si="14"/>
        <v>6.856867761229278E-2</v>
      </c>
      <c r="Q18" s="57">
        <f t="shared" si="14"/>
        <v>9.0737584285856168E-2</v>
      </c>
      <c r="R18" s="57">
        <f t="shared" si="14"/>
        <v>7.4822584679622176E-2</v>
      </c>
      <c r="S18" s="57">
        <f t="shared" si="14"/>
        <v>7.4758394773626557E-2</v>
      </c>
      <c r="T18" s="57">
        <f t="shared" si="14"/>
        <v>7.0951049131337096E-2</v>
      </c>
      <c r="U18" s="57">
        <f t="shared" si="14"/>
        <v>7.9445022175882687E-2</v>
      </c>
      <c r="V18" s="57">
        <f t="shared" si="14"/>
        <v>8.3249177040927561E-2</v>
      </c>
      <c r="W18" s="57">
        <f t="shared" si="14"/>
        <v>5.2748531629051625E-2</v>
      </c>
      <c r="X18" s="57">
        <f t="shared" si="14"/>
        <v>2.1098545208323952E-2</v>
      </c>
      <c r="Y18" s="57">
        <f t="shared" si="14"/>
        <v>6.7140616865496813E-2</v>
      </c>
      <c r="Z18" s="57">
        <f t="shared" si="14"/>
        <v>7.888764707838096E-2</v>
      </c>
      <c r="AA18" s="57">
        <f t="shared" si="14"/>
        <v>6.4713055318691148E-2</v>
      </c>
      <c r="AB18" s="57">
        <f t="shared" si="14"/>
        <v>1.617507661941836E-2</v>
      </c>
      <c r="AC18" s="57">
        <f t="shared" si="14"/>
        <v>8.3331314403852566E-2</v>
      </c>
      <c r="AD18" s="57">
        <f t="shared" si="14"/>
        <v>5.4677652318005525E-2</v>
      </c>
      <c r="AE18" s="57">
        <f t="shared" si="14"/>
        <v>6.0141682418055634E-2</v>
      </c>
      <c r="AF18" s="57">
        <f t="shared" si="14"/>
        <v>3.5890926600485602E-2</v>
      </c>
      <c r="AG18" s="57">
        <f t="shared" si="14"/>
        <v>6.6704069648354194E-2</v>
      </c>
      <c r="AH18" s="57">
        <f t="shared" si="14"/>
        <v>8.4107027942806362E-2</v>
      </c>
      <c r="AI18" s="57">
        <f t="shared" si="14"/>
        <v>7.742644365458122E-2</v>
      </c>
      <c r="AJ18" s="57">
        <f t="shared" si="14"/>
        <v>4.2867019513877211E-2</v>
      </c>
      <c r="AK18" s="57">
        <f t="shared" si="14"/>
        <v>-8.5552452385056585E-2</v>
      </c>
      <c r="AL18" s="57">
        <f t="shared" si="14"/>
        <v>-6.8751021343231536E-2</v>
      </c>
      <c r="AM18" s="57">
        <f t="shared" si="14"/>
        <v>-0.1429468665542788</v>
      </c>
      <c r="AN18" s="57">
        <f t="shared" si="14"/>
        <v>-0.22736973927111948</v>
      </c>
      <c r="AO18" s="57">
        <f t="shared" si="14"/>
        <v>-4.9528683891255865E-2</v>
      </c>
      <c r="AP18" s="57">
        <f t="shared" si="14"/>
        <v>1.5646772717173812E-3</v>
      </c>
      <c r="AQ18" s="57">
        <f t="shared" si="14"/>
        <v>1.9906752014644258E-2</v>
      </c>
      <c r="AR18" s="57">
        <f t="shared" si="14"/>
        <v>4.3862016930196382E-2</v>
      </c>
      <c r="AS18" s="57">
        <f t="shared" si="14"/>
        <v>6.1468383663976771E-2</v>
      </c>
      <c r="AT18" s="57">
        <f t="shared" si="14"/>
        <v>6.8421211606548002E-2</v>
      </c>
      <c r="AU18" s="57">
        <f t="shared" si="14"/>
        <v>7.2241930523196496E-2</v>
      </c>
      <c r="AV18" s="57">
        <f t="shared" si="14"/>
        <v>6.027524552571592E-2</v>
      </c>
      <c r="AW18" s="57">
        <f t="shared" si="14"/>
        <v>8.2304799825661606E-2</v>
      </c>
      <c r="AX18" s="57">
        <f t="shared" si="14"/>
        <v>9.1692296758141362E-2</v>
      </c>
      <c r="AY18" s="57">
        <f t="shared" si="14"/>
        <v>8.2804634917110542E-2</v>
      </c>
      <c r="AZ18" s="57">
        <f t="shared" si="14"/>
        <v>7.3971374856975497E-2</v>
      </c>
      <c r="BA18" s="57">
        <f t="shared" si="14"/>
        <v>6.7363373457650769E-2</v>
      </c>
      <c r="BB18" s="57">
        <f t="shared" si="14"/>
        <v>7.3344717738399276E-2</v>
      </c>
      <c r="BC18" s="57">
        <f t="shared" si="14"/>
        <v>8.3685448455947775E-2</v>
      </c>
      <c r="BD18" s="57">
        <f t="shared" si="14"/>
        <v>7.2937083583401965E-2</v>
      </c>
      <c r="BE18" s="57">
        <f t="shared" si="14"/>
        <v>0.1038735539824472</v>
      </c>
      <c r="BF18" s="57">
        <f t="shared" si="14"/>
        <v>8.8125395859415728E-2</v>
      </c>
      <c r="BG18" s="57">
        <f t="shared" si="14"/>
        <v>9.5754628576485867E-2</v>
      </c>
      <c r="BH18" s="57">
        <f t="shared" si="14"/>
        <v>8.7034950559657334E-2</v>
      </c>
      <c r="BI18" s="57">
        <f t="shared" si="14"/>
        <v>9.2713244876289791E-2</v>
      </c>
      <c r="BJ18" s="57">
        <f t="shared" si="14"/>
        <v>8.0678731787547919E-2</v>
      </c>
      <c r="BK18" s="57">
        <f t="shared" si="14"/>
        <v>0.10166208108640344</v>
      </c>
      <c r="BL18" s="57">
        <f t="shared" si="14"/>
        <v>0.13285935442838259</v>
      </c>
      <c r="BM18" s="57">
        <f t="shared" si="14"/>
        <v>-5.3993765560190081E-2</v>
      </c>
      <c r="BN18" s="57">
        <f t="shared" si="14"/>
        <v>2.7017188493941177E-2</v>
      </c>
      <c r="BO18" s="57">
        <f t="shared" si="14"/>
        <v>0.10792982934526252</v>
      </c>
      <c r="BP18" s="57">
        <f t="shared" si="14"/>
        <v>0.12767044571836539</v>
      </c>
      <c r="BQ18" s="57">
        <f t="shared" si="14"/>
        <v>6.7931041480726581E-2</v>
      </c>
      <c r="BR18" s="57">
        <f t="shared" ref="BR18:CK18" si="15">BR17/BR4</f>
        <v>0.12891364015187451</v>
      </c>
      <c r="BS18" s="57">
        <f t="shared" si="15"/>
        <v>0.10861058492479936</v>
      </c>
      <c r="BT18" s="57">
        <f t="shared" si="15"/>
        <v>0.11120073990679423</v>
      </c>
      <c r="BU18" s="57">
        <f t="shared" si="15"/>
        <v>8.4723090727697681E-2</v>
      </c>
      <c r="BV18" s="57">
        <f t="shared" si="15"/>
        <v>8.4100784232144343E-2</v>
      </c>
      <c r="BW18" s="57">
        <f t="shared" si="15"/>
        <v>0.14518069961325816</v>
      </c>
      <c r="BX18" s="57">
        <f t="shared" si="15"/>
        <v>0.14114456274673237</v>
      </c>
      <c r="BY18" s="57">
        <f t="shared" si="15"/>
        <v>0.1841219897212196</v>
      </c>
      <c r="BZ18" s="57">
        <f t="shared" si="15"/>
        <v>0.98094342995667339</v>
      </c>
      <c r="CA18" s="57">
        <f t="shared" si="15"/>
        <v>9.4505182892399273E-2</v>
      </c>
      <c r="CB18" s="57">
        <f t="shared" si="15"/>
        <v>0.98779398630544801</v>
      </c>
      <c r="CC18" s="57">
        <f t="shared" si="15"/>
        <v>0.22495677385153262</v>
      </c>
      <c r="CD18" s="57">
        <f t="shared" si="15"/>
        <v>0.98092231677189134</v>
      </c>
      <c r="CE18" s="57">
        <f t="shared" si="15"/>
        <v>0.19955250789484233</v>
      </c>
      <c r="CF18" s="57">
        <f t="shared" si="15"/>
        <v>0.17356265944425897</v>
      </c>
      <c r="CG18" s="57">
        <f t="shared" si="15"/>
        <v>0.28654301129560439</v>
      </c>
      <c r="CH18" s="57">
        <f t="shared" si="15"/>
        <v>0.26022377551622666</v>
      </c>
      <c r="CI18" s="57" t="e">
        <f t="shared" si="15"/>
        <v>#DIV/0!</v>
      </c>
      <c r="CJ18" s="57" t="e">
        <f t="shared" si="15"/>
        <v>#DIV/0!</v>
      </c>
      <c r="CK18" s="57" t="e">
        <f t="shared" si="15"/>
        <v>#DIV/0!</v>
      </c>
    </row>
    <row r="19" spans="1:89" s="16" customFormat="1">
      <c r="A19" s="18" t="s">
        <v>86</v>
      </c>
      <c r="B19" s="30"/>
      <c r="C19" s="30"/>
      <c r="D19" s="30"/>
      <c r="E19" s="30"/>
      <c r="F19" s="30"/>
      <c r="G19" s="30"/>
      <c r="H19" s="30"/>
      <c r="I19" s="30"/>
      <c r="J19" s="30"/>
      <c r="K19" s="30"/>
    </row>
    <row r="20" spans="1:89">
      <c r="A20" s="17" t="s">
        <v>399</v>
      </c>
      <c r="B20" s="189">
        <v>-9849946.7200000007</v>
      </c>
      <c r="C20" s="189">
        <v>-9256275.0199999996</v>
      </c>
      <c r="D20" s="189">
        <v>-408050.72</v>
      </c>
      <c r="E20" s="189">
        <v>-37943077</v>
      </c>
      <c r="F20" s="189">
        <v>-3844618.37</v>
      </c>
      <c r="G20" s="189">
        <v>-2772610.98</v>
      </c>
      <c r="H20" s="189">
        <v>-1746050.1</v>
      </c>
      <c r="I20" s="189">
        <v>-4938097.84</v>
      </c>
      <c r="J20" s="189">
        <v>-3227840.85</v>
      </c>
      <c r="K20" s="189">
        <v>-1571239</v>
      </c>
      <c r="L20" s="189">
        <v>-420128.33</v>
      </c>
      <c r="M20" s="189">
        <v>-3239448</v>
      </c>
      <c r="N20" s="189">
        <v>-2899293.4</v>
      </c>
      <c r="O20" s="189">
        <v>0</v>
      </c>
      <c r="P20" s="189">
        <v>-743748.4</v>
      </c>
      <c r="Q20" s="189">
        <v>-92478262</v>
      </c>
      <c r="R20" s="189">
        <v>1293484.7</v>
      </c>
      <c r="S20" s="189">
        <v>2183865</v>
      </c>
      <c r="T20" s="189">
        <v>507062.12</v>
      </c>
      <c r="U20" s="189">
        <v>6502509</v>
      </c>
      <c r="V20" s="189">
        <v>6174133</v>
      </c>
      <c r="W20" s="189">
        <v>1197865</v>
      </c>
      <c r="X20" s="189">
        <v>-2182383.89</v>
      </c>
      <c r="Y20" s="189">
        <v>-9114825</v>
      </c>
      <c r="Z20" s="189">
        <v>-4055554</v>
      </c>
      <c r="AA20" s="189">
        <v>-1201119</v>
      </c>
      <c r="AB20" s="189">
        <v>-2248296.36</v>
      </c>
      <c r="AC20" s="189">
        <v>-15589317</v>
      </c>
      <c r="AD20" s="189">
        <v>-4874316.8</v>
      </c>
      <c r="AE20" s="189">
        <v>0</v>
      </c>
      <c r="AF20" s="189">
        <v>-811070.4</v>
      </c>
      <c r="AG20" s="189">
        <v>0</v>
      </c>
      <c r="AH20" s="189">
        <v>0</v>
      </c>
      <c r="AI20" s="189">
        <v>0</v>
      </c>
      <c r="AJ20" s="189">
        <v>0</v>
      </c>
      <c r="AK20" s="189">
        <v>0</v>
      </c>
      <c r="AL20" s="189">
        <v>0</v>
      </c>
      <c r="AM20" s="189">
        <v>0</v>
      </c>
      <c r="AN20" s="189">
        <v>0</v>
      </c>
      <c r="AO20" s="189">
        <v>-416989.71</v>
      </c>
      <c r="AP20" s="189">
        <v>0</v>
      </c>
      <c r="AQ20" s="189">
        <v>0</v>
      </c>
      <c r="AR20" s="189">
        <v>0</v>
      </c>
      <c r="AS20" s="189">
        <v>-884549.53</v>
      </c>
      <c r="AT20" s="189">
        <v>0</v>
      </c>
      <c r="AU20" s="189">
        <v>0</v>
      </c>
      <c r="AV20" s="189">
        <v>0</v>
      </c>
      <c r="AW20" s="189">
        <v>0</v>
      </c>
      <c r="AX20" s="189">
        <v>0</v>
      </c>
      <c r="AY20" s="189">
        <v>0</v>
      </c>
      <c r="AZ20" s="189">
        <v>0</v>
      </c>
      <c r="BA20" s="189">
        <v>0</v>
      </c>
      <c r="BB20" s="189">
        <v>0</v>
      </c>
      <c r="BC20" s="189">
        <v>0</v>
      </c>
      <c r="BD20" s="189">
        <v>0</v>
      </c>
      <c r="BE20" s="189">
        <v>0</v>
      </c>
      <c r="BF20" s="189">
        <v>0</v>
      </c>
      <c r="BG20" s="189">
        <v>0</v>
      </c>
      <c r="BH20" s="189">
        <v>0</v>
      </c>
      <c r="BI20" s="189">
        <v>0</v>
      </c>
      <c r="BJ20" s="189">
        <v>0</v>
      </c>
      <c r="BK20" s="189">
        <v>0</v>
      </c>
      <c r="BL20" s="189">
        <v>0</v>
      </c>
      <c r="BM20" s="189">
        <v>0</v>
      </c>
      <c r="BN20" s="189">
        <v>0</v>
      </c>
      <c r="BO20" s="189">
        <v>0</v>
      </c>
      <c r="BP20" s="189">
        <v>0</v>
      </c>
      <c r="BQ20" s="189">
        <v>0</v>
      </c>
      <c r="BR20" s="189">
        <v>0</v>
      </c>
      <c r="BS20" s="189">
        <v>0</v>
      </c>
      <c r="BT20" s="189">
        <v>0</v>
      </c>
      <c r="BU20" s="189">
        <v>0</v>
      </c>
      <c r="BV20" s="189">
        <v>0</v>
      </c>
      <c r="BW20" s="189">
        <v>0</v>
      </c>
      <c r="BX20" s="189">
        <v>0</v>
      </c>
      <c r="BY20" s="189">
        <v>0</v>
      </c>
      <c r="BZ20" s="189">
        <v>0</v>
      </c>
      <c r="CA20" s="189">
        <v>0</v>
      </c>
      <c r="CB20" s="189">
        <v>0</v>
      </c>
      <c r="CC20" s="189">
        <v>0</v>
      </c>
      <c r="CD20" s="189">
        <v>0</v>
      </c>
      <c r="CE20" s="189">
        <v>0</v>
      </c>
      <c r="CF20" s="189">
        <v>0</v>
      </c>
      <c r="CG20" s="189">
        <v>0</v>
      </c>
      <c r="CH20" s="189">
        <v>0</v>
      </c>
      <c r="CI20" s="189">
        <v>0</v>
      </c>
      <c r="CJ20" s="189"/>
      <c r="CK20" s="189"/>
    </row>
    <row r="21" spans="1:89" s="16" customFormat="1">
      <c r="A21" s="18" t="s">
        <v>87</v>
      </c>
      <c r="B21" s="30"/>
      <c r="C21" s="30"/>
      <c r="D21" s="30"/>
      <c r="E21" s="30"/>
      <c r="F21" s="30"/>
      <c r="G21" s="30"/>
      <c r="H21" s="30"/>
      <c r="I21" s="30"/>
      <c r="J21" s="30"/>
      <c r="K21" s="30"/>
    </row>
    <row r="22" spans="1:89">
      <c r="A22" s="17" t="s">
        <v>400</v>
      </c>
      <c r="B22" s="189">
        <v>0</v>
      </c>
      <c r="C22" s="189">
        <v>0</v>
      </c>
      <c r="D22" s="189">
        <v>0</v>
      </c>
      <c r="E22" s="189">
        <v>0</v>
      </c>
      <c r="F22" s="189">
        <v>0</v>
      </c>
      <c r="G22" s="189">
        <v>0</v>
      </c>
      <c r="H22" s="189">
        <v>0</v>
      </c>
      <c r="I22" s="189">
        <v>0</v>
      </c>
      <c r="J22" s="189">
        <v>0</v>
      </c>
      <c r="K22" s="189">
        <v>0</v>
      </c>
      <c r="L22" s="189">
        <v>0</v>
      </c>
      <c r="M22" s="189">
        <v>0</v>
      </c>
      <c r="N22" s="189">
        <v>0</v>
      </c>
      <c r="O22" s="189">
        <v>0</v>
      </c>
      <c r="P22" s="189">
        <v>0</v>
      </c>
      <c r="Q22" s="189">
        <v>0</v>
      </c>
      <c r="R22" s="189">
        <v>0</v>
      </c>
      <c r="S22" s="189">
        <v>0</v>
      </c>
      <c r="T22" s="189">
        <v>0</v>
      </c>
      <c r="U22" s="189">
        <v>0</v>
      </c>
      <c r="V22" s="189">
        <v>0</v>
      </c>
      <c r="W22" s="189">
        <v>0</v>
      </c>
      <c r="X22" s="189">
        <v>0</v>
      </c>
      <c r="Y22" s="189">
        <v>0</v>
      </c>
      <c r="Z22" s="189">
        <v>0</v>
      </c>
      <c r="AA22" s="189">
        <v>0</v>
      </c>
      <c r="AB22" s="189">
        <v>0</v>
      </c>
      <c r="AC22" s="189">
        <v>0</v>
      </c>
      <c r="AD22" s="189">
        <v>5394376.0800000001</v>
      </c>
      <c r="AE22" s="189">
        <v>0</v>
      </c>
      <c r="AF22" s="189">
        <v>0</v>
      </c>
      <c r="AG22" s="189">
        <v>0</v>
      </c>
      <c r="AH22" s="189">
        <v>43630.23</v>
      </c>
      <c r="AI22" s="189">
        <v>43630.23</v>
      </c>
      <c r="AJ22" s="189">
        <v>0</v>
      </c>
      <c r="AK22" s="189">
        <v>-43630.23</v>
      </c>
      <c r="AL22" s="189">
        <v>0</v>
      </c>
      <c r="AM22" s="189">
        <v>0</v>
      </c>
      <c r="AN22" s="189">
        <v>0</v>
      </c>
      <c r="AO22" s="189">
        <v>0</v>
      </c>
      <c r="AP22" s="189">
        <v>0</v>
      </c>
      <c r="AQ22" s="189">
        <v>0</v>
      </c>
      <c r="AR22" s="189">
        <v>0</v>
      </c>
      <c r="AS22" s="189">
        <v>0</v>
      </c>
      <c r="AT22" s="189">
        <v>0</v>
      </c>
      <c r="AU22" s="189">
        <v>0</v>
      </c>
      <c r="AV22" s="189">
        <v>0</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c r="BQ22" s="189">
        <v>0</v>
      </c>
      <c r="BR22" s="189">
        <v>0</v>
      </c>
      <c r="BS22" s="189">
        <v>0</v>
      </c>
      <c r="BT22" s="189">
        <v>0</v>
      </c>
      <c r="BU22" s="189">
        <v>0</v>
      </c>
      <c r="BV22" s="189">
        <v>0</v>
      </c>
      <c r="BW22" s="189">
        <v>0</v>
      </c>
      <c r="BX22" s="189">
        <v>0</v>
      </c>
      <c r="BY22" s="189">
        <v>0</v>
      </c>
      <c r="BZ22" s="189">
        <v>0</v>
      </c>
      <c r="CA22" s="189">
        <v>0</v>
      </c>
      <c r="CB22" s="189">
        <v>0</v>
      </c>
      <c r="CC22" s="189">
        <v>0</v>
      </c>
      <c r="CD22" s="189">
        <v>0</v>
      </c>
      <c r="CE22" s="189">
        <v>0</v>
      </c>
      <c r="CF22" s="189">
        <v>0</v>
      </c>
      <c r="CG22" s="189">
        <v>0</v>
      </c>
      <c r="CH22" s="189">
        <v>0</v>
      </c>
      <c r="CI22" s="189">
        <v>0</v>
      </c>
      <c r="CJ22" s="189"/>
      <c r="CK22" s="189"/>
    </row>
    <row r="23" spans="1:89" s="7" customFormat="1">
      <c r="A23" s="21" t="s">
        <v>401</v>
      </c>
      <c r="B23" s="29">
        <f>-B52</f>
        <v>25636</v>
      </c>
      <c r="C23" s="29">
        <f t="shared" ref="C23:BN23" si="16">-C52</f>
        <v>27718</v>
      </c>
      <c r="D23" s="29">
        <f t="shared" si="16"/>
        <v>35317</v>
      </c>
      <c r="E23" s="29">
        <f t="shared" si="16"/>
        <v>30048530.609999999</v>
      </c>
      <c r="F23" s="29">
        <f t="shared" si="16"/>
        <v>0</v>
      </c>
      <c r="G23" s="29">
        <f t="shared" si="16"/>
        <v>0</v>
      </c>
      <c r="H23" s="29">
        <f t="shared" si="16"/>
        <v>0</v>
      </c>
      <c r="I23" s="29">
        <f t="shared" si="16"/>
        <v>37900112.909999996</v>
      </c>
      <c r="J23" s="29">
        <f t="shared" si="16"/>
        <v>0</v>
      </c>
      <c r="K23" s="29">
        <f t="shared" si="16"/>
        <v>0</v>
      </c>
      <c r="L23" s="29">
        <f t="shared" si="16"/>
        <v>0</v>
      </c>
      <c r="M23" s="29">
        <f t="shared" si="16"/>
        <v>45938461</v>
      </c>
      <c r="N23" s="29">
        <f t="shared" si="16"/>
        <v>0</v>
      </c>
      <c r="O23" s="29">
        <f t="shared" si="16"/>
        <v>0</v>
      </c>
      <c r="P23" s="29">
        <f t="shared" si="16"/>
        <v>0</v>
      </c>
      <c r="Q23" s="29">
        <f t="shared" si="16"/>
        <v>19698440</v>
      </c>
      <c r="R23" s="29">
        <f t="shared" si="16"/>
        <v>0</v>
      </c>
      <c r="S23" s="29">
        <f t="shared" si="16"/>
        <v>0</v>
      </c>
      <c r="T23" s="29">
        <f t="shared" si="16"/>
        <v>0</v>
      </c>
      <c r="U23" s="29">
        <f t="shared" si="16"/>
        <v>6340857</v>
      </c>
      <c r="V23" s="29">
        <f t="shared" si="16"/>
        <v>0</v>
      </c>
      <c r="W23" s="29">
        <f t="shared" si="16"/>
        <v>0</v>
      </c>
      <c r="X23" s="29">
        <f t="shared" si="16"/>
        <v>0</v>
      </c>
      <c r="Y23" s="29">
        <f t="shared" si="16"/>
        <v>11939609</v>
      </c>
      <c r="Z23" s="29">
        <f t="shared" si="16"/>
        <v>0</v>
      </c>
      <c r="AA23" s="29">
        <f t="shared" si="16"/>
        <v>0</v>
      </c>
      <c r="AB23" s="29">
        <f t="shared" si="16"/>
        <v>0</v>
      </c>
      <c r="AC23" s="29">
        <f t="shared" si="16"/>
        <v>12899270</v>
      </c>
      <c r="AD23" s="29">
        <f t="shared" si="16"/>
        <v>0</v>
      </c>
      <c r="AE23" s="29">
        <f t="shared" si="16"/>
        <v>0</v>
      </c>
      <c r="AF23" s="29">
        <f t="shared" si="16"/>
        <v>0</v>
      </c>
      <c r="AG23" s="29">
        <f t="shared" si="16"/>
        <v>6201253</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c r="A24" s="17" t="s">
        <v>402</v>
      </c>
      <c r="B24" s="26">
        <f>B67</f>
        <v>128196154.28999999</v>
      </c>
      <c r="C24" s="26">
        <f t="shared" ref="C24:BN24" si="18">C67</f>
        <v>128196154.28999999</v>
      </c>
      <c r="D24" s="26">
        <f t="shared" si="18"/>
        <v>0</v>
      </c>
      <c r="E24" s="26">
        <f>E67</f>
        <v>0</v>
      </c>
      <c r="F24" s="26">
        <f t="shared" si="18"/>
        <v>0</v>
      </c>
      <c r="G24" s="26">
        <f t="shared" si="18"/>
        <v>0</v>
      </c>
      <c r="H24" s="26">
        <f t="shared" si="18"/>
        <v>0</v>
      </c>
      <c r="I24" s="26">
        <f t="shared" si="18"/>
        <v>12601552.51</v>
      </c>
      <c r="J24" s="26">
        <f t="shared" si="18"/>
        <v>12601552.51</v>
      </c>
      <c r="K24" s="26">
        <f t="shared" si="18"/>
        <v>5333699</v>
      </c>
      <c r="L24" s="26">
        <f t="shared" si="18"/>
        <v>1214520.55</v>
      </c>
      <c r="M24" s="26">
        <f t="shared" si="18"/>
        <v>0</v>
      </c>
      <c r="N24" s="26">
        <f t="shared" si="18"/>
        <v>0</v>
      </c>
      <c r="O24" s="26">
        <f t="shared" si="18"/>
        <v>-2005657</v>
      </c>
      <c r="P24" s="26">
        <f t="shared" si="18"/>
        <v>0</v>
      </c>
      <c r="Q24" s="26">
        <f t="shared" si="18"/>
        <v>53458022</v>
      </c>
      <c r="R24" s="26">
        <f t="shared" si="18"/>
        <v>25329771.510000002</v>
      </c>
      <c r="S24" s="26">
        <f t="shared" si="18"/>
        <v>27904</v>
      </c>
      <c r="T24" s="26">
        <f t="shared" si="18"/>
        <v>0</v>
      </c>
      <c r="U24" s="26">
        <f t="shared" si="18"/>
        <v>30380</v>
      </c>
      <c r="V24" s="26">
        <f t="shared" si="18"/>
        <v>30380</v>
      </c>
      <c r="W24" s="26">
        <f t="shared" si="18"/>
        <v>30380</v>
      </c>
      <c r="X24" s="26">
        <f t="shared" si="18"/>
        <v>0</v>
      </c>
      <c r="Y24" s="26">
        <f t="shared" si="18"/>
        <v>0</v>
      </c>
      <c r="Z24" s="26">
        <f t="shared" si="18"/>
        <v>0</v>
      </c>
      <c r="AA24" s="26">
        <f t="shared" si="18"/>
        <v>0</v>
      </c>
      <c r="AB24" s="26">
        <f t="shared" si="18"/>
        <v>0</v>
      </c>
      <c r="AC24" s="26">
        <f t="shared" si="18"/>
        <v>0</v>
      </c>
      <c r="AD24" s="26">
        <f t="shared" si="18"/>
        <v>0</v>
      </c>
      <c r="AE24" s="26">
        <f t="shared" si="18"/>
        <v>-1643539</v>
      </c>
      <c r="AF24" s="26">
        <f t="shared" si="18"/>
        <v>0</v>
      </c>
      <c r="AG24" s="26">
        <f t="shared" si="18"/>
        <v>-1778301</v>
      </c>
      <c r="AH24" s="26">
        <f t="shared" si="18"/>
        <v>0</v>
      </c>
      <c r="AI24" s="26">
        <f t="shared" si="18"/>
        <v>0</v>
      </c>
      <c r="AJ24" s="26">
        <f t="shared" si="18"/>
        <v>0</v>
      </c>
      <c r="AK24" s="26">
        <f t="shared" si="18"/>
        <v>0</v>
      </c>
      <c r="AL24" s="26">
        <f t="shared" si="18"/>
        <v>0</v>
      </c>
      <c r="AM24" s="26">
        <f t="shared" si="18"/>
        <v>0</v>
      </c>
      <c r="AN24" s="26">
        <f t="shared" si="18"/>
        <v>0</v>
      </c>
      <c r="AO24" s="26">
        <f t="shared" si="18"/>
        <v>86036893.929999992</v>
      </c>
      <c r="AP24" s="26">
        <f t="shared" si="18"/>
        <v>40190682</v>
      </c>
      <c r="AQ24" s="26">
        <f t="shared" si="18"/>
        <v>39129482</v>
      </c>
      <c r="AR24" s="26">
        <f t="shared" si="18"/>
        <v>0</v>
      </c>
      <c r="AS24" s="26">
        <f t="shared" si="18"/>
        <v>636304.20000000007</v>
      </c>
      <c r="AT24" s="26">
        <f t="shared" si="18"/>
        <v>0</v>
      </c>
      <c r="AU24" s="26">
        <f t="shared" si="18"/>
        <v>0</v>
      </c>
      <c r="AV24" s="26">
        <f t="shared" si="18"/>
        <v>0</v>
      </c>
      <c r="AW24" s="26">
        <f t="shared" si="18"/>
        <v>341592.68</v>
      </c>
      <c r="AX24" s="26">
        <f t="shared" si="18"/>
        <v>424202.8</v>
      </c>
      <c r="AY24" s="26">
        <f t="shared" si="18"/>
        <v>424202.8</v>
      </c>
      <c r="AZ24" s="26">
        <f t="shared" si="18"/>
        <v>0</v>
      </c>
      <c r="BA24" s="26">
        <f t="shared" si="18"/>
        <v>-1642229.95</v>
      </c>
      <c r="BB24" s="26">
        <f t="shared" si="18"/>
        <v>-270832.65000000002</v>
      </c>
      <c r="BC24" s="26">
        <f t="shared" si="18"/>
        <v>-270832.65000000002</v>
      </c>
      <c r="BD24" s="26">
        <f t="shared" si="18"/>
        <v>0</v>
      </c>
      <c r="BE24" s="26">
        <f t="shared" si="18"/>
        <v>617403.02</v>
      </c>
      <c r="BF24" s="26">
        <f t="shared" si="18"/>
        <v>275199.90000000002</v>
      </c>
      <c r="BG24" s="26">
        <f t="shared" si="18"/>
        <v>275199.90000000002</v>
      </c>
      <c r="BH24" s="26">
        <f t="shared" si="18"/>
        <v>0</v>
      </c>
      <c r="BI24" s="26">
        <f t="shared" si="18"/>
        <v>-327261.12</v>
      </c>
      <c r="BJ24" s="26">
        <f t="shared" si="18"/>
        <v>353439</v>
      </c>
      <c r="BK24" s="26">
        <f t="shared" si="18"/>
        <v>0</v>
      </c>
      <c r="BL24" s="26">
        <f t="shared" si="18"/>
        <v>0</v>
      </c>
      <c r="BM24" s="26">
        <f t="shared" si="18"/>
        <v>415016.52</v>
      </c>
      <c r="BN24" s="26">
        <f t="shared" si="18"/>
        <v>762544.88</v>
      </c>
      <c r="BO24" s="26">
        <f t="shared" ref="BO24:CJ24" si="19">BO67</f>
        <v>272930.44</v>
      </c>
      <c r="BP24" s="26">
        <f t="shared" si="19"/>
        <v>0</v>
      </c>
      <c r="BQ24" s="26">
        <f t="shared" si="19"/>
        <v>394698.36</v>
      </c>
      <c r="BR24" s="26">
        <f t="shared" si="19"/>
        <v>28670</v>
      </c>
      <c r="BS24" s="26">
        <f t="shared" si="19"/>
        <v>1175980.52</v>
      </c>
      <c r="BT24" s="26">
        <f t="shared" si="19"/>
        <v>667825.07999999996</v>
      </c>
      <c r="BU24" s="26">
        <f t="shared" si="19"/>
        <v>2658165.7799999998</v>
      </c>
      <c r="BV24" s="26">
        <f t="shared" si="19"/>
        <v>516126.06</v>
      </c>
      <c r="BW24" s="26">
        <f t="shared" si="19"/>
        <v>2912419.14</v>
      </c>
      <c r="BX24" s="26">
        <f t="shared" si="19"/>
        <v>1952939.06</v>
      </c>
      <c r="BY24" s="26">
        <f t="shared" si="19"/>
        <v>836105.92</v>
      </c>
      <c r="BZ24" s="26">
        <f t="shared" si="19"/>
        <v>423600.16</v>
      </c>
      <c r="CA24" s="26">
        <f t="shared" si="19"/>
        <v>1726414.62</v>
      </c>
      <c r="CB24" s="26">
        <f t="shared" si="19"/>
        <v>1830000</v>
      </c>
      <c r="CC24" s="26">
        <f t="shared" si="19"/>
        <v>-57424.84</v>
      </c>
      <c r="CD24" s="26">
        <f t="shared" si="19"/>
        <v>0</v>
      </c>
      <c r="CE24" s="26">
        <f t="shared" si="19"/>
        <v>1693539.91</v>
      </c>
      <c r="CF24" s="26">
        <f t="shared" si="19"/>
        <v>-88121.56</v>
      </c>
      <c r="CG24" s="26">
        <f t="shared" si="19"/>
        <v>0</v>
      </c>
      <c r="CH24" s="26">
        <f t="shared" si="19"/>
        <v>0</v>
      </c>
      <c r="CI24" s="26">
        <f t="shared" si="19"/>
        <v>0</v>
      </c>
      <c r="CJ24" s="26">
        <f t="shared" si="19"/>
        <v>0</v>
      </c>
    </row>
    <row r="25" spans="1:89" s="7" customFormat="1">
      <c r="A25" s="21" t="s">
        <v>403</v>
      </c>
      <c r="B25" s="29">
        <f>-B54</f>
        <v>-3104</v>
      </c>
      <c r="C25" s="29">
        <f t="shared" ref="C25:BN25" si="20">-C54</f>
        <v>1424</v>
      </c>
      <c r="D25" s="29">
        <f t="shared" si="20"/>
        <v>340</v>
      </c>
      <c r="E25" s="29">
        <f t="shared" si="20"/>
        <v>-103216839.48999999</v>
      </c>
      <c r="F25" s="29">
        <f t="shared" si="20"/>
        <v>0</v>
      </c>
      <c r="G25" s="29">
        <f t="shared" si="20"/>
        <v>0</v>
      </c>
      <c r="H25" s="29">
        <f t="shared" si="20"/>
        <v>0</v>
      </c>
      <c r="I25" s="29">
        <f t="shared" si="20"/>
        <v>164398175.06999999</v>
      </c>
      <c r="J25" s="29">
        <f t="shared" si="20"/>
        <v>0</v>
      </c>
      <c r="K25" s="29">
        <f t="shared" si="20"/>
        <v>0</v>
      </c>
      <c r="L25" s="29">
        <f t="shared" si="20"/>
        <v>0</v>
      </c>
      <c r="M25" s="29">
        <f t="shared" si="20"/>
        <v>54660758</v>
      </c>
      <c r="N25" s="29">
        <f t="shared" si="20"/>
        <v>0</v>
      </c>
      <c r="O25" s="29">
        <f t="shared" si="20"/>
        <v>0</v>
      </c>
      <c r="P25" s="29">
        <f t="shared" si="20"/>
        <v>0</v>
      </c>
      <c r="Q25" s="29">
        <f t="shared" si="20"/>
        <v>30357978</v>
      </c>
      <c r="R25" s="29">
        <f t="shared" si="20"/>
        <v>0</v>
      </c>
      <c r="S25" s="29">
        <f t="shared" si="20"/>
        <v>0</v>
      </c>
      <c r="T25" s="29">
        <f t="shared" si="20"/>
        <v>0</v>
      </c>
      <c r="U25" s="29">
        <f t="shared" si="20"/>
        <v>0</v>
      </c>
      <c r="V25" s="29">
        <f t="shared" si="20"/>
        <v>0</v>
      </c>
      <c r="W25" s="29">
        <f t="shared" si="20"/>
        <v>0</v>
      </c>
      <c r="X25" s="29">
        <f t="shared" si="20"/>
        <v>0</v>
      </c>
      <c r="Y25" s="29">
        <f t="shared" si="20"/>
        <v>0</v>
      </c>
      <c r="Z25" s="29">
        <f t="shared" si="20"/>
        <v>0</v>
      </c>
      <c r="AA25" s="29">
        <f t="shared" si="20"/>
        <v>0</v>
      </c>
      <c r="AB25" s="29">
        <f t="shared" si="20"/>
        <v>0</v>
      </c>
      <c r="AC25" s="29">
        <f t="shared" si="20"/>
        <v>58330340</v>
      </c>
      <c r="AD25" s="29">
        <f t="shared" si="20"/>
        <v>0</v>
      </c>
      <c r="AE25" s="29">
        <f t="shared" si="20"/>
        <v>0</v>
      </c>
      <c r="AF25" s="29">
        <f t="shared" si="20"/>
        <v>0</v>
      </c>
      <c r="AG25" s="29">
        <f t="shared" si="20"/>
        <v>1590918</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c r="A26" s="17" t="s">
        <v>404</v>
      </c>
      <c r="B26" s="189">
        <v>26614645.739999998</v>
      </c>
      <c r="C26" s="189">
        <v>13903268.41</v>
      </c>
      <c r="D26" s="189">
        <v>4007316.94</v>
      </c>
      <c r="E26" s="189">
        <v>-7300760.9000000004</v>
      </c>
      <c r="F26" s="189">
        <v>-657486.06999999995</v>
      </c>
      <c r="G26" s="189">
        <v>9139701.3800000008</v>
      </c>
      <c r="H26" s="189">
        <v>15501486.41</v>
      </c>
      <c r="I26" s="189">
        <v>25513531.440000001</v>
      </c>
      <c r="J26" s="189">
        <v>67544470.790000007</v>
      </c>
      <c r="K26" s="189">
        <v>70773414</v>
      </c>
      <c r="L26" s="189">
        <v>25986293.940000001</v>
      </c>
      <c r="M26" s="189">
        <v>20116080</v>
      </c>
      <c r="N26" s="189">
        <v>13875578.74</v>
      </c>
      <c r="O26" s="189">
        <v>-9266440</v>
      </c>
      <c r="P26" s="189">
        <v>-1217804.48</v>
      </c>
      <c r="Q26" s="189">
        <v>-58407282</v>
      </c>
      <c r="R26" s="189">
        <v>-6889883.1299999999</v>
      </c>
      <c r="S26" s="189">
        <v>-1324586</v>
      </c>
      <c r="T26" s="189">
        <v>-1135415.95</v>
      </c>
      <c r="U26" s="189">
        <v>4705901</v>
      </c>
      <c r="V26" s="189">
        <v>-1857900</v>
      </c>
      <c r="W26" s="189">
        <v>-5293190</v>
      </c>
      <c r="X26" s="189">
        <v>-2955428.37</v>
      </c>
      <c r="Y26" s="189">
        <v>-358734</v>
      </c>
      <c r="Z26" s="189">
        <v>-2076781</v>
      </c>
      <c r="AA26" s="189">
        <v>-701076</v>
      </c>
      <c r="AB26" s="189">
        <v>1613737.86</v>
      </c>
      <c r="AC26" s="189">
        <v>2795031</v>
      </c>
      <c r="AD26" s="189">
        <v>-1141587.73</v>
      </c>
      <c r="AE26" s="189">
        <v>53404</v>
      </c>
      <c r="AF26" s="189">
        <v>193366.63</v>
      </c>
      <c r="AG26" s="189">
        <v>-609992</v>
      </c>
      <c r="AH26" s="189">
        <v>28981971.010000002</v>
      </c>
      <c r="AI26" s="189">
        <v>18800873.890000001</v>
      </c>
      <c r="AJ26" s="189">
        <v>9876599.1899999995</v>
      </c>
      <c r="AK26" s="189">
        <v>370603.64</v>
      </c>
      <c r="AL26" s="189">
        <v>0</v>
      </c>
      <c r="AM26" s="189">
        <v>0</v>
      </c>
      <c r="AN26" s="189">
        <v>0</v>
      </c>
      <c r="AO26" s="189">
        <v>0</v>
      </c>
      <c r="AP26" s="189">
        <v>0</v>
      </c>
      <c r="AQ26" s="189">
        <v>0</v>
      </c>
      <c r="AR26" s="189">
        <v>0</v>
      </c>
      <c r="AS26" s="189">
        <v>0</v>
      </c>
      <c r="AT26" s="189">
        <v>0</v>
      </c>
      <c r="AU26" s="189">
        <v>0</v>
      </c>
      <c r="AV26" s="189">
        <v>0</v>
      </c>
      <c r="AW26" s="189">
        <v>0</v>
      </c>
      <c r="AX26" s="189">
        <v>0</v>
      </c>
      <c r="AY26" s="189">
        <v>0</v>
      </c>
      <c r="AZ26" s="189">
        <v>0</v>
      </c>
      <c r="BA26" s="189">
        <v>0</v>
      </c>
      <c r="BB26" s="189">
        <v>0</v>
      </c>
      <c r="BC26" s="189">
        <v>0</v>
      </c>
      <c r="BD26" s="189">
        <v>0</v>
      </c>
      <c r="BE26" s="189">
        <v>0</v>
      </c>
      <c r="BF26" s="189">
        <v>0</v>
      </c>
      <c r="BG26" s="189">
        <v>0</v>
      </c>
      <c r="BH26" s="189">
        <v>0</v>
      </c>
      <c r="BI26" s="189">
        <v>0</v>
      </c>
      <c r="BJ26" s="189">
        <v>0</v>
      </c>
      <c r="BK26" s="189">
        <v>0</v>
      </c>
      <c r="BL26" s="189">
        <v>0</v>
      </c>
      <c r="BM26" s="189">
        <v>0</v>
      </c>
      <c r="BN26" s="189">
        <v>0</v>
      </c>
      <c r="BO26" s="189">
        <v>0</v>
      </c>
      <c r="BP26" s="189">
        <v>0</v>
      </c>
      <c r="BQ26" s="189">
        <v>0</v>
      </c>
      <c r="BR26" s="189">
        <v>0</v>
      </c>
      <c r="BS26" s="189">
        <v>0</v>
      </c>
      <c r="BT26" s="189">
        <v>0</v>
      </c>
      <c r="BU26" s="189">
        <v>0</v>
      </c>
      <c r="BV26" s="189">
        <v>0</v>
      </c>
      <c r="BW26" s="189">
        <v>0</v>
      </c>
      <c r="BX26" s="189">
        <v>0</v>
      </c>
      <c r="BY26" s="189">
        <v>0</v>
      </c>
      <c r="BZ26" s="189">
        <v>0</v>
      </c>
      <c r="CA26" s="189">
        <v>0</v>
      </c>
      <c r="CB26" s="189">
        <v>0</v>
      </c>
      <c r="CC26" s="189">
        <v>0</v>
      </c>
      <c r="CD26" s="189">
        <v>0</v>
      </c>
      <c r="CE26" s="189">
        <v>0</v>
      </c>
      <c r="CF26" s="189">
        <v>0</v>
      </c>
      <c r="CG26" s="189">
        <v>0</v>
      </c>
      <c r="CH26" s="189">
        <v>0</v>
      </c>
      <c r="CI26" s="189">
        <v>0</v>
      </c>
      <c r="CJ26" s="189"/>
      <c r="CK26" s="189"/>
    </row>
    <row r="27" spans="1:89">
      <c r="A27" s="17" t="s">
        <v>405</v>
      </c>
      <c r="B27" s="26">
        <f>SUM(B22:B26)</f>
        <v>154833332.03</v>
      </c>
      <c r="C27" s="26">
        <f t="shared" ref="C27:BN27" si="22">SUM(C22:C26)</f>
        <v>142128564.69999999</v>
      </c>
      <c r="D27" s="26">
        <f t="shared" si="22"/>
        <v>4042973.94</v>
      </c>
      <c r="E27" s="26">
        <f t="shared" si="22"/>
        <v>-80469069.780000001</v>
      </c>
      <c r="F27" s="26">
        <f t="shared" si="22"/>
        <v>-657486.06999999995</v>
      </c>
      <c r="G27" s="26">
        <f t="shared" si="22"/>
        <v>9139701.3800000008</v>
      </c>
      <c r="H27" s="26">
        <f t="shared" si="22"/>
        <v>15501486.41</v>
      </c>
      <c r="I27" s="26">
        <f t="shared" si="22"/>
        <v>240413371.92999998</v>
      </c>
      <c r="J27" s="26">
        <f t="shared" si="22"/>
        <v>80146023.300000012</v>
      </c>
      <c r="K27" s="26">
        <f t="shared" si="22"/>
        <v>76107113</v>
      </c>
      <c r="L27" s="26">
        <f t="shared" si="22"/>
        <v>27200814.490000002</v>
      </c>
      <c r="M27" s="26">
        <f t="shared" si="22"/>
        <v>120715299</v>
      </c>
      <c r="N27" s="26">
        <f t="shared" si="22"/>
        <v>13875578.74</v>
      </c>
      <c r="O27" s="26">
        <f t="shared" si="22"/>
        <v>-11272097</v>
      </c>
      <c r="P27" s="26">
        <f t="shared" si="22"/>
        <v>-1217804.48</v>
      </c>
      <c r="Q27" s="26">
        <f t="shared" si="22"/>
        <v>45107158</v>
      </c>
      <c r="R27" s="26">
        <f t="shared" si="22"/>
        <v>18439888.380000003</v>
      </c>
      <c r="S27" s="26">
        <f t="shared" si="22"/>
        <v>-1296682</v>
      </c>
      <c r="T27" s="26">
        <f t="shared" si="22"/>
        <v>-1135415.95</v>
      </c>
      <c r="U27" s="26">
        <f t="shared" si="22"/>
        <v>11077138</v>
      </c>
      <c r="V27" s="26">
        <f t="shared" si="22"/>
        <v>-1827520</v>
      </c>
      <c r="W27" s="26">
        <f t="shared" si="22"/>
        <v>-5262810</v>
      </c>
      <c r="X27" s="26">
        <f t="shared" si="22"/>
        <v>-2955428.37</v>
      </c>
      <c r="Y27" s="26">
        <f t="shared" si="22"/>
        <v>11580875</v>
      </c>
      <c r="Z27" s="26">
        <f t="shared" si="22"/>
        <v>-2076781</v>
      </c>
      <c r="AA27" s="26">
        <f t="shared" si="22"/>
        <v>-701076</v>
      </c>
      <c r="AB27" s="26">
        <f t="shared" si="22"/>
        <v>1613737.86</v>
      </c>
      <c r="AC27" s="26">
        <f t="shared" si="22"/>
        <v>74024641</v>
      </c>
      <c r="AD27" s="26">
        <f t="shared" si="22"/>
        <v>4252788.3499999996</v>
      </c>
      <c r="AE27" s="26">
        <f t="shared" si="22"/>
        <v>-1590135</v>
      </c>
      <c r="AF27" s="26">
        <f t="shared" si="22"/>
        <v>193366.63</v>
      </c>
      <c r="AG27" s="26">
        <f t="shared" si="22"/>
        <v>5403878</v>
      </c>
      <c r="AH27" s="26">
        <f t="shared" si="22"/>
        <v>29025601.240000002</v>
      </c>
      <c r="AI27" s="26">
        <f t="shared" si="22"/>
        <v>18844504.120000001</v>
      </c>
      <c r="AJ27" s="26">
        <f t="shared" si="22"/>
        <v>9876599.1899999995</v>
      </c>
      <c r="AK27" s="26">
        <f t="shared" si="22"/>
        <v>326973.41000000003</v>
      </c>
      <c r="AL27" s="26">
        <f t="shared" si="22"/>
        <v>0</v>
      </c>
      <c r="AM27" s="26">
        <f t="shared" si="22"/>
        <v>0</v>
      </c>
      <c r="AN27" s="26">
        <f t="shared" si="22"/>
        <v>0</v>
      </c>
      <c r="AO27" s="26">
        <f t="shared" si="22"/>
        <v>86036893.929999992</v>
      </c>
      <c r="AP27" s="26">
        <f t="shared" si="22"/>
        <v>40190682</v>
      </c>
      <c r="AQ27" s="26">
        <f t="shared" si="22"/>
        <v>39129482</v>
      </c>
      <c r="AR27" s="26">
        <f t="shared" si="22"/>
        <v>0</v>
      </c>
      <c r="AS27" s="26">
        <f t="shared" si="22"/>
        <v>636304.20000000007</v>
      </c>
      <c r="AT27" s="26">
        <f t="shared" si="22"/>
        <v>0</v>
      </c>
      <c r="AU27" s="26">
        <f t="shared" si="22"/>
        <v>0</v>
      </c>
      <c r="AV27" s="26">
        <f t="shared" si="22"/>
        <v>0</v>
      </c>
      <c r="AW27" s="26">
        <f t="shared" si="22"/>
        <v>341592.68</v>
      </c>
      <c r="AX27" s="26">
        <f t="shared" si="22"/>
        <v>424202.8</v>
      </c>
      <c r="AY27" s="26">
        <f t="shared" si="22"/>
        <v>424202.8</v>
      </c>
      <c r="AZ27" s="26">
        <f t="shared" si="22"/>
        <v>0</v>
      </c>
      <c r="BA27" s="26">
        <f t="shared" si="22"/>
        <v>-1642229.95</v>
      </c>
      <c r="BB27" s="26">
        <f t="shared" si="22"/>
        <v>-270832.65000000002</v>
      </c>
      <c r="BC27" s="26">
        <f t="shared" si="22"/>
        <v>-270832.65000000002</v>
      </c>
      <c r="BD27" s="26">
        <f t="shared" si="22"/>
        <v>0</v>
      </c>
      <c r="BE27" s="26">
        <f t="shared" si="22"/>
        <v>617403.02</v>
      </c>
      <c r="BF27" s="26">
        <f t="shared" si="22"/>
        <v>275199.90000000002</v>
      </c>
      <c r="BG27" s="26">
        <f t="shared" si="22"/>
        <v>275199.90000000002</v>
      </c>
      <c r="BH27" s="26">
        <f t="shared" si="22"/>
        <v>0</v>
      </c>
      <c r="BI27" s="26">
        <f t="shared" si="22"/>
        <v>-327261.12</v>
      </c>
      <c r="BJ27" s="26">
        <f t="shared" si="22"/>
        <v>353439</v>
      </c>
      <c r="BK27" s="26">
        <f t="shared" si="22"/>
        <v>0</v>
      </c>
      <c r="BL27" s="26">
        <f t="shared" si="22"/>
        <v>0</v>
      </c>
      <c r="BM27" s="26">
        <f t="shared" si="22"/>
        <v>415016.52</v>
      </c>
      <c r="BN27" s="26">
        <f t="shared" si="22"/>
        <v>762544.88</v>
      </c>
      <c r="BO27" s="26">
        <f t="shared" ref="BO27:CJ27" si="23">SUM(BO22:BO26)</f>
        <v>272930.44</v>
      </c>
      <c r="BP27" s="26">
        <f t="shared" si="23"/>
        <v>0</v>
      </c>
      <c r="BQ27" s="26">
        <f t="shared" si="23"/>
        <v>394698.36</v>
      </c>
      <c r="BR27" s="26">
        <f t="shared" si="23"/>
        <v>28670</v>
      </c>
      <c r="BS27" s="26">
        <f t="shared" si="23"/>
        <v>1175980.52</v>
      </c>
      <c r="BT27" s="26">
        <f t="shared" si="23"/>
        <v>667825.07999999996</v>
      </c>
      <c r="BU27" s="26">
        <f t="shared" si="23"/>
        <v>2658165.7799999998</v>
      </c>
      <c r="BV27" s="26">
        <f t="shared" si="23"/>
        <v>516126.06</v>
      </c>
      <c r="BW27" s="26">
        <f t="shared" si="23"/>
        <v>2912419.14</v>
      </c>
      <c r="BX27" s="26">
        <f t="shared" si="23"/>
        <v>1952939.06</v>
      </c>
      <c r="BY27" s="26">
        <f t="shared" si="23"/>
        <v>836105.92</v>
      </c>
      <c r="BZ27" s="26">
        <f t="shared" si="23"/>
        <v>423600.16</v>
      </c>
      <c r="CA27" s="26">
        <f t="shared" si="23"/>
        <v>1726414.62</v>
      </c>
      <c r="CB27" s="26">
        <f t="shared" si="23"/>
        <v>1830000</v>
      </c>
      <c r="CC27" s="26">
        <f t="shared" si="23"/>
        <v>-57424.84</v>
      </c>
      <c r="CD27" s="26">
        <f t="shared" si="23"/>
        <v>0</v>
      </c>
      <c r="CE27" s="26">
        <f t="shared" si="23"/>
        <v>1693539.91</v>
      </c>
      <c r="CF27" s="26">
        <f t="shared" si="23"/>
        <v>-88121.56</v>
      </c>
      <c r="CG27" s="26">
        <f t="shared" si="23"/>
        <v>0</v>
      </c>
      <c r="CH27" s="26">
        <f t="shared" si="23"/>
        <v>0</v>
      </c>
      <c r="CI27" s="26">
        <f t="shared" si="23"/>
        <v>0</v>
      </c>
      <c r="CJ27" s="26">
        <f t="shared" si="23"/>
        <v>0</v>
      </c>
    </row>
    <row r="28" spans="1:89">
      <c r="A28" s="17" t="s">
        <v>406</v>
      </c>
      <c r="B28" s="26">
        <f>SUM(B22:B25)*B41</f>
        <v>5239427.9582572645</v>
      </c>
      <c r="C28" s="26">
        <f t="shared" ref="C28:BN28" si="24">SUM(C22:C25)*C41</f>
        <v>16577800.120200895</v>
      </c>
      <c r="D28" s="26">
        <f t="shared" si="24"/>
        <v>10230.252775874718</v>
      </c>
      <c r="E28" s="26">
        <f t="shared" si="24"/>
        <v>-25323250.105630435</v>
      </c>
      <c r="F28" s="26">
        <f t="shared" si="24"/>
        <v>0</v>
      </c>
      <c r="G28" s="26">
        <f t="shared" si="24"/>
        <v>0</v>
      </c>
      <c r="H28" s="26">
        <f t="shared" si="24"/>
        <v>0</v>
      </c>
      <c r="I28" s="26">
        <f t="shared" si="24"/>
        <v>30342633.086523905</v>
      </c>
      <c r="J28" s="26">
        <f t="shared" si="24"/>
        <v>1685247.981612432</v>
      </c>
      <c r="K28" s="26">
        <f t="shared" si="24"/>
        <v>554910.06598720083</v>
      </c>
      <c r="L28" s="26">
        <f t="shared" si="24"/>
        <v>91198.135543039913</v>
      </c>
      <c r="M28" s="26">
        <f t="shared" si="24"/>
        <v>7797324.2014035955</v>
      </c>
      <c r="N28" s="26">
        <f t="shared" si="24"/>
        <v>0</v>
      </c>
      <c r="O28" s="26">
        <f t="shared" si="24"/>
        <v>-134423.42368626833</v>
      </c>
      <c r="P28" s="26">
        <f t="shared" si="24"/>
        <v>0</v>
      </c>
      <c r="Q28" s="26">
        <f t="shared" si="24"/>
        <v>12793534.224344939</v>
      </c>
      <c r="R28" s="26">
        <f t="shared" si="24"/>
        <v>3202029.8675196595</v>
      </c>
      <c r="S28" s="26">
        <f t="shared" si="24"/>
        <v>2730.1823981892567</v>
      </c>
      <c r="T28" s="26">
        <f t="shared" si="24"/>
        <v>0</v>
      </c>
      <c r="U28" s="26">
        <f t="shared" si="24"/>
        <v>767210.40590672358</v>
      </c>
      <c r="V28" s="26">
        <f t="shared" si="24"/>
        <v>3904.5072226316074</v>
      </c>
      <c r="W28" s="26">
        <f t="shared" si="24"/>
        <v>-6438.8568794600606</v>
      </c>
      <c r="X28" s="26">
        <f t="shared" si="24"/>
        <v>0</v>
      </c>
      <c r="Y28" s="26">
        <f t="shared" si="24"/>
        <v>1053369.721813722</v>
      </c>
      <c r="Z28" s="26">
        <f t="shared" si="24"/>
        <v>0</v>
      </c>
      <c r="AA28" s="26">
        <f t="shared" si="24"/>
        <v>0</v>
      </c>
      <c r="AB28" s="26">
        <f t="shared" si="24"/>
        <v>0</v>
      </c>
      <c r="AC28" s="26">
        <f t="shared" si="24"/>
        <v>4529869.8298863722</v>
      </c>
      <c r="AD28" s="26">
        <f t="shared" si="24"/>
        <v>446262.06300460442</v>
      </c>
      <c r="AE28" s="26">
        <f t="shared" si="24"/>
        <v>-23603.247167962079</v>
      </c>
      <c r="AF28" s="26">
        <f t="shared" si="24"/>
        <v>0</v>
      </c>
      <c r="AG28" s="26">
        <f t="shared" si="24"/>
        <v>1265844.2886718151</v>
      </c>
      <c r="AH28" s="26">
        <f t="shared" si="24"/>
        <v>7229.121340783825</v>
      </c>
      <c r="AI28" s="26">
        <f t="shared" si="24"/>
        <v>7064.5485105001126</v>
      </c>
      <c r="AJ28" s="26">
        <f t="shared" si="24"/>
        <v>0</v>
      </c>
      <c r="AK28" s="26">
        <f t="shared" si="24"/>
        <v>-6510.3354756750796</v>
      </c>
      <c r="AL28" s="26">
        <f t="shared" si="24"/>
        <v>0</v>
      </c>
      <c r="AM28" s="26">
        <f t="shared" si="24"/>
        <v>0</v>
      </c>
      <c r="AN28" s="26">
        <f t="shared" si="24"/>
        <v>0</v>
      </c>
      <c r="AO28" s="26">
        <f t="shared" si="24"/>
        <v>28034186.276802413</v>
      </c>
      <c r="AP28" s="26">
        <f t="shared" si="24"/>
        <v>-1791683.5622456532</v>
      </c>
      <c r="AQ28" s="26">
        <f t="shared" si="24"/>
        <v>2090533.9292791318</v>
      </c>
      <c r="AR28" s="26">
        <f t="shared" si="24"/>
        <v>0</v>
      </c>
      <c r="AS28" s="26">
        <f t="shared" si="24"/>
        <v>48465.824958917139</v>
      </c>
      <c r="AT28" s="26">
        <f t="shared" si="24"/>
        <v>0</v>
      </c>
      <c r="AU28" s="26">
        <f t="shared" si="24"/>
        <v>0</v>
      </c>
      <c r="AV28" s="26">
        <f t="shared" si="24"/>
        <v>0</v>
      </c>
      <c r="AW28" s="26">
        <f t="shared" si="24"/>
        <v>40448.679092720617</v>
      </c>
      <c r="AX28" s="26">
        <f t="shared" si="24"/>
        <v>38251.233707104526</v>
      </c>
      <c r="AY28" s="26">
        <f t="shared" si="24"/>
        <v>37904.439835311117</v>
      </c>
      <c r="AZ28" s="26">
        <f t="shared" si="24"/>
        <v>0</v>
      </c>
      <c r="BA28" s="26">
        <f t="shared" si="24"/>
        <v>-44945.25775862013</v>
      </c>
      <c r="BB28" s="26">
        <f t="shared" si="24"/>
        <v>-4744.4662679738685</v>
      </c>
      <c r="BC28" s="26">
        <f t="shared" si="24"/>
        <v>-5768.5373493857523</v>
      </c>
      <c r="BD28" s="26">
        <f t="shared" si="24"/>
        <v>0</v>
      </c>
      <c r="BE28" s="26">
        <f t="shared" si="24"/>
        <v>24660.41303852234</v>
      </c>
      <c r="BF28" s="26">
        <f t="shared" si="24"/>
        <v>33747.827712430597</v>
      </c>
      <c r="BG28" s="26">
        <f t="shared" si="24"/>
        <v>36697.967812083734</v>
      </c>
      <c r="BH28" s="26">
        <f t="shared" si="24"/>
        <v>0</v>
      </c>
      <c r="BI28" s="26">
        <f t="shared" si="24"/>
        <v>-54924.718154171132</v>
      </c>
      <c r="BJ28" s="26">
        <f t="shared" si="24"/>
        <v>49438.745396354119</v>
      </c>
      <c r="BK28" s="26">
        <f t="shared" si="24"/>
        <v>0</v>
      </c>
      <c r="BL28" s="26">
        <f t="shared" si="24"/>
        <v>0</v>
      </c>
      <c r="BM28" s="26">
        <f t="shared" si="24"/>
        <v>-49571.939587435816</v>
      </c>
      <c r="BN28" s="26">
        <f t="shared" si="24"/>
        <v>412220.33465365943</v>
      </c>
      <c r="BO28" s="26">
        <f t="shared" ref="BO28:CJ28" si="25">SUM(BO22:BO25)*BO41</f>
        <v>43010.500506976379</v>
      </c>
      <c r="BP28" s="26">
        <f t="shared" si="25"/>
        <v>0</v>
      </c>
      <c r="BQ28" s="26">
        <f t="shared" si="25"/>
        <v>9369.2317155554756</v>
      </c>
      <c r="BR28" s="26">
        <f t="shared" si="25"/>
        <v>4549.6336327958306</v>
      </c>
      <c r="BS28" s="26">
        <f t="shared" si="25"/>
        <v>169412.56034301946</v>
      </c>
      <c r="BT28" s="26">
        <f t="shared" si="25"/>
        <v>97808.094221699677</v>
      </c>
      <c r="BU28" s="26">
        <f t="shared" si="25"/>
        <v>276377.9888430789</v>
      </c>
      <c r="BV28" s="26">
        <f t="shared" si="25"/>
        <v>52277.1119987005</v>
      </c>
      <c r="BW28" s="26">
        <f t="shared" si="25"/>
        <v>286262.94448221801</v>
      </c>
      <c r="BX28" s="26">
        <f t="shared" si="25"/>
        <v>183027.50787151762</v>
      </c>
      <c r="BY28" s="26">
        <f t="shared" si="25"/>
        <v>93028.425886864294</v>
      </c>
      <c r="BZ28" s="26">
        <f t="shared" si="25"/>
        <v>8072.3661194043443</v>
      </c>
      <c r="CA28" s="26">
        <f t="shared" si="25"/>
        <v>161857.26117176932</v>
      </c>
      <c r="CB28" s="26">
        <f t="shared" si="25"/>
        <v>22337.005061030071</v>
      </c>
      <c r="CC28" s="26">
        <f t="shared" si="25"/>
        <v>-5721.5604657088279</v>
      </c>
      <c r="CD28" s="26">
        <f t="shared" si="25"/>
        <v>0</v>
      </c>
      <c r="CE28" s="26">
        <f t="shared" si="25"/>
        <v>155926.55687376205</v>
      </c>
      <c r="CF28" s="26">
        <f t="shared" si="25"/>
        <v>-9338.8914148495496</v>
      </c>
      <c r="CG28" s="26">
        <f t="shared" si="25"/>
        <v>0</v>
      </c>
      <c r="CH28" s="26">
        <f t="shared" si="25"/>
        <v>0</v>
      </c>
      <c r="CI28" s="26" t="e">
        <f t="shared" si="25"/>
        <v>#DIV/0!</v>
      </c>
      <c r="CJ28" s="26" t="e">
        <f t="shared" si="25"/>
        <v>#DIV/0!</v>
      </c>
    </row>
    <row r="29" spans="1:89" s="2" customFormat="1">
      <c r="A29" s="20" t="s">
        <v>407</v>
      </c>
      <c r="B29" s="28">
        <f>B27-B28</f>
        <v>149593904.07174274</v>
      </c>
      <c r="C29" s="28">
        <f t="shared" ref="C29:BN29" si="26">C27-C28</f>
        <v>125550764.57979909</v>
      </c>
      <c r="D29" s="28">
        <f t="shared" si="26"/>
        <v>4032743.687224125</v>
      </c>
      <c r="E29" s="28">
        <f t="shared" si="26"/>
        <v>-55145819.674369566</v>
      </c>
      <c r="F29" s="28">
        <f t="shared" si="26"/>
        <v>-657486.06999999995</v>
      </c>
      <c r="G29" s="28">
        <f t="shared" si="26"/>
        <v>9139701.3800000008</v>
      </c>
      <c r="H29" s="28">
        <f t="shared" si="26"/>
        <v>15501486.41</v>
      </c>
      <c r="I29" s="28">
        <f t="shared" si="26"/>
        <v>210070738.84347606</v>
      </c>
      <c r="J29" s="28">
        <f t="shared" si="26"/>
        <v>78460775.318387583</v>
      </c>
      <c r="K29" s="28">
        <f t="shared" si="26"/>
        <v>75552202.9340128</v>
      </c>
      <c r="L29" s="28">
        <f t="shared" si="26"/>
        <v>27109616.354456961</v>
      </c>
      <c r="M29" s="28">
        <f t="shared" si="26"/>
        <v>112917974.79859641</v>
      </c>
      <c r="N29" s="28">
        <f t="shared" si="26"/>
        <v>13875578.74</v>
      </c>
      <c r="O29" s="28">
        <f t="shared" si="26"/>
        <v>-11137673.576313732</v>
      </c>
      <c r="P29" s="28">
        <f t="shared" si="26"/>
        <v>-1217804.48</v>
      </c>
      <c r="Q29" s="28">
        <f t="shared" si="26"/>
        <v>32313623.775655061</v>
      </c>
      <c r="R29" s="28">
        <f t="shared" si="26"/>
        <v>15237858.512480343</v>
      </c>
      <c r="S29" s="28">
        <f t="shared" si="26"/>
        <v>-1299412.1823981893</v>
      </c>
      <c r="T29" s="28">
        <f t="shared" si="26"/>
        <v>-1135415.95</v>
      </c>
      <c r="U29" s="28">
        <f t="shared" si="26"/>
        <v>10309927.594093276</v>
      </c>
      <c r="V29" s="28">
        <f t="shared" si="26"/>
        <v>-1831424.5072226317</v>
      </c>
      <c r="W29" s="28">
        <f t="shared" si="26"/>
        <v>-5256371.1431205403</v>
      </c>
      <c r="X29" s="28">
        <f t="shared" si="26"/>
        <v>-2955428.37</v>
      </c>
      <c r="Y29" s="28">
        <f t="shared" si="26"/>
        <v>10527505.278186278</v>
      </c>
      <c r="Z29" s="28">
        <f t="shared" si="26"/>
        <v>-2076781</v>
      </c>
      <c r="AA29" s="28">
        <f t="shared" si="26"/>
        <v>-701076</v>
      </c>
      <c r="AB29" s="28">
        <f t="shared" si="26"/>
        <v>1613737.86</v>
      </c>
      <c r="AC29" s="28">
        <f t="shared" si="26"/>
        <v>69494771.170113623</v>
      </c>
      <c r="AD29" s="28">
        <f t="shared" si="26"/>
        <v>3806526.2869953951</v>
      </c>
      <c r="AE29" s="28">
        <f t="shared" si="26"/>
        <v>-1566531.7528320379</v>
      </c>
      <c r="AF29" s="28">
        <f t="shared" si="26"/>
        <v>193366.63</v>
      </c>
      <c r="AG29" s="28">
        <f t="shared" si="26"/>
        <v>4138033.7113281852</v>
      </c>
      <c r="AH29" s="28">
        <f t="shared" si="26"/>
        <v>29018372.118659217</v>
      </c>
      <c r="AI29" s="28">
        <f t="shared" si="26"/>
        <v>18837439.571489502</v>
      </c>
      <c r="AJ29" s="28">
        <f t="shared" si="26"/>
        <v>9876599.1899999995</v>
      </c>
      <c r="AK29" s="28">
        <f t="shared" si="26"/>
        <v>333483.7454756751</v>
      </c>
      <c r="AL29" s="28">
        <f t="shared" si="26"/>
        <v>0</v>
      </c>
      <c r="AM29" s="28">
        <f t="shared" si="26"/>
        <v>0</v>
      </c>
      <c r="AN29" s="28">
        <f t="shared" si="26"/>
        <v>0</v>
      </c>
      <c r="AO29" s="28">
        <f t="shared" si="26"/>
        <v>58002707.653197579</v>
      </c>
      <c r="AP29" s="28">
        <f t="shared" si="26"/>
        <v>41982365.562245652</v>
      </c>
      <c r="AQ29" s="28">
        <f t="shared" si="26"/>
        <v>37038948.070720866</v>
      </c>
      <c r="AR29" s="28">
        <f t="shared" si="26"/>
        <v>0</v>
      </c>
      <c r="AS29" s="28">
        <f t="shared" si="26"/>
        <v>587838.37504108297</v>
      </c>
      <c r="AT29" s="28">
        <f t="shared" si="26"/>
        <v>0</v>
      </c>
      <c r="AU29" s="28">
        <f t="shared" si="26"/>
        <v>0</v>
      </c>
      <c r="AV29" s="28">
        <f t="shared" si="26"/>
        <v>0</v>
      </c>
      <c r="AW29" s="28">
        <f t="shared" si="26"/>
        <v>301144.00090727938</v>
      </c>
      <c r="AX29" s="28">
        <f t="shared" si="26"/>
        <v>385951.56629289547</v>
      </c>
      <c r="AY29" s="28">
        <f t="shared" si="26"/>
        <v>386298.3601646889</v>
      </c>
      <c r="AZ29" s="28">
        <f t="shared" si="26"/>
        <v>0</v>
      </c>
      <c r="BA29" s="28">
        <f t="shared" si="26"/>
        <v>-1597284.6922413798</v>
      </c>
      <c r="BB29" s="28">
        <f t="shared" si="26"/>
        <v>-266088.18373202614</v>
      </c>
      <c r="BC29" s="28">
        <f t="shared" si="26"/>
        <v>-265064.11265061429</v>
      </c>
      <c r="BD29" s="28">
        <f t="shared" si="26"/>
        <v>0</v>
      </c>
      <c r="BE29" s="28">
        <f t="shared" si="26"/>
        <v>592742.60696147766</v>
      </c>
      <c r="BF29" s="28">
        <f t="shared" si="26"/>
        <v>241452.07228756943</v>
      </c>
      <c r="BG29" s="28">
        <f t="shared" si="26"/>
        <v>238501.9321879163</v>
      </c>
      <c r="BH29" s="28">
        <f t="shared" si="26"/>
        <v>0</v>
      </c>
      <c r="BI29" s="28">
        <f t="shared" si="26"/>
        <v>-272336.40184582886</v>
      </c>
      <c r="BJ29" s="28">
        <f t="shared" si="26"/>
        <v>304000.25460364588</v>
      </c>
      <c r="BK29" s="28">
        <f t="shared" si="26"/>
        <v>0</v>
      </c>
      <c r="BL29" s="28">
        <f t="shared" si="26"/>
        <v>0</v>
      </c>
      <c r="BM29" s="28">
        <f t="shared" si="26"/>
        <v>464588.45958743582</v>
      </c>
      <c r="BN29" s="28">
        <f t="shared" si="26"/>
        <v>350324.54534634057</v>
      </c>
      <c r="BO29" s="28">
        <f t="shared" ref="BO29:CK29" si="27">BO27-BO28</f>
        <v>229919.93949302362</v>
      </c>
      <c r="BP29" s="28">
        <f t="shared" si="27"/>
        <v>0</v>
      </c>
      <c r="BQ29" s="28">
        <f t="shared" si="27"/>
        <v>385329.12828444451</v>
      </c>
      <c r="BR29" s="28">
        <f t="shared" si="27"/>
        <v>24120.366367204169</v>
      </c>
      <c r="BS29" s="28">
        <f t="shared" si="27"/>
        <v>1006567.9596569806</v>
      </c>
      <c r="BT29" s="28">
        <f t="shared" si="27"/>
        <v>570016.98577830032</v>
      </c>
      <c r="BU29" s="28">
        <f t="shared" si="27"/>
        <v>2381787.7911569211</v>
      </c>
      <c r="BV29" s="28">
        <f t="shared" si="27"/>
        <v>463848.94800129952</v>
      </c>
      <c r="BW29" s="28">
        <f t="shared" si="27"/>
        <v>2626156.1955177821</v>
      </c>
      <c r="BX29" s="28">
        <f t="shared" si="27"/>
        <v>1769911.5521284824</v>
      </c>
      <c r="BY29" s="28">
        <f t="shared" si="27"/>
        <v>743077.49411313573</v>
      </c>
      <c r="BZ29" s="28">
        <f t="shared" si="27"/>
        <v>415527.79388059565</v>
      </c>
      <c r="CA29" s="28">
        <f t="shared" si="27"/>
        <v>1564557.3588282308</v>
      </c>
      <c r="CB29" s="28">
        <f t="shared" si="27"/>
        <v>1807662.9949389698</v>
      </c>
      <c r="CC29" s="28">
        <f t="shared" si="27"/>
        <v>-51703.27953429117</v>
      </c>
      <c r="CD29" s="28">
        <f t="shared" si="27"/>
        <v>0</v>
      </c>
      <c r="CE29" s="28">
        <f t="shared" si="27"/>
        <v>1537613.3531262379</v>
      </c>
      <c r="CF29" s="28">
        <f t="shared" si="27"/>
        <v>-78782.668585150444</v>
      </c>
      <c r="CG29" s="28">
        <f t="shared" si="27"/>
        <v>0</v>
      </c>
      <c r="CH29" s="28">
        <f t="shared" si="27"/>
        <v>0</v>
      </c>
      <c r="CI29" s="28" t="e">
        <f t="shared" si="27"/>
        <v>#DIV/0!</v>
      </c>
      <c r="CJ29" s="28" t="e">
        <f t="shared" si="27"/>
        <v>#DIV/0!</v>
      </c>
      <c r="CK29" s="28">
        <f t="shared" si="27"/>
        <v>0</v>
      </c>
    </row>
    <row r="30" spans="1:89" s="16" customFormat="1">
      <c r="A30" s="18" t="s">
        <v>88</v>
      </c>
      <c r="B30" s="30"/>
      <c r="C30" s="30"/>
      <c r="D30" s="30"/>
      <c r="E30" s="30"/>
      <c r="F30" s="30"/>
      <c r="G30" s="30"/>
      <c r="H30" s="30"/>
      <c r="I30" s="30"/>
      <c r="J30" s="30"/>
      <c r="K30" s="30"/>
    </row>
    <row r="31" spans="1:89">
      <c r="A31" s="17" t="s">
        <v>408</v>
      </c>
      <c r="B31" s="26">
        <f>B15+B20+B27</f>
        <v>2517279150.2999997</v>
      </c>
      <c r="C31" s="26">
        <f t="shared" ref="C31:BN31" si="28">C15+C20+C27</f>
        <v>941702490.58000016</v>
      </c>
      <c r="D31" s="26">
        <f t="shared" si="28"/>
        <v>430149254.06000018</v>
      </c>
      <c r="E31" s="26">
        <f t="shared" si="28"/>
        <v>503616237.12000036</v>
      </c>
      <c r="F31" s="26">
        <f t="shared" si="28"/>
        <v>1061637843.3099995</v>
      </c>
      <c r="G31" s="26">
        <f t="shared" si="28"/>
        <v>649269154.80000055</v>
      </c>
      <c r="H31" s="26">
        <f t="shared" si="28"/>
        <v>345584271.57999998</v>
      </c>
      <c r="I31" s="26">
        <f t="shared" si="28"/>
        <v>777933148.80000067</v>
      </c>
      <c r="J31" s="26">
        <f t="shared" si="28"/>
        <v>513970716.94999951</v>
      </c>
      <c r="K31" s="26">
        <f t="shared" si="28"/>
        <v>379027476</v>
      </c>
      <c r="L31" s="26">
        <f t="shared" si="28"/>
        <v>169797362.80999997</v>
      </c>
      <c r="M31" s="26">
        <f t="shared" si="28"/>
        <v>719720289</v>
      </c>
      <c r="N31" s="26">
        <f t="shared" si="28"/>
        <v>403319144.60999995</v>
      </c>
      <c r="O31" s="26">
        <f t="shared" si="28"/>
        <v>311464677</v>
      </c>
      <c r="P31" s="26">
        <f t="shared" si="28"/>
        <v>177782832.62999994</v>
      </c>
      <c r="Q31" s="26">
        <f t="shared" si="28"/>
        <v>917805526</v>
      </c>
      <c r="R31" s="26">
        <f t="shared" si="28"/>
        <v>579398108.91999996</v>
      </c>
      <c r="S31" s="26">
        <f t="shared" si="28"/>
        <v>206858700</v>
      </c>
      <c r="T31" s="26">
        <f t="shared" si="28"/>
        <v>89357903.580000058</v>
      </c>
      <c r="U31" s="26">
        <f t="shared" si="28"/>
        <v>425775793</v>
      </c>
      <c r="V31" s="26">
        <f t="shared" si="28"/>
        <v>338421346</v>
      </c>
      <c r="W31" s="26">
        <f t="shared" si="28"/>
        <v>93912009</v>
      </c>
      <c r="X31" s="26">
        <f t="shared" si="28"/>
        <v>19557297.830000006</v>
      </c>
      <c r="Y31" s="26">
        <f t="shared" si="28"/>
        <v>321576336</v>
      </c>
      <c r="Z31" s="26">
        <f t="shared" si="28"/>
        <v>265075145</v>
      </c>
      <c r="AA31" s="26">
        <f t="shared" si="28"/>
        <v>115059015</v>
      </c>
      <c r="AB31" s="26">
        <f t="shared" si="28"/>
        <v>17577534.450000018</v>
      </c>
      <c r="AC31" s="26">
        <f t="shared" si="28"/>
        <v>469124519</v>
      </c>
      <c r="AD31" s="26">
        <f t="shared" si="28"/>
        <v>199184279.31999975</v>
      </c>
      <c r="AE31" s="26">
        <f t="shared" si="28"/>
        <v>127109886</v>
      </c>
      <c r="AF31" s="26">
        <f t="shared" si="28"/>
        <v>35491244.710000068</v>
      </c>
      <c r="AG31" s="26">
        <f t="shared" si="28"/>
        <v>297242141</v>
      </c>
      <c r="AH31" s="26">
        <f t="shared" si="28"/>
        <v>264102765.14000016</v>
      </c>
      <c r="AI31" s="26">
        <f t="shared" si="28"/>
        <v>155805895.97000006</v>
      </c>
      <c r="AJ31" s="26">
        <f t="shared" si="28"/>
        <v>42919790.850000054</v>
      </c>
      <c r="AK31" s="26">
        <f t="shared" si="28"/>
        <v>-219938334.90999988</v>
      </c>
      <c r="AL31" s="26">
        <f t="shared" si="28"/>
        <v>-121941583.04000004</v>
      </c>
      <c r="AM31" s="26">
        <f t="shared" si="28"/>
        <v>-141790957.22999999</v>
      </c>
      <c r="AN31" s="26">
        <f t="shared" si="28"/>
        <v>-89072299.289999992</v>
      </c>
      <c r="AO31" s="26">
        <f t="shared" si="28"/>
        <v>-15489453.190000072</v>
      </c>
      <c r="AP31" s="26">
        <f t="shared" si="28"/>
        <v>41747084.589999929</v>
      </c>
      <c r="AQ31" s="26">
        <f t="shared" si="28"/>
        <v>53603874.320000067</v>
      </c>
      <c r="AR31" s="26">
        <f t="shared" si="28"/>
        <v>15966524.570000019</v>
      </c>
      <c r="AS31" s="26">
        <f t="shared" si="28"/>
        <v>114297440.34000003</v>
      </c>
      <c r="AT31" s="26">
        <f t="shared" si="28"/>
        <v>90831840.300000027</v>
      </c>
      <c r="AU31" s="26">
        <f t="shared" si="28"/>
        <v>60923183.05999998</v>
      </c>
      <c r="AV31" s="26">
        <f t="shared" si="28"/>
        <v>22474257.010000009</v>
      </c>
      <c r="AW31" s="26">
        <f t="shared" si="28"/>
        <v>141425033.42000014</v>
      </c>
      <c r="AX31" s="26">
        <f t="shared" si="28"/>
        <v>103356258.95</v>
      </c>
      <c r="AY31" s="26">
        <f t="shared" si="28"/>
        <v>58681223.469999984</v>
      </c>
      <c r="AZ31" s="26">
        <f t="shared" si="28"/>
        <v>20298201.310000006</v>
      </c>
      <c r="BA31" s="26">
        <f t="shared" si="28"/>
        <v>74713804.399999976</v>
      </c>
      <c r="BB31" s="26">
        <f t="shared" si="28"/>
        <v>56261914.070000015</v>
      </c>
      <c r="BC31" s="26">
        <f t="shared" si="28"/>
        <v>44624218.280000046</v>
      </c>
      <c r="BD31" s="26">
        <f t="shared" si="28"/>
        <v>18238349.249999993</v>
      </c>
      <c r="BE31" s="26">
        <f t="shared" si="28"/>
        <v>116484911.68000001</v>
      </c>
      <c r="BF31" s="26">
        <f t="shared" si="28"/>
        <v>66411894.589999996</v>
      </c>
      <c r="BG31" s="26">
        <f t="shared" si="28"/>
        <v>48960127.659999996</v>
      </c>
      <c r="BH31" s="26">
        <f t="shared" si="28"/>
        <v>18005550.459999982</v>
      </c>
      <c r="BI31" s="26">
        <f t="shared" si="28"/>
        <v>70506040.720000058</v>
      </c>
      <c r="BJ31" s="26">
        <f t="shared" si="28"/>
        <v>42015445.200000033</v>
      </c>
      <c r="BK31" s="26">
        <f t="shared" si="28"/>
        <v>30544460.409999982</v>
      </c>
      <c r="BL31" s="26">
        <f t="shared" si="28"/>
        <v>16342784.1</v>
      </c>
      <c r="BM31" s="26">
        <f t="shared" si="28"/>
        <v>-15288253.999999963</v>
      </c>
      <c r="BN31" s="26">
        <f t="shared" si="28"/>
        <v>15008144.359999986</v>
      </c>
      <c r="BO31" s="26">
        <f t="shared" ref="BO31:CJ31" si="29">BO15+BO20+BO27</f>
        <v>19559380.249999985</v>
      </c>
      <c r="BP31" s="26">
        <f t="shared" si="29"/>
        <v>9791079.3099999949</v>
      </c>
      <c r="BQ31" s="26">
        <f t="shared" si="29"/>
        <v>19803853.720000032</v>
      </c>
      <c r="BR31" s="26">
        <f t="shared" si="29"/>
        <v>23295529.279999983</v>
      </c>
      <c r="BS31" s="26">
        <f t="shared" si="29"/>
        <v>41478157.169999987</v>
      </c>
      <c r="BT31" s="26">
        <f t="shared" si="29"/>
        <v>20971903.68999999</v>
      </c>
      <c r="BU31" s="26">
        <f t="shared" si="29"/>
        <v>28098788.700000014</v>
      </c>
      <c r="BV31" s="26">
        <f t="shared" si="29"/>
        <v>12107502.400000008</v>
      </c>
      <c r="BW31" s="26">
        <f t="shared" si="29"/>
        <v>30663411.439999998</v>
      </c>
      <c r="BX31" s="26">
        <f t="shared" si="29"/>
        <v>17028962.979999993</v>
      </c>
      <c r="BY31" s="26">
        <f t="shared" si="29"/>
        <v>46212032.479999982</v>
      </c>
      <c r="BZ31" s="26">
        <f t="shared" si="29"/>
        <v>104494945.59999999</v>
      </c>
      <c r="CA31" s="26">
        <f t="shared" si="29"/>
        <v>17761508.719999991</v>
      </c>
      <c r="CB31" s="26">
        <f t="shared" si="29"/>
        <v>67180000</v>
      </c>
      <c r="CC31" s="26">
        <f t="shared" si="29"/>
        <v>37489552.729999982</v>
      </c>
      <c r="CD31" s="26">
        <f t="shared" si="29"/>
        <v>72860000</v>
      </c>
      <c r="CE31" s="26">
        <f t="shared" si="29"/>
        <v>39519812.180000007</v>
      </c>
      <c r="CF31" s="26">
        <f t="shared" si="29"/>
        <v>26044298.540000003</v>
      </c>
      <c r="CG31" s="26">
        <f t="shared" si="29"/>
        <v>31780600</v>
      </c>
      <c r="CH31" s="26">
        <f t="shared" si="29"/>
        <v>15431400</v>
      </c>
      <c r="CI31" s="26">
        <f t="shared" si="29"/>
        <v>0</v>
      </c>
      <c r="CJ31" s="26">
        <f t="shared" si="29"/>
        <v>0</v>
      </c>
    </row>
    <row r="32" spans="1:89" s="57" customFormat="1">
      <c r="A32" s="57" t="s">
        <v>409</v>
      </c>
      <c r="B32" s="57">
        <f>B31/B4*100</f>
        <v>11.579331589697617</v>
      </c>
      <c r="C32" s="57">
        <f t="shared" ref="C32:D32" si="30">C31/C4*100</f>
        <v>6.7380827640505219</v>
      </c>
      <c r="D32" s="57">
        <f t="shared" si="30"/>
        <v>6.5432979402292464</v>
      </c>
      <c r="E32" s="57">
        <f>E31/E4</f>
        <v>3.5940497379021073E-2</v>
      </c>
      <c r="F32" s="57">
        <f t="shared" ref="F32:BQ32" si="31">F31/F4</f>
        <v>0.10509950878982094</v>
      </c>
      <c r="G32" s="57">
        <f t="shared" si="31"/>
        <v>0.10464708278581289</v>
      </c>
      <c r="H32" s="57">
        <f t="shared" si="31"/>
        <v>0.11905728243381683</v>
      </c>
      <c r="I32" s="57">
        <f t="shared" si="31"/>
        <v>7.2455136132914905E-2</v>
      </c>
      <c r="J32" s="57">
        <f t="shared" si="31"/>
        <v>6.6289613659967717E-2</v>
      </c>
      <c r="K32" s="57">
        <f t="shared" si="31"/>
        <v>7.6256119804859232E-2</v>
      </c>
      <c r="L32" s="57">
        <f t="shared" si="31"/>
        <v>6.9261505233012347E-2</v>
      </c>
      <c r="M32" s="57">
        <f t="shared" si="31"/>
        <v>6.8349487446913215E-2</v>
      </c>
      <c r="N32" s="57">
        <f t="shared" si="31"/>
        <v>5.1716190517515068E-2</v>
      </c>
      <c r="O32" s="57">
        <f t="shared" si="31"/>
        <v>6.0622125400872306E-2</v>
      </c>
      <c r="P32" s="57">
        <f t="shared" si="31"/>
        <v>7.2855326943359708E-2</v>
      </c>
      <c r="Q32" s="57">
        <f t="shared" si="31"/>
        <v>9.845202258534283E-2</v>
      </c>
      <c r="R32" s="57">
        <f t="shared" si="31"/>
        <v>8.8669858788103295E-2</v>
      </c>
      <c r="S32" s="57">
        <f t="shared" si="31"/>
        <v>8.3223116123336521E-2</v>
      </c>
      <c r="T32" s="57">
        <f t="shared" si="31"/>
        <v>7.5743178979588932E-2</v>
      </c>
      <c r="U32" s="57">
        <f t="shared" si="31"/>
        <v>9.4211155396463533E-2</v>
      </c>
      <c r="V32" s="57">
        <f t="shared" si="31"/>
        <v>9.6769341283045221E-2</v>
      </c>
      <c r="W32" s="57">
        <f t="shared" si="31"/>
        <v>4.1718149972230327E-2</v>
      </c>
      <c r="X32" s="57">
        <f t="shared" si="31"/>
        <v>1.8798145615114756E-2</v>
      </c>
      <c r="Y32" s="57">
        <f t="shared" si="31"/>
        <v>7.4206309839310342E-2</v>
      </c>
      <c r="Z32" s="57">
        <f t="shared" si="31"/>
        <v>8.0101947326666589E-2</v>
      </c>
      <c r="AA32" s="57">
        <f t="shared" si="31"/>
        <v>5.1427188732703334E-2</v>
      </c>
      <c r="AB32" s="57">
        <f t="shared" si="31"/>
        <v>1.7875863114977929E-2</v>
      </c>
      <c r="AC32" s="57">
        <f t="shared" si="31"/>
        <v>0.10165283884760785</v>
      </c>
      <c r="AD32" s="57">
        <f t="shared" si="31"/>
        <v>5.942351432797631E-2</v>
      </c>
      <c r="AE32" s="57">
        <f t="shared" si="31"/>
        <v>6.0264076795533472E-2</v>
      </c>
      <c r="AF32" s="57">
        <f t="shared" si="31"/>
        <v>3.490573675158002E-2</v>
      </c>
      <c r="AG32" s="57">
        <f t="shared" si="31"/>
        <v>8.6052096205337519E-2</v>
      </c>
      <c r="AH32" s="57">
        <f t="shared" si="31"/>
        <v>0.11325768591878098</v>
      </c>
      <c r="AI32" s="57">
        <f t="shared" si="31"/>
        <v>0.10509664916974923</v>
      </c>
      <c r="AJ32" s="57">
        <f t="shared" si="31"/>
        <v>6.5527385821012238E-2</v>
      </c>
      <c r="AK32" s="57">
        <f t="shared" si="31"/>
        <v>-0.1004079415090009</v>
      </c>
      <c r="AL32" s="57">
        <f t="shared" si="31"/>
        <v>-7.7069223610202714E-2</v>
      </c>
      <c r="AM32" s="57">
        <f t="shared" si="31"/>
        <v>-0.16157295417513132</v>
      </c>
      <c r="AN32" s="57">
        <f t="shared" si="31"/>
        <v>-0.25523133411826976</v>
      </c>
      <c r="AO32" s="57">
        <f t="shared" si="31"/>
        <v>-1.1254805126867901E-2</v>
      </c>
      <c r="AP32" s="57">
        <f t="shared" si="31"/>
        <v>4.0177920128262684E-2</v>
      </c>
      <c r="AQ32" s="57">
        <f t="shared" si="31"/>
        <v>7.7882825995105126E-2</v>
      </c>
      <c r="AR32" s="57">
        <f t="shared" si="31"/>
        <v>4.6180766188141743E-2</v>
      </c>
      <c r="AS32" s="57">
        <f t="shared" si="31"/>
        <v>6.6392101787702398E-2</v>
      </c>
      <c r="AT32" s="57">
        <f t="shared" si="31"/>
        <v>7.3663201919687879E-2</v>
      </c>
      <c r="AU32" s="57">
        <f t="shared" si="31"/>
        <v>7.945188588903232E-2</v>
      </c>
      <c r="AV32" s="57">
        <f t="shared" si="31"/>
        <v>6.3543976060216015E-2</v>
      </c>
      <c r="AW32" s="57">
        <f t="shared" si="31"/>
        <v>9.3585755343524826E-2</v>
      </c>
      <c r="AX32" s="57">
        <f t="shared" si="31"/>
        <v>0.10119515209344306</v>
      </c>
      <c r="AY32" s="57">
        <f t="shared" si="31"/>
        <v>9.1591717417287624E-2</v>
      </c>
      <c r="AZ32" s="57">
        <f t="shared" si="31"/>
        <v>8.0344738745755498E-2</v>
      </c>
      <c r="BA32" s="57">
        <f t="shared" si="31"/>
        <v>6.7769292700579006E-2</v>
      </c>
      <c r="BB32" s="57">
        <f t="shared" si="31"/>
        <v>7.4294846191954228E-2</v>
      </c>
      <c r="BC32" s="57">
        <f t="shared" si="31"/>
        <v>8.4990852922481736E-2</v>
      </c>
      <c r="BD32" s="57">
        <f t="shared" si="31"/>
        <v>7.735281154739064E-2</v>
      </c>
      <c r="BE32" s="57">
        <f t="shared" si="31"/>
        <v>0.10877162088779037</v>
      </c>
      <c r="BF32" s="57">
        <f t="shared" si="31"/>
        <v>0.10086065843603166</v>
      </c>
      <c r="BG32" s="57">
        <f t="shared" si="31"/>
        <v>0.11111281684373407</v>
      </c>
      <c r="BH32" s="57">
        <f t="shared" si="31"/>
        <v>0.10281010768130906</v>
      </c>
      <c r="BI32" s="57">
        <f t="shared" si="31"/>
        <v>0.11089688294450084</v>
      </c>
      <c r="BJ32" s="57">
        <f t="shared" si="31"/>
        <v>9.4595042298826218E-2</v>
      </c>
      <c r="BK32" s="57">
        <f t="shared" si="31"/>
        <v>0.11768549674640477</v>
      </c>
      <c r="BL32" s="57">
        <f t="shared" si="31"/>
        <v>0.15006300794443719</v>
      </c>
      <c r="BM32" s="57">
        <f t="shared" si="31"/>
        <v>-4.6957866890011489E-2</v>
      </c>
      <c r="BN32" s="57">
        <f t="shared" si="31"/>
        <v>6.1955699368879701E-2</v>
      </c>
      <c r="BO32" s="57">
        <f t="shared" si="31"/>
        <v>0.12993304837422084</v>
      </c>
      <c r="BP32" s="57">
        <f t="shared" si="31"/>
        <v>0.15141727260224563</v>
      </c>
      <c r="BQ32" s="57">
        <f t="shared" si="31"/>
        <v>7.0997789672519768E-2</v>
      </c>
      <c r="BR32" s="57">
        <f t="shared" ref="BR32:CK32" si="32">BR31/BR4</f>
        <v>0.15341841217965552</v>
      </c>
      <c r="BS32" s="57">
        <f t="shared" si="32"/>
        <v>0.13059306922513539</v>
      </c>
      <c r="BT32" s="57">
        <f t="shared" si="32"/>
        <v>0.13456656697643379</v>
      </c>
      <c r="BU32" s="57">
        <f t="shared" si="32"/>
        <v>0.1044336954818877</v>
      </c>
      <c r="BV32" s="57">
        <f t="shared" si="32"/>
        <v>9.7745959661204515E-2</v>
      </c>
      <c r="BW32" s="57">
        <f t="shared" si="32"/>
        <v>0.17790336464722228</v>
      </c>
      <c r="BX32" s="57">
        <f t="shared" si="32"/>
        <v>0.17591491546221866</v>
      </c>
      <c r="BY32" s="57">
        <f t="shared" si="32"/>
        <v>0.210990263104159</v>
      </c>
      <c r="BZ32" s="57">
        <f t="shared" si="32"/>
        <v>1.0040702861888551</v>
      </c>
      <c r="CA32" s="57">
        <f t="shared" si="32"/>
        <v>0.11550946782144082</v>
      </c>
      <c r="CB32" s="57">
        <f t="shared" si="32"/>
        <v>1.0280030604437644</v>
      </c>
      <c r="CC32" s="57">
        <f t="shared" si="32"/>
        <v>0.24946869404836275</v>
      </c>
      <c r="CD32" s="57">
        <f t="shared" si="32"/>
        <v>1</v>
      </c>
      <c r="CE32" s="57">
        <f t="shared" si="32"/>
        <v>0.22962904078234003</v>
      </c>
      <c r="CF32" s="57">
        <f t="shared" si="32"/>
        <v>0.19348211186710063</v>
      </c>
      <c r="CG32" s="57">
        <f t="shared" si="32"/>
        <v>0.28654301129560439</v>
      </c>
      <c r="CH32" s="57">
        <f t="shared" si="32"/>
        <v>0.26022377551622666</v>
      </c>
      <c r="CI32" s="57" t="e">
        <f t="shared" si="32"/>
        <v>#DIV/0!</v>
      </c>
      <c r="CJ32" s="57" t="e">
        <f t="shared" si="32"/>
        <v>#DIV/0!</v>
      </c>
      <c r="CK32" s="57" t="e">
        <f t="shared" si="32"/>
        <v>#DIV/0!</v>
      </c>
    </row>
    <row r="33" spans="1:89">
      <c r="A33" s="17" t="s">
        <v>410</v>
      </c>
      <c r="B33" s="26">
        <f>B17+B20+B29</f>
        <v>2415100086.5055785</v>
      </c>
      <c r="C33" s="26">
        <f t="shared" ref="C33:BN33" si="33">C17+C20+C29</f>
        <v>820553862.47452724</v>
      </c>
      <c r="D33" s="26">
        <f t="shared" si="33"/>
        <v>307768958.54580975</v>
      </c>
      <c r="E33" s="26">
        <f t="shared" si="33"/>
        <v>313658027.54156744</v>
      </c>
      <c r="F33" s="26">
        <f t="shared" si="33"/>
        <v>897900129.83973575</v>
      </c>
      <c r="G33" s="26">
        <f t="shared" si="33"/>
        <v>550840356.5257026</v>
      </c>
      <c r="H33" s="26">
        <f t="shared" si="33"/>
        <v>300282088.33170009</v>
      </c>
      <c r="I33" s="26">
        <f t="shared" si="33"/>
        <v>670998554.45519459</v>
      </c>
      <c r="J33" s="26">
        <f t="shared" si="33"/>
        <v>453836964.22738498</v>
      </c>
      <c r="K33" s="26">
        <f t="shared" si="33"/>
        <v>346793715.11052835</v>
      </c>
      <c r="L33" s="26">
        <f t="shared" si="33"/>
        <v>158967067.45453602</v>
      </c>
      <c r="M33" s="26">
        <f t="shared" si="33"/>
        <v>665243724.36057568</v>
      </c>
      <c r="N33" s="26">
        <f t="shared" si="33"/>
        <v>376247234.21189916</v>
      </c>
      <c r="O33" s="26">
        <f t="shared" si="33"/>
        <v>289968591.26357496</v>
      </c>
      <c r="P33" s="26">
        <f t="shared" si="33"/>
        <v>165360923.69173875</v>
      </c>
      <c r="Q33" s="26">
        <f t="shared" si="33"/>
        <v>785724090.99154305</v>
      </c>
      <c r="R33" s="26">
        <f t="shared" si="33"/>
        <v>505446794.98374367</v>
      </c>
      <c r="S33" s="26">
        <f t="shared" si="33"/>
        <v>186703310.3335945</v>
      </c>
      <c r="T33" s="26">
        <f t="shared" si="33"/>
        <v>83076041.636242092</v>
      </c>
      <c r="U33" s="26">
        <f t="shared" si="33"/>
        <v>375854496.68232757</v>
      </c>
      <c r="V33" s="26">
        <f t="shared" si="33"/>
        <v>295481391.19991279</v>
      </c>
      <c r="W33" s="26">
        <f t="shared" si="33"/>
        <v>114684069.45962606</v>
      </c>
      <c r="X33" s="26">
        <f t="shared" si="33"/>
        <v>16812785.467423338</v>
      </c>
      <c r="Y33" s="26">
        <f t="shared" si="33"/>
        <v>292369522.29256517</v>
      </c>
      <c r="Z33" s="26">
        <f t="shared" si="33"/>
        <v>254924420.62083575</v>
      </c>
      <c r="AA33" s="26">
        <f t="shared" si="33"/>
        <v>142881538.78154743</v>
      </c>
      <c r="AB33" s="26">
        <f t="shared" si="33"/>
        <v>15270573.72664981</v>
      </c>
      <c r="AC33" s="26">
        <f t="shared" si="33"/>
        <v>438476738.46007574</v>
      </c>
      <c r="AD33" s="26">
        <f t="shared" si="33"/>
        <v>182208626.1553385</v>
      </c>
      <c r="AE33" s="26">
        <f t="shared" si="33"/>
        <v>125285198.20802322</v>
      </c>
      <c r="AF33" s="26">
        <f t="shared" si="33"/>
        <v>35875256.338880263</v>
      </c>
      <c r="AG33" s="26">
        <f t="shared" si="33"/>
        <v>234547998.72110674</v>
      </c>
      <c r="AH33" s="26">
        <f t="shared" si="33"/>
        <v>225145447.00284562</v>
      </c>
      <c r="AI33" s="26">
        <f t="shared" si="33"/>
        <v>133622225.96261528</v>
      </c>
      <c r="AJ33" s="26">
        <f t="shared" si="33"/>
        <v>37954073.803805061</v>
      </c>
      <c r="AK33" s="26">
        <f t="shared" si="33"/>
        <v>-187064680.60539535</v>
      </c>
      <c r="AL33" s="26">
        <f t="shared" si="33"/>
        <v>-108780236.59110314</v>
      </c>
      <c r="AM33" s="26">
        <f t="shared" si="33"/>
        <v>-125445333.00908056</v>
      </c>
      <c r="AN33" s="26">
        <f t="shared" si="33"/>
        <v>-79348977.804041222</v>
      </c>
      <c r="AO33" s="26">
        <f t="shared" si="33"/>
        <v>-10578254.870911427</v>
      </c>
      <c r="AP33" s="26">
        <f t="shared" si="33"/>
        <v>43608151.919775061</v>
      </c>
      <c r="AQ33" s="26">
        <f t="shared" si="33"/>
        <v>50740030.683972009</v>
      </c>
      <c r="AR33" s="26">
        <f t="shared" si="33"/>
        <v>15164840.880997898</v>
      </c>
      <c r="AS33" s="26">
        <f t="shared" si="33"/>
        <v>105524293.53465255</v>
      </c>
      <c r="AT33" s="26">
        <f t="shared" si="33"/>
        <v>84368102.442169949</v>
      </c>
      <c r="AU33" s="26">
        <f t="shared" si="33"/>
        <v>55394636.749334246</v>
      </c>
      <c r="AV33" s="26">
        <f t="shared" si="33"/>
        <v>21318171.182774231</v>
      </c>
      <c r="AW33" s="26">
        <f t="shared" si="33"/>
        <v>124678609.60177641</v>
      </c>
      <c r="AX33" s="26">
        <f t="shared" si="33"/>
        <v>94036413.781159863</v>
      </c>
      <c r="AY33" s="26">
        <f t="shared" si="33"/>
        <v>53437790.601378985</v>
      </c>
      <c r="AZ33" s="26">
        <f t="shared" si="33"/>
        <v>18688042.072993647</v>
      </c>
      <c r="BA33" s="26">
        <f t="shared" si="33"/>
        <v>72669004.768325299</v>
      </c>
      <c r="BB33" s="26">
        <f t="shared" si="33"/>
        <v>55276313.724263415</v>
      </c>
      <c r="BC33" s="26">
        <f t="shared" si="33"/>
        <v>43673755.070208594</v>
      </c>
      <c r="BD33" s="26">
        <f t="shared" si="33"/>
        <v>17197203.011238184</v>
      </c>
      <c r="BE33" s="26">
        <f t="shared" si="33"/>
        <v>111832252.16630894</v>
      </c>
      <c r="BF33" s="26">
        <f t="shared" si="33"/>
        <v>58267788.517725185</v>
      </c>
      <c r="BG33" s="26">
        <f t="shared" si="33"/>
        <v>42431283.758013874</v>
      </c>
      <c r="BH33" s="26">
        <f t="shared" si="33"/>
        <v>15242783.316045642</v>
      </c>
      <c r="BI33" s="26">
        <f t="shared" si="33"/>
        <v>58672907.548810899</v>
      </c>
      <c r="BJ33" s="26">
        <f t="shared" si="33"/>
        <v>36138360.61692553</v>
      </c>
      <c r="BK33" s="26">
        <f t="shared" si="33"/>
        <v>26385693.197464626</v>
      </c>
      <c r="BL33" s="26">
        <f t="shared" si="33"/>
        <v>14469200.470061118</v>
      </c>
      <c r="BM33" s="26">
        <f t="shared" si="33"/>
        <v>-17114370.231916156</v>
      </c>
      <c r="BN33" s="26">
        <f t="shared" si="33"/>
        <v>6894966.4305781452</v>
      </c>
      <c r="BO33" s="26">
        <f t="shared" ref="BO33:CJ33" si="34">BO17+BO20+BO29</f>
        <v>16477061.05482788</v>
      </c>
      <c r="BP33" s="26">
        <f t="shared" si="34"/>
        <v>8255540.7192892861</v>
      </c>
      <c r="BQ33" s="26">
        <f t="shared" si="34"/>
        <v>19333755.758702077</v>
      </c>
      <c r="BR33" s="26">
        <f t="shared" si="34"/>
        <v>19598768.781009123</v>
      </c>
      <c r="BS33" s="26">
        <f t="shared" si="34"/>
        <v>35502785.397277199</v>
      </c>
      <c r="BT33" s="26">
        <f t="shared" si="34"/>
        <v>17900407.884361889</v>
      </c>
      <c r="BU33" s="26">
        <f t="shared" si="34"/>
        <v>25177267.864744723</v>
      </c>
      <c r="BV33" s="26">
        <f t="shared" si="34"/>
        <v>10881163.898531323</v>
      </c>
      <c r="BW33" s="26">
        <f t="shared" si="34"/>
        <v>27649491.387722038</v>
      </c>
      <c r="BX33" s="26">
        <f t="shared" si="34"/>
        <v>15433025.492905168</v>
      </c>
      <c r="BY33" s="26">
        <f t="shared" si="34"/>
        <v>41070300.391023688</v>
      </c>
      <c r="BZ33" s="26">
        <f t="shared" si="34"/>
        <v>102503630.34999999</v>
      </c>
      <c r="CA33" s="26">
        <f t="shared" si="34"/>
        <v>16096306.675025593</v>
      </c>
      <c r="CB33" s="26">
        <f t="shared" si="34"/>
        <v>66360000</v>
      </c>
      <c r="CC33" s="26">
        <f t="shared" si="34"/>
        <v>33754257.293790251</v>
      </c>
      <c r="CD33" s="26">
        <f t="shared" si="34"/>
        <v>71470000</v>
      </c>
      <c r="CE33" s="26">
        <f t="shared" si="34"/>
        <v>35881168.528829619</v>
      </c>
      <c r="CF33" s="26">
        <f t="shared" si="34"/>
        <v>23284192.204603933</v>
      </c>
      <c r="CG33" s="26">
        <f t="shared" si="34"/>
        <v>31780600</v>
      </c>
      <c r="CH33" s="26">
        <f t="shared" si="34"/>
        <v>15431400</v>
      </c>
      <c r="CI33" s="26" t="e">
        <f t="shared" si="34"/>
        <v>#DIV/0!</v>
      </c>
      <c r="CJ33" s="26" t="e">
        <f t="shared" si="34"/>
        <v>#DIV/0!</v>
      </c>
    </row>
    <row r="34" spans="1:89" s="57" customFormat="1">
      <c r="A34" s="57" t="s">
        <v>411</v>
      </c>
      <c r="B34" s="57">
        <f>B33/B4*100</f>
        <v>11.109314086450325</v>
      </c>
      <c r="C34" s="57">
        <f t="shared" ref="C34:D34" si="35">C33/C4*100</f>
        <v>5.8712384144905201</v>
      </c>
      <c r="D34" s="57">
        <f t="shared" si="35"/>
        <v>4.6816865855552443</v>
      </c>
      <c r="E34" s="57">
        <f>E33/E4</f>
        <v>2.2384158186068408E-2</v>
      </c>
      <c r="F34" s="57">
        <f t="shared" ref="F34:BQ34" si="36">F33/F4</f>
        <v>8.8889881971659188E-2</v>
      </c>
      <c r="G34" s="57">
        <f t="shared" si="36"/>
        <v>8.8782650407700905E-2</v>
      </c>
      <c r="H34" s="57">
        <f t="shared" si="36"/>
        <v>0.10345022137978734</v>
      </c>
      <c r="I34" s="57">
        <f t="shared" si="36"/>
        <v>6.2495462088271655E-2</v>
      </c>
      <c r="J34" s="57">
        <f t="shared" si="36"/>
        <v>5.8533834771315699E-2</v>
      </c>
      <c r="K34" s="57">
        <f t="shared" si="36"/>
        <v>6.9771045007409105E-2</v>
      </c>
      <c r="L34" s="57">
        <f t="shared" si="36"/>
        <v>6.4843753708349924E-2</v>
      </c>
      <c r="M34" s="57">
        <f t="shared" si="36"/>
        <v>6.3176025856512941E-2</v>
      </c>
      <c r="N34" s="57">
        <f t="shared" si="36"/>
        <v>4.8244854989480321E-2</v>
      </c>
      <c r="O34" s="57">
        <f t="shared" si="36"/>
        <v>5.6438221088854733E-2</v>
      </c>
      <c r="P34" s="57">
        <f t="shared" si="36"/>
        <v>6.7764834101223789E-2</v>
      </c>
      <c r="Q34" s="57">
        <f t="shared" si="36"/>
        <v>8.4283787535342602E-2</v>
      </c>
      <c r="R34" s="57">
        <f t="shared" si="36"/>
        <v>7.7352506413334104E-2</v>
      </c>
      <c r="S34" s="57">
        <f t="shared" si="36"/>
        <v>7.5114226650868782E-2</v>
      </c>
      <c r="T34" s="57">
        <f t="shared" si="36"/>
        <v>7.0418432376674861E-2</v>
      </c>
      <c r="U34" s="57">
        <f t="shared" si="36"/>
        <v>8.3165099978801171E-2</v>
      </c>
      <c r="V34" s="57">
        <f t="shared" si="36"/>
        <v>8.4490945756753047E-2</v>
      </c>
      <c r="W34" s="57">
        <f t="shared" si="36"/>
        <v>5.094563794436939E-2</v>
      </c>
      <c r="X34" s="57">
        <f t="shared" si="36"/>
        <v>1.6160166509685405E-2</v>
      </c>
      <c r="Y34" s="57">
        <f t="shared" si="36"/>
        <v>6.7466604131011812E-2</v>
      </c>
      <c r="Z34" s="57">
        <f t="shared" si="36"/>
        <v>7.703454246097341E-2</v>
      </c>
      <c r="AA34" s="57">
        <f t="shared" si="36"/>
        <v>6.3862843440278969E-2</v>
      </c>
      <c r="AB34" s="57">
        <f t="shared" si="36"/>
        <v>1.5529748293269315E-2</v>
      </c>
      <c r="AC34" s="57">
        <f t="shared" si="36"/>
        <v>9.5011885816837421E-2</v>
      </c>
      <c r="AD34" s="57">
        <f t="shared" si="36"/>
        <v>5.4359093719578845E-2</v>
      </c>
      <c r="AE34" s="57">
        <f t="shared" si="36"/>
        <v>5.9398973940956439E-2</v>
      </c>
      <c r="AF34" s="57">
        <f t="shared" si="36"/>
        <v>3.528341324438166E-2</v>
      </c>
      <c r="AG34" s="57">
        <f t="shared" si="36"/>
        <v>6.7902037318181133E-2</v>
      </c>
      <c r="AH34" s="57">
        <f t="shared" si="36"/>
        <v>9.6551250832889401E-2</v>
      </c>
      <c r="AI34" s="57">
        <f t="shared" si="36"/>
        <v>9.0132970359336845E-2</v>
      </c>
      <c r="AJ34" s="57">
        <f t="shared" si="36"/>
        <v>5.7946024161977125E-2</v>
      </c>
      <c r="AK34" s="57">
        <f t="shared" si="36"/>
        <v>-8.5400207818762008E-2</v>
      </c>
      <c r="AL34" s="57">
        <f t="shared" si="36"/>
        <v>-6.8751021343231536E-2</v>
      </c>
      <c r="AM34" s="57">
        <f t="shared" si="36"/>
        <v>-0.1429468665542788</v>
      </c>
      <c r="AN34" s="57">
        <f t="shared" si="36"/>
        <v>-0.22736973927111948</v>
      </c>
      <c r="AO34" s="57">
        <f t="shared" si="36"/>
        <v>-7.6862750217232632E-3</v>
      </c>
      <c r="AP34" s="57">
        <f t="shared" si="36"/>
        <v>4.196903477167746E-2</v>
      </c>
      <c r="AQ34" s="57">
        <f t="shared" si="36"/>
        <v>7.37218537069744E-2</v>
      </c>
      <c r="AR34" s="57">
        <f t="shared" si="36"/>
        <v>4.3862016930196382E-2</v>
      </c>
      <c r="AS34" s="57">
        <f t="shared" si="36"/>
        <v>6.1296032672187459E-2</v>
      </c>
      <c r="AT34" s="57">
        <f t="shared" si="36"/>
        <v>6.8421211606548002E-2</v>
      </c>
      <c r="AU34" s="57">
        <f t="shared" si="36"/>
        <v>7.2241930523196496E-2</v>
      </c>
      <c r="AV34" s="57">
        <f t="shared" si="36"/>
        <v>6.027524552571592E-2</v>
      </c>
      <c r="AW34" s="57">
        <f t="shared" si="36"/>
        <v>8.2504077054809444E-2</v>
      </c>
      <c r="AX34" s="57">
        <f t="shared" si="36"/>
        <v>9.2070178347979148E-2</v>
      </c>
      <c r="AY34" s="57">
        <f t="shared" si="36"/>
        <v>8.34075829838129E-2</v>
      </c>
      <c r="AZ34" s="57">
        <f t="shared" si="36"/>
        <v>7.3971374856975497E-2</v>
      </c>
      <c r="BA34" s="57">
        <f t="shared" si="36"/>
        <v>6.5914553461079148E-2</v>
      </c>
      <c r="BB34" s="57">
        <f t="shared" si="36"/>
        <v>7.2993343615946366E-2</v>
      </c>
      <c r="BC34" s="57">
        <f t="shared" si="36"/>
        <v>8.3180609920245882E-2</v>
      </c>
      <c r="BD34" s="57">
        <f t="shared" si="36"/>
        <v>7.2937083583401965E-2</v>
      </c>
      <c r="BE34" s="57">
        <f t="shared" si="36"/>
        <v>0.10442704690439379</v>
      </c>
      <c r="BF34" s="57">
        <f t="shared" si="36"/>
        <v>8.8492092445050186E-2</v>
      </c>
      <c r="BG34" s="57">
        <f t="shared" si="36"/>
        <v>9.6295898029296612E-2</v>
      </c>
      <c r="BH34" s="57">
        <f t="shared" si="36"/>
        <v>8.7034950559657334E-2</v>
      </c>
      <c r="BI34" s="57">
        <f t="shared" si="36"/>
        <v>9.2284894939623219E-2</v>
      </c>
      <c r="BJ34" s="57">
        <f t="shared" si="36"/>
        <v>8.1363168589447754E-2</v>
      </c>
      <c r="BK34" s="57">
        <f t="shared" si="36"/>
        <v>0.10166208108640344</v>
      </c>
      <c r="BL34" s="57">
        <f t="shared" si="36"/>
        <v>0.13285935442838259</v>
      </c>
      <c r="BM34" s="57">
        <f t="shared" si="36"/>
        <v>-5.2566782266745167E-2</v>
      </c>
      <c r="BN34" s="57">
        <f t="shared" si="36"/>
        <v>2.8463376756286581E-2</v>
      </c>
      <c r="BO34" s="57">
        <f t="shared" si="36"/>
        <v>0.10945718850687731</v>
      </c>
      <c r="BP34" s="57">
        <f t="shared" si="36"/>
        <v>0.12767044571836539</v>
      </c>
      <c r="BQ34" s="57">
        <f t="shared" si="36"/>
        <v>6.9312465358696645E-2</v>
      </c>
      <c r="BR34" s="57">
        <f t="shared" ref="BR34:CK34" si="37">BR33/BR4</f>
        <v>0.12907249073066027</v>
      </c>
      <c r="BS34" s="57">
        <f t="shared" si="37"/>
        <v>0.11177974209580219</v>
      </c>
      <c r="BT34" s="57">
        <f t="shared" si="37"/>
        <v>0.11485826332614009</v>
      </c>
      <c r="BU34" s="57">
        <f t="shared" si="37"/>
        <v>9.3575390502604341E-2</v>
      </c>
      <c r="BV34" s="57">
        <f t="shared" si="37"/>
        <v>8.7845516965810957E-2</v>
      </c>
      <c r="BW34" s="57">
        <f t="shared" si="37"/>
        <v>0.16041716552919025</v>
      </c>
      <c r="BX34" s="57">
        <f t="shared" si="37"/>
        <v>0.15942834440941858</v>
      </c>
      <c r="BY34" s="57">
        <f t="shared" si="37"/>
        <v>0.18751465841757184</v>
      </c>
      <c r="BZ34" s="57">
        <f t="shared" si="37"/>
        <v>0.98493615045167415</v>
      </c>
      <c r="CA34" s="57">
        <f t="shared" si="37"/>
        <v>0.10468006109353264</v>
      </c>
      <c r="CB34" s="57">
        <f t="shared" si="37"/>
        <v>1.0154552410099464</v>
      </c>
      <c r="CC34" s="57">
        <f t="shared" si="37"/>
        <v>0.22461272201084168</v>
      </c>
      <c r="CD34" s="57">
        <f t="shared" si="37"/>
        <v>0.98092231677189134</v>
      </c>
      <c r="CE34" s="57">
        <f t="shared" si="37"/>
        <v>0.20848677807214797</v>
      </c>
      <c r="CF34" s="57">
        <f t="shared" si="37"/>
        <v>0.17297738596979892</v>
      </c>
      <c r="CG34" s="57">
        <f t="shared" si="37"/>
        <v>0.28654301129560439</v>
      </c>
      <c r="CH34" s="57">
        <f t="shared" si="37"/>
        <v>0.26022377551622666</v>
      </c>
      <c r="CI34" s="57" t="e">
        <f t="shared" si="37"/>
        <v>#DIV/0!</v>
      </c>
      <c r="CJ34" s="57" t="e">
        <f t="shared" si="37"/>
        <v>#DIV/0!</v>
      </c>
      <c r="CK34" s="57" t="e">
        <f t="shared" si="37"/>
        <v>#DIV/0!</v>
      </c>
    </row>
    <row r="35" spans="1:89">
      <c r="A35" s="17" t="s">
        <v>412</v>
      </c>
      <c r="B35" s="26">
        <f>B23+B68</f>
        <v>556021373.92999995</v>
      </c>
      <c r="C35" s="26">
        <f t="shared" ref="C35:BN35" si="38">C23+C68</f>
        <v>389588717.24000001</v>
      </c>
      <c r="D35" s="26">
        <f t="shared" si="38"/>
        <v>241101926.06</v>
      </c>
      <c r="E35" s="26">
        <f t="shared" si="38"/>
        <v>257202405.19</v>
      </c>
      <c r="F35" s="26">
        <f t="shared" si="38"/>
        <v>172324133.75999999</v>
      </c>
      <c r="G35" s="26">
        <f t="shared" si="38"/>
        <v>109798309.25</v>
      </c>
      <c r="H35" s="26">
        <f t="shared" si="38"/>
        <v>66896224.259999998</v>
      </c>
      <c r="I35" s="26">
        <f t="shared" si="38"/>
        <v>-99544150.789999992</v>
      </c>
      <c r="J35" s="26">
        <f t="shared" si="38"/>
        <v>15234.62</v>
      </c>
      <c r="K35" s="26">
        <f t="shared" si="38"/>
        <v>4602562</v>
      </c>
      <c r="L35" s="26">
        <f t="shared" si="38"/>
        <v>43437175.240000002</v>
      </c>
      <c r="M35" s="26">
        <f t="shared" si="38"/>
        <v>43987267</v>
      </c>
      <c r="N35" s="26">
        <f t="shared" si="38"/>
        <v>30241241.859999999</v>
      </c>
      <c r="O35" s="26">
        <f t="shared" si="38"/>
        <v>45013351</v>
      </c>
      <c r="P35" s="26">
        <f t="shared" si="38"/>
        <v>33005294.68</v>
      </c>
      <c r="Q35" s="26">
        <f t="shared" si="38"/>
        <v>206374598</v>
      </c>
      <c r="R35" s="26">
        <f t="shared" si="38"/>
        <v>138839839.90000001</v>
      </c>
      <c r="S35" s="26">
        <f t="shared" si="38"/>
        <v>52731523</v>
      </c>
      <c r="T35" s="26">
        <f t="shared" si="38"/>
        <v>27215200.399999999</v>
      </c>
      <c r="U35" s="26">
        <f t="shared" si="38"/>
        <v>142888577</v>
      </c>
      <c r="V35" s="26">
        <f t="shared" si="38"/>
        <v>111060103</v>
      </c>
      <c r="W35" s="26">
        <f t="shared" si="38"/>
        <v>75491152</v>
      </c>
      <c r="X35" s="26">
        <f t="shared" si="38"/>
        <v>38518424.329999998</v>
      </c>
      <c r="Y35" s="26">
        <f t="shared" si="38"/>
        <v>183721801</v>
      </c>
      <c r="Z35" s="26">
        <f t="shared" si="38"/>
        <v>129291090</v>
      </c>
      <c r="AA35" s="26">
        <f t="shared" si="38"/>
        <v>84829496</v>
      </c>
      <c r="AB35" s="26">
        <f t="shared" si="38"/>
        <v>42969523.539999999</v>
      </c>
      <c r="AC35" s="26">
        <f t="shared" si="38"/>
        <v>137740605</v>
      </c>
      <c r="AD35" s="26">
        <f t="shared" si="38"/>
        <v>135362539.15000001</v>
      </c>
      <c r="AE35" s="26">
        <f t="shared" si="38"/>
        <v>58113723</v>
      </c>
      <c r="AF35" s="26">
        <f t="shared" si="38"/>
        <v>42786124.060000002</v>
      </c>
      <c r="AG35" s="26">
        <f t="shared" si="38"/>
        <v>122673176</v>
      </c>
      <c r="AH35" s="26">
        <f t="shared" si="38"/>
        <v>87960978.480000004</v>
      </c>
      <c r="AI35" s="26">
        <f t="shared" si="38"/>
        <v>59546816.159999996</v>
      </c>
      <c r="AJ35" s="26">
        <f t="shared" si="38"/>
        <v>27110473.57</v>
      </c>
      <c r="AK35" s="26">
        <f t="shared" si="38"/>
        <v>134334606.22</v>
      </c>
      <c r="AL35" s="26">
        <f t="shared" si="38"/>
        <v>102214555.09999999</v>
      </c>
      <c r="AM35" s="26">
        <f t="shared" si="38"/>
        <v>70743684.450000003</v>
      </c>
      <c r="AN35" s="26">
        <f t="shared" si="38"/>
        <v>34937236.770000003</v>
      </c>
      <c r="AO35" s="26">
        <f t="shared" si="38"/>
        <v>54620082.509999998</v>
      </c>
      <c r="AP35" s="26">
        <f t="shared" si="38"/>
        <v>3455086.02</v>
      </c>
      <c r="AQ35" s="26">
        <f t="shared" si="38"/>
        <v>2648053.86</v>
      </c>
      <c r="AR35" s="26">
        <f t="shared" si="38"/>
        <v>2367479.4500000002</v>
      </c>
      <c r="AS35" s="26">
        <f t="shared" si="38"/>
        <v>16144523.699999999</v>
      </c>
      <c r="AT35" s="26">
        <f t="shared" si="38"/>
        <v>14747082.939999999</v>
      </c>
      <c r="AU35" s="26">
        <f t="shared" si="38"/>
        <v>10155736.380000001</v>
      </c>
      <c r="AV35" s="26">
        <f t="shared" si="38"/>
        <v>4602707.42</v>
      </c>
      <c r="AW35" s="26">
        <f t="shared" si="38"/>
        <v>36214863.200000003</v>
      </c>
      <c r="AX35" s="26">
        <f t="shared" si="38"/>
        <v>23678737.280000001</v>
      </c>
      <c r="AY35" s="26">
        <f t="shared" si="38"/>
        <v>12185389.880000001</v>
      </c>
      <c r="AZ35" s="26">
        <f t="shared" si="38"/>
        <v>5843404.54</v>
      </c>
      <c r="BA35" s="26">
        <f t="shared" si="38"/>
        <v>22111876.359999999</v>
      </c>
      <c r="BB35" s="26">
        <f t="shared" si="38"/>
        <v>18041563.52</v>
      </c>
      <c r="BC35" s="26">
        <f t="shared" si="38"/>
        <v>13189011.58</v>
      </c>
      <c r="BD35" s="26">
        <f t="shared" si="38"/>
        <v>6509516.2300000004</v>
      </c>
      <c r="BE35" s="26">
        <f t="shared" si="38"/>
        <v>21125482.620000001</v>
      </c>
      <c r="BF35" s="26">
        <f t="shared" si="38"/>
        <v>13873897.880000001</v>
      </c>
      <c r="BG35" s="26">
        <f t="shared" si="38"/>
        <v>9272739.7200000007</v>
      </c>
      <c r="BH35" s="26">
        <f t="shared" si="38"/>
        <v>5254974.34</v>
      </c>
      <c r="BI35" s="26">
        <f t="shared" si="38"/>
        <v>18360468.960000001</v>
      </c>
      <c r="BJ35" s="26">
        <f t="shared" si="38"/>
        <v>12628456.039999999</v>
      </c>
      <c r="BK35" s="26">
        <f t="shared" si="38"/>
        <v>8542461.6099999994</v>
      </c>
      <c r="BL35" s="26">
        <f t="shared" si="38"/>
        <v>4439179.18</v>
      </c>
      <c r="BM35" s="26">
        <f t="shared" si="38"/>
        <v>12384001.289999999</v>
      </c>
      <c r="BN35" s="26">
        <f t="shared" si="38"/>
        <v>7942957.5700000003</v>
      </c>
      <c r="BO35" s="26">
        <f t="shared" ref="BO35:CJ35" si="39">BO23+BO68</f>
        <v>3194301.26</v>
      </c>
      <c r="BP35" s="26">
        <f t="shared" si="39"/>
        <v>858456.31</v>
      </c>
      <c r="BQ35" s="26">
        <f t="shared" si="39"/>
        <v>4622677.68</v>
      </c>
      <c r="BR35" s="26">
        <f t="shared" si="39"/>
        <v>5165758.59</v>
      </c>
      <c r="BS35" s="26">
        <f t="shared" si="39"/>
        <v>5841182.0499999998</v>
      </c>
      <c r="BT35" s="26">
        <f t="shared" si="39"/>
        <v>3442934.55</v>
      </c>
      <c r="BU35" s="26">
        <f t="shared" si="39"/>
        <v>4581835.4000000004</v>
      </c>
      <c r="BV35" s="26">
        <f t="shared" si="39"/>
        <v>870590.37</v>
      </c>
      <c r="BW35" s="26">
        <f t="shared" si="39"/>
        <v>1647157.55</v>
      </c>
      <c r="BX35" s="26">
        <f t="shared" si="39"/>
        <v>656091.86</v>
      </c>
      <c r="BY35" s="26">
        <f t="shared" si="39"/>
        <v>946849.48</v>
      </c>
      <c r="BZ35" s="26">
        <f t="shared" si="39"/>
        <v>0</v>
      </c>
      <c r="CA35" s="26">
        <f t="shared" si="39"/>
        <v>-537172.29</v>
      </c>
      <c r="CB35" s="26">
        <f t="shared" si="39"/>
        <v>0</v>
      </c>
      <c r="CC35" s="26">
        <f t="shared" si="39"/>
        <v>7917769.5499999998</v>
      </c>
      <c r="CD35" s="26">
        <f t="shared" si="39"/>
        <v>0</v>
      </c>
      <c r="CE35" s="26">
        <f t="shared" si="39"/>
        <v>5890138.6100000003</v>
      </c>
      <c r="CF35" s="26">
        <f t="shared" si="39"/>
        <v>4637578.3099999996</v>
      </c>
      <c r="CG35" s="26">
        <f t="shared" si="39"/>
        <v>0</v>
      </c>
      <c r="CH35" s="26">
        <f t="shared" si="39"/>
        <v>0</v>
      </c>
      <c r="CI35" s="26">
        <f t="shared" si="39"/>
        <v>0</v>
      </c>
      <c r="CJ35" s="26">
        <f t="shared" si="39"/>
        <v>0</v>
      </c>
    </row>
    <row r="36" spans="1:89" s="23" customFormat="1">
      <c r="A36" s="17" t="s">
        <v>413</v>
      </c>
      <c r="B36" s="26">
        <f>B35*B41</f>
        <v>22720821.872783974</v>
      </c>
      <c r="C36" s="26">
        <f t="shared" ref="C36:BN36" si="40">C35*C41</f>
        <v>50368562.759124391</v>
      </c>
      <c r="D36" s="26">
        <f t="shared" si="40"/>
        <v>69173897.084557205</v>
      </c>
      <c r="E36" s="26">
        <f t="shared" si="40"/>
        <v>89016692.255086452</v>
      </c>
      <c r="F36" s="26">
        <f t="shared" si="40"/>
        <v>26465530.812492058</v>
      </c>
      <c r="G36" s="26">
        <f t="shared" si="40"/>
        <v>16810205.209269848</v>
      </c>
      <c r="H36" s="26">
        <f t="shared" si="40"/>
        <v>9132856.1231877655</v>
      </c>
      <c r="I36" s="26">
        <f t="shared" si="40"/>
        <v>-14055066.939294118</v>
      </c>
      <c r="J36" s="26">
        <f t="shared" si="40"/>
        <v>2037.3769490115303</v>
      </c>
      <c r="K36" s="26">
        <f t="shared" si="40"/>
        <v>478843.6661180511</v>
      </c>
      <c r="L36" s="26">
        <f t="shared" si="40"/>
        <v>3261689.8867164473</v>
      </c>
      <c r="M36" s="26">
        <f t="shared" si="40"/>
        <v>3409400.0424864306</v>
      </c>
      <c r="N36" s="26">
        <f t="shared" si="40"/>
        <v>2086665.1975888661</v>
      </c>
      <c r="O36" s="26">
        <f t="shared" si="40"/>
        <v>3016891.100029422</v>
      </c>
      <c r="P36" s="26">
        <f t="shared" si="40"/>
        <v>2280954.5000927281</v>
      </c>
      <c r="Q36" s="26">
        <f t="shared" si="40"/>
        <v>25506204.569608148</v>
      </c>
      <c r="R36" s="26">
        <f t="shared" si="40"/>
        <v>17551256.393526297</v>
      </c>
      <c r="S36" s="26">
        <f t="shared" si="40"/>
        <v>5159356.2186178304</v>
      </c>
      <c r="T36" s="26">
        <f t="shared" si="40"/>
        <v>1899869.3423325743</v>
      </c>
      <c r="U36" s="26">
        <f t="shared" si="40"/>
        <v>17206329.502356313</v>
      </c>
      <c r="V36" s="26">
        <f t="shared" si="40"/>
        <v>14273698.956869988</v>
      </c>
      <c r="W36" s="26">
        <f t="shared" si="40"/>
        <v>-15999892.145936968</v>
      </c>
      <c r="X36" s="26">
        <f t="shared" si="40"/>
        <v>4280778.3150343839</v>
      </c>
      <c r="Y36" s="26">
        <f t="shared" si="40"/>
        <v>16208820.775494909</v>
      </c>
      <c r="Z36" s="26">
        <f t="shared" si="40"/>
        <v>4839093.0046314355</v>
      </c>
      <c r="AA36" s="26">
        <f t="shared" si="40"/>
        <v>-20179089.031625811</v>
      </c>
      <c r="AB36" s="26">
        <f t="shared" si="40"/>
        <v>5443031.9118183563</v>
      </c>
      <c r="AC36" s="26">
        <f t="shared" si="40"/>
        <v>8759657.8296553344</v>
      </c>
      <c r="AD36" s="26">
        <f t="shared" si="40"/>
        <v>11198174.74324492</v>
      </c>
      <c r="AE36" s="26">
        <f t="shared" si="40"/>
        <v>834584.73928484973</v>
      </c>
      <c r="AF36" s="26">
        <f t="shared" si="40"/>
        <v>-455022.08968647127</v>
      </c>
      <c r="AG36" s="26">
        <f t="shared" si="40"/>
        <v>25821166.605336063</v>
      </c>
      <c r="AH36" s="26">
        <f t="shared" si="40"/>
        <v>14574312.046624435</v>
      </c>
      <c r="AI36" s="26">
        <f t="shared" si="40"/>
        <v>9641740.8619700596</v>
      </c>
      <c r="AJ36" s="26">
        <f t="shared" si="40"/>
        <v>4074150.6487078751</v>
      </c>
      <c r="AK36" s="26">
        <f t="shared" si="40"/>
        <v>20044894.388246592</v>
      </c>
      <c r="AL36" s="26">
        <f t="shared" si="40"/>
        <v>11032177.361103095</v>
      </c>
      <c r="AM36" s="26">
        <f t="shared" si="40"/>
        <v>8155313.3190805642</v>
      </c>
      <c r="AN36" s="26">
        <f t="shared" si="40"/>
        <v>3813823.0140412264</v>
      </c>
      <c r="AO36" s="26">
        <f t="shared" si="40"/>
        <v>17797359.918472566</v>
      </c>
      <c r="AP36" s="26">
        <f t="shared" si="40"/>
        <v>-154026.26977513733</v>
      </c>
      <c r="AQ36" s="26">
        <f t="shared" si="40"/>
        <v>141475.07602805915</v>
      </c>
      <c r="AR36" s="26">
        <f t="shared" si="40"/>
        <v>118871.80900212086</v>
      </c>
      <c r="AS36" s="26">
        <f t="shared" si="40"/>
        <v>1229691.1755246769</v>
      </c>
      <c r="AT36" s="26">
        <f t="shared" si="40"/>
        <v>1049425.8178300716</v>
      </c>
      <c r="AU36" s="26">
        <f t="shared" si="40"/>
        <v>921594.31066572969</v>
      </c>
      <c r="AV36" s="26">
        <f t="shared" si="40"/>
        <v>236765.32722578014</v>
      </c>
      <c r="AW36" s="26">
        <f t="shared" si="40"/>
        <v>4288275.0882237209</v>
      </c>
      <c r="AX36" s="26">
        <f t="shared" si="40"/>
        <v>2135160.1488401508</v>
      </c>
      <c r="AY36" s="26">
        <f t="shared" si="40"/>
        <v>1088819.7286210016</v>
      </c>
      <c r="AZ36" s="26">
        <f t="shared" si="40"/>
        <v>463529.33700635779</v>
      </c>
      <c r="BA36" s="26">
        <f t="shared" si="40"/>
        <v>605167.37167467875</v>
      </c>
      <c r="BB36" s="26">
        <f t="shared" si="40"/>
        <v>316053.43573659926</v>
      </c>
      <c r="BC36" s="26">
        <f t="shared" si="40"/>
        <v>280916.29979144386</v>
      </c>
      <c r="BD36" s="26">
        <f t="shared" si="40"/>
        <v>371599.32876181003</v>
      </c>
      <c r="BE36" s="26">
        <f t="shared" si="40"/>
        <v>843797.50369106571</v>
      </c>
      <c r="BF36" s="26">
        <f t="shared" si="40"/>
        <v>1701359.3222748123</v>
      </c>
      <c r="BG36" s="26">
        <f t="shared" si="40"/>
        <v>1236521.901986121</v>
      </c>
      <c r="BH36" s="26">
        <f t="shared" si="40"/>
        <v>806321.9439543396</v>
      </c>
      <c r="BI36" s="26">
        <f t="shared" si="40"/>
        <v>3081464.6811891608</v>
      </c>
      <c r="BJ36" s="26">
        <f t="shared" si="40"/>
        <v>1766457.643074506</v>
      </c>
      <c r="BK36" s="26">
        <f t="shared" si="40"/>
        <v>1163095.002535355</v>
      </c>
      <c r="BL36" s="26">
        <f t="shared" si="40"/>
        <v>508920.22993888234</v>
      </c>
      <c r="BM36" s="26">
        <f t="shared" si="40"/>
        <v>-1479215.7280838052</v>
      </c>
      <c r="BN36" s="26">
        <f t="shared" si="40"/>
        <v>4293843.8294218397</v>
      </c>
      <c r="BO36" s="26">
        <f t="shared" ref="BO36:CJ36" si="41">BO35*BO41</f>
        <v>503382.82517210348</v>
      </c>
      <c r="BP36" s="26">
        <f t="shared" si="41"/>
        <v>134632.02071070924</v>
      </c>
      <c r="BQ36" s="26">
        <f t="shared" si="41"/>
        <v>109731.74129795321</v>
      </c>
      <c r="BR36" s="26">
        <f t="shared" si="41"/>
        <v>819752.66899086046</v>
      </c>
      <c r="BS36" s="26">
        <f t="shared" si="41"/>
        <v>841484.69272279018</v>
      </c>
      <c r="BT36" s="26">
        <f t="shared" si="41"/>
        <v>504244.1156381027</v>
      </c>
      <c r="BU36" s="26">
        <f t="shared" si="41"/>
        <v>476388.06525529193</v>
      </c>
      <c r="BV36" s="26">
        <f t="shared" si="41"/>
        <v>88179.911468682869</v>
      </c>
      <c r="BW36" s="26">
        <f t="shared" si="41"/>
        <v>161899.83227795851</v>
      </c>
      <c r="BX36" s="26">
        <f t="shared" si="41"/>
        <v>61488.277094825804</v>
      </c>
      <c r="BY36" s="26">
        <f t="shared" si="41"/>
        <v>105350.18897629142</v>
      </c>
      <c r="BZ36" s="26">
        <f t="shared" si="41"/>
        <v>0</v>
      </c>
      <c r="CA36" s="26">
        <f t="shared" si="41"/>
        <v>-50361.735025603179</v>
      </c>
      <c r="CB36" s="26">
        <f t="shared" si="41"/>
        <v>0</v>
      </c>
      <c r="CC36" s="26">
        <f t="shared" si="41"/>
        <v>788892.0062097375</v>
      </c>
      <c r="CD36" s="26">
        <f t="shared" si="41"/>
        <v>0</v>
      </c>
      <c r="CE36" s="26">
        <f t="shared" si="41"/>
        <v>542313.19117038511</v>
      </c>
      <c r="CF36" s="26">
        <f t="shared" si="41"/>
        <v>491478.36539606744</v>
      </c>
      <c r="CG36" s="26">
        <f t="shared" si="41"/>
        <v>0</v>
      </c>
      <c r="CH36" s="26">
        <f t="shared" si="41"/>
        <v>0</v>
      </c>
      <c r="CI36" s="26" t="e">
        <f t="shared" si="41"/>
        <v>#DIV/0!</v>
      </c>
      <c r="CJ36" s="26" t="e">
        <f t="shared" si="41"/>
        <v>#DIV/0!</v>
      </c>
    </row>
    <row r="37" spans="1:89" s="23" customFormat="1">
      <c r="A37" s="17" t="s">
        <v>414</v>
      </c>
      <c r="B37" s="26">
        <f>B35-B36</f>
        <v>533300552.05721599</v>
      </c>
      <c r="C37" s="26">
        <f t="shared" ref="C37:BN37" si="42">C35-C36</f>
        <v>339220154.48087561</v>
      </c>
      <c r="D37" s="26">
        <f t="shared" si="42"/>
        <v>171928028.9754428</v>
      </c>
      <c r="E37" s="26">
        <f t="shared" si="42"/>
        <v>168185712.93491355</v>
      </c>
      <c r="F37" s="26">
        <f t="shared" si="42"/>
        <v>145858602.94750792</v>
      </c>
      <c r="G37" s="26">
        <f t="shared" si="42"/>
        <v>92988104.040730149</v>
      </c>
      <c r="H37" s="26">
        <f t="shared" si="42"/>
        <v>57763368.136812232</v>
      </c>
      <c r="I37" s="26">
        <f t="shared" si="42"/>
        <v>-85489083.850705877</v>
      </c>
      <c r="J37" s="26">
        <f t="shared" si="42"/>
        <v>13197.243050988471</v>
      </c>
      <c r="K37" s="26">
        <f t="shared" si="42"/>
        <v>4123718.3338819491</v>
      </c>
      <c r="L37" s="26">
        <f t="shared" si="42"/>
        <v>40175485.353283554</v>
      </c>
      <c r="M37" s="26">
        <f t="shared" si="42"/>
        <v>40577866.957513571</v>
      </c>
      <c r="N37" s="26">
        <f t="shared" si="42"/>
        <v>28154576.662411135</v>
      </c>
      <c r="O37" s="26">
        <f t="shared" si="42"/>
        <v>41996459.899970576</v>
      </c>
      <c r="P37" s="26">
        <f t="shared" si="42"/>
        <v>30724340.17990727</v>
      </c>
      <c r="Q37" s="26">
        <f t="shared" si="42"/>
        <v>180868393.43039185</v>
      </c>
      <c r="R37" s="26">
        <f t="shared" si="42"/>
        <v>121288583.50647371</v>
      </c>
      <c r="S37" s="26">
        <f t="shared" si="42"/>
        <v>47572166.781382173</v>
      </c>
      <c r="T37" s="26">
        <f t="shared" si="42"/>
        <v>25315331.057667423</v>
      </c>
      <c r="U37" s="26">
        <f t="shared" si="42"/>
        <v>125682247.49764368</v>
      </c>
      <c r="V37" s="26">
        <f t="shared" si="42"/>
        <v>96786404.04313001</v>
      </c>
      <c r="W37" s="26">
        <f t="shared" si="42"/>
        <v>91491044.145936966</v>
      </c>
      <c r="X37" s="26">
        <f t="shared" si="42"/>
        <v>34237646.014965616</v>
      </c>
      <c r="Y37" s="26">
        <f t="shared" si="42"/>
        <v>167512980.2245051</v>
      </c>
      <c r="Z37" s="26">
        <f t="shared" si="42"/>
        <v>124451996.99536857</v>
      </c>
      <c r="AA37" s="26">
        <f t="shared" si="42"/>
        <v>105008585.03162581</v>
      </c>
      <c r="AB37" s="26">
        <f t="shared" si="42"/>
        <v>37526491.628181644</v>
      </c>
      <c r="AC37" s="26">
        <f t="shared" si="42"/>
        <v>128980947.17034467</v>
      </c>
      <c r="AD37" s="26">
        <f t="shared" si="42"/>
        <v>124164364.40675509</v>
      </c>
      <c r="AE37" s="26">
        <f t="shared" si="42"/>
        <v>57279138.260715149</v>
      </c>
      <c r="AF37" s="26">
        <f t="shared" si="42"/>
        <v>43241146.149686471</v>
      </c>
      <c r="AG37" s="26">
        <f t="shared" si="42"/>
        <v>96852009.39466393</v>
      </c>
      <c r="AH37" s="26">
        <f t="shared" si="42"/>
        <v>73386666.433375567</v>
      </c>
      <c r="AI37" s="26">
        <f t="shared" si="42"/>
        <v>49905075.298029937</v>
      </c>
      <c r="AJ37" s="26">
        <f t="shared" si="42"/>
        <v>23036322.921292126</v>
      </c>
      <c r="AK37" s="26">
        <f t="shared" si="42"/>
        <v>114289711.8317534</v>
      </c>
      <c r="AL37" s="26">
        <f t="shared" si="42"/>
        <v>91182377.738896906</v>
      </c>
      <c r="AM37" s="26">
        <f t="shared" si="42"/>
        <v>62588371.130919442</v>
      </c>
      <c r="AN37" s="26">
        <f t="shared" si="42"/>
        <v>31123413.755958777</v>
      </c>
      <c r="AO37" s="26">
        <f t="shared" si="42"/>
        <v>36822722.591527432</v>
      </c>
      <c r="AP37" s="26">
        <f t="shared" si="42"/>
        <v>3609112.2897751373</v>
      </c>
      <c r="AQ37" s="26">
        <f t="shared" si="42"/>
        <v>2506578.7839719406</v>
      </c>
      <c r="AR37" s="26">
        <f t="shared" si="42"/>
        <v>2248607.6409978792</v>
      </c>
      <c r="AS37" s="26">
        <f t="shared" si="42"/>
        <v>14914832.524475323</v>
      </c>
      <c r="AT37" s="26">
        <f t="shared" si="42"/>
        <v>13697657.122169929</v>
      </c>
      <c r="AU37" s="26">
        <f t="shared" si="42"/>
        <v>9234142.0693342704</v>
      </c>
      <c r="AV37" s="26">
        <f t="shared" si="42"/>
        <v>4365942.0927742198</v>
      </c>
      <c r="AW37" s="26">
        <f t="shared" si="42"/>
        <v>31926588.111776281</v>
      </c>
      <c r="AX37" s="26">
        <f t="shared" si="42"/>
        <v>21543577.131159849</v>
      </c>
      <c r="AY37" s="26">
        <f t="shared" si="42"/>
        <v>11096570.151378999</v>
      </c>
      <c r="AZ37" s="26">
        <f t="shared" si="42"/>
        <v>5379875.2029936425</v>
      </c>
      <c r="BA37" s="26">
        <f t="shared" si="42"/>
        <v>21506708.98832532</v>
      </c>
      <c r="BB37" s="26">
        <f t="shared" si="42"/>
        <v>17725510.084263399</v>
      </c>
      <c r="BC37" s="26">
        <f t="shared" si="42"/>
        <v>12908095.280208556</v>
      </c>
      <c r="BD37" s="26">
        <f t="shared" si="42"/>
        <v>6137916.90123819</v>
      </c>
      <c r="BE37" s="26">
        <f t="shared" si="42"/>
        <v>20281685.116308935</v>
      </c>
      <c r="BF37" s="26">
        <f t="shared" si="42"/>
        <v>12172538.557725189</v>
      </c>
      <c r="BG37" s="26">
        <f t="shared" si="42"/>
        <v>8036217.8180138795</v>
      </c>
      <c r="BH37" s="26">
        <f t="shared" si="42"/>
        <v>4448652.3960456606</v>
      </c>
      <c r="BI37" s="26">
        <f t="shared" si="42"/>
        <v>15279004.27881084</v>
      </c>
      <c r="BJ37" s="26">
        <f t="shared" si="42"/>
        <v>10861998.396925494</v>
      </c>
      <c r="BK37" s="26">
        <f t="shared" si="42"/>
        <v>7379366.6074646441</v>
      </c>
      <c r="BL37" s="26">
        <f t="shared" si="42"/>
        <v>3930258.9500611173</v>
      </c>
      <c r="BM37" s="26">
        <f t="shared" si="42"/>
        <v>13863217.018083803</v>
      </c>
      <c r="BN37" s="26">
        <f t="shared" si="42"/>
        <v>3649113.7405781606</v>
      </c>
      <c r="BO37" s="26">
        <f t="shared" ref="BO37:CJ37" si="43">BO35-BO36</f>
        <v>2690918.4348278963</v>
      </c>
      <c r="BP37" s="26">
        <f t="shared" si="43"/>
        <v>723824.28928929078</v>
      </c>
      <c r="BQ37" s="26">
        <f t="shared" si="43"/>
        <v>4512945.9387020469</v>
      </c>
      <c r="BR37" s="26">
        <f t="shared" si="43"/>
        <v>4346005.9210091392</v>
      </c>
      <c r="BS37" s="26">
        <f t="shared" si="43"/>
        <v>4999697.3572772099</v>
      </c>
      <c r="BT37" s="26">
        <f t="shared" si="43"/>
        <v>2938690.4343618969</v>
      </c>
      <c r="BU37" s="26">
        <f t="shared" si="43"/>
        <v>4105447.3347447086</v>
      </c>
      <c r="BV37" s="26">
        <f t="shared" si="43"/>
        <v>782410.45853131707</v>
      </c>
      <c r="BW37" s="26">
        <f t="shared" si="43"/>
        <v>1485257.7177220415</v>
      </c>
      <c r="BX37" s="26">
        <f t="shared" si="43"/>
        <v>594603.58290517423</v>
      </c>
      <c r="BY37" s="26">
        <f t="shared" si="43"/>
        <v>841499.29102370853</v>
      </c>
      <c r="BZ37" s="26">
        <f t="shared" si="43"/>
        <v>0</v>
      </c>
      <c r="CA37" s="26">
        <f t="shared" si="43"/>
        <v>-486810.55497439683</v>
      </c>
      <c r="CB37" s="26">
        <f t="shared" si="43"/>
        <v>0</v>
      </c>
      <c r="CC37" s="26">
        <f t="shared" si="43"/>
        <v>7128877.5437902622</v>
      </c>
      <c r="CD37" s="26">
        <f t="shared" si="43"/>
        <v>0</v>
      </c>
      <c r="CE37" s="26">
        <f t="shared" si="43"/>
        <v>5347825.4188296152</v>
      </c>
      <c r="CF37" s="26">
        <f t="shared" si="43"/>
        <v>4146099.9446039321</v>
      </c>
      <c r="CG37" s="26">
        <f t="shared" si="43"/>
        <v>0</v>
      </c>
      <c r="CH37" s="26">
        <f t="shared" si="43"/>
        <v>0</v>
      </c>
      <c r="CI37" s="26" t="e">
        <f t="shared" si="43"/>
        <v>#DIV/0!</v>
      </c>
      <c r="CJ37" s="26" t="e">
        <f t="shared" si="43"/>
        <v>#DIV/0!</v>
      </c>
    </row>
    <row r="38" spans="1:89" s="2" customFormat="1">
      <c r="A38" s="20" t="s">
        <v>415</v>
      </c>
      <c r="B38" s="28">
        <f>B31-B35</f>
        <v>1961257776.3699999</v>
      </c>
      <c r="C38" s="28">
        <f t="shared" ref="C38:BN38" si="44">C31-C35</f>
        <v>552113773.34000015</v>
      </c>
      <c r="D38" s="28">
        <f t="shared" si="44"/>
        <v>189047328.00000018</v>
      </c>
      <c r="E38" s="28">
        <f t="shared" si="44"/>
        <v>246413831.93000036</v>
      </c>
      <c r="F38" s="28">
        <f t="shared" si="44"/>
        <v>889313709.54999948</v>
      </c>
      <c r="G38" s="28">
        <f t="shared" si="44"/>
        <v>539470845.55000055</v>
      </c>
      <c r="H38" s="28">
        <f t="shared" si="44"/>
        <v>278688047.31999999</v>
      </c>
      <c r="I38" s="28">
        <f t="shared" si="44"/>
        <v>877477299.59000063</v>
      </c>
      <c r="J38" s="28">
        <f t="shared" si="44"/>
        <v>513955482.32999951</v>
      </c>
      <c r="K38" s="28">
        <f t="shared" si="44"/>
        <v>374424914</v>
      </c>
      <c r="L38" s="28">
        <f t="shared" si="44"/>
        <v>126360187.56999996</v>
      </c>
      <c r="M38" s="28">
        <f t="shared" si="44"/>
        <v>675733022</v>
      </c>
      <c r="N38" s="28">
        <f t="shared" si="44"/>
        <v>373077902.74999994</v>
      </c>
      <c r="O38" s="28">
        <f t="shared" si="44"/>
        <v>266451326</v>
      </c>
      <c r="P38" s="28">
        <f t="shared" si="44"/>
        <v>144777537.94999993</v>
      </c>
      <c r="Q38" s="28">
        <f t="shared" si="44"/>
        <v>711430928</v>
      </c>
      <c r="R38" s="28">
        <f t="shared" si="44"/>
        <v>440558269.01999998</v>
      </c>
      <c r="S38" s="28">
        <f t="shared" si="44"/>
        <v>154127177</v>
      </c>
      <c r="T38" s="28">
        <f t="shared" si="44"/>
        <v>62142703.180000059</v>
      </c>
      <c r="U38" s="28">
        <f t="shared" si="44"/>
        <v>282887216</v>
      </c>
      <c r="V38" s="28">
        <f t="shared" si="44"/>
        <v>227361243</v>
      </c>
      <c r="W38" s="28">
        <f t="shared" si="44"/>
        <v>18420857</v>
      </c>
      <c r="X38" s="28">
        <f t="shared" si="44"/>
        <v>-18961126.499999993</v>
      </c>
      <c r="Y38" s="28">
        <f t="shared" si="44"/>
        <v>137854535</v>
      </c>
      <c r="Z38" s="28">
        <f t="shared" si="44"/>
        <v>135784055</v>
      </c>
      <c r="AA38" s="28">
        <f t="shared" si="44"/>
        <v>30229519</v>
      </c>
      <c r="AB38" s="28">
        <f t="shared" si="44"/>
        <v>-25391989.089999981</v>
      </c>
      <c r="AC38" s="28">
        <f t="shared" si="44"/>
        <v>331383914</v>
      </c>
      <c r="AD38" s="28">
        <f t="shared" si="44"/>
        <v>63821740.169999748</v>
      </c>
      <c r="AE38" s="28">
        <f t="shared" si="44"/>
        <v>68996163</v>
      </c>
      <c r="AF38" s="28">
        <f t="shared" si="44"/>
        <v>-7294879.3499999344</v>
      </c>
      <c r="AG38" s="28">
        <f t="shared" si="44"/>
        <v>174568965</v>
      </c>
      <c r="AH38" s="28">
        <f t="shared" si="44"/>
        <v>176141786.66000015</v>
      </c>
      <c r="AI38" s="28">
        <f t="shared" si="44"/>
        <v>96259079.810000062</v>
      </c>
      <c r="AJ38" s="28">
        <f t="shared" si="44"/>
        <v>15809317.280000053</v>
      </c>
      <c r="AK38" s="28">
        <f t="shared" si="44"/>
        <v>-354272941.12999988</v>
      </c>
      <c r="AL38" s="28">
        <f t="shared" si="44"/>
        <v>-224156138.14000005</v>
      </c>
      <c r="AM38" s="28">
        <f t="shared" si="44"/>
        <v>-212534641.68000001</v>
      </c>
      <c r="AN38" s="28">
        <f t="shared" si="44"/>
        <v>-124009536.06</v>
      </c>
      <c r="AO38" s="28">
        <f t="shared" si="44"/>
        <v>-70109535.700000077</v>
      </c>
      <c r="AP38" s="28">
        <f t="shared" si="44"/>
        <v>38291998.569999926</v>
      </c>
      <c r="AQ38" s="28">
        <f t="shared" si="44"/>
        <v>50955820.460000068</v>
      </c>
      <c r="AR38" s="28">
        <f t="shared" si="44"/>
        <v>13599045.12000002</v>
      </c>
      <c r="AS38" s="28">
        <f t="shared" si="44"/>
        <v>98152916.64000003</v>
      </c>
      <c r="AT38" s="28">
        <f t="shared" si="44"/>
        <v>76084757.360000029</v>
      </c>
      <c r="AU38" s="28">
        <f t="shared" si="44"/>
        <v>50767446.679999977</v>
      </c>
      <c r="AV38" s="28">
        <f t="shared" si="44"/>
        <v>17871549.590000011</v>
      </c>
      <c r="AW38" s="28">
        <f t="shared" si="44"/>
        <v>105210170.22000013</v>
      </c>
      <c r="AX38" s="28">
        <f t="shared" si="44"/>
        <v>79677521.670000002</v>
      </c>
      <c r="AY38" s="28">
        <f t="shared" si="44"/>
        <v>46495833.589999981</v>
      </c>
      <c r="AZ38" s="28">
        <f t="shared" si="44"/>
        <v>14454796.770000007</v>
      </c>
      <c r="BA38" s="28">
        <f t="shared" si="44"/>
        <v>52601928.039999977</v>
      </c>
      <c r="BB38" s="28">
        <f t="shared" si="44"/>
        <v>38220350.550000012</v>
      </c>
      <c r="BC38" s="28">
        <f t="shared" si="44"/>
        <v>31435206.700000048</v>
      </c>
      <c r="BD38" s="28">
        <f t="shared" si="44"/>
        <v>11728833.019999992</v>
      </c>
      <c r="BE38" s="28">
        <f t="shared" si="44"/>
        <v>95359429.060000002</v>
      </c>
      <c r="BF38" s="28">
        <f t="shared" si="44"/>
        <v>52537996.709999993</v>
      </c>
      <c r="BG38" s="28">
        <f t="shared" si="44"/>
        <v>39687387.939999998</v>
      </c>
      <c r="BH38" s="28">
        <f t="shared" si="44"/>
        <v>12750576.119999982</v>
      </c>
      <c r="BI38" s="28">
        <f t="shared" si="44"/>
        <v>52145571.760000058</v>
      </c>
      <c r="BJ38" s="28">
        <f t="shared" si="44"/>
        <v>29386989.160000034</v>
      </c>
      <c r="BK38" s="28">
        <f t="shared" si="44"/>
        <v>22001998.799999982</v>
      </c>
      <c r="BL38" s="28">
        <f t="shared" si="44"/>
        <v>11903604.92</v>
      </c>
      <c r="BM38" s="28">
        <f t="shared" si="44"/>
        <v>-27672255.289999962</v>
      </c>
      <c r="BN38" s="28">
        <f t="shared" si="44"/>
        <v>7065186.7899999861</v>
      </c>
      <c r="BO38" s="28">
        <f t="shared" ref="BO38:CJ38" si="45">BO31-BO35</f>
        <v>16365078.989999985</v>
      </c>
      <c r="BP38" s="28">
        <f t="shared" si="45"/>
        <v>8932622.9999999944</v>
      </c>
      <c r="BQ38" s="28">
        <f t="shared" si="45"/>
        <v>15181176.040000033</v>
      </c>
      <c r="BR38" s="28">
        <f t="shared" si="45"/>
        <v>18129770.689999983</v>
      </c>
      <c r="BS38" s="28">
        <f t="shared" si="45"/>
        <v>35636975.11999999</v>
      </c>
      <c r="BT38" s="28">
        <f t="shared" si="45"/>
        <v>17528969.139999989</v>
      </c>
      <c r="BU38" s="28">
        <f t="shared" si="45"/>
        <v>23516953.300000012</v>
      </c>
      <c r="BV38" s="28">
        <f t="shared" si="45"/>
        <v>11236912.030000009</v>
      </c>
      <c r="BW38" s="28">
        <f t="shared" si="45"/>
        <v>29016253.889999997</v>
      </c>
      <c r="BX38" s="28">
        <f t="shared" si="45"/>
        <v>16372871.119999994</v>
      </c>
      <c r="BY38" s="28">
        <f t="shared" si="45"/>
        <v>45265182.999999985</v>
      </c>
      <c r="BZ38" s="28">
        <f t="shared" si="45"/>
        <v>104494945.59999999</v>
      </c>
      <c r="CA38" s="28">
        <f t="shared" si="45"/>
        <v>18298681.00999999</v>
      </c>
      <c r="CB38" s="28">
        <f t="shared" si="45"/>
        <v>67180000</v>
      </c>
      <c r="CC38" s="28">
        <f t="shared" si="45"/>
        <v>29571783.179999981</v>
      </c>
      <c r="CD38" s="28">
        <f t="shared" si="45"/>
        <v>72860000</v>
      </c>
      <c r="CE38" s="28">
        <f t="shared" si="45"/>
        <v>33629673.570000008</v>
      </c>
      <c r="CF38" s="28">
        <f t="shared" si="45"/>
        <v>21406720.230000004</v>
      </c>
      <c r="CG38" s="28">
        <f t="shared" si="45"/>
        <v>31780600</v>
      </c>
      <c r="CH38" s="28">
        <f t="shared" si="45"/>
        <v>15431400</v>
      </c>
      <c r="CI38" s="28">
        <f t="shared" si="45"/>
        <v>0</v>
      </c>
      <c r="CJ38" s="28">
        <f t="shared" si="45"/>
        <v>0</v>
      </c>
    </row>
    <row r="39" spans="1:89" s="57" customFormat="1">
      <c r="A39" s="57" t="s">
        <v>416</v>
      </c>
      <c r="B39" s="57">
        <f>B38/B4*100</f>
        <v>9.0216669544793007</v>
      </c>
      <c r="C39" s="57">
        <f t="shared" ref="C39:D39" si="46">C38/C4*100</f>
        <v>3.9504921534675628</v>
      </c>
      <c r="D39" s="57">
        <f t="shared" si="46"/>
        <v>2.8757297152855221</v>
      </c>
      <c r="E39" s="57">
        <f>E38/E4</f>
        <v>1.7585286231596376E-2</v>
      </c>
      <c r="F39" s="57">
        <f t="shared" ref="F39:BQ39" si="47">F38/F4</f>
        <v>8.8039847696410836E-2</v>
      </c>
      <c r="G39" s="57">
        <f t="shared" si="47"/>
        <v>8.6950149745206012E-2</v>
      </c>
      <c r="H39" s="57">
        <f t="shared" si="47"/>
        <v>9.6010855497007996E-2</v>
      </c>
      <c r="I39" s="57">
        <f t="shared" si="47"/>
        <v>8.1726479059810953E-2</v>
      </c>
      <c r="J39" s="57">
        <f t="shared" si="47"/>
        <v>6.628764876772629E-2</v>
      </c>
      <c r="K39" s="57">
        <f t="shared" si="47"/>
        <v>7.5330135432999892E-2</v>
      </c>
      <c r="L39" s="57">
        <f t="shared" si="47"/>
        <v>5.1543184462865779E-2</v>
      </c>
      <c r="M39" s="57">
        <f t="shared" si="47"/>
        <v>6.4172160227448774E-2</v>
      </c>
      <c r="N39" s="57">
        <f t="shared" si="47"/>
        <v>4.7838462801340513E-2</v>
      </c>
      <c r="O39" s="57">
        <f t="shared" si="47"/>
        <v>5.1860923214739722E-2</v>
      </c>
      <c r="P39" s="57">
        <f t="shared" si="47"/>
        <v>5.9329771639728177E-2</v>
      </c>
      <c r="Q39" s="57">
        <f t="shared" si="47"/>
        <v>7.6314438960315659E-2</v>
      </c>
      <c r="R39" s="57">
        <f t="shared" si="47"/>
        <v>6.7422103904948016E-2</v>
      </c>
      <c r="S39" s="57">
        <f t="shared" si="47"/>
        <v>6.2008240162164031E-2</v>
      </c>
      <c r="T39" s="57">
        <f t="shared" si="47"/>
        <v>5.2674533540553008E-2</v>
      </c>
      <c r="U39" s="57">
        <f t="shared" si="47"/>
        <v>6.2594285312619791E-2</v>
      </c>
      <c r="V39" s="57">
        <f t="shared" si="47"/>
        <v>6.501244078854404E-2</v>
      </c>
      <c r="W39" s="57">
        <f t="shared" si="47"/>
        <v>8.1830224177507349E-3</v>
      </c>
      <c r="X39" s="57">
        <f t="shared" si="47"/>
        <v>-1.8225115763531377E-2</v>
      </c>
      <c r="Y39" s="57">
        <f t="shared" si="47"/>
        <v>3.1811035800109529E-2</v>
      </c>
      <c r="Z39" s="57">
        <f t="shared" si="47"/>
        <v>4.1032014606315503E-2</v>
      </c>
      <c r="AA39" s="57">
        <f t="shared" si="47"/>
        <v>1.3511493896517724E-2</v>
      </c>
      <c r="AB39" s="57">
        <f t="shared" si="47"/>
        <v>-2.5822945901827099E-2</v>
      </c>
      <c r="AC39" s="57">
        <f t="shared" si="47"/>
        <v>7.1806341903292298E-2</v>
      </c>
      <c r="AD39" s="57">
        <f t="shared" si="47"/>
        <v>1.9040217954829138E-2</v>
      </c>
      <c r="AE39" s="57">
        <f t="shared" si="47"/>
        <v>3.2711775586276158E-2</v>
      </c>
      <c r="AF39" s="57">
        <f t="shared" si="47"/>
        <v>-7.1745338971977244E-3</v>
      </c>
      <c r="AG39" s="57">
        <f t="shared" si="47"/>
        <v>5.053800689265725E-2</v>
      </c>
      <c r="AH39" s="57">
        <f t="shared" si="47"/>
        <v>7.5536547828782066E-2</v>
      </c>
      <c r="AI39" s="57">
        <f t="shared" si="47"/>
        <v>6.4930192000836537E-2</v>
      </c>
      <c r="AJ39" s="57">
        <f t="shared" si="47"/>
        <v>2.4136726029114795E-2</v>
      </c>
      <c r="AK39" s="57">
        <f t="shared" si="47"/>
        <v>-0.16173540990823154</v>
      </c>
      <c r="AL39" s="57">
        <f t="shared" si="47"/>
        <v>-0.14167061885890331</v>
      </c>
      <c r="AM39" s="57">
        <f t="shared" si="47"/>
        <v>-0.24218645950099421</v>
      </c>
      <c r="AN39" s="57">
        <f t="shared" si="47"/>
        <v>-0.35534189174720121</v>
      </c>
      <c r="AO39" s="57">
        <f t="shared" si="47"/>
        <v>-5.0942351041036671E-2</v>
      </c>
      <c r="AP39" s="57">
        <f t="shared" si="47"/>
        <v>3.6852701816345174E-2</v>
      </c>
      <c r="AQ39" s="57">
        <f t="shared" si="47"/>
        <v>7.4035381745593154E-2</v>
      </c>
      <c r="AR39" s="57">
        <f t="shared" si="47"/>
        <v>3.9333188654511943E-2</v>
      </c>
      <c r="AS39" s="57">
        <f t="shared" si="47"/>
        <v>5.7014211455111478E-2</v>
      </c>
      <c r="AT39" s="57">
        <f t="shared" si="47"/>
        <v>6.1703548292196597E-2</v>
      </c>
      <c r="AU39" s="57">
        <f t="shared" si="47"/>
        <v>6.6207462872129391E-2</v>
      </c>
      <c r="AV39" s="57">
        <f t="shared" si="47"/>
        <v>5.0530227486524755E-2</v>
      </c>
      <c r="AW39" s="57">
        <f t="shared" si="47"/>
        <v>6.9621148475310188E-2</v>
      </c>
      <c r="AX39" s="57">
        <f t="shared" si="47"/>
        <v>7.8011520596201436E-2</v>
      </c>
      <c r="AY39" s="57">
        <f t="shared" si="47"/>
        <v>7.2572332331033954E-2</v>
      </c>
      <c r="AZ39" s="57">
        <f t="shared" si="47"/>
        <v>5.7215260227835456E-2</v>
      </c>
      <c r="BA39" s="57">
        <f t="shared" si="47"/>
        <v>4.7712674874277369E-2</v>
      </c>
      <c r="BB39" s="57">
        <f t="shared" si="47"/>
        <v>5.0470644528408291E-2</v>
      </c>
      <c r="BC39" s="57">
        <f t="shared" si="47"/>
        <v>5.9871189506639215E-2</v>
      </c>
      <c r="BD39" s="57">
        <f t="shared" si="47"/>
        <v>4.9744535419885785E-2</v>
      </c>
      <c r="BE39" s="57">
        <f t="shared" si="47"/>
        <v>8.9045006054388073E-2</v>
      </c>
      <c r="BF39" s="57">
        <f t="shared" si="47"/>
        <v>7.9790178759311686E-2</v>
      </c>
      <c r="BG39" s="57">
        <f t="shared" si="47"/>
        <v>9.0068749366970929E-2</v>
      </c>
      <c r="BH39" s="57">
        <f t="shared" si="47"/>
        <v>7.2804666916910662E-2</v>
      </c>
      <c r="BI39" s="57">
        <f t="shared" si="47"/>
        <v>8.2018239976173066E-2</v>
      </c>
      <c r="BJ39" s="57">
        <f t="shared" si="47"/>
        <v>6.6162894844806946E-2</v>
      </c>
      <c r="BK39" s="57">
        <f t="shared" si="47"/>
        <v>8.477203798774853E-2</v>
      </c>
      <c r="BL39" s="57">
        <f t="shared" si="47"/>
        <v>0.10930149653493872</v>
      </c>
      <c r="BM39" s="57">
        <f t="shared" si="47"/>
        <v>-8.4995322582568145E-2</v>
      </c>
      <c r="BN39" s="57">
        <f t="shared" si="47"/>
        <v>2.9166069984831872E-2</v>
      </c>
      <c r="BO39" s="57">
        <f t="shared" si="47"/>
        <v>0.10871329116144235</v>
      </c>
      <c r="BP39" s="57">
        <f t="shared" si="47"/>
        <v>0.13814140086299526</v>
      </c>
      <c r="BQ39" s="57">
        <f t="shared" si="47"/>
        <v>5.4425262815434347E-2</v>
      </c>
      <c r="BR39" s="57">
        <f t="shared" ref="BR39:CK39" si="48">BR38/BR4</f>
        <v>0.11939804410578549</v>
      </c>
      <c r="BS39" s="57">
        <f t="shared" si="48"/>
        <v>0.11220223549822157</v>
      </c>
      <c r="BT39" s="57">
        <f t="shared" si="48"/>
        <v>0.11247492047802986</v>
      </c>
      <c r="BU39" s="57">
        <f t="shared" si="48"/>
        <v>8.7404562730989677E-2</v>
      </c>
      <c r="BV39" s="57">
        <f t="shared" si="48"/>
        <v>9.0717533122346011E-2</v>
      </c>
      <c r="BW39" s="57">
        <f t="shared" si="48"/>
        <v>0.16834686533785923</v>
      </c>
      <c r="BX39" s="57">
        <f t="shared" si="48"/>
        <v>0.16913726586471217</v>
      </c>
      <c r="BY39" s="57">
        <f t="shared" si="48"/>
        <v>0.20666723271176723</v>
      </c>
      <c r="BZ39" s="57">
        <f t="shared" si="48"/>
        <v>1.0040702861888551</v>
      </c>
      <c r="CA39" s="57">
        <f t="shared" si="48"/>
        <v>0.11900289207522936</v>
      </c>
      <c r="CB39" s="57">
        <f t="shared" si="48"/>
        <v>1.0280030604437644</v>
      </c>
      <c r="CC39" s="57">
        <f t="shared" si="48"/>
        <v>0.19678106548047736</v>
      </c>
      <c r="CD39" s="57">
        <f t="shared" si="48"/>
        <v>1</v>
      </c>
      <c r="CE39" s="57">
        <f t="shared" si="48"/>
        <v>0.19540451377981</v>
      </c>
      <c r="CF39" s="57">
        <f t="shared" si="48"/>
        <v>0.1590297174595583</v>
      </c>
      <c r="CG39" s="57">
        <f t="shared" si="48"/>
        <v>0.28654301129560439</v>
      </c>
      <c r="CH39" s="57">
        <f t="shared" si="48"/>
        <v>0.26022377551622666</v>
      </c>
      <c r="CI39" s="57" t="e">
        <f t="shared" si="48"/>
        <v>#DIV/0!</v>
      </c>
      <c r="CJ39" s="57" t="e">
        <f t="shared" si="48"/>
        <v>#DIV/0!</v>
      </c>
      <c r="CK39" s="57" t="e">
        <f t="shared" si="48"/>
        <v>#DIV/0!</v>
      </c>
    </row>
    <row r="40" spans="1:89">
      <c r="A40" s="17" t="s">
        <v>417</v>
      </c>
      <c r="B40" s="26">
        <f>B60</f>
        <v>80143301.450000003</v>
      </c>
      <c r="C40" s="26">
        <f t="shared" ref="C40:BN40" si="49">C60</f>
        <v>71380858.870000005</v>
      </c>
      <c r="D40" s="26">
        <f t="shared" si="49"/>
        <v>54239054.100000001</v>
      </c>
      <c r="E40" s="26">
        <f t="shared" si="49"/>
        <v>85282811.519999996</v>
      </c>
      <c r="F40" s="26">
        <f t="shared" si="49"/>
        <v>136580749.71000001</v>
      </c>
      <c r="G40" s="26">
        <f t="shared" si="49"/>
        <v>82593399.480000004</v>
      </c>
      <c r="H40" s="26">
        <f t="shared" si="49"/>
        <v>38047257.039999999</v>
      </c>
      <c r="I40" s="26">
        <f t="shared" si="49"/>
        <v>123894795.28</v>
      </c>
      <c r="J40" s="26">
        <f t="shared" si="49"/>
        <v>68732994.489999995</v>
      </c>
      <c r="K40" s="26">
        <f t="shared" si="49"/>
        <v>38954608</v>
      </c>
      <c r="L40" s="26">
        <f t="shared" si="49"/>
        <v>9488364.3699999992</v>
      </c>
      <c r="M40" s="26">
        <f t="shared" si="49"/>
        <v>52375252</v>
      </c>
      <c r="N40" s="26">
        <f t="shared" si="49"/>
        <v>25742615.969999999</v>
      </c>
      <c r="O40" s="26">
        <f t="shared" si="49"/>
        <v>17858138</v>
      </c>
      <c r="P40" s="26">
        <f t="shared" si="49"/>
        <v>10005393.98</v>
      </c>
      <c r="Q40" s="26">
        <f t="shared" si="49"/>
        <v>87927017</v>
      </c>
      <c r="R40" s="26">
        <f t="shared" si="49"/>
        <v>55692596.170000002</v>
      </c>
      <c r="S40" s="26">
        <f t="shared" si="49"/>
        <v>15080107</v>
      </c>
      <c r="T40" s="26">
        <f t="shared" si="49"/>
        <v>4338127.7699999996</v>
      </c>
      <c r="U40" s="26">
        <f t="shared" si="49"/>
        <v>34064659</v>
      </c>
      <c r="V40" s="26">
        <f t="shared" si="49"/>
        <v>29220988</v>
      </c>
      <c r="W40" s="26">
        <f t="shared" si="49"/>
        <v>-3904189</v>
      </c>
      <c r="X40" s="26">
        <f t="shared" si="49"/>
        <v>-2107261.15</v>
      </c>
      <c r="Y40" s="26">
        <f t="shared" si="49"/>
        <v>12162190</v>
      </c>
      <c r="Z40" s="26">
        <f t="shared" si="49"/>
        <v>5082111</v>
      </c>
      <c r="AA40" s="26">
        <f t="shared" si="49"/>
        <v>-7190944</v>
      </c>
      <c r="AB40" s="26">
        <f t="shared" si="49"/>
        <v>-3216451.93</v>
      </c>
      <c r="AC40" s="26">
        <f t="shared" si="49"/>
        <v>21074466</v>
      </c>
      <c r="AD40" s="26">
        <f t="shared" si="49"/>
        <v>5279799</v>
      </c>
      <c r="AE40" s="26">
        <f t="shared" si="49"/>
        <v>990870</v>
      </c>
      <c r="AF40" s="26">
        <f t="shared" si="49"/>
        <v>77579.62</v>
      </c>
      <c r="AG40" s="26">
        <f t="shared" si="49"/>
        <v>36744580</v>
      </c>
      <c r="AH40" s="26">
        <f t="shared" si="49"/>
        <v>29185047.82</v>
      </c>
      <c r="AI40" s="26">
        <f t="shared" si="49"/>
        <v>15586141.51</v>
      </c>
      <c r="AJ40" s="26">
        <f t="shared" si="49"/>
        <v>2375817.6</v>
      </c>
      <c r="AK40" s="26">
        <f t="shared" si="49"/>
        <v>-52863248.640000001</v>
      </c>
      <c r="AL40" s="26">
        <f t="shared" si="49"/>
        <v>-24193523.809999999</v>
      </c>
      <c r="AM40" s="26">
        <f t="shared" si="49"/>
        <v>-24500937.539999999</v>
      </c>
      <c r="AN40" s="26">
        <f t="shared" si="49"/>
        <v>-13537144.5</v>
      </c>
      <c r="AO40" s="26">
        <f t="shared" si="49"/>
        <v>-22844429.800000001</v>
      </c>
      <c r="AP40" s="26">
        <f t="shared" si="49"/>
        <v>-1707041.06</v>
      </c>
      <c r="AQ40" s="26">
        <f t="shared" si="49"/>
        <v>2722368.56</v>
      </c>
      <c r="AR40" s="26">
        <f t="shared" si="49"/>
        <v>682811.88</v>
      </c>
      <c r="AS40" s="26">
        <f t="shared" si="49"/>
        <v>7476081.5300000003</v>
      </c>
      <c r="AT40" s="26">
        <f t="shared" si="49"/>
        <v>5414312.04</v>
      </c>
      <c r="AU40" s="26">
        <f t="shared" si="49"/>
        <v>4606952</v>
      </c>
      <c r="AV40" s="26">
        <f t="shared" si="49"/>
        <v>919320.5</v>
      </c>
      <c r="AW40" s="26">
        <f t="shared" si="49"/>
        <v>12458148.73</v>
      </c>
      <c r="AX40" s="26">
        <f t="shared" si="49"/>
        <v>7184685.0199999996</v>
      </c>
      <c r="AY40" s="26">
        <f t="shared" si="49"/>
        <v>4154613.14</v>
      </c>
      <c r="AZ40" s="26">
        <f t="shared" si="49"/>
        <v>1146629.8999999999</v>
      </c>
      <c r="BA40" s="26">
        <f t="shared" si="49"/>
        <v>1439632.26</v>
      </c>
      <c r="BB40" s="26">
        <f t="shared" si="49"/>
        <v>669546.91</v>
      </c>
      <c r="BC40" s="26">
        <f t="shared" si="49"/>
        <v>669546.91</v>
      </c>
      <c r="BD40" s="26">
        <f t="shared" si="49"/>
        <v>669546.91</v>
      </c>
      <c r="BE40" s="26">
        <f t="shared" si="49"/>
        <v>3808862.01</v>
      </c>
      <c r="BF40" s="26">
        <f t="shared" si="49"/>
        <v>6442746.75</v>
      </c>
      <c r="BG40" s="26">
        <f t="shared" si="49"/>
        <v>5292322</v>
      </c>
      <c r="BH40" s="26">
        <f t="shared" si="49"/>
        <v>1956445.2</v>
      </c>
      <c r="BI40" s="26">
        <f t="shared" si="49"/>
        <v>8751668.4900000002</v>
      </c>
      <c r="BJ40" s="26">
        <f t="shared" si="49"/>
        <v>4110626.94</v>
      </c>
      <c r="BK40" s="26">
        <f t="shared" si="49"/>
        <v>2995672.21</v>
      </c>
      <c r="BL40" s="26">
        <f t="shared" si="49"/>
        <v>1364663.4</v>
      </c>
      <c r="BM40" s="26">
        <f t="shared" si="49"/>
        <v>3305331.96</v>
      </c>
      <c r="BN40" s="26">
        <f t="shared" si="49"/>
        <v>3819334.1</v>
      </c>
      <c r="BO40" s="26">
        <f t="shared" ref="BO40:CJ40" si="50">BO60</f>
        <v>2578936.37</v>
      </c>
      <c r="BP40" s="26">
        <f t="shared" si="50"/>
        <v>1400906.57</v>
      </c>
      <c r="BQ40" s="26">
        <f t="shared" si="50"/>
        <v>360366.22</v>
      </c>
      <c r="BR40" s="26">
        <f t="shared" si="50"/>
        <v>2877007.83</v>
      </c>
      <c r="BS40" s="26">
        <f t="shared" si="50"/>
        <v>5133887.08</v>
      </c>
      <c r="BT40" s="26">
        <f t="shared" si="50"/>
        <v>2567251.69</v>
      </c>
      <c r="BU40" s="26">
        <f t="shared" si="50"/>
        <v>2445132.77</v>
      </c>
      <c r="BV40" s="26">
        <f t="shared" si="50"/>
        <v>1138158.5900000001</v>
      </c>
      <c r="BW40" s="26">
        <f t="shared" si="50"/>
        <v>2852020.22</v>
      </c>
      <c r="BX40" s="26">
        <f t="shared" si="50"/>
        <v>1534449.21</v>
      </c>
      <c r="BY40" s="26">
        <f t="shared" si="50"/>
        <v>5036381.9000000004</v>
      </c>
      <c r="BZ40" s="26">
        <f t="shared" si="50"/>
        <v>1991315.25</v>
      </c>
      <c r="CA40" s="26">
        <f t="shared" si="50"/>
        <v>1715563.78</v>
      </c>
      <c r="CB40" s="26">
        <f t="shared" si="50"/>
        <v>820000</v>
      </c>
      <c r="CC40" s="26">
        <f t="shared" si="50"/>
        <v>2946403.43</v>
      </c>
      <c r="CD40" s="26">
        <f t="shared" si="50"/>
        <v>1390000</v>
      </c>
      <c r="CE40" s="26">
        <f t="shared" si="50"/>
        <v>3096330.46</v>
      </c>
      <c r="CF40" s="26">
        <f t="shared" si="50"/>
        <v>2268627.9700000002</v>
      </c>
      <c r="CG40" s="26">
        <f t="shared" si="50"/>
        <v>0</v>
      </c>
      <c r="CH40" s="26">
        <f t="shared" si="50"/>
        <v>0</v>
      </c>
      <c r="CI40" s="26">
        <f t="shared" si="50"/>
        <v>0</v>
      </c>
      <c r="CJ40" s="26">
        <f t="shared" si="50"/>
        <v>3630000</v>
      </c>
    </row>
    <row r="41" spans="1:89" s="57" customFormat="1">
      <c r="A41" s="57" t="s">
        <v>608</v>
      </c>
      <c r="B41" s="57">
        <f>B40/B38</f>
        <v>4.0863216664121266E-2</v>
      </c>
      <c r="C41" s="57">
        <f t="shared" ref="C41:BN41" si="51">C40/C38</f>
        <v>0.12928650274051862</v>
      </c>
      <c r="D41" s="57">
        <f t="shared" si="51"/>
        <v>0.28690727699679497</v>
      </c>
      <c r="E41" s="57">
        <f t="shared" si="51"/>
        <v>0.34609587802776665</v>
      </c>
      <c r="F41" s="57">
        <f t="shared" si="51"/>
        <v>0.15357994399873928</v>
      </c>
      <c r="G41" s="57">
        <f t="shared" si="51"/>
        <v>0.153100765613746</v>
      </c>
      <c r="H41" s="57">
        <f t="shared" si="51"/>
        <v>0.13652274435836398</v>
      </c>
      <c r="I41" s="57">
        <f t="shared" si="51"/>
        <v>0.14119430250547743</v>
      </c>
      <c r="J41" s="57">
        <f t="shared" si="51"/>
        <v>0.13373336184371715</v>
      </c>
      <c r="K41" s="57">
        <f t="shared" si="51"/>
        <v>0.10403850423265371</v>
      </c>
      <c r="L41" s="57">
        <f t="shared" si="51"/>
        <v>7.5089824987349868E-2</v>
      </c>
      <c r="M41" s="57">
        <f t="shared" si="51"/>
        <v>7.7508794590180619E-2</v>
      </c>
      <c r="N41" s="57">
        <f t="shared" si="51"/>
        <v>6.9000645120625551E-2</v>
      </c>
      <c r="O41" s="57">
        <f t="shared" si="51"/>
        <v>6.7022139720933502E-2</v>
      </c>
      <c r="P41" s="57">
        <f t="shared" si="51"/>
        <v>6.9108745193991641E-2</v>
      </c>
      <c r="Q41" s="57">
        <f t="shared" si="51"/>
        <v>0.12359178317870376</v>
      </c>
      <c r="R41" s="57">
        <f t="shared" si="51"/>
        <v>0.12641368937163616</v>
      </c>
      <c r="S41" s="57">
        <f t="shared" si="51"/>
        <v>9.7841972412172323E-2</v>
      </c>
      <c r="T41" s="57">
        <f t="shared" si="51"/>
        <v>6.9809125577211417E-2</v>
      </c>
      <c r="U41" s="57">
        <f t="shared" si="51"/>
        <v>0.12041780990202117</v>
      </c>
      <c r="V41" s="57">
        <f t="shared" si="51"/>
        <v>0.12852229172585936</v>
      </c>
      <c r="W41" s="57">
        <f t="shared" si="51"/>
        <v>-0.21194393941606518</v>
      </c>
      <c r="X41" s="57">
        <f t="shared" si="51"/>
        <v>0.11113586262925891</v>
      </c>
      <c r="Y41" s="57">
        <f t="shared" si="51"/>
        <v>8.8224808853767489E-2</v>
      </c>
      <c r="Z41" s="57">
        <f t="shared" si="51"/>
        <v>3.742789239870617E-2</v>
      </c>
      <c r="AA41" s="57">
        <f t="shared" si="51"/>
        <v>-0.23787821433744943</v>
      </c>
      <c r="AB41" s="57">
        <f t="shared" si="51"/>
        <v>0.126671916823827</v>
      </c>
      <c r="AC41" s="57">
        <f t="shared" si="51"/>
        <v>6.3595319838005177E-2</v>
      </c>
      <c r="AD41" s="57">
        <f t="shared" si="51"/>
        <v>8.2727280483678181E-2</v>
      </c>
      <c r="AE41" s="57">
        <f t="shared" si="51"/>
        <v>1.4361233392065584E-2</v>
      </c>
      <c r="AF41" s="57">
        <f t="shared" si="51"/>
        <v>-1.0634805084199329E-2</v>
      </c>
      <c r="AG41" s="57">
        <f t="shared" si="51"/>
        <v>0.21048747124095052</v>
      </c>
      <c r="AH41" s="57">
        <f t="shared" si="51"/>
        <v>0.16569065395217547</v>
      </c>
      <c r="AI41" s="57">
        <f t="shared" si="51"/>
        <v>0.16191866305770361</v>
      </c>
      <c r="AJ41" s="57">
        <f t="shared" si="51"/>
        <v>0.15027958247163423</v>
      </c>
      <c r="AK41" s="57">
        <f t="shared" si="51"/>
        <v>0.14921616218101713</v>
      </c>
      <c r="AL41" s="57">
        <f t="shared" si="51"/>
        <v>0.10793156953341859</v>
      </c>
      <c r="AM41" s="57">
        <f t="shared" si="51"/>
        <v>0.1152797367352919</v>
      </c>
      <c r="AN41" s="57">
        <f t="shared" si="51"/>
        <v>0.10916212518890703</v>
      </c>
      <c r="AO41" s="57">
        <f t="shared" si="51"/>
        <v>0.32583912547576571</v>
      </c>
      <c r="AP41" s="57">
        <f t="shared" si="51"/>
        <v>-4.4579575988425706E-2</v>
      </c>
      <c r="AQ41" s="57">
        <f t="shared" si="51"/>
        <v>5.3426056835588362E-2</v>
      </c>
      <c r="AR41" s="57">
        <f t="shared" si="51"/>
        <v>5.0210281234804741E-2</v>
      </c>
      <c r="AS41" s="57">
        <f t="shared" si="51"/>
        <v>7.616769614111793E-2</v>
      </c>
      <c r="AT41" s="57">
        <f t="shared" si="51"/>
        <v>7.1161586471017141E-2</v>
      </c>
      <c r="AU41" s="57">
        <f t="shared" si="51"/>
        <v>9.0746182864755456E-2</v>
      </c>
      <c r="AV41" s="57">
        <f t="shared" si="51"/>
        <v>5.1440447028410108E-2</v>
      </c>
      <c r="AW41" s="57">
        <f t="shared" si="51"/>
        <v>0.1184120195219658</v>
      </c>
      <c r="AX41" s="57">
        <f t="shared" si="51"/>
        <v>9.0172044378548491E-2</v>
      </c>
      <c r="AY41" s="57">
        <f t="shared" si="51"/>
        <v>8.935452532447008E-2</v>
      </c>
      <c r="AZ41" s="57">
        <f t="shared" si="51"/>
        <v>7.932521765921717E-2</v>
      </c>
      <c r="BA41" s="57">
        <f t="shared" si="51"/>
        <v>2.7368431417670914E-2</v>
      </c>
      <c r="BB41" s="57">
        <f t="shared" si="51"/>
        <v>1.7518073496581257E-2</v>
      </c>
      <c r="BC41" s="57">
        <f t="shared" si="51"/>
        <v>2.1299268568194241E-2</v>
      </c>
      <c r="BD41" s="57">
        <f t="shared" si="51"/>
        <v>5.7085552233396918E-2</v>
      </c>
      <c r="BE41" s="57">
        <f t="shared" si="51"/>
        <v>3.9942164582418692E-2</v>
      </c>
      <c r="BF41" s="57">
        <f t="shared" si="51"/>
        <v>0.12263023246894564</v>
      </c>
      <c r="BG41" s="57">
        <f t="shared" si="51"/>
        <v>0.13335022219151871</v>
      </c>
      <c r="BH41" s="57">
        <f t="shared" si="51"/>
        <v>0.15343974904249288</v>
      </c>
      <c r="BI41" s="57">
        <f t="shared" si="51"/>
        <v>0.16783148011646215</v>
      </c>
      <c r="BJ41" s="57">
        <f t="shared" si="51"/>
        <v>0.13987914575458316</v>
      </c>
      <c r="BK41" s="57">
        <f t="shared" si="51"/>
        <v>0.13615454837675942</v>
      </c>
      <c r="BL41" s="57">
        <f t="shared" si="51"/>
        <v>0.11464286736425051</v>
      </c>
      <c r="BM41" s="57">
        <f t="shared" si="51"/>
        <v>-0.11944570203479084</v>
      </c>
      <c r="BN41" s="57">
        <f t="shared" si="51"/>
        <v>0.54058501403046522</v>
      </c>
      <c r="BO41" s="57">
        <f t="shared" ref="BO41:CJ41" si="52">BO40/BO38</f>
        <v>0.15758777403860258</v>
      </c>
      <c r="BP41" s="57">
        <f t="shared" si="52"/>
        <v>0.15683036998203115</v>
      </c>
      <c r="BQ41" s="57">
        <f t="shared" si="52"/>
        <v>2.3737701153750616E-2</v>
      </c>
      <c r="BR41" s="57">
        <f t="shared" si="52"/>
        <v>0.15868969769082075</v>
      </c>
      <c r="BS41" s="57">
        <f t="shared" si="52"/>
        <v>0.14406068592277316</v>
      </c>
      <c r="BT41" s="57">
        <f t="shared" si="52"/>
        <v>0.14645765358452797</v>
      </c>
      <c r="BU41" s="57">
        <f t="shared" si="52"/>
        <v>0.1039731949461327</v>
      </c>
      <c r="BV41" s="57">
        <f t="shared" si="52"/>
        <v>0.10128748778680251</v>
      </c>
      <c r="BW41" s="57">
        <f t="shared" si="52"/>
        <v>9.8290435106197657E-2</v>
      </c>
      <c r="BX41" s="57">
        <f t="shared" si="52"/>
        <v>9.3719006199567551E-2</v>
      </c>
      <c r="BY41" s="57">
        <f t="shared" si="52"/>
        <v>0.11126392441625613</v>
      </c>
      <c r="BZ41" s="57">
        <f t="shared" si="52"/>
        <v>1.9056570043326577E-2</v>
      </c>
      <c r="CA41" s="57">
        <f t="shared" si="52"/>
        <v>9.3753412011634438E-2</v>
      </c>
      <c r="CB41" s="57">
        <f t="shared" si="52"/>
        <v>1.2206013694551951E-2</v>
      </c>
      <c r="CC41" s="57">
        <f t="shared" si="52"/>
        <v>9.9635636176066467E-2</v>
      </c>
      <c r="CD41" s="57">
        <f t="shared" si="52"/>
        <v>1.90776832281087E-2</v>
      </c>
      <c r="CE41" s="57">
        <f t="shared" si="52"/>
        <v>9.2071380162373651E-2</v>
      </c>
      <c r="CF41" s="57">
        <f t="shared" si="52"/>
        <v>0.10597737278878801</v>
      </c>
      <c r="CG41" s="57">
        <f t="shared" si="52"/>
        <v>0</v>
      </c>
      <c r="CH41" s="57">
        <f t="shared" si="52"/>
        <v>0</v>
      </c>
      <c r="CI41" s="57" t="e">
        <f t="shared" si="52"/>
        <v>#DIV/0!</v>
      </c>
      <c r="CJ41" s="57" t="e">
        <f t="shared" si="52"/>
        <v>#DIV/0!</v>
      </c>
    </row>
    <row r="42" spans="1:89" s="2" customFormat="1">
      <c r="A42" s="20" t="s">
        <v>419</v>
      </c>
      <c r="B42" s="28">
        <f>B38-B40</f>
        <v>1881114474.9199998</v>
      </c>
      <c r="C42" s="28">
        <f t="shared" ref="C42:BN42" si="53">C38-C40</f>
        <v>480732914.47000015</v>
      </c>
      <c r="D42" s="28">
        <f t="shared" si="53"/>
        <v>134808273.90000018</v>
      </c>
      <c r="E42" s="28">
        <f t="shared" si="53"/>
        <v>161131020.41000038</v>
      </c>
      <c r="F42" s="28">
        <f t="shared" si="53"/>
        <v>752732959.83999944</v>
      </c>
      <c r="G42" s="28">
        <f t="shared" si="53"/>
        <v>456877446.07000053</v>
      </c>
      <c r="H42" s="28">
        <f t="shared" si="53"/>
        <v>240640790.28</v>
      </c>
      <c r="I42" s="28">
        <f t="shared" si="53"/>
        <v>753582504.31000066</v>
      </c>
      <c r="J42" s="28">
        <f t="shared" si="53"/>
        <v>445222487.8399995</v>
      </c>
      <c r="K42" s="28">
        <f t="shared" si="53"/>
        <v>335470306</v>
      </c>
      <c r="L42" s="28">
        <f t="shared" si="53"/>
        <v>116871823.19999996</v>
      </c>
      <c r="M42" s="28">
        <f t="shared" si="53"/>
        <v>623357770</v>
      </c>
      <c r="N42" s="28">
        <f t="shared" si="53"/>
        <v>347335286.77999997</v>
      </c>
      <c r="O42" s="28">
        <f t="shared" si="53"/>
        <v>248593188</v>
      </c>
      <c r="P42" s="28">
        <f t="shared" si="53"/>
        <v>134772143.96999994</v>
      </c>
      <c r="Q42" s="28">
        <f t="shared" si="53"/>
        <v>623503911</v>
      </c>
      <c r="R42" s="28">
        <f t="shared" si="53"/>
        <v>384865672.84999996</v>
      </c>
      <c r="S42" s="28">
        <f t="shared" si="53"/>
        <v>139047070</v>
      </c>
      <c r="T42" s="28">
        <f t="shared" si="53"/>
        <v>57804575.410000056</v>
      </c>
      <c r="U42" s="28">
        <f t="shared" si="53"/>
        <v>248822557</v>
      </c>
      <c r="V42" s="28">
        <f t="shared" si="53"/>
        <v>198140255</v>
      </c>
      <c r="W42" s="28">
        <f t="shared" si="53"/>
        <v>22325046</v>
      </c>
      <c r="X42" s="28">
        <f t="shared" si="53"/>
        <v>-16853865.349999994</v>
      </c>
      <c r="Y42" s="28">
        <f t="shared" si="53"/>
        <v>125692345</v>
      </c>
      <c r="Z42" s="28">
        <f t="shared" si="53"/>
        <v>130701944</v>
      </c>
      <c r="AA42" s="28">
        <f t="shared" si="53"/>
        <v>37420463</v>
      </c>
      <c r="AB42" s="28">
        <f t="shared" si="53"/>
        <v>-22175537.159999982</v>
      </c>
      <c r="AC42" s="28">
        <f t="shared" si="53"/>
        <v>310309448</v>
      </c>
      <c r="AD42" s="28">
        <f t="shared" si="53"/>
        <v>58541941.169999748</v>
      </c>
      <c r="AE42" s="28">
        <f t="shared" si="53"/>
        <v>68005293</v>
      </c>
      <c r="AF42" s="28">
        <f t="shared" si="53"/>
        <v>-7372458.9699999345</v>
      </c>
      <c r="AG42" s="28">
        <f t="shared" si="53"/>
        <v>137824385</v>
      </c>
      <c r="AH42" s="28">
        <f t="shared" si="53"/>
        <v>146956738.84000015</v>
      </c>
      <c r="AI42" s="28">
        <f t="shared" si="53"/>
        <v>80672938.300000057</v>
      </c>
      <c r="AJ42" s="28">
        <f t="shared" si="53"/>
        <v>13433499.680000054</v>
      </c>
      <c r="AK42" s="28">
        <f t="shared" si="53"/>
        <v>-301409692.48999989</v>
      </c>
      <c r="AL42" s="28">
        <f t="shared" si="53"/>
        <v>-199962614.33000004</v>
      </c>
      <c r="AM42" s="28">
        <f t="shared" si="53"/>
        <v>-188033704.14000002</v>
      </c>
      <c r="AN42" s="28">
        <f t="shared" si="53"/>
        <v>-110472391.56</v>
      </c>
      <c r="AO42" s="28">
        <f t="shared" si="53"/>
        <v>-47265105.90000008</v>
      </c>
      <c r="AP42" s="28">
        <f t="shared" si="53"/>
        <v>39999039.629999928</v>
      </c>
      <c r="AQ42" s="28">
        <f t="shared" si="53"/>
        <v>48233451.900000066</v>
      </c>
      <c r="AR42" s="28">
        <f t="shared" si="53"/>
        <v>12916233.240000019</v>
      </c>
      <c r="AS42" s="28">
        <f t="shared" si="53"/>
        <v>90676835.110000029</v>
      </c>
      <c r="AT42" s="28">
        <f t="shared" si="53"/>
        <v>70670445.320000023</v>
      </c>
      <c r="AU42" s="28">
        <f t="shared" si="53"/>
        <v>46160494.679999977</v>
      </c>
      <c r="AV42" s="28">
        <f t="shared" si="53"/>
        <v>16952229.090000011</v>
      </c>
      <c r="AW42" s="28">
        <f t="shared" si="53"/>
        <v>92752021.490000129</v>
      </c>
      <c r="AX42" s="28">
        <f t="shared" si="53"/>
        <v>72492836.650000006</v>
      </c>
      <c r="AY42" s="28">
        <f t="shared" si="53"/>
        <v>42341220.449999981</v>
      </c>
      <c r="AZ42" s="28">
        <f t="shared" si="53"/>
        <v>13308166.870000007</v>
      </c>
      <c r="BA42" s="28">
        <f t="shared" si="53"/>
        <v>51162295.779999979</v>
      </c>
      <c r="BB42" s="28">
        <f t="shared" si="53"/>
        <v>37550803.640000015</v>
      </c>
      <c r="BC42" s="28">
        <f t="shared" si="53"/>
        <v>30765659.790000048</v>
      </c>
      <c r="BD42" s="28">
        <f t="shared" si="53"/>
        <v>11059286.109999992</v>
      </c>
      <c r="BE42" s="28">
        <f t="shared" si="53"/>
        <v>91550567.049999997</v>
      </c>
      <c r="BF42" s="28">
        <f t="shared" si="53"/>
        <v>46095249.959999993</v>
      </c>
      <c r="BG42" s="28">
        <f t="shared" si="53"/>
        <v>34395065.939999998</v>
      </c>
      <c r="BH42" s="28">
        <f t="shared" si="53"/>
        <v>10794130.919999983</v>
      </c>
      <c r="BI42" s="28">
        <f t="shared" si="53"/>
        <v>43393903.270000055</v>
      </c>
      <c r="BJ42" s="28">
        <f t="shared" si="53"/>
        <v>25276362.220000032</v>
      </c>
      <c r="BK42" s="28">
        <f t="shared" si="53"/>
        <v>19006326.589999981</v>
      </c>
      <c r="BL42" s="28">
        <f t="shared" si="53"/>
        <v>10538941.52</v>
      </c>
      <c r="BM42" s="28">
        <f t="shared" si="53"/>
        <v>-30977587.249999963</v>
      </c>
      <c r="BN42" s="28">
        <f t="shared" si="53"/>
        <v>3245852.689999986</v>
      </c>
      <c r="BO42" s="28">
        <f t="shared" ref="BO42:CK42" si="54">BO38-BO40</f>
        <v>13786142.619999986</v>
      </c>
      <c r="BP42" s="28">
        <f t="shared" si="54"/>
        <v>7531716.4299999941</v>
      </c>
      <c r="BQ42" s="28">
        <f t="shared" si="54"/>
        <v>14820809.820000032</v>
      </c>
      <c r="BR42" s="28">
        <f t="shared" si="54"/>
        <v>15252762.859999983</v>
      </c>
      <c r="BS42" s="28">
        <f t="shared" si="54"/>
        <v>30503088.039999992</v>
      </c>
      <c r="BT42" s="28">
        <f t="shared" si="54"/>
        <v>14961717.44999999</v>
      </c>
      <c r="BU42" s="28">
        <f t="shared" si="54"/>
        <v>21071820.530000012</v>
      </c>
      <c r="BV42" s="28">
        <f t="shared" si="54"/>
        <v>10098753.440000009</v>
      </c>
      <c r="BW42" s="28">
        <f t="shared" si="54"/>
        <v>26164233.669999998</v>
      </c>
      <c r="BX42" s="28">
        <f t="shared" si="54"/>
        <v>14838421.909999993</v>
      </c>
      <c r="BY42" s="28">
        <f t="shared" si="54"/>
        <v>40228801.099999987</v>
      </c>
      <c r="BZ42" s="28">
        <f t="shared" si="54"/>
        <v>102503630.34999999</v>
      </c>
      <c r="CA42" s="28">
        <f t="shared" si="54"/>
        <v>16583117.229999991</v>
      </c>
      <c r="CB42" s="28">
        <f t="shared" si="54"/>
        <v>66360000</v>
      </c>
      <c r="CC42" s="28">
        <f t="shared" si="54"/>
        <v>26625379.749999981</v>
      </c>
      <c r="CD42" s="28">
        <f t="shared" si="54"/>
        <v>71470000</v>
      </c>
      <c r="CE42" s="28">
        <f t="shared" si="54"/>
        <v>30533343.110000007</v>
      </c>
      <c r="CF42" s="28">
        <f t="shared" si="54"/>
        <v>19138092.260000005</v>
      </c>
      <c r="CG42" s="28">
        <f t="shared" si="54"/>
        <v>31780600</v>
      </c>
      <c r="CH42" s="28">
        <f t="shared" si="54"/>
        <v>15431400</v>
      </c>
      <c r="CI42" s="28">
        <f t="shared" si="54"/>
        <v>0</v>
      </c>
      <c r="CJ42" s="28">
        <f t="shared" si="54"/>
        <v>-3630000</v>
      </c>
      <c r="CK42" s="28">
        <f t="shared" si="54"/>
        <v>0</v>
      </c>
    </row>
    <row r="43" spans="1:89" s="57" customFormat="1">
      <c r="A43" s="57" t="s">
        <v>418</v>
      </c>
      <c r="B43" s="57">
        <f>B42/B4*100</f>
        <v>8.6530126230468714</v>
      </c>
      <c r="C43" s="57">
        <f t="shared" ref="C43:D43" si="55">C42/C4*100</f>
        <v>3.4397468388418813</v>
      </c>
      <c r="D43" s="57">
        <f t="shared" si="55"/>
        <v>2.0506619332941849</v>
      </c>
      <c r="E43" s="57">
        <f>E42/E4</f>
        <v>1.1499091152902433E-2</v>
      </c>
      <c r="F43" s="57">
        <f t="shared" ref="F43:BQ43" si="56">F42/F4</f>
        <v>7.451869281753852E-2</v>
      </c>
      <c r="G43" s="57">
        <f t="shared" si="56"/>
        <v>7.3638015248985111E-2</v>
      </c>
      <c r="H43" s="57">
        <f t="shared" si="56"/>
        <v>8.2903190016362163E-2</v>
      </c>
      <c r="I43" s="57">
        <f t="shared" si="56"/>
        <v>7.0187165852732436E-2</v>
      </c>
      <c r="J43" s="57">
        <f t="shared" si="56"/>
        <v>5.7422778649302716E-2</v>
      </c>
      <c r="K43" s="57">
        <f t="shared" si="56"/>
        <v>6.7492900818907353E-2</v>
      </c>
      <c r="L43" s="57">
        <f t="shared" si="56"/>
        <v>4.7672815762258493E-2</v>
      </c>
      <c r="M43" s="57">
        <f t="shared" si="56"/>
        <v>5.9198253441971285E-2</v>
      </c>
      <c r="N43" s="57">
        <f t="shared" si="56"/>
        <v>4.4537578006468972E-2</v>
      </c>
      <c r="O43" s="57">
        <f t="shared" si="56"/>
        <v>4.8385093172984832E-2</v>
      </c>
      <c r="P43" s="57">
        <f t="shared" si="56"/>
        <v>5.5229565569060494E-2</v>
      </c>
      <c r="Q43" s="57">
        <f t="shared" si="56"/>
        <v>6.6882601366927905E-2</v>
      </c>
      <c r="R43" s="57">
        <f t="shared" si="56"/>
        <v>5.8899027005125733E-2</v>
      </c>
      <c r="S43" s="57">
        <f t="shared" si="56"/>
        <v>5.5941231638890226E-2</v>
      </c>
      <c r="T43" s="57">
        <f t="shared" si="56"/>
        <v>4.8997370413899503E-2</v>
      </c>
      <c r="U43" s="57">
        <f t="shared" si="56"/>
        <v>5.5056818562891865E-2</v>
      </c>
      <c r="V43" s="57">
        <f t="shared" si="56"/>
        <v>5.6656892907708624E-2</v>
      </c>
      <c r="W43" s="57">
        <f t="shared" si="56"/>
        <v>9.9173644252988011E-3</v>
      </c>
      <c r="X43" s="57">
        <f t="shared" si="56"/>
        <v>-1.6199651801633214E-2</v>
      </c>
      <c r="Y43" s="57">
        <f t="shared" si="56"/>
        <v>2.9004513247204513E-2</v>
      </c>
      <c r="Z43" s="57">
        <f t="shared" si="56"/>
        <v>3.9496272778728185E-2</v>
      </c>
      <c r="AA43" s="57">
        <f t="shared" si="56"/>
        <v>1.6725583937652708E-2</v>
      </c>
      <c r="AB43" s="57">
        <f t="shared" si="56"/>
        <v>-2.2551903846404674E-2</v>
      </c>
      <c r="AC43" s="57">
        <f t="shared" si="56"/>
        <v>6.7239794623555268E-2</v>
      </c>
      <c r="AD43" s="57">
        <f t="shared" si="56"/>
        <v>1.7465072503609621E-2</v>
      </c>
      <c r="AE43" s="57">
        <f t="shared" si="56"/>
        <v>3.2241994142412772E-2</v>
      </c>
      <c r="AF43" s="57">
        <f t="shared" si="56"/>
        <v>-7.2508336667644032E-3</v>
      </c>
      <c r="AG43" s="57">
        <f t="shared" si="56"/>
        <v>3.9900389620264098E-2</v>
      </c>
      <c r="AH43" s="57">
        <f t="shared" si="56"/>
        <v>6.3020847821741388E-2</v>
      </c>
      <c r="AI43" s="57">
        <f t="shared" si="56"/>
        <v>5.4416782119981078E-2</v>
      </c>
      <c r="AJ43" s="57">
        <f t="shared" si="56"/>
        <v>2.0509468919227197E-2</v>
      </c>
      <c r="AK43" s="57">
        <f t="shared" si="56"/>
        <v>-0.1376018727529516</v>
      </c>
      <c r="AL43" s="57">
        <f t="shared" si="56"/>
        <v>-0.12637988660869115</v>
      </c>
      <c r="AM43" s="57">
        <f t="shared" si="56"/>
        <v>-0.21426726820886718</v>
      </c>
      <c r="AN43" s="57">
        <f t="shared" si="56"/>
        <v>-0.31655201567543018</v>
      </c>
      <c r="AO43" s="57">
        <f t="shared" si="56"/>
        <v>-3.4343339928145825E-2</v>
      </c>
      <c r="AP43" s="57">
        <f t="shared" si="56"/>
        <v>3.8495579637345727E-2</v>
      </c>
      <c r="AQ43" s="57">
        <f t="shared" si="56"/>
        <v>7.0079963232608608E-2</v>
      </c>
      <c r="AR43" s="57">
        <f t="shared" si="56"/>
        <v>3.7358258190307261E-2</v>
      </c>
      <c r="AS43" s="57">
        <f t="shared" si="56"/>
        <v>5.2671570321273106E-2</v>
      </c>
      <c r="AT43" s="57">
        <f t="shared" si="56"/>
        <v>5.731262590483286E-2</v>
      </c>
      <c r="AU43" s="57">
        <f t="shared" si="56"/>
        <v>6.0199388339323624E-2</v>
      </c>
      <c r="AV43" s="57">
        <f t="shared" si="56"/>
        <v>4.7930929996170664E-2</v>
      </c>
      <c r="AW43" s="57">
        <f t="shared" si="56"/>
        <v>6.1377167682910072E-2</v>
      </c>
      <c r="AX43" s="57">
        <f t="shared" si="56"/>
        <v>7.0977062298962723E-2</v>
      </c>
      <c r="AY43" s="57">
        <f t="shared" si="56"/>
        <v>6.6087666023904729E-2</v>
      </c>
      <c r="AZ43" s="57">
        <f t="shared" si="56"/>
        <v>5.2676647256833659E-2</v>
      </c>
      <c r="BA43" s="57">
        <f t="shared" si="56"/>
        <v>4.6406853804227079E-2</v>
      </c>
      <c r="BB43" s="57">
        <f t="shared" si="56"/>
        <v>4.9586496068139814E-2</v>
      </c>
      <c r="BC43" s="57">
        <f t="shared" si="56"/>
        <v>5.8595976961840053E-2</v>
      </c>
      <c r="BD43" s="57">
        <f t="shared" si="56"/>
        <v>4.6904841144847838E-2</v>
      </c>
      <c r="BE43" s="57">
        <f t="shared" si="56"/>
        <v>8.5488355767321222E-2</v>
      </c>
      <c r="BF43" s="57">
        <f t="shared" si="56"/>
        <v>7.000549058931857E-2</v>
      </c>
      <c r="BG43" s="57">
        <f t="shared" si="56"/>
        <v>7.8058061626373146E-2</v>
      </c>
      <c r="BH43" s="57">
        <f t="shared" si="56"/>
        <v>6.1633537096057602E-2</v>
      </c>
      <c r="BI43" s="57">
        <f t="shared" si="56"/>
        <v>6.825299736442475E-2</v>
      </c>
      <c r="BJ43" s="57">
        <f t="shared" si="56"/>
        <v>5.6908085633265028E-2</v>
      </c>
      <c r="BK43" s="57">
        <f t="shared" si="56"/>
        <v>7.3229939440549133E-2</v>
      </c>
      <c r="BL43" s="57">
        <f t="shared" si="56"/>
        <v>9.6770859564969641E-2</v>
      </c>
      <c r="BM43" s="57">
        <f t="shared" si="56"/>
        <v>-9.5147648558116499E-2</v>
      </c>
      <c r="BN43" s="57">
        <f t="shared" si="56"/>
        <v>1.3399329632868004E-2</v>
      </c>
      <c r="BO43" s="57">
        <f t="shared" si="56"/>
        <v>9.158140559890017E-2</v>
      </c>
      <c r="BP43" s="57">
        <f t="shared" si="56"/>
        <v>0.11647663385581564</v>
      </c>
      <c r="BQ43" s="57">
        <f t="shared" si="56"/>
        <v>5.3133332191507225E-2</v>
      </c>
      <c r="BR43" s="57">
        <f t="shared" ref="BR43:CK43" si="57">BR42/BR4</f>
        <v>0.1004508045817631</v>
      </c>
      <c r="BS43" s="57">
        <f t="shared" si="57"/>
        <v>9.6038304490279253E-2</v>
      </c>
      <c r="BT43" s="57">
        <f t="shared" si="57"/>
        <v>9.6002107537711226E-2</v>
      </c>
      <c r="BU43" s="57">
        <f t="shared" si="57"/>
        <v>7.8316831090979006E-2</v>
      </c>
      <c r="BV43" s="57">
        <f t="shared" si="57"/>
        <v>8.1528982094167535E-2</v>
      </c>
      <c r="BW43" s="57">
        <f t="shared" si="57"/>
        <v>0.15179997869503656</v>
      </c>
      <c r="BX43" s="57">
        <f t="shared" si="57"/>
        <v>0.15328588939655929</v>
      </c>
      <c r="BY43" s="57">
        <f t="shared" si="57"/>
        <v>0.18367262535200835</v>
      </c>
      <c r="BZ43" s="57">
        <f t="shared" si="57"/>
        <v>0.98493615045167415</v>
      </c>
      <c r="CA43" s="57">
        <f t="shared" si="57"/>
        <v>0.10784596490392431</v>
      </c>
      <c r="CB43" s="57">
        <f t="shared" si="57"/>
        <v>1.0154552410099464</v>
      </c>
      <c r="CC43" s="57">
        <f t="shared" si="57"/>
        <v>0.1771746588339258</v>
      </c>
      <c r="CD43" s="57">
        <f t="shared" si="57"/>
        <v>0.98092231677189134</v>
      </c>
      <c r="CE43" s="57">
        <f t="shared" si="57"/>
        <v>0.17741335050614532</v>
      </c>
      <c r="CF43" s="57">
        <f t="shared" si="57"/>
        <v>0.14217616580785106</v>
      </c>
      <c r="CG43" s="57">
        <f t="shared" si="57"/>
        <v>0.28654301129560439</v>
      </c>
      <c r="CH43" s="57">
        <f t="shared" si="57"/>
        <v>0.26022377551622666</v>
      </c>
      <c r="CI43" s="57" t="e">
        <f t="shared" si="57"/>
        <v>#DIV/0!</v>
      </c>
      <c r="CJ43" s="57" t="e">
        <f t="shared" si="57"/>
        <v>#DIV/0!</v>
      </c>
      <c r="CK43" s="57" t="e">
        <f t="shared" si="57"/>
        <v>#DIV/0!</v>
      </c>
    </row>
    <row r="44" spans="1:89" s="16" customFormat="1">
      <c r="A44" s="18" t="s">
        <v>89</v>
      </c>
      <c r="B44" s="30"/>
      <c r="C44" s="30"/>
      <c r="D44" s="30"/>
      <c r="E44" s="30"/>
      <c r="F44" s="30"/>
      <c r="G44" s="30"/>
      <c r="H44" s="30"/>
      <c r="I44" s="30"/>
      <c r="J44" s="30"/>
      <c r="K44" s="30"/>
    </row>
    <row r="45" spans="1:89">
      <c r="A45" s="17" t="s">
        <v>420</v>
      </c>
      <c r="B45" s="26">
        <f>B70*B69</f>
        <v>2103156441.8640001</v>
      </c>
      <c r="C45" s="26">
        <f t="shared" ref="C45:BN45" si="58">C70*C69</f>
        <v>2067344709.5167999</v>
      </c>
      <c r="D45" s="26">
        <f t="shared" si="58"/>
        <v>2036613030.628</v>
      </c>
      <c r="E45" s="26">
        <f t="shared" si="58"/>
        <v>1157983771.7328</v>
      </c>
      <c r="F45" s="26">
        <f t="shared" si="58"/>
        <v>1154210124.1424</v>
      </c>
      <c r="G45" s="26">
        <f t="shared" si="58"/>
        <v>1137266957.0120001</v>
      </c>
      <c r="H45" s="26">
        <f t="shared" si="58"/>
        <v>1119968024.5488</v>
      </c>
      <c r="I45" s="26">
        <f t="shared" si="58"/>
        <v>1100716761.3264</v>
      </c>
      <c r="J45" s="26">
        <f t="shared" si="58"/>
        <v>1088759286.5799999</v>
      </c>
      <c r="K45" s="26">
        <f t="shared" si="58"/>
        <v>1079979112</v>
      </c>
      <c r="L45" s="26">
        <f t="shared" si="58"/>
        <v>1069216507.3784</v>
      </c>
      <c r="M45" s="26">
        <f t="shared" si="58"/>
        <v>1059866734</v>
      </c>
      <c r="N45" s="26">
        <f t="shared" si="58"/>
        <v>703622167.18800008</v>
      </c>
      <c r="O45" s="26">
        <f t="shared" si="58"/>
        <v>695722798.15999997</v>
      </c>
      <c r="P45" s="26">
        <f t="shared" si="58"/>
        <v>694814037.94880009</v>
      </c>
      <c r="Q45" s="26">
        <f t="shared" si="58"/>
        <v>684889250.96000004</v>
      </c>
      <c r="R45" s="26">
        <f t="shared" si="58"/>
        <v>666475326.31519997</v>
      </c>
      <c r="S45" s="26">
        <f t="shared" si="58"/>
        <v>268563458.39999998</v>
      </c>
      <c r="T45" s="26">
        <f t="shared" si="58"/>
        <v>266957293.58400002</v>
      </c>
      <c r="U45" s="26">
        <f t="shared" si="58"/>
        <v>262857956.96000001</v>
      </c>
      <c r="V45" s="26">
        <f t="shared" si="58"/>
        <v>257858873.44</v>
      </c>
      <c r="W45" s="26">
        <f t="shared" si="58"/>
        <v>243775095.92000002</v>
      </c>
      <c r="X45" s="26">
        <f t="shared" si="58"/>
        <v>243974552.67840001</v>
      </c>
      <c r="Y45" s="26">
        <f t="shared" si="58"/>
        <v>244488959.28</v>
      </c>
      <c r="Z45" s="26">
        <f t="shared" si="58"/>
        <v>243303423.03999999</v>
      </c>
      <c r="AA45" s="26">
        <f t="shared" si="58"/>
        <v>236506428.48000002</v>
      </c>
      <c r="AB45" s="26">
        <f t="shared" si="58"/>
        <v>232608402.66960001</v>
      </c>
      <c r="AC45" s="26">
        <f t="shared" si="58"/>
        <v>233512791.44</v>
      </c>
      <c r="AD45" s="26">
        <f t="shared" si="58"/>
        <v>220630622.91919997</v>
      </c>
      <c r="AE45" s="26">
        <f t="shared" si="58"/>
        <v>218134801.84</v>
      </c>
      <c r="AF45" s="26">
        <f t="shared" si="58"/>
        <v>213656122.61840001</v>
      </c>
      <c r="AG45" s="26">
        <f t="shared" si="58"/>
        <v>199254378.40000001</v>
      </c>
      <c r="AH45" s="26">
        <f t="shared" si="58"/>
        <v>199422823.69119999</v>
      </c>
      <c r="AI45" s="26">
        <f t="shared" si="58"/>
        <v>194508575.84240001</v>
      </c>
      <c r="AJ45" s="26">
        <f t="shared" si="58"/>
        <v>188992992.2112</v>
      </c>
      <c r="AK45" s="26">
        <f t="shared" si="58"/>
        <v>167894740.7784</v>
      </c>
      <c r="AL45" s="26">
        <f t="shared" si="58"/>
        <v>155414486.51520002</v>
      </c>
      <c r="AM45" s="26">
        <f t="shared" si="58"/>
        <v>157070941.6744</v>
      </c>
      <c r="AN45" s="26">
        <f t="shared" si="58"/>
        <v>163696041.62</v>
      </c>
      <c r="AO45" s="26">
        <f t="shared" si="58"/>
        <v>159729170.87200001</v>
      </c>
      <c r="AP45" s="26">
        <f t="shared" si="58"/>
        <v>172111323.45520002</v>
      </c>
      <c r="AQ45" s="26">
        <f t="shared" si="58"/>
        <v>173580956.60960001</v>
      </c>
      <c r="AR45" s="26">
        <f t="shared" si="58"/>
        <v>180044918.6496</v>
      </c>
      <c r="AS45" s="26">
        <f t="shared" si="58"/>
        <v>182126379.50479999</v>
      </c>
      <c r="AT45" s="26">
        <f t="shared" si="58"/>
        <v>171597029.60960001</v>
      </c>
      <c r="AU45" s="26">
        <f t="shared" si="58"/>
        <v>114478298.02079999</v>
      </c>
      <c r="AV45" s="26">
        <f t="shared" si="58"/>
        <v>105315478.108</v>
      </c>
      <c r="AW45" s="26">
        <f t="shared" si="58"/>
        <v>69413974.947999999</v>
      </c>
      <c r="AX45" s="26">
        <f t="shared" si="58"/>
        <v>67992689.672000006</v>
      </c>
      <c r="AY45" s="26">
        <f t="shared" si="58"/>
        <v>65546514.2896</v>
      </c>
      <c r="AZ45" s="26">
        <f t="shared" si="58"/>
        <v>64166815.007200003</v>
      </c>
      <c r="BA45" s="26">
        <f t="shared" si="58"/>
        <v>63067262.911200002</v>
      </c>
      <c r="BB45" s="26">
        <f t="shared" si="58"/>
        <v>61246902.0792</v>
      </c>
      <c r="BC45" s="26">
        <f t="shared" si="58"/>
        <v>60669673.048799999</v>
      </c>
      <c r="BD45" s="26">
        <f t="shared" si="58"/>
        <v>61192904.384799995</v>
      </c>
      <c r="BE45" s="26">
        <f t="shared" si="58"/>
        <v>60268471.765600003</v>
      </c>
      <c r="BF45" s="26">
        <f t="shared" si="58"/>
        <v>60215409.357600003</v>
      </c>
      <c r="BG45" s="26">
        <f t="shared" si="58"/>
        <v>59226735.137600005</v>
      </c>
      <c r="BH45" s="26">
        <f t="shared" si="58"/>
        <v>57310594.632799998</v>
      </c>
      <c r="BI45" s="26">
        <f t="shared" si="58"/>
        <v>56423672.812799998</v>
      </c>
      <c r="BJ45" s="26">
        <f t="shared" si="58"/>
        <v>54495530.564799994</v>
      </c>
      <c r="BK45" s="26">
        <f t="shared" si="58"/>
        <v>53961809.2984</v>
      </c>
      <c r="BL45" s="26">
        <f t="shared" si="58"/>
        <v>53222418.640799999</v>
      </c>
      <c r="BM45" s="26">
        <f t="shared" si="58"/>
        <v>52813752.944799997</v>
      </c>
      <c r="BN45" s="26">
        <f t="shared" si="58"/>
        <v>56279301.838400006</v>
      </c>
      <c r="BO45" s="26">
        <f t="shared" ref="BO45:CJ45" si="59">BO70*BO69</f>
        <v>57077819.048</v>
      </c>
      <c r="BP45" s="26">
        <f t="shared" si="59"/>
        <v>58390308.251999997</v>
      </c>
      <c r="BQ45" s="26">
        <f t="shared" si="59"/>
        <v>55130720.088800006</v>
      </c>
      <c r="BR45" s="26">
        <f t="shared" si="59"/>
        <v>57223523.080799997</v>
      </c>
      <c r="BS45" s="26">
        <f t="shared" si="59"/>
        <v>27332362.781599998</v>
      </c>
      <c r="BT45" s="26">
        <f t="shared" si="59"/>
        <v>28109921.952800002</v>
      </c>
      <c r="BU45" s="26">
        <f t="shared" si="59"/>
        <v>26892675.18</v>
      </c>
      <c r="BV45" s="26">
        <f t="shared" si="59"/>
        <v>27461922.357600003</v>
      </c>
      <c r="BW45" s="26">
        <f t="shared" si="59"/>
        <v>26637416.642399997</v>
      </c>
      <c r="BX45" s="26">
        <f t="shared" si="59"/>
        <v>27415100.9168</v>
      </c>
      <c r="BY45" s="26">
        <f t="shared" si="59"/>
        <v>15555377.275999999</v>
      </c>
      <c r="BZ45" s="26">
        <f t="shared" si="59"/>
        <v>14801293.2728</v>
      </c>
      <c r="CA45" s="26">
        <f t="shared" si="59"/>
        <v>13319869.293599999</v>
      </c>
      <c r="CB45" s="26">
        <f t="shared" si="59"/>
        <v>13200800</v>
      </c>
      <c r="CC45" s="26">
        <f t="shared" si="59"/>
        <v>11839301.3576</v>
      </c>
      <c r="CD45" s="26">
        <f t="shared" si="59"/>
        <v>14561600</v>
      </c>
      <c r="CE45" s="26">
        <f t="shared" si="59"/>
        <v>9767124.7296000011</v>
      </c>
      <c r="CF45" s="26">
        <f t="shared" si="59"/>
        <v>9315587.9744000006</v>
      </c>
      <c r="CG45" s="26">
        <f t="shared" si="59"/>
        <v>0</v>
      </c>
      <c r="CH45" s="26">
        <f t="shared" si="59"/>
        <v>0</v>
      </c>
      <c r="CI45" s="26">
        <f t="shared" si="59"/>
        <v>0</v>
      </c>
      <c r="CJ45" s="26">
        <f t="shared" si="59"/>
        <v>0</v>
      </c>
    </row>
    <row r="46" spans="1:89" s="63" customFormat="1">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c r="A47" s="20" t="s">
        <v>422</v>
      </c>
      <c r="B47" s="28">
        <f>B42-B45</f>
        <v>-222041966.94400024</v>
      </c>
      <c r="C47" s="28">
        <f t="shared" ref="C47:BN47" si="62">C42-C45</f>
        <v>-1586611795.0467997</v>
      </c>
      <c r="D47" s="28">
        <f t="shared" si="62"/>
        <v>-1901804756.7279999</v>
      </c>
      <c r="E47" s="28">
        <f t="shared" si="62"/>
        <v>-996852751.32279968</v>
      </c>
      <c r="F47" s="28">
        <f t="shared" si="62"/>
        <v>-401477164.30240059</v>
      </c>
      <c r="G47" s="28">
        <f t="shared" si="62"/>
        <v>-680389510.94199955</v>
      </c>
      <c r="H47" s="28">
        <f t="shared" si="62"/>
        <v>-879327234.26880002</v>
      </c>
      <c r="I47" s="28">
        <f t="shared" si="62"/>
        <v>-347134257.01639938</v>
      </c>
      <c r="J47" s="28">
        <f t="shared" si="62"/>
        <v>-643536798.74000049</v>
      </c>
      <c r="K47" s="28">
        <f t="shared" si="62"/>
        <v>-744508806</v>
      </c>
      <c r="L47" s="28">
        <f t="shared" si="62"/>
        <v>-952344684.17840004</v>
      </c>
      <c r="M47" s="28">
        <f t="shared" si="62"/>
        <v>-436508964</v>
      </c>
      <c r="N47" s="28">
        <f t="shared" si="62"/>
        <v>-356286880.40800011</v>
      </c>
      <c r="O47" s="28">
        <f t="shared" si="62"/>
        <v>-447129610.15999997</v>
      </c>
      <c r="P47" s="28">
        <f t="shared" si="62"/>
        <v>-560041893.97880018</v>
      </c>
      <c r="Q47" s="28">
        <f t="shared" si="62"/>
        <v>-61385339.960000038</v>
      </c>
      <c r="R47" s="28">
        <f t="shared" si="62"/>
        <v>-281609653.46520001</v>
      </c>
      <c r="S47" s="28">
        <f t="shared" si="62"/>
        <v>-129516388.39999998</v>
      </c>
      <c r="T47" s="28">
        <f t="shared" si="62"/>
        <v>-209152718.17399997</v>
      </c>
      <c r="U47" s="28">
        <f t="shared" si="62"/>
        <v>-14035399.960000008</v>
      </c>
      <c r="V47" s="28">
        <f t="shared" si="62"/>
        <v>-59718618.439999998</v>
      </c>
      <c r="W47" s="28">
        <f t="shared" si="62"/>
        <v>-221450049.92000002</v>
      </c>
      <c r="X47" s="28">
        <f t="shared" si="62"/>
        <v>-260828418.0284</v>
      </c>
      <c r="Y47" s="28">
        <f t="shared" si="62"/>
        <v>-118796614.28</v>
      </c>
      <c r="Z47" s="28">
        <f t="shared" si="62"/>
        <v>-112601479.03999999</v>
      </c>
      <c r="AA47" s="28">
        <f t="shared" si="62"/>
        <v>-199085965.48000002</v>
      </c>
      <c r="AB47" s="28">
        <f t="shared" si="62"/>
        <v>-254783939.82959998</v>
      </c>
      <c r="AC47" s="28">
        <f t="shared" si="62"/>
        <v>76796656.560000002</v>
      </c>
      <c r="AD47" s="28">
        <f t="shared" si="62"/>
        <v>-162088681.74920022</v>
      </c>
      <c r="AE47" s="28">
        <f t="shared" si="62"/>
        <v>-150129508.84</v>
      </c>
      <c r="AF47" s="28">
        <f t="shared" si="62"/>
        <v>-221028581.58839995</v>
      </c>
      <c r="AG47" s="28">
        <f t="shared" si="62"/>
        <v>-61429993.400000006</v>
      </c>
      <c r="AH47" s="28">
        <f t="shared" si="62"/>
        <v>-52466084.851199836</v>
      </c>
      <c r="AI47" s="28">
        <f t="shared" si="62"/>
        <v>-113835637.54239996</v>
      </c>
      <c r="AJ47" s="28">
        <f t="shared" si="62"/>
        <v>-175559492.53119993</v>
      </c>
      <c r="AK47" s="28">
        <f t="shared" si="62"/>
        <v>-469304433.26839989</v>
      </c>
      <c r="AL47" s="28">
        <f t="shared" si="62"/>
        <v>-355377100.84520006</v>
      </c>
      <c r="AM47" s="28">
        <f t="shared" si="62"/>
        <v>-345104645.81440002</v>
      </c>
      <c r="AN47" s="28">
        <f t="shared" si="62"/>
        <v>-274168433.18000001</v>
      </c>
      <c r="AO47" s="28">
        <f t="shared" si="62"/>
        <v>-206994276.77200007</v>
      </c>
      <c r="AP47" s="28">
        <f t="shared" si="62"/>
        <v>-132112283.82520008</v>
      </c>
      <c r="AQ47" s="28">
        <f t="shared" si="62"/>
        <v>-125347504.70959994</v>
      </c>
      <c r="AR47" s="28">
        <f t="shared" si="62"/>
        <v>-167128685.40959999</v>
      </c>
      <c r="AS47" s="28">
        <f t="shared" si="62"/>
        <v>-91449544.394799963</v>
      </c>
      <c r="AT47" s="28">
        <f t="shared" si="62"/>
        <v>-100926584.28959998</v>
      </c>
      <c r="AU47" s="28">
        <f t="shared" si="62"/>
        <v>-68317803.340800017</v>
      </c>
      <c r="AV47" s="28">
        <f t="shared" si="62"/>
        <v>-88363249.017999977</v>
      </c>
      <c r="AW47" s="28">
        <f t="shared" si="62"/>
        <v>23338046.54200013</v>
      </c>
      <c r="AX47" s="28">
        <f t="shared" si="62"/>
        <v>4500146.9780000001</v>
      </c>
      <c r="AY47" s="28">
        <f t="shared" si="62"/>
        <v>-23205293.839600019</v>
      </c>
      <c r="AZ47" s="28">
        <f t="shared" si="62"/>
        <v>-50858648.137199998</v>
      </c>
      <c r="BA47" s="28">
        <f t="shared" si="62"/>
        <v>-11904967.131200023</v>
      </c>
      <c r="BB47" s="28">
        <f t="shared" si="62"/>
        <v>-23696098.439199984</v>
      </c>
      <c r="BC47" s="28">
        <f t="shared" si="62"/>
        <v>-29904013.258799952</v>
      </c>
      <c r="BD47" s="28">
        <f t="shared" si="62"/>
        <v>-50133618.274800003</v>
      </c>
      <c r="BE47" s="28">
        <f t="shared" si="62"/>
        <v>31282095.284399994</v>
      </c>
      <c r="BF47" s="28">
        <f t="shared" si="62"/>
        <v>-14120159.39760001</v>
      </c>
      <c r="BG47" s="28">
        <f t="shared" si="62"/>
        <v>-24831669.197600007</v>
      </c>
      <c r="BH47" s="28">
        <f t="shared" si="62"/>
        <v>-46516463.712800011</v>
      </c>
      <c r="BI47" s="28">
        <f t="shared" si="62"/>
        <v>-13029769.542799942</v>
      </c>
      <c r="BJ47" s="28">
        <f t="shared" si="62"/>
        <v>-29219168.344799962</v>
      </c>
      <c r="BK47" s="28">
        <f t="shared" si="62"/>
        <v>-34955482.708400019</v>
      </c>
      <c r="BL47" s="28">
        <f t="shared" si="62"/>
        <v>-42683477.120800003</v>
      </c>
      <c r="BM47" s="28">
        <f t="shared" si="62"/>
        <v>-83791340.19479996</v>
      </c>
      <c r="BN47" s="28">
        <f t="shared" si="62"/>
        <v>-53033449.148400024</v>
      </c>
      <c r="BO47" s="28">
        <f t="shared" ref="BO47:CJ47" si="63">BO42-BO45</f>
        <v>-43291676.428000018</v>
      </c>
      <c r="BP47" s="28">
        <f t="shared" si="63"/>
        <v>-50858591.822000004</v>
      </c>
      <c r="BQ47" s="28">
        <f t="shared" si="63"/>
        <v>-40309910.268799976</v>
      </c>
      <c r="BR47" s="28">
        <f t="shared" si="63"/>
        <v>-41970760.220800012</v>
      </c>
      <c r="BS47" s="28">
        <f t="shared" si="63"/>
        <v>3170725.2583999932</v>
      </c>
      <c r="BT47" s="28">
        <f t="shared" si="63"/>
        <v>-13148204.502800012</v>
      </c>
      <c r="BU47" s="28">
        <f t="shared" si="63"/>
        <v>-5820854.6499999873</v>
      </c>
      <c r="BV47" s="28">
        <f t="shared" si="63"/>
        <v>-17363168.917599995</v>
      </c>
      <c r="BW47" s="28">
        <f t="shared" si="63"/>
        <v>-473182.97239999846</v>
      </c>
      <c r="BX47" s="28">
        <f t="shared" si="63"/>
        <v>-12576679.006800007</v>
      </c>
      <c r="BY47" s="28">
        <f t="shared" si="63"/>
        <v>24673423.823999986</v>
      </c>
      <c r="BZ47" s="28">
        <f t="shared" si="63"/>
        <v>87702337.077199996</v>
      </c>
      <c r="CA47" s="28">
        <f t="shared" si="63"/>
        <v>3263247.9363999926</v>
      </c>
      <c r="CB47" s="28">
        <f t="shared" si="63"/>
        <v>53159200</v>
      </c>
      <c r="CC47" s="28">
        <f t="shared" si="63"/>
        <v>14786078.392399982</v>
      </c>
      <c r="CD47" s="28">
        <f t="shared" si="63"/>
        <v>56908400</v>
      </c>
      <c r="CE47" s="28">
        <f t="shared" si="63"/>
        <v>20766218.380400006</v>
      </c>
      <c r="CF47" s="28">
        <f t="shared" si="63"/>
        <v>9822504.2856000047</v>
      </c>
      <c r="CG47" s="28">
        <f t="shared" si="63"/>
        <v>31780600</v>
      </c>
      <c r="CH47" s="28">
        <f t="shared" si="63"/>
        <v>15431400</v>
      </c>
      <c r="CI47" s="28">
        <f t="shared" si="63"/>
        <v>0</v>
      </c>
      <c r="CJ47" s="28">
        <f t="shared" si="63"/>
        <v>-3630000</v>
      </c>
    </row>
    <row r="49" spans="1:89" ht="14.25" customHeight="1"/>
    <row r="50" spans="1:89" s="2" customFormat="1" ht="14.25" thickBot="1">
      <c r="A50" s="17"/>
      <c r="B50" s="1"/>
      <c r="C50" s="1"/>
      <c r="D50" s="1"/>
      <c r="E50" s="1"/>
      <c r="F50" s="1"/>
      <c r="G50" s="1"/>
      <c r="H50" s="1"/>
      <c r="I50" s="1"/>
      <c r="J50" s="1"/>
      <c r="K50"/>
    </row>
    <row r="51" spans="1:89" s="56" customFormat="1">
      <c r="A51" s="55" t="s">
        <v>104</v>
      </c>
      <c r="B51" s="189">
        <v>20180930</v>
      </c>
      <c r="C51" s="189">
        <v>20180630</v>
      </c>
      <c r="D51" s="189">
        <v>20180331</v>
      </c>
      <c r="E51" s="189">
        <v>20171231</v>
      </c>
      <c r="F51" s="189">
        <v>20170930</v>
      </c>
      <c r="G51" s="189">
        <v>20170630</v>
      </c>
      <c r="H51" s="189">
        <v>20170331</v>
      </c>
      <c r="I51" s="189">
        <v>20161231</v>
      </c>
      <c r="J51" s="189">
        <v>20160930</v>
      </c>
      <c r="K51" s="189">
        <v>20160630</v>
      </c>
      <c r="L51" s="189">
        <v>20160331</v>
      </c>
      <c r="M51" s="189">
        <v>20151231</v>
      </c>
      <c r="N51" s="189">
        <v>20150930</v>
      </c>
      <c r="O51" s="189">
        <v>20150630</v>
      </c>
      <c r="P51" s="189">
        <v>20150331</v>
      </c>
      <c r="Q51" s="189">
        <v>20141231</v>
      </c>
      <c r="R51" s="189">
        <v>20140930</v>
      </c>
      <c r="S51" s="189">
        <v>20140630</v>
      </c>
      <c r="T51" s="189">
        <v>20140331</v>
      </c>
      <c r="U51" s="189">
        <v>20131231</v>
      </c>
      <c r="V51" s="189">
        <v>20130930</v>
      </c>
      <c r="W51" s="189">
        <v>20130630</v>
      </c>
      <c r="X51" s="189">
        <v>20130331</v>
      </c>
      <c r="Y51" s="189">
        <v>20121231</v>
      </c>
      <c r="Z51" s="189">
        <v>20120930</v>
      </c>
      <c r="AA51" s="189">
        <v>20120630</v>
      </c>
      <c r="AB51" s="189">
        <v>20120331</v>
      </c>
      <c r="AC51" s="189">
        <v>20111231</v>
      </c>
      <c r="AD51" s="189">
        <v>20110930</v>
      </c>
      <c r="AE51" s="189">
        <v>20110630</v>
      </c>
      <c r="AF51" s="189">
        <v>20110331</v>
      </c>
      <c r="AG51" s="189">
        <v>20101231</v>
      </c>
      <c r="AH51" s="189">
        <v>20100930</v>
      </c>
      <c r="AI51" s="189">
        <v>20100630</v>
      </c>
      <c r="AJ51" s="189">
        <v>20100331</v>
      </c>
      <c r="AK51" s="189">
        <v>20091231</v>
      </c>
      <c r="AL51" s="189">
        <v>20090930</v>
      </c>
      <c r="AM51" s="189">
        <v>20090630</v>
      </c>
      <c r="AN51" s="189">
        <v>20090331</v>
      </c>
      <c r="AO51" s="189">
        <v>20081231</v>
      </c>
      <c r="AP51" s="189">
        <v>20080930</v>
      </c>
      <c r="AQ51" s="189">
        <v>20080630</v>
      </c>
      <c r="AR51" s="189">
        <v>20080331</v>
      </c>
      <c r="AS51" s="189">
        <v>20071231</v>
      </c>
      <c r="AT51" s="189">
        <v>20070930</v>
      </c>
      <c r="AU51" s="189">
        <v>20070630</v>
      </c>
      <c r="AV51" s="189">
        <v>20070331</v>
      </c>
      <c r="AW51" s="189">
        <v>20061231</v>
      </c>
      <c r="AX51" s="189">
        <v>20060930</v>
      </c>
      <c r="AY51" s="189">
        <v>20060630</v>
      </c>
      <c r="AZ51" s="189">
        <v>20060331</v>
      </c>
      <c r="BA51" s="189">
        <v>20051231</v>
      </c>
      <c r="BB51" s="189">
        <v>20050930</v>
      </c>
      <c r="BC51" s="189">
        <v>20050630</v>
      </c>
      <c r="BD51" s="189">
        <v>20050331</v>
      </c>
      <c r="BE51" s="189">
        <v>20041231</v>
      </c>
      <c r="BF51" s="189">
        <v>20040930</v>
      </c>
      <c r="BG51" s="189">
        <v>20040630</v>
      </c>
      <c r="BH51" s="189">
        <v>20040331</v>
      </c>
      <c r="BI51" s="189">
        <v>20031231</v>
      </c>
      <c r="BJ51" s="189">
        <v>20030930</v>
      </c>
      <c r="BK51" s="189">
        <v>20030630</v>
      </c>
      <c r="BL51" s="189">
        <v>20030331</v>
      </c>
      <c r="BM51" s="189">
        <v>20021231</v>
      </c>
      <c r="BN51" s="189">
        <v>20020930</v>
      </c>
      <c r="BO51" s="189">
        <v>20020630</v>
      </c>
      <c r="BP51" s="189">
        <v>20020331</v>
      </c>
      <c r="BQ51" s="189">
        <v>20011231</v>
      </c>
      <c r="BR51" s="189">
        <v>20010630</v>
      </c>
      <c r="BS51" s="189">
        <v>20001231</v>
      </c>
      <c r="BT51" s="189">
        <v>20000630</v>
      </c>
      <c r="BU51" s="189">
        <v>19991231</v>
      </c>
      <c r="BV51" s="189">
        <v>19990630</v>
      </c>
      <c r="BW51" s="189">
        <v>19981231</v>
      </c>
      <c r="BX51" s="189">
        <v>19980630</v>
      </c>
      <c r="BY51" s="189">
        <v>19971231</v>
      </c>
      <c r="BZ51" s="189">
        <v>19970630</v>
      </c>
      <c r="CA51" s="189">
        <v>19961231</v>
      </c>
      <c r="CB51" s="189">
        <v>19960630</v>
      </c>
      <c r="CC51" s="189">
        <v>19951231</v>
      </c>
      <c r="CD51" s="189">
        <v>19950630</v>
      </c>
      <c r="CE51" s="189">
        <v>19941231</v>
      </c>
      <c r="CF51" s="189">
        <v>19931231</v>
      </c>
      <c r="CG51" s="189">
        <v>19921231</v>
      </c>
      <c r="CH51" s="189">
        <v>19911231</v>
      </c>
      <c r="CI51" s="189">
        <v>19700101</v>
      </c>
      <c r="CJ51" s="189">
        <v>19901231</v>
      </c>
      <c r="CK51" s="189">
        <v>19700101</v>
      </c>
    </row>
    <row r="52" spans="1:89" s="43" customFormat="1">
      <c r="A52" s="131" t="s">
        <v>570</v>
      </c>
      <c r="B52" s="42">
        <v>-25636</v>
      </c>
      <c r="C52" s="42">
        <v>-27718</v>
      </c>
      <c r="D52" s="42">
        <v>-35317</v>
      </c>
      <c r="E52" s="42">
        <v>-30048530.609999999</v>
      </c>
      <c r="F52" s="42"/>
      <c r="G52" s="42"/>
      <c r="H52" s="42"/>
      <c r="I52" s="42">
        <v>-37900112.909999996</v>
      </c>
      <c r="J52" s="42"/>
      <c r="K52" s="42"/>
      <c r="M52" s="43">
        <v>-45938461</v>
      </c>
      <c r="Q52" s="43">
        <v>-19698440</v>
      </c>
      <c r="U52" s="43">
        <v>-6340857</v>
      </c>
      <c r="Y52" s="43">
        <v>-11939609</v>
      </c>
      <c r="AC52" s="43">
        <v>-12899270</v>
      </c>
      <c r="AG52" s="43">
        <v>-6201253</v>
      </c>
    </row>
    <row r="53" spans="1:89" s="43" customFormat="1">
      <c r="A53" s="132" t="s">
        <v>90</v>
      </c>
      <c r="B53" s="42">
        <v>217</v>
      </c>
      <c r="C53" s="42">
        <v>189</v>
      </c>
      <c r="D53" s="42"/>
      <c r="E53" s="42">
        <v>136325650.56</v>
      </c>
      <c r="F53" s="42"/>
      <c r="G53" s="42"/>
      <c r="H53" s="42"/>
      <c r="I53" s="42">
        <v>52057015.119999997</v>
      </c>
      <c r="J53" s="42"/>
      <c r="K53" s="42"/>
      <c r="U53" s="43">
        <v>147578192</v>
      </c>
      <c r="Y53" s="43">
        <v>180132866</v>
      </c>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c r="A54" s="132" t="s">
        <v>91</v>
      </c>
      <c r="B54" s="42">
        <v>3104</v>
      </c>
      <c r="C54" s="42">
        <v>-1424</v>
      </c>
      <c r="D54" s="42">
        <v>-340</v>
      </c>
      <c r="E54" s="42">
        <v>103216839.48999999</v>
      </c>
      <c r="F54" s="42"/>
      <c r="G54" s="42"/>
      <c r="H54" s="42"/>
      <c r="I54" s="42">
        <v>-164398175.06999999</v>
      </c>
      <c r="J54" s="42"/>
      <c r="K54" s="42"/>
      <c r="M54" s="43">
        <v>-54660758</v>
      </c>
      <c r="Q54" s="43">
        <v>-30357978</v>
      </c>
      <c r="AC54" s="43">
        <v>-58330340</v>
      </c>
      <c r="AG54" s="43">
        <v>-1590918</v>
      </c>
    </row>
    <row r="55" spans="1:89" s="43" customFormat="1">
      <c r="A55" s="132" t="s">
        <v>92</v>
      </c>
      <c r="B55" s="42">
        <v>463</v>
      </c>
      <c r="C55" s="42">
        <v>603</v>
      </c>
      <c r="D55" s="42">
        <v>653</v>
      </c>
      <c r="E55" s="42">
        <v>14281536.07</v>
      </c>
      <c r="F55" s="42"/>
      <c r="G55" s="42"/>
      <c r="H55" s="42"/>
      <c r="I55" s="42">
        <v>5506595.5700000003</v>
      </c>
      <c r="J55" s="42"/>
      <c r="K55" s="42"/>
      <c r="M55" s="43">
        <v>6992242</v>
      </c>
      <c r="Q55" s="43">
        <v>5019431</v>
      </c>
      <c r="U55" s="43">
        <v>3366418</v>
      </c>
      <c r="Y55" s="43">
        <v>3588935</v>
      </c>
      <c r="AC55" s="43">
        <v>8251055</v>
      </c>
      <c r="AG55" s="43">
        <v>3762003</v>
      </c>
    </row>
    <row r="56" spans="1:89" s="26" customFormat="1">
      <c r="A56" s="133" t="s">
        <v>93</v>
      </c>
      <c r="B56" s="44">
        <f>SUM(B52:B55)</f>
        <v>-21852</v>
      </c>
      <c r="C56" s="44">
        <f t="shared" ref="C56:D56" si="64">SUM(C52:C55)</f>
        <v>-28350</v>
      </c>
      <c r="D56" s="44">
        <f t="shared" si="64"/>
        <v>-35004</v>
      </c>
      <c r="E56" s="44">
        <f>SUM(E52:E55)</f>
        <v>223775495.50999999</v>
      </c>
      <c r="F56" s="44">
        <f t="shared" ref="F56:BQ56" si="65">SUM(F52:F55)</f>
        <v>0</v>
      </c>
      <c r="G56" s="44">
        <f t="shared" si="65"/>
        <v>0</v>
      </c>
      <c r="H56" s="44">
        <f t="shared" si="65"/>
        <v>0</v>
      </c>
      <c r="I56" s="44">
        <f t="shared" si="65"/>
        <v>-144734677.28999999</v>
      </c>
      <c r="J56" s="44">
        <f t="shared" si="65"/>
        <v>0</v>
      </c>
      <c r="K56" s="44">
        <f t="shared" si="65"/>
        <v>0</v>
      </c>
      <c r="L56" s="44">
        <f t="shared" si="65"/>
        <v>0</v>
      </c>
      <c r="M56" s="44">
        <f t="shared" si="65"/>
        <v>-93606977</v>
      </c>
      <c r="N56" s="44">
        <f t="shared" si="65"/>
        <v>0</v>
      </c>
      <c r="O56" s="44">
        <f t="shared" si="65"/>
        <v>0</v>
      </c>
      <c r="P56" s="44">
        <f t="shared" si="65"/>
        <v>0</v>
      </c>
      <c r="Q56" s="44">
        <f t="shared" si="65"/>
        <v>-45036987</v>
      </c>
      <c r="R56" s="44">
        <f t="shared" si="65"/>
        <v>0</v>
      </c>
      <c r="S56" s="44">
        <f t="shared" si="65"/>
        <v>0</v>
      </c>
      <c r="T56" s="44">
        <f t="shared" si="65"/>
        <v>0</v>
      </c>
      <c r="U56" s="44">
        <f t="shared" si="65"/>
        <v>144603753</v>
      </c>
      <c r="V56" s="44">
        <f t="shared" si="65"/>
        <v>0</v>
      </c>
      <c r="W56" s="44">
        <f t="shared" si="65"/>
        <v>0</v>
      </c>
      <c r="X56" s="44">
        <f t="shared" si="65"/>
        <v>0</v>
      </c>
      <c r="Y56" s="44">
        <f t="shared" si="65"/>
        <v>171782192</v>
      </c>
      <c r="Z56" s="44">
        <f t="shared" si="65"/>
        <v>0</v>
      </c>
      <c r="AA56" s="44">
        <f t="shared" si="65"/>
        <v>0</v>
      </c>
      <c r="AB56" s="44">
        <f t="shared" si="65"/>
        <v>0</v>
      </c>
      <c r="AC56" s="44">
        <f t="shared" si="65"/>
        <v>-62978555</v>
      </c>
      <c r="AD56" s="44">
        <f t="shared" si="65"/>
        <v>0</v>
      </c>
      <c r="AE56" s="44">
        <f t="shared" si="65"/>
        <v>0</v>
      </c>
      <c r="AF56" s="44">
        <f t="shared" si="65"/>
        <v>0</v>
      </c>
      <c r="AG56" s="44">
        <f t="shared" si="65"/>
        <v>-4030168</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row r="58" spans="1:89" ht="27">
      <c r="A58" s="134" t="s">
        <v>97</v>
      </c>
    </row>
    <row r="59" spans="1:89">
      <c r="A59" s="22" t="s">
        <v>96</v>
      </c>
      <c r="B59" s="189">
        <v>1275076763.3800001</v>
      </c>
      <c r="C59" s="189">
        <v>840141486.37</v>
      </c>
      <c r="D59" s="189">
        <v>387674002.60000002</v>
      </c>
      <c r="E59" s="189">
        <v>807204315.62</v>
      </c>
      <c r="F59" s="189">
        <v>753390445.90999997</v>
      </c>
      <c r="G59" s="189">
        <v>447737744.69</v>
      </c>
      <c r="H59" s="189">
        <v>225139303.87</v>
      </c>
      <c r="I59" s="189">
        <v>569177393.37</v>
      </c>
      <c r="J59" s="189">
        <v>377678017.05000001</v>
      </c>
      <c r="K59" s="189">
        <v>264696892</v>
      </c>
      <c r="L59" s="189">
        <v>90885529.260000005</v>
      </c>
      <c r="M59" s="189">
        <v>555573174</v>
      </c>
      <c r="N59" s="189">
        <v>333459708.04000002</v>
      </c>
      <c r="O59" s="189">
        <v>257859628</v>
      </c>
      <c r="P59" s="189">
        <v>125277641.84</v>
      </c>
      <c r="Q59" s="189">
        <v>686930624</v>
      </c>
      <c r="R59" s="189">
        <v>390202604.76999998</v>
      </c>
      <c r="S59" s="189">
        <v>133806234</v>
      </c>
      <c r="T59" s="189">
        <v>52377123.75</v>
      </c>
      <c r="U59" s="189">
        <v>285538393</v>
      </c>
      <c r="V59" s="189">
        <v>229613650</v>
      </c>
      <c r="W59" s="189">
        <v>55324148</v>
      </c>
      <c r="X59" s="189">
        <v>-3474654.15</v>
      </c>
      <c r="Y59" s="189">
        <v>137560832</v>
      </c>
      <c r="Z59" s="189">
        <v>124459676</v>
      </c>
      <c r="AA59" s="189">
        <v>38121539</v>
      </c>
      <c r="AB59" s="189">
        <v>-12918597.57</v>
      </c>
      <c r="AC59" s="189">
        <v>257435132</v>
      </c>
      <c r="AD59" s="189">
        <v>100344644.2</v>
      </c>
      <c r="AE59" s="189">
        <v>67951889</v>
      </c>
      <c r="AF59" s="189">
        <v>11828436.08</v>
      </c>
      <c r="AG59" s="189">
        <v>140605462</v>
      </c>
      <c r="AH59" s="189">
        <v>113119065.40000001</v>
      </c>
      <c r="AI59" s="189">
        <v>61872064.409999996</v>
      </c>
      <c r="AJ59" s="189">
        <v>1851543.72</v>
      </c>
      <c r="AK59" s="189">
        <v>-309900979.81</v>
      </c>
      <c r="AL59" s="189">
        <v>-213918424.77000001</v>
      </c>
      <c r="AM59" s="189">
        <v>-192670848.80000001</v>
      </c>
      <c r="AN59" s="189">
        <v>-109106967.45999999</v>
      </c>
      <c r="AO59" s="189">
        <v>-71063863.310000002</v>
      </c>
      <c r="AP59" s="189">
        <v>29750006.52</v>
      </c>
      <c r="AQ59" s="189">
        <v>37398516.710000001</v>
      </c>
      <c r="AR59" s="189">
        <v>8099408.0099999998</v>
      </c>
      <c r="AS59" s="189">
        <v>85354075.670000002</v>
      </c>
      <c r="AT59" s="189">
        <v>66708471.869999997</v>
      </c>
      <c r="AU59" s="189">
        <v>44796040.530000001</v>
      </c>
      <c r="AV59" s="189">
        <v>16392588.35</v>
      </c>
      <c r="AW59" s="189">
        <v>94882455.109999999</v>
      </c>
      <c r="AX59" s="189">
        <v>73689380.5</v>
      </c>
      <c r="AY59" s="189">
        <v>43077704.469999999</v>
      </c>
      <c r="AZ59" s="189">
        <v>13744401.199999999</v>
      </c>
      <c r="BA59" s="189">
        <v>56684228.399999999</v>
      </c>
      <c r="BB59" s="189">
        <v>38784378.920000002</v>
      </c>
      <c r="BC59" s="189">
        <v>31569016.039999999</v>
      </c>
      <c r="BD59" s="189">
        <v>11555407.74</v>
      </c>
      <c r="BE59" s="189">
        <v>93392474.420000002</v>
      </c>
      <c r="BF59" s="189">
        <v>47396706.810000002</v>
      </c>
      <c r="BG59" s="189">
        <v>35038279.060000002</v>
      </c>
      <c r="BH59" s="189">
        <v>11086522.75</v>
      </c>
      <c r="BI59" s="189">
        <v>46426567.18</v>
      </c>
      <c r="BJ59" s="189">
        <v>26914176.07</v>
      </c>
      <c r="BK59" s="189">
        <v>20242660.239999998</v>
      </c>
      <c r="BL59" s="189">
        <v>11000277.02</v>
      </c>
      <c r="BM59" s="189">
        <v>-29004439.300000001</v>
      </c>
      <c r="BN59" s="189">
        <v>4632507.47</v>
      </c>
      <c r="BO59" s="189">
        <v>14613972.59</v>
      </c>
      <c r="BP59" s="189">
        <v>7938470.3899999997</v>
      </c>
      <c r="BQ59" s="189">
        <v>16680296.01</v>
      </c>
      <c r="BR59" s="189">
        <v>16500464.41</v>
      </c>
      <c r="BS59" s="189">
        <v>32518007.34</v>
      </c>
      <c r="BT59" s="189">
        <v>15215584.66</v>
      </c>
      <c r="BU59" s="189">
        <v>22006194.899999999</v>
      </c>
      <c r="BV59" s="189">
        <v>10438321.41</v>
      </c>
      <c r="BW59" s="189">
        <v>28580601.149999999</v>
      </c>
      <c r="BX59" s="189">
        <v>16210354.58</v>
      </c>
      <c r="BY59" s="189">
        <v>46214849.780000001</v>
      </c>
      <c r="BZ59" s="189">
        <v>18517799.739999998</v>
      </c>
      <c r="CA59" s="189">
        <v>17601099.199999999</v>
      </c>
      <c r="CB59" s="189">
        <v>9470000</v>
      </c>
      <c r="CC59" s="189">
        <v>27209658.940000001</v>
      </c>
      <c r="CD59" s="189">
        <v>12500000</v>
      </c>
      <c r="CE59" s="189">
        <v>29126642.609999999</v>
      </c>
      <c r="CF59" s="189">
        <v>27762316.469999999</v>
      </c>
      <c r="CG59" s="189">
        <v>19684700</v>
      </c>
      <c r="CH59" s="189">
        <v>5340300</v>
      </c>
      <c r="CI59" s="189">
        <v>0</v>
      </c>
      <c r="CJ59" s="189">
        <v>67670000</v>
      </c>
      <c r="CK59" s="189">
        <v>0</v>
      </c>
    </row>
    <row r="60" spans="1:89">
      <c r="A60" s="22" t="s">
        <v>95</v>
      </c>
      <c r="B60" s="189">
        <v>80143301.450000003</v>
      </c>
      <c r="C60" s="189">
        <v>71380858.870000005</v>
      </c>
      <c r="D60" s="189">
        <v>54239054.100000001</v>
      </c>
      <c r="E60" s="189">
        <v>85282811.519999996</v>
      </c>
      <c r="F60" s="189">
        <v>136580749.71000001</v>
      </c>
      <c r="G60" s="189">
        <v>82593399.480000004</v>
      </c>
      <c r="H60" s="189">
        <v>38047257.039999999</v>
      </c>
      <c r="I60" s="189">
        <v>123894795.28</v>
      </c>
      <c r="J60" s="189">
        <v>68732994.489999995</v>
      </c>
      <c r="K60" s="189">
        <v>38954608</v>
      </c>
      <c r="L60" s="189">
        <v>9488364.3699999992</v>
      </c>
      <c r="M60" s="189">
        <v>52375252</v>
      </c>
      <c r="N60" s="189">
        <v>25742615.969999999</v>
      </c>
      <c r="O60" s="189">
        <v>17858138</v>
      </c>
      <c r="P60" s="189">
        <v>10005393.98</v>
      </c>
      <c r="Q60" s="189">
        <v>87927017</v>
      </c>
      <c r="R60" s="189">
        <v>55692596.170000002</v>
      </c>
      <c r="S60" s="189">
        <v>15080107</v>
      </c>
      <c r="T60" s="189">
        <v>4338127.7699999996</v>
      </c>
      <c r="U60" s="189">
        <v>34064659</v>
      </c>
      <c r="V60" s="189">
        <v>29220988</v>
      </c>
      <c r="W60" s="189">
        <v>-3904189</v>
      </c>
      <c r="X60" s="189">
        <v>-2107261.15</v>
      </c>
      <c r="Y60" s="189">
        <v>12162190</v>
      </c>
      <c r="Z60" s="189">
        <v>5082111</v>
      </c>
      <c r="AA60" s="189">
        <v>-7190944</v>
      </c>
      <c r="AB60" s="189">
        <v>-3216451.93</v>
      </c>
      <c r="AC60" s="189">
        <v>21074466</v>
      </c>
      <c r="AD60" s="189">
        <v>5279799</v>
      </c>
      <c r="AE60" s="189">
        <v>990870</v>
      </c>
      <c r="AF60" s="189">
        <v>77579.62</v>
      </c>
      <c r="AG60" s="189">
        <v>36744580</v>
      </c>
      <c r="AH60" s="189">
        <v>29185047.82</v>
      </c>
      <c r="AI60" s="189">
        <v>15586141.51</v>
      </c>
      <c r="AJ60" s="189">
        <v>2375817.6</v>
      </c>
      <c r="AK60" s="189">
        <v>-52863248.640000001</v>
      </c>
      <c r="AL60" s="189">
        <v>-24193523.809999999</v>
      </c>
      <c r="AM60" s="189">
        <v>-24500937.539999999</v>
      </c>
      <c r="AN60" s="189">
        <v>-13537144.5</v>
      </c>
      <c r="AO60" s="189">
        <v>-22844429.800000001</v>
      </c>
      <c r="AP60" s="189">
        <v>-1707041.06</v>
      </c>
      <c r="AQ60" s="189">
        <v>2722368.56</v>
      </c>
      <c r="AR60" s="189">
        <v>682811.88</v>
      </c>
      <c r="AS60" s="189">
        <v>7476081.5300000003</v>
      </c>
      <c r="AT60" s="189">
        <v>5414312.04</v>
      </c>
      <c r="AU60" s="189">
        <v>4606952</v>
      </c>
      <c r="AV60" s="189">
        <v>919320.5</v>
      </c>
      <c r="AW60" s="189">
        <v>12458148.73</v>
      </c>
      <c r="AX60" s="189">
        <v>7184685.0199999996</v>
      </c>
      <c r="AY60" s="189">
        <v>4154613.14</v>
      </c>
      <c r="AZ60" s="189">
        <v>1146629.8999999999</v>
      </c>
      <c r="BA60" s="189">
        <v>1439632.26</v>
      </c>
      <c r="BB60" s="189">
        <v>669546.91</v>
      </c>
      <c r="BC60" s="189">
        <v>669546.91</v>
      </c>
      <c r="BD60" s="189">
        <v>669546.91</v>
      </c>
      <c r="BE60" s="189">
        <v>3808862.01</v>
      </c>
      <c r="BF60" s="189">
        <v>6442746.75</v>
      </c>
      <c r="BG60" s="189">
        <v>5292322</v>
      </c>
      <c r="BH60" s="189">
        <v>1956445.2</v>
      </c>
      <c r="BI60" s="189">
        <v>8751668.4900000002</v>
      </c>
      <c r="BJ60" s="189">
        <v>4110626.94</v>
      </c>
      <c r="BK60" s="189">
        <v>2995672.21</v>
      </c>
      <c r="BL60" s="189">
        <v>1364663.4</v>
      </c>
      <c r="BM60" s="189">
        <v>3305331.96</v>
      </c>
      <c r="BN60" s="189">
        <v>3819334.1</v>
      </c>
      <c r="BO60" s="189">
        <v>2578936.37</v>
      </c>
      <c r="BP60" s="189">
        <v>1400906.57</v>
      </c>
      <c r="BQ60" s="189">
        <v>360366.22</v>
      </c>
      <c r="BR60" s="189">
        <v>2877007.83</v>
      </c>
      <c r="BS60" s="189">
        <v>5133887.08</v>
      </c>
      <c r="BT60" s="189">
        <v>2567251.69</v>
      </c>
      <c r="BU60" s="189">
        <v>2445132.77</v>
      </c>
      <c r="BV60" s="189">
        <v>1138158.5900000001</v>
      </c>
      <c r="BW60" s="189">
        <v>2852020.22</v>
      </c>
      <c r="BX60" s="189">
        <v>1534449.21</v>
      </c>
      <c r="BY60" s="189">
        <v>5036381.9000000004</v>
      </c>
      <c r="BZ60" s="189">
        <v>1991315.25</v>
      </c>
      <c r="CA60" s="189">
        <v>1715563.78</v>
      </c>
      <c r="CB60" s="189">
        <v>820000</v>
      </c>
      <c r="CC60" s="189">
        <v>2946403.43</v>
      </c>
      <c r="CD60" s="189">
        <v>1390000</v>
      </c>
      <c r="CE60" s="189">
        <v>3096330.46</v>
      </c>
      <c r="CF60" s="189">
        <v>2268627.9700000002</v>
      </c>
      <c r="CG60" s="189">
        <v>0</v>
      </c>
      <c r="CH60" s="189">
        <v>0</v>
      </c>
      <c r="CI60" s="189">
        <v>0</v>
      </c>
      <c r="CJ60" s="189">
        <v>3630000</v>
      </c>
      <c r="CK60" s="189">
        <v>0</v>
      </c>
    </row>
    <row r="61" spans="1:89">
      <c r="A61" s="22" t="s">
        <v>94</v>
      </c>
      <c r="B61" s="189">
        <v>1355220064.8299999</v>
      </c>
      <c r="C61" s="189">
        <v>911522345.24000001</v>
      </c>
      <c r="D61" s="189">
        <v>441913056.69999999</v>
      </c>
      <c r="E61" s="189">
        <v>892487127.13999999</v>
      </c>
      <c r="F61" s="189">
        <v>889971195.62</v>
      </c>
      <c r="G61" s="189">
        <v>530331144.17000002</v>
      </c>
      <c r="H61" s="189">
        <v>263186560.91</v>
      </c>
      <c r="I61" s="189">
        <v>693072188.64999998</v>
      </c>
      <c r="J61" s="189">
        <v>446411011.54000002</v>
      </c>
      <c r="K61" s="189">
        <v>303651500</v>
      </c>
      <c r="L61" s="189">
        <v>100373893.63</v>
      </c>
      <c r="M61" s="189">
        <v>607948426</v>
      </c>
      <c r="N61" s="189">
        <v>359202324.00999999</v>
      </c>
      <c r="O61" s="189">
        <v>275717766</v>
      </c>
      <c r="P61" s="189">
        <v>135283035.81999999</v>
      </c>
      <c r="Q61" s="189">
        <v>774857641</v>
      </c>
      <c r="R61" s="189">
        <v>445895200.94</v>
      </c>
      <c r="S61" s="189">
        <v>148886341</v>
      </c>
      <c r="T61" s="189">
        <v>56715251.520000003</v>
      </c>
      <c r="U61" s="189">
        <v>319603052</v>
      </c>
      <c r="V61" s="189">
        <v>258834638</v>
      </c>
      <c r="W61" s="189">
        <v>51419959</v>
      </c>
      <c r="X61" s="189">
        <v>-5581915.2999999998</v>
      </c>
      <c r="Y61" s="189">
        <v>149723022</v>
      </c>
      <c r="Z61" s="189">
        <v>129541787</v>
      </c>
      <c r="AA61" s="189">
        <v>30930595</v>
      </c>
      <c r="AB61" s="189">
        <v>-16135049.5</v>
      </c>
      <c r="AC61" s="189">
        <v>278509598</v>
      </c>
      <c r="AD61" s="189">
        <v>105624443.2</v>
      </c>
      <c r="AE61" s="189">
        <v>68942759</v>
      </c>
      <c r="AF61" s="189">
        <v>11906015.699999999</v>
      </c>
      <c r="AG61" s="189">
        <v>177350042</v>
      </c>
      <c r="AH61" s="189">
        <v>142304113.22</v>
      </c>
      <c r="AI61" s="189">
        <v>77458205.920000002</v>
      </c>
      <c r="AJ61" s="189">
        <v>4227361.32</v>
      </c>
      <c r="AK61" s="189">
        <v>-362764228.44999999</v>
      </c>
      <c r="AL61" s="189">
        <v>-238111948.58000001</v>
      </c>
      <c r="AM61" s="189">
        <v>-217171786.34</v>
      </c>
      <c r="AN61" s="189">
        <v>-122644111.95999999</v>
      </c>
      <c r="AO61" s="189">
        <v>-93908293.109999999</v>
      </c>
      <c r="AP61" s="189">
        <v>28042965.460000001</v>
      </c>
      <c r="AQ61" s="189">
        <v>40120885.270000003</v>
      </c>
      <c r="AR61" s="189">
        <v>8782219.8900000006</v>
      </c>
      <c r="AS61" s="189">
        <v>92830157.200000003</v>
      </c>
      <c r="AT61" s="189">
        <v>72122783.909999996</v>
      </c>
      <c r="AU61" s="189">
        <v>49402992.530000001</v>
      </c>
      <c r="AV61" s="189">
        <v>17311908.850000001</v>
      </c>
      <c r="AW61" s="189">
        <v>107340603.84</v>
      </c>
      <c r="AX61" s="189">
        <v>80874065.519999996</v>
      </c>
      <c r="AY61" s="189">
        <v>47232317.609999999</v>
      </c>
      <c r="AZ61" s="189">
        <v>14891031.1</v>
      </c>
      <c r="BA61" s="189">
        <v>58123860.659999996</v>
      </c>
      <c r="BB61" s="189">
        <v>39453925.829999998</v>
      </c>
      <c r="BC61" s="189">
        <v>32238562.949999999</v>
      </c>
      <c r="BD61" s="189">
        <v>12224954.65</v>
      </c>
      <c r="BE61" s="189">
        <v>97201336.430000007</v>
      </c>
      <c r="BF61" s="189">
        <v>53839453.560000002</v>
      </c>
      <c r="BG61" s="189">
        <v>40330601.060000002</v>
      </c>
      <c r="BH61" s="189">
        <v>13042967.949999999</v>
      </c>
      <c r="BI61" s="189">
        <v>55178235.670000002</v>
      </c>
      <c r="BJ61" s="189">
        <v>31024803.010000002</v>
      </c>
      <c r="BK61" s="189">
        <v>23238332.449999999</v>
      </c>
      <c r="BL61" s="189">
        <v>12364940.42</v>
      </c>
      <c r="BM61" s="189">
        <v>-25699107.34</v>
      </c>
      <c r="BN61" s="189">
        <v>8451841.5700000003</v>
      </c>
      <c r="BO61" s="189">
        <v>17192908.960000001</v>
      </c>
      <c r="BP61" s="189">
        <v>9339376.9600000009</v>
      </c>
      <c r="BQ61" s="189">
        <v>17040662.23</v>
      </c>
      <c r="BR61" s="189">
        <v>19377472.239999998</v>
      </c>
      <c r="BS61" s="189">
        <v>37651894.420000002</v>
      </c>
      <c r="BT61" s="189">
        <v>17782836.350000001</v>
      </c>
      <c r="BU61" s="189">
        <v>24451327.670000002</v>
      </c>
      <c r="BV61" s="189">
        <v>11576480</v>
      </c>
      <c r="BW61" s="189">
        <v>31432621.370000001</v>
      </c>
      <c r="BX61" s="189">
        <v>17744803.789999999</v>
      </c>
      <c r="BY61" s="189">
        <v>51251231.68</v>
      </c>
      <c r="BZ61" s="189">
        <v>20509114.989999998</v>
      </c>
      <c r="CA61" s="189">
        <v>19316662.98</v>
      </c>
      <c r="CB61" s="189">
        <v>10290000</v>
      </c>
      <c r="CC61" s="189">
        <v>30156062.370000001</v>
      </c>
      <c r="CD61" s="189">
        <v>13890000</v>
      </c>
      <c r="CE61" s="189">
        <v>32222973.07</v>
      </c>
      <c r="CF61" s="189">
        <v>30030944.440000001</v>
      </c>
      <c r="CG61" s="189">
        <v>21272700</v>
      </c>
      <c r="CH61" s="189">
        <v>5769300</v>
      </c>
      <c r="CI61" s="189">
        <v>0</v>
      </c>
      <c r="CJ61" s="189">
        <v>71300000</v>
      </c>
      <c r="CK61" s="189">
        <v>0</v>
      </c>
    </row>
    <row r="62" spans="1:89">
      <c r="A62" s="22"/>
      <c r="B62" s="4"/>
      <c r="C62" s="4"/>
      <c r="D62" s="4"/>
      <c r="E62" s="156"/>
      <c r="F62" s="156"/>
      <c r="G62" s="156"/>
      <c r="H62" s="156"/>
      <c r="I62" s="156"/>
      <c r="J62" s="156"/>
      <c r="K62" s="156"/>
      <c r="L62" s="156"/>
      <c r="M62" s="156"/>
      <c r="N62" s="156"/>
      <c r="O62" s="156"/>
      <c r="P62" s="156"/>
      <c r="Q62" s="156"/>
      <c r="R62" s="156"/>
      <c r="S62" s="156"/>
      <c r="T62" s="156"/>
      <c r="U62" s="156"/>
      <c r="V62" s="156"/>
      <c r="W62" s="156"/>
      <c r="X62" s="156"/>
      <c r="Y62" s="156"/>
      <c r="Z62" s="156"/>
      <c r="AA62" s="156"/>
      <c r="AB62" s="156"/>
      <c r="AC62" s="156"/>
      <c r="AD62" s="156"/>
      <c r="AE62" s="156"/>
      <c r="AF62" s="156"/>
      <c r="AG62" s="156"/>
      <c r="AH62" s="156"/>
      <c r="AI62" s="156"/>
      <c r="AJ62" s="156"/>
      <c r="AK62" s="156"/>
      <c r="AL62" s="156"/>
      <c r="AM62" s="156"/>
      <c r="AN62" s="156"/>
      <c r="AO62" s="156"/>
      <c r="AP62" s="156"/>
      <c r="AQ62" s="156"/>
      <c r="AR62" s="156"/>
      <c r="AS62" s="156"/>
      <c r="AT62" s="156"/>
      <c r="AU62" s="156"/>
      <c r="AV62" s="156"/>
      <c r="AW62" s="156"/>
      <c r="AX62" s="156"/>
      <c r="AY62" s="156"/>
      <c r="AZ62" s="156"/>
      <c r="BA62" s="156"/>
      <c r="BB62" s="156"/>
      <c r="BC62" s="156"/>
      <c r="BD62" s="156"/>
      <c r="BE62" s="156"/>
      <c r="BF62" s="156"/>
      <c r="BG62" s="156"/>
      <c r="BH62" s="156"/>
      <c r="BI62" s="156"/>
      <c r="BJ62" s="156"/>
      <c r="BK62" s="156"/>
      <c r="BL62" s="156"/>
      <c r="BM62" s="156"/>
      <c r="BN62" s="156"/>
      <c r="BO62" s="156"/>
      <c r="BP62" s="156"/>
      <c r="BQ62" s="156"/>
      <c r="BR62" s="156"/>
      <c r="BS62" s="156"/>
      <c r="BT62" s="156"/>
      <c r="BU62" s="156"/>
      <c r="BV62" s="156"/>
      <c r="BW62" s="156"/>
      <c r="BX62" s="156"/>
      <c r="BY62" s="156"/>
      <c r="BZ62" s="156"/>
      <c r="CA62" s="156"/>
      <c r="CB62" s="156"/>
      <c r="CC62" s="156"/>
      <c r="CD62" s="156"/>
      <c r="CE62" s="156"/>
      <c r="CF62" s="156"/>
      <c r="CG62" s="156"/>
      <c r="CH62" s="156"/>
      <c r="CI62" s="156"/>
      <c r="CJ62" s="156"/>
      <c r="CK62" s="156"/>
    </row>
    <row r="65" spans="1:89">
      <c r="A65" s="22" t="s">
        <v>98</v>
      </c>
      <c r="B65" s="189">
        <v>118346207.56999999</v>
      </c>
      <c r="C65" s="189">
        <v>118939879.27</v>
      </c>
      <c r="D65" s="189">
        <v>-408050.72</v>
      </c>
      <c r="E65" s="189">
        <v>-37943077</v>
      </c>
      <c r="F65" s="189">
        <v>-3844618.37</v>
      </c>
      <c r="G65" s="189">
        <v>-2772610.98</v>
      </c>
      <c r="H65" s="189">
        <v>-1746050.1</v>
      </c>
      <c r="I65" s="189">
        <v>7663454.6699999999</v>
      </c>
      <c r="J65" s="189">
        <v>9373711.6600000001</v>
      </c>
      <c r="K65" s="189">
        <v>3762460</v>
      </c>
      <c r="L65" s="189">
        <v>794392.22</v>
      </c>
      <c r="M65" s="189">
        <v>-3239448</v>
      </c>
      <c r="N65" s="189">
        <v>-2899293.4</v>
      </c>
      <c r="O65" s="189">
        <v>-2005657</v>
      </c>
      <c r="P65" s="189">
        <v>-743748.4</v>
      </c>
      <c r="Q65" s="189">
        <v>-39020240</v>
      </c>
      <c r="R65" s="189">
        <v>26623256.210000001</v>
      </c>
      <c r="S65" s="189">
        <v>2211769</v>
      </c>
      <c r="T65" s="189">
        <v>507062.12</v>
      </c>
      <c r="U65" s="189">
        <v>6532889</v>
      </c>
      <c r="V65" s="189">
        <v>6204513</v>
      </c>
      <c r="W65" s="189">
        <v>1228245</v>
      </c>
      <c r="X65" s="189">
        <v>-2182383.89</v>
      </c>
      <c r="Y65" s="189">
        <v>-9114825</v>
      </c>
      <c r="Z65" s="189">
        <v>-4055554</v>
      </c>
      <c r="AA65" s="189">
        <v>-1201119</v>
      </c>
      <c r="AB65" s="189">
        <v>-2248296.36</v>
      </c>
      <c r="AC65" s="189">
        <v>-15589317</v>
      </c>
      <c r="AD65" s="189">
        <v>-4874316.8</v>
      </c>
      <c r="AE65" s="189">
        <v>-1643539</v>
      </c>
      <c r="AF65" s="189">
        <v>-811070.4</v>
      </c>
      <c r="AG65" s="189">
        <v>-1778301</v>
      </c>
      <c r="AH65" s="189">
        <v>0</v>
      </c>
      <c r="AI65" s="189">
        <v>0</v>
      </c>
      <c r="AJ65" s="189">
        <v>0</v>
      </c>
      <c r="AK65" s="189">
        <v>0</v>
      </c>
      <c r="AL65" s="189">
        <v>0</v>
      </c>
      <c r="AM65" s="189">
        <v>0</v>
      </c>
      <c r="AN65" s="189">
        <v>0</v>
      </c>
      <c r="AO65" s="189">
        <v>85619904.219999999</v>
      </c>
      <c r="AP65" s="189">
        <v>40190682</v>
      </c>
      <c r="AQ65" s="189">
        <v>39129482</v>
      </c>
      <c r="AR65" s="189">
        <v>0</v>
      </c>
      <c r="AS65" s="189">
        <v>-248245.33</v>
      </c>
      <c r="AT65" s="189">
        <v>0</v>
      </c>
      <c r="AU65" s="189">
        <v>0</v>
      </c>
      <c r="AV65" s="189">
        <v>0</v>
      </c>
      <c r="AW65" s="189">
        <v>341592.68</v>
      </c>
      <c r="AX65" s="189">
        <v>424202.8</v>
      </c>
      <c r="AY65" s="189">
        <v>424202.8</v>
      </c>
      <c r="AZ65" s="189">
        <v>0</v>
      </c>
      <c r="BA65" s="189">
        <v>-1642229.95</v>
      </c>
      <c r="BB65" s="189">
        <v>-270832.65000000002</v>
      </c>
      <c r="BC65" s="189">
        <v>-270832.65000000002</v>
      </c>
      <c r="BD65" s="189">
        <v>0</v>
      </c>
      <c r="BE65" s="189">
        <v>617403.02</v>
      </c>
      <c r="BF65" s="189">
        <v>275199.90000000002</v>
      </c>
      <c r="BG65" s="189">
        <v>275199.90000000002</v>
      </c>
      <c r="BH65" s="189">
        <v>0</v>
      </c>
      <c r="BI65" s="189">
        <v>-327261.12</v>
      </c>
      <c r="BJ65" s="189">
        <v>353439</v>
      </c>
      <c r="BK65" s="189">
        <v>0</v>
      </c>
      <c r="BL65" s="189">
        <v>0</v>
      </c>
      <c r="BM65" s="189">
        <v>415016.52</v>
      </c>
      <c r="BN65" s="189">
        <v>762544.88</v>
      </c>
      <c r="BO65" s="189">
        <v>272930.44</v>
      </c>
      <c r="BP65" s="189">
        <v>0</v>
      </c>
      <c r="BQ65" s="189">
        <v>394698.36</v>
      </c>
      <c r="BR65" s="189">
        <v>28670</v>
      </c>
      <c r="BS65" s="189">
        <v>1175980.52</v>
      </c>
      <c r="BT65" s="189">
        <v>667825.07999999996</v>
      </c>
      <c r="BU65" s="189">
        <v>2658165.7799999998</v>
      </c>
      <c r="BV65" s="189">
        <v>516126.06</v>
      </c>
      <c r="BW65" s="189">
        <v>2912419.14</v>
      </c>
      <c r="BX65" s="189">
        <v>1952939.06</v>
      </c>
      <c r="BY65" s="189">
        <v>836105.92</v>
      </c>
      <c r="BZ65" s="189">
        <v>423600.16</v>
      </c>
      <c r="CA65" s="189">
        <v>1726414.62</v>
      </c>
      <c r="CB65" s="189">
        <v>1830000</v>
      </c>
      <c r="CC65" s="189">
        <v>-57424.84</v>
      </c>
      <c r="CD65" s="189">
        <v>0</v>
      </c>
      <c r="CE65" s="189">
        <v>1693539.91</v>
      </c>
      <c r="CF65" s="189">
        <v>-88121.56</v>
      </c>
      <c r="CG65" s="189">
        <v>0</v>
      </c>
      <c r="CH65" s="189">
        <v>0</v>
      </c>
      <c r="CI65" s="189">
        <v>0</v>
      </c>
      <c r="CJ65" s="189">
        <v>0</v>
      </c>
      <c r="CK65" s="189">
        <v>0</v>
      </c>
    </row>
    <row r="66" spans="1:89">
      <c r="A66" s="22" t="s">
        <v>99</v>
      </c>
      <c r="B66" s="189">
        <v>-9849946.7200000007</v>
      </c>
      <c r="C66" s="189">
        <v>-9256275.0199999996</v>
      </c>
      <c r="D66" s="189">
        <v>-408050.72</v>
      </c>
      <c r="E66" s="189">
        <v>-37943077</v>
      </c>
      <c r="F66" s="189">
        <v>-3844618.37</v>
      </c>
      <c r="G66" s="189">
        <v>-2772610.98</v>
      </c>
      <c r="H66" s="189">
        <v>-1746050.1</v>
      </c>
      <c r="I66" s="189">
        <v>-4938097.84</v>
      </c>
      <c r="J66" s="189">
        <v>-3227840.85</v>
      </c>
      <c r="K66" s="189">
        <v>-1571239</v>
      </c>
      <c r="L66" s="189">
        <v>-420128.33</v>
      </c>
      <c r="M66" s="189">
        <v>-3239448</v>
      </c>
      <c r="N66" s="189">
        <v>-2899293.4</v>
      </c>
      <c r="O66" s="189">
        <v>0</v>
      </c>
      <c r="P66" s="189">
        <v>-743748.4</v>
      </c>
      <c r="Q66" s="189">
        <v>-92478262</v>
      </c>
      <c r="R66" s="189">
        <v>1293484.7</v>
      </c>
      <c r="S66" s="189">
        <v>2183865</v>
      </c>
      <c r="T66" s="189">
        <v>507062.12</v>
      </c>
      <c r="U66" s="189">
        <v>6502509</v>
      </c>
      <c r="V66" s="189">
        <v>6174133</v>
      </c>
      <c r="W66" s="189">
        <v>1197865</v>
      </c>
      <c r="X66" s="189">
        <v>-2182383.89</v>
      </c>
      <c r="Y66" s="189">
        <v>-9114825</v>
      </c>
      <c r="Z66" s="189">
        <v>-4055554</v>
      </c>
      <c r="AA66" s="189">
        <v>-1201119</v>
      </c>
      <c r="AB66" s="189">
        <v>-2248296.36</v>
      </c>
      <c r="AC66" s="189">
        <v>-15589317</v>
      </c>
      <c r="AD66" s="189">
        <v>-4874316.8</v>
      </c>
      <c r="AE66" s="189">
        <v>0</v>
      </c>
      <c r="AF66" s="189">
        <v>-811070.4</v>
      </c>
      <c r="AG66" s="189">
        <v>0</v>
      </c>
      <c r="AH66" s="189">
        <v>0</v>
      </c>
      <c r="AI66" s="189">
        <v>0</v>
      </c>
      <c r="AJ66" s="189">
        <v>0</v>
      </c>
      <c r="AK66" s="189">
        <v>0</v>
      </c>
      <c r="AL66" s="189">
        <v>0</v>
      </c>
      <c r="AM66" s="189">
        <v>0</v>
      </c>
      <c r="AN66" s="189">
        <v>0</v>
      </c>
      <c r="AO66" s="189">
        <v>-416989.71</v>
      </c>
      <c r="AP66" s="189">
        <v>0</v>
      </c>
      <c r="AQ66" s="189">
        <v>0</v>
      </c>
      <c r="AR66" s="189">
        <v>0</v>
      </c>
      <c r="AS66" s="189">
        <v>-884549.53</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c r="BW66" s="189">
        <v>0</v>
      </c>
      <c r="BX66" s="189">
        <v>0</v>
      </c>
      <c r="BY66" s="189">
        <v>0</v>
      </c>
      <c r="BZ66" s="189">
        <v>0</v>
      </c>
      <c r="CA66" s="189">
        <v>0</v>
      </c>
      <c r="CB66" s="189">
        <v>0</v>
      </c>
      <c r="CC66" s="189">
        <v>0</v>
      </c>
      <c r="CD66" s="189">
        <v>0</v>
      </c>
      <c r="CE66" s="189">
        <v>0</v>
      </c>
      <c r="CF66" s="189">
        <v>0</v>
      </c>
      <c r="CG66" s="189">
        <v>0</v>
      </c>
      <c r="CH66" s="189">
        <v>0</v>
      </c>
      <c r="CI66" s="189">
        <v>0</v>
      </c>
      <c r="CJ66" s="189">
        <v>0</v>
      </c>
      <c r="CK66" s="189">
        <v>0</v>
      </c>
    </row>
    <row r="67" spans="1:89">
      <c r="A67" s="22" t="s">
        <v>100</v>
      </c>
      <c r="B67" s="4">
        <f>B65-B66</f>
        <v>128196154.28999999</v>
      </c>
      <c r="C67" s="4">
        <f t="shared" ref="C67:BN67" si="67">C65-C66</f>
        <v>128196154.28999999</v>
      </c>
      <c r="D67" s="4">
        <f t="shared" si="67"/>
        <v>0</v>
      </c>
      <c r="E67" s="4">
        <f t="shared" si="67"/>
        <v>0</v>
      </c>
      <c r="F67" s="4">
        <f t="shared" si="67"/>
        <v>0</v>
      </c>
      <c r="G67" s="4">
        <f t="shared" si="67"/>
        <v>0</v>
      </c>
      <c r="H67" s="4">
        <f t="shared" si="67"/>
        <v>0</v>
      </c>
      <c r="I67" s="4">
        <f t="shared" si="67"/>
        <v>12601552.51</v>
      </c>
      <c r="J67" s="4">
        <f t="shared" si="67"/>
        <v>12601552.51</v>
      </c>
      <c r="K67" s="4">
        <f t="shared" si="67"/>
        <v>5333699</v>
      </c>
      <c r="L67" s="4">
        <f t="shared" si="67"/>
        <v>1214520.55</v>
      </c>
      <c r="M67" s="4">
        <f t="shared" si="67"/>
        <v>0</v>
      </c>
      <c r="N67" s="4">
        <f t="shared" si="67"/>
        <v>0</v>
      </c>
      <c r="O67" s="4">
        <f t="shared" si="67"/>
        <v>-2005657</v>
      </c>
      <c r="P67" s="4">
        <f t="shared" si="67"/>
        <v>0</v>
      </c>
      <c r="Q67" s="4">
        <f t="shared" si="67"/>
        <v>53458022</v>
      </c>
      <c r="R67" s="4">
        <f t="shared" si="67"/>
        <v>25329771.510000002</v>
      </c>
      <c r="S67" s="4">
        <f t="shared" si="67"/>
        <v>27904</v>
      </c>
      <c r="T67" s="4">
        <f t="shared" si="67"/>
        <v>0</v>
      </c>
      <c r="U67" s="4">
        <f t="shared" si="67"/>
        <v>30380</v>
      </c>
      <c r="V67" s="4">
        <f t="shared" si="67"/>
        <v>30380</v>
      </c>
      <c r="W67" s="4">
        <f t="shared" si="67"/>
        <v>30380</v>
      </c>
      <c r="X67" s="4">
        <f t="shared" si="67"/>
        <v>0</v>
      </c>
      <c r="Y67" s="4">
        <f t="shared" si="67"/>
        <v>0</v>
      </c>
      <c r="Z67" s="4">
        <f t="shared" si="67"/>
        <v>0</v>
      </c>
      <c r="AA67" s="4">
        <f t="shared" si="67"/>
        <v>0</v>
      </c>
      <c r="AB67" s="4">
        <f t="shared" si="67"/>
        <v>0</v>
      </c>
      <c r="AC67" s="4">
        <f t="shared" si="67"/>
        <v>0</v>
      </c>
      <c r="AD67" s="4">
        <f t="shared" si="67"/>
        <v>0</v>
      </c>
      <c r="AE67" s="4">
        <f t="shared" si="67"/>
        <v>-1643539</v>
      </c>
      <c r="AF67" s="4">
        <f t="shared" si="67"/>
        <v>0</v>
      </c>
      <c r="AG67" s="4">
        <f t="shared" si="67"/>
        <v>-1778301</v>
      </c>
      <c r="AH67" s="4">
        <f t="shared" si="67"/>
        <v>0</v>
      </c>
      <c r="AI67" s="4">
        <f t="shared" si="67"/>
        <v>0</v>
      </c>
      <c r="AJ67" s="4">
        <f t="shared" si="67"/>
        <v>0</v>
      </c>
      <c r="AK67" s="4">
        <f t="shared" si="67"/>
        <v>0</v>
      </c>
      <c r="AL67" s="4">
        <f t="shared" si="67"/>
        <v>0</v>
      </c>
      <c r="AM67" s="4">
        <f t="shared" si="67"/>
        <v>0</v>
      </c>
      <c r="AN67" s="4">
        <f t="shared" si="67"/>
        <v>0</v>
      </c>
      <c r="AO67" s="4">
        <f t="shared" si="67"/>
        <v>86036893.929999992</v>
      </c>
      <c r="AP67" s="4">
        <f t="shared" si="67"/>
        <v>40190682</v>
      </c>
      <c r="AQ67" s="4">
        <f t="shared" si="67"/>
        <v>39129482</v>
      </c>
      <c r="AR67" s="4">
        <f t="shared" si="67"/>
        <v>0</v>
      </c>
      <c r="AS67" s="4">
        <f t="shared" si="67"/>
        <v>636304.20000000007</v>
      </c>
      <c r="AT67" s="4">
        <f t="shared" si="67"/>
        <v>0</v>
      </c>
      <c r="AU67" s="4">
        <f t="shared" si="67"/>
        <v>0</v>
      </c>
      <c r="AV67" s="4">
        <f t="shared" si="67"/>
        <v>0</v>
      </c>
      <c r="AW67" s="4">
        <f t="shared" si="67"/>
        <v>341592.68</v>
      </c>
      <c r="AX67" s="4">
        <f t="shared" si="67"/>
        <v>424202.8</v>
      </c>
      <c r="AY67" s="4">
        <f t="shared" si="67"/>
        <v>424202.8</v>
      </c>
      <c r="AZ67" s="4">
        <f t="shared" si="67"/>
        <v>0</v>
      </c>
      <c r="BA67" s="4">
        <f t="shared" si="67"/>
        <v>-1642229.95</v>
      </c>
      <c r="BB67" s="4">
        <f t="shared" si="67"/>
        <v>-270832.65000000002</v>
      </c>
      <c r="BC67" s="4">
        <f t="shared" si="67"/>
        <v>-270832.65000000002</v>
      </c>
      <c r="BD67" s="4">
        <f t="shared" si="67"/>
        <v>0</v>
      </c>
      <c r="BE67" s="4">
        <f t="shared" si="67"/>
        <v>617403.02</v>
      </c>
      <c r="BF67" s="4">
        <f t="shared" si="67"/>
        <v>275199.90000000002</v>
      </c>
      <c r="BG67" s="4">
        <f t="shared" si="67"/>
        <v>275199.90000000002</v>
      </c>
      <c r="BH67" s="4">
        <f t="shared" si="67"/>
        <v>0</v>
      </c>
      <c r="BI67" s="4">
        <f t="shared" si="67"/>
        <v>-327261.12</v>
      </c>
      <c r="BJ67" s="4">
        <f t="shared" si="67"/>
        <v>353439</v>
      </c>
      <c r="BK67" s="4">
        <f t="shared" si="67"/>
        <v>0</v>
      </c>
      <c r="BL67" s="4">
        <f t="shared" si="67"/>
        <v>0</v>
      </c>
      <c r="BM67" s="4">
        <f t="shared" si="67"/>
        <v>415016.52</v>
      </c>
      <c r="BN67" s="4">
        <f t="shared" si="67"/>
        <v>762544.88</v>
      </c>
      <c r="BO67" s="4">
        <f t="shared" ref="BO67:CJ67" si="68">BO65-BO66</f>
        <v>272930.44</v>
      </c>
      <c r="BP67" s="4">
        <f t="shared" si="68"/>
        <v>0</v>
      </c>
      <c r="BQ67" s="4">
        <f t="shared" si="68"/>
        <v>394698.36</v>
      </c>
      <c r="BR67" s="4">
        <f t="shared" si="68"/>
        <v>28670</v>
      </c>
      <c r="BS67" s="4">
        <f t="shared" si="68"/>
        <v>1175980.52</v>
      </c>
      <c r="BT67" s="4">
        <f t="shared" si="68"/>
        <v>667825.07999999996</v>
      </c>
      <c r="BU67" s="4">
        <f t="shared" si="68"/>
        <v>2658165.7799999998</v>
      </c>
      <c r="BV67" s="4">
        <f t="shared" si="68"/>
        <v>516126.06</v>
      </c>
      <c r="BW67" s="4">
        <f t="shared" si="68"/>
        <v>2912419.14</v>
      </c>
      <c r="BX67" s="4">
        <f t="shared" si="68"/>
        <v>1952939.06</v>
      </c>
      <c r="BY67" s="4">
        <f t="shared" si="68"/>
        <v>836105.92</v>
      </c>
      <c r="BZ67" s="4">
        <f t="shared" si="68"/>
        <v>423600.16</v>
      </c>
      <c r="CA67" s="4">
        <f t="shared" si="68"/>
        <v>1726414.62</v>
      </c>
      <c r="CB67" s="4">
        <f t="shared" si="68"/>
        <v>1830000</v>
      </c>
      <c r="CC67" s="4">
        <f t="shared" si="68"/>
        <v>-57424.84</v>
      </c>
      <c r="CD67" s="4">
        <f t="shared" si="68"/>
        <v>0</v>
      </c>
      <c r="CE67" s="4">
        <f t="shared" si="68"/>
        <v>1693539.91</v>
      </c>
      <c r="CF67" s="4">
        <f t="shared" si="68"/>
        <v>-88121.56</v>
      </c>
      <c r="CG67" s="4">
        <f t="shared" si="68"/>
        <v>0</v>
      </c>
      <c r="CH67" s="4">
        <f t="shared" si="68"/>
        <v>0</v>
      </c>
      <c r="CI67" s="4">
        <f t="shared" si="68"/>
        <v>0</v>
      </c>
      <c r="CJ67" s="4">
        <f t="shared" si="68"/>
        <v>0</v>
      </c>
      <c r="CK67" s="4"/>
    </row>
    <row r="68" spans="1:89">
      <c r="A68" s="22" t="s">
        <v>101</v>
      </c>
      <c r="B68" s="189">
        <v>555995737.92999995</v>
      </c>
      <c r="C68" s="189">
        <v>389560999.24000001</v>
      </c>
      <c r="D68" s="189">
        <v>241066609.06</v>
      </c>
      <c r="E68" s="189">
        <v>227153874.58000001</v>
      </c>
      <c r="F68" s="189">
        <v>172324133.75999999</v>
      </c>
      <c r="G68" s="189">
        <v>109798309.25</v>
      </c>
      <c r="H68" s="189">
        <v>66896224.259999998</v>
      </c>
      <c r="I68" s="189">
        <v>-137444263.69999999</v>
      </c>
      <c r="J68" s="189">
        <v>15234.62</v>
      </c>
      <c r="K68" s="189">
        <v>4602562</v>
      </c>
      <c r="L68" s="189">
        <v>43437175.240000002</v>
      </c>
      <c r="M68" s="189">
        <v>-1951194</v>
      </c>
      <c r="N68" s="189">
        <v>30241241.859999999</v>
      </c>
      <c r="O68" s="189">
        <v>45013351</v>
      </c>
      <c r="P68" s="189">
        <v>33005294.68</v>
      </c>
      <c r="Q68" s="189">
        <v>186676158</v>
      </c>
      <c r="R68" s="189">
        <v>138839839.90000001</v>
      </c>
      <c r="S68" s="189">
        <v>52731523</v>
      </c>
      <c r="T68" s="189">
        <v>27215200.399999999</v>
      </c>
      <c r="U68" s="189">
        <v>136547720</v>
      </c>
      <c r="V68" s="189">
        <v>111060103</v>
      </c>
      <c r="W68" s="189">
        <v>75491152</v>
      </c>
      <c r="X68" s="189">
        <v>38518424.329999998</v>
      </c>
      <c r="Y68" s="189">
        <v>171782192</v>
      </c>
      <c r="Z68" s="189">
        <v>129291090</v>
      </c>
      <c r="AA68" s="189">
        <v>84829496</v>
      </c>
      <c r="AB68" s="189">
        <v>42969523.539999999</v>
      </c>
      <c r="AC68" s="189">
        <v>124841335</v>
      </c>
      <c r="AD68" s="189">
        <v>135362539.15000001</v>
      </c>
      <c r="AE68" s="189">
        <v>58113723</v>
      </c>
      <c r="AF68" s="189">
        <v>42786124.060000002</v>
      </c>
      <c r="AG68" s="189">
        <v>116471923</v>
      </c>
      <c r="AH68" s="189">
        <v>87960978.480000004</v>
      </c>
      <c r="AI68" s="189">
        <v>59546816.159999996</v>
      </c>
      <c r="AJ68" s="189">
        <v>27110473.57</v>
      </c>
      <c r="AK68" s="189">
        <v>134334606.22</v>
      </c>
      <c r="AL68" s="189">
        <v>102214555.09999999</v>
      </c>
      <c r="AM68" s="189">
        <v>70743684.450000003</v>
      </c>
      <c r="AN68" s="189">
        <v>34937236.770000003</v>
      </c>
      <c r="AO68" s="189">
        <v>54620082.509999998</v>
      </c>
      <c r="AP68" s="189">
        <v>3455086.02</v>
      </c>
      <c r="AQ68" s="189">
        <v>2648053.86</v>
      </c>
      <c r="AR68" s="189">
        <v>2367479.4500000002</v>
      </c>
      <c r="AS68" s="189">
        <v>16144523.699999999</v>
      </c>
      <c r="AT68" s="189">
        <v>14747082.939999999</v>
      </c>
      <c r="AU68" s="189">
        <v>10155736.380000001</v>
      </c>
      <c r="AV68" s="189">
        <v>4602707.42</v>
      </c>
      <c r="AW68" s="189">
        <v>36214863.200000003</v>
      </c>
      <c r="AX68" s="189">
        <v>23678737.280000001</v>
      </c>
      <c r="AY68" s="189">
        <v>12185389.880000001</v>
      </c>
      <c r="AZ68" s="189">
        <v>5843404.54</v>
      </c>
      <c r="BA68" s="189">
        <v>22111876.359999999</v>
      </c>
      <c r="BB68" s="189">
        <v>18041563.52</v>
      </c>
      <c r="BC68" s="189">
        <v>13189011.58</v>
      </c>
      <c r="BD68" s="189">
        <v>6509516.2300000004</v>
      </c>
      <c r="BE68" s="189">
        <v>21125482.620000001</v>
      </c>
      <c r="BF68" s="189">
        <v>13873897.880000001</v>
      </c>
      <c r="BG68" s="189">
        <v>9272739.7200000007</v>
      </c>
      <c r="BH68" s="189">
        <v>5254974.34</v>
      </c>
      <c r="BI68" s="189">
        <v>18360468.960000001</v>
      </c>
      <c r="BJ68" s="189">
        <v>12628456.039999999</v>
      </c>
      <c r="BK68" s="189">
        <v>8542461.6099999994</v>
      </c>
      <c r="BL68" s="189">
        <v>4439179.18</v>
      </c>
      <c r="BM68" s="189">
        <v>12384001.289999999</v>
      </c>
      <c r="BN68" s="189">
        <v>7942957.5700000003</v>
      </c>
      <c r="BO68" s="189">
        <v>3194301.26</v>
      </c>
      <c r="BP68" s="189">
        <v>858456.31</v>
      </c>
      <c r="BQ68" s="189">
        <v>4622677.68</v>
      </c>
      <c r="BR68" s="189">
        <v>5165758.59</v>
      </c>
      <c r="BS68" s="189">
        <v>5841182.0499999998</v>
      </c>
      <c r="BT68" s="189">
        <v>3442934.55</v>
      </c>
      <c r="BU68" s="189">
        <v>4581835.4000000004</v>
      </c>
      <c r="BV68" s="189">
        <v>870590.37</v>
      </c>
      <c r="BW68" s="189">
        <v>1647157.55</v>
      </c>
      <c r="BX68" s="189">
        <v>656091.86</v>
      </c>
      <c r="BY68" s="189">
        <v>946849.48</v>
      </c>
      <c r="BZ68" s="189">
        <v>0</v>
      </c>
      <c r="CA68" s="189">
        <v>-537172.29</v>
      </c>
      <c r="CB68" s="189">
        <v>0</v>
      </c>
      <c r="CC68" s="189">
        <v>7917769.5499999998</v>
      </c>
      <c r="CD68" s="189">
        <v>0</v>
      </c>
      <c r="CE68" s="189">
        <v>5890138.6100000003</v>
      </c>
      <c r="CF68" s="189">
        <v>4637578.3099999996</v>
      </c>
      <c r="CG68" s="189">
        <v>0</v>
      </c>
      <c r="CH68" s="189">
        <v>0</v>
      </c>
      <c r="CI68" s="189">
        <v>0</v>
      </c>
      <c r="CJ68" s="189">
        <v>0</v>
      </c>
      <c r="CK68" s="189">
        <v>0</v>
      </c>
    </row>
    <row r="69" spans="1:89">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c r="A70" s="22" t="s">
        <v>103</v>
      </c>
      <c r="B70" s="189">
        <v>26289455523.299999</v>
      </c>
      <c r="C70" s="189">
        <v>25841808868.959999</v>
      </c>
      <c r="D70" s="189">
        <v>25457662882.849998</v>
      </c>
      <c r="E70" s="189">
        <v>14474797146.66</v>
      </c>
      <c r="F70" s="189">
        <v>14427626551.780001</v>
      </c>
      <c r="G70" s="189">
        <v>14215836962.65</v>
      </c>
      <c r="H70" s="189">
        <v>13999600306.860001</v>
      </c>
      <c r="I70" s="189">
        <v>13758959516.58</v>
      </c>
      <c r="J70" s="189">
        <v>13609491082.25</v>
      </c>
      <c r="K70" s="189">
        <v>13499738900</v>
      </c>
      <c r="L70" s="189">
        <v>13365206342.23</v>
      </c>
      <c r="M70" s="189">
        <v>13248334175</v>
      </c>
      <c r="N70" s="189">
        <v>8795277089.8500004</v>
      </c>
      <c r="O70" s="189">
        <v>8696534977</v>
      </c>
      <c r="P70" s="189">
        <v>8685175474.3600006</v>
      </c>
      <c r="Q70" s="189">
        <v>8561115637</v>
      </c>
      <c r="R70" s="189">
        <v>8330941578.9399996</v>
      </c>
      <c r="S70" s="189">
        <v>3357043230</v>
      </c>
      <c r="T70" s="189">
        <v>3336966169.8000002</v>
      </c>
      <c r="U70" s="189">
        <v>3285724462</v>
      </c>
      <c r="V70" s="189">
        <v>3223235918</v>
      </c>
      <c r="W70" s="189">
        <v>3047188699</v>
      </c>
      <c r="X70" s="189">
        <v>3049681908.48</v>
      </c>
      <c r="Y70" s="189">
        <v>3056111991</v>
      </c>
      <c r="Z70" s="189">
        <v>3041292788</v>
      </c>
      <c r="AA70" s="189">
        <v>2956330356</v>
      </c>
      <c r="AB70" s="189">
        <v>2907605033.3699999</v>
      </c>
      <c r="AC70" s="189">
        <v>2918909893</v>
      </c>
      <c r="AD70" s="189">
        <v>2757882786.4899998</v>
      </c>
      <c r="AE70" s="189">
        <v>2726685023</v>
      </c>
      <c r="AF70" s="189">
        <v>2670701532.73</v>
      </c>
      <c r="AG70" s="189">
        <v>2490679730</v>
      </c>
      <c r="AH70" s="189">
        <v>2492785296.1399999</v>
      </c>
      <c r="AI70" s="189">
        <v>2431357198.0300002</v>
      </c>
      <c r="AJ70" s="189">
        <v>2362412402.6399999</v>
      </c>
      <c r="AK70" s="189">
        <v>2098684259.73</v>
      </c>
      <c r="AL70" s="189">
        <v>1942681081.4400001</v>
      </c>
      <c r="AM70" s="189">
        <v>1963386770.9300001</v>
      </c>
      <c r="AN70" s="189">
        <v>2046200520.25</v>
      </c>
      <c r="AO70" s="189">
        <v>1996614635.9000001</v>
      </c>
      <c r="AP70" s="189">
        <v>2151391543.1900001</v>
      </c>
      <c r="AQ70" s="189">
        <v>2169761957.6199999</v>
      </c>
      <c r="AR70" s="189">
        <v>2250561483.1199999</v>
      </c>
      <c r="AS70" s="189">
        <v>2276579743.8099999</v>
      </c>
      <c r="AT70" s="189">
        <v>2144962870.1199999</v>
      </c>
      <c r="AU70" s="189">
        <v>1430978725.26</v>
      </c>
      <c r="AV70" s="189">
        <v>1316443476.3499999</v>
      </c>
      <c r="AW70" s="189">
        <v>867674686.85000002</v>
      </c>
      <c r="AX70" s="189">
        <v>849908620.89999998</v>
      </c>
      <c r="AY70" s="189">
        <v>819331428.62</v>
      </c>
      <c r="AZ70" s="189">
        <v>802085187.59000003</v>
      </c>
      <c r="BA70" s="189">
        <v>788340786.38999999</v>
      </c>
      <c r="BB70" s="189">
        <v>765586275.99000001</v>
      </c>
      <c r="BC70" s="189">
        <v>758370913.11000001</v>
      </c>
      <c r="BD70" s="189">
        <v>764911304.80999994</v>
      </c>
      <c r="BE70" s="189">
        <v>753355897.07000005</v>
      </c>
      <c r="BF70" s="189">
        <v>752692616.97000003</v>
      </c>
      <c r="BG70" s="189">
        <v>740334189.22000003</v>
      </c>
      <c r="BH70" s="189">
        <v>716382432.90999997</v>
      </c>
      <c r="BI70" s="189">
        <v>705295910.15999997</v>
      </c>
      <c r="BJ70" s="189">
        <v>681194132.05999994</v>
      </c>
      <c r="BK70" s="189">
        <v>674522616.23000002</v>
      </c>
      <c r="BL70" s="189">
        <v>665280233.00999999</v>
      </c>
      <c r="BM70" s="189">
        <v>660171911.80999994</v>
      </c>
      <c r="BN70" s="189">
        <v>703491272.98000002</v>
      </c>
      <c r="BO70" s="189">
        <v>713472738.10000002</v>
      </c>
      <c r="BP70" s="189">
        <v>729878853.14999998</v>
      </c>
      <c r="BQ70" s="189">
        <v>689134001.11000001</v>
      </c>
      <c r="BR70" s="189">
        <v>715294038.50999999</v>
      </c>
      <c r="BS70" s="189">
        <v>341654534.76999998</v>
      </c>
      <c r="BT70" s="189">
        <v>351374024.41000003</v>
      </c>
      <c r="BU70" s="189">
        <v>336158439.75</v>
      </c>
      <c r="BV70" s="189">
        <v>343274029.47000003</v>
      </c>
      <c r="BW70" s="189">
        <v>332967708.02999997</v>
      </c>
      <c r="BX70" s="189">
        <v>342688761.45999998</v>
      </c>
      <c r="BY70" s="189">
        <v>194442215.94999999</v>
      </c>
      <c r="BZ70" s="189">
        <v>185016165.91</v>
      </c>
      <c r="CA70" s="189">
        <v>166498366.16999999</v>
      </c>
      <c r="CB70" s="189">
        <v>165010000</v>
      </c>
      <c r="CC70" s="189">
        <v>147991266.97</v>
      </c>
      <c r="CD70" s="189">
        <v>182020000</v>
      </c>
      <c r="CE70" s="189">
        <v>122089059.12</v>
      </c>
      <c r="CF70" s="189">
        <v>116444849.68000001</v>
      </c>
      <c r="CG70" s="189">
        <v>0</v>
      </c>
      <c r="CH70" s="189">
        <v>0</v>
      </c>
      <c r="CI70" s="189">
        <v>0</v>
      </c>
      <c r="CJ70" s="189">
        <v>0</v>
      </c>
      <c r="CK70" s="189">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投资和筹资活动现金流表"/>
  <dimension ref="A1:BV51"/>
  <sheetViews>
    <sheetView topLeftCell="A40" zoomScale="95" zoomScaleNormal="95" workbookViewId="0">
      <selection activeCell="A51" sqref="A51:AK51"/>
    </sheetView>
  </sheetViews>
  <sheetFormatPr defaultRowHeight="13.5"/>
  <cols>
    <col min="1" max="1" width="74.625" style="17" bestFit="1" customWidth="1"/>
    <col min="2" max="2" width="22" hidden="1" customWidth="1"/>
    <col min="3" max="4" width="20.5" hidden="1" customWidth="1"/>
    <col min="5" max="5" width="22" bestFit="1" customWidth="1"/>
    <col min="6" max="8" width="20.5" hidden="1" customWidth="1"/>
    <col min="9" max="9" width="22" bestFit="1" customWidth="1"/>
    <col min="10" max="12" width="20.5" hidden="1" customWidth="1"/>
    <col min="13" max="13" width="22" bestFit="1" customWidth="1"/>
    <col min="14" max="16" width="20.5" hidden="1" customWidth="1"/>
    <col min="17" max="17" width="22" bestFit="1" customWidth="1"/>
    <col min="18" max="18" width="20.5" hidden="1" customWidth="1"/>
    <col min="19" max="20" width="19.375" hidden="1" customWidth="1"/>
    <col min="21" max="21" width="22" bestFit="1" customWidth="1"/>
    <col min="22" max="24" width="19.375" hidden="1" customWidth="1"/>
    <col min="25" max="25" width="22" bestFit="1" customWidth="1"/>
    <col min="26" max="28" width="19.375" hidden="1" customWidth="1"/>
    <col min="29" max="29" width="19.375" bestFit="1" customWidth="1"/>
    <col min="30" max="32" width="19.375" hidden="1" customWidth="1"/>
    <col min="33" max="33" width="19.375" bestFit="1" customWidth="1"/>
    <col min="34" max="36" width="19.375" hidden="1" customWidth="1"/>
    <col min="37" max="37" width="19.375" bestFit="1" customWidth="1"/>
    <col min="38" max="40" width="19.375" hidden="1" customWidth="1"/>
    <col min="41" max="41" width="19.375" bestFit="1" customWidth="1"/>
    <col min="42" max="44" width="19.375" hidden="1" customWidth="1"/>
    <col min="45" max="45" width="19.375" bestFit="1" customWidth="1"/>
    <col min="46" max="48" width="19.375" hidden="1" customWidth="1"/>
    <col min="49" max="49" width="17.25" bestFit="1" customWidth="1"/>
    <col min="50" max="52" width="17.25" hidden="1" customWidth="1"/>
    <col min="53" max="53" width="18.375" bestFit="1" customWidth="1"/>
    <col min="54" max="56" width="17.25" hidden="1" customWidth="1"/>
    <col min="57" max="57" width="17.25" bestFit="1" customWidth="1"/>
    <col min="58" max="60" width="17.25" hidden="1" customWidth="1"/>
    <col min="61" max="61" width="17.25" bestFit="1" customWidth="1"/>
    <col min="62" max="64" width="17.25" hidden="1" customWidth="1"/>
    <col min="65" max="65" width="19.375" bestFit="1" customWidth="1"/>
    <col min="66" max="66" width="19.375" hidden="1" customWidth="1"/>
    <col min="67" max="67" width="17.25" bestFit="1" customWidth="1"/>
    <col min="68" max="68" width="17.25" hidden="1" customWidth="1"/>
    <col min="69" max="69" width="19.375" bestFit="1" customWidth="1"/>
    <col min="70" max="70" width="19.375" hidden="1" customWidth="1"/>
    <col min="71" max="71" width="19.375" bestFit="1" customWidth="1"/>
    <col min="72" max="72" width="17.25" bestFit="1" customWidth="1"/>
    <col min="73" max="74" width="16.125" hidden="1" customWidth="1"/>
  </cols>
  <sheetData>
    <row r="1" spans="1:74" s="6" customFormat="1" ht="14.45">
      <c r="A1" s="104">
        <v>50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25569</v>
      </c>
      <c r="BV1" s="1">
        <v>25569</v>
      </c>
    </row>
    <row r="2" spans="1:74" s="45" customFormat="1">
      <c r="A2" s="46" t="s">
        <v>292</v>
      </c>
    </row>
    <row r="3" spans="1:74" s="192" customFormat="1">
      <c r="A3" s="192" t="s">
        <v>320</v>
      </c>
      <c r="B3" s="189">
        <v>3589745.66</v>
      </c>
      <c r="C3" s="189">
        <v>461137.42</v>
      </c>
      <c r="D3" s="189">
        <v>276212.95</v>
      </c>
      <c r="E3" s="189">
        <v>756546.97</v>
      </c>
      <c r="F3" s="189">
        <v>756546.97</v>
      </c>
      <c r="G3" s="189">
        <v>558156.6</v>
      </c>
      <c r="H3" s="189">
        <v>6996.1</v>
      </c>
      <c r="I3" s="189">
        <v>2686347.5</v>
      </c>
      <c r="J3" s="189">
        <v>2310707.23</v>
      </c>
      <c r="K3" s="189">
        <v>335219</v>
      </c>
      <c r="L3" s="189">
        <v>218786.6</v>
      </c>
      <c r="M3" s="189">
        <v>1596749</v>
      </c>
      <c r="N3" s="189">
        <v>827389.09</v>
      </c>
      <c r="O3" s="189">
        <v>625137</v>
      </c>
      <c r="P3" s="189">
        <v>22747.64</v>
      </c>
      <c r="Q3" s="189">
        <v>78753695</v>
      </c>
      <c r="R3" s="189">
        <v>5531734</v>
      </c>
      <c r="S3" s="189">
        <v>3816500</v>
      </c>
      <c r="T3" s="189">
        <v>2586500</v>
      </c>
      <c r="U3" s="189">
        <v>185155</v>
      </c>
      <c r="V3" s="189">
        <v>452754</v>
      </c>
      <c r="W3" s="189">
        <v>342753</v>
      </c>
      <c r="X3" s="189">
        <v>228335.74</v>
      </c>
      <c r="Y3" s="189">
        <v>3037965</v>
      </c>
      <c r="Z3" s="189">
        <v>109419</v>
      </c>
      <c r="AA3" s="189">
        <v>106513</v>
      </c>
      <c r="AB3" s="189">
        <v>16508.2</v>
      </c>
      <c r="AC3" s="189">
        <v>167925</v>
      </c>
      <c r="AD3" s="189">
        <v>132925</v>
      </c>
      <c r="AE3" s="189">
        <v>468915</v>
      </c>
      <c r="AF3" s="189">
        <v>0</v>
      </c>
      <c r="AG3" s="189">
        <v>2164366</v>
      </c>
      <c r="AH3" s="189">
        <v>15090</v>
      </c>
      <c r="AI3" s="189">
        <v>0</v>
      </c>
      <c r="AJ3" s="189">
        <v>0</v>
      </c>
      <c r="AK3" s="189">
        <v>1066450</v>
      </c>
      <c r="AL3" s="189">
        <v>1066450</v>
      </c>
      <c r="AM3" s="189">
        <v>12500</v>
      </c>
      <c r="AN3" s="189">
        <v>12500</v>
      </c>
      <c r="AO3" s="189">
        <v>299000</v>
      </c>
      <c r="AP3" s="189">
        <v>0</v>
      </c>
      <c r="AQ3" s="189">
        <v>0</v>
      </c>
      <c r="AR3" s="189">
        <v>0</v>
      </c>
      <c r="AS3" s="189">
        <v>0</v>
      </c>
      <c r="AT3" s="189">
        <v>0</v>
      </c>
      <c r="AU3" s="189">
        <v>0</v>
      </c>
      <c r="AV3" s="189">
        <v>0</v>
      </c>
      <c r="AW3" s="189">
        <v>2600</v>
      </c>
      <c r="AX3" s="189">
        <v>2600</v>
      </c>
      <c r="AY3" s="189">
        <v>0</v>
      </c>
      <c r="AZ3" s="189">
        <v>0</v>
      </c>
      <c r="BA3" s="189">
        <v>75300</v>
      </c>
      <c r="BB3" s="189">
        <v>0</v>
      </c>
      <c r="BC3" s="189">
        <v>0</v>
      </c>
      <c r="BD3" s="189">
        <v>0</v>
      </c>
      <c r="BE3" s="189">
        <v>900</v>
      </c>
      <c r="BF3" s="189">
        <v>900</v>
      </c>
      <c r="BG3" s="189">
        <v>900</v>
      </c>
      <c r="BH3" s="189">
        <v>900</v>
      </c>
      <c r="BI3" s="189">
        <v>0</v>
      </c>
      <c r="BJ3" s="189">
        <v>500</v>
      </c>
      <c r="BK3" s="189">
        <v>500</v>
      </c>
      <c r="BL3" s="189">
        <v>0</v>
      </c>
      <c r="BM3" s="189">
        <v>1600</v>
      </c>
      <c r="BN3" s="189">
        <v>1600</v>
      </c>
      <c r="BO3" s="189">
        <v>12526611.060000001</v>
      </c>
      <c r="BP3" s="189">
        <v>750</v>
      </c>
      <c r="BQ3" s="189">
        <v>110802.68</v>
      </c>
      <c r="BR3" s="189">
        <v>110000</v>
      </c>
      <c r="BS3" s="189">
        <v>0</v>
      </c>
      <c r="BT3" s="189">
        <v>0</v>
      </c>
      <c r="BU3" s="189">
        <v>0</v>
      </c>
      <c r="BV3" s="192">
        <v>0</v>
      </c>
    </row>
    <row r="4" spans="1:74" s="192" customFormat="1">
      <c r="A4" s="192" t="s">
        <v>304</v>
      </c>
      <c r="B4" s="189">
        <v>4185107869.6799998</v>
      </c>
      <c r="C4" s="189">
        <v>3350295689.1399999</v>
      </c>
      <c r="D4" s="189">
        <v>1873747732.73</v>
      </c>
      <c r="E4" s="189">
        <v>7350365898.3800001</v>
      </c>
      <c r="F4" s="189">
        <v>6208200502.8299999</v>
      </c>
      <c r="G4" s="189">
        <v>4954322994.8800001</v>
      </c>
      <c r="H4" s="189">
        <v>3489363454.3400002</v>
      </c>
      <c r="I4" s="189">
        <v>3033750027.6199999</v>
      </c>
      <c r="J4" s="189">
        <v>1446435952.9100001</v>
      </c>
      <c r="K4" s="189">
        <v>536190850</v>
      </c>
      <c r="L4" s="189">
        <v>195989162.91</v>
      </c>
      <c r="M4" s="189">
        <v>1657201260</v>
      </c>
      <c r="N4" s="189">
        <v>641110005.57000005</v>
      </c>
      <c r="O4" s="189">
        <v>491323228</v>
      </c>
      <c r="P4" s="189">
        <v>111768257.34</v>
      </c>
      <c r="Q4" s="189">
        <v>522134710</v>
      </c>
      <c r="R4" s="189">
        <v>279022112.79000002</v>
      </c>
      <c r="S4" s="189">
        <v>90355487</v>
      </c>
      <c r="T4" s="189">
        <v>42839120.700000003</v>
      </c>
      <c r="U4" s="189">
        <v>169996098</v>
      </c>
      <c r="V4" s="189">
        <v>129370981</v>
      </c>
      <c r="W4" s="189">
        <v>100871481</v>
      </c>
      <c r="X4" s="189">
        <v>54949376.109999999</v>
      </c>
      <c r="Y4" s="189">
        <v>429396865</v>
      </c>
      <c r="Z4" s="189">
        <v>340366013</v>
      </c>
      <c r="AA4" s="189">
        <v>233719645</v>
      </c>
      <c r="AB4" s="189">
        <v>126699395.70999999</v>
      </c>
      <c r="AC4" s="189">
        <v>548897920</v>
      </c>
      <c r="AD4" s="189">
        <v>302031027.68000001</v>
      </c>
      <c r="AE4" s="189">
        <v>252428612</v>
      </c>
      <c r="AF4" s="189">
        <v>142101645.94999999</v>
      </c>
      <c r="AG4" s="189">
        <v>1157429123</v>
      </c>
      <c r="AH4" s="189">
        <v>1019407940.04</v>
      </c>
      <c r="AI4" s="189">
        <v>662393446.60000002</v>
      </c>
      <c r="AJ4" s="189">
        <v>540378811.65999997</v>
      </c>
      <c r="AK4" s="189">
        <v>980738744.60000002</v>
      </c>
      <c r="AL4" s="189">
        <v>418232141.20999998</v>
      </c>
      <c r="AM4" s="189">
        <v>238650773.11000001</v>
      </c>
      <c r="AN4" s="189">
        <v>91808668.510000005</v>
      </c>
      <c r="AO4" s="189">
        <v>895449540.32000005</v>
      </c>
      <c r="AP4" s="189">
        <v>573971991.75999999</v>
      </c>
      <c r="AQ4" s="189">
        <v>605414372.77999997</v>
      </c>
      <c r="AR4" s="189">
        <v>262901840.55000001</v>
      </c>
      <c r="AS4" s="189">
        <v>1945799640.5799999</v>
      </c>
      <c r="AT4" s="189">
        <v>1502984264.01</v>
      </c>
      <c r="AU4" s="189">
        <v>409014299.38</v>
      </c>
      <c r="AV4" s="189">
        <v>172960274.81999999</v>
      </c>
      <c r="AW4" s="189">
        <v>36821656.5</v>
      </c>
      <c r="AX4" s="189">
        <v>20384461.739999998</v>
      </c>
      <c r="AY4" s="189">
        <v>10971012.98</v>
      </c>
      <c r="AZ4" s="189">
        <v>3179186.91</v>
      </c>
      <c r="BA4" s="189">
        <v>9627175.6600000001</v>
      </c>
      <c r="BB4" s="189">
        <v>25415039.420000002</v>
      </c>
      <c r="BC4" s="189">
        <v>20564215.690000001</v>
      </c>
      <c r="BD4" s="189">
        <v>18596257.140000001</v>
      </c>
      <c r="BE4" s="189">
        <v>55265485.549999997</v>
      </c>
      <c r="BF4" s="189">
        <v>35855253.609999999</v>
      </c>
      <c r="BG4" s="189">
        <v>18148861.760000002</v>
      </c>
      <c r="BH4" s="189">
        <v>10955188.76</v>
      </c>
      <c r="BI4" s="189">
        <v>130460055.77</v>
      </c>
      <c r="BJ4" s="189">
        <v>60709854.280000001</v>
      </c>
      <c r="BK4" s="189">
        <v>53683848.329999998</v>
      </c>
      <c r="BL4" s="189">
        <v>20566552.690000001</v>
      </c>
      <c r="BM4" s="189">
        <v>314561975.02999997</v>
      </c>
      <c r="BN4" s="189">
        <v>73103492.170000002</v>
      </c>
      <c r="BO4" s="189">
        <v>47087213.579999998</v>
      </c>
      <c r="BP4" s="189">
        <v>15383898.449999999</v>
      </c>
      <c r="BQ4" s="189">
        <v>22791003.050000001</v>
      </c>
      <c r="BR4" s="189">
        <v>10135647</v>
      </c>
      <c r="BS4" s="189">
        <v>5592465.9800000004</v>
      </c>
      <c r="BT4" s="189">
        <v>9824705.4399999995</v>
      </c>
      <c r="BU4" s="189">
        <v>0</v>
      </c>
      <c r="BV4" s="192">
        <v>0</v>
      </c>
    </row>
    <row r="5" spans="1:74" s="47" customFormat="1">
      <c r="A5" s="47" t="s">
        <v>295</v>
      </c>
      <c r="E5" s="47">
        <f>E4-E3</f>
        <v>7349609351.4099998</v>
      </c>
      <c r="F5" s="47">
        <f t="shared" ref="F5:AR5" si="0">F4-F3</f>
        <v>6207443955.8599997</v>
      </c>
      <c r="G5" s="47">
        <f t="shared" si="0"/>
        <v>4953764838.2799997</v>
      </c>
      <c r="H5" s="47">
        <f t="shared" si="0"/>
        <v>3489356458.2400002</v>
      </c>
      <c r="I5" s="47">
        <f t="shared" si="0"/>
        <v>3031063680.1199999</v>
      </c>
      <c r="J5" s="47">
        <f t="shared" si="0"/>
        <v>1444125245.6800001</v>
      </c>
      <c r="K5" s="47">
        <f t="shared" si="0"/>
        <v>535855631</v>
      </c>
      <c r="L5" s="47">
        <f t="shared" si="0"/>
        <v>195770376.31</v>
      </c>
      <c r="M5" s="47">
        <f t="shared" si="0"/>
        <v>1655604511</v>
      </c>
      <c r="N5" s="47">
        <f t="shared" si="0"/>
        <v>640282616.48000002</v>
      </c>
      <c r="O5" s="47">
        <f t="shared" si="0"/>
        <v>490698091</v>
      </c>
      <c r="P5" s="47">
        <f t="shared" si="0"/>
        <v>111745509.7</v>
      </c>
      <c r="Q5" s="47">
        <f t="shared" si="0"/>
        <v>443381015</v>
      </c>
      <c r="R5" s="47">
        <f t="shared" si="0"/>
        <v>273490378.79000002</v>
      </c>
      <c r="S5" s="47">
        <f t="shared" si="0"/>
        <v>86538987</v>
      </c>
      <c r="T5" s="47">
        <f t="shared" si="0"/>
        <v>40252620.700000003</v>
      </c>
      <c r="U5" s="47">
        <f t="shared" si="0"/>
        <v>169810943</v>
      </c>
      <c r="V5" s="47">
        <f t="shared" si="0"/>
        <v>128918227</v>
      </c>
      <c r="W5" s="47">
        <f t="shared" si="0"/>
        <v>100528728</v>
      </c>
      <c r="X5" s="47">
        <f t="shared" si="0"/>
        <v>54721040.369999997</v>
      </c>
      <c r="Y5" s="47">
        <f t="shared" si="0"/>
        <v>426358900</v>
      </c>
      <c r="Z5" s="47">
        <f t="shared" si="0"/>
        <v>340256594</v>
      </c>
      <c r="AA5" s="47">
        <f t="shared" si="0"/>
        <v>233613132</v>
      </c>
      <c r="AB5" s="47">
        <f t="shared" si="0"/>
        <v>126682887.50999999</v>
      </c>
      <c r="AC5" s="47">
        <f t="shared" si="0"/>
        <v>548729995</v>
      </c>
      <c r="AD5" s="47">
        <f t="shared" si="0"/>
        <v>301898102.68000001</v>
      </c>
      <c r="AE5" s="47">
        <f t="shared" si="0"/>
        <v>251959697</v>
      </c>
      <c r="AF5" s="47">
        <f t="shared" si="0"/>
        <v>142101645.94999999</v>
      </c>
      <c r="AG5" s="47">
        <f t="shared" si="0"/>
        <v>1155264757</v>
      </c>
      <c r="AH5" s="47">
        <f t="shared" si="0"/>
        <v>1019392850.04</v>
      </c>
      <c r="AI5" s="47">
        <f t="shared" si="0"/>
        <v>662393446.60000002</v>
      </c>
      <c r="AJ5" s="47">
        <f t="shared" si="0"/>
        <v>540378811.65999997</v>
      </c>
      <c r="AK5" s="47">
        <f t="shared" si="0"/>
        <v>979672294.60000002</v>
      </c>
      <c r="AL5" s="47">
        <f t="shared" si="0"/>
        <v>417165691.20999998</v>
      </c>
      <c r="AM5" s="47">
        <f t="shared" si="0"/>
        <v>238638273.11000001</v>
      </c>
      <c r="AN5" s="47">
        <f t="shared" si="0"/>
        <v>91796168.510000005</v>
      </c>
      <c r="AO5" s="47">
        <f t="shared" si="0"/>
        <v>895150540.32000005</v>
      </c>
      <c r="AP5" s="47">
        <f t="shared" si="0"/>
        <v>573971991.75999999</v>
      </c>
      <c r="AQ5" s="47">
        <f t="shared" si="0"/>
        <v>605414372.77999997</v>
      </c>
      <c r="AR5" s="47">
        <f t="shared" si="0"/>
        <v>262901840.55000001</v>
      </c>
    </row>
    <row r="6" spans="1:74" s="105" customFormat="1">
      <c r="A6" s="105" t="s">
        <v>305</v>
      </c>
      <c r="B6" s="189">
        <v>0</v>
      </c>
      <c r="C6" s="189">
        <v>1551557326.1099999</v>
      </c>
      <c r="D6" s="189">
        <v>0</v>
      </c>
      <c r="E6" s="189">
        <v>973208089.71000004</v>
      </c>
      <c r="F6" s="189">
        <v>0</v>
      </c>
      <c r="G6" s="189">
        <v>485190765.68000001</v>
      </c>
      <c r="H6" s="189">
        <v>0</v>
      </c>
      <c r="I6" s="189">
        <v>1031662019.27</v>
      </c>
      <c r="J6" s="189">
        <v>0</v>
      </c>
      <c r="K6" s="189">
        <v>533383572</v>
      </c>
      <c r="L6" s="189">
        <v>0</v>
      </c>
      <c r="M6" s="189">
        <v>1238695032</v>
      </c>
      <c r="N6" s="189">
        <v>0</v>
      </c>
      <c r="O6" s="189">
        <v>632521604</v>
      </c>
      <c r="P6" s="189">
        <v>0</v>
      </c>
      <c r="Q6" s="189">
        <v>1029822987</v>
      </c>
      <c r="R6" s="189">
        <v>0</v>
      </c>
      <c r="S6" s="189">
        <v>229390289</v>
      </c>
      <c r="T6" s="189">
        <v>0</v>
      </c>
      <c r="U6" s="189">
        <v>484279349</v>
      </c>
      <c r="V6" s="189">
        <v>0</v>
      </c>
      <c r="W6" s="189">
        <v>244250135</v>
      </c>
      <c r="X6" s="189">
        <v>0</v>
      </c>
      <c r="Y6" s="189">
        <v>474170465</v>
      </c>
      <c r="Z6" s="189">
        <v>0</v>
      </c>
      <c r="AA6" s="189">
        <v>240687801</v>
      </c>
      <c r="AB6" s="189">
        <v>0</v>
      </c>
      <c r="AC6" s="189">
        <v>454697207</v>
      </c>
      <c r="AD6" s="189">
        <v>0</v>
      </c>
      <c r="AE6" s="189">
        <v>223133883</v>
      </c>
      <c r="AF6" s="189">
        <v>0</v>
      </c>
      <c r="AG6" s="189">
        <v>308630014</v>
      </c>
      <c r="AH6" s="189">
        <v>0</v>
      </c>
      <c r="AI6" s="189">
        <v>152503768</v>
      </c>
      <c r="AJ6" s="189">
        <v>0</v>
      </c>
      <c r="AK6" s="189">
        <v>306685781.06999999</v>
      </c>
      <c r="AL6" s="189">
        <v>0</v>
      </c>
      <c r="AM6" s="189">
        <v>146146402.13999999</v>
      </c>
      <c r="AN6" s="189">
        <v>0</v>
      </c>
      <c r="AO6" s="189">
        <v>126011963.45999999</v>
      </c>
      <c r="AP6" s="189">
        <v>0</v>
      </c>
      <c r="AQ6" s="189">
        <v>0</v>
      </c>
      <c r="AR6" s="189">
        <v>0</v>
      </c>
      <c r="AS6" s="189">
        <v>56859615.329999998</v>
      </c>
      <c r="AT6" s="189">
        <v>0</v>
      </c>
      <c r="AU6" s="189">
        <v>27936126.18</v>
      </c>
      <c r="AV6" s="189">
        <v>0</v>
      </c>
      <c r="AW6" s="189">
        <v>54466880.259999998</v>
      </c>
      <c r="AX6" s="189">
        <v>39719119.899999999</v>
      </c>
      <c r="AY6" s="189">
        <v>26754652.010000002</v>
      </c>
      <c r="AZ6" s="189">
        <v>13230962.57</v>
      </c>
      <c r="BA6" s="189">
        <v>53132811.520000003</v>
      </c>
      <c r="BB6" s="189">
        <v>39306103.57</v>
      </c>
      <c r="BC6" s="189">
        <v>25843335.329999998</v>
      </c>
      <c r="BD6" s="189">
        <v>12536737.630000001</v>
      </c>
      <c r="BE6" s="189">
        <v>48672106.420000002</v>
      </c>
      <c r="BF6" s="189">
        <v>35801822.93</v>
      </c>
      <c r="BG6" s="189">
        <v>23379586.239999998</v>
      </c>
      <c r="BH6" s="189">
        <v>11453706.18</v>
      </c>
      <c r="BI6" s="189">
        <v>21905168.32</v>
      </c>
      <c r="BJ6" s="189">
        <v>13673570.890000001</v>
      </c>
      <c r="BK6" s="189">
        <v>8711128.0099999998</v>
      </c>
      <c r="BL6" s="189">
        <v>4477284.75</v>
      </c>
      <c r="BM6" s="189">
        <v>20156228.02</v>
      </c>
      <c r="BN6" s="189">
        <v>0</v>
      </c>
      <c r="BO6" s="189">
        <v>16727922.630000001</v>
      </c>
      <c r="BP6" s="189">
        <v>8596766.0399999991</v>
      </c>
      <c r="BQ6" s="189">
        <v>18731462.449999999</v>
      </c>
      <c r="BR6" s="189">
        <v>8638981.2799999993</v>
      </c>
      <c r="BS6" s="189">
        <v>18598875.210000001</v>
      </c>
      <c r="BT6" s="189">
        <v>7241389.9699999997</v>
      </c>
      <c r="BU6" s="189">
        <v>0</v>
      </c>
      <c r="BV6" s="192">
        <v>0</v>
      </c>
    </row>
    <row r="7" spans="1:74" s="192" customFormat="1">
      <c r="A7" s="192" t="s">
        <v>306</v>
      </c>
      <c r="B7" s="189">
        <v>0</v>
      </c>
      <c r="C7" s="189">
        <v>43767038.57</v>
      </c>
      <c r="D7" s="189">
        <v>0</v>
      </c>
      <c r="E7" s="189">
        <v>57065049.770000003</v>
      </c>
      <c r="F7" s="189">
        <v>0</v>
      </c>
      <c r="G7" s="189">
        <v>27596593.670000002</v>
      </c>
      <c r="H7" s="189">
        <v>0</v>
      </c>
      <c r="I7" s="189">
        <v>52583522.829999998</v>
      </c>
      <c r="J7" s="189">
        <v>0</v>
      </c>
      <c r="K7" s="189">
        <v>25492900</v>
      </c>
      <c r="L7" s="189">
        <v>0</v>
      </c>
      <c r="M7" s="189">
        <v>44825903</v>
      </c>
      <c r="N7" s="189">
        <v>0</v>
      </c>
      <c r="O7" s="189">
        <v>23650473</v>
      </c>
      <c r="P7" s="189">
        <v>0</v>
      </c>
      <c r="Q7" s="189">
        <v>49077919</v>
      </c>
      <c r="R7" s="189">
        <v>0</v>
      </c>
      <c r="S7" s="189">
        <v>5291915</v>
      </c>
      <c r="T7" s="189">
        <v>0</v>
      </c>
      <c r="U7" s="189">
        <v>10229542</v>
      </c>
      <c r="V7" s="189">
        <v>0</v>
      </c>
      <c r="W7" s="189">
        <v>5043390</v>
      </c>
      <c r="X7" s="189">
        <v>0</v>
      </c>
      <c r="Y7" s="189">
        <v>9601576</v>
      </c>
      <c r="Z7" s="189">
        <v>0</v>
      </c>
      <c r="AA7" s="189">
        <v>4775660</v>
      </c>
      <c r="AB7" s="189">
        <v>0</v>
      </c>
      <c r="AC7" s="189">
        <v>8527031</v>
      </c>
      <c r="AD7" s="189">
        <v>0</v>
      </c>
      <c r="AE7" s="189">
        <v>4276951</v>
      </c>
      <c r="AF7" s="189">
        <v>0</v>
      </c>
      <c r="AG7" s="189">
        <v>5537299</v>
      </c>
      <c r="AH7" s="189">
        <v>0</v>
      </c>
      <c r="AI7" s="189">
        <v>2940318.24</v>
      </c>
      <c r="AJ7" s="189">
        <v>0</v>
      </c>
      <c r="AK7" s="189">
        <v>6500333.3700000001</v>
      </c>
      <c r="AL7" s="189">
        <v>0</v>
      </c>
      <c r="AM7" s="189">
        <v>2613469.9500000002</v>
      </c>
      <c r="AN7" s="189">
        <v>0</v>
      </c>
      <c r="AO7" s="189">
        <v>4931023.78</v>
      </c>
      <c r="AP7" s="189">
        <v>0</v>
      </c>
      <c r="AQ7" s="189">
        <v>2712805.83</v>
      </c>
      <c r="AR7" s="189">
        <v>0</v>
      </c>
      <c r="AS7" s="189">
        <v>4337868.16</v>
      </c>
      <c r="AT7" s="189">
        <v>0</v>
      </c>
      <c r="AU7" s="189">
        <v>1888991.37</v>
      </c>
      <c r="AV7" s="189">
        <v>0</v>
      </c>
      <c r="AW7" s="189">
        <v>217162.28</v>
      </c>
      <c r="AX7" s="189">
        <v>122922.98</v>
      </c>
      <c r="AY7" s="189">
        <v>77374.16</v>
      </c>
      <c r="AZ7" s="189">
        <v>45144.31</v>
      </c>
      <c r="BA7" s="189">
        <v>116235.7</v>
      </c>
      <c r="BB7" s="189">
        <v>50392.04</v>
      </c>
      <c r="BC7" s="189">
        <v>31089.77</v>
      </c>
      <c r="BD7" s="189">
        <v>11787.5</v>
      </c>
      <c r="BE7" s="189">
        <v>11588.93</v>
      </c>
      <c r="BF7" s="189">
        <v>7905.38</v>
      </c>
      <c r="BG7" s="189">
        <v>4921.83</v>
      </c>
      <c r="BH7" s="189">
        <v>2288.2800000000002</v>
      </c>
      <c r="BI7" s="189">
        <v>2467.36</v>
      </c>
      <c r="BJ7" s="189">
        <v>0</v>
      </c>
      <c r="BK7" s="189">
        <v>253.33</v>
      </c>
      <c r="BL7" s="189">
        <v>0</v>
      </c>
      <c r="BM7" s="189">
        <v>0</v>
      </c>
      <c r="BN7" s="189">
        <v>0</v>
      </c>
      <c r="BO7" s="189">
        <v>238265.59</v>
      </c>
      <c r="BP7" s="189">
        <v>119132.64</v>
      </c>
      <c r="BQ7" s="189">
        <v>2292896.23</v>
      </c>
      <c r="BR7" s="189">
        <v>881248.63</v>
      </c>
      <c r="BS7" s="189">
        <v>2558901.69</v>
      </c>
      <c r="BT7" s="189">
        <v>3254672.92</v>
      </c>
      <c r="BU7" s="189">
        <v>0</v>
      </c>
      <c r="BV7" s="192">
        <v>0</v>
      </c>
    </row>
    <row r="8" spans="1:74" s="192" customFormat="1">
      <c r="A8" s="192" t="s">
        <v>307</v>
      </c>
      <c r="B8" s="189">
        <v>0</v>
      </c>
      <c r="C8" s="189">
        <v>76679805.849999994</v>
      </c>
      <c r="D8" s="189">
        <v>0</v>
      </c>
      <c r="E8" s="189">
        <v>33469826.199999999</v>
      </c>
      <c r="F8" s="189">
        <v>0</v>
      </c>
      <c r="G8" s="189">
        <v>19041482.309999999</v>
      </c>
      <c r="H8" s="189">
        <v>0</v>
      </c>
      <c r="I8" s="189">
        <v>60404946.57</v>
      </c>
      <c r="J8" s="189">
        <v>0</v>
      </c>
      <c r="K8" s="189">
        <v>31435323</v>
      </c>
      <c r="L8" s="189">
        <v>0</v>
      </c>
      <c r="M8" s="189">
        <v>86766022</v>
      </c>
      <c r="N8" s="189">
        <v>0</v>
      </c>
      <c r="O8" s="189">
        <v>47426775</v>
      </c>
      <c r="P8" s="189">
        <v>0</v>
      </c>
      <c r="Q8" s="189">
        <v>81139185</v>
      </c>
      <c r="R8" s="189">
        <v>0</v>
      </c>
      <c r="S8" s="189">
        <v>19279701</v>
      </c>
      <c r="T8" s="189">
        <v>0</v>
      </c>
      <c r="U8" s="189">
        <v>36671705</v>
      </c>
      <c r="V8" s="189">
        <v>0</v>
      </c>
      <c r="W8" s="189">
        <v>17093707</v>
      </c>
      <c r="X8" s="189">
        <v>0</v>
      </c>
      <c r="Y8" s="189">
        <v>21908265</v>
      </c>
      <c r="Z8" s="189">
        <v>0</v>
      </c>
      <c r="AA8" s="189">
        <v>6699529</v>
      </c>
      <c r="AB8" s="189">
        <v>0</v>
      </c>
      <c r="AC8" s="189">
        <v>10540271</v>
      </c>
      <c r="AD8" s="189">
        <v>0</v>
      </c>
      <c r="AE8" s="189">
        <v>4433903</v>
      </c>
      <c r="AF8" s="189">
        <v>0</v>
      </c>
      <c r="AG8" s="189">
        <v>4181877</v>
      </c>
      <c r="AH8" s="189">
        <v>0</v>
      </c>
      <c r="AI8" s="189">
        <v>602762.18999999994</v>
      </c>
      <c r="AJ8" s="189">
        <v>0</v>
      </c>
      <c r="AK8" s="189">
        <v>1573789.75</v>
      </c>
      <c r="AL8" s="189">
        <v>0</v>
      </c>
      <c r="AM8" s="189">
        <v>588310.56000000006</v>
      </c>
      <c r="AN8" s="189">
        <v>0</v>
      </c>
      <c r="AO8" s="189">
        <v>40316.69</v>
      </c>
      <c r="AP8" s="189">
        <v>0</v>
      </c>
      <c r="AQ8" s="189">
        <v>20116.66</v>
      </c>
      <c r="AR8" s="189">
        <v>0</v>
      </c>
      <c r="AS8" s="189">
        <v>4108645.12</v>
      </c>
      <c r="AT8" s="189">
        <v>0</v>
      </c>
      <c r="AU8" s="189">
        <v>126929.78</v>
      </c>
      <c r="AV8" s="189">
        <v>0</v>
      </c>
      <c r="AW8" s="189">
        <v>113954.26</v>
      </c>
      <c r="AX8" s="189">
        <v>149072.42000000001</v>
      </c>
      <c r="AY8" s="189">
        <v>143352.62</v>
      </c>
      <c r="AZ8" s="189">
        <v>106771.4</v>
      </c>
      <c r="BA8" s="189">
        <v>751764.42</v>
      </c>
      <c r="BB8" s="189">
        <v>599586.1</v>
      </c>
      <c r="BC8" s="189">
        <v>403487.4</v>
      </c>
      <c r="BD8" s="189">
        <v>201218.7</v>
      </c>
      <c r="BE8" s="189">
        <v>1461579.11</v>
      </c>
      <c r="BF8" s="189">
        <v>978362.9</v>
      </c>
      <c r="BG8" s="189">
        <v>731164.21</v>
      </c>
      <c r="BH8" s="189">
        <v>489166.09</v>
      </c>
      <c r="BI8" s="189">
        <v>1164361.81</v>
      </c>
      <c r="BJ8" s="189">
        <v>1323988.04</v>
      </c>
      <c r="BK8" s="189">
        <v>806614.56</v>
      </c>
      <c r="BL8" s="189">
        <v>333115.03000000003</v>
      </c>
      <c r="BM8" s="189">
        <v>1515360.84</v>
      </c>
      <c r="BN8" s="189">
        <v>0</v>
      </c>
      <c r="BO8" s="189">
        <v>1971156.79</v>
      </c>
      <c r="BP8" s="189">
        <v>0</v>
      </c>
      <c r="BQ8" s="189">
        <v>0</v>
      </c>
      <c r="BR8" s="189">
        <v>0</v>
      </c>
      <c r="BS8" s="189">
        <v>0</v>
      </c>
      <c r="BT8" s="189">
        <v>0</v>
      </c>
      <c r="BU8" s="189">
        <v>0</v>
      </c>
      <c r="BV8" s="192">
        <v>0</v>
      </c>
    </row>
    <row r="9" spans="1:74" s="192" customFormat="1">
      <c r="A9" s="192" t="s">
        <v>308</v>
      </c>
      <c r="B9" s="189">
        <v>0</v>
      </c>
      <c r="C9" s="189">
        <v>2079478.12</v>
      </c>
      <c r="D9" s="189">
        <v>0</v>
      </c>
      <c r="E9" s="189">
        <v>1158915.6000000001</v>
      </c>
      <c r="F9" s="189">
        <v>0</v>
      </c>
      <c r="G9" s="189">
        <v>647010.65</v>
      </c>
      <c r="H9" s="189">
        <v>0</v>
      </c>
      <c r="I9" s="189">
        <v>3556174.48</v>
      </c>
      <c r="J9" s="189">
        <v>0</v>
      </c>
      <c r="K9" s="189">
        <v>1899573</v>
      </c>
      <c r="L9" s="189">
        <v>0</v>
      </c>
      <c r="M9" s="189">
        <v>-1687197</v>
      </c>
      <c r="N9" s="189">
        <v>0</v>
      </c>
      <c r="O9" s="189">
        <v>-279224</v>
      </c>
      <c r="P9" s="189">
        <v>0</v>
      </c>
      <c r="Q9" s="189">
        <v>-232965308</v>
      </c>
      <c r="R9" s="189">
        <v>0</v>
      </c>
      <c r="S9" s="189">
        <v>-2472245</v>
      </c>
      <c r="T9" s="189">
        <v>0</v>
      </c>
      <c r="U9" s="189">
        <v>-11430566</v>
      </c>
      <c r="V9" s="189">
        <v>0</v>
      </c>
      <c r="W9" s="189">
        <v>487633</v>
      </c>
      <c r="X9" s="189">
        <v>0</v>
      </c>
      <c r="Y9" s="189">
        <v>2799302</v>
      </c>
      <c r="Z9" s="189">
        <v>0</v>
      </c>
      <c r="AA9" s="189">
        <v>-10817</v>
      </c>
      <c r="AB9" s="189">
        <v>0</v>
      </c>
      <c r="AC9" s="189">
        <v>96144</v>
      </c>
      <c r="AD9" s="189">
        <v>0</v>
      </c>
      <c r="AE9" s="189">
        <v>-13949</v>
      </c>
      <c r="AF9" s="189">
        <v>0</v>
      </c>
      <c r="AG9" s="189">
        <v>84253</v>
      </c>
      <c r="AH9" s="189">
        <v>0</v>
      </c>
      <c r="AI9" s="189">
        <v>21246.13</v>
      </c>
      <c r="AJ9" s="189">
        <v>0</v>
      </c>
      <c r="AK9" s="189">
        <v>906662.25</v>
      </c>
      <c r="AL9" s="189">
        <v>0</v>
      </c>
      <c r="AM9" s="189">
        <v>908415.5</v>
      </c>
      <c r="AN9" s="189">
        <v>0</v>
      </c>
      <c r="AO9" s="189">
        <v>1786685.57</v>
      </c>
      <c r="AP9" s="189">
        <v>0</v>
      </c>
      <c r="AQ9" s="189">
        <v>58642.37</v>
      </c>
      <c r="AR9" s="189">
        <v>0</v>
      </c>
      <c r="AS9" s="189">
        <v>1111008.96</v>
      </c>
      <c r="AT9" s="189">
        <v>0</v>
      </c>
      <c r="AU9" s="189">
        <v>772119.92</v>
      </c>
      <c r="AV9" s="189">
        <v>0</v>
      </c>
      <c r="AW9" s="189">
        <v>478354.79</v>
      </c>
      <c r="AX9" s="189">
        <v>-2600</v>
      </c>
      <c r="AY9" s="189">
        <v>0</v>
      </c>
      <c r="AZ9" s="189">
        <v>5073.33</v>
      </c>
      <c r="BA9" s="189">
        <v>282024.2</v>
      </c>
      <c r="BB9" s="189">
        <v>0</v>
      </c>
      <c r="BC9" s="189">
        <v>0</v>
      </c>
      <c r="BD9" s="189">
        <v>0</v>
      </c>
      <c r="BE9" s="189">
        <v>0</v>
      </c>
      <c r="BF9" s="189">
        <v>0</v>
      </c>
      <c r="BG9" s="189">
        <v>0</v>
      </c>
      <c r="BH9" s="189">
        <v>0</v>
      </c>
      <c r="BI9" s="189">
        <v>0</v>
      </c>
      <c r="BJ9" s="189">
        <v>-500</v>
      </c>
      <c r="BK9" s="189">
        <v>-500</v>
      </c>
      <c r="BL9" s="189">
        <v>0</v>
      </c>
      <c r="BM9" s="189">
        <v>299219.20000000001</v>
      </c>
      <c r="BN9" s="189">
        <v>0</v>
      </c>
      <c r="BO9" s="189">
        <v>-1093251.04</v>
      </c>
      <c r="BP9" s="189">
        <v>0</v>
      </c>
      <c r="BQ9" s="189">
        <v>-31920.240000000002</v>
      </c>
      <c r="BR9" s="189">
        <v>428921.68</v>
      </c>
      <c r="BS9" s="189">
        <v>0</v>
      </c>
      <c r="BT9" s="189">
        <v>93478.73</v>
      </c>
      <c r="BU9" s="189">
        <v>0</v>
      </c>
      <c r="BV9" s="192">
        <v>0</v>
      </c>
    </row>
    <row r="10" spans="1:74" s="192" customFormat="1">
      <c r="A10" s="192" t="s">
        <v>309</v>
      </c>
      <c r="B10" s="189">
        <v>0</v>
      </c>
      <c r="C10" s="189">
        <v>815748.45</v>
      </c>
      <c r="D10" s="189">
        <v>0</v>
      </c>
      <c r="E10" s="189">
        <v>0</v>
      </c>
      <c r="F10" s="189">
        <v>0</v>
      </c>
      <c r="G10" s="189">
        <v>0</v>
      </c>
      <c r="H10" s="189">
        <v>0</v>
      </c>
      <c r="I10" s="189">
        <v>0</v>
      </c>
      <c r="J10" s="189">
        <v>0</v>
      </c>
      <c r="K10" s="189">
        <v>0</v>
      </c>
      <c r="L10" s="189">
        <v>0</v>
      </c>
      <c r="M10" s="189">
        <v>0</v>
      </c>
      <c r="N10" s="189">
        <v>0</v>
      </c>
      <c r="O10" s="189">
        <v>0</v>
      </c>
      <c r="P10" s="189">
        <v>0</v>
      </c>
      <c r="Q10" s="189">
        <v>0</v>
      </c>
      <c r="R10" s="189">
        <v>0</v>
      </c>
      <c r="S10" s="189">
        <v>0</v>
      </c>
      <c r="T10" s="189">
        <v>0</v>
      </c>
      <c r="U10" s="189">
        <v>0</v>
      </c>
      <c r="V10" s="189">
        <v>0</v>
      </c>
      <c r="W10" s="189">
        <v>0</v>
      </c>
      <c r="X10" s="189">
        <v>0</v>
      </c>
      <c r="Y10" s="189">
        <v>0</v>
      </c>
      <c r="Z10" s="189">
        <v>0</v>
      </c>
      <c r="AA10" s="189">
        <v>0</v>
      </c>
      <c r="AB10" s="189">
        <v>0</v>
      </c>
      <c r="AC10" s="189">
        <v>0</v>
      </c>
      <c r="AD10" s="189">
        <v>0</v>
      </c>
      <c r="AE10" s="189">
        <v>0</v>
      </c>
      <c r="AF10" s="189">
        <v>0</v>
      </c>
      <c r="AG10" s="189">
        <v>0</v>
      </c>
      <c r="AH10" s="189">
        <v>0</v>
      </c>
      <c r="AI10" s="189">
        <v>-11886.51</v>
      </c>
      <c r="AJ10" s="189">
        <v>0</v>
      </c>
      <c r="AK10" s="189">
        <v>4460.75</v>
      </c>
      <c r="AL10" s="189">
        <v>0</v>
      </c>
      <c r="AM10" s="189">
        <v>0</v>
      </c>
      <c r="AN10" s="189">
        <v>0</v>
      </c>
      <c r="AO10" s="189">
        <v>0</v>
      </c>
      <c r="AP10" s="189">
        <v>0</v>
      </c>
      <c r="AQ10" s="189">
        <v>0</v>
      </c>
      <c r="AR10" s="189">
        <v>0</v>
      </c>
      <c r="AS10" s="189">
        <v>0</v>
      </c>
      <c r="AT10" s="189">
        <v>0</v>
      </c>
      <c r="AU10" s="189">
        <v>0</v>
      </c>
      <c r="AV10" s="189">
        <v>0</v>
      </c>
      <c r="AW10" s="189">
        <v>0</v>
      </c>
      <c r="AX10" s="189">
        <v>5073.33</v>
      </c>
      <c r="AY10" s="189">
        <v>5073.33</v>
      </c>
      <c r="AZ10" s="189">
        <v>0</v>
      </c>
      <c r="BA10" s="189">
        <v>0</v>
      </c>
      <c r="BB10" s="189">
        <v>304231.01</v>
      </c>
      <c r="BC10" s="189">
        <v>131240.76</v>
      </c>
      <c r="BD10" s="189">
        <v>0</v>
      </c>
      <c r="BE10" s="189">
        <v>551140.79</v>
      </c>
      <c r="BF10" s="189">
        <v>548885.09</v>
      </c>
      <c r="BG10" s="189">
        <v>534312.73</v>
      </c>
      <c r="BH10" s="189">
        <v>528592.43999999994</v>
      </c>
      <c r="BI10" s="189">
        <v>62832.23</v>
      </c>
      <c r="BJ10" s="189">
        <v>38613.949999999997</v>
      </c>
      <c r="BK10" s="189">
        <v>34156.800000000003</v>
      </c>
      <c r="BL10" s="189">
        <v>0</v>
      </c>
      <c r="BM10" s="189">
        <v>0</v>
      </c>
      <c r="BN10" s="189">
        <v>281418.62</v>
      </c>
      <c r="BO10" s="189">
        <v>0</v>
      </c>
      <c r="BP10" s="189">
        <v>0</v>
      </c>
      <c r="BQ10" s="189">
        <v>0</v>
      </c>
      <c r="BR10" s="189">
        <v>0</v>
      </c>
      <c r="BS10" s="189">
        <v>37629.83</v>
      </c>
      <c r="BT10" s="189">
        <v>4659.4399999999996</v>
      </c>
      <c r="BU10" s="189">
        <v>0</v>
      </c>
      <c r="BV10" s="192">
        <v>0</v>
      </c>
    </row>
    <row r="11" spans="1:74" s="47" customFormat="1">
      <c r="A11" s="135" t="s">
        <v>296</v>
      </c>
      <c r="E11" s="47">
        <f>E5-E6-E7-E8-E9-E10</f>
        <v>6284707470.1299992</v>
      </c>
      <c r="F11" s="47">
        <f t="shared" ref="F11:BQ11" si="1">F5-F6-F7-F8-F9-F10</f>
        <v>6207443955.8599997</v>
      </c>
      <c r="G11" s="47">
        <f t="shared" si="1"/>
        <v>4421288985.9699993</v>
      </c>
      <c r="H11" s="47">
        <f t="shared" si="1"/>
        <v>3489356458.2400002</v>
      </c>
      <c r="I11" s="47">
        <f t="shared" si="1"/>
        <v>1882857016.97</v>
      </c>
      <c r="J11" s="47">
        <f t="shared" si="1"/>
        <v>1444125245.6800001</v>
      </c>
      <c r="K11" s="47">
        <f t="shared" si="1"/>
        <v>-56355737</v>
      </c>
      <c r="L11" s="47">
        <f t="shared" si="1"/>
        <v>195770376.31</v>
      </c>
      <c r="M11" s="47">
        <f t="shared" si="1"/>
        <v>287004751</v>
      </c>
      <c r="N11" s="47">
        <f t="shared" si="1"/>
        <v>640282616.48000002</v>
      </c>
      <c r="O11" s="47">
        <f t="shared" si="1"/>
        <v>-212621537</v>
      </c>
      <c r="P11" s="47">
        <f t="shared" si="1"/>
        <v>111745509.7</v>
      </c>
      <c r="Q11" s="47">
        <f t="shared" si="1"/>
        <v>-483693768</v>
      </c>
      <c r="R11" s="47">
        <f t="shared" si="1"/>
        <v>273490378.79000002</v>
      </c>
      <c r="S11" s="47">
        <f t="shared" si="1"/>
        <v>-164950673</v>
      </c>
      <c r="T11" s="47">
        <f t="shared" si="1"/>
        <v>40252620.700000003</v>
      </c>
      <c r="U11" s="47">
        <f t="shared" si="1"/>
        <v>-349939087</v>
      </c>
      <c r="V11" s="47">
        <f t="shared" si="1"/>
        <v>128918227</v>
      </c>
      <c r="W11" s="47">
        <f t="shared" si="1"/>
        <v>-166346137</v>
      </c>
      <c r="X11" s="47">
        <f t="shared" si="1"/>
        <v>54721040.369999997</v>
      </c>
      <c r="Y11" s="47">
        <f t="shared" si="1"/>
        <v>-82120708</v>
      </c>
      <c r="Z11" s="47">
        <f t="shared" si="1"/>
        <v>340256594</v>
      </c>
      <c r="AA11" s="47">
        <f t="shared" si="1"/>
        <v>-18539041</v>
      </c>
      <c r="AB11" s="47">
        <f t="shared" si="1"/>
        <v>126682887.50999999</v>
      </c>
      <c r="AC11" s="47">
        <f t="shared" si="1"/>
        <v>74869342</v>
      </c>
      <c r="AD11" s="47">
        <f t="shared" si="1"/>
        <v>301898102.68000001</v>
      </c>
      <c r="AE11" s="47">
        <f t="shared" si="1"/>
        <v>20128909</v>
      </c>
      <c r="AF11" s="47">
        <f t="shared" si="1"/>
        <v>142101645.94999999</v>
      </c>
      <c r="AG11" s="47">
        <f t="shared" si="1"/>
        <v>836831314</v>
      </c>
      <c r="AH11" s="47">
        <f t="shared" si="1"/>
        <v>1019392850.04</v>
      </c>
      <c r="AI11" s="47">
        <f t="shared" si="1"/>
        <v>506337238.55000001</v>
      </c>
      <c r="AJ11" s="47">
        <f t="shared" si="1"/>
        <v>540378811.65999997</v>
      </c>
      <c r="AK11" s="47">
        <f t="shared" si="1"/>
        <v>664001267.40999997</v>
      </c>
      <c r="AL11" s="47">
        <f t="shared" si="1"/>
        <v>417165691.20999998</v>
      </c>
      <c r="AM11" s="47">
        <f t="shared" si="1"/>
        <v>88381674.960000023</v>
      </c>
      <c r="AN11" s="47">
        <f t="shared" si="1"/>
        <v>91796168.510000005</v>
      </c>
      <c r="AO11" s="47">
        <f t="shared" si="1"/>
        <v>762380550.81999993</v>
      </c>
      <c r="AP11" s="47">
        <f t="shared" si="1"/>
        <v>573971991.75999999</v>
      </c>
      <c r="AQ11" s="47">
        <f t="shared" si="1"/>
        <v>602622807.91999996</v>
      </c>
      <c r="AR11" s="47">
        <f t="shared" si="1"/>
        <v>262901840.55000001</v>
      </c>
      <c r="AS11" s="47">
        <f t="shared" si="1"/>
        <v>-66417137.569999993</v>
      </c>
      <c r="AT11" s="47">
        <f t="shared" si="1"/>
        <v>0</v>
      </c>
      <c r="AU11" s="47">
        <f t="shared" si="1"/>
        <v>-30724167.250000004</v>
      </c>
      <c r="AV11" s="47">
        <f t="shared" si="1"/>
        <v>0</v>
      </c>
      <c r="AW11" s="47">
        <f t="shared" si="1"/>
        <v>-55276351.589999996</v>
      </c>
      <c r="AX11" s="47">
        <f t="shared" si="1"/>
        <v>-39993588.629999995</v>
      </c>
      <c r="AY11" s="47">
        <f t="shared" si="1"/>
        <v>-26980452.120000001</v>
      </c>
      <c r="AZ11" s="47">
        <f t="shared" si="1"/>
        <v>-13387951.610000001</v>
      </c>
      <c r="BA11" s="47">
        <f t="shared" si="1"/>
        <v>-54282835.840000011</v>
      </c>
      <c r="BB11" s="47">
        <f t="shared" si="1"/>
        <v>-40260312.719999999</v>
      </c>
      <c r="BC11" s="47">
        <f t="shared" si="1"/>
        <v>-26409153.259999998</v>
      </c>
      <c r="BD11" s="47">
        <f t="shared" si="1"/>
        <v>-12749743.83</v>
      </c>
      <c r="BE11" s="47">
        <f t="shared" si="1"/>
        <v>-50696415.25</v>
      </c>
      <c r="BF11" s="47">
        <f t="shared" si="1"/>
        <v>-37336976.300000004</v>
      </c>
      <c r="BG11" s="47">
        <f t="shared" si="1"/>
        <v>-24649985.009999998</v>
      </c>
      <c r="BH11" s="47">
        <f t="shared" si="1"/>
        <v>-12473752.989999998</v>
      </c>
      <c r="BI11" s="47">
        <f t="shared" si="1"/>
        <v>-23134829.719999999</v>
      </c>
      <c r="BJ11" s="47">
        <f t="shared" si="1"/>
        <v>-15035672.879999999</v>
      </c>
      <c r="BK11" s="47">
        <f t="shared" si="1"/>
        <v>-9551652.7000000011</v>
      </c>
      <c r="BL11" s="47">
        <f t="shared" si="1"/>
        <v>-4810399.78</v>
      </c>
      <c r="BM11" s="47">
        <f t="shared" si="1"/>
        <v>-21970808.059999999</v>
      </c>
      <c r="BN11" s="47">
        <f t="shared" si="1"/>
        <v>-281418.62</v>
      </c>
      <c r="BO11" s="47">
        <f t="shared" si="1"/>
        <v>-17844093.970000003</v>
      </c>
      <c r="BP11" s="47">
        <f t="shared" si="1"/>
        <v>-8715898.6799999997</v>
      </c>
      <c r="BQ11" s="47">
        <f t="shared" si="1"/>
        <v>-20992438.440000001</v>
      </c>
      <c r="BR11" s="47">
        <f t="shared" ref="BR11:BS11" si="2">BR5-BR6-BR7-BR8-BR9-BR10</f>
        <v>-9949151.5899999999</v>
      </c>
      <c r="BS11" s="47">
        <f t="shared" si="2"/>
        <v>-21195406.73</v>
      </c>
    </row>
    <row r="12" spans="1:74" s="26" customFormat="1">
      <c r="A12" s="17" t="s">
        <v>297</v>
      </c>
      <c r="E12" s="26">
        <f t="shared" ref="E12:Q12" si="3">I34</f>
        <v>12023246434.969999</v>
      </c>
      <c r="F12" s="26">
        <f t="shared" si="3"/>
        <v>11130000545.08</v>
      </c>
      <c r="G12" s="26">
        <f t="shared" si="3"/>
        <v>10462812737</v>
      </c>
      <c r="H12" s="26">
        <f t="shared" si="3"/>
        <v>10256069023.73</v>
      </c>
      <c r="I12" s="26">
        <f t="shared" si="3"/>
        <v>10141366533</v>
      </c>
      <c r="J12" s="26">
        <f t="shared" si="3"/>
        <v>10162599299.25</v>
      </c>
      <c r="K12" s="26">
        <f t="shared" si="3"/>
        <v>10167654347</v>
      </c>
      <c r="L12" s="26">
        <f t="shared" si="3"/>
        <v>10122096711.220001</v>
      </c>
      <c r="M12" s="26">
        <f t="shared" si="3"/>
        <v>10281957339</v>
      </c>
      <c r="N12" s="26">
        <f t="shared" si="3"/>
        <v>10215860721.410002</v>
      </c>
      <c r="O12" s="26">
        <f t="shared" si="3"/>
        <v>5096722599</v>
      </c>
      <c r="P12" s="26">
        <f t="shared" si="3"/>
        <v>5052159840.8000002</v>
      </c>
      <c r="Q12" s="26">
        <f t="shared" si="3"/>
        <v>5136257988</v>
      </c>
      <c r="R12" s="192">
        <f t="shared" ref="R12" si="4">V34</f>
        <v>5272473366</v>
      </c>
      <c r="S12" s="192">
        <f t="shared" ref="S12" si="5">W34</f>
        <v>5402148187</v>
      </c>
      <c r="T12" s="192">
        <f t="shared" ref="T12" si="6">X34</f>
        <v>5493382662.3200006</v>
      </c>
      <c r="U12" s="192">
        <f t="shared" ref="U12" si="7">Y34</f>
        <v>5594190445</v>
      </c>
      <c r="V12" s="192">
        <f t="shared" ref="V12" si="8">Z34</f>
        <v>5443194827</v>
      </c>
      <c r="W12" s="192">
        <f t="shared" ref="W12" si="9">AA34</f>
        <v>5524063943</v>
      </c>
      <c r="X12" s="192">
        <f t="shared" ref="X12" si="10">AB34</f>
        <v>5580805587.8000002</v>
      </c>
      <c r="Y12" s="192">
        <f t="shared" ref="Y12" si="11">AC34</f>
        <v>5659203637</v>
      </c>
      <c r="Z12" s="192">
        <f t="shared" ref="Z12" si="12">AD34</f>
        <v>5520810769.7700005</v>
      </c>
      <c r="AA12" s="192">
        <f t="shared" ref="AA12" si="13">AE34</f>
        <v>5598389404</v>
      </c>
      <c r="AB12" s="192">
        <f t="shared" ref="AB12" si="14">AF34</f>
        <v>5627282603.1199999</v>
      </c>
      <c r="AC12" s="192">
        <f t="shared" ref="AC12" si="15">AG34</f>
        <v>5639108001</v>
      </c>
      <c r="AD12" s="192">
        <f t="shared" ref="AD12" si="16">AH34</f>
        <v>5455116067.6999998</v>
      </c>
      <c r="AE12" s="192">
        <f t="shared" ref="AE12" si="17">AI34</f>
        <v>5175069850.1800003</v>
      </c>
      <c r="AF12" s="192">
        <f t="shared" ref="AF12" si="18">AJ34</f>
        <v>5034687948.8999996</v>
      </c>
      <c r="AG12" s="192">
        <f t="shared" ref="AG12" si="19">AK34</f>
        <v>4587132210.5</v>
      </c>
      <c r="AH12" s="192">
        <f t="shared" ref="AH12" si="20">AL34</f>
        <v>4180459873.6300001</v>
      </c>
      <c r="AI12" s="192">
        <f t="shared" ref="AI12" si="21">AM34</f>
        <v>4116493181.46</v>
      </c>
      <c r="AJ12" s="192">
        <f t="shared" ref="AJ12" si="22">AN34</f>
        <v>4014155107.8600001</v>
      </c>
      <c r="AK12" s="192">
        <f t="shared" ref="AK12" si="23">AO34</f>
        <v>4010943866.46</v>
      </c>
      <c r="AL12" s="192">
        <f t="shared" ref="AL12" si="24">AP34</f>
        <v>3700305413.9700003</v>
      </c>
      <c r="AM12" s="192">
        <f t="shared" ref="AM12" si="25">AQ34</f>
        <v>3357601566.8900003</v>
      </c>
      <c r="AN12" s="192">
        <f t="shared" ref="AN12" si="26">AR34</f>
        <v>3002106865.1500001</v>
      </c>
      <c r="AO12" s="192">
        <f t="shared" ref="AO12" si="27">AS34</f>
        <v>2780763802.2999997</v>
      </c>
      <c r="AP12" s="192">
        <f t="shared" ref="AP12" si="28">AT34</f>
        <v>2376653473.1600003</v>
      </c>
      <c r="AQ12" s="192">
        <f t="shared" ref="AQ12" si="29">AU34</f>
        <v>1263503570.1700001</v>
      </c>
      <c r="AR12" s="192">
        <f t="shared" ref="AR12" si="30">AV34</f>
        <v>1019683352.13</v>
      </c>
      <c r="AS12" s="192">
        <f t="shared" ref="AS12" si="31">AW34</f>
        <v>719053571.74000001</v>
      </c>
      <c r="AT12" s="192">
        <f t="shared" ref="AT12" si="32">AX34</f>
        <v>710474574.25999999</v>
      </c>
      <c r="AU12" s="192">
        <f t="shared" ref="AU12" si="33">AY34</f>
        <v>624450348.26999998</v>
      </c>
      <c r="AV12" s="192">
        <f t="shared" ref="AV12" si="34">AZ34</f>
        <v>637390319.25999999</v>
      </c>
      <c r="AW12" s="192">
        <f t="shared" ref="AW12" si="35">BA34</f>
        <v>587748018.29999995</v>
      </c>
      <c r="AX12" s="192">
        <f t="shared" ref="AX12" si="36">BB34</f>
        <v>612821177.35000002</v>
      </c>
      <c r="AY12" s="192">
        <f t="shared" ref="AY12" si="37">BC34</f>
        <v>624080949.61000001</v>
      </c>
      <c r="AZ12" s="192">
        <f t="shared" ref="AZ12" si="38">BD34</f>
        <v>634697613.25</v>
      </c>
      <c r="BA12" s="192">
        <f t="shared" ref="BA12" si="39">BE34</f>
        <v>643630520.16999996</v>
      </c>
      <c r="BB12" s="192">
        <f t="shared" ref="BB12" si="40">BF34</f>
        <v>612613996.75</v>
      </c>
      <c r="BC12" s="192">
        <f t="shared" ref="BC12" si="41">BG34</f>
        <v>615706338.69000006</v>
      </c>
      <c r="BD12" s="192">
        <f t="shared" ref="BD12" si="42">BH34</f>
        <v>611963940.13</v>
      </c>
      <c r="BE12" s="192">
        <f t="shared" ref="BE12" si="43">BI34</f>
        <v>628602544.41999996</v>
      </c>
      <c r="BF12" s="192">
        <f t="shared" ref="BF12" si="44">BJ34</f>
        <v>587220601.98000002</v>
      </c>
      <c r="BG12" s="192">
        <f t="shared" ref="BG12" si="45">BK34</f>
        <v>577169241.69000006</v>
      </c>
      <c r="BH12" s="192">
        <f t="shared" ref="BH12" si="46">BL34</f>
        <v>539904943.37</v>
      </c>
      <c r="BI12" s="192">
        <f t="shared" ref="BI12" si="47">BM34</f>
        <v>536592234.44</v>
      </c>
      <c r="BJ12" s="192">
        <f t="shared" ref="BJ12" si="48">BN34</f>
        <v>272504470.83999997</v>
      </c>
      <c r="BK12" s="192">
        <f t="shared" ref="BK12" si="49">BO34</f>
        <v>259750329.25999999</v>
      </c>
      <c r="BL12" s="192">
        <f t="shared" ref="BL12" si="50">BP34</f>
        <v>250098522.88</v>
      </c>
      <c r="BM12" s="192">
        <f t="shared" ref="BM12" si="51">BQ34</f>
        <v>3700305413.9700003</v>
      </c>
      <c r="BN12" s="192">
        <f t="shared" ref="BN12" si="52">BR34</f>
        <v>3357601566.8900003</v>
      </c>
    </row>
    <row r="13" spans="1:74" s="219" customFormat="1">
      <c r="A13" s="219" t="s">
        <v>350</v>
      </c>
      <c r="E13" s="219">
        <f>E11/E12</f>
        <v>0.52271302132265418</v>
      </c>
      <c r="F13" s="219">
        <f t="shared" ref="F13:AR13" si="53">F11/F12</f>
        <v>0.55772180160440255</v>
      </c>
      <c r="G13" s="219">
        <f t="shared" si="53"/>
        <v>0.4225717402295508</v>
      </c>
      <c r="H13" s="219">
        <f t="shared" si="53"/>
        <v>0.3402235739800985</v>
      </c>
      <c r="I13" s="219">
        <f t="shared" si="53"/>
        <v>0.18566107544216892</v>
      </c>
      <c r="J13" s="219">
        <f t="shared" si="53"/>
        <v>0.14210195670969497</v>
      </c>
      <c r="K13" s="219">
        <f t="shared" si="53"/>
        <v>-5.5426487837509884E-3</v>
      </c>
      <c r="L13" s="219">
        <f t="shared" si="53"/>
        <v>1.9340891704086878E-2</v>
      </c>
      <c r="M13" s="219">
        <f t="shared" si="53"/>
        <v>2.7913435305880526E-2</v>
      </c>
      <c r="N13" s="219">
        <f t="shared" si="53"/>
        <v>6.2675347084374472E-2</v>
      </c>
      <c r="O13" s="219">
        <f t="shared" si="53"/>
        <v>-4.171730614527016E-2</v>
      </c>
      <c r="P13" s="219">
        <f t="shared" si="53"/>
        <v>2.2118363872332531E-2</v>
      </c>
      <c r="Q13" s="219">
        <f t="shared" si="53"/>
        <v>-9.4172405110893739E-2</v>
      </c>
      <c r="R13" s="219">
        <f t="shared" si="53"/>
        <v>5.1871362794097049E-2</v>
      </c>
      <c r="S13" s="219">
        <f t="shared" si="53"/>
        <v>-3.0534274012872429E-2</v>
      </c>
      <c r="T13" s="219">
        <f t="shared" si="53"/>
        <v>7.327474376780491E-3</v>
      </c>
      <c r="U13" s="219">
        <f t="shared" si="53"/>
        <v>-6.255401750091831E-2</v>
      </c>
      <c r="V13" s="219">
        <f t="shared" si="53"/>
        <v>2.3684294076802847E-2</v>
      </c>
      <c r="W13" s="219">
        <f t="shared" si="53"/>
        <v>-3.0112999906670341E-2</v>
      </c>
      <c r="X13" s="219">
        <f t="shared" si="53"/>
        <v>9.8052224735482117E-3</v>
      </c>
      <c r="Y13" s="219">
        <f t="shared" si="53"/>
        <v>-1.4511000710964521E-2</v>
      </c>
      <c r="Z13" s="219">
        <f t="shared" si="53"/>
        <v>6.1631634951721997E-2</v>
      </c>
      <c r="AA13" s="219">
        <f t="shared" si="53"/>
        <v>-3.3114954430919041E-3</v>
      </c>
      <c r="AB13" s="219">
        <f t="shared" si="53"/>
        <v>2.2512266833686605E-2</v>
      </c>
      <c r="AC13" s="219">
        <f t="shared" si="53"/>
        <v>1.3276805832894705E-2</v>
      </c>
      <c r="AD13" s="219">
        <f t="shared" si="53"/>
        <v>5.5342196010741723E-2</v>
      </c>
      <c r="AE13" s="219">
        <f t="shared" si="53"/>
        <v>3.88959175097895E-3</v>
      </c>
      <c r="AF13" s="219">
        <f t="shared" si="53"/>
        <v>2.8224519055058211E-2</v>
      </c>
      <c r="AG13" s="219">
        <f t="shared" si="53"/>
        <v>0.18243017109567569</v>
      </c>
      <c r="AH13" s="219">
        <f t="shared" si="53"/>
        <v>0.24384706009744211</v>
      </c>
      <c r="AI13" s="219">
        <f t="shared" si="53"/>
        <v>0.12300208362556232</v>
      </c>
      <c r="AJ13" s="219">
        <f t="shared" si="53"/>
        <v>0.13461831870968313</v>
      </c>
      <c r="AK13" s="219">
        <f t="shared" si="53"/>
        <v>0.16554738473466538</v>
      </c>
      <c r="AL13" s="219">
        <f t="shared" si="53"/>
        <v>0.11273817821497858</v>
      </c>
      <c r="AM13" s="219">
        <f t="shared" si="53"/>
        <v>2.6322859695906118E-2</v>
      </c>
      <c r="AN13" s="219">
        <f t="shared" si="53"/>
        <v>3.0577248790047123E-2</v>
      </c>
      <c r="AO13" s="219">
        <f t="shared" si="53"/>
        <v>0.27416228238781976</v>
      </c>
      <c r="AP13" s="219">
        <f t="shared" si="53"/>
        <v>0.24150428248879144</v>
      </c>
      <c r="AQ13" s="219">
        <f t="shared" si="53"/>
        <v>0.47694586873143469</v>
      </c>
      <c r="AR13" s="219">
        <f t="shared" si="53"/>
        <v>0.25782694206081586</v>
      </c>
    </row>
    <row r="14" spans="1:74" s="48" customFormat="1">
      <c r="A14" s="46" t="s">
        <v>293</v>
      </c>
    </row>
    <row r="15" spans="1:74" s="26" customFormat="1">
      <c r="A15" s="17" t="s">
        <v>313</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117196788</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row>
    <row r="16" spans="1:74" s="26" customFormat="1">
      <c r="A16" s="17" t="s">
        <v>314</v>
      </c>
      <c r="B16" s="189">
        <v>0</v>
      </c>
      <c r="C16" s="189">
        <v>0</v>
      </c>
      <c r="D16" s="189">
        <v>0</v>
      </c>
      <c r="E16" s="189">
        <v>0</v>
      </c>
      <c r="F16" s="189">
        <v>0</v>
      </c>
      <c r="G16" s="189">
        <v>0</v>
      </c>
      <c r="H16" s="189">
        <v>0</v>
      </c>
      <c r="I16" s="189">
        <v>0</v>
      </c>
      <c r="J16" s="189">
        <v>0</v>
      </c>
      <c r="K16" s="189">
        <v>0</v>
      </c>
      <c r="L16" s="189">
        <v>0</v>
      </c>
      <c r="M16" s="189">
        <v>13033451</v>
      </c>
      <c r="N16" s="189">
        <v>0</v>
      </c>
      <c r="O16" s="189">
        <v>0</v>
      </c>
      <c r="P16" s="189">
        <v>0</v>
      </c>
      <c r="Q16" s="189">
        <v>0</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c r="AW16" s="189">
        <v>0</v>
      </c>
      <c r="AX16" s="189">
        <v>0</v>
      </c>
      <c r="AY16" s="189">
        <v>0</v>
      </c>
      <c r="AZ16" s="189">
        <v>0</v>
      </c>
      <c r="BA16" s="189">
        <v>0</v>
      </c>
      <c r="BB16" s="189">
        <v>0</v>
      </c>
      <c r="BC16" s="189">
        <v>0</v>
      </c>
      <c r="BD16" s="189">
        <v>0</v>
      </c>
      <c r="BE16" s="189">
        <v>0</v>
      </c>
      <c r="BF16" s="189">
        <v>0</v>
      </c>
      <c r="BG16" s="189">
        <v>0</v>
      </c>
      <c r="BH16" s="189">
        <v>0</v>
      </c>
      <c r="BI16" s="189">
        <v>0</v>
      </c>
      <c r="BJ16" s="189">
        <v>0</v>
      </c>
      <c r="BK16" s="189">
        <v>0</v>
      </c>
      <c r="BL16" s="189">
        <v>0</v>
      </c>
      <c r="BM16" s="189">
        <v>0</v>
      </c>
      <c r="BN16" s="189">
        <v>0</v>
      </c>
      <c r="BO16" s="189">
        <v>0</v>
      </c>
      <c r="BP16" s="189">
        <v>0</v>
      </c>
      <c r="BQ16" s="189">
        <v>0</v>
      </c>
      <c r="BR16" s="189">
        <v>0</v>
      </c>
      <c r="BS16" s="189">
        <v>0</v>
      </c>
      <c r="BT16" s="189">
        <v>0</v>
      </c>
      <c r="BU16" s="189">
        <v>0</v>
      </c>
      <c r="BV16" s="189">
        <v>0</v>
      </c>
    </row>
    <row r="17" spans="1:74" s="47" customFormat="1">
      <c r="A17" s="135" t="s">
        <v>298</v>
      </c>
      <c r="E17" s="47">
        <f>E16-E15</f>
        <v>0</v>
      </c>
      <c r="F17" s="47">
        <f t="shared" ref="F17:AV17" si="54">F16-F15</f>
        <v>0</v>
      </c>
      <c r="G17" s="47">
        <f t="shared" si="54"/>
        <v>0</v>
      </c>
      <c r="H17" s="47">
        <f t="shared" si="54"/>
        <v>0</v>
      </c>
      <c r="I17" s="47">
        <f t="shared" si="54"/>
        <v>0</v>
      </c>
      <c r="J17" s="47">
        <f t="shared" si="54"/>
        <v>0</v>
      </c>
      <c r="K17" s="47">
        <f t="shared" si="54"/>
        <v>0</v>
      </c>
      <c r="L17" s="47">
        <f t="shared" si="54"/>
        <v>0</v>
      </c>
      <c r="M17" s="47">
        <f t="shared" si="54"/>
        <v>13033451</v>
      </c>
      <c r="N17" s="47">
        <f t="shared" si="54"/>
        <v>0</v>
      </c>
      <c r="O17" s="47">
        <f t="shared" si="54"/>
        <v>0</v>
      </c>
      <c r="P17" s="47">
        <f t="shared" si="54"/>
        <v>0</v>
      </c>
      <c r="Q17" s="47">
        <f t="shared" si="54"/>
        <v>-117196788</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0</v>
      </c>
      <c r="AP17" s="47">
        <f t="shared" si="54"/>
        <v>0</v>
      </c>
      <c r="AQ17" s="47">
        <f t="shared" si="54"/>
        <v>0</v>
      </c>
      <c r="AR17" s="47">
        <f t="shared" si="54"/>
        <v>0</v>
      </c>
      <c r="AS17" s="47">
        <f t="shared" si="54"/>
        <v>0</v>
      </c>
      <c r="AT17" s="47">
        <f t="shared" si="54"/>
        <v>0</v>
      </c>
      <c r="AU17" s="47">
        <f t="shared" si="54"/>
        <v>0</v>
      </c>
      <c r="AV17" s="47">
        <f t="shared" si="54"/>
        <v>0</v>
      </c>
    </row>
    <row r="18" spans="1:74" s="48" customFormat="1">
      <c r="A18" s="46" t="s">
        <v>294</v>
      </c>
    </row>
    <row r="19" spans="1:74" s="192" customFormat="1">
      <c r="A19" s="192" t="s">
        <v>299</v>
      </c>
      <c r="E19" s="192">
        <f>E5+E17</f>
        <v>7349609351.4099998</v>
      </c>
      <c r="F19" s="192">
        <f t="shared" ref="F19:AS19" si="55">F5+F17</f>
        <v>6207443955.8599997</v>
      </c>
      <c r="G19" s="192">
        <f t="shared" si="55"/>
        <v>4953764838.2799997</v>
      </c>
      <c r="H19" s="192">
        <f t="shared" si="55"/>
        <v>3489356458.2400002</v>
      </c>
      <c r="I19" s="192">
        <f t="shared" si="55"/>
        <v>3031063680.1199999</v>
      </c>
      <c r="J19" s="192">
        <f t="shared" si="55"/>
        <v>1444125245.6800001</v>
      </c>
      <c r="K19" s="192">
        <f t="shared" si="55"/>
        <v>535855631</v>
      </c>
      <c r="L19" s="192">
        <f t="shared" si="55"/>
        <v>195770376.31</v>
      </c>
      <c r="M19" s="192">
        <f t="shared" si="55"/>
        <v>1668637962</v>
      </c>
      <c r="N19" s="192">
        <f t="shared" si="55"/>
        <v>640282616.48000002</v>
      </c>
      <c r="O19" s="192">
        <f t="shared" si="55"/>
        <v>490698091</v>
      </c>
      <c r="P19" s="192">
        <f t="shared" si="55"/>
        <v>111745509.7</v>
      </c>
      <c r="Q19" s="192">
        <f t="shared" si="55"/>
        <v>326184227</v>
      </c>
      <c r="R19" s="192">
        <f t="shared" si="55"/>
        <v>273490378.79000002</v>
      </c>
      <c r="S19" s="192">
        <f t="shared" si="55"/>
        <v>86538987</v>
      </c>
      <c r="T19" s="192">
        <f t="shared" si="55"/>
        <v>40252620.700000003</v>
      </c>
      <c r="U19" s="192">
        <f t="shared" si="55"/>
        <v>169810943</v>
      </c>
      <c r="V19" s="192">
        <f t="shared" si="55"/>
        <v>128918227</v>
      </c>
      <c r="W19" s="192">
        <f t="shared" si="55"/>
        <v>100528728</v>
      </c>
      <c r="X19" s="192">
        <f t="shared" si="55"/>
        <v>54721040.369999997</v>
      </c>
      <c r="Y19" s="192">
        <f t="shared" si="55"/>
        <v>426358900</v>
      </c>
      <c r="Z19" s="192">
        <f t="shared" si="55"/>
        <v>340256594</v>
      </c>
      <c r="AA19" s="192">
        <f t="shared" si="55"/>
        <v>233613132</v>
      </c>
      <c r="AB19" s="192">
        <f t="shared" si="55"/>
        <v>126682887.50999999</v>
      </c>
      <c r="AC19" s="192">
        <f t="shared" si="55"/>
        <v>548729995</v>
      </c>
      <c r="AD19" s="192">
        <f t="shared" si="55"/>
        <v>301898102.68000001</v>
      </c>
      <c r="AE19" s="192">
        <f t="shared" si="55"/>
        <v>251959697</v>
      </c>
      <c r="AF19" s="192">
        <f t="shared" si="55"/>
        <v>142101645.94999999</v>
      </c>
      <c r="AG19" s="192">
        <f t="shared" si="55"/>
        <v>1155264757</v>
      </c>
      <c r="AH19" s="192">
        <f t="shared" si="55"/>
        <v>1019392850.04</v>
      </c>
      <c r="AI19" s="192">
        <f t="shared" si="55"/>
        <v>662393446.60000002</v>
      </c>
      <c r="AJ19" s="192">
        <f t="shared" si="55"/>
        <v>540378811.65999997</v>
      </c>
      <c r="AK19" s="192">
        <f t="shared" si="55"/>
        <v>979672294.60000002</v>
      </c>
      <c r="AL19" s="192">
        <f t="shared" si="55"/>
        <v>417165691.20999998</v>
      </c>
      <c r="AM19" s="192">
        <f t="shared" si="55"/>
        <v>238638273.11000001</v>
      </c>
      <c r="AN19" s="192">
        <f t="shared" si="55"/>
        <v>91796168.510000005</v>
      </c>
      <c r="AO19" s="192">
        <f t="shared" si="55"/>
        <v>895150540.32000005</v>
      </c>
      <c r="AP19" s="192">
        <f t="shared" si="55"/>
        <v>573971991.75999999</v>
      </c>
      <c r="AQ19" s="192">
        <f t="shared" si="55"/>
        <v>605414372.77999997</v>
      </c>
      <c r="AR19" s="192">
        <f t="shared" si="55"/>
        <v>262901840.55000001</v>
      </c>
      <c r="AS19" s="192">
        <f t="shared" si="55"/>
        <v>0</v>
      </c>
    </row>
    <row r="20" spans="1:74" s="192" customFormat="1">
      <c r="A20" s="192" t="s">
        <v>300</v>
      </c>
      <c r="B20" s="189">
        <v>2247508825.0100002</v>
      </c>
      <c r="C20" s="189">
        <v>956172589.92999995</v>
      </c>
      <c r="D20" s="189">
        <v>514585123.36000001</v>
      </c>
      <c r="E20" s="189">
        <v>1921203382</v>
      </c>
      <c r="F20" s="189">
        <v>1296493066.79</v>
      </c>
      <c r="G20" s="189">
        <v>-133754593</v>
      </c>
      <c r="H20" s="189">
        <v>-931880681.86000001</v>
      </c>
      <c r="I20" s="189">
        <v>980606988.61000001</v>
      </c>
      <c r="J20" s="189">
        <v>-416608018.76999998</v>
      </c>
      <c r="K20" s="189">
        <v>-1579123796</v>
      </c>
      <c r="L20" s="189">
        <v>-1012563612.22</v>
      </c>
      <c r="M20" s="189">
        <v>4459078030</v>
      </c>
      <c r="N20" s="189">
        <v>1669868549.6900001</v>
      </c>
      <c r="O20" s="189">
        <v>836757732</v>
      </c>
      <c r="P20" s="189">
        <v>683608732.96000004</v>
      </c>
      <c r="Q20" s="189">
        <v>1385683779</v>
      </c>
      <c r="R20" s="189">
        <v>1016247706.38</v>
      </c>
      <c r="S20" s="189">
        <v>137255641</v>
      </c>
      <c r="T20" s="189">
        <v>-131865859.58</v>
      </c>
      <c r="U20" s="189">
        <v>1421687316</v>
      </c>
      <c r="V20" s="189">
        <v>423714938</v>
      </c>
      <c r="W20" s="189">
        <v>414361128</v>
      </c>
      <c r="X20" s="189">
        <v>109174194.39</v>
      </c>
      <c r="Y20" s="189">
        <v>816946079</v>
      </c>
      <c r="Z20" s="189">
        <v>341863286</v>
      </c>
      <c r="AA20" s="189">
        <v>197831815</v>
      </c>
      <c r="AB20" s="189">
        <v>288395785.77999997</v>
      </c>
      <c r="AC20" s="189">
        <v>532957245</v>
      </c>
      <c r="AD20" s="189">
        <v>261056152.16</v>
      </c>
      <c r="AE20" s="189">
        <v>109353102</v>
      </c>
      <c r="AF20" s="189">
        <v>4982906.4400000004</v>
      </c>
      <c r="AG20" s="189">
        <v>355446353</v>
      </c>
      <c r="AH20" s="189">
        <v>144210853.19</v>
      </c>
      <c r="AI20" s="189">
        <v>138627524.66999999</v>
      </c>
      <c r="AJ20" s="189">
        <v>1057522.51</v>
      </c>
      <c r="AK20" s="189">
        <v>436077993.11000001</v>
      </c>
      <c r="AL20" s="189">
        <v>294444229.56999999</v>
      </c>
      <c r="AM20" s="189">
        <v>153860936.88</v>
      </c>
      <c r="AN20" s="189">
        <v>52594408.520000003</v>
      </c>
      <c r="AO20" s="189">
        <v>223496679.47</v>
      </c>
      <c r="AP20" s="189">
        <v>206946646.78999999</v>
      </c>
      <c r="AQ20" s="189">
        <v>143511394.87</v>
      </c>
      <c r="AR20" s="189">
        <v>-22899869.550000001</v>
      </c>
      <c r="AS20" s="189">
        <v>118042250.03</v>
      </c>
      <c r="AT20" s="189">
        <v>61401203.799999997</v>
      </c>
      <c r="AU20" s="189">
        <v>87685297.340000004</v>
      </c>
      <c r="AV20" s="189">
        <v>53065571.369999997</v>
      </c>
      <c r="AW20" s="189">
        <v>219506457.56</v>
      </c>
      <c r="AX20" s="189">
        <v>211168355.78999999</v>
      </c>
      <c r="AY20" s="189">
        <v>85142670.299999997</v>
      </c>
      <c r="AZ20" s="189">
        <v>88130296.239999995</v>
      </c>
      <c r="BA20" s="189">
        <v>102726880.20999999</v>
      </c>
      <c r="BB20" s="189">
        <v>98473063.219999999</v>
      </c>
      <c r="BC20" s="189">
        <v>50520858.369999997</v>
      </c>
      <c r="BD20" s="189">
        <v>-10636226.23</v>
      </c>
      <c r="BE20" s="189">
        <v>38807863.270000003</v>
      </c>
      <c r="BF20" s="189">
        <v>-13519325.689999999</v>
      </c>
      <c r="BG20" s="189">
        <v>2352091.84</v>
      </c>
      <c r="BH20" s="189">
        <v>38403963.600000001</v>
      </c>
      <c r="BI20" s="189">
        <v>430419.51</v>
      </c>
      <c r="BJ20" s="189">
        <v>557307.22</v>
      </c>
      <c r="BK20" s="189">
        <v>-5721360.2300000004</v>
      </c>
      <c r="BL20" s="189">
        <v>10138851.73</v>
      </c>
      <c r="BM20" s="189">
        <v>47598866.020000003</v>
      </c>
      <c r="BN20" s="189">
        <v>23880562.329999998</v>
      </c>
      <c r="BO20" s="189">
        <v>79034723.510000005</v>
      </c>
      <c r="BP20" s="189">
        <v>20794545.300000001</v>
      </c>
      <c r="BQ20" s="189">
        <v>9323546.5399999991</v>
      </c>
      <c r="BR20" s="189">
        <v>4438197.21</v>
      </c>
      <c r="BS20" s="189">
        <v>-22939163.289999999</v>
      </c>
      <c r="BT20" s="189">
        <v>9646307.7599999998</v>
      </c>
      <c r="BU20" s="189">
        <v>0</v>
      </c>
      <c r="BV20" s="192">
        <v>0</v>
      </c>
    </row>
    <row r="21" spans="1:74" s="220" customFormat="1">
      <c r="A21" s="220" t="s">
        <v>665</v>
      </c>
      <c r="E21" s="220">
        <f>E20/E19</f>
        <v>0.26140210862110963</v>
      </c>
      <c r="F21" s="220">
        <f t="shared" ref="F21:AS21" si="56">F20/F19</f>
        <v>0.20886101848186234</v>
      </c>
      <c r="G21" s="220">
        <f t="shared" si="56"/>
        <v>-2.7000593965708114E-2</v>
      </c>
      <c r="H21" s="220">
        <f t="shared" si="56"/>
        <v>-0.26706376749196675</v>
      </c>
      <c r="I21" s="220">
        <f t="shared" si="56"/>
        <v>0.32351909827614633</v>
      </c>
      <c r="J21" s="220">
        <f t="shared" si="56"/>
        <v>-0.28848468650226411</v>
      </c>
      <c r="K21" s="220">
        <f t="shared" si="56"/>
        <v>-2.9469202237421297</v>
      </c>
      <c r="L21" s="220">
        <f t="shared" si="56"/>
        <v>-5.1722003671107926</v>
      </c>
      <c r="M21" s="220">
        <f t="shared" si="56"/>
        <v>2.6722860989303081</v>
      </c>
      <c r="N21" s="220">
        <f t="shared" si="56"/>
        <v>2.608017938813056</v>
      </c>
      <c r="O21" s="220">
        <f t="shared" si="56"/>
        <v>1.7052394279642715</v>
      </c>
      <c r="P21" s="220">
        <f t="shared" si="56"/>
        <v>6.1175499113589886</v>
      </c>
      <c r="Q21" s="220">
        <f t="shared" si="56"/>
        <v>4.2481630449899104</v>
      </c>
      <c r="R21" s="220">
        <f t="shared" si="56"/>
        <v>3.7158444508218964</v>
      </c>
      <c r="S21" s="220">
        <f t="shared" si="56"/>
        <v>1.5860555543595629</v>
      </c>
      <c r="T21" s="220">
        <f t="shared" si="56"/>
        <v>-3.2759571249481398</v>
      </c>
      <c r="U21" s="220">
        <f t="shared" si="56"/>
        <v>8.3721772630401095</v>
      </c>
      <c r="V21" s="220">
        <f t="shared" si="56"/>
        <v>3.2866953561190382</v>
      </c>
      <c r="W21" s="220">
        <f t="shared" si="56"/>
        <v>4.1218180737351018</v>
      </c>
      <c r="X21" s="220">
        <f t="shared" si="56"/>
        <v>1.9951045091944768</v>
      </c>
      <c r="Y21" s="220">
        <f t="shared" si="56"/>
        <v>1.9160995091224788</v>
      </c>
      <c r="Z21" s="220">
        <f t="shared" si="56"/>
        <v>1.00472200106723</v>
      </c>
      <c r="AA21" s="220">
        <f t="shared" si="56"/>
        <v>0.84683516421499794</v>
      </c>
      <c r="AB21" s="220">
        <f t="shared" si="56"/>
        <v>2.2765173059165931</v>
      </c>
      <c r="AC21" s="220">
        <f t="shared" si="56"/>
        <v>0.97125589972532844</v>
      </c>
      <c r="AD21" s="220">
        <f t="shared" si="56"/>
        <v>0.86471610733078752</v>
      </c>
      <c r="AE21" s="220">
        <f t="shared" si="56"/>
        <v>0.43401029332084012</v>
      </c>
      <c r="AF21" s="220">
        <f t="shared" si="56"/>
        <v>3.50657897499181E-2</v>
      </c>
      <c r="AG21" s="220">
        <f t="shared" si="56"/>
        <v>0.30767523275186348</v>
      </c>
      <c r="AH21" s="220">
        <f t="shared" si="56"/>
        <v>0.14146739717111151</v>
      </c>
      <c r="AI21" s="220">
        <f t="shared" si="56"/>
        <v>0.20928275390036141</v>
      </c>
      <c r="AJ21" s="220">
        <f t="shared" si="56"/>
        <v>1.9570021754764522E-3</v>
      </c>
      <c r="AK21" s="220">
        <f t="shared" si="56"/>
        <v>0.44512639125724235</v>
      </c>
      <c r="AL21" s="220">
        <f t="shared" si="56"/>
        <v>0.70582081838023836</v>
      </c>
      <c r="AM21" s="220">
        <f t="shared" si="56"/>
        <v>0.64474543364248194</v>
      </c>
      <c r="AN21" s="220">
        <f t="shared" si="56"/>
        <v>0.57294775341598836</v>
      </c>
      <c r="AO21" s="220">
        <f t="shared" si="56"/>
        <v>0.24967496460439381</v>
      </c>
      <c r="AP21" s="220">
        <f t="shared" si="56"/>
        <v>0.36055182092671245</v>
      </c>
      <c r="AQ21" s="220">
        <f t="shared" si="56"/>
        <v>0.23704656070686028</v>
      </c>
      <c r="AR21" s="220">
        <f t="shared" si="56"/>
        <v>-8.7104257247087577E-2</v>
      </c>
      <c r="AS21" s="220" t="e">
        <f t="shared" si="56"/>
        <v>#DIV/0!</v>
      </c>
    </row>
    <row r="22" spans="1:74" s="192" customFormat="1">
      <c r="A22" s="192" t="s">
        <v>301</v>
      </c>
      <c r="E22" s="192">
        <f>I35</f>
        <v>4497227941.7600002</v>
      </c>
      <c r="F22" s="192">
        <f t="shared" ref="F22:Y22" si="57">J35</f>
        <v>5095410406.0299997</v>
      </c>
      <c r="G22" s="192">
        <f t="shared" si="57"/>
        <v>4709639840</v>
      </c>
      <c r="H22" s="192">
        <f t="shared" si="57"/>
        <v>5578693760.0299997</v>
      </c>
      <c r="I22" s="192">
        <f t="shared" si="57"/>
        <v>7377014278</v>
      </c>
      <c r="J22" s="192">
        <f t="shared" si="57"/>
        <v>2662662617.3400002</v>
      </c>
      <c r="K22" s="192">
        <f t="shared" si="57"/>
        <v>3213101557</v>
      </c>
      <c r="L22" s="192">
        <f t="shared" si="57"/>
        <v>2547908073.9200001</v>
      </c>
      <c r="M22" s="192">
        <f t="shared" si="57"/>
        <v>877098152</v>
      </c>
      <c r="N22" s="192">
        <f t="shared" si="57"/>
        <v>3283349781.3899999</v>
      </c>
      <c r="O22" s="192">
        <f t="shared" si="57"/>
        <v>570550971</v>
      </c>
      <c r="P22" s="192">
        <f t="shared" si="57"/>
        <v>844473319.96999991</v>
      </c>
      <c r="Q22" s="192">
        <f t="shared" si="57"/>
        <v>1013344044</v>
      </c>
      <c r="R22" s="192">
        <f t="shared" si="57"/>
        <v>439545688</v>
      </c>
      <c r="S22" s="192">
        <f t="shared" si="57"/>
        <v>486470936</v>
      </c>
      <c r="T22" s="192">
        <f t="shared" si="57"/>
        <v>525444387.13999999</v>
      </c>
      <c r="U22" s="192">
        <f t="shared" si="57"/>
        <v>523076906</v>
      </c>
      <c r="V22" s="192">
        <f t="shared" si="57"/>
        <v>550824726</v>
      </c>
      <c r="W22" s="192">
        <f t="shared" si="57"/>
        <v>596873371</v>
      </c>
      <c r="X22" s="192">
        <f t="shared" si="57"/>
        <v>797416345.23000002</v>
      </c>
      <c r="Y22" s="192">
        <f t="shared" si="57"/>
        <v>744071213</v>
      </c>
      <c r="Z22" s="192">
        <f t="shared" ref="Z22" si="58">AD35</f>
        <v>858499196.33999991</v>
      </c>
      <c r="AA22" s="192">
        <f t="shared" ref="AA22" si="59">AE35</f>
        <v>1058843953</v>
      </c>
      <c r="AB22" s="192">
        <f t="shared" ref="AB22" si="60">AF35</f>
        <v>890213147.28999996</v>
      </c>
      <c r="AC22" s="192">
        <f t="shared" ref="AC22" si="61">AG35</f>
        <v>892266242</v>
      </c>
      <c r="AD22" s="192">
        <f t="shared" ref="AD22" si="62">AH35</f>
        <v>929527222.90999997</v>
      </c>
      <c r="AE22" s="192">
        <f t="shared" ref="AE22" si="63">AI35</f>
        <v>1465265328.78</v>
      </c>
      <c r="AF22" s="192">
        <f t="shared" ref="AF22" si="64">AJ35</f>
        <v>1081782040.52</v>
      </c>
      <c r="AG22" s="192">
        <f t="shared" ref="AG22" si="65">AK35</f>
        <v>1199524562.9100001</v>
      </c>
      <c r="AH22" s="192">
        <f t="shared" ref="AH22" si="66">AL35</f>
        <v>878511309.68999994</v>
      </c>
      <c r="AI22" s="192">
        <f t="shared" ref="AI22" si="67">AM35</f>
        <v>820478406.51999998</v>
      </c>
      <c r="AJ22" s="192">
        <f t="shared" ref="AJ22" si="68">AN35</f>
        <v>522855101.58000004</v>
      </c>
      <c r="AK22" s="192">
        <f t="shared" ref="AK22" si="69">AO35</f>
        <v>321797486.72000003</v>
      </c>
      <c r="AL22" s="192">
        <f t="shared" ref="AL22" si="70">AP35</f>
        <v>545601106.28999996</v>
      </c>
      <c r="AM22" s="192">
        <f t="shared" ref="AM22" si="71">AQ35</f>
        <v>727687604.44000006</v>
      </c>
      <c r="AN22" s="192">
        <f t="shared" ref="AN22" si="72">AR35</f>
        <v>902622816.6099999</v>
      </c>
      <c r="AO22" s="192">
        <f t="shared" ref="AO22" si="73">AS35</f>
        <v>931596380.57000005</v>
      </c>
      <c r="AP22" s="192">
        <f t="shared" ref="AP22" si="74">AT35</f>
        <v>1392077981.1700001</v>
      </c>
      <c r="AQ22" s="192">
        <f t="shared" ref="AQ22" si="75">AU35</f>
        <v>1641711246.5899999</v>
      </c>
      <c r="AR22" s="192">
        <f t="shared" ref="AR22" si="76">AV35</f>
        <v>335027731.99000001</v>
      </c>
      <c r="AS22" s="192">
        <f t="shared" ref="AS22" si="77">AW35</f>
        <v>122356099.13</v>
      </c>
    </row>
    <row r="23" spans="1:74" s="192" customFormat="1">
      <c r="A23" s="192" t="s">
        <v>302</v>
      </c>
      <c r="E23" s="192">
        <f>E20+E22-E19</f>
        <v>-931178027.64999962</v>
      </c>
      <c r="F23" s="192">
        <f t="shared" ref="F23:AS23" si="78">F20+F22-F19</f>
        <v>184459516.96000004</v>
      </c>
      <c r="G23" s="192">
        <f t="shared" si="78"/>
        <v>-377879591.27999973</v>
      </c>
      <c r="H23" s="192">
        <f t="shared" si="78"/>
        <v>1157456619.9299998</v>
      </c>
      <c r="I23" s="192">
        <f t="shared" si="78"/>
        <v>5326557586.4899998</v>
      </c>
      <c r="J23" s="192">
        <f t="shared" si="78"/>
        <v>801929352.8900001</v>
      </c>
      <c r="K23" s="192">
        <f t="shared" si="78"/>
        <v>1098122130</v>
      </c>
      <c r="L23" s="192">
        <f t="shared" si="78"/>
        <v>1339574085.3900001</v>
      </c>
      <c r="M23" s="192">
        <f t="shared" si="78"/>
        <v>3667538220</v>
      </c>
      <c r="N23" s="192">
        <f t="shared" si="78"/>
        <v>4312935714.6000004</v>
      </c>
      <c r="O23" s="192">
        <f t="shared" si="78"/>
        <v>916610612</v>
      </c>
      <c r="P23" s="192">
        <f t="shared" si="78"/>
        <v>1416336543.2299998</v>
      </c>
      <c r="Q23" s="192">
        <f t="shared" si="78"/>
        <v>2072843596</v>
      </c>
      <c r="R23" s="192">
        <f t="shared" si="78"/>
        <v>1182303015.5900002</v>
      </c>
      <c r="S23" s="192">
        <f t="shared" si="78"/>
        <v>537187590</v>
      </c>
      <c r="T23" s="192">
        <f t="shared" si="78"/>
        <v>353325906.86000001</v>
      </c>
      <c r="U23" s="192">
        <f t="shared" si="78"/>
        <v>1774953279</v>
      </c>
      <c r="V23" s="192">
        <f t="shared" si="78"/>
        <v>845621437</v>
      </c>
      <c r="W23" s="192">
        <f t="shared" si="78"/>
        <v>910705771</v>
      </c>
      <c r="X23" s="192">
        <f t="shared" si="78"/>
        <v>851869499.25</v>
      </c>
      <c r="Y23" s="192">
        <f t="shared" si="78"/>
        <v>1134658392</v>
      </c>
      <c r="Z23" s="192">
        <f t="shared" si="78"/>
        <v>860105888.33999991</v>
      </c>
      <c r="AA23" s="192">
        <f t="shared" si="78"/>
        <v>1023062636</v>
      </c>
      <c r="AB23" s="192">
        <f t="shared" si="78"/>
        <v>1051926045.5599999</v>
      </c>
      <c r="AC23" s="192">
        <f t="shared" si="78"/>
        <v>876493492</v>
      </c>
      <c r="AD23" s="192">
        <f t="shared" si="78"/>
        <v>888685272.38999987</v>
      </c>
      <c r="AE23" s="192">
        <f t="shared" si="78"/>
        <v>1322658733.78</v>
      </c>
      <c r="AF23" s="192">
        <f t="shared" si="78"/>
        <v>944663301.00999999</v>
      </c>
      <c r="AG23" s="192">
        <f t="shared" si="78"/>
        <v>399706158.91000009</v>
      </c>
      <c r="AH23" s="192">
        <f t="shared" si="78"/>
        <v>3329312.8399999142</v>
      </c>
      <c r="AI23" s="192">
        <f t="shared" si="78"/>
        <v>296712484.58999991</v>
      </c>
      <c r="AJ23" s="192">
        <f t="shared" si="78"/>
        <v>-16466187.569999933</v>
      </c>
      <c r="AK23" s="192">
        <f t="shared" si="78"/>
        <v>-221796814.76999998</v>
      </c>
      <c r="AL23" s="192">
        <f t="shared" si="78"/>
        <v>422879644.64999992</v>
      </c>
      <c r="AM23" s="192">
        <f t="shared" si="78"/>
        <v>642910268.21000004</v>
      </c>
      <c r="AN23" s="192">
        <f t="shared" si="78"/>
        <v>863421056.61999989</v>
      </c>
      <c r="AO23" s="192">
        <f t="shared" si="78"/>
        <v>259942519.71999991</v>
      </c>
      <c r="AP23" s="192">
        <f t="shared" si="78"/>
        <v>1025052636.2</v>
      </c>
      <c r="AQ23" s="192">
        <f t="shared" si="78"/>
        <v>1179808268.6800001</v>
      </c>
      <c r="AR23" s="192">
        <f t="shared" si="78"/>
        <v>49226021.889999986</v>
      </c>
      <c r="AS23" s="192">
        <f t="shared" si="78"/>
        <v>240398349.16</v>
      </c>
    </row>
    <row r="24" spans="1:74" s="220" customFormat="1">
      <c r="A24" s="220" t="s">
        <v>303</v>
      </c>
      <c r="B24" s="189">
        <v>369400977.47000003</v>
      </c>
      <c r="C24" s="189">
        <v>532984730.69</v>
      </c>
      <c r="D24" s="189">
        <v>974698270.24000001</v>
      </c>
      <c r="E24" s="189">
        <v>5181600029.2200003</v>
      </c>
      <c r="F24" s="189">
        <v>3593109292.9099998</v>
      </c>
      <c r="G24" s="189">
        <v>3129793492.5599999</v>
      </c>
      <c r="H24" s="189">
        <v>2009437339.77</v>
      </c>
      <c r="I24" s="189">
        <v>-954897263.48000002</v>
      </c>
      <c r="J24" s="189">
        <v>-481251001.50999999</v>
      </c>
      <c r="K24" s="189">
        <v>-391059716</v>
      </c>
      <c r="L24" s="189">
        <v>104341506.23</v>
      </c>
      <c r="M24" s="189">
        <v>3637640639</v>
      </c>
      <c r="N24" s="189">
        <v>754280765.41999996</v>
      </c>
      <c r="O24" s="189">
        <v>2006955723</v>
      </c>
      <c r="P24" s="189">
        <v>1112055332.74</v>
      </c>
      <c r="Q24" s="189">
        <v>-1994957265</v>
      </c>
      <c r="R24" s="189">
        <v>595401793.67999995</v>
      </c>
      <c r="S24" s="189">
        <v>-448753366</v>
      </c>
      <c r="T24" s="189">
        <v>-71391967.269999996</v>
      </c>
      <c r="U24" s="189">
        <v>-674218306</v>
      </c>
      <c r="V24" s="189">
        <v>-361782231</v>
      </c>
      <c r="W24" s="189">
        <v>-336705664</v>
      </c>
      <c r="X24" s="189">
        <v>-41870691.740000002</v>
      </c>
      <c r="Y24" s="189">
        <v>-525115887</v>
      </c>
      <c r="Z24" s="189">
        <v>-195918798</v>
      </c>
      <c r="AA24" s="189">
        <v>-72299022</v>
      </c>
      <c r="AB24" s="189">
        <v>-125469262.53</v>
      </c>
      <c r="AC24" s="189">
        <v>-159348480</v>
      </c>
      <c r="AD24" s="189">
        <v>-10693989.02</v>
      </c>
      <c r="AE24" s="189">
        <v>272756850</v>
      </c>
      <c r="AF24" s="189">
        <v>135300966.30000001</v>
      </c>
      <c r="AG24" s="189">
        <v>616243124</v>
      </c>
      <c r="AH24" s="189">
        <v>805095868.05999994</v>
      </c>
      <c r="AI24" s="189">
        <v>967034461.66999996</v>
      </c>
      <c r="AJ24" s="189">
        <v>528909011.14999998</v>
      </c>
      <c r="AK24" s="189">
        <v>1521261773.6099999</v>
      </c>
      <c r="AL24" s="189">
        <v>727363970</v>
      </c>
      <c r="AM24" s="189">
        <v>628277938.84000003</v>
      </c>
      <c r="AN24" s="189">
        <v>254257781.59</v>
      </c>
      <c r="AO24" s="189">
        <v>213832253.47999999</v>
      </c>
      <c r="AP24" s="189">
        <v>336560609.72000003</v>
      </c>
      <c r="AQ24" s="189">
        <v>338861736.42000002</v>
      </c>
      <c r="AR24" s="189">
        <v>388036334.17000002</v>
      </c>
      <c r="AS24" s="189">
        <v>2183679328.6700001</v>
      </c>
      <c r="AT24" s="189">
        <v>2280902274.9499998</v>
      </c>
      <c r="AU24" s="189">
        <v>1603159225.6400001</v>
      </c>
      <c r="AV24" s="189">
        <v>87210949.290000007</v>
      </c>
      <c r="AW24" s="189">
        <v>4557861.63</v>
      </c>
      <c r="AX24" s="189">
        <v>39629463.18</v>
      </c>
      <c r="AY24" s="189">
        <v>70023027.810000002</v>
      </c>
      <c r="AZ24" s="189">
        <v>45366310.329999998</v>
      </c>
      <c r="BA24" s="189">
        <v>-196961662.69999999</v>
      </c>
      <c r="BB24" s="189">
        <v>-98314871.530000001</v>
      </c>
      <c r="BC24" s="189">
        <v>-67292637.349999994</v>
      </c>
      <c r="BD24" s="189">
        <v>-41218895.68</v>
      </c>
      <c r="BE24" s="189">
        <v>145047510.09</v>
      </c>
      <c r="BF24" s="189">
        <v>58246760.670000002</v>
      </c>
      <c r="BG24" s="189">
        <v>62459701.159999996</v>
      </c>
      <c r="BH24" s="189">
        <v>51817731.32</v>
      </c>
      <c r="BI24" s="189">
        <v>23339323.670000002</v>
      </c>
      <c r="BJ24" s="189">
        <v>2653247.9700000002</v>
      </c>
      <c r="BK24" s="189">
        <v>29814834.710000001</v>
      </c>
      <c r="BL24" s="189">
        <v>25754516.93</v>
      </c>
      <c r="BM24" s="189">
        <v>158844691</v>
      </c>
      <c r="BN24" s="189">
        <v>76322372.719999999</v>
      </c>
      <c r="BO24" s="189">
        <v>255679110.34</v>
      </c>
      <c r="BP24" s="189">
        <v>301984885.51999998</v>
      </c>
      <c r="BQ24" s="189">
        <v>16275401.34</v>
      </c>
      <c r="BR24" s="189">
        <v>9715938</v>
      </c>
      <c r="BS24" s="189">
        <v>9545542.7799999993</v>
      </c>
      <c r="BT24" s="189">
        <v>24736131.75</v>
      </c>
      <c r="BU24" s="189">
        <v>0</v>
      </c>
      <c r="BV24" s="192">
        <v>0</v>
      </c>
    </row>
    <row r="25" spans="1:74" s="241" customFormat="1" ht="138.6" customHeight="1">
      <c r="A25" s="275" t="s">
        <v>741</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c r="A26" s="17" t="s">
        <v>629</v>
      </c>
      <c r="E26" s="26">
        <f>现金流量表!E15</f>
        <v>0</v>
      </c>
      <c r="F26" s="26">
        <f>现金流量表!F15</f>
        <v>0</v>
      </c>
      <c r="G26" s="26">
        <f>现金流量表!G15</f>
        <v>0</v>
      </c>
      <c r="H26" s="26">
        <f>现金流量表!H15</f>
        <v>0</v>
      </c>
      <c r="I26" s="26">
        <f>现金流量表!I15</f>
        <v>0</v>
      </c>
      <c r="J26" s="26">
        <f>现金流量表!J15</f>
        <v>0</v>
      </c>
      <c r="K26" s="26">
        <f>现金流量表!K15</f>
        <v>0</v>
      </c>
      <c r="L26" s="26">
        <f>现金流量表!L15</f>
        <v>0</v>
      </c>
      <c r="M26" s="26">
        <f>现金流量表!M15</f>
        <v>0</v>
      </c>
      <c r="N26" s="26">
        <f>现金流量表!N15</f>
        <v>3234750</v>
      </c>
      <c r="O26" s="26">
        <f>现金流量表!O15</f>
        <v>3234750</v>
      </c>
      <c r="P26" s="26">
        <f>现金流量表!P15</f>
        <v>3234750</v>
      </c>
      <c r="Q26" s="26">
        <f>现金流量表!Q15</f>
        <v>652699944</v>
      </c>
      <c r="R26" s="26">
        <f>现金流量表!R15</f>
        <v>75000000</v>
      </c>
      <c r="S26" s="26">
        <f>现金流量表!S15</f>
        <v>75000000</v>
      </c>
      <c r="T26" s="26">
        <f>现金流量表!T15</f>
        <v>75000000</v>
      </c>
      <c r="U26" s="26">
        <f>现金流量表!U15</f>
        <v>0</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89789925.25</v>
      </c>
      <c r="AP26" s="26">
        <f>现金流量表!AP15</f>
        <v>40661722.530000001</v>
      </c>
      <c r="AQ26" s="26">
        <f>现金流量表!AQ15</f>
        <v>40661722.530000001</v>
      </c>
      <c r="AR26" s="26">
        <f>现金流量表!AR15</f>
        <v>0</v>
      </c>
      <c r="AS26" s="26">
        <f>现金流量表!AS15</f>
        <v>3316376.25</v>
      </c>
      <c r="AT26" s="26">
        <f>现金流量表!AT15</f>
        <v>3316376.25</v>
      </c>
      <c r="AU26" s="26">
        <f>现金流量表!AU15</f>
        <v>3316376.25</v>
      </c>
      <c r="AV26" s="26">
        <f>现金流量表!AV15</f>
        <v>0</v>
      </c>
      <c r="AW26" s="26">
        <f>现金流量表!AW15</f>
        <v>1808932.5</v>
      </c>
      <c r="AX26" s="26">
        <f>现金流量表!AX15</f>
        <v>0</v>
      </c>
      <c r="AY26" s="26">
        <f>现金流量表!AY15</f>
        <v>0</v>
      </c>
      <c r="AZ26" s="26">
        <f>现金流量表!AZ15</f>
        <v>0</v>
      </c>
      <c r="BA26" s="26">
        <f>现金流量表!BA15</f>
        <v>313330.27</v>
      </c>
      <c r="BB26" s="26">
        <f>现金流量表!BB15</f>
        <v>313330.27</v>
      </c>
      <c r="BC26" s="26">
        <f>现金流量表!BC15</f>
        <v>313330.27</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84000000</v>
      </c>
      <c r="BN26" s="26">
        <f>现金流量表!BN15</f>
        <v>0</v>
      </c>
      <c r="BO26" s="26">
        <f>现金流量表!BO15</f>
        <v>1466443.2</v>
      </c>
      <c r="BP26" s="26">
        <f>现金流量表!BP15</f>
        <v>20524.05</v>
      </c>
      <c r="BQ26" s="26">
        <f>现金流量表!BQ15</f>
        <v>0</v>
      </c>
      <c r="BR26" s="26">
        <f>现金流量表!BR15</f>
        <v>0</v>
      </c>
      <c r="BS26" s="26">
        <f>现金流量表!BS15</f>
        <v>3650000</v>
      </c>
      <c r="BT26" s="26">
        <f>现金流量表!BT15</f>
        <v>10000000</v>
      </c>
      <c r="BU26" s="26">
        <f>现金流量表!BU15</f>
        <v>0</v>
      </c>
      <c r="BV26" s="26">
        <f>现金流量表!BV15</f>
        <v>0</v>
      </c>
    </row>
    <row r="27" spans="1:74" s="26" customFormat="1">
      <c r="A27" s="17" t="s">
        <v>630</v>
      </c>
      <c r="E27" s="26">
        <f>现金流量表!E22</f>
        <v>0</v>
      </c>
      <c r="F27" s="26">
        <f>现金流量表!F22</f>
        <v>0</v>
      </c>
      <c r="G27" s="26">
        <f>现金流量表!G22</f>
        <v>0</v>
      </c>
      <c r="H27" s="26">
        <f>现金流量表!H22</f>
        <v>0</v>
      </c>
      <c r="I27" s="26">
        <f>现金流量表!I22</f>
        <v>34000000</v>
      </c>
      <c r="J27" s="26">
        <f>现金流量表!J22</f>
        <v>34000000</v>
      </c>
      <c r="K27" s="26">
        <f>现金流量表!K22</f>
        <v>34000000</v>
      </c>
      <c r="L27" s="26">
        <f>现金流量表!L22</f>
        <v>0</v>
      </c>
      <c r="M27" s="26">
        <f>现金流量表!M22</f>
        <v>0</v>
      </c>
      <c r="N27" s="26">
        <f>现金流量表!N22</f>
        <v>0</v>
      </c>
      <c r="O27" s="26">
        <f>现金流量表!O22</f>
        <v>0</v>
      </c>
      <c r="P27" s="26">
        <f>现金流量表!P22</f>
        <v>0</v>
      </c>
      <c r="Q27" s="26">
        <f>现金流量表!Q22</f>
        <v>120000000</v>
      </c>
      <c r="R27" s="26">
        <f>现金流量表!R22</f>
        <v>120000000</v>
      </c>
      <c r="S27" s="26">
        <f>现金流量表!S22</f>
        <v>120000000</v>
      </c>
      <c r="T27" s="26">
        <f>现金流量表!T22</f>
        <v>0</v>
      </c>
      <c r="U27" s="26">
        <f>现金流量表!U22</f>
        <v>83890000</v>
      </c>
      <c r="V27" s="26">
        <f>现金流量表!V22</f>
        <v>8890000</v>
      </c>
      <c r="W27" s="26">
        <f>现金流量表!W22</f>
        <v>8890000</v>
      </c>
      <c r="X27" s="26">
        <f>现金流量表!X22</f>
        <v>6890000</v>
      </c>
      <c r="Y27" s="26">
        <f>现金流量表!Y22</f>
        <v>11110000</v>
      </c>
      <c r="Z27" s="26">
        <f>现金流量表!Z22</f>
        <v>11110000</v>
      </c>
      <c r="AA27" s="26">
        <f>现金流量表!AA22</f>
        <v>11110000</v>
      </c>
      <c r="AB27" s="26">
        <f>现金流量表!AB22</f>
        <v>0</v>
      </c>
      <c r="AC27" s="26">
        <f>现金流量表!AC22</f>
        <v>0</v>
      </c>
      <c r="AD27" s="26">
        <f>现金流量表!AD22</f>
        <v>0</v>
      </c>
      <c r="AE27" s="26">
        <f>现金流量表!AE22</f>
        <v>0</v>
      </c>
      <c r="AF27" s="26">
        <f>现金流量表!AF22</f>
        <v>0</v>
      </c>
      <c r="AG27" s="26">
        <f>现金流量表!AG22</f>
        <v>131420163</v>
      </c>
      <c r="AH27" s="26">
        <f>现金流量表!AH22</f>
        <v>102000000</v>
      </c>
      <c r="AI27" s="26">
        <f>现金流量表!AI22</f>
        <v>54000000</v>
      </c>
      <c r="AJ27" s="26">
        <f>现金流量表!AJ22</f>
        <v>0</v>
      </c>
      <c r="AK27" s="26">
        <f>现金流量表!AK22</f>
        <v>29600000</v>
      </c>
      <c r="AL27" s="26">
        <f>现金流量表!AL22</f>
        <v>29600000</v>
      </c>
      <c r="AM27" s="26">
        <f>现金流量表!AM22</f>
        <v>29600000</v>
      </c>
      <c r="AN27" s="26">
        <f>现金流量表!AN22</f>
        <v>0</v>
      </c>
      <c r="AO27" s="26">
        <f>现金流量表!AO22</f>
        <v>2400000</v>
      </c>
      <c r="AP27" s="26">
        <f>现金流量表!AP22</f>
        <v>0</v>
      </c>
      <c r="AQ27" s="26">
        <f>现金流量表!AQ22</f>
        <v>0</v>
      </c>
      <c r="AR27" s="26">
        <f>现金流量表!AR22</f>
        <v>0</v>
      </c>
      <c r="AS27" s="26">
        <f>现金流量表!AS22</f>
        <v>0</v>
      </c>
      <c r="AT27" s="26">
        <f>现金流量表!AT22</f>
        <v>0</v>
      </c>
      <c r="AU27" s="26">
        <f>现金流量表!AU22</f>
        <v>0</v>
      </c>
      <c r="AV27" s="26">
        <f>现金流量表!AV22</f>
        <v>0</v>
      </c>
      <c r="AW27" s="26">
        <f>现金流量表!AW22</f>
        <v>154880000</v>
      </c>
      <c r="AX27" s="26">
        <f>现金流量表!AX22</f>
        <v>154500000</v>
      </c>
      <c r="AY27" s="26">
        <f>现金流量表!AY22</f>
        <v>61800000</v>
      </c>
      <c r="AZ27" s="26">
        <f>现金流量表!AZ22</f>
        <v>64500000</v>
      </c>
      <c r="BA27" s="26">
        <f>现金流量表!BA22</f>
        <v>0</v>
      </c>
      <c r="BB27" s="26">
        <f>现金流量表!BB22</f>
        <v>2334125</v>
      </c>
      <c r="BC27" s="26">
        <f>现金流量表!BC22</f>
        <v>2334125</v>
      </c>
      <c r="BD27" s="26">
        <f>现金流量表!BD22</f>
        <v>0</v>
      </c>
      <c r="BE27" s="26">
        <f>现金流量表!BE22</f>
        <v>18927507</v>
      </c>
      <c r="BF27" s="26">
        <f>现金流量表!BF22</f>
        <v>11230176</v>
      </c>
      <c r="BG27" s="26">
        <f>现金流量表!BG22</f>
        <v>4138350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149999570.46000001</v>
      </c>
      <c r="BP27" s="26">
        <f>现金流量表!BP22</f>
        <v>150037894.94999999</v>
      </c>
      <c r="BQ27" s="26">
        <f>现金流量表!BQ22</f>
        <v>96000</v>
      </c>
      <c r="BR27" s="26">
        <f>现金流量表!BR22</f>
        <v>0</v>
      </c>
      <c r="BS27" s="26">
        <f>现金流量表!BS22</f>
        <v>0</v>
      </c>
      <c r="BT27" s="26">
        <f>现金流量表!BT22</f>
        <v>0</v>
      </c>
      <c r="BU27" s="26">
        <f>现金流量表!BU22</f>
        <v>0</v>
      </c>
      <c r="BV27" s="26">
        <f>现金流量表!BV22</f>
        <v>0</v>
      </c>
    </row>
    <row r="28" spans="1:74" s="26" customFormat="1">
      <c r="A28" s="17" t="s">
        <v>631</v>
      </c>
      <c r="E28" s="26">
        <f>E27-E26</f>
        <v>0</v>
      </c>
      <c r="F28" s="26">
        <f t="shared" ref="F28:BQ28" si="79">F27-F26</f>
        <v>0</v>
      </c>
      <c r="G28" s="26">
        <f t="shared" si="79"/>
        <v>0</v>
      </c>
      <c r="H28" s="26">
        <f t="shared" si="79"/>
        <v>0</v>
      </c>
      <c r="I28" s="26">
        <f t="shared" si="79"/>
        <v>34000000</v>
      </c>
      <c r="J28" s="26">
        <f t="shared" si="79"/>
        <v>34000000</v>
      </c>
      <c r="K28" s="26">
        <f t="shared" si="79"/>
        <v>34000000</v>
      </c>
      <c r="L28" s="26">
        <f t="shared" si="79"/>
        <v>0</v>
      </c>
      <c r="M28" s="26">
        <f t="shared" si="79"/>
        <v>0</v>
      </c>
      <c r="N28" s="26">
        <f t="shared" si="79"/>
        <v>-3234750</v>
      </c>
      <c r="O28" s="26">
        <f t="shared" si="79"/>
        <v>-3234750</v>
      </c>
      <c r="P28" s="26">
        <f t="shared" si="79"/>
        <v>-3234750</v>
      </c>
      <c r="Q28" s="26">
        <f t="shared" si="79"/>
        <v>-532699944</v>
      </c>
      <c r="R28" s="26">
        <f t="shared" si="79"/>
        <v>45000000</v>
      </c>
      <c r="S28" s="26">
        <f t="shared" si="79"/>
        <v>45000000</v>
      </c>
      <c r="T28" s="26">
        <f t="shared" si="79"/>
        <v>-75000000</v>
      </c>
      <c r="U28" s="26">
        <f t="shared" si="79"/>
        <v>83890000</v>
      </c>
      <c r="V28" s="26">
        <f t="shared" si="79"/>
        <v>8890000</v>
      </c>
      <c r="W28" s="26">
        <f t="shared" si="79"/>
        <v>8890000</v>
      </c>
      <c r="X28" s="26">
        <f t="shared" si="79"/>
        <v>6890000</v>
      </c>
      <c r="Y28" s="26">
        <f t="shared" si="79"/>
        <v>11110000</v>
      </c>
      <c r="Z28" s="26">
        <f t="shared" si="79"/>
        <v>11110000</v>
      </c>
      <c r="AA28" s="26">
        <f t="shared" si="79"/>
        <v>11110000</v>
      </c>
      <c r="AB28" s="26">
        <f t="shared" si="79"/>
        <v>0</v>
      </c>
      <c r="AC28" s="26">
        <f t="shared" si="79"/>
        <v>0</v>
      </c>
      <c r="AD28" s="26">
        <f t="shared" si="79"/>
        <v>0</v>
      </c>
      <c r="AE28" s="26">
        <f t="shared" si="79"/>
        <v>0</v>
      </c>
      <c r="AF28" s="26">
        <f t="shared" si="79"/>
        <v>0</v>
      </c>
      <c r="AG28" s="26">
        <f t="shared" si="79"/>
        <v>131420163</v>
      </c>
      <c r="AH28" s="26">
        <f t="shared" si="79"/>
        <v>102000000</v>
      </c>
      <c r="AI28" s="26">
        <f t="shared" si="79"/>
        <v>54000000</v>
      </c>
      <c r="AJ28" s="26">
        <f t="shared" si="79"/>
        <v>0</v>
      </c>
      <c r="AK28" s="26">
        <f t="shared" si="79"/>
        <v>29600000</v>
      </c>
      <c r="AL28" s="26">
        <f t="shared" si="79"/>
        <v>29600000</v>
      </c>
      <c r="AM28" s="26">
        <f t="shared" si="79"/>
        <v>29600000</v>
      </c>
      <c r="AN28" s="26">
        <f t="shared" si="79"/>
        <v>0</v>
      </c>
      <c r="AO28" s="26">
        <f t="shared" si="79"/>
        <v>-87389925.25</v>
      </c>
      <c r="AP28" s="26">
        <f t="shared" si="79"/>
        <v>-40661722.530000001</v>
      </c>
      <c r="AQ28" s="26">
        <f t="shared" si="79"/>
        <v>-40661722.530000001</v>
      </c>
      <c r="AR28" s="26">
        <f t="shared" si="79"/>
        <v>0</v>
      </c>
      <c r="AS28" s="26">
        <f t="shared" si="79"/>
        <v>-3316376.25</v>
      </c>
      <c r="AT28" s="26">
        <f t="shared" si="79"/>
        <v>-3316376.25</v>
      </c>
      <c r="AU28" s="26">
        <f t="shared" si="79"/>
        <v>-3316376.25</v>
      </c>
      <c r="AV28" s="26">
        <f t="shared" si="79"/>
        <v>0</v>
      </c>
      <c r="AW28" s="26">
        <f t="shared" si="79"/>
        <v>153071067.5</v>
      </c>
      <c r="AX28" s="26">
        <f t="shared" si="79"/>
        <v>154500000</v>
      </c>
      <c r="AY28" s="26">
        <f t="shared" si="79"/>
        <v>61800000</v>
      </c>
      <c r="AZ28" s="26">
        <f t="shared" si="79"/>
        <v>64500000</v>
      </c>
      <c r="BA28" s="26">
        <f t="shared" si="79"/>
        <v>-313330.27</v>
      </c>
      <c r="BB28" s="26">
        <f t="shared" si="79"/>
        <v>2020794.73</v>
      </c>
      <c r="BC28" s="26">
        <f t="shared" si="79"/>
        <v>2020794.73</v>
      </c>
      <c r="BD28" s="26">
        <f t="shared" si="79"/>
        <v>0</v>
      </c>
      <c r="BE28" s="26">
        <f t="shared" si="79"/>
        <v>18927507</v>
      </c>
      <c r="BF28" s="26">
        <f t="shared" si="79"/>
        <v>11230176</v>
      </c>
      <c r="BG28" s="26">
        <f t="shared" si="79"/>
        <v>4138350</v>
      </c>
      <c r="BH28" s="26">
        <f t="shared" si="79"/>
        <v>0</v>
      </c>
      <c r="BI28" s="26">
        <f t="shared" si="79"/>
        <v>0</v>
      </c>
      <c r="BJ28" s="26">
        <f t="shared" si="79"/>
        <v>0</v>
      </c>
      <c r="BK28" s="26">
        <f t="shared" si="79"/>
        <v>0</v>
      </c>
      <c r="BL28" s="26">
        <f t="shared" si="79"/>
        <v>0</v>
      </c>
      <c r="BM28" s="26">
        <f t="shared" si="79"/>
        <v>-84000000</v>
      </c>
      <c r="BN28" s="26">
        <f t="shared" si="79"/>
        <v>0</v>
      </c>
      <c r="BO28" s="26">
        <f t="shared" si="79"/>
        <v>148533127.26000002</v>
      </c>
      <c r="BP28" s="26">
        <f t="shared" si="79"/>
        <v>150017370.89999998</v>
      </c>
      <c r="BQ28" s="26">
        <f t="shared" si="79"/>
        <v>96000</v>
      </c>
      <c r="BR28" s="26">
        <f t="shared" ref="BR28:BV28" si="80">BR27-BR26</f>
        <v>0</v>
      </c>
      <c r="BS28" s="26">
        <f t="shared" si="80"/>
        <v>-3650000</v>
      </c>
      <c r="BT28" s="26">
        <f t="shared" si="80"/>
        <v>-10000000</v>
      </c>
      <c r="BU28" s="26">
        <f t="shared" si="80"/>
        <v>0</v>
      </c>
      <c r="BV28" s="26">
        <f t="shared" si="80"/>
        <v>0</v>
      </c>
    </row>
    <row r="29" spans="1:74" s="26" customFormat="1" ht="16.149999999999999" customHeight="1">
      <c r="A29" s="180" t="s">
        <v>632</v>
      </c>
      <c r="E29" s="181">
        <f>POWER(E28/U28,1/5)-1</f>
        <v>-1</v>
      </c>
    </row>
    <row r="30" spans="1:74" s="30" customFormat="1" ht="15" customHeight="1" thickBot="1">
      <c r="A30" s="136"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36160</v>
      </c>
      <c r="BU30" s="1">
        <v>25569</v>
      </c>
      <c r="BV30" s="1">
        <v>25569</v>
      </c>
    </row>
    <row r="31" spans="1:74" s="51" customFormat="1" ht="17.45" customHeight="1">
      <c r="A31" s="111" t="s">
        <v>310</v>
      </c>
      <c r="B31" s="189">
        <v>44879598227.489998</v>
      </c>
      <c r="C31" s="189">
        <v>44364171979.300003</v>
      </c>
      <c r="D31" s="189">
        <v>43487197206.919998</v>
      </c>
      <c r="E31" s="189">
        <v>18392026782.330002</v>
      </c>
      <c r="F31" s="189">
        <v>17702086698.279999</v>
      </c>
      <c r="G31" s="189">
        <v>16640295924.01</v>
      </c>
      <c r="H31" s="189">
        <v>15434641191.860001</v>
      </c>
      <c r="I31" s="189">
        <v>12292071919.049999</v>
      </c>
      <c r="J31" s="189">
        <v>11399617328.639999</v>
      </c>
      <c r="K31" s="189">
        <v>10732242078</v>
      </c>
      <c r="L31" s="189">
        <v>10524640517.26</v>
      </c>
      <c r="M31" s="189">
        <v>10409487598</v>
      </c>
      <c r="N31" s="189">
        <v>10430617831.639999</v>
      </c>
      <c r="O31" s="189">
        <v>10435304280</v>
      </c>
      <c r="P31" s="189">
        <v>10389896992.18</v>
      </c>
      <c r="Q31" s="189">
        <v>10549769820</v>
      </c>
      <c r="R31" s="189">
        <v>10521804591.6</v>
      </c>
      <c r="S31" s="189">
        <v>5120609254</v>
      </c>
      <c r="T31" s="189">
        <v>5076188546.9700003</v>
      </c>
      <c r="U31" s="189">
        <v>5162598929</v>
      </c>
      <c r="V31" s="189">
        <v>5290411050</v>
      </c>
      <c r="W31" s="189">
        <v>5416755891</v>
      </c>
      <c r="X31" s="189">
        <v>5509819715.7600002</v>
      </c>
      <c r="Y31" s="189">
        <v>5611908209</v>
      </c>
      <c r="Z31" s="189">
        <v>5459046257</v>
      </c>
      <c r="AA31" s="189">
        <v>5541692623</v>
      </c>
      <c r="AB31" s="189">
        <v>5600584966.7600002</v>
      </c>
      <c r="AC31" s="189">
        <v>5677043861</v>
      </c>
      <c r="AD31" s="189">
        <v>5520810769.7700005</v>
      </c>
      <c r="AE31" s="189">
        <v>5598389404</v>
      </c>
      <c r="AF31" s="189">
        <v>5627282603.1199999</v>
      </c>
      <c r="AG31" s="189">
        <v>5639108001</v>
      </c>
      <c r="AH31" s="189">
        <v>5455116067.6999998</v>
      </c>
      <c r="AI31" s="189">
        <v>5175069850.1800003</v>
      </c>
      <c r="AJ31" s="189">
        <v>5034687948.8999996</v>
      </c>
      <c r="AK31" s="189">
        <v>4587132210.5</v>
      </c>
      <c r="AL31" s="189">
        <v>4180459873.6300001</v>
      </c>
      <c r="AM31" s="189">
        <v>4116493181.46</v>
      </c>
      <c r="AN31" s="189">
        <v>4014155107.8600001</v>
      </c>
      <c r="AO31" s="189">
        <v>4010943866.46</v>
      </c>
      <c r="AP31" s="189">
        <v>3767085213.96</v>
      </c>
      <c r="AQ31" s="189">
        <v>3446363366.8800001</v>
      </c>
      <c r="AR31" s="189">
        <v>3172689416.0900002</v>
      </c>
      <c r="AS31" s="189">
        <v>2990903264.3499999</v>
      </c>
      <c r="AT31" s="189">
        <v>2584431136.0799999</v>
      </c>
      <c r="AU31" s="189">
        <v>1267803218.6400001</v>
      </c>
      <c r="AV31" s="189">
        <v>1019683352.13</v>
      </c>
      <c r="AW31" s="189">
        <v>719053571.74000001</v>
      </c>
      <c r="AX31" s="189">
        <v>710474574.25999999</v>
      </c>
      <c r="AY31" s="189">
        <v>624450348.26999998</v>
      </c>
      <c r="AZ31" s="189">
        <v>637390319.25999999</v>
      </c>
      <c r="BA31" s="189">
        <v>587748018.29999995</v>
      </c>
      <c r="BB31" s="189">
        <v>612821177.35000002</v>
      </c>
      <c r="BC31" s="189">
        <v>624080949.61000001</v>
      </c>
      <c r="BD31" s="189">
        <v>634697613.25</v>
      </c>
      <c r="BE31" s="189">
        <v>643630520.16999996</v>
      </c>
      <c r="BF31" s="189">
        <v>612613996.75</v>
      </c>
      <c r="BG31" s="189">
        <v>615706338.69000006</v>
      </c>
      <c r="BH31" s="189">
        <v>611963940.13</v>
      </c>
      <c r="BI31" s="189">
        <v>628602544.41999996</v>
      </c>
      <c r="BJ31" s="189">
        <v>587220601.98000002</v>
      </c>
      <c r="BK31" s="189">
        <v>577169241.69000006</v>
      </c>
      <c r="BL31" s="189">
        <v>539904943.37</v>
      </c>
      <c r="BM31" s="189">
        <v>536592234.44</v>
      </c>
      <c r="BN31" s="189">
        <v>272504470.83999997</v>
      </c>
      <c r="BO31" s="189">
        <v>259750329.25999999</v>
      </c>
      <c r="BP31" s="189">
        <v>250098522.88</v>
      </c>
      <c r="BQ31" s="189">
        <v>234293320.43000001</v>
      </c>
      <c r="BR31" s="189">
        <v>233270864.05000001</v>
      </c>
      <c r="BS31" s="189">
        <v>223063627.19999999</v>
      </c>
      <c r="BT31" s="189">
        <v>229888026.90000001</v>
      </c>
      <c r="BU31" s="189">
        <v>225341600.44999999</v>
      </c>
      <c r="BV31" s="189">
        <v>1686369507.6900001</v>
      </c>
    </row>
    <row r="32" spans="1:74" s="54" customFormat="1" ht="15" customHeight="1">
      <c r="A32" s="137" t="s">
        <v>311</v>
      </c>
      <c r="B32" s="189">
        <v>318993084.26999998</v>
      </c>
      <c r="C32" s="189">
        <v>318993084.26999998</v>
      </c>
      <c r="D32" s="189">
        <v>280286989.68000001</v>
      </c>
      <c r="E32" s="189">
        <v>268614996.52999997</v>
      </c>
      <c r="F32" s="189">
        <v>268763619.47000003</v>
      </c>
      <c r="G32" s="189">
        <v>268935657.30000001</v>
      </c>
      <c r="H32" s="189">
        <v>269093522.95999998</v>
      </c>
      <c r="I32" s="189">
        <v>268825484.07999998</v>
      </c>
      <c r="J32" s="189">
        <v>269616783.56</v>
      </c>
      <c r="K32" s="189">
        <v>269429341</v>
      </c>
      <c r="L32" s="189">
        <v>268571493.52999997</v>
      </c>
      <c r="M32" s="189">
        <v>268121065</v>
      </c>
      <c r="N32" s="189">
        <v>268018532.38999999</v>
      </c>
      <c r="O32" s="189">
        <v>267649933</v>
      </c>
      <c r="P32" s="189">
        <v>267800280.96000001</v>
      </c>
      <c r="Q32" s="189">
        <v>267812481</v>
      </c>
      <c r="R32" s="189">
        <v>267201255.22</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4299648.47</v>
      </c>
      <c r="AU32" s="189">
        <v>4299648.47</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0</v>
      </c>
      <c r="BS32" s="189">
        <v>0</v>
      </c>
      <c r="BT32" s="189">
        <v>0</v>
      </c>
      <c r="BU32" s="189">
        <v>0</v>
      </c>
      <c r="BV32" s="189">
        <v>0</v>
      </c>
    </row>
    <row r="33" spans="1:74" s="54" customFormat="1" ht="19.149999999999999" customHeight="1">
      <c r="A33" s="137" t="s">
        <v>312</v>
      </c>
      <c r="B33" s="189">
        <v>0</v>
      </c>
      <c r="C33" s="189">
        <v>0</v>
      </c>
      <c r="D33" s="189">
        <v>0</v>
      </c>
      <c r="E33" s="189">
        <v>0</v>
      </c>
      <c r="F33" s="189">
        <v>0</v>
      </c>
      <c r="G33" s="189">
        <v>0</v>
      </c>
      <c r="H33" s="189">
        <v>0</v>
      </c>
      <c r="I33" s="189">
        <v>0</v>
      </c>
      <c r="J33" s="189">
        <v>0</v>
      </c>
      <c r="K33" s="189">
        <v>0</v>
      </c>
      <c r="L33" s="189">
        <v>0</v>
      </c>
      <c r="M33" s="189">
        <v>0</v>
      </c>
      <c r="N33" s="189">
        <v>0</v>
      </c>
      <c r="O33" s="189">
        <v>0</v>
      </c>
      <c r="P33" s="189">
        <v>0</v>
      </c>
      <c r="Q33" s="189">
        <v>0</v>
      </c>
      <c r="R33" s="189">
        <v>38742614.969999999</v>
      </c>
      <c r="S33" s="189">
        <v>23886655</v>
      </c>
      <c r="T33" s="189">
        <v>24028706.170000002</v>
      </c>
      <c r="U33" s="189">
        <v>26340941</v>
      </c>
      <c r="V33" s="189">
        <v>17937684</v>
      </c>
      <c r="W33" s="189">
        <v>14607704</v>
      </c>
      <c r="X33" s="189">
        <v>16437053.439999999</v>
      </c>
      <c r="Y33" s="189">
        <v>17717764</v>
      </c>
      <c r="Z33" s="189">
        <v>15851430</v>
      </c>
      <c r="AA33" s="189">
        <v>17628680</v>
      </c>
      <c r="AB33" s="189">
        <v>19779378.960000001</v>
      </c>
      <c r="AC33" s="189">
        <v>17840224</v>
      </c>
      <c r="AD33" s="189">
        <v>0</v>
      </c>
      <c r="AE33" s="189">
        <v>0</v>
      </c>
      <c r="AF33" s="189">
        <v>0</v>
      </c>
      <c r="AG33" s="189">
        <v>0</v>
      </c>
      <c r="AH33" s="189">
        <v>0</v>
      </c>
      <c r="AI33" s="189">
        <v>0</v>
      </c>
      <c r="AJ33" s="189">
        <v>0</v>
      </c>
      <c r="AK33" s="189">
        <v>0</v>
      </c>
      <c r="AL33" s="189">
        <v>0</v>
      </c>
      <c r="AM33" s="189">
        <v>0</v>
      </c>
      <c r="AN33" s="189">
        <v>0</v>
      </c>
      <c r="AO33" s="189">
        <v>0</v>
      </c>
      <c r="AP33" s="189">
        <v>66779799.990000002</v>
      </c>
      <c r="AQ33" s="189">
        <v>88761799.989999995</v>
      </c>
      <c r="AR33" s="189">
        <v>170582550.94</v>
      </c>
      <c r="AS33" s="189">
        <v>210139462.05000001</v>
      </c>
      <c r="AT33" s="189">
        <v>203478014.44999999</v>
      </c>
      <c r="AU33" s="189">
        <v>0</v>
      </c>
      <c r="AV33" s="189">
        <v>0</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c r="BQ33" s="189">
        <v>0</v>
      </c>
      <c r="BR33" s="189">
        <v>0</v>
      </c>
      <c r="BS33" s="189">
        <v>0</v>
      </c>
      <c r="BT33" s="189">
        <v>0</v>
      </c>
      <c r="BU33" s="189">
        <v>0</v>
      </c>
      <c r="BV33" s="189">
        <v>0</v>
      </c>
    </row>
    <row r="34" spans="1:74" s="44" customFormat="1" ht="14.25" thickBot="1">
      <c r="A34" s="138" t="s">
        <v>315</v>
      </c>
      <c r="B34" s="49"/>
      <c r="C34" s="49"/>
      <c r="D34" s="49"/>
      <c r="E34" s="49">
        <f>E31-E32-E33</f>
        <v>18123411785.800003</v>
      </c>
      <c r="F34" s="49">
        <f t="shared" ref="F34:BP34" si="81">F31-F32-F33</f>
        <v>17433323078.809998</v>
      </c>
      <c r="G34" s="49">
        <f t="shared" si="81"/>
        <v>16371360266.710001</v>
      </c>
      <c r="H34" s="49">
        <f t="shared" si="81"/>
        <v>15165547668.900002</v>
      </c>
      <c r="I34" s="49">
        <f t="shared" si="81"/>
        <v>12023246434.969999</v>
      </c>
      <c r="J34" s="49">
        <f t="shared" si="81"/>
        <v>11130000545.08</v>
      </c>
      <c r="K34" s="49">
        <f t="shared" si="81"/>
        <v>10462812737</v>
      </c>
      <c r="L34" s="49">
        <f t="shared" si="81"/>
        <v>10256069023.73</v>
      </c>
      <c r="M34" s="49">
        <f t="shared" si="81"/>
        <v>10141366533</v>
      </c>
      <c r="N34" s="49">
        <f t="shared" si="81"/>
        <v>10162599299.25</v>
      </c>
      <c r="O34" s="49">
        <f t="shared" si="81"/>
        <v>10167654347</v>
      </c>
      <c r="P34" s="49">
        <f t="shared" si="81"/>
        <v>10122096711.220001</v>
      </c>
      <c r="Q34" s="49">
        <f t="shared" si="81"/>
        <v>10281957339</v>
      </c>
      <c r="R34" s="49">
        <f t="shared" si="81"/>
        <v>10215860721.410002</v>
      </c>
      <c r="S34" s="49">
        <f t="shared" si="81"/>
        <v>5096722599</v>
      </c>
      <c r="T34" s="49">
        <f t="shared" si="81"/>
        <v>5052159840.8000002</v>
      </c>
      <c r="U34" s="49">
        <f t="shared" si="81"/>
        <v>5136257988</v>
      </c>
      <c r="V34" s="49">
        <f t="shared" si="81"/>
        <v>5272473366</v>
      </c>
      <c r="W34" s="49">
        <f t="shared" si="81"/>
        <v>5402148187</v>
      </c>
      <c r="X34" s="49">
        <f t="shared" si="81"/>
        <v>5493382662.3200006</v>
      </c>
      <c r="Y34" s="49">
        <f t="shared" si="81"/>
        <v>5594190445</v>
      </c>
      <c r="Z34" s="49">
        <f t="shared" si="81"/>
        <v>5443194827</v>
      </c>
      <c r="AA34" s="49">
        <f t="shared" si="81"/>
        <v>5524063943</v>
      </c>
      <c r="AB34" s="49">
        <f t="shared" si="81"/>
        <v>5580805587.8000002</v>
      </c>
      <c r="AC34" s="49">
        <f t="shared" si="81"/>
        <v>5659203637</v>
      </c>
      <c r="AD34" s="49">
        <f t="shared" si="81"/>
        <v>5520810769.7700005</v>
      </c>
      <c r="AE34" s="49">
        <f t="shared" si="81"/>
        <v>5598389404</v>
      </c>
      <c r="AF34" s="49">
        <f t="shared" si="81"/>
        <v>5627282603.1199999</v>
      </c>
      <c r="AG34" s="49">
        <f t="shared" si="81"/>
        <v>5639108001</v>
      </c>
      <c r="AH34" s="49">
        <f t="shared" si="81"/>
        <v>5455116067.6999998</v>
      </c>
      <c r="AI34" s="49">
        <f t="shared" si="81"/>
        <v>5175069850.1800003</v>
      </c>
      <c r="AJ34" s="49">
        <f t="shared" si="81"/>
        <v>5034687948.8999996</v>
      </c>
      <c r="AK34" s="49">
        <f t="shared" si="81"/>
        <v>4587132210.5</v>
      </c>
      <c r="AL34" s="49">
        <f t="shared" si="81"/>
        <v>4180459873.6300001</v>
      </c>
      <c r="AM34" s="49">
        <f t="shared" si="81"/>
        <v>4116493181.46</v>
      </c>
      <c r="AN34" s="49">
        <f t="shared" si="81"/>
        <v>4014155107.8600001</v>
      </c>
      <c r="AO34" s="49">
        <f t="shared" si="81"/>
        <v>4010943866.46</v>
      </c>
      <c r="AP34" s="49">
        <f t="shared" si="81"/>
        <v>3700305413.9700003</v>
      </c>
      <c r="AQ34" s="49">
        <f t="shared" si="81"/>
        <v>3357601566.8900003</v>
      </c>
      <c r="AR34" s="49">
        <f t="shared" si="81"/>
        <v>3002106865.1500001</v>
      </c>
      <c r="AS34" s="49">
        <f t="shared" si="81"/>
        <v>2780763802.2999997</v>
      </c>
      <c r="AT34" s="49">
        <f t="shared" si="81"/>
        <v>2376653473.1600003</v>
      </c>
      <c r="AU34" s="49">
        <f t="shared" si="81"/>
        <v>1263503570.1700001</v>
      </c>
      <c r="AV34" s="49">
        <f t="shared" si="81"/>
        <v>1019683352.13</v>
      </c>
      <c r="AW34" s="49">
        <f t="shared" si="81"/>
        <v>719053571.74000001</v>
      </c>
      <c r="AX34" s="49">
        <f t="shared" si="81"/>
        <v>710474574.25999999</v>
      </c>
      <c r="AY34" s="49">
        <f t="shared" si="81"/>
        <v>624450348.26999998</v>
      </c>
      <c r="AZ34" s="49">
        <f t="shared" si="81"/>
        <v>637390319.25999999</v>
      </c>
      <c r="BA34" s="49">
        <f t="shared" si="81"/>
        <v>587748018.29999995</v>
      </c>
      <c r="BB34" s="49">
        <f t="shared" si="81"/>
        <v>612821177.35000002</v>
      </c>
      <c r="BC34" s="49">
        <f t="shared" si="81"/>
        <v>624080949.61000001</v>
      </c>
      <c r="BD34" s="49">
        <f t="shared" si="81"/>
        <v>634697613.25</v>
      </c>
      <c r="BE34" s="49">
        <f t="shared" si="81"/>
        <v>643630520.16999996</v>
      </c>
      <c r="BF34" s="49">
        <f t="shared" si="81"/>
        <v>612613996.75</v>
      </c>
      <c r="BG34" s="49">
        <f t="shared" si="81"/>
        <v>615706338.69000006</v>
      </c>
      <c r="BH34" s="49">
        <f t="shared" si="81"/>
        <v>611963940.13</v>
      </c>
      <c r="BI34" s="49">
        <f t="shared" si="81"/>
        <v>628602544.41999996</v>
      </c>
      <c r="BJ34" s="49">
        <f t="shared" si="81"/>
        <v>587220601.98000002</v>
      </c>
      <c r="BK34" s="49">
        <f t="shared" si="81"/>
        <v>577169241.69000006</v>
      </c>
      <c r="BL34" s="49">
        <f t="shared" si="81"/>
        <v>539904943.37</v>
      </c>
      <c r="BM34" s="49">
        <f t="shared" si="81"/>
        <v>536592234.44</v>
      </c>
      <c r="BN34" s="49">
        <f t="shared" si="81"/>
        <v>272504470.83999997</v>
      </c>
      <c r="BO34" s="49">
        <f t="shared" si="81"/>
        <v>259750329.25999999</v>
      </c>
      <c r="BP34" s="49">
        <f t="shared" si="81"/>
        <v>250098522.88</v>
      </c>
      <c r="BQ34" s="49">
        <f>AP31-AP32-AP33</f>
        <v>3700305413.9700003</v>
      </c>
      <c r="BR34" s="49">
        <f>AQ31-AQ32-AQ33</f>
        <v>3357601566.8900003</v>
      </c>
      <c r="BS34" s="49">
        <f>AR31-AR32-AR33</f>
        <v>3002106865.1500001</v>
      </c>
      <c r="BT34" s="49"/>
      <c r="BU34" s="50"/>
    </row>
    <row r="35" spans="1:74" s="106" customFormat="1" ht="14.25" thickBot="1">
      <c r="A35" s="139" t="s">
        <v>317</v>
      </c>
      <c r="B35" s="33">
        <f>SUM(B22:B31)</f>
        <v>45249042577.959999</v>
      </c>
      <c r="C35" s="33">
        <f>SUM(C22:C31)</f>
        <v>44897199990.990005</v>
      </c>
      <c r="D35" s="33">
        <f>SUM(D22:D31)</f>
        <v>44461938667.159996</v>
      </c>
      <c r="E35" s="33">
        <f>资产资本表!E17</f>
        <v>4322850458.8299999</v>
      </c>
      <c r="F35" s="33">
        <f>资产资本表!F17</f>
        <v>3177021212.6900001</v>
      </c>
      <c r="G35" s="33">
        <f>资产资本表!G17</f>
        <v>2520888999.4000001</v>
      </c>
      <c r="H35" s="33">
        <f>资产资本表!H17</f>
        <v>2071015546.5899999</v>
      </c>
      <c r="I35" s="33">
        <f>资产资本表!I17</f>
        <v>4497227941.7600002</v>
      </c>
      <c r="J35" s="33">
        <f>资产资本表!J17</f>
        <v>5095410406.0299997</v>
      </c>
      <c r="K35" s="33">
        <f>资产资本表!K17</f>
        <v>4709639840</v>
      </c>
      <c r="L35" s="33">
        <f>资产资本表!L17</f>
        <v>5578693760.0299997</v>
      </c>
      <c r="M35" s="33">
        <f>资产资本表!M17</f>
        <v>7377014278</v>
      </c>
      <c r="N35" s="33">
        <f>资产资本表!N17</f>
        <v>2662662617.3400002</v>
      </c>
      <c r="O35" s="33">
        <f>资产资本表!O17</f>
        <v>3213101557</v>
      </c>
      <c r="P35" s="33">
        <f>资产资本表!P17</f>
        <v>2547908073.9200001</v>
      </c>
      <c r="Q35" s="33">
        <f>资产资本表!Q17</f>
        <v>877098152</v>
      </c>
      <c r="R35" s="33">
        <f>资产资本表!R17</f>
        <v>3283349781.3899999</v>
      </c>
      <c r="S35" s="33">
        <f>资产资本表!S17</f>
        <v>570550971</v>
      </c>
      <c r="T35" s="33">
        <f>资产资本表!T17</f>
        <v>844473319.96999991</v>
      </c>
      <c r="U35" s="33">
        <f>资产资本表!U17</f>
        <v>1013344044</v>
      </c>
      <c r="V35" s="33">
        <f>资产资本表!V17</f>
        <v>439545688</v>
      </c>
      <c r="W35" s="33">
        <f>资产资本表!W17</f>
        <v>486470936</v>
      </c>
      <c r="X35" s="33">
        <f>资产资本表!X17</f>
        <v>525444387.13999999</v>
      </c>
      <c r="Y35" s="33">
        <f>资产资本表!Y17</f>
        <v>523076906</v>
      </c>
      <c r="Z35" s="33">
        <f>资产资本表!Z17</f>
        <v>550824726</v>
      </c>
      <c r="AA35" s="33">
        <f>资产资本表!AA17</f>
        <v>596873371</v>
      </c>
      <c r="AB35" s="33">
        <f>资产资本表!AB17</f>
        <v>797416345.23000002</v>
      </c>
      <c r="AC35" s="33">
        <f>资产资本表!AC17</f>
        <v>744071213</v>
      </c>
      <c r="AD35" s="33">
        <f>资产资本表!AD17</f>
        <v>858499196.33999991</v>
      </c>
      <c r="AE35" s="33">
        <f>资产资本表!AE17</f>
        <v>1058843953</v>
      </c>
      <c r="AF35" s="33">
        <f>资产资本表!AF17</f>
        <v>890213147.28999996</v>
      </c>
      <c r="AG35" s="33">
        <f>资产资本表!AG17</f>
        <v>892266242</v>
      </c>
      <c r="AH35" s="33">
        <f>资产资本表!AH17</f>
        <v>929527222.90999997</v>
      </c>
      <c r="AI35" s="33">
        <f>资产资本表!AI17</f>
        <v>1465265328.78</v>
      </c>
      <c r="AJ35" s="33">
        <f>资产资本表!AJ17</f>
        <v>1081782040.52</v>
      </c>
      <c r="AK35" s="33">
        <f>资产资本表!AK17</f>
        <v>1199524562.9100001</v>
      </c>
      <c r="AL35" s="33">
        <f>资产资本表!AL17</f>
        <v>878511309.68999994</v>
      </c>
      <c r="AM35" s="33">
        <f>资产资本表!AM17</f>
        <v>820478406.51999998</v>
      </c>
      <c r="AN35" s="33">
        <f>资产资本表!AN17</f>
        <v>522855101.58000004</v>
      </c>
      <c r="AO35" s="33">
        <f>资产资本表!AO17</f>
        <v>321797486.72000003</v>
      </c>
      <c r="AP35" s="33">
        <f>资产资本表!AP17</f>
        <v>545601106.28999996</v>
      </c>
      <c r="AQ35" s="33">
        <f>资产资本表!AQ17</f>
        <v>727687604.44000006</v>
      </c>
      <c r="AR35" s="33">
        <f>资产资本表!AR17</f>
        <v>902622816.6099999</v>
      </c>
      <c r="AS35" s="33">
        <f>资产资本表!AS17</f>
        <v>931596380.57000005</v>
      </c>
      <c r="AT35" s="33">
        <f>资产资本表!AT17</f>
        <v>1392077981.1700001</v>
      </c>
      <c r="AU35" s="33">
        <f>资产资本表!AU17</f>
        <v>1641711246.5899999</v>
      </c>
      <c r="AV35" s="33">
        <f>资产资本表!AV17</f>
        <v>335027731.99000001</v>
      </c>
      <c r="AW35" s="33">
        <f>资产资本表!AW17</f>
        <v>122356099.13</v>
      </c>
      <c r="AX35" s="33">
        <f>资产资本表!AX17</f>
        <v>163143405.16999999</v>
      </c>
      <c r="AY35" s="33">
        <f>资产资本表!AY17</f>
        <v>169622133.06999999</v>
      </c>
      <c r="AZ35" s="33">
        <f>资产资本表!AZ17</f>
        <v>152620664.80000001</v>
      </c>
      <c r="BA35" s="33">
        <f>资产资本表!BA17</f>
        <v>86803245.140000001</v>
      </c>
      <c r="BB35" s="33">
        <f>资产资本表!BB17</f>
        <v>162998930.56</v>
      </c>
      <c r="BC35" s="33">
        <f>资产资本表!BC17</f>
        <v>150919783.62</v>
      </c>
      <c r="BD35" s="33">
        <f>资产资本表!BD17</f>
        <v>119767193.59999999</v>
      </c>
      <c r="BE35" s="33">
        <f>资产资本表!BE17</f>
        <v>190218572.65000001</v>
      </c>
      <c r="BF35" s="33">
        <f>资产资本表!BF17</f>
        <v>78435524.640000001</v>
      </c>
      <c r="BG35" s="33">
        <f>资产资本表!BG17</f>
        <v>123318100.50999999</v>
      </c>
      <c r="BH35" s="33">
        <f>资产资本表!BH17</f>
        <v>159821960.09</v>
      </c>
      <c r="BI35" s="33">
        <f>资产资本表!BI17</f>
        <v>80554553.929999992</v>
      </c>
      <c r="BJ35" s="33">
        <f>资产资本表!BJ17</f>
        <v>120702528.06</v>
      </c>
      <c r="BK35" s="33">
        <f>资产资本表!BK17</f>
        <v>156873218.79000002</v>
      </c>
      <c r="BL35" s="33">
        <f>资产资本表!BL17</f>
        <v>202035903.61000001</v>
      </c>
      <c r="BM35" s="33">
        <f>资产资本表!BM17</f>
        <v>186964627.64000002</v>
      </c>
      <c r="BN35" s="33">
        <f>资产资本表!BN17</f>
        <v>130080868.59</v>
      </c>
      <c r="BO35" s="33">
        <f>资产资本表!BO17</f>
        <v>386733116.71000004</v>
      </c>
      <c r="BP35" s="33">
        <f>资产资本表!BP17</f>
        <v>368834317.25</v>
      </c>
      <c r="BQ35" s="33">
        <f>资产资本表!BQ17</f>
        <v>354288648.59000003</v>
      </c>
      <c r="BR35" s="33">
        <f>资产资本表!BR17</f>
        <v>368003320.32000005</v>
      </c>
      <c r="BS35" s="33">
        <f>资产资本表!BS17</f>
        <v>52290546.93</v>
      </c>
      <c r="BT35" s="33">
        <f>资产资本表!BT17</f>
        <v>52885848.07</v>
      </c>
      <c r="BU35" s="33">
        <f>资产资本表!BU17</f>
        <v>48388338.609999999</v>
      </c>
      <c r="BV35" s="33">
        <f>资产资本表!BV17</f>
        <v>67853301.460000008</v>
      </c>
    </row>
    <row r="36" spans="1:74" s="26" customFormat="1" ht="14.45">
      <c r="A36" s="17"/>
    </row>
    <row r="37" spans="1:74" s="26" customFormat="1" ht="14.45">
      <c r="A37" s="17"/>
    </row>
    <row r="38" spans="1:74" s="18" customFormat="1">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36160</v>
      </c>
      <c r="BU38" s="1">
        <v>25569</v>
      </c>
      <c r="BV38" s="1">
        <v>25569</v>
      </c>
    </row>
    <row r="39" spans="1:74" s="48" customFormat="1">
      <c r="A39" s="46" t="s">
        <v>319</v>
      </c>
    </row>
    <row r="40" spans="1:74" s="192" customFormat="1">
      <c r="A40" s="192" t="s">
        <v>742</v>
      </c>
      <c r="B40" s="189">
        <v>0</v>
      </c>
      <c r="C40" s="189">
        <v>0</v>
      </c>
      <c r="D40" s="189">
        <v>0</v>
      </c>
      <c r="E40" s="189">
        <v>0</v>
      </c>
      <c r="F40" s="189">
        <v>0</v>
      </c>
      <c r="G40" s="189">
        <v>0</v>
      </c>
      <c r="H40" s="189">
        <v>0</v>
      </c>
      <c r="I40" s="189">
        <v>0</v>
      </c>
      <c r="J40" s="189">
        <v>0</v>
      </c>
      <c r="K40" s="189">
        <v>0</v>
      </c>
      <c r="L40" s="189">
        <v>0</v>
      </c>
      <c r="M40" s="189">
        <v>4718402459</v>
      </c>
      <c r="N40" s="189">
        <v>0</v>
      </c>
      <c r="O40" s="189">
        <v>0</v>
      </c>
      <c r="P40" s="189">
        <v>0</v>
      </c>
      <c r="Q40" s="189">
        <v>1731828177</v>
      </c>
      <c r="R40" s="189">
        <v>1731828177.25</v>
      </c>
      <c r="S40" s="189">
        <v>0</v>
      </c>
      <c r="T40" s="189">
        <v>0</v>
      </c>
      <c r="U40" s="189">
        <v>0</v>
      </c>
      <c r="V40" s="189">
        <v>0</v>
      </c>
      <c r="W40" s="189">
        <v>0</v>
      </c>
      <c r="X40" s="189">
        <v>0</v>
      </c>
      <c r="Y40" s="189">
        <v>0</v>
      </c>
      <c r="Z40" s="189">
        <v>0</v>
      </c>
      <c r="AA40" s="189">
        <v>0</v>
      </c>
      <c r="AB40" s="189">
        <v>0</v>
      </c>
      <c r="AC40" s="189">
        <v>168000000</v>
      </c>
      <c r="AD40" s="189">
        <v>168000000</v>
      </c>
      <c r="AE40" s="189">
        <v>168000000</v>
      </c>
      <c r="AF40" s="189">
        <v>168000000</v>
      </c>
      <c r="AG40" s="189">
        <v>443600000</v>
      </c>
      <c r="AH40" s="189">
        <v>252000000</v>
      </c>
      <c r="AI40" s="189">
        <v>252000000</v>
      </c>
      <c r="AJ40" s="189">
        <v>252000000</v>
      </c>
      <c r="AK40" s="189">
        <v>411600000</v>
      </c>
      <c r="AL40" s="189">
        <v>159600000</v>
      </c>
      <c r="AM40" s="189">
        <v>159600000</v>
      </c>
      <c r="AN40" s="189">
        <v>159600000</v>
      </c>
      <c r="AO40" s="189">
        <v>8400000</v>
      </c>
      <c r="AP40" s="189">
        <v>8400000</v>
      </c>
      <c r="AQ40" s="189">
        <v>0</v>
      </c>
      <c r="AR40" s="189">
        <v>0</v>
      </c>
      <c r="AS40" s="189">
        <v>844375775</v>
      </c>
      <c r="AT40" s="189">
        <v>739785775</v>
      </c>
      <c r="AU40" s="189">
        <v>216300000</v>
      </c>
      <c r="AV40" s="189">
        <v>58710000</v>
      </c>
      <c r="AW40" s="189">
        <v>0</v>
      </c>
      <c r="AX40" s="189">
        <v>0</v>
      </c>
      <c r="AY40" s="189">
        <v>0</v>
      </c>
      <c r="AZ40" s="189">
        <v>0</v>
      </c>
      <c r="BA40" s="189">
        <v>0</v>
      </c>
      <c r="BB40" s="189">
        <v>0</v>
      </c>
      <c r="BC40" s="189">
        <v>0</v>
      </c>
      <c r="BD40" s="189">
        <v>0</v>
      </c>
      <c r="BE40" s="189">
        <v>0</v>
      </c>
      <c r="BF40" s="189">
        <v>0</v>
      </c>
      <c r="BG40" s="189">
        <v>0</v>
      </c>
      <c r="BH40" s="189">
        <v>0</v>
      </c>
      <c r="BI40" s="189">
        <v>0</v>
      </c>
      <c r="BJ40" s="189">
        <v>0</v>
      </c>
      <c r="BK40" s="189">
        <v>0</v>
      </c>
      <c r="BL40" s="189">
        <v>0</v>
      </c>
      <c r="BM40" s="189">
        <v>0</v>
      </c>
      <c r="BN40" s="189">
        <v>0</v>
      </c>
      <c r="BO40" s="189">
        <v>352476938.44</v>
      </c>
      <c r="BP40" s="189">
        <v>355232846.62</v>
      </c>
      <c r="BQ40" s="189">
        <v>0</v>
      </c>
      <c r="BR40" s="189">
        <v>0</v>
      </c>
      <c r="BS40" s="189">
        <v>0</v>
      </c>
      <c r="BT40" s="189">
        <v>132036190.93000001</v>
      </c>
      <c r="BU40" s="189">
        <v>0</v>
      </c>
      <c r="BV40" s="192">
        <v>0</v>
      </c>
    </row>
    <row r="41" spans="1:74" s="53" customFormat="1" ht="21.75" customHeight="1">
      <c r="A41" s="140" t="s">
        <v>633</v>
      </c>
      <c r="B41" s="53">
        <v>1419647033.29</v>
      </c>
      <c r="C41" s="53">
        <v>682396282.87</v>
      </c>
      <c r="D41" s="53">
        <v>73246783.790000007</v>
      </c>
      <c r="E41" s="53">
        <v>143368613.56999999</v>
      </c>
      <c r="I41" s="53">
        <v>84065924.640000001</v>
      </c>
      <c r="M41" s="53">
        <v>84065924.629999995</v>
      </c>
      <c r="Q41" s="53">
        <v>113173848</v>
      </c>
      <c r="U41" s="53">
        <v>57423750</v>
      </c>
      <c r="Y41" s="53">
        <v>34454250</v>
      </c>
    </row>
    <row r="42" spans="1:74" s="26" customFormat="1">
      <c r="A42" s="17" t="s">
        <v>322</v>
      </c>
      <c r="E42" s="26">
        <f>E40-E41</f>
        <v>-143368613.56999999</v>
      </c>
      <c r="F42" s="26">
        <f t="shared" ref="F42:Y42" si="82">F40-F41</f>
        <v>0</v>
      </c>
      <c r="G42" s="26">
        <f t="shared" si="82"/>
        <v>0</v>
      </c>
      <c r="H42" s="26">
        <f t="shared" si="82"/>
        <v>0</v>
      </c>
      <c r="I42" s="26">
        <f>I40-I41</f>
        <v>-84065924.640000001</v>
      </c>
      <c r="J42" s="26">
        <f t="shared" si="82"/>
        <v>0</v>
      </c>
      <c r="K42" s="26">
        <f t="shared" si="82"/>
        <v>0</v>
      </c>
      <c r="L42" s="26">
        <f t="shared" si="82"/>
        <v>0</v>
      </c>
      <c r="M42" s="26">
        <f t="shared" si="82"/>
        <v>4634336534.3699999</v>
      </c>
      <c r="N42" s="26">
        <f t="shared" si="82"/>
        <v>0</v>
      </c>
      <c r="O42" s="26">
        <f t="shared" si="82"/>
        <v>0</v>
      </c>
      <c r="P42" s="26">
        <f t="shared" si="82"/>
        <v>0</v>
      </c>
      <c r="Q42" s="26">
        <f t="shared" si="82"/>
        <v>1618654329</v>
      </c>
      <c r="R42" s="26">
        <f t="shared" si="82"/>
        <v>1731828177.25</v>
      </c>
      <c r="S42" s="26">
        <f t="shared" si="82"/>
        <v>0</v>
      </c>
      <c r="T42" s="26">
        <f t="shared" si="82"/>
        <v>0</v>
      </c>
      <c r="U42" s="26">
        <f t="shared" si="82"/>
        <v>-57423750</v>
      </c>
      <c r="V42" s="26">
        <f t="shared" si="82"/>
        <v>0</v>
      </c>
      <c r="W42" s="26">
        <f t="shared" si="82"/>
        <v>0</v>
      </c>
      <c r="X42" s="26">
        <f t="shared" si="82"/>
        <v>0</v>
      </c>
      <c r="Y42" s="26">
        <f t="shared" si="82"/>
        <v>-34454250</v>
      </c>
      <c r="Z42" s="26">
        <f t="shared" ref="Z42:BQ42" si="83">Z40-Z41</f>
        <v>0</v>
      </c>
      <c r="AA42" s="26">
        <f t="shared" si="83"/>
        <v>0</v>
      </c>
      <c r="AB42" s="26">
        <f t="shared" si="83"/>
        <v>0</v>
      </c>
      <c r="AC42" s="26">
        <f t="shared" si="83"/>
        <v>168000000</v>
      </c>
      <c r="AD42" s="26">
        <f t="shared" si="83"/>
        <v>168000000</v>
      </c>
      <c r="AE42" s="26">
        <f t="shared" si="83"/>
        <v>168000000</v>
      </c>
      <c r="AF42" s="26">
        <f t="shared" si="83"/>
        <v>168000000</v>
      </c>
      <c r="AG42" s="26">
        <f t="shared" si="83"/>
        <v>443600000</v>
      </c>
      <c r="AH42" s="26">
        <f t="shared" si="83"/>
        <v>252000000</v>
      </c>
      <c r="AI42" s="26">
        <f t="shared" si="83"/>
        <v>252000000</v>
      </c>
      <c r="AJ42" s="26">
        <f t="shared" si="83"/>
        <v>252000000</v>
      </c>
      <c r="AK42" s="26">
        <f t="shared" si="83"/>
        <v>411600000</v>
      </c>
      <c r="AL42" s="192">
        <f t="shared" si="83"/>
        <v>159600000</v>
      </c>
      <c r="AM42" s="192">
        <f t="shared" si="83"/>
        <v>159600000</v>
      </c>
      <c r="AN42" s="192">
        <f t="shared" si="83"/>
        <v>159600000</v>
      </c>
      <c r="AO42" s="192">
        <f t="shared" si="83"/>
        <v>8400000</v>
      </c>
      <c r="AP42" s="192">
        <f t="shared" si="83"/>
        <v>8400000</v>
      </c>
      <c r="AQ42" s="192">
        <f t="shared" si="83"/>
        <v>0</v>
      </c>
      <c r="AR42" s="192">
        <f t="shared" si="83"/>
        <v>0</v>
      </c>
      <c r="AS42" s="192">
        <f t="shared" si="83"/>
        <v>844375775</v>
      </c>
      <c r="AT42" s="192">
        <f t="shared" si="83"/>
        <v>739785775</v>
      </c>
      <c r="AU42" s="192">
        <f t="shared" si="83"/>
        <v>216300000</v>
      </c>
      <c r="AV42" s="192">
        <f t="shared" si="83"/>
        <v>58710000</v>
      </c>
      <c r="AW42" s="192">
        <f t="shared" si="83"/>
        <v>0</v>
      </c>
      <c r="AX42" s="192">
        <f t="shared" si="83"/>
        <v>0</v>
      </c>
      <c r="AY42" s="192">
        <f t="shared" si="83"/>
        <v>0</v>
      </c>
      <c r="AZ42" s="192">
        <f t="shared" si="83"/>
        <v>0</v>
      </c>
      <c r="BA42" s="26">
        <f t="shared" si="83"/>
        <v>0</v>
      </c>
      <c r="BB42" s="26">
        <f t="shared" si="83"/>
        <v>0</v>
      </c>
      <c r="BC42" s="26">
        <f t="shared" si="83"/>
        <v>0</v>
      </c>
      <c r="BD42" s="26">
        <f t="shared" si="83"/>
        <v>0</v>
      </c>
      <c r="BE42" s="26">
        <f t="shared" si="83"/>
        <v>0</v>
      </c>
      <c r="BF42" s="26">
        <f t="shared" si="83"/>
        <v>0</v>
      </c>
      <c r="BG42" s="26">
        <f t="shared" si="83"/>
        <v>0</v>
      </c>
      <c r="BH42" s="26">
        <f t="shared" si="83"/>
        <v>0</v>
      </c>
      <c r="BI42" s="26">
        <f t="shared" si="83"/>
        <v>0</v>
      </c>
      <c r="BJ42" s="26">
        <f t="shared" si="83"/>
        <v>0</v>
      </c>
      <c r="BK42" s="26">
        <f t="shared" si="83"/>
        <v>0</v>
      </c>
      <c r="BL42" s="26">
        <f t="shared" si="83"/>
        <v>0</v>
      </c>
      <c r="BM42" s="26">
        <f t="shared" si="83"/>
        <v>0</v>
      </c>
      <c r="BN42" s="26">
        <f t="shared" si="83"/>
        <v>0</v>
      </c>
      <c r="BO42" s="26">
        <f t="shared" si="83"/>
        <v>352476938.44</v>
      </c>
      <c r="BP42" s="26">
        <f t="shared" si="83"/>
        <v>355232846.62</v>
      </c>
      <c r="BQ42" s="26">
        <f t="shared" si="83"/>
        <v>0</v>
      </c>
      <c r="BR42" s="26">
        <f t="shared" ref="BR42:BV42" si="84">BR40-BR41</f>
        <v>0</v>
      </c>
      <c r="BS42" s="26">
        <f t="shared" si="84"/>
        <v>0</v>
      </c>
      <c r="BT42" s="26">
        <f t="shared" si="84"/>
        <v>132036190.93000001</v>
      </c>
      <c r="BU42" s="26">
        <f t="shared" si="84"/>
        <v>0</v>
      </c>
      <c r="BV42" s="26">
        <f t="shared" si="84"/>
        <v>0</v>
      </c>
    </row>
    <row r="43" spans="1:74" s="52" customFormat="1" ht="15" customHeight="1">
      <c r="A43" s="141" t="s">
        <v>321</v>
      </c>
    </row>
    <row r="44" spans="1:74" s="192" customFormat="1">
      <c r="A44" s="192" t="s">
        <v>324</v>
      </c>
      <c r="B44" s="192">
        <v>9461488209.8600006</v>
      </c>
      <c r="C44" s="192">
        <v>6291488209.8599997</v>
      </c>
      <c r="D44" s="192">
        <v>3728268955.5799999</v>
      </c>
      <c r="E44" s="192">
        <v>6360000000</v>
      </c>
      <c r="F44" s="192">
        <v>4235000000</v>
      </c>
      <c r="G44" s="192">
        <v>3200000000</v>
      </c>
      <c r="H44" s="192">
        <v>2050000000</v>
      </c>
      <c r="I44" s="192">
        <v>664000000</v>
      </c>
      <c r="J44" s="192">
        <v>664000000</v>
      </c>
      <c r="K44" s="192">
        <v>414000000</v>
      </c>
      <c r="L44" s="192">
        <v>414000000</v>
      </c>
      <c r="M44" s="192">
        <v>1968799090</v>
      </c>
      <c r="N44" s="192">
        <v>3168758855</v>
      </c>
      <c r="O44" s="192">
        <v>3118567328</v>
      </c>
      <c r="P44" s="192">
        <v>1457307026.8800001</v>
      </c>
      <c r="Q44" s="192">
        <v>1776183168</v>
      </c>
      <c r="R44" s="192">
        <v>864611363.09000003</v>
      </c>
      <c r="S44" s="192">
        <v>172147721</v>
      </c>
      <c r="T44" s="192">
        <v>88320202.689999998</v>
      </c>
      <c r="U44" s="192">
        <v>1174797578</v>
      </c>
      <c r="V44" s="192">
        <v>896087802</v>
      </c>
      <c r="W44" s="192">
        <v>589743158</v>
      </c>
      <c r="X44" s="192">
        <v>152637919.30000001</v>
      </c>
      <c r="Y44" s="192">
        <v>884459569</v>
      </c>
      <c r="Z44" s="192">
        <v>645497467</v>
      </c>
      <c r="AA44" s="192">
        <v>487170808</v>
      </c>
      <c r="AB44" s="192">
        <v>89834466.969999999</v>
      </c>
      <c r="AC44" s="192">
        <v>1164828803</v>
      </c>
      <c r="AD44" s="192">
        <v>746705474.14999998</v>
      </c>
      <c r="AE44" s="192">
        <v>656534608</v>
      </c>
      <c r="AF44" s="192">
        <v>184085277.21000001</v>
      </c>
      <c r="AG44" s="192">
        <v>1369688120</v>
      </c>
      <c r="AH44" s="192">
        <v>1461479592.6099999</v>
      </c>
      <c r="AI44" s="192">
        <v>1353479592.6099999</v>
      </c>
      <c r="AJ44" s="192">
        <v>429741048.72000003</v>
      </c>
      <c r="AK44" s="192">
        <v>1656783116.1500001</v>
      </c>
      <c r="AL44" s="192">
        <v>758995498.63999999</v>
      </c>
      <c r="AM44" s="192">
        <v>521909881.35000002</v>
      </c>
      <c r="AN44" s="192">
        <v>116000000</v>
      </c>
      <c r="AO44" s="192">
        <v>636523352.91999996</v>
      </c>
      <c r="AP44" s="192">
        <v>654341788.37</v>
      </c>
      <c r="AQ44" s="192">
        <v>552089592.91999996</v>
      </c>
      <c r="AR44" s="192">
        <v>390191709.17000002</v>
      </c>
      <c r="AS44" s="192">
        <v>2610157606.2399998</v>
      </c>
      <c r="AT44" s="192">
        <v>2421619800.52</v>
      </c>
      <c r="AU44" s="192">
        <v>1808238470.4200001</v>
      </c>
      <c r="AV44" s="192">
        <v>105898337.09</v>
      </c>
      <c r="AW44" s="192">
        <v>460598500.05000001</v>
      </c>
      <c r="AX44" s="192">
        <v>288351000</v>
      </c>
      <c r="AY44" s="192">
        <v>253351000</v>
      </c>
      <c r="AZ44" s="192">
        <v>110351000</v>
      </c>
      <c r="BA44" s="192">
        <v>577861000</v>
      </c>
      <c r="BB44" s="192">
        <v>507861000</v>
      </c>
      <c r="BC44" s="192">
        <v>357861000</v>
      </c>
      <c r="BD44" s="192">
        <v>173293500</v>
      </c>
      <c r="BE44" s="192">
        <v>678988900</v>
      </c>
      <c r="BF44" s="192">
        <v>456291400</v>
      </c>
      <c r="BG44" s="192">
        <v>346291400</v>
      </c>
      <c r="BH44" s="192">
        <v>99830100</v>
      </c>
      <c r="BI44" s="192">
        <v>415231262.00999999</v>
      </c>
      <c r="BJ44" s="192">
        <v>299012862.00999999</v>
      </c>
      <c r="BK44" s="192">
        <v>218454092.00999999</v>
      </c>
      <c r="BL44" s="192">
        <v>30331092</v>
      </c>
      <c r="BM44" s="192">
        <v>353915708.75999999</v>
      </c>
      <c r="BN44" s="192">
        <v>120000000</v>
      </c>
      <c r="BO44" s="192">
        <v>95615000</v>
      </c>
      <c r="BP44" s="192">
        <v>30000000</v>
      </c>
      <c r="BQ44" s="192">
        <v>36446094.75</v>
      </c>
      <c r="BR44" s="192">
        <v>91570707</v>
      </c>
      <c r="BS44" s="192">
        <v>41081100.520000003</v>
      </c>
      <c r="BT44" s="192">
        <v>0</v>
      </c>
      <c r="BU44" s="192">
        <v>0</v>
      </c>
      <c r="BV44" s="192">
        <v>0</v>
      </c>
    </row>
    <row r="45" spans="1:74" s="192" customFormat="1">
      <c r="A45" s="192" t="s">
        <v>323</v>
      </c>
      <c r="E45" s="192">
        <f>股权价值增加表!E53</f>
        <v>136325650.56</v>
      </c>
      <c r="F45" s="192">
        <f>股权价值增加表!F53</f>
        <v>0</v>
      </c>
      <c r="G45" s="192">
        <f>股权价值增加表!G53</f>
        <v>0</v>
      </c>
      <c r="H45" s="192">
        <f>股权价值增加表!H53</f>
        <v>0</v>
      </c>
      <c r="I45" s="192">
        <f>股权价值增加表!I53</f>
        <v>52057015.119999997</v>
      </c>
      <c r="J45" s="192">
        <f>股权价值增加表!J53</f>
        <v>0</v>
      </c>
      <c r="K45" s="192">
        <f>股权价值增加表!K53</f>
        <v>0</v>
      </c>
      <c r="L45" s="192">
        <f>股权价值增加表!L53</f>
        <v>0</v>
      </c>
      <c r="M45" s="192">
        <f>股权价值增加表!M53</f>
        <v>0</v>
      </c>
      <c r="N45" s="192">
        <f>股权价值增加表!N53</f>
        <v>0</v>
      </c>
      <c r="O45" s="192">
        <f>股权价值增加表!O53</f>
        <v>0</v>
      </c>
      <c r="P45" s="192">
        <f>股权价值增加表!P53</f>
        <v>0</v>
      </c>
      <c r="Q45" s="192">
        <f>股权价值增加表!Q53</f>
        <v>0</v>
      </c>
      <c r="R45" s="192">
        <f>股权价值增加表!R53</f>
        <v>0</v>
      </c>
      <c r="S45" s="192">
        <f>股权价值增加表!S53</f>
        <v>0</v>
      </c>
      <c r="T45" s="192">
        <f>股权价值增加表!T53</f>
        <v>0</v>
      </c>
      <c r="U45" s="192">
        <f>股权价值增加表!U53</f>
        <v>147578192</v>
      </c>
      <c r="V45" s="192">
        <f>股权价值增加表!V53</f>
        <v>0</v>
      </c>
      <c r="W45" s="192">
        <f>股权价值增加表!W53</f>
        <v>0</v>
      </c>
      <c r="X45" s="192">
        <f>股权价值增加表!X53</f>
        <v>0</v>
      </c>
      <c r="Y45" s="192">
        <f>股权价值增加表!Y53</f>
        <v>180132866</v>
      </c>
      <c r="Z45" s="192">
        <f>股权价值增加表!Z53</f>
        <v>0</v>
      </c>
      <c r="AA45" s="192">
        <f>股权价值增加表!AA53</f>
        <v>0</v>
      </c>
      <c r="AB45" s="192">
        <f>股权价值增加表!AB53</f>
        <v>0</v>
      </c>
      <c r="AC45" s="192">
        <f>股权价值增加表!AC53</f>
        <v>0</v>
      </c>
      <c r="AD45" s="192">
        <f>股权价值增加表!AD53</f>
        <v>0</v>
      </c>
      <c r="AE45" s="192">
        <f>股权价值增加表!AE53</f>
        <v>0</v>
      </c>
      <c r="AF45" s="192">
        <f>股权价值增加表!AF53</f>
        <v>0</v>
      </c>
      <c r="AG45" s="192">
        <f>股权价值增加表!AG53</f>
        <v>0</v>
      </c>
      <c r="AH45" s="192">
        <f>股权价值增加表!AH53</f>
        <v>0</v>
      </c>
      <c r="AI45" s="192">
        <f>股权价值增加表!AI53</f>
        <v>0</v>
      </c>
      <c r="AJ45" s="192">
        <f>股权价值增加表!AJ53</f>
        <v>0</v>
      </c>
      <c r="AK45" s="192">
        <f>股权价值增加表!AK53</f>
        <v>0</v>
      </c>
      <c r="AL45" s="192">
        <f>股权价值增加表!AL53</f>
        <v>0</v>
      </c>
      <c r="AM45" s="192">
        <f>股权价值增加表!AM53</f>
        <v>0</v>
      </c>
      <c r="AN45" s="192">
        <f>股权价值增加表!AN53</f>
        <v>0</v>
      </c>
      <c r="AO45" s="192">
        <f>股权价值增加表!AO53</f>
        <v>0</v>
      </c>
      <c r="AP45" s="192">
        <f>股权价值增加表!AP53</f>
        <v>0</v>
      </c>
      <c r="AQ45" s="192">
        <f>股权价值增加表!AQ53</f>
        <v>0</v>
      </c>
      <c r="AR45" s="192">
        <f>股权价值增加表!AR53</f>
        <v>0</v>
      </c>
      <c r="AS45" s="192">
        <f>股权价值增加表!AS53</f>
        <v>0</v>
      </c>
      <c r="AT45" s="192">
        <f>股权价值增加表!AT53</f>
        <v>0</v>
      </c>
      <c r="AU45" s="192">
        <f>股权价值增加表!AU53</f>
        <v>0</v>
      </c>
      <c r="AV45" s="192">
        <f>股权价值增加表!AV53</f>
        <v>0</v>
      </c>
      <c r="AW45" s="192">
        <f>股权价值增加表!AW53</f>
        <v>0</v>
      </c>
      <c r="AX45" s="192">
        <f>股权价值增加表!AX53</f>
        <v>0</v>
      </c>
      <c r="AY45" s="192">
        <f>股权价值增加表!AY53</f>
        <v>0</v>
      </c>
      <c r="AZ45" s="192">
        <f>股权价值增加表!AZ53</f>
        <v>0</v>
      </c>
      <c r="BA45" s="192">
        <f>股权价值增加表!BA53</f>
        <v>0</v>
      </c>
      <c r="BB45" s="192">
        <f>股权价值增加表!BB53</f>
        <v>0</v>
      </c>
      <c r="BC45" s="192">
        <f>股权价值增加表!BC53</f>
        <v>0</v>
      </c>
      <c r="BD45" s="192">
        <f>股权价值增加表!BD53</f>
        <v>0</v>
      </c>
      <c r="BE45" s="192">
        <f>股权价值增加表!BE53</f>
        <v>0</v>
      </c>
      <c r="BF45" s="192">
        <f>股权价值增加表!BF53</f>
        <v>0</v>
      </c>
      <c r="BG45" s="192">
        <f>股权价值增加表!BG53</f>
        <v>0</v>
      </c>
      <c r="BH45" s="192">
        <f>股权价值增加表!BH53</f>
        <v>0</v>
      </c>
      <c r="BI45" s="192">
        <f>股权价值增加表!BI53</f>
        <v>0</v>
      </c>
      <c r="BJ45" s="192">
        <f>股权价值增加表!BJ53</f>
        <v>0</v>
      </c>
      <c r="BK45" s="192">
        <f>股权价值增加表!BK53</f>
        <v>0</v>
      </c>
      <c r="BL45" s="192">
        <f>股权价值增加表!BL53</f>
        <v>0</v>
      </c>
      <c r="BM45" s="192">
        <f>股权价值增加表!BM53</f>
        <v>0</v>
      </c>
      <c r="BN45" s="192">
        <f>股权价值增加表!BN53</f>
        <v>0</v>
      </c>
      <c r="BO45" s="192">
        <f>股权价值增加表!BO53</f>
        <v>0</v>
      </c>
      <c r="BP45" s="192">
        <f>股权价值增加表!BP53</f>
        <v>0</v>
      </c>
      <c r="BQ45" s="192">
        <f>股权价值增加表!BQ53</f>
        <v>0</v>
      </c>
      <c r="BR45" s="192">
        <f>股权价值增加表!BR53</f>
        <v>0</v>
      </c>
      <c r="BS45" s="192">
        <f>股权价值增加表!BS53</f>
        <v>0</v>
      </c>
      <c r="BT45" s="192">
        <f>股权价值增加表!BT53</f>
        <v>0</v>
      </c>
      <c r="BU45" s="192">
        <f>股权价值增加表!BU53</f>
        <v>0</v>
      </c>
      <c r="BV45" s="192">
        <f>股权价值增加表!BV53</f>
        <v>0</v>
      </c>
    </row>
    <row r="46" spans="1:74" s="192" customFormat="1">
      <c r="A46" s="192" t="s">
        <v>325</v>
      </c>
      <c r="B46" s="192">
        <v>0</v>
      </c>
      <c r="C46" s="192">
        <v>49891881.439999998</v>
      </c>
      <c r="D46" s="192">
        <v>48603383.560000002</v>
      </c>
      <c r="E46" s="192">
        <v>13694297.9</v>
      </c>
      <c r="F46" s="192">
        <v>1567736.1</v>
      </c>
      <c r="G46" s="192">
        <v>5598395.8300000001</v>
      </c>
      <c r="H46" s="192">
        <v>730957.64</v>
      </c>
      <c r="I46" s="192">
        <v>0</v>
      </c>
      <c r="J46" s="192">
        <v>184027.77</v>
      </c>
      <c r="K46" s="192">
        <v>0</v>
      </c>
      <c r="L46" s="192">
        <v>202430.57</v>
      </c>
      <c r="M46" s="192">
        <v>251315</v>
      </c>
      <c r="N46" s="192">
        <v>10017569.390000001</v>
      </c>
      <c r="O46" s="192">
        <v>8710226</v>
      </c>
      <c r="P46" s="192">
        <v>6719253.7699999996</v>
      </c>
      <c r="Q46" s="192">
        <v>4670777</v>
      </c>
      <c r="R46" s="192">
        <v>20851897.449999999</v>
      </c>
      <c r="S46" s="192">
        <v>8682769</v>
      </c>
      <c r="T46" s="192">
        <v>7335521.5</v>
      </c>
      <c r="U46" s="192">
        <v>5438591</v>
      </c>
      <c r="V46" s="192">
        <v>12007587</v>
      </c>
      <c r="W46" s="192">
        <v>9663911</v>
      </c>
      <c r="X46" s="192">
        <v>8136761.5</v>
      </c>
      <c r="Y46" s="192">
        <v>6042913</v>
      </c>
      <c r="Z46" s="192">
        <v>14904796</v>
      </c>
      <c r="AA46" s="192">
        <v>12841206</v>
      </c>
      <c r="AB46" s="192">
        <v>10707154.699999999</v>
      </c>
      <c r="AC46" s="192">
        <v>7462752</v>
      </c>
      <c r="AD46" s="192">
        <v>14128803.17</v>
      </c>
      <c r="AE46" s="192">
        <v>11760789</v>
      </c>
      <c r="AF46" s="192">
        <v>8416935.0500000007</v>
      </c>
      <c r="AG46" s="192">
        <v>6268610</v>
      </c>
      <c r="AH46" s="192">
        <v>8779095.6300000008</v>
      </c>
      <c r="AI46" s="192">
        <v>7119075.8700000001</v>
      </c>
      <c r="AJ46" s="192">
        <v>4449749.1399999997</v>
      </c>
      <c r="AK46" s="192">
        <v>4935182.5599999996</v>
      </c>
      <c r="AL46" s="192">
        <v>3206872.28</v>
      </c>
      <c r="AM46" s="192">
        <v>2940559.34</v>
      </c>
      <c r="AN46" s="192">
        <v>3697195.22</v>
      </c>
      <c r="AO46" s="192">
        <v>4474585.54</v>
      </c>
      <c r="AP46" s="192">
        <v>3550548.81</v>
      </c>
      <c r="AQ46" s="192">
        <v>2723249.8</v>
      </c>
      <c r="AR46" s="192">
        <v>3733625.79</v>
      </c>
      <c r="AS46" s="192">
        <v>2682598.94</v>
      </c>
      <c r="AT46" s="192">
        <v>0</v>
      </c>
      <c r="AU46" s="192">
        <v>0</v>
      </c>
      <c r="AV46" s="192">
        <v>0</v>
      </c>
      <c r="AW46" s="192">
        <v>0</v>
      </c>
      <c r="AX46" s="192">
        <v>0</v>
      </c>
      <c r="AY46" s="192">
        <v>0</v>
      </c>
      <c r="AZ46" s="192">
        <v>0</v>
      </c>
      <c r="BA46" s="192">
        <v>0</v>
      </c>
      <c r="BB46" s="192">
        <v>0</v>
      </c>
      <c r="BC46" s="192">
        <v>0</v>
      </c>
      <c r="BD46" s="192">
        <v>0</v>
      </c>
      <c r="BE46" s="192">
        <v>0</v>
      </c>
      <c r="BF46" s="192">
        <v>0</v>
      </c>
      <c r="BG46" s="192">
        <v>0</v>
      </c>
      <c r="BH46" s="192">
        <v>0</v>
      </c>
      <c r="BI46" s="192">
        <v>0</v>
      </c>
      <c r="BJ46" s="192">
        <v>0</v>
      </c>
      <c r="BK46" s="192">
        <v>0</v>
      </c>
      <c r="BL46" s="192">
        <v>0</v>
      </c>
      <c r="BM46" s="192">
        <v>0</v>
      </c>
      <c r="BN46" s="192">
        <v>0</v>
      </c>
      <c r="BO46" s="192">
        <v>0</v>
      </c>
      <c r="BP46" s="192">
        <v>0</v>
      </c>
      <c r="BQ46" s="192">
        <v>0</v>
      </c>
      <c r="BR46" s="192">
        <v>0</v>
      </c>
      <c r="BS46" s="192">
        <v>0</v>
      </c>
      <c r="BT46" s="192">
        <v>0</v>
      </c>
      <c r="BU46" s="192">
        <v>0</v>
      </c>
      <c r="BV46" s="192">
        <v>0</v>
      </c>
    </row>
    <row r="47" spans="1:74" s="192" customFormat="1">
      <c r="A47" s="192" t="s">
        <v>326</v>
      </c>
      <c r="B47" s="192">
        <v>8792069236.25</v>
      </c>
      <c r="C47" s="192">
        <v>5707367280.6700001</v>
      </c>
      <c r="D47" s="192">
        <v>2414890593.7800002</v>
      </c>
      <c r="E47" s="192">
        <v>974000000</v>
      </c>
      <c r="F47" s="192">
        <v>464000000</v>
      </c>
      <c r="G47" s="192">
        <v>14000000</v>
      </c>
      <c r="H47" s="192">
        <v>14000000</v>
      </c>
      <c r="I47" s="192">
        <v>1446000000</v>
      </c>
      <c r="J47" s="192">
        <v>990000000</v>
      </c>
      <c r="K47" s="192">
        <v>740000000</v>
      </c>
      <c r="L47" s="192">
        <v>301681597.22000003</v>
      </c>
      <c r="M47" s="192">
        <v>2346712490</v>
      </c>
      <c r="N47" s="192">
        <v>2217183540.5599999</v>
      </c>
      <c r="O47" s="192">
        <v>1038303945</v>
      </c>
      <c r="P47" s="192">
        <v>321856327.49000001</v>
      </c>
      <c r="Q47" s="192">
        <v>5065158561</v>
      </c>
      <c r="R47" s="192">
        <v>1671152695.8399999</v>
      </c>
      <c r="S47" s="192">
        <v>556074279</v>
      </c>
      <c r="T47" s="192">
        <v>127982039.39</v>
      </c>
      <c r="U47" s="192">
        <v>1640125197</v>
      </c>
      <c r="V47" s="192">
        <v>1081593107</v>
      </c>
      <c r="W47" s="192">
        <v>811933900</v>
      </c>
      <c r="X47" s="192">
        <v>152854558.71000001</v>
      </c>
      <c r="Y47" s="192">
        <v>1228022751</v>
      </c>
      <c r="Z47" s="192">
        <v>698640833</v>
      </c>
      <c r="AA47" s="192">
        <v>466595344</v>
      </c>
      <c r="AB47" s="192">
        <v>169713833.41999999</v>
      </c>
      <c r="AC47" s="192">
        <v>1264538110</v>
      </c>
      <c r="AD47" s="192">
        <v>813044578.07000005</v>
      </c>
      <c r="AE47" s="192">
        <v>415048590</v>
      </c>
      <c r="AF47" s="192">
        <v>174891139.65000001</v>
      </c>
      <c r="AG47" s="192">
        <v>1090007385</v>
      </c>
      <c r="AH47" s="192">
        <v>848268478.51999998</v>
      </c>
      <c r="AI47" s="192">
        <v>621424115.79999995</v>
      </c>
      <c r="AJ47" s="192">
        <v>124664099.56999999</v>
      </c>
      <c r="AK47" s="192">
        <v>495299761.08999997</v>
      </c>
      <c r="AL47" s="192">
        <v>173104561.09</v>
      </c>
      <c r="AM47" s="192">
        <v>18895361.09</v>
      </c>
      <c r="AN47" s="192">
        <v>18895361.09</v>
      </c>
      <c r="AO47" s="192">
        <v>256236641.93000001</v>
      </c>
      <c r="AP47" s="192">
        <v>172916788.59999999</v>
      </c>
      <c r="AQ47" s="192">
        <v>100000000</v>
      </c>
      <c r="AR47" s="192">
        <v>0</v>
      </c>
      <c r="AS47" s="192">
        <v>1122687456.1900001</v>
      </c>
      <c r="AT47" s="192">
        <v>778429839.05999994</v>
      </c>
      <c r="AU47" s="192">
        <v>343429839.06</v>
      </c>
      <c r="AV47" s="192">
        <v>73429839.060000002</v>
      </c>
      <c r="AW47" s="192">
        <v>419157000</v>
      </c>
      <c r="AX47" s="192">
        <v>221157000</v>
      </c>
      <c r="AY47" s="192">
        <v>161157000</v>
      </c>
      <c r="AZ47" s="192">
        <v>61157000</v>
      </c>
      <c r="BA47" s="192">
        <v>728678500</v>
      </c>
      <c r="BB47" s="192">
        <v>565357094.77999997</v>
      </c>
      <c r="BC47" s="192">
        <v>394414000</v>
      </c>
      <c r="BD47" s="192">
        <v>209659000</v>
      </c>
      <c r="BE47" s="192">
        <v>519398788.06999999</v>
      </c>
      <c r="BF47" s="192">
        <v>388014700</v>
      </c>
      <c r="BG47" s="192">
        <v>277767000</v>
      </c>
      <c r="BH47" s="192">
        <v>45000000</v>
      </c>
      <c r="BI47" s="192">
        <v>377493662</v>
      </c>
      <c r="BJ47" s="192">
        <v>285044092</v>
      </c>
      <c r="BK47" s="192">
        <v>180331092</v>
      </c>
      <c r="BL47" s="192">
        <v>331092</v>
      </c>
      <c r="BM47" s="192">
        <v>165507958.21000001</v>
      </c>
      <c r="BN47" s="192">
        <v>40684307.689999998</v>
      </c>
      <c r="BO47" s="192">
        <v>177174751.63</v>
      </c>
      <c r="BP47" s="192">
        <v>64104306.780000001</v>
      </c>
      <c r="BQ47" s="192">
        <v>0</v>
      </c>
      <c r="BR47" s="192">
        <v>0</v>
      </c>
      <c r="BS47" s="192">
        <v>0</v>
      </c>
      <c r="BT47" s="192">
        <v>55723279.43</v>
      </c>
      <c r="BU47" s="192">
        <v>0</v>
      </c>
      <c r="BV47" s="192">
        <v>0</v>
      </c>
    </row>
    <row r="48" spans="1:74" s="192" customFormat="1">
      <c r="A48" s="192" t="s">
        <v>597</v>
      </c>
      <c r="B48" s="189">
        <v>0</v>
      </c>
      <c r="C48" s="189">
        <v>0</v>
      </c>
      <c r="D48" s="189">
        <v>0</v>
      </c>
      <c r="E48" s="189">
        <v>0</v>
      </c>
      <c r="F48" s="189">
        <v>0</v>
      </c>
      <c r="G48" s="189">
        <v>0</v>
      </c>
      <c r="H48" s="189">
        <v>0</v>
      </c>
      <c r="I48" s="189">
        <v>0</v>
      </c>
      <c r="J48" s="189">
        <v>0</v>
      </c>
      <c r="K48" s="189">
        <v>0</v>
      </c>
      <c r="L48" s="189">
        <v>0</v>
      </c>
      <c r="M48" s="189">
        <v>0</v>
      </c>
      <c r="N48" s="189">
        <v>0</v>
      </c>
      <c r="O48" s="189">
        <v>0</v>
      </c>
      <c r="P48" s="189">
        <v>0</v>
      </c>
      <c r="Q48" s="189">
        <v>0</v>
      </c>
      <c r="R48" s="189">
        <v>0</v>
      </c>
      <c r="S48" s="189">
        <v>0</v>
      </c>
      <c r="T48" s="189">
        <v>0</v>
      </c>
      <c r="U48" s="189">
        <v>0</v>
      </c>
      <c r="V48" s="189">
        <v>0</v>
      </c>
      <c r="W48" s="189">
        <v>0</v>
      </c>
      <c r="X48" s="189">
        <v>0</v>
      </c>
      <c r="Y48" s="189">
        <v>0</v>
      </c>
      <c r="Z48" s="189">
        <v>0</v>
      </c>
      <c r="AA48" s="189">
        <v>0</v>
      </c>
      <c r="AB48" s="189">
        <v>0</v>
      </c>
      <c r="AC48" s="189">
        <v>0</v>
      </c>
      <c r="AD48" s="189">
        <v>0</v>
      </c>
      <c r="AE48" s="189">
        <v>0</v>
      </c>
      <c r="AF48" s="189">
        <v>0</v>
      </c>
      <c r="AG48" s="189">
        <v>0</v>
      </c>
      <c r="AH48" s="189">
        <v>0</v>
      </c>
      <c r="AI48" s="189">
        <v>0</v>
      </c>
      <c r="AJ48" s="189">
        <v>0</v>
      </c>
      <c r="AK48" s="189">
        <v>0</v>
      </c>
      <c r="AL48" s="189">
        <v>0</v>
      </c>
      <c r="AM48" s="189">
        <v>0</v>
      </c>
      <c r="AN48" s="189">
        <v>0</v>
      </c>
      <c r="AO48" s="189">
        <v>0</v>
      </c>
      <c r="AP48" s="189">
        <v>0</v>
      </c>
      <c r="AQ48" s="189">
        <v>0</v>
      </c>
      <c r="AR48" s="189">
        <v>0</v>
      </c>
      <c r="AS48" s="189">
        <v>0</v>
      </c>
      <c r="AT48" s="189">
        <v>0</v>
      </c>
      <c r="AU48" s="189">
        <v>0</v>
      </c>
      <c r="AV48" s="189">
        <v>0</v>
      </c>
      <c r="AW48" s="189">
        <v>0</v>
      </c>
      <c r="AX48" s="189">
        <v>0</v>
      </c>
      <c r="AY48" s="189">
        <v>0</v>
      </c>
      <c r="AZ48" s="189">
        <v>0</v>
      </c>
      <c r="BA48" s="189">
        <v>0</v>
      </c>
      <c r="BB48" s="189">
        <v>0</v>
      </c>
      <c r="BC48" s="189">
        <v>0</v>
      </c>
      <c r="BD48" s="189">
        <v>0</v>
      </c>
      <c r="BE48" s="189">
        <v>0</v>
      </c>
      <c r="BF48" s="189">
        <v>0</v>
      </c>
      <c r="BG48" s="189">
        <v>0</v>
      </c>
      <c r="BH48" s="189">
        <v>0</v>
      </c>
      <c r="BI48" s="189">
        <v>0</v>
      </c>
      <c r="BJ48" s="189">
        <v>0</v>
      </c>
      <c r="BK48" s="189">
        <v>0</v>
      </c>
      <c r="BL48" s="189">
        <v>0</v>
      </c>
      <c r="BM48" s="189">
        <v>0</v>
      </c>
      <c r="BN48" s="189">
        <v>0</v>
      </c>
      <c r="BO48" s="189">
        <v>0</v>
      </c>
      <c r="BP48" s="189">
        <v>0</v>
      </c>
      <c r="BQ48" s="189">
        <v>0</v>
      </c>
      <c r="BR48" s="189">
        <v>0</v>
      </c>
      <c r="BS48" s="189">
        <v>0</v>
      </c>
      <c r="BT48" s="189">
        <v>0</v>
      </c>
      <c r="BU48" s="189">
        <v>0</v>
      </c>
      <c r="BV48" s="189">
        <v>0</v>
      </c>
    </row>
    <row r="49" spans="1:74" s="192" customFormat="1">
      <c r="A49" s="192" t="s">
        <v>598</v>
      </c>
      <c r="E49" s="192">
        <f>E44+E48-E45-E46-E47</f>
        <v>5235980051.54</v>
      </c>
      <c r="F49" s="192">
        <f t="shared" ref="F49:BQ49" si="85">F44+F48-F45-F46-F47</f>
        <v>3769432263.9000001</v>
      </c>
      <c r="G49" s="192">
        <f t="shared" si="85"/>
        <v>3180401604.1700001</v>
      </c>
      <c r="H49" s="192">
        <f t="shared" si="85"/>
        <v>2035269042.3599999</v>
      </c>
      <c r="I49" s="192">
        <f t="shared" si="85"/>
        <v>-834057015.12</v>
      </c>
      <c r="J49" s="192">
        <f t="shared" si="85"/>
        <v>-326184027.76999998</v>
      </c>
      <c r="K49" s="192">
        <f t="shared" si="85"/>
        <v>-326000000</v>
      </c>
      <c r="L49" s="192">
        <f t="shared" si="85"/>
        <v>112115972.20999998</v>
      </c>
      <c r="M49" s="192">
        <f t="shared" si="85"/>
        <v>-378164715</v>
      </c>
      <c r="N49" s="192">
        <f t="shared" si="85"/>
        <v>941557745.05000019</v>
      </c>
      <c r="O49" s="192">
        <f t="shared" si="85"/>
        <v>2071553157</v>
      </c>
      <c r="P49" s="192">
        <f t="shared" si="85"/>
        <v>1128731445.6200001</v>
      </c>
      <c r="Q49" s="192">
        <f t="shared" si="85"/>
        <v>-3293646170</v>
      </c>
      <c r="R49" s="192">
        <f t="shared" si="85"/>
        <v>-827393230.19999993</v>
      </c>
      <c r="S49" s="192">
        <f t="shared" si="85"/>
        <v>-392609327</v>
      </c>
      <c r="T49" s="192">
        <f t="shared" si="85"/>
        <v>-46997358.200000003</v>
      </c>
      <c r="U49" s="192">
        <f t="shared" si="85"/>
        <v>-618344402</v>
      </c>
      <c r="V49" s="192">
        <f t="shared" si="85"/>
        <v>-197512892</v>
      </c>
      <c r="W49" s="192">
        <f t="shared" si="85"/>
        <v>-231854653</v>
      </c>
      <c r="X49" s="192">
        <f t="shared" si="85"/>
        <v>-8353400.9099999964</v>
      </c>
      <c r="Y49" s="192">
        <f t="shared" si="85"/>
        <v>-529738961</v>
      </c>
      <c r="Z49" s="192">
        <f t="shared" si="85"/>
        <v>-68048162</v>
      </c>
      <c r="AA49" s="192">
        <f t="shared" si="85"/>
        <v>7734258</v>
      </c>
      <c r="AB49" s="192">
        <f t="shared" si="85"/>
        <v>-90586521.149999991</v>
      </c>
      <c r="AC49" s="192">
        <f t="shared" si="85"/>
        <v>-107172059</v>
      </c>
      <c r="AD49" s="192">
        <f t="shared" si="85"/>
        <v>-80467907.090000033</v>
      </c>
      <c r="AE49" s="192">
        <f t="shared" si="85"/>
        <v>229725229</v>
      </c>
      <c r="AF49" s="192">
        <f t="shared" si="85"/>
        <v>777202.50999999046</v>
      </c>
      <c r="AG49" s="192">
        <f t="shared" si="85"/>
        <v>273412125</v>
      </c>
      <c r="AH49" s="192">
        <f t="shared" si="85"/>
        <v>604432018.4599998</v>
      </c>
      <c r="AI49" s="192">
        <f t="shared" si="85"/>
        <v>724936400.94000006</v>
      </c>
      <c r="AJ49" s="192">
        <f t="shared" si="85"/>
        <v>300627200.01000005</v>
      </c>
      <c r="AK49" s="192">
        <f t="shared" si="85"/>
        <v>1156548172.5000002</v>
      </c>
      <c r="AL49" s="192">
        <f t="shared" si="85"/>
        <v>582684065.26999998</v>
      </c>
      <c r="AM49" s="192">
        <f t="shared" si="85"/>
        <v>500073960.92000008</v>
      </c>
      <c r="AN49" s="192">
        <f t="shared" si="85"/>
        <v>93407443.689999998</v>
      </c>
      <c r="AO49" s="192">
        <f t="shared" si="85"/>
        <v>375812125.44999999</v>
      </c>
      <c r="AP49" s="192">
        <f t="shared" si="85"/>
        <v>477874450.96000004</v>
      </c>
      <c r="AQ49" s="192">
        <f t="shared" si="85"/>
        <v>449366343.12</v>
      </c>
      <c r="AR49" s="192">
        <f t="shared" si="85"/>
        <v>386458083.38</v>
      </c>
      <c r="AS49" s="192">
        <f t="shared" si="85"/>
        <v>1484787551.1099997</v>
      </c>
      <c r="AT49" s="192">
        <f t="shared" si="85"/>
        <v>1643189961.46</v>
      </c>
      <c r="AU49" s="192">
        <f t="shared" si="85"/>
        <v>1464808631.3600001</v>
      </c>
      <c r="AV49" s="192">
        <f t="shared" si="85"/>
        <v>32468498.030000001</v>
      </c>
      <c r="AW49" s="192">
        <f t="shared" si="85"/>
        <v>41441500.050000012</v>
      </c>
      <c r="AX49" s="192">
        <f t="shared" si="85"/>
        <v>67194000</v>
      </c>
      <c r="AY49" s="192">
        <f t="shared" si="85"/>
        <v>92194000</v>
      </c>
      <c r="AZ49" s="192">
        <f t="shared" si="85"/>
        <v>49194000</v>
      </c>
      <c r="BA49" s="192">
        <f t="shared" si="85"/>
        <v>-150817500</v>
      </c>
      <c r="BB49" s="192">
        <f t="shared" si="85"/>
        <v>-57496094.779999971</v>
      </c>
      <c r="BC49" s="192">
        <f t="shared" si="85"/>
        <v>-36553000</v>
      </c>
      <c r="BD49" s="192">
        <f t="shared" si="85"/>
        <v>-36365500</v>
      </c>
      <c r="BE49" s="192">
        <f t="shared" si="85"/>
        <v>159590111.93000001</v>
      </c>
      <c r="BF49" s="192">
        <f t="shared" si="85"/>
        <v>68276700</v>
      </c>
      <c r="BG49" s="192">
        <f t="shared" si="85"/>
        <v>68524400</v>
      </c>
      <c r="BH49" s="192">
        <f t="shared" si="85"/>
        <v>54830100</v>
      </c>
      <c r="BI49" s="192">
        <f t="shared" si="85"/>
        <v>37737600.00999999</v>
      </c>
      <c r="BJ49" s="192">
        <f t="shared" si="85"/>
        <v>13968770.00999999</v>
      </c>
      <c r="BK49" s="192">
        <f t="shared" si="85"/>
        <v>38123000.00999999</v>
      </c>
      <c r="BL49" s="192">
        <f t="shared" si="85"/>
        <v>30000000</v>
      </c>
      <c r="BM49" s="192">
        <f t="shared" si="85"/>
        <v>188407750.54999998</v>
      </c>
      <c r="BN49" s="192">
        <f t="shared" si="85"/>
        <v>79315692.310000002</v>
      </c>
      <c r="BO49" s="192">
        <f t="shared" si="85"/>
        <v>-81559751.629999995</v>
      </c>
      <c r="BP49" s="192">
        <f t="shared" si="85"/>
        <v>-34104306.780000001</v>
      </c>
      <c r="BQ49" s="192">
        <f t="shared" si="85"/>
        <v>36446094.75</v>
      </c>
      <c r="BR49" s="192">
        <f t="shared" ref="BR49:BV49" si="86">BR44+BR48-BR45-BR46-BR47</f>
        <v>91570707</v>
      </c>
      <c r="BS49" s="192">
        <f t="shared" si="86"/>
        <v>41081100.520000003</v>
      </c>
      <c r="BT49" s="192">
        <f t="shared" si="86"/>
        <v>-55723279.43</v>
      </c>
      <c r="BU49" s="192">
        <f t="shared" si="86"/>
        <v>0</v>
      </c>
      <c r="BV49" s="192">
        <f t="shared" si="86"/>
        <v>0</v>
      </c>
    </row>
    <row r="50" spans="1:74" s="26" customFormat="1" ht="14.45"/>
    <row r="51" spans="1:74" s="16" customFormat="1" ht="120" customHeight="1">
      <c r="A51" s="277" t="s">
        <v>666</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平均资本成本表"/>
  <dimension ref="A1:BV16"/>
  <sheetViews>
    <sheetView topLeftCell="A10" workbookViewId="0">
      <selection activeCell="E12" sqref="E12"/>
    </sheetView>
  </sheetViews>
  <sheetFormatPr defaultRowHeight="13.5"/>
  <cols>
    <col min="1" max="1" width="61.25" style="17" bestFit="1" customWidth="1"/>
    <col min="2" max="4" width="9.5" hidden="1" customWidth="1"/>
    <col min="5" max="5" width="20.5" bestFit="1" customWidth="1"/>
    <col min="6" max="8" width="20.5" hidden="1" customWidth="1"/>
    <col min="9" max="9" width="20.5" bestFit="1" customWidth="1"/>
    <col min="10" max="12" width="20.5" hidden="1" customWidth="1"/>
    <col min="13" max="13" width="20.5" bestFit="1" customWidth="1"/>
    <col min="14" max="16" width="20.5" hidden="1" customWidth="1"/>
    <col min="17" max="17" width="20.5" bestFit="1" customWidth="1"/>
    <col min="18" max="18" width="20.5" hidden="1" customWidth="1"/>
    <col min="19" max="20" width="19.375" hidden="1" customWidth="1"/>
    <col min="21" max="21" width="19.375" bestFit="1" customWidth="1"/>
    <col min="22" max="24" width="19.375" hidden="1" customWidth="1"/>
    <col min="25" max="25" width="19.375" bestFit="1" customWidth="1"/>
    <col min="26" max="28" width="19.375" hidden="1" customWidth="1"/>
    <col min="29" max="29" width="19.375" bestFit="1" customWidth="1"/>
    <col min="30" max="32" width="19.375" hidden="1" customWidth="1"/>
    <col min="33" max="33" width="19.375" bestFit="1" customWidth="1"/>
    <col min="34" max="36" width="19.375" hidden="1" customWidth="1"/>
    <col min="37" max="37" width="19.375" bestFit="1" customWidth="1"/>
    <col min="38" max="40" width="19.375" hidden="1" customWidth="1"/>
    <col min="41" max="41" width="19.375" bestFit="1" customWidth="1"/>
    <col min="42" max="44" width="19.375" hidden="1" customWidth="1"/>
    <col min="45" max="45" width="19.375" bestFit="1" customWidth="1"/>
    <col min="46" max="48" width="19.375" hidden="1" customWidth="1"/>
    <col min="49" max="49" width="19.375" bestFit="1" customWidth="1"/>
    <col min="50" max="52" width="19.375" hidden="1" customWidth="1"/>
    <col min="53" max="53" width="19.375" bestFit="1" customWidth="1"/>
    <col min="54" max="56" width="19.375" hidden="1" customWidth="1"/>
    <col min="57" max="57" width="19.375" bestFit="1" customWidth="1"/>
    <col min="58" max="60" width="19.375" hidden="1" customWidth="1"/>
    <col min="61" max="61" width="19.375" bestFit="1" customWidth="1"/>
    <col min="62" max="62" width="17.25" hidden="1" customWidth="1"/>
    <col min="63" max="63" width="19.375" hidden="1" customWidth="1"/>
    <col min="64" max="64" width="17.25" hidden="1" customWidth="1"/>
    <col min="65" max="65" width="17.25" bestFit="1" customWidth="1"/>
    <col min="66" max="66" width="17.25" hidden="1" customWidth="1"/>
    <col min="67" max="67" width="17.25" bestFit="1" customWidth="1"/>
    <col min="68" max="68" width="17.25" hidden="1" customWidth="1"/>
    <col min="69" max="69" width="17.25" bestFit="1" customWidth="1"/>
    <col min="70" max="70" width="17.25" hidden="1" customWidth="1"/>
    <col min="71" max="72" width="17.25" bestFit="1" customWidth="1"/>
    <col min="73" max="74" width="17.25" hidden="1" customWidth="1"/>
  </cols>
  <sheetData>
    <row r="1" spans="1:74" ht="14.45">
      <c r="A1" s="17">
        <v>50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25569</v>
      </c>
      <c r="BV1" s="1">
        <v>25569</v>
      </c>
    </row>
    <row r="2" spans="1:74" s="48" customFormat="1">
      <c r="A2" s="46" t="s">
        <v>327</v>
      </c>
    </row>
    <row r="3" spans="1:74" s="26" customFormat="1">
      <c r="A3" s="17" t="s">
        <v>328</v>
      </c>
      <c r="B3" s="26">
        <f>平均资本成本表!E53</f>
        <v>0</v>
      </c>
      <c r="E3" s="26">
        <f>股权价值增加表!E53</f>
        <v>136325650.56</v>
      </c>
      <c r="F3" s="26">
        <f>股权价值增加表!F53</f>
        <v>0</v>
      </c>
      <c r="G3" s="26">
        <f>股权价值增加表!G53</f>
        <v>0</v>
      </c>
      <c r="H3" s="26">
        <f>股权价值增加表!H53</f>
        <v>0</v>
      </c>
      <c r="I3" s="26">
        <f>股权价值增加表!I53</f>
        <v>52057015.119999997</v>
      </c>
      <c r="J3" s="26">
        <f>股权价值增加表!J53</f>
        <v>0</v>
      </c>
      <c r="K3" s="26">
        <f>股权价值增加表!K53</f>
        <v>0</v>
      </c>
      <c r="L3" s="26">
        <f>股权价值增加表!L53</f>
        <v>0</v>
      </c>
      <c r="M3" s="26">
        <f>股权价值增加表!M53</f>
        <v>0</v>
      </c>
      <c r="N3" s="26">
        <f>股权价值增加表!N53</f>
        <v>0</v>
      </c>
      <c r="O3" s="26">
        <f>股权价值增加表!O53</f>
        <v>0</v>
      </c>
      <c r="P3" s="26">
        <f>股权价值增加表!P53</f>
        <v>0</v>
      </c>
      <c r="Q3" s="26">
        <f>股权价值增加表!Q53</f>
        <v>0</v>
      </c>
      <c r="R3" s="26">
        <f>股权价值增加表!R53</f>
        <v>0</v>
      </c>
      <c r="S3" s="26">
        <f>股权价值增加表!S53</f>
        <v>0</v>
      </c>
      <c r="T3" s="26">
        <f>股权价值增加表!T53</f>
        <v>0</v>
      </c>
      <c r="U3" s="26">
        <f>股权价值增加表!U53</f>
        <v>147578192</v>
      </c>
      <c r="V3" s="26">
        <f>股权价值增加表!V53</f>
        <v>0</v>
      </c>
      <c r="W3" s="26">
        <f>股权价值增加表!W53</f>
        <v>0</v>
      </c>
      <c r="X3" s="26">
        <f>股权价值增加表!X53</f>
        <v>0</v>
      </c>
      <c r="Y3" s="26">
        <f>股权价值增加表!Y53</f>
        <v>180132866</v>
      </c>
      <c r="Z3" s="26">
        <f>股权价值增加表!Z53</f>
        <v>0</v>
      </c>
      <c r="AA3" s="26">
        <f>股权价值增加表!AA53</f>
        <v>0</v>
      </c>
      <c r="AB3" s="26">
        <f>股权价值增加表!AB53</f>
        <v>0</v>
      </c>
      <c r="AC3" s="26">
        <f>股权价值增加表!AC53</f>
        <v>0</v>
      </c>
      <c r="AD3" s="26">
        <f>股权价值增加表!AD53</f>
        <v>0</v>
      </c>
      <c r="AE3" s="26">
        <f>股权价值增加表!AE53</f>
        <v>0</v>
      </c>
      <c r="AF3" s="26">
        <f>股权价值增加表!AF53</f>
        <v>0</v>
      </c>
      <c r="AG3" s="26">
        <f>股权价值增加表!AG53</f>
        <v>0</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c r="A4" s="17" t="s">
        <v>329</v>
      </c>
      <c r="E4" s="26">
        <f>资产资本表!E89</f>
        <v>7163731137.7200003</v>
      </c>
      <c r="F4" s="26">
        <f>资产资本表!F89</f>
        <v>5539967027.1700001</v>
      </c>
      <c r="G4" s="26">
        <f>资产资本表!G89</f>
        <v>4959108387.2800007</v>
      </c>
      <c r="H4" s="26">
        <f>资产资本表!H89</f>
        <v>3802430103.3000002</v>
      </c>
      <c r="I4" s="26">
        <f>资产资本表!I89</f>
        <v>1762110241.79</v>
      </c>
      <c r="J4" s="26">
        <f>资产资本表!J89</f>
        <v>2215165914.7799997</v>
      </c>
      <c r="K4" s="26">
        <f>资产资本表!K89</f>
        <v>2210965577</v>
      </c>
      <c r="L4" s="26">
        <f>资产资本表!L89</f>
        <v>2683914508.8499999</v>
      </c>
      <c r="M4" s="26">
        <f>资产资本表!M89</f>
        <v>2560204315</v>
      </c>
      <c r="N4" s="26">
        <f>资产资本表!N89</f>
        <v>3881953545.1499996</v>
      </c>
      <c r="O4" s="26">
        <f>资产资本表!O89</f>
        <v>4996565155</v>
      </c>
      <c r="P4" s="26">
        <f>资产资本表!P89</f>
        <v>4090629400.46</v>
      </c>
      <c r="Q4" s="26">
        <f>资产资本表!Q89</f>
        <v>2940474151</v>
      </c>
      <c r="R4" s="26">
        <f>资产资本表!R89</f>
        <v>5777070727.8600006</v>
      </c>
      <c r="S4" s="26">
        <f>资产资本表!S89</f>
        <v>2410801241</v>
      </c>
      <c r="T4" s="26">
        <f>资产资本表!T89</f>
        <v>2752826993.77</v>
      </c>
      <c r="U4" s="26">
        <f>资产资本表!U89</f>
        <v>2812429209</v>
      </c>
      <c r="V4" s="26">
        <f>资产资本表!V89</f>
        <v>3115931768</v>
      </c>
      <c r="W4" s="26">
        <f>资产资本表!W89</f>
        <v>3088198603</v>
      </c>
      <c r="X4" s="26">
        <f>资产资本表!X89</f>
        <v>3329870198.0799999</v>
      </c>
      <c r="Y4" s="26">
        <f>资产资本表!Y89</f>
        <v>3335316591</v>
      </c>
      <c r="Z4" s="26">
        <f>资产资本表!Z89</f>
        <v>3659531267</v>
      </c>
      <c r="AA4" s="26">
        <f>资产资本表!AA89</f>
        <v>3741634339</v>
      </c>
      <c r="AB4" s="26">
        <f>资产资本表!AB89</f>
        <v>3651219204.7599998</v>
      </c>
      <c r="AC4" s="26">
        <f>资产资本表!AC89</f>
        <v>3752286617</v>
      </c>
      <c r="AD4" s="26">
        <f>资产资本表!AD89</f>
        <v>3829777154.1999998</v>
      </c>
      <c r="AE4" s="26">
        <f>资产资本表!AE89</f>
        <v>4179264805</v>
      </c>
      <c r="AF4" s="26">
        <f>资产资本表!AF89</f>
        <v>3956319015.0799999</v>
      </c>
      <c r="AG4" s="26">
        <f>资产资本表!AG89</f>
        <v>3894632501</v>
      </c>
      <c r="AH4" s="26">
        <f>资产资本表!AH89</f>
        <v>4110716899.2200003</v>
      </c>
      <c r="AI4" s="26">
        <f>资产资本表!AI89</f>
        <v>4280745902.6000004</v>
      </c>
      <c r="AJ4" s="26">
        <f>资产资本表!AJ89</f>
        <v>3867615499.3099999</v>
      </c>
      <c r="AK4" s="26">
        <f>资产资本表!AK89</f>
        <v>3562599633.4400001</v>
      </c>
      <c r="AL4" s="26">
        <f>资产资本表!AL89</f>
        <v>2908352348.2599998</v>
      </c>
      <c r="AM4" s="26">
        <f>资产资本表!AM89</f>
        <v>2813995728.0700002</v>
      </c>
      <c r="AN4" s="26">
        <f>资产资本表!AN89</f>
        <v>2407165810.5699997</v>
      </c>
      <c r="AO4" s="26">
        <f>资产资本表!AO89</f>
        <v>2277896683.27</v>
      </c>
      <c r="AP4" s="26">
        <f>资产资本表!AP89</f>
        <v>2295362317.1100001</v>
      </c>
      <c r="AQ4" s="26">
        <f>资产资本表!AQ89</f>
        <v>2317731444.5799999</v>
      </c>
      <c r="AR4" s="26">
        <f>资产资本表!AR89</f>
        <v>2228704385.0599999</v>
      </c>
      <c r="AS4" s="26">
        <f>资产资本表!AS89</f>
        <v>1862751249.04</v>
      </c>
      <c r="AT4" s="26">
        <f>资产资本表!AT89</f>
        <v>1967977050.0999999</v>
      </c>
      <c r="AU4" s="26">
        <f>资产资本表!AU89</f>
        <v>1817930000</v>
      </c>
      <c r="AV4" s="26">
        <f>资产资本表!AV89</f>
        <v>385000000</v>
      </c>
      <c r="AW4" s="26">
        <f>资产资本表!AW89</f>
        <v>372598500.05000001</v>
      </c>
      <c r="AX4" s="26">
        <f>资产资本表!AX89</f>
        <v>398351000</v>
      </c>
      <c r="AY4" s="26">
        <f>资产资本表!AY89</f>
        <v>423351000</v>
      </c>
      <c r="AZ4" s="26">
        <f>资产资本表!AZ89</f>
        <v>380351000</v>
      </c>
      <c r="BA4" s="26">
        <f>资产资本表!BA89</f>
        <v>331157000</v>
      </c>
      <c r="BB4" s="26">
        <f>资产资本表!BB89</f>
        <v>422478000</v>
      </c>
      <c r="BC4" s="26">
        <f>资产资本表!BC89</f>
        <v>445421500</v>
      </c>
      <c r="BD4" s="26">
        <f>资产资本表!BD89</f>
        <v>445609000</v>
      </c>
      <c r="BE4" s="26">
        <f>资产资本表!BE89</f>
        <v>481974500</v>
      </c>
      <c r="BF4" s="26">
        <f>资产资本表!BF89</f>
        <v>390703900</v>
      </c>
      <c r="BG4" s="26">
        <f>资产资本表!BG89</f>
        <v>390951600</v>
      </c>
      <c r="BH4" s="26">
        <f>资产资本表!BH89</f>
        <v>377257300</v>
      </c>
      <c r="BI4" s="26">
        <f>资产资本表!BI89</f>
        <v>322427200</v>
      </c>
      <c r="BJ4" s="26">
        <f>资产资本表!BJ89</f>
        <v>298667970</v>
      </c>
      <c r="BK4" s="26">
        <f>资产资本表!BK89</f>
        <v>322822200</v>
      </c>
      <c r="BL4" s="26">
        <f>资产资本表!BL89</f>
        <v>314697100</v>
      </c>
      <c r="BM4" s="26">
        <f>资产资本表!BM89</f>
        <v>284697100</v>
      </c>
      <c r="BN4" s="26">
        <f>资产资本表!BN89</f>
        <v>274220674.54000002</v>
      </c>
      <c r="BO4" s="26">
        <f>资产资本表!BO89</f>
        <v>175612300</v>
      </c>
      <c r="BP4" s="26">
        <f>资产资本表!BP89</f>
        <v>125612300</v>
      </c>
      <c r="BQ4" s="26">
        <f>资产资本表!BQ89</f>
        <v>106296607.69</v>
      </c>
      <c r="BR4" s="26">
        <f>资产资本表!BR89</f>
        <v>140370230.77000001</v>
      </c>
      <c r="BS4" s="26">
        <f>资产资本表!BS89</f>
        <v>172575127.5</v>
      </c>
      <c r="BT4" s="26">
        <f>资产资本表!BT89</f>
        <v>151089720.90000001</v>
      </c>
      <c r="BU4" s="26">
        <f>资产资本表!BU89</f>
        <v>136129032.75</v>
      </c>
      <c r="BV4" s="26">
        <f>资产资本表!BV89</f>
        <v>118991210.45999999</v>
      </c>
    </row>
    <row r="5" spans="1:74" s="63" customFormat="1">
      <c r="A5" s="63" t="s">
        <v>333</v>
      </c>
      <c r="E5" s="63">
        <f>IF(E4+I4=0,0,E3/((E4+I4)/2))</f>
        <v>3.0546285725611636E-2</v>
      </c>
      <c r="F5" s="63">
        <f t="shared" ref="F5:BQ5" si="0">IF(F4+J4=0,0,F3/((F4+J4)/2))</f>
        <v>0</v>
      </c>
      <c r="G5" s="63">
        <f t="shared" si="0"/>
        <v>0</v>
      </c>
      <c r="H5" s="63">
        <f t="shared" si="0"/>
        <v>0</v>
      </c>
      <c r="I5" s="63">
        <f t="shared" si="0"/>
        <v>2.4087564399135512E-2</v>
      </c>
      <c r="J5" s="63">
        <f t="shared" si="0"/>
        <v>0</v>
      </c>
      <c r="K5" s="63">
        <f t="shared" si="0"/>
        <v>0</v>
      </c>
      <c r="L5" s="63">
        <f t="shared" si="0"/>
        <v>0</v>
      </c>
      <c r="M5" s="63">
        <f t="shared" si="0"/>
        <v>0</v>
      </c>
      <c r="N5" s="63">
        <f t="shared" si="0"/>
        <v>0</v>
      </c>
      <c r="O5" s="63">
        <f t="shared" si="0"/>
        <v>0</v>
      </c>
      <c r="P5" s="63">
        <f t="shared" si="0"/>
        <v>0</v>
      </c>
      <c r="Q5" s="63">
        <f t="shared" si="0"/>
        <v>0</v>
      </c>
      <c r="R5" s="63">
        <f t="shared" si="0"/>
        <v>0</v>
      </c>
      <c r="S5" s="63">
        <f t="shared" si="0"/>
        <v>0</v>
      </c>
      <c r="T5" s="63">
        <f t="shared" si="0"/>
        <v>0</v>
      </c>
      <c r="U5" s="63">
        <f t="shared" si="0"/>
        <v>4.8010505574254549E-2</v>
      </c>
      <c r="V5" s="63">
        <f t="shared" si="0"/>
        <v>0</v>
      </c>
      <c r="W5" s="63">
        <f t="shared" si="0"/>
        <v>0</v>
      </c>
      <c r="X5" s="63">
        <f t="shared" si="0"/>
        <v>0</v>
      </c>
      <c r="Y5" s="63">
        <f t="shared" si="0"/>
        <v>5.0830403653714246E-2</v>
      </c>
      <c r="Z5" s="63">
        <f t="shared" si="0"/>
        <v>0</v>
      </c>
      <c r="AA5" s="63">
        <f t="shared" si="0"/>
        <v>0</v>
      </c>
      <c r="AB5" s="63">
        <f t="shared" si="0"/>
        <v>0</v>
      </c>
      <c r="AC5" s="63">
        <f t="shared" si="0"/>
        <v>0</v>
      </c>
      <c r="AD5" s="63">
        <f t="shared" si="0"/>
        <v>0</v>
      </c>
      <c r="AE5" s="63">
        <f t="shared" si="0"/>
        <v>0</v>
      </c>
      <c r="AF5" s="63">
        <f t="shared" si="0"/>
        <v>0</v>
      </c>
      <c r="AG5" s="63">
        <f t="shared" si="0"/>
        <v>0</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c r="A6" s="63" t="s">
        <v>346</v>
      </c>
      <c r="E6" s="63">
        <f>股权价值增加表!E41</f>
        <v>0.34609587802776665</v>
      </c>
      <c r="F6" s="63">
        <f>股权价值增加表!F41</f>
        <v>0.15357994399873928</v>
      </c>
      <c r="G6" s="63">
        <f>股权价值增加表!G41</f>
        <v>0.153100765613746</v>
      </c>
      <c r="H6" s="63">
        <f>股权价值增加表!H41</f>
        <v>0.13652274435836398</v>
      </c>
      <c r="I6" s="63">
        <f>股权价值增加表!I41</f>
        <v>0.14119430250547743</v>
      </c>
      <c r="J6" s="63">
        <f>股权价值增加表!J41</f>
        <v>0.13373336184371715</v>
      </c>
      <c r="K6" s="63">
        <f>股权价值增加表!K41</f>
        <v>0.10403850423265371</v>
      </c>
      <c r="L6" s="63">
        <f>股权价值增加表!L41</f>
        <v>7.5089824987349868E-2</v>
      </c>
      <c r="M6" s="63">
        <f>股权价值增加表!M41</f>
        <v>7.7508794590180619E-2</v>
      </c>
      <c r="N6" s="63">
        <f>股权价值增加表!N41</f>
        <v>6.9000645120625551E-2</v>
      </c>
      <c r="O6" s="63">
        <f>股权价值增加表!O41</f>
        <v>6.7022139720933502E-2</v>
      </c>
      <c r="P6" s="63">
        <f>股权价值增加表!P41</f>
        <v>6.9108745193991641E-2</v>
      </c>
      <c r="Q6" s="63">
        <f>股权价值增加表!Q41</f>
        <v>0.12359178317870376</v>
      </c>
      <c r="R6" s="63">
        <f>股权价值增加表!R41</f>
        <v>0.12641368937163616</v>
      </c>
      <c r="S6" s="63">
        <f>股权价值增加表!S41</f>
        <v>9.7841972412172323E-2</v>
      </c>
      <c r="T6" s="63">
        <f>股权价值增加表!T41</f>
        <v>6.9809125577211417E-2</v>
      </c>
      <c r="U6" s="63">
        <f>股权价值增加表!U41</f>
        <v>0.12041780990202117</v>
      </c>
      <c r="V6" s="63">
        <f>股权价值增加表!V41</f>
        <v>0.12852229172585936</v>
      </c>
      <c r="W6" s="63">
        <f>股权价值增加表!W41</f>
        <v>-0.21194393941606518</v>
      </c>
      <c r="X6" s="63">
        <f>股权价值增加表!X41</f>
        <v>0.11113586262925891</v>
      </c>
      <c r="Y6" s="63">
        <f>股权价值增加表!Y41</f>
        <v>8.8224808853767489E-2</v>
      </c>
      <c r="Z6" s="63">
        <f>股权价值增加表!Z41</f>
        <v>3.742789239870617E-2</v>
      </c>
      <c r="AA6" s="63">
        <f>股权价值增加表!AA41</f>
        <v>-0.23787821433744943</v>
      </c>
      <c r="AB6" s="63">
        <f>股权价值增加表!AB41</f>
        <v>0.126671916823827</v>
      </c>
      <c r="AC6" s="63">
        <f>股权价值增加表!AC41</f>
        <v>6.3595319838005177E-2</v>
      </c>
      <c r="AD6" s="63">
        <f>股权价值增加表!AD41</f>
        <v>8.2727280483678181E-2</v>
      </c>
      <c r="AE6" s="63">
        <f>股权价值增加表!AE41</f>
        <v>1.4361233392065584E-2</v>
      </c>
      <c r="AF6" s="63">
        <f>股权价值增加表!AF41</f>
        <v>-1.0634805084199329E-2</v>
      </c>
      <c r="AG6" s="63">
        <f>股权价值增加表!AG41</f>
        <v>0.21048747124095052</v>
      </c>
      <c r="AH6" s="63">
        <f>股权价值增加表!AH41</f>
        <v>0.16569065395217547</v>
      </c>
      <c r="AI6" s="63">
        <f>股权价值增加表!AI41</f>
        <v>0.16191866305770361</v>
      </c>
      <c r="AJ6" s="63">
        <f>股权价值增加表!AJ41</f>
        <v>0.15027958247163423</v>
      </c>
      <c r="AK6" s="63">
        <f>股权价值增加表!AK41</f>
        <v>0.14921616218101713</v>
      </c>
      <c r="AL6" s="63">
        <f>股权价值增加表!AL41</f>
        <v>0.10793156953341859</v>
      </c>
      <c r="AM6" s="63">
        <f>股权价值增加表!AM41</f>
        <v>0.1152797367352919</v>
      </c>
      <c r="AN6" s="63">
        <f>股权价值增加表!AN41</f>
        <v>0.10916212518890703</v>
      </c>
      <c r="AO6" s="63">
        <f>股权价值增加表!AO41</f>
        <v>0.32583912547576571</v>
      </c>
      <c r="AP6" s="63">
        <f>股权价值增加表!AP41</f>
        <v>-4.4579575988425706E-2</v>
      </c>
      <c r="AQ6" s="63">
        <f>股权价值增加表!AQ41</f>
        <v>5.3426056835588362E-2</v>
      </c>
      <c r="AR6" s="63">
        <f>股权价值增加表!AR41</f>
        <v>5.0210281234804741E-2</v>
      </c>
      <c r="AS6" s="63">
        <f>股权价值增加表!AS41</f>
        <v>7.616769614111793E-2</v>
      </c>
      <c r="AT6" s="63">
        <f>股权价值增加表!AT41</f>
        <v>7.1161586471017141E-2</v>
      </c>
      <c r="AU6" s="63">
        <f>股权价值增加表!AU41</f>
        <v>9.0746182864755456E-2</v>
      </c>
      <c r="AV6" s="63">
        <f>股权价值增加表!AV41</f>
        <v>5.1440447028410108E-2</v>
      </c>
      <c r="AW6" s="63">
        <f>股权价值增加表!AW41</f>
        <v>0.1184120195219658</v>
      </c>
      <c r="AX6" s="63">
        <f>股权价值增加表!AX41</f>
        <v>9.0172044378548491E-2</v>
      </c>
      <c r="AY6" s="63">
        <f>股权价值增加表!AY41</f>
        <v>8.935452532447008E-2</v>
      </c>
      <c r="AZ6" s="63">
        <f>股权价值增加表!AZ41</f>
        <v>7.932521765921717E-2</v>
      </c>
      <c r="BA6" s="63">
        <f>股权价值增加表!BA41</f>
        <v>2.7368431417670914E-2</v>
      </c>
      <c r="BB6" s="63">
        <f>股权价值增加表!BB41</f>
        <v>1.7518073496581257E-2</v>
      </c>
      <c r="BC6" s="63">
        <f>股权价值增加表!BC41</f>
        <v>2.1299268568194241E-2</v>
      </c>
      <c r="BD6" s="63">
        <f>股权价值增加表!BD41</f>
        <v>5.7085552233396918E-2</v>
      </c>
      <c r="BE6" s="63">
        <f>股权价值增加表!BE41</f>
        <v>3.9942164582418692E-2</v>
      </c>
      <c r="BF6" s="63">
        <f>股权价值增加表!BF41</f>
        <v>0.12263023246894564</v>
      </c>
      <c r="BG6" s="63">
        <f>股权价值增加表!BG41</f>
        <v>0.13335022219151871</v>
      </c>
      <c r="BH6" s="63">
        <f>股权价值增加表!BH41</f>
        <v>0.15343974904249288</v>
      </c>
      <c r="BI6" s="63">
        <f>股权价值增加表!BI41</f>
        <v>0.16783148011646215</v>
      </c>
      <c r="BJ6" s="63">
        <f>股权价值增加表!BJ41</f>
        <v>0.13987914575458316</v>
      </c>
      <c r="BK6" s="63">
        <f>股权价值增加表!BK41</f>
        <v>0.13615454837675942</v>
      </c>
      <c r="BL6" s="63">
        <f>股权价值增加表!BL41</f>
        <v>0.11464286736425051</v>
      </c>
      <c r="BM6" s="63">
        <f>股权价值增加表!BM41</f>
        <v>-0.11944570203479084</v>
      </c>
      <c r="BN6" s="63">
        <f>股权价值增加表!BN41</f>
        <v>0.54058501403046522</v>
      </c>
      <c r="BO6" s="63">
        <f>股权价值增加表!BO41</f>
        <v>0.15758777403860258</v>
      </c>
      <c r="BP6" s="63">
        <f>股权价值增加表!BP41</f>
        <v>0.15683036998203115</v>
      </c>
      <c r="BQ6" s="63">
        <f>股权价值增加表!BQ41</f>
        <v>2.3737701153750616E-2</v>
      </c>
      <c r="BR6" s="63">
        <f>股权价值增加表!BR41</f>
        <v>0.15868969769082075</v>
      </c>
      <c r="BS6" s="63">
        <f>股权价值增加表!BS41</f>
        <v>0.14406068592277316</v>
      </c>
      <c r="BT6" s="63">
        <f>股权价值增加表!BT41</f>
        <v>0.14645765358452797</v>
      </c>
      <c r="BU6" s="63">
        <f>股权价值增加表!BU41</f>
        <v>0.1039731949461327</v>
      </c>
    </row>
    <row r="7" spans="1:74" s="63" customFormat="1">
      <c r="A7" s="63" t="s">
        <v>330</v>
      </c>
      <c r="E7" s="63">
        <f>E5*(1-E6)</f>
        <v>1.9974342146919042E-2</v>
      </c>
      <c r="F7" s="63">
        <f t="shared" ref="F7:BQ7" si="2">F5*(1-F6)</f>
        <v>0</v>
      </c>
      <c r="G7" s="63">
        <f t="shared" si="2"/>
        <v>0</v>
      </c>
      <c r="H7" s="63">
        <f t="shared" si="2"/>
        <v>0</v>
      </c>
      <c r="I7" s="63">
        <f t="shared" si="2"/>
        <v>2.0686537544743804E-2</v>
      </c>
      <c r="J7" s="63">
        <f t="shared" si="2"/>
        <v>0</v>
      </c>
      <c r="K7" s="63">
        <f t="shared" si="2"/>
        <v>0</v>
      </c>
      <c r="L7" s="63">
        <f t="shared" si="2"/>
        <v>0</v>
      </c>
      <c r="M7" s="63">
        <f t="shared" si="2"/>
        <v>0</v>
      </c>
      <c r="N7" s="63">
        <f t="shared" si="2"/>
        <v>0</v>
      </c>
      <c r="O7" s="63">
        <f t="shared" si="2"/>
        <v>0</v>
      </c>
      <c r="P7" s="63">
        <f t="shared" si="2"/>
        <v>0</v>
      </c>
      <c r="Q7" s="63">
        <f t="shared" si="2"/>
        <v>0</v>
      </c>
      <c r="R7" s="63">
        <f t="shared" si="2"/>
        <v>0</v>
      </c>
      <c r="S7" s="63">
        <f t="shared" si="2"/>
        <v>0</v>
      </c>
      <c r="T7" s="63">
        <f t="shared" si="2"/>
        <v>0</v>
      </c>
      <c r="U7" s="63">
        <f t="shared" si="2"/>
        <v>4.2229185640714033E-2</v>
      </c>
      <c r="V7" s="63">
        <f t="shared" si="2"/>
        <v>0</v>
      </c>
      <c r="W7" s="63">
        <f t="shared" si="2"/>
        <v>0</v>
      </c>
      <c r="X7" s="63">
        <f t="shared" si="2"/>
        <v>0</v>
      </c>
      <c r="Y7" s="63">
        <f t="shared" si="2"/>
        <v>4.634590100740546E-2</v>
      </c>
      <c r="Z7" s="63">
        <f t="shared" si="2"/>
        <v>0</v>
      </c>
      <c r="AA7" s="63">
        <f t="shared" si="2"/>
        <v>0</v>
      </c>
      <c r="AB7" s="63">
        <f t="shared" si="2"/>
        <v>0</v>
      </c>
      <c r="AC7" s="63">
        <f t="shared" si="2"/>
        <v>0</v>
      </c>
      <c r="AD7" s="63">
        <f t="shared" si="2"/>
        <v>0</v>
      </c>
      <c r="AE7" s="63">
        <f t="shared" si="2"/>
        <v>0</v>
      </c>
      <c r="AF7" s="63">
        <f t="shared" si="2"/>
        <v>0</v>
      </c>
      <c r="AG7" s="63">
        <f t="shared" si="2"/>
        <v>0</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c r="A8" s="17" t="s">
        <v>331</v>
      </c>
      <c r="E8" s="26">
        <f>资产资本表!E107</f>
        <v>14474797146.66</v>
      </c>
      <c r="F8" s="26">
        <f>资产资本表!F107</f>
        <v>14427626551.780001</v>
      </c>
      <c r="G8" s="26">
        <f>资产资本表!G107</f>
        <v>14215836962.65</v>
      </c>
      <c r="H8" s="26">
        <f>资产资本表!H107</f>
        <v>13999600306.860001</v>
      </c>
      <c r="I8" s="26">
        <f>资产资本表!I107</f>
        <v>13758959516.58</v>
      </c>
      <c r="J8" s="26">
        <f>资产资本表!J107</f>
        <v>13609491082.25</v>
      </c>
      <c r="K8" s="26">
        <f>资产资本表!K107</f>
        <v>13499738900</v>
      </c>
      <c r="L8" s="26">
        <f>资产资本表!L107</f>
        <v>13365206342.23</v>
      </c>
      <c r="M8" s="26">
        <f>资产资本表!M107</f>
        <v>13248334175</v>
      </c>
      <c r="N8" s="26">
        <f>资产资本表!N107</f>
        <v>8795277089.8500004</v>
      </c>
      <c r="O8" s="26">
        <f>资产资本表!O107</f>
        <v>8696534977</v>
      </c>
      <c r="P8" s="26">
        <f>资产资本表!P107</f>
        <v>8685175474.3599987</v>
      </c>
      <c r="Q8" s="26">
        <f>资产资本表!Q107</f>
        <v>8561115637</v>
      </c>
      <c r="R8" s="26">
        <f>资产资本表!R107</f>
        <v>8330941578.9399996</v>
      </c>
      <c r="S8" s="26">
        <f>资产资本表!S107</f>
        <v>3357043230</v>
      </c>
      <c r="T8" s="26">
        <f>资产资本表!T107</f>
        <v>3336966169.8000002</v>
      </c>
      <c r="U8" s="26">
        <f>资产资本表!U107</f>
        <v>3285724462</v>
      </c>
      <c r="V8" s="26">
        <f>资产资本表!V107</f>
        <v>3223235918</v>
      </c>
      <c r="W8" s="26">
        <f>资产资本表!W107</f>
        <v>3047188699</v>
      </c>
      <c r="X8" s="26">
        <f>资产资本表!X107</f>
        <v>3049681908.48</v>
      </c>
      <c r="Y8" s="26">
        <f>资产资本表!Y107</f>
        <v>3056111991</v>
      </c>
      <c r="Z8" s="26">
        <f>资产资本表!Z107</f>
        <v>3041292788</v>
      </c>
      <c r="AA8" s="26">
        <f>资产资本表!AA107</f>
        <v>2956330356</v>
      </c>
      <c r="AB8" s="26">
        <f>资产资本表!AB107</f>
        <v>2907605033.3699999</v>
      </c>
      <c r="AC8" s="26">
        <f>资产资本表!AC107</f>
        <v>2918909893</v>
      </c>
      <c r="AD8" s="26">
        <f>资产资本表!AD107</f>
        <v>2757882786.4899998</v>
      </c>
      <c r="AE8" s="26">
        <f>资产资本表!AE107</f>
        <v>2726685023</v>
      </c>
      <c r="AF8" s="26">
        <f>资产资本表!AF107</f>
        <v>2670701532.7299995</v>
      </c>
      <c r="AG8" s="26">
        <f>资产资本表!AG107</f>
        <v>2490679730</v>
      </c>
      <c r="AH8" s="26">
        <f>资产资本表!AH107</f>
        <v>2492785296.1399999</v>
      </c>
      <c r="AI8" s="26">
        <f>资产资本表!AI107</f>
        <v>2431357198.0299997</v>
      </c>
      <c r="AJ8" s="26">
        <f>资产资本表!AJ107</f>
        <v>2362412402.6400003</v>
      </c>
      <c r="AK8" s="26">
        <f>资产资本表!AK107</f>
        <v>2098684259.73</v>
      </c>
      <c r="AL8" s="26">
        <f>资产资本表!AL107</f>
        <v>1942681081.4400001</v>
      </c>
      <c r="AM8" s="26">
        <f>资产资本表!AM107</f>
        <v>1963386770.9299998</v>
      </c>
      <c r="AN8" s="26">
        <f>资产资本表!AN107</f>
        <v>2046200520.25</v>
      </c>
      <c r="AO8" s="26">
        <f>资产资本表!AO107</f>
        <v>1996614635.9000001</v>
      </c>
      <c r="AP8" s="26">
        <f>资产资本表!AP107</f>
        <v>2151391543.1900001</v>
      </c>
      <c r="AQ8" s="26">
        <f>资产资本表!AQ107</f>
        <v>2169761957.6199999</v>
      </c>
      <c r="AR8" s="26">
        <f>资产资本表!AR107</f>
        <v>2250561483.1199999</v>
      </c>
      <c r="AS8" s="26">
        <f>资产资本表!AS107</f>
        <v>2276579743.8099999</v>
      </c>
      <c r="AT8" s="26">
        <f>资产资本表!AT107</f>
        <v>2144962870.1200001</v>
      </c>
      <c r="AU8" s="26">
        <f>资产资本表!AU107</f>
        <v>1430978725.26</v>
      </c>
      <c r="AV8" s="26">
        <f>资产资本表!AV107</f>
        <v>1316443476.3499999</v>
      </c>
      <c r="AW8" s="26">
        <f>资产资本表!AW107</f>
        <v>867674686.85000002</v>
      </c>
      <c r="AX8" s="26">
        <f>资产资本表!AX107</f>
        <v>849908620.89999998</v>
      </c>
      <c r="AY8" s="26">
        <f>资产资本表!AY107</f>
        <v>819331428.62</v>
      </c>
      <c r="AZ8" s="26">
        <f>资产资本表!AZ107</f>
        <v>802085187.58999991</v>
      </c>
      <c r="BA8" s="26">
        <f>资产资本表!BA107</f>
        <v>788340786.3900001</v>
      </c>
      <c r="BB8" s="26">
        <f>资产资本表!BB107</f>
        <v>765586275.99000001</v>
      </c>
      <c r="BC8" s="26">
        <f>资产资本表!BC107</f>
        <v>758370913.11000001</v>
      </c>
      <c r="BD8" s="26">
        <f>资产资本表!BD107</f>
        <v>764911304.80999994</v>
      </c>
      <c r="BE8" s="26">
        <f>资产资本表!BE107</f>
        <v>753355897.07000005</v>
      </c>
      <c r="BF8" s="26">
        <f>资产资本表!BF107</f>
        <v>752692616.97000003</v>
      </c>
      <c r="BG8" s="26">
        <f>资产资本表!BG107</f>
        <v>740334189.22000003</v>
      </c>
      <c r="BH8" s="26">
        <f>资产资本表!BH107</f>
        <v>716382432.90999997</v>
      </c>
      <c r="BI8" s="26">
        <f>资产资本表!BI107</f>
        <v>705295910.15999997</v>
      </c>
      <c r="BJ8" s="26">
        <f>资产资本表!BJ107</f>
        <v>681194132.05999994</v>
      </c>
      <c r="BK8" s="26">
        <f>资产资本表!BK107</f>
        <v>674522616.23000002</v>
      </c>
      <c r="BL8" s="26">
        <f>资产资本表!BL107</f>
        <v>665280233.00999999</v>
      </c>
      <c r="BM8" s="26">
        <f>资产资本表!BM107</f>
        <v>660171911.80999994</v>
      </c>
      <c r="BN8" s="26">
        <f>资产资本表!BN107</f>
        <v>703491272.98000002</v>
      </c>
      <c r="BO8" s="26">
        <f>资产资本表!BO107</f>
        <v>713472738.10000002</v>
      </c>
      <c r="BP8" s="26">
        <f>资产资本表!BP107</f>
        <v>729878853.14999998</v>
      </c>
      <c r="BQ8" s="26">
        <f>资产资本表!BQ107</f>
        <v>689134001.11000001</v>
      </c>
      <c r="BR8" s="26">
        <f>资产资本表!BR107</f>
        <v>715294038.50999999</v>
      </c>
      <c r="BS8" s="26">
        <f>资产资本表!BS107</f>
        <v>341654534.76999998</v>
      </c>
      <c r="BT8" s="26">
        <f>资产资本表!BT107</f>
        <v>351374024.41000003</v>
      </c>
      <c r="BU8" s="26">
        <f>资产资本表!BU107</f>
        <v>336158439.75</v>
      </c>
    </row>
    <row r="9" spans="1:74" s="63" customFormat="1">
      <c r="A9" s="63" t="s">
        <v>740</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f>股东权益回报率分析表!BV14</f>
        <v>2.9418926493192738E-2</v>
      </c>
    </row>
    <row r="10" spans="1:74" s="26" customFormat="1">
      <c r="A10" s="17" t="s">
        <v>332</v>
      </c>
      <c r="E10" s="26">
        <f>资产资本表!E70</f>
        <v>21648020117.869995</v>
      </c>
      <c r="F10" s="26">
        <f>资产资本表!F70</f>
        <v>19977252443.759998</v>
      </c>
      <c r="G10" s="26">
        <f>资产资本表!G70</f>
        <v>19184800950.75</v>
      </c>
      <c r="H10" s="26">
        <f>资产资本表!H70</f>
        <v>17812062616.210003</v>
      </c>
      <c r="I10" s="26">
        <f>资产资本表!I70</f>
        <v>15530717701.450003</v>
      </c>
      <c r="J10" s="26">
        <f>资产资本表!J70</f>
        <v>15832656774.719999</v>
      </c>
      <c r="K10" s="26">
        <f>资产资本表!K70</f>
        <v>15802553578</v>
      </c>
      <c r="L10" s="26">
        <f>资产资本表!L70</f>
        <v>16056035136.870003</v>
      </c>
      <c r="M10" s="26">
        <f>资产资本表!M70</f>
        <v>15814986533</v>
      </c>
      <c r="N10" s="26">
        <f>资产资本表!N70</f>
        <v>12683553041.919998</v>
      </c>
      <c r="O10" s="26">
        <f>资产资本表!O70</f>
        <v>13812215289</v>
      </c>
      <c r="P10" s="26">
        <f>资产资本表!P70</f>
        <v>12781865813</v>
      </c>
      <c r="Q10" s="26">
        <f>资产资本表!Q70</f>
        <v>11664917488</v>
      </c>
      <c r="R10" s="26">
        <f>资产资本表!R70</f>
        <v>14114605858.76</v>
      </c>
      <c r="S10" s="26">
        <f>资产资本表!S70</f>
        <v>5825268221</v>
      </c>
      <c r="T10" s="26">
        <f>资产资本表!T70</f>
        <v>6089793163.5699997</v>
      </c>
      <c r="U10" s="26">
        <f>资产资本表!U70</f>
        <v>6098153671</v>
      </c>
      <c r="V10" s="26">
        <f>资产资本表!V70</f>
        <v>6339167686</v>
      </c>
      <c r="W10" s="26">
        <f>资产资本表!W70</f>
        <v>6159887302</v>
      </c>
      <c r="X10" s="26">
        <f>资产资本表!X70</f>
        <v>6379552106.5600004</v>
      </c>
      <c r="Y10" s="26">
        <f>资产资本表!Y70</f>
        <v>6391428582</v>
      </c>
      <c r="Z10" s="26">
        <f>资产资本表!Z70</f>
        <v>6700824055</v>
      </c>
      <c r="AA10" s="26">
        <f>资产资本表!AA70</f>
        <v>6697964695</v>
      </c>
      <c r="AB10" s="26">
        <f>资产资本表!AB70</f>
        <v>6558824238.130003</v>
      </c>
      <c r="AC10" s="26">
        <f>资产资本表!AC70</f>
        <v>6671196510</v>
      </c>
      <c r="AD10" s="26">
        <f>资产资本表!AD70</f>
        <v>6587659940.6899996</v>
      </c>
      <c r="AE10" s="26">
        <f>资产资本表!AE70</f>
        <v>6905949828</v>
      </c>
      <c r="AF10" s="26">
        <f>资产资本表!AF70</f>
        <v>6627020547.8099995</v>
      </c>
      <c r="AG10" s="26">
        <f>资产资本表!AG70</f>
        <v>6385312231</v>
      </c>
      <c r="AH10" s="26">
        <f>资产资本表!AH70</f>
        <v>6603502195.3600006</v>
      </c>
      <c r="AI10" s="26">
        <f>资产资本表!AI70</f>
        <v>6712103100.6299992</v>
      </c>
      <c r="AJ10" s="26">
        <f>资产资本表!AJ70</f>
        <v>6230027901.9499998</v>
      </c>
      <c r="AK10" s="26">
        <f>资产资本表!AK70</f>
        <v>5661283893.1699991</v>
      </c>
      <c r="AL10" s="26">
        <f>资产资本表!AL70</f>
        <v>4851033429.6999998</v>
      </c>
      <c r="AM10" s="26">
        <f>资产资本表!AM70</f>
        <v>4777382499</v>
      </c>
      <c r="AN10" s="26">
        <f>资产资本表!AN70</f>
        <v>4453608586.3500004</v>
      </c>
      <c r="AO10" s="26">
        <f>资产资本表!AO70</f>
        <v>4274753574.6999998</v>
      </c>
      <c r="AP10" s="26">
        <f>资产资本表!AP70</f>
        <v>4446753860.2999992</v>
      </c>
      <c r="AQ10" s="26">
        <f>资产资本表!AQ70</f>
        <v>4487493402.1999989</v>
      </c>
      <c r="AR10" s="26">
        <f>资产资本表!AR70</f>
        <v>4479265868.1800003</v>
      </c>
      <c r="AS10" s="26">
        <f>资产资本表!AS70</f>
        <v>4139330992.8500004</v>
      </c>
      <c r="AT10" s="26">
        <f>资产资本表!AT70</f>
        <v>4112939920.2200003</v>
      </c>
      <c r="AU10" s="26">
        <f>资产资本表!AU70</f>
        <v>3248908725.2600002</v>
      </c>
      <c r="AV10" s="26">
        <f>资产资本表!AV70</f>
        <v>1701443476.3500001</v>
      </c>
      <c r="AW10" s="26">
        <f>资产资本表!AW70</f>
        <v>1245009353.9200001</v>
      </c>
      <c r="AX10" s="26">
        <f>资产资本表!AX70</f>
        <v>1256322425.5</v>
      </c>
      <c r="AY10" s="26">
        <f>资产资本表!AY70</f>
        <v>1246971140.2399998</v>
      </c>
      <c r="AZ10" s="26">
        <f>资产资本表!AZ70</f>
        <v>1186851348.4000001</v>
      </c>
      <c r="BA10" s="26">
        <f>资产资本表!BA70</f>
        <v>1120448419.7399998</v>
      </c>
      <c r="BB10" s="26">
        <f>资产资本表!BB70</f>
        <v>1188410252.96</v>
      </c>
      <c r="BC10" s="26">
        <f>资产资本表!BC70</f>
        <v>1206208360.5599999</v>
      </c>
      <c r="BD10" s="26">
        <f>资产资本表!BD70</f>
        <v>1218001214.8900001</v>
      </c>
      <c r="BE10" s="26">
        <f>资产资本表!BE70</f>
        <v>1242234669.1300004</v>
      </c>
      <c r="BF10" s="26">
        <f>资产资本表!BF70</f>
        <v>1146422002.49</v>
      </c>
      <c r="BG10" s="26">
        <f>资产资本表!BG70</f>
        <v>1134130782.28</v>
      </c>
      <c r="BH10" s="26">
        <f>资产资本表!BH70</f>
        <v>1097440338.1500001</v>
      </c>
      <c r="BI10" s="26">
        <f>资产资本表!BI70</f>
        <v>1029302822.9400001</v>
      </c>
      <c r="BJ10" s="26">
        <f>资产资本表!BJ70</f>
        <v>988343243.83000004</v>
      </c>
      <c r="BK10" s="26">
        <f>资产资本表!BK70</f>
        <v>1001787086.0699999</v>
      </c>
      <c r="BL10" s="26">
        <f>资产资本表!BL70</f>
        <v>983169015.28000009</v>
      </c>
      <c r="BM10" s="26">
        <f>资产资本表!BM70</f>
        <v>944693918.64999998</v>
      </c>
      <c r="BN10" s="26">
        <f>资产资本表!BN70</f>
        <v>978138799.23000002</v>
      </c>
      <c r="BO10" s="26">
        <f>资产资本表!BO70</f>
        <v>910092759.95000005</v>
      </c>
      <c r="BP10" s="26">
        <f>资产资本表!BP70</f>
        <v>855928342.9000001</v>
      </c>
      <c r="BQ10" s="26">
        <f>资产资本表!BQ70</f>
        <v>816438330.6500001</v>
      </c>
      <c r="BR10" s="26">
        <f>资产资本表!BR70</f>
        <v>866504738.43000007</v>
      </c>
      <c r="BS10" s="26">
        <f>资产资本表!BS70</f>
        <v>537828077.10000002</v>
      </c>
      <c r="BT10" s="26">
        <f>资产资本表!BT70</f>
        <v>525233348.87999994</v>
      </c>
      <c r="BU10" s="26">
        <f>资产资本表!BU70</f>
        <v>494851852.39999998</v>
      </c>
    </row>
    <row r="11" spans="1:74" s="63" customFormat="1">
      <c r="A11" s="17" t="s">
        <v>347</v>
      </c>
      <c r="E11" s="63">
        <f>E4/E10</f>
        <v>0.33091853660125192</v>
      </c>
      <c r="F11" s="63">
        <f t="shared" ref="F11:BQ11" si="3">F4/F10</f>
        <v>0.27731376187822254</v>
      </c>
      <c r="G11" s="63">
        <f t="shared" si="3"/>
        <v>0.25849152149197213</v>
      </c>
      <c r="H11" s="63">
        <f t="shared" si="3"/>
        <v>0.21347500203820133</v>
      </c>
      <c r="I11" s="63">
        <f t="shared" si="3"/>
        <v>0.11345967879034226</v>
      </c>
      <c r="J11" s="63">
        <f t="shared" si="3"/>
        <v>0.13991119407811295</v>
      </c>
      <c r="K11" s="63">
        <f t="shared" si="3"/>
        <v>0.1399119177851143</v>
      </c>
      <c r="L11" s="63">
        <f t="shared" si="3"/>
        <v>0.16715923239896496</v>
      </c>
      <c r="M11" s="63">
        <f t="shared" si="3"/>
        <v>0.16188469776169617</v>
      </c>
      <c r="N11" s="63">
        <f t="shared" si="3"/>
        <v>0.30606199479908203</v>
      </c>
      <c r="O11" s="63">
        <f t="shared" si="3"/>
        <v>0.36174973025357104</v>
      </c>
      <c r="P11" s="63">
        <f t="shared" si="3"/>
        <v>0.32003382450624385</v>
      </c>
      <c r="Q11" s="63">
        <f t="shared" si="3"/>
        <v>0.25207843553329384</v>
      </c>
      <c r="R11" s="63">
        <f t="shared" si="3"/>
        <v>0.4092973467108581</v>
      </c>
      <c r="S11" s="63">
        <f t="shared" si="3"/>
        <v>0.41385240121804168</v>
      </c>
      <c r="T11" s="63">
        <f t="shared" si="3"/>
        <v>0.45203948965587187</v>
      </c>
      <c r="U11" s="63">
        <f t="shared" si="3"/>
        <v>0.46119356131916012</v>
      </c>
      <c r="V11" s="63">
        <f t="shared" si="3"/>
        <v>0.49153641650488439</v>
      </c>
      <c r="W11" s="63">
        <f t="shared" si="3"/>
        <v>0.50134011412795165</v>
      </c>
      <c r="X11" s="63">
        <f t="shared" si="3"/>
        <v>0.52195987154896706</v>
      </c>
      <c r="Y11" s="63">
        <f t="shared" si="3"/>
        <v>0.52184211216771759</v>
      </c>
      <c r="Z11" s="63">
        <f t="shared" si="3"/>
        <v>0.5461315260575067</v>
      </c>
      <c r="AA11" s="63">
        <f t="shared" si="3"/>
        <v>0.55862258303527834</v>
      </c>
      <c r="AB11" s="63">
        <f t="shared" si="3"/>
        <v>0.55668806972040541</v>
      </c>
      <c r="AC11" s="63">
        <f t="shared" si="3"/>
        <v>0.56246081364495737</v>
      </c>
      <c r="AD11" s="63">
        <f t="shared" si="3"/>
        <v>0.5813562309955641</v>
      </c>
      <c r="AE11" s="63">
        <f t="shared" si="3"/>
        <v>0.6051687181472527</v>
      </c>
      <c r="AF11" s="63">
        <f t="shared" si="3"/>
        <v>0.5969981512110184</v>
      </c>
      <c r="AG11" s="63">
        <f t="shared" si="3"/>
        <v>0.60993610963798772</v>
      </c>
      <c r="AH11" s="63">
        <f t="shared" si="3"/>
        <v>0.62250557016675567</v>
      </c>
      <c r="AI11" s="63">
        <f t="shared" si="3"/>
        <v>0.63776521880276371</v>
      </c>
      <c r="AJ11" s="63">
        <f t="shared" si="3"/>
        <v>0.62080227571684476</v>
      </c>
      <c r="AK11" s="63">
        <f t="shared" si="3"/>
        <v>0.62929181801641565</v>
      </c>
      <c r="AL11" s="63">
        <f t="shared" si="3"/>
        <v>0.59953253062613088</v>
      </c>
      <c r="AM11" s="63">
        <f t="shared" si="3"/>
        <v>0.58902458169489769</v>
      </c>
      <c r="AN11" s="63">
        <f t="shared" si="3"/>
        <v>0.5404978376294215</v>
      </c>
      <c r="AO11" s="63">
        <f t="shared" si="3"/>
        <v>0.53287204594708404</v>
      </c>
      <c r="AP11" s="63">
        <f t="shared" si="3"/>
        <v>0.51618830032457519</v>
      </c>
      <c r="AQ11" s="63">
        <f t="shared" si="3"/>
        <v>0.51648687515478675</v>
      </c>
      <c r="AR11" s="63">
        <f t="shared" si="3"/>
        <v>0.49756019192617368</v>
      </c>
      <c r="AS11" s="63">
        <f t="shared" si="3"/>
        <v>0.45001263543736658</v>
      </c>
      <c r="AT11" s="63">
        <f t="shared" si="3"/>
        <v>0.47848426874048122</v>
      </c>
      <c r="AU11" s="63">
        <f t="shared" si="3"/>
        <v>0.55955096117836201</v>
      </c>
      <c r="AV11" s="63">
        <f t="shared" si="3"/>
        <v>0.22627845435448513</v>
      </c>
      <c r="AW11" s="63">
        <f t="shared" si="3"/>
        <v>0.29927365515515786</v>
      </c>
      <c r="AX11" s="63">
        <f t="shared" si="3"/>
        <v>0.31707704321321933</v>
      </c>
      <c r="AY11" s="63">
        <f t="shared" si="3"/>
        <v>0.33950344666238164</v>
      </c>
      <c r="AZ11" s="63">
        <f t="shared" si="3"/>
        <v>0.3204706305576962</v>
      </c>
      <c r="BA11" s="63">
        <f t="shared" si="3"/>
        <v>0.29555755906804265</v>
      </c>
      <c r="BB11" s="63">
        <f t="shared" si="3"/>
        <v>0.35549844756701199</v>
      </c>
      <c r="BC11" s="63">
        <f t="shared" si="3"/>
        <v>0.36927409439709613</v>
      </c>
      <c r="BD11" s="63">
        <f t="shared" si="3"/>
        <v>0.36585267284831385</v>
      </c>
      <c r="BE11" s="63">
        <f t="shared" si="3"/>
        <v>0.38798989593290861</v>
      </c>
      <c r="BF11" s="63">
        <f t="shared" si="3"/>
        <v>0.34080286242884461</v>
      </c>
      <c r="BG11" s="63">
        <f t="shared" si="3"/>
        <v>0.34471474199302693</v>
      </c>
      <c r="BH11" s="63">
        <f t="shared" si="3"/>
        <v>0.34376110198022974</v>
      </c>
      <c r="BI11" s="63">
        <f t="shared" si="3"/>
        <v>0.31324814506876647</v>
      </c>
      <c r="BJ11" s="63">
        <f t="shared" si="3"/>
        <v>0.30219053134072155</v>
      </c>
      <c r="BK11" s="63">
        <f t="shared" si="3"/>
        <v>0.32224631809382576</v>
      </c>
      <c r="BL11" s="63">
        <f t="shared" si="3"/>
        <v>0.32008443625572996</v>
      </c>
      <c r="BM11" s="63">
        <f t="shared" si="3"/>
        <v>0.30136438308700231</v>
      </c>
      <c r="BN11" s="63">
        <f t="shared" si="3"/>
        <v>0.28034945015561091</v>
      </c>
      <c r="BO11" s="63">
        <f t="shared" si="3"/>
        <v>0.19296088017406932</v>
      </c>
      <c r="BP11" s="63">
        <f t="shared" si="3"/>
        <v>0.1467556262647042</v>
      </c>
      <c r="BQ11" s="63">
        <f t="shared" si="3"/>
        <v>0.13019551348767874</v>
      </c>
      <c r="BR11" s="63">
        <f>BR4/BR10</f>
        <v>0.16199591825006474</v>
      </c>
      <c r="BS11" s="63">
        <f>BS4/BS10</f>
        <v>0.32087415077051207</v>
      </c>
      <c r="BT11" s="63">
        <f>BT4/BT10</f>
        <v>0.28766208623687273</v>
      </c>
      <c r="BU11" s="63">
        <f>BU4/BU10</f>
        <v>0.27509047827098726</v>
      </c>
      <c r="BV11" s="63" t="e">
        <f>BV4/BV10*100</f>
        <v>#DIV/0!</v>
      </c>
    </row>
    <row r="12" spans="1:74" s="63" customFormat="1">
      <c r="A12" s="17" t="s">
        <v>348</v>
      </c>
      <c r="E12" s="63">
        <f>E8/E10</f>
        <v>0.66864300143140354</v>
      </c>
      <c r="F12" s="63">
        <f t="shared" ref="F12:BQ12" si="4">F8/F10</f>
        <v>0.72220274496689096</v>
      </c>
      <c r="G12" s="63">
        <f t="shared" si="4"/>
        <v>0.74099475929638214</v>
      </c>
      <c r="H12" s="63">
        <f t="shared" si="4"/>
        <v>0.78596177256414756</v>
      </c>
      <c r="I12" s="63">
        <f t="shared" si="4"/>
        <v>0.88591910438855093</v>
      </c>
      <c r="J12" s="63">
        <f t="shared" si="4"/>
        <v>0.85958353521439768</v>
      </c>
      <c r="K12" s="63">
        <f t="shared" si="4"/>
        <v>0.85427578735085363</v>
      </c>
      <c r="L12" s="63">
        <f t="shared" si="4"/>
        <v>0.83241013290628862</v>
      </c>
      <c r="M12" s="63">
        <f t="shared" si="4"/>
        <v>0.83770758497679709</v>
      </c>
      <c r="N12" s="63">
        <f t="shared" si="4"/>
        <v>0.69343953234405342</v>
      </c>
      <c r="O12" s="63">
        <f t="shared" si="4"/>
        <v>0.62962637021201728</v>
      </c>
      <c r="P12" s="63">
        <f t="shared" si="4"/>
        <v>0.67949199290815609</v>
      </c>
      <c r="Q12" s="63">
        <f t="shared" si="4"/>
        <v>0.73391994806710281</v>
      </c>
      <c r="R12" s="63">
        <f t="shared" si="4"/>
        <v>0.5902355093939472</v>
      </c>
      <c r="S12" s="63">
        <f t="shared" si="4"/>
        <v>0.57628989818836363</v>
      </c>
      <c r="T12" s="63">
        <f t="shared" si="4"/>
        <v>0.54796051034412818</v>
      </c>
      <c r="U12" s="63">
        <f t="shared" si="4"/>
        <v>0.53880643868083988</v>
      </c>
      <c r="V12" s="63">
        <f t="shared" si="4"/>
        <v>0.50846358349511567</v>
      </c>
      <c r="W12" s="63">
        <f t="shared" si="4"/>
        <v>0.49468254037872333</v>
      </c>
      <c r="X12" s="63">
        <f t="shared" si="4"/>
        <v>0.47804012845103289</v>
      </c>
      <c r="Y12" s="63">
        <f t="shared" si="4"/>
        <v>0.47815788783228241</v>
      </c>
      <c r="Z12" s="63">
        <f t="shared" si="4"/>
        <v>0.45386847394249336</v>
      </c>
      <c r="AA12" s="63">
        <f t="shared" si="4"/>
        <v>0.44137741696472171</v>
      </c>
      <c r="AB12" s="63">
        <f t="shared" si="4"/>
        <v>0.44331193027959409</v>
      </c>
      <c r="AC12" s="63">
        <f t="shared" si="4"/>
        <v>0.43753918635504263</v>
      </c>
      <c r="AD12" s="63">
        <f t="shared" si="4"/>
        <v>0.41864376900443584</v>
      </c>
      <c r="AE12" s="63">
        <f t="shared" si="4"/>
        <v>0.39483128185274735</v>
      </c>
      <c r="AF12" s="63">
        <f t="shared" si="4"/>
        <v>0.4030018487889816</v>
      </c>
      <c r="AG12" s="63">
        <f t="shared" si="4"/>
        <v>0.39006389036201228</v>
      </c>
      <c r="AH12" s="63">
        <f t="shared" si="4"/>
        <v>0.37749442983324422</v>
      </c>
      <c r="AI12" s="63">
        <f t="shared" si="4"/>
        <v>0.3622347811972364</v>
      </c>
      <c r="AJ12" s="63">
        <f t="shared" si="4"/>
        <v>0.37919772428315529</v>
      </c>
      <c r="AK12" s="63">
        <f t="shared" si="4"/>
        <v>0.37070818198358452</v>
      </c>
      <c r="AL12" s="63">
        <f t="shared" si="4"/>
        <v>0.40046746937386912</v>
      </c>
      <c r="AM12" s="63">
        <f t="shared" si="4"/>
        <v>0.41097541830510226</v>
      </c>
      <c r="AN12" s="63">
        <f t="shared" si="4"/>
        <v>0.45944776703580592</v>
      </c>
      <c r="AO12" s="63">
        <f t="shared" si="4"/>
        <v>0.46707128282596305</v>
      </c>
      <c r="AP12" s="63">
        <f t="shared" si="4"/>
        <v>0.48381169967542503</v>
      </c>
      <c r="AQ12" s="63">
        <f t="shared" si="4"/>
        <v>0.48351312484521347</v>
      </c>
      <c r="AR12" s="63">
        <f t="shared" si="4"/>
        <v>0.50243980807382616</v>
      </c>
      <c r="AS12" s="63">
        <f t="shared" si="4"/>
        <v>0.54998736456263331</v>
      </c>
      <c r="AT12" s="63">
        <f t="shared" si="4"/>
        <v>0.52151573125951878</v>
      </c>
      <c r="AU12" s="63">
        <f t="shared" si="4"/>
        <v>0.44044903882163794</v>
      </c>
      <c r="AV12" s="63">
        <f t="shared" si="4"/>
        <v>0.77372154564551476</v>
      </c>
      <c r="AW12" s="63">
        <f t="shared" si="4"/>
        <v>0.6969222232090585</v>
      </c>
      <c r="AX12" s="63">
        <f t="shared" si="4"/>
        <v>0.67650517387027254</v>
      </c>
      <c r="AY12" s="63">
        <f t="shared" si="4"/>
        <v>0.65705725030838036</v>
      </c>
      <c r="AZ12" s="63">
        <f t="shared" si="4"/>
        <v>0.67580930726606558</v>
      </c>
      <c r="BA12" s="63">
        <f t="shared" si="4"/>
        <v>0.70359400084917312</v>
      </c>
      <c r="BB12" s="63">
        <f t="shared" si="4"/>
        <v>0.64421042656198657</v>
      </c>
      <c r="BC12" s="63">
        <f t="shared" si="4"/>
        <v>0.62872297847273684</v>
      </c>
      <c r="BD12" s="63">
        <f t="shared" si="4"/>
        <v>0.62800537097910902</v>
      </c>
      <c r="BE12" s="63">
        <f t="shared" si="4"/>
        <v>0.60645215899312588</v>
      </c>
      <c r="BF12" s="63">
        <f t="shared" si="4"/>
        <v>0.65655806965948882</v>
      </c>
      <c r="BG12" s="63">
        <f t="shared" si="4"/>
        <v>0.65277673508840761</v>
      </c>
      <c r="BH12" s="63">
        <f t="shared" si="4"/>
        <v>0.6527757437070657</v>
      </c>
      <c r="BI12" s="63">
        <f t="shared" si="4"/>
        <v>0.68521711438181199</v>
      </c>
      <c r="BJ12" s="63">
        <f t="shared" si="4"/>
        <v>0.68922829827849641</v>
      </c>
      <c r="BK12" s="63">
        <f t="shared" si="4"/>
        <v>0.6733193366228597</v>
      </c>
      <c r="BL12" s="63">
        <f t="shared" si="4"/>
        <v>0.6766692426942813</v>
      </c>
      <c r="BM12" s="63">
        <f t="shared" si="4"/>
        <v>0.69882096071223609</v>
      </c>
      <c r="BN12" s="63">
        <f t="shared" si="4"/>
        <v>0.71921415808655675</v>
      </c>
      <c r="BO12" s="63">
        <f t="shared" si="4"/>
        <v>0.78395606414800811</v>
      </c>
      <c r="BP12" s="63">
        <f t="shared" si="4"/>
        <v>0.85273359528797987</v>
      </c>
      <c r="BQ12" s="63">
        <f t="shared" si="4"/>
        <v>0.84407355122750316</v>
      </c>
      <c r="BR12" s="63">
        <f>BR8/BR10</f>
        <v>0.82549351063679666</v>
      </c>
      <c r="BS12" s="63">
        <f>BS8/BS10</f>
        <v>0.63524860325667809</v>
      </c>
      <c r="BT12" s="63">
        <f>BT8/BT10</f>
        <v>0.66898650887127586</v>
      </c>
      <c r="BU12" s="63">
        <f>BU8/BU10</f>
        <v>0.67931126885683657</v>
      </c>
      <c r="BV12" s="63" t="e">
        <f>BV8/BV10*100</f>
        <v>#DIV/0!</v>
      </c>
    </row>
    <row r="13" spans="1:74" s="63" customFormat="1">
      <c r="A13" s="63" t="s">
        <v>349</v>
      </c>
      <c r="E13" s="63">
        <f>E5*E11*(1-E6)+E9*E12</f>
        <v>6.0101320187343439E-2</v>
      </c>
      <c r="F13" s="63">
        <f t="shared" ref="F13:J13" si="5">F5*F11*(1-F6)+F9*F12</f>
        <v>5.7776219597351276E-2</v>
      </c>
      <c r="G13" s="63">
        <f t="shared" si="5"/>
        <v>5.9279580743710571E-2</v>
      </c>
      <c r="H13" s="63">
        <f t="shared" si="5"/>
        <v>6.28769418051318E-2</v>
      </c>
      <c r="I13" s="63">
        <f t="shared" si="5"/>
        <v>7.3220616256195054E-2</v>
      </c>
      <c r="J13" s="63">
        <f t="shared" si="5"/>
        <v>6.8766682817151814E-2</v>
      </c>
      <c r="K13" s="63">
        <f t="shared" ref="K13" si="6">K5*K11*(1-K6)+K9*K12</f>
        <v>6.8342062988068289E-2</v>
      </c>
      <c r="L13" s="63">
        <f t="shared" ref="L13" si="7">L5*L11*(1-L6)+L9*L12</f>
        <v>6.6592810632503094E-2</v>
      </c>
      <c r="M13" s="63">
        <f t="shared" ref="M13" si="8">M5*M11*(1-M6)+M9*M12</f>
        <v>6.7016606798143766E-2</v>
      </c>
      <c r="N13" s="63">
        <f t="shared" ref="N13:O13" si="9">N5*N11*(1-N6)+N9*N12</f>
        <v>5.5475162587524274E-2</v>
      </c>
      <c r="O13" s="63">
        <f t="shared" si="9"/>
        <v>5.0370109616961381E-2</v>
      </c>
      <c r="P13" s="63">
        <f t="shared" ref="P13" si="10">P5*P11*(1-P6)+P9*P12</f>
        <v>5.4359359432652486E-2</v>
      </c>
      <c r="Q13" s="63">
        <f t="shared" ref="Q13" si="11">Q5*Q11*(1-Q6)+Q9*Q12</f>
        <v>5.8713595845368227E-2</v>
      </c>
      <c r="R13" s="63">
        <f t="shared" ref="R13" si="12">R5*R11*(1-R6)+R9*R12</f>
        <v>4.7218840751515778E-2</v>
      </c>
      <c r="S13" s="63">
        <f t="shared" ref="S13:T13" si="13">S5*S11*(1-S6)+S9*S12</f>
        <v>4.6103191855069094E-2</v>
      </c>
      <c r="T13" s="63">
        <f t="shared" si="13"/>
        <v>4.3836840827530255E-2</v>
      </c>
      <c r="U13" s="63">
        <f t="shared" ref="U13" si="14">U5*U11*(1-U6)+U9*U12</f>
        <v>6.2580343611716036E-2</v>
      </c>
      <c r="V13" s="63">
        <f t="shared" ref="V13" si="15">V5*V11*(1-V6)+V9*V12</f>
        <v>4.0677086679609252E-2</v>
      </c>
      <c r="W13" s="63">
        <f t="shared" ref="W13" si="16">W5*W11*(1-W6)+W9*W12</f>
        <v>3.9574603230297871E-2</v>
      </c>
      <c r="X13" s="63">
        <f t="shared" ref="X13:Y13" si="17">X5*X11*(1-X6)+X9*X12</f>
        <v>3.8243210276082629E-2</v>
      </c>
      <c r="Y13" s="63">
        <f t="shared" si="17"/>
        <v>6.2437873898603009E-2</v>
      </c>
      <c r="Z13" s="63">
        <f t="shared" ref="Z13" si="18">Z5*Z11*(1-Z6)+Z9*Z12</f>
        <v>3.6309477915399471E-2</v>
      </c>
      <c r="AA13" s="63">
        <f t="shared" ref="AA13" si="19">AA5*AA11*(1-AA6)+AA9*AA12</f>
        <v>3.5310193357177735E-2</v>
      </c>
      <c r="AB13" s="63">
        <f t="shared" ref="AB13" si="20">AB5*AB11*(1-AB6)+AB9*AB12</f>
        <v>3.546495442236753E-2</v>
      </c>
      <c r="AC13" s="63">
        <f t="shared" ref="AC13:AD13" si="21">AC5*AC11*(1-AC6)+AC9*AC12</f>
        <v>3.5003134908403413E-2</v>
      </c>
      <c r="AD13" s="63">
        <f t="shared" si="21"/>
        <v>3.349150152035487E-2</v>
      </c>
      <c r="AE13" s="63">
        <f t="shared" ref="AE13" si="22">AE5*AE11*(1-AE6)+AE9*AE12</f>
        <v>3.1586502548219791E-2</v>
      </c>
      <c r="AF13" s="63">
        <f t="shared" ref="AF13" si="23">AF5*AF11*(1-AF6)+AF9*AF12</f>
        <v>3.2240147903118528E-2</v>
      </c>
      <c r="AG13" s="63">
        <f t="shared" ref="AG13" si="24">AG5*AG11*(1-AG6)+AG9*AG12</f>
        <v>3.1205111228960983E-2</v>
      </c>
      <c r="AH13" s="63">
        <f t="shared" ref="AH13:AI13" si="25">AH5*AH11*(1-AH6)+AH9*AH12</f>
        <v>3.0199554386659538E-2</v>
      </c>
      <c r="AI13" s="63">
        <f t="shared" si="25"/>
        <v>2.8978782495778913E-2</v>
      </c>
      <c r="AJ13" s="63">
        <f t="shared" ref="AJ13" si="26">AJ5*AJ11*(1-AJ6)+AJ9*AJ12</f>
        <v>3.0335817942652422E-2</v>
      </c>
      <c r="AK13" s="63">
        <f t="shared" ref="AK13" si="27">AK5*AK11*(1-AK6)+AK9*AK12</f>
        <v>2.9656654558686761E-2</v>
      </c>
      <c r="AL13" s="63">
        <f t="shared" ref="AL13" si="28">AL5*AL11*(1-AL6)+AL9*AL12</f>
        <v>3.203739754990953E-2</v>
      </c>
      <c r="AM13" s="63">
        <f t="shared" ref="AM13:AN13" si="29">AM5*AM11*(1-AM6)+AM9*AM12</f>
        <v>3.287803346440818E-2</v>
      </c>
      <c r="AN13" s="63">
        <f t="shared" si="29"/>
        <v>3.6755821362864476E-2</v>
      </c>
      <c r="AO13" s="63">
        <f t="shared" ref="AO13" si="30">AO5*AO11*(1-AO6)+AO9*AO12</f>
        <v>3.7365702626077045E-2</v>
      </c>
      <c r="AP13" s="63">
        <f t="shared" ref="AP13" si="31">AP5*AP11*(1-AP6)+AP9*AP12</f>
        <v>3.8704935974034002E-2</v>
      </c>
      <c r="AQ13" s="63">
        <f t="shared" ref="AQ13" si="32">AQ5*AQ11*(1-AQ6)+AQ9*AQ12</f>
        <v>3.868104998761708E-2</v>
      </c>
      <c r="AR13" s="63">
        <f t="shared" ref="AR13:AS13" si="33">AR5*AR11*(1-AR6)+AR9*AR12</f>
        <v>4.0195184645906094E-2</v>
      </c>
      <c r="AS13" s="63">
        <f t="shared" si="33"/>
        <v>4.3998989165010667E-2</v>
      </c>
      <c r="AT13" s="63">
        <f t="shared" ref="AT13" si="34">AT5*AT11*(1-AT6)+AT9*AT12</f>
        <v>4.1721258500761506E-2</v>
      </c>
      <c r="AU13" s="63">
        <f t="shared" ref="AU13" si="35">AU5*AU11*(1-AU6)+AU9*AU12</f>
        <v>3.5235923105731037E-2</v>
      </c>
      <c r="AV13" s="63">
        <f t="shared" ref="AV13" si="36">AV5*AV11*(1-AV6)+AV9*AV12</f>
        <v>6.189772365164118E-2</v>
      </c>
      <c r="AW13" s="63">
        <f t="shared" ref="AW13:AX13" si="37">AW5*AW11*(1-AW6)+AW9*AW12</f>
        <v>5.5753777856724682E-2</v>
      </c>
      <c r="AX13" s="63">
        <f t="shared" si="37"/>
        <v>5.4120413909621801E-2</v>
      </c>
      <c r="AY13" s="63">
        <f t="shared" ref="AY13" si="38">AY5*AY11*(1-AY6)+AY9*AY12</f>
        <v>5.2564580024670432E-2</v>
      </c>
      <c r="AZ13" s="63">
        <f t="shared" ref="AZ13" si="39">AZ5*AZ11*(1-AZ6)+AZ9*AZ12</f>
        <v>5.4064744581285247E-2</v>
      </c>
      <c r="BA13" s="63">
        <f t="shared" ref="BA13" si="40">BA5*BA11*(1-BA6)+BA9*BA12</f>
        <v>5.6287520067933854E-2</v>
      </c>
      <c r="BB13" s="63">
        <f t="shared" ref="BB13:BC13" si="41">BB5*BB11*(1-BB6)+BB9*BB12</f>
        <v>5.1536834124958929E-2</v>
      </c>
      <c r="BC13" s="63">
        <f t="shared" si="41"/>
        <v>5.0297838277818946E-2</v>
      </c>
      <c r="BD13" s="63">
        <f t="shared" ref="BD13" si="42">BD5*BD11*(1-BD6)+BD9*BD12</f>
        <v>5.0240429678328723E-2</v>
      </c>
      <c r="BE13" s="63">
        <f t="shared" ref="BE13" si="43">BE5*BE11*(1-BE6)+BE9*BE12</f>
        <v>4.8516172719450072E-2</v>
      </c>
      <c r="BF13" s="63">
        <f t="shared" ref="BF13" si="44">BF5*BF11*(1-BF6)+BF9*BF12</f>
        <v>5.2524645572759106E-2</v>
      </c>
      <c r="BG13" s="63">
        <f t="shared" ref="BG13:BH13" si="45">BG5*BG11*(1-BG6)+BG9*BG12</f>
        <v>5.2222138807072611E-2</v>
      </c>
      <c r="BH13" s="63">
        <f t="shared" si="45"/>
        <v>5.2222059496565255E-2</v>
      </c>
      <c r="BI13" s="63">
        <f t="shared" ref="BI13" si="46">BI5*BI11*(1-BI6)+BI9*BI12</f>
        <v>5.4817369150544963E-2</v>
      </c>
      <c r="BJ13" s="63">
        <f t="shared" ref="BJ13" si="47">BJ5*BJ11*(1-BJ6)+BJ9*BJ12</f>
        <v>5.5138263862279713E-2</v>
      </c>
      <c r="BK13" s="63">
        <f t="shared" ref="BK13" si="48">BK5*BK11*(1-BK6)+BK9*BK12</f>
        <v>5.3865546929828777E-2</v>
      </c>
      <c r="BL13" s="63">
        <f t="shared" ref="BL13:BM13" si="49">BL5*BL11*(1-BL6)+BL9*BL12</f>
        <v>5.4133539415542505E-2</v>
      </c>
      <c r="BM13" s="63">
        <f t="shared" si="49"/>
        <v>5.5905676856978892E-2</v>
      </c>
      <c r="BN13" s="63">
        <f t="shared" ref="BN13" si="50">BN5*BN11*(1-BN6)+BN9*BN12</f>
        <v>5.7537132646924539E-2</v>
      </c>
      <c r="BO13" s="63">
        <f t="shared" ref="BO13" si="51">BO5*BO11*(1-BO6)+BO9*BO12</f>
        <v>6.2716485131840652E-2</v>
      </c>
      <c r="BP13" s="63">
        <f t="shared" ref="BP13" si="52">BP5*BP11*(1-BP6)+BP9*BP12</f>
        <v>6.8218687623038385E-2</v>
      </c>
      <c r="BQ13" s="63">
        <f t="shared" ref="BQ13:BR13" si="53">BQ5*BQ11*(1-BQ6)+BQ9*BQ12</f>
        <v>6.7525884098200248E-2</v>
      </c>
      <c r="BR13" s="63">
        <f t="shared" si="53"/>
        <v>6.603948085094373E-2</v>
      </c>
      <c r="BS13" s="63">
        <f t="shared" ref="BS13" si="54">BS5*BS11*(1-BS6)+BS9*BS12</f>
        <v>5.0819888260534248E-2</v>
      </c>
      <c r="BT13" s="63">
        <f t="shared" ref="BT13" si="55">BT5*BT11*(1-BT6)+BT9*BT12</f>
        <v>5.3518920709702072E-2</v>
      </c>
      <c r="BU13" s="63">
        <f t="shared" ref="BU13" si="56">BU5*BU11*(1-BU6)+BU9*BU12</f>
        <v>5.4344901508546928E-2</v>
      </c>
      <c r="BV13" s="63" t="e">
        <f t="shared" ref="BV13" si="57">BV5*BV11*(1-BV6)+BV9*BV12</f>
        <v>#DIV/0!</v>
      </c>
    </row>
    <row r="14" spans="1:74" s="16" customFormat="1" ht="56.45" customHeight="1">
      <c r="A14" s="279" t="s">
        <v>667</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ht="14.4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结构分析表"/>
  <dimension ref="A1:CL87"/>
  <sheetViews>
    <sheetView topLeftCell="A22" workbookViewId="0">
      <selection activeCell="E45" sqref="E45"/>
    </sheetView>
  </sheetViews>
  <sheetFormatPr defaultRowHeight="13.5"/>
  <cols>
    <col min="1" max="1" width="36.75" style="17" bestFit="1" customWidth="1"/>
    <col min="2" max="4" width="9.5" hidden="1" customWidth="1"/>
    <col min="5" max="5" width="23.25" bestFit="1" customWidth="1"/>
    <col min="6" max="8" width="23.25" hidden="1" customWidth="1"/>
    <col min="9" max="9" width="23.25" bestFit="1" customWidth="1"/>
    <col min="10" max="12" width="23.25" hidden="1" customWidth="1"/>
    <col min="13" max="13" width="23.25" bestFit="1" customWidth="1"/>
    <col min="14" max="16" width="23.25" hidden="1" customWidth="1"/>
    <col min="17" max="17" width="23.25" bestFit="1" customWidth="1"/>
    <col min="18" max="18" width="23.25" hidden="1" customWidth="1"/>
    <col min="19" max="20" width="22" hidden="1" customWidth="1"/>
    <col min="21" max="21" width="22" bestFit="1" customWidth="1"/>
    <col min="22" max="24" width="22" hidden="1" customWidth="1"/>
    <col min="25" max="25" width="22" bestFit="1" customWidth="1"/>
    <col min="26" max="28" width="22" hidden="1" customWidth="1"/>
    <col min="29" max="29" width="22" bestFit="1" customWidth="1"/>
    <col min="30" max="32" width="22" hidden="1" customWidth="1"/>
    <col min="33" max="33" width="22" bestFit="1" customWidth="1"/>
    <col min="34" max="36" width="22" hidden="1" customWidth="1"/>
    <col min="37" max="37" width="22" bestFit="1" customWidth="1"/>
    <col min="38" max="40" width="22" hidden="1" customWidth="1"/>
    <col min="41" max="41" width="22" bestFit="1" customWidth="1"/>
    <col min="42" max="44" width="22" hidden="1" customWidth="1"/>
    <col min="45" max="45" width="22" bestFit="1" customWidth="1"/>
    <col min="46" max="48" width="22" hidden="1" customWidth="1"/>
    <col min="49" max="49" width="22" bestFit="1" customWidth="1"/>
    <col min="50" max="52" width="22" hidden="1" customWidth="1"/>
    <col min="53" max="53" width="22" bestFit="1" customWidth="1"/>
    <col min="54" max="56" width="22" hidden="1" customWidth="1"/>
    <col min="57" max="57" width="22" bestFit="1" customWidth="1"/>
    <col min="58" max="60" width="22" hidden="1" customWidth="1"/>
    <col min="61" max="61" width="22" bestFit="1" customWidth="1"/>
    <col min="62" max="62" width="19.5" hidden="1" customWidth="1"/>
    <col min="63" max="63" width="22" hidden="1" customWidth="1"/>
    <col min="64" max="64" width="19.5" hidden="1" customWidth="1"/>
    <col min="65" max="65" width="19.5" bestFit="1" customWidth="1"/>
    <col min="66" max="68" width="19.5" hidden="1" customWidth="1"/>
    <col min="69" max="69" width="19.5" bestFit="1" customWidth="1"/>
    <col min="70" max="70" width="19.5" hidden="1" customWidth="1"/>
    <col min="71" max="71" width="19.5" bestFit="1" customWidth="1"/>
    <col min="72" max="72" width="19.5" hidden="1" customWidth="1"/>
    <col min="73" max="73" width="19.5" bestFit="1" customWidth="1"/>
    <col min="74" max="74" width="19.5" hidden="1" customWidth="1"/>
    <col min="75" max="75" width="19.5" bestFit="1" customWidth="1"/>
    <col min="76" max="76" width="19.5" hidden="1" customWidth="1"/>
    <col min="77" max="77" width="19.5" bestFit="1" customWidth="1"/>
    <col min="78" max="78" width="19.5" hidden="1" customWidth="1"/>
    <col min="79" max="79" width="19.5" bestFit="1" customWidth="1"/>
    <col min="80" max="80" width="19.5" hidden="1" customWidth="1"/>
    <col min="81" max="81" width="19.5" bestFit="1" customWidth="1"/>
    <col min="82" max="82" width="19.5" hidden="1" customWidth="1"/>
    <col min="83" max="84" width="19.5" bestFit="1" customWidth="1"/>
    <col min="85" max="86" width="18.25" bestFit="1" customWidth="1"/>
    <col min="87" max="87" width="9.5" hidden="1" customWidth="1"/>
    <col min="88" max="90" width="8.5" bestFit="1" customWidth="1"/>
  </cols>
  <sheetData>
    <row r="1" spans="1:90" s="26" customFormat="1" ht="14.45">
      <c r="A1" s="17">
        <v>50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34334</v>
      </c>
      <c r="CG1" s="1">
        <v>33969</v>
      </c>
      <c r="CH1" s="1">
        <v>33603</v>
      </c>
      <c r="CI1" s="1">
        <v>25569</v>
      </c>
      <c r="CJ1" s="189"/>
      <c r="CK1" s="189"/>
      <c r="CL1" s="189"/>
    </row>
    <row r="2" spans="1:90" s="26" customFormat="1">
      <c r="A2" s="41" t="s">
        <v>551</v>
      </c>
      <c r="E2" s="26">
        <f>资产资本表!E17</f>
        <v>4322850458.8299999</v>
      </c>
      <c r="F2" s="26">
        <f>资产资本表!F17</f>
        <v>3177021212.6900001</v>
      </c>
      <c r="G2" s="26">
        <f>资产资本表!G17</f>
        <v>2520888999.4000001</v>
      </c>
      <c r="H2" s="26">
        <f>资产资本表!H17</f>
        <v>2071015546.5899999</v>
      </c>
      <c r="I2" s="26">
        <f>资产资本表!I17</f>
        <v>4497227941.7600002</v>
      </c>
      <c r="J2" s="26">
        <f>资产资本表!J17</f>
        <v>5095410406.0299997</v>
      </c>
      <c r="K2" s="26">
        <f>资产资本表!K17</f>
        <v>4709639840</v>
      </c>
      <c r="L2" s="26">
        <f>资产资本表!L17</f>
        <v>5578693760.0299997</v>
      </c>
      <c r="M2" s="26">
        <f>资产资本表!M17</f>
        <v>7377014278</v>
      </c>
      <c r="N2" s="26">
        <f>资产资本表!N17</f>
        <v>2662662617.3400002</v>
      </c>
      <c r="O2" s="26">
        <f>资产资本表!O17</f>
        <v>3213101557</v>
      </c>
      <c r="P2" s="26">
        <f>资产资本表!P17</f>
        <v>2547908073.9200001</v>
      </c>
      <c r="Q2" s="26">
        <f>资产资本表!Q17</f>
        <v>877098152</v>
      </c>
      <c r="R2" s="26">
        <f>资产资本表!R17</f>
        <v>3283349781.3899999</v>
      </c>
      <c r="S2" s="26">
        <f>资产资本表!S17</f>
        <v>570550971</v>
      </c>
      <c r="T2" s="26">
        <f>资产资本表!T17</f>
        <v>844473319.96999991</v>
      </c>
      <c r="U2" s="26">
        <f>资产资本表!U17</f>
        <v>1013344044</v>
      </c>
      <c r="V2" s="26">
        <f>资产资本表!V17</f>
        <v>439545688</v>
      </c>
      <c r="W2" s="26">
        <f>资产资本表!W17</f>
        <v>486470936</v>
      </c>
      <c r="X2" s="26">
        <f>资产资本表!X17</f>
        <v>525444387.13999999</v>
      </c>
      <c r="Y2" s="26">
        <f>资产资本表!Y17</f>
        <v>523076906</v>
      </c>
      <c r="Z2" s="26">
        <f>资产资本表!Z17</f>
        <v>550824726</v>
      </c>
      <c r="AA2" s="26">
        <f>资产资本表!AA17</f>
        <v>596873371</v>
      </c>
      <c r="AB2" s="26">
        <f>资产资本表!AB17</f>
        <v>797416345.23000002</v>
      </c>
      <c r="AC2" s="26">
        <f>资产资本表!AC17</f>
        <v>744071213</v>
      </c>
      <c r="AD2" s="26">
        <f>资产资本表!AD17</f>
        <v>858499196.33999991</v>
      </c>
      <c r="AE2" s="26">
        <f>资产资本表!AE17</f>
        <v>1058843953</v>
      </c>
      <c r="AF2" s="26">
        <f>资产资本表!AF17</f>
        <v>890213147.28999996</v>
      </c>
      <c r="AG2" s="26">
        <f>资产资本表!AG17</f>
        <v>892266242</v>
      </c>
      <c r="AH2" s="26">
        <f>资产资本表!AH17</f>
        <v>929527222.90999997</v>
      </c>
      <c r="AI2" s="26">
        <f>资产资本表!AI17</f>
        <v>1465265328.78</v>
      </c>
      <c r="AJ2" s="26">
        <f>资产资本表!AJ17</f>
        <v>1081782040.52</v>
      </c>
      <c r="AK2" s="26">
        <f>资产资本表!AK17</f>
        <v>1199524562.9100001</v>
      </c>
      <c r="AL2" s="26">
        <f>资产资本表!AL17</f>
        <v>878511309.68999994</v>
      </c>
      <c r="AM2" s="26">
        <f>资产资本表!AM17</f>
        <v>820478406.51999998</v>
      </c>
      <c r="AN2" s="26">
        <f>资产资本表!AN17</f>
        <v>522855101.58000004</v>
      </c>
      <c r="AO2" s="26">
        <f>资产资本表!AO17</f>
        <v>321797486.72000003</v>
      </c>
      <c r="AP2" s="26">
        <f>资产资本表!AP17</f>
        <v>545601106.28999996</v>
      </c>
      <c r="AQ2" s="26">
        <f>资产资本表!AQ17</f>
        <v>727687604.44000006</v>
      </c>
      <c r="AR2" s="26">
        <f>资产资本表!AR17</f>
        <v>902622816.6099999</v>
      </c>
      <c r="AS2" s="26">
        <f>资产资本表!AS17</f>
        <v>931596380.57000005</v>
      </c>
      <c r="AT2" s="26">
        <f>资产资本表!AT17</f>
        <v>1392077981.1700001</v>
      </c>
      <c r="AU2" s="26">
        <f>资产资本表!AU17</f>
        <v>1641711246.5899999</v>
      </c>
      <c r="AV2" s="26">
        <f>资产资本表!AV17</f>
        <v>335027731.99000001</v>
      </c>
      <c r="AW2" s="26">
        <f>资产资本表!AW17</f>
        <v>122356099.13</v>
      </c>
      <c r="AX2" s="26">
        <f>资产资本表!AX17</f>
        <v>163143405.16999999</v>
      </c>
      <c r="AY2" s="26">
        <f>资产资本表!AY17</f>
        <v>169622133.06999999</v>
      </c>
      <c r="AZ2" s="26">
        <f>资产资本表!AZ17</f>
        <v>152620664.80000001</v>
      </c>
      <c r="BA2" s="26">
        <f>资产资本表!BA17</f>
        <v>86803245.140000001</v>
      </c>
      <c r="BB2" s="26">
        <f>资产资本表!BB17</f>
        <v>162998930.56</v>
      </c>
      <c r="BC2" s="26">
        <f>资产资本表!BC17</f>
        <v>150919783.62</v>
      </c>
      <c r="BD2" s="26">
        <f>资产资本表!BD17</f>
        <v>119767193.59999999</v>
      </c>
      <c r="BE2" s="26">
        <f>资产资本表!BE17</f>
        <v>190218572.65000001</v>
      </c>
      <c r="BF2" s="26">
        <f>资产资本表!BF17</f>
        <v>78435524.640000001</v>
      </c>
      <c r="BG2" s="26">
        <f>资产资本表!BG17</f>
        <v>123318100.50999999</v>
      </c>
      <c r="BH2" s="26">
        <f>资产资本表!BH17</f>
        <v>159821960.09</v>
      </c>
      <c r="BI2" s="26">
        <f>资产资本表!BI17</f>
        <v>80554553.929999992</v>
      </c>
      <c r="BJ2" s="26">
        <f>资产资本表!BJ17</f>
        <v>120702528.06</v>
      </c>
      <c r="BK2" s="26">
        <f>资产资本表!BK17</f>
        <v>156873218.79000002</v>
      </c>
      <c r="BL2" s="26">
        <f>资产资本表!BL17</f>
        <v>202035903.61000001</v>
      </c>
      <c r="BM2" s="26">
        <f>资产资本表!BM17</f>
        <v>186964627.64000002</v>
      </c>
      <c r="BN2" s="26">
        <f>资产资本表!BN17</f>
        <v>130080868.59</v>
      </c>
      <c r="BO2" s="26">
        <f>资产资本表!BO17</f>
        <v>386733116.71000004</v>
      </c>
      <c r="BP2" s="26">
        <f>资产资本表!BP17</f>
        <v>368834317.25</v>
      </c>
      <c r="BQ2" s="26">
        <f>资产资本表!BQ17</f>
        <v>354288648.59000003</v>
      </c>
      <c r="BR2" s="26">
        <f>资产资本表!BR17</f>
        <v>368003320.32000005</v>
      </c>
      <c r="BS2" s="26">
        <f>资产资本表!BS17</f>
        <v>52290546.93</v>
      </c>
      <c r="BT2" s="26">
        <f>资产资本表!BT17</f>
        <v>52885848.07</v>
      </c>
      <c r="BU2" s="26">
        <f>资产资本表!BU17</f>
        <v>48388338.609999999</v>
      </c>
      <c r="BV2" s="26">
        <f>资产资本表!BV17</f>
        <v>67853301.460000008</v>
      </c>
      <c r="BW2" s="26">
        <f>资产资本表!BW17</f>
        <v>69315769.849999994</v>
      </c>
      <c r="BX2" s="26">
        <f>资产资本表!BX17</f>
        <v>137179693.94999999</v>
      </c>
      <c r="BY2" s="26">
        <f>资产资本表!BY17</f>
        <v>41956545.019999996</v>
      </c>
      <c r="BZ2" s="26">
        <f>资产资本表!BZ17</f>
        <v>0</v>
      </c>
      <c r="CA2" s="26">
        <f>资产资本表!CA17</f>
        <v>25997468.43</v>
      </c>
      <c r="CB2" s="26">
        <f>资产资本表!CB17</f>
        <v>0</v>
      </c>
      <c r="CC2" s="26">
        <f>资产资本表!CC17</f>
        <v>21987850.109999999</v>
      </c>
      <c r="CD2" s="26">
        <f>资产资本表!CD17</f>
        <v>0</v>
      </c>
      <c r="CE2" s="26">
        <f>资产资本表!CE17</f>
        <v>22895816.189999998</v>
      </c>
      <c r="CF2" s="26">
        <f>资产资本表!CF17</f>
        <v>17834988.370000001</v>
      </c>
      <c r="CG2" s="26">
        <f>资产资本表!CG17</f>
        <v>0</v>
      </c>
      <c r="CH2" s="26">
        <f>资产资本表!CH17</f>
        <v>0</v>
      </c>
      <c r="CI2" s="26">
        <f>资产资本表!CI17</f>
        <v>0</v>
      </c>
      <c r="CJ2" s="26">
        <f>资产资本表!CJ17</f>
        <v>0</v>
      </c>
      <c r="CK2" s="26">
        <f>资产资本表!CK17</f>
        <v>0</v>
      </c>
      <c r="CL2" s="26">
        <f>资产资本表!CL17</f>
        <v>0</v>
      </c>
    </row>
    <row r="3" spans="1:90" s="26" customFormat="1">
      <c r="A3" s="41" t="s">
        <v>552</v>
      </c>
      <c r="E3" s="26">
        <f>资产资本表!E19</f>
        <v>313407773.91000003</v>
      </c>
      <c r="F3" s="26">
        <f>资产资本表!F19</f>
        <v>326506232.54000002</v>
      </c>
      <c r="G3" s="26">
        <f>资产资本表!G19</f>
        <v>327578239.93000001</v>
      </c>
      <c r="H3" s="26">
        <f>资产资本表!H19</f>
        <v>328604800.81</v>
      </c>
      <c r="I3" s="26">
        <f>资产资本表!I19</f>
        <v>330350850.91000003</v>
      </c>
      <c r="J3" s="26">
        <f>资产资本表!J19</f>
        <v>331689783.13999999</v>
      </c>
      <c r="K3" s="26">
        <f>资产资本表!K19</f>
        <v>333346386</v>
      </c>
      <c r="L3" s="26">
        <f>资产资本表!L19</f>
        <v>300497495.66000003</v>
      </c>
      <c r="M3" s="26">
        <f>资产资本表!M19</f>
        <v>300917625</v>
      </c>
      <c r="N3" s="26">
        <f>资产资本表!N19</f>
        <v>301257779.44999999</v>
      </c>
      <c r="O3" s="26">
        <f>资产资本表!O19</f>
        <v>302151417</v>
      </c>
      <c r="P3" s="26">
        <f>资产资本表!P19</f>
        <v>303413324.44999999</v>
      </c>
      <c r="Q3" s="26">
        <f>资产资本表!Q19</f>
        <v>304157073</v>
      </c>
      <c r="R3" s="26">
        <f>资产资本表!R19</f>
        <v>126249577.63</v>
      </c>
      <c r="S3" s="26">
        <f>资产资本表!S19</f>
        <v>288160300</v>
      </c>
      <c r="T3" s="26">
        <f>资产资本表!T19</f>
        <v>166483497.47999999</v>
      </c>
      <c r="U3" s="26">
        <f>资产资本表!U19</f>
        <v>165976435</v>
      </c>
      <c r="V3" s="26">
        <f>资产资本表!V19</f>
        <v>165648060</v>
      </c>
      <c r="W3" s="26">
        <f>资产资本表!W19</f>
        <v>160671791</v>
      </c>
      <c r="X3" s="26">
        <f>资产资本表!X19</f>
        <v>155291543</v>
      </c>
      <c r="Y3" s="26">
        <f>资产资本表!Y19</f>
        <v>150583926</v>
      </c>
      <c r="Z3" s="26">
        <f>资产资本表!Z19</f>
        <v>155643198</v>
      </c>
      <c r="AA3" s="26">
        <f>资产资本表!AA19</f>
        <v>159047632</v>
      </c>
      <c r="AB3" s="26">
        <f>资产资本表!AB19</f>
        <v>146890455.28</v>
      </c>
      <c r="AC3" s="26">
        <f>资产资本表!AC19</f>
        <v>149138751</v>
      </c>
      <c r="AD3" s="26">
        <f>资产资本表!AD19</f>
        <v>159853751.75</v>
      </c>
      <c r="AE3" s="26">
        <f>资产资本表!AE19</f>
        <v>176165011</v>
      </c>
      <c r="AF3" s="26">
        <f>资产资本表!AF19</f>
        <v>176997478.69999999</v>
      </c>
      <c r="AG3" s="26">
        <f>资产资本表!AG19</f>
        <v>177808549</v>
      </c>
      <c r="AH3" s="26">
        <f>资产资本表!AH19</f>
        <v>147630480.56</v>
      </c>
      <c r="AI3" s="26">
        <f>资产资本表!AI19</f>
        <v>99630480.560000002</v>
      </c>
      <c r="AJ3" s="26">
        <f>资产资本表!AJ19</f>
        <v>45630480.560000002</v>
      </c>
      <c r="AK3" s="26">
        <f>资产资本表!AK19</f>
        <v>32550000</v>
      </c>
      <c r="AL3" s="26">
        <f>资产资本表!AL19</f>
        <v>34631000</v>
      </c>
      <c r="AM3" s="26">
        <f>资产资本表!AM19</f>
        <v>34631000</v>
      </c>
      <c r="AN3" s="26">
        <f>资产资本表!AN19</f>
        <v>5031000</v>
      </c>
      <c r="AO3" s="26">
        <f>资产资本表!AO19</f>
        <v>5031000</v>
      </c>
      <c r="AP3" s="26">
        <f>资产资本表!AP19</f>
        <v>7583403.1100000003</v>
      </c>
      <c r="AQ3" s="26">
        <f>资产资本表!AQ19</f>
        <v>7583403.1100000003</v>
      </c>
      <c r="AR3" s="26">
        <f>资产资本表!AR19</f>
        <v>8000392.8200000003</v>
      </c>
      <c r="AS3" s="26">
        <f>资产资本表!AS19</f>
        <v>8000392.8200000003</v>
      </c>
      <c r="AT3" s="26">
        <f>资产资本表!AT19</f>
        <v>3235293.87</v>
      </c>
      <c r="AU3" s="26">
        <f>资产资本表!AU19</f>
        <v>7695058.9500000002</v>
      </c>
      <c r="AV3" s="26">
        <f>资产资本表!AV19</f>
        <v>11994707.42</v>
      </c>
      <c r="AW3" s="26">
        <f>资产资本表!AW19</f>
        <v>166494707.41999999</v>
      </c>
      <c r="AX3" s="26">
        <f>资产资本表!AX19</f>
        <v>167151773.53999999</v>
      </c>
      <c r="AY3" s="26">
        <f>资产资本表!AY19</f>
        <v>73901773.540000007</v>
      </c>
      <c r="AZ3" s="26">
        <f>资产资本表!AZ19</f>
        <v>73901773.540000007</v>
      </c>
      <c r="BA3" s="26">
        <f>资产资本表!BA19</f>
        <v>12101773.539999999</v>
      </c>
      <c r="BB3" s="26">
        <f>资产资本表!BB19</f>
        <v>26465786.34</v>
      </c>
      <c r="BC3" s="26">
        <f>资产资本表!BC19</f>
        <v>26465786.34</v>
      </c>
      <c r="BD3" s="26">
        <f>资产资本表!BD19</f>
        <v>24773382.629999999</v>
      </c>
      <c r="BE3" s="26">
        <f>资产资本表!BE19</f>
        <v>24773382.629999999</v>
      </c>
      <c r="BF3" s="26">
        <f>资产资本表!BF19</f>
        <v>16639941.08</v>
      </c>
      <c r="BG3" s="26">
        <f>资产资本表!BG19</f>
        <v>9548115.0800000001</v>
      </c>
      <c r="BH3" s="26">
        <f>资产资本表!BH19</f>
        <v>9548115.0800000001</v>
      </c>
      <c r="BI3" s="26">
        <f>资产资本表!BI19</f>
        <v>5409765.0800000001</v>
      </c>
      <c r="BJ3" s="26">
        <f>资产资本表!BJ19</f>
        <v>6017265.0800000001</v>
      </c>
      <c r="BK3" s="26">
        <f>资产资本表!BK19</f>
        <v>6017265.0800000001</v>
      </c>
      <c r="BL3" s="26">
        <f>资产资本表!BL19</f>
        <v>6017265.0800000001</v>
      </c>
      <c r="BM3" s="26">
        <f>资产资本表!BM19</f>
        <v>6017265.0800000001</v>
      </c>
      <c r="BN3" s="26">
        <f>资产资本表!BN19</f>
        <v>6017265.0800000001</v>
      </c>
      <c r="BO3" s="26">
        <f>资产资本表!BO19</f>
        <v>6017265.0800000001</v>
      </c>
      <c r="BP3" s="26">
        <f>资产资本表!BP19</f>
        <v>7284238.1100000003</v>
      </c>
      <c r="BQ3" s="26">
        <f>资产资本表!BQ19</f>
        <v>6017265.0800000001</v>
      </c>
      <c r="BR3" s="26">
        <f>资产资本表!BR19</f>
        <v>7734238.1100000003</v>
      </c>
      <c r="BS3" s="26">
        <f>资产资本表!BS19</f>
        <v>8184238.1100000003</v>
      </c>
      <c r="BT3" s="26">
        <f>资产资本表!BT19</f>
        <v>8358022.2300000004</v>
      </c>
      <c r="BU3" s="26">
        <f>资产资本表!BU19</f>
        <v>8059218.4000000004</v>
      </c>
      <c r="BV3" s="26">
        <f>资产资本表!BV19</f>
        <v>7564970.96</v>
      </c>
      <c r="BW3" s="26">
        <f>资产资本表!BW19</f>
        <v>7564970.96</v>
      </c>
      <c r="BX3" s="26">
        <f>资产资本表!BX19</f>
        <v>7016490.8799999999</v>
      </c>
      <c r="BY3" s="26">
        <f>资产资本表!BY19</f>
        <v>7016490.8799999999</v>
      </c>
      <c r="BZ3" s="26">
        <f>资产资本表!BZ19</f>
        <v>29297836.41</v>
      </c>
      <c r="CA3" s="26">
        <f>资产资本表!CA19</f>
        <v>29216725.93</v>
      </c>
      <c r="CB3" s="26">
        <f>资产资本表!CB19</f>
        <v>29160000</v>
      </c>
      <c r="CC3" s="26">
        <f>资产资本表!CC19</f>
        <v>29722938.120000001</v>
      </c>
      <c r="CD3" s="26">
        <f>资产资本表!CD19</f>
        <v>26390000</v>
      </c>
      <c r="CE3" s="26">
        <f>资产资本表!CE19</f>
        <v>26590270.449999999</v>
      </c>
      <c r="CF3" s="26">
        <f>资产资本表!CF19</f>
        <v>24565328.440000001</v>
      </c>
      <c r="CG3" s="26">
        <f>资产资本表!CG19</f>
        <v>0</v>
      </c>
      <c r="CH3" s="26">
        <f>资产资本表!CH19</f>
        <v>0</v>
      </c>
      <c r="CI3" s="26">
        <f>资产资本表!CI19</f>
        <v>0</v>
      </c>
      <c r="CJ3" s="26">
        <f>资产资本表!CJ19</f>
        <v>0</v>
      </c>
      <c r="CK3" s="26">
        <f>资产资本表!CK19</f>
        <v>0</v>
      </c>
    </row>
    <row r="4" spans="1:90" s="26" customFormat="1">
      <c r="A4" s="17" t="s">
        <v>557</v>
      </c>
      <c r="E4" s="26">
        <f>资产资本表!E50</f>
        <v>-967677660.50000095</v>
      </c>
      <c r="F4" s="26">
        <f>资产资本表!F50</f>
        <v>-801948184.0899992</v>
      </c>
      <c r="G4" s="26">
        <f>资产资本表!G50</f>
        <v>124240979.93000031</v>
      </c>
      <c r="H4" s="26">
        <f>资产资本表!H50</f>
        <v>407748499.83000088</v>
      </c>
      <c r="I4" s="26">
        <f>资产资本表!I50</f>
        <v>-1156521867.8199997</v>
      </c>
      <c r="J4" s="26">
        <f>资产资本表!J50</f>
        <v>-547103967.65000057</v>
      </c>
      <c r="K4" s="26">
        <f>资产资本表!K50</f>
        <v>476647258</v>
      </c>
      <c r="L4" s="26">
        <f>资产资本表!L50</f>
        <v>69402741.039999962</v>
      </c>
      <c r="M4" s="26">
        <f>资产资本表!M50</f>
        <v>-1854043722</v>
      </c>
      <c r="N4" s="26">
        <f>资产资本表!N50</f>
        <v>-293448911.54999971</v>
      </c>
      <c r="O4" s="26">
        <f>资产资本表!O50</f>
        <v>280833532</v>
      </c>
      <c r="P4" s="26">
        <f>资产资本表!P50</f>
        <v>-39908694.049999237</v>
      </c>
      <c r="Q4" s="26">
        <f>资产资本表!Q50</f>
        <v>362364462</v>
      </c>
      <c r="R4" s="26">
        <f>资产资本表!R50</f>
        <v>430783910.51000023</v>
      </c>
      <c r="S4" s="26">
        <f>资产资本表!S50</f>
        <v>216920846</v>
      </c>
      <c r="T4" s="26">
        <f>资产资本表!T50</f>
        <v>252518587.07999992</v>
      </c>
      <c r="U4" s="26">
        <f>资产资本表!U50</f>
        <v>8437778</v>
      </c>
      <c r="V4" s="26">
        <f>资产资本表!V50</f>
        <v>673068471</v>
      </c>
      <c r="W4" s="26">
        <f>资产资本表!W50</f>
        <v>317686036</v>
      </c>
      <c r="X4" s="26">
        <f>资产资本表!X50</f>
        <v>393565817.28999972</v>
      </c>
      <c r="Y4" s="26">
        <f>资产资本表!Y50</f>
        <v>307344207</v>
      </c>
      <c r="Z4" s="26">
        <f>资产资本表!Z50</f>
        <v>740662834</v>
      </c>
      <c r="AA4" s="26">
        <f>资产资本表!AA50</f>
        <v>610894785</v>
      </c>
      <c r="AB4" s="26">
        <f>资产资本表!AB50</f>
        <v>216637428.80999994</v>
      </c>
      <c r="AC4" s="26">
        <f>资产资本表!AC50</f>
        <v>287594810</v>
      </c>
      <c r="AD4" s="26">
        <f>资产资本表!AD50</f>
        <v>229067601.52999973</v>
      </c>
      <c r="AE4" s="26">
        <f>资产资本表!AE50</f>
        <v>268860262</v>
      </c>
      <c r="AF4" s="26">
        <f>资产资本表!AF50</f>
        <v>129903909.18999982</v>
      </c>
      <c r="AG4" s="26">
        <f>资产资本表!AG50</f>
        <v>-125447579</v>
      </c>
      <c r="AH4" s="26">
        <f>资产资本表!AH50</f>
        <v>239740152.83999991</v>
      </c>
      <c r="AI4" s="26">
        <f>资产资本表!AI50</f>
        <v>92884912.449999928</v>
      </c>
      <c r="AJ4" s="26">
        <f>资产资本表!AJ50</f>
        <v>134910390.32000005</v>
      </c>
      <c r="AK4" s="26">
        <f>资产资本表!AK50</f>
        <v>-113966091.47000003</v>
      </c>
      <c r="AL4" s="26">
        <f>资产资本表!AL50</f>
        <v>-196394255.98000014</v>
      </c>
      <c r="AM4" s="26">
        <f>资产资本表!AM50</f>
        <v>-150218391.84000003</v>
      </c>
      <c r="AN4" s="26">
        <f>资产资本表!AN50</f>
        <v>-73983306.860000014</v>
      </c>
      <c r="AO4" s="26">
        <f>资产资本表!AO50</f>
        <v>-48474019.860000014</v>
      </c>
      <c r="AP4" s="26">
        <f>资产资本表!AP50</f>
        <v>216832183.69999993</v>
      </c>
      <c r="AQ4" s="26">
        <f>资产资本表!AQ50</f>
        <v>422192966.77999985</v>
      </c>
      <c r="AR4" s="26">
        <f>资产资本表!AR50</f>
        <v>604101707.89999986</v>
      </c>
      <c r="AS4" s="26">
        <f>资产资本表!AS50</f>
        <v>462522057.86999995</v>
      </c>
      <c r="AT4" s="26">
        <f>资产资本表!AT50</f>
        <v>374340214.52999997</v>
      </c>
      <c r="AU4" s="26">
        <f>资产资本表!AU50</f>
        <v>344021710.82999998</v>
      </c>
      <c r="AV4" s="26">
        <f>资产资本表!AV50</f>
        <v>355967319.96000004</v>
      </c>
      <c r="AW4" s="26">
        <f>资产资本表!AW50</f>
        <v>403599683.05000001</v>
      </c>
      <c r="AX4" s="26">
        <f>资产资本表!AX50</f>
        <v>382704446.06999993</v>
      </c>
      <c r="AY4" s="26">
        <f>资产资本表!AY50</f>
        <v>452898658.90000004</v>
      </c>
      <c r="AZ4" s="26">
        <f>资产资本表!AZ50</f>
        <v>396840364.33999997</v>
      </c>
      <c r="BA4" s="26">
        <f>资产资本表!BA50</f>
        <v>445897156.29999989</v>
      </c>
      <c r="BB4" s="26">
        <f>资产资本表!BB50</f>
        <v>412590145.04999995</v>
      </c>
      <c r="BC4" s="26">
        <f>资产资本表!BC50</f>
        <v>431207627.33000004</v>
      </c>
      <c r="BD4" s="26">
        <f>资产资本表!BD50</f>
        <v>463536408.04000002</v>
      </c>
      <c r="BE4" s="26">
        <f>资产资本表!BE50</f>
        <v>408385576.31000006</v>
      </c>
      <c r="BF4" s="26">
        <f>资产资本表!BF50</f>
        <v>455372481.09999996</v>
      </c>
      <c r="BG4" s="26">
        <f>资产资本表!BG50</f>
        <v>395106343.08000004</v>
      </c>
      <c r="BH4" s="26">
        <f>资产资本表!BH50</f>
        <v>325654437.92999995</v>
      </c>
      <c r="BI4" s="26">
        <f>资产资本表!BI50</f>
        <v>320145724.59000003</v>
      </c>
      <c r="BJ4" s="26">
        <f>资产资本表!BJ50</f>
        <v>280420113.79000002</v>
      </c>
      <c r="BK4" s="26">
        <f>资产资本表!BK50</f>
        <v>267744625.59000006</v>
      </c>
      <c r="BL4" s="26">
        <f>资产资本表!BL50</f>
        <v>241228168.29999998</v>
      </c>
      <c r="BM4" s="26">
        <f>资产资本表!BM50</f>
        <v>221137056.56999999</v>
      </c>
      <c r="BN4" s="26">
        <f>资产资本表!BN50</f>
        <v>575553459.80000007</v>
      </c>
      <c r="BO4" s="26">
        <f>资产资本表!BO50</f>
        <v>263609313.97999999</v>
      </c>
      <c r="BP4" s="26">
        <f>资产资本表!BP50</f>
        <v>236995502.77000004</v>
      </c>
      <c r="BQ4" s="26">
        <f>资产资本表!BQ50</f>
        <v>227856361.63000003</v>
      </c>
      <c r="BR4" s="26">
        <f>资产资本表!BR50</f>
        <v>265230554.06</v>
      </c>
      <c r="BS4" s="26">
        <f>资产资本表!BS50</f>
        <v>262558633.85000002</v>
      </c>
      <c r="BT4" s="26">
        <f>资产资本表!BT50</f>
        <v>242476704.78999996</v>
      </c>
      <c r="BU4" s="26">
        <f>资产资本表!BU50</f>
        <v>221149523.5</v>
      </c>
      <c r="BV4" s="26">
        <f>资产资本表!BV50</f>
        <v>186906869.58000001</v>
      </c>
      <c r="BW4" s="26">
        <f>资产资本表!BW50</f>
        <v>144134098.90999997</v>
      </c>
      <c r="BX4" s="26">
        <f>资产资本表!BX50</f>
        <v>253745968.43000001</v>
      </c>
      <c r="BY4" s="26">
        <f>资产资本表!BY50</f>
        <v>237199013.87</v>
      </c>
      <c r="BZ4" s="26">
        <f>资产资本表!BZ50</f>
        <v>0</v>
      </c>
      <c r="CA4" s="26">
        <f>资产资本表!CA50</f>
        <v>198427409.82999998</v>
      </c>
      <c r="CB4" s="26">
        <f>资产资本表!CB50</f>
        <v>0</v>
      </c>
      <c r="CC4" s="26">
        <f>资产资本表!CC50</f>
        <v>80658516.559999987</v>
      </c>
      <c r="CD4" s="26">
        <f>资产资本表!CD50</f>
        <v>0</v>
      </c>
      <c r="CE4" s="26">
        <f>资产资本表!CE50</f>
        <v>57196819.290000007</v>
      </c>
      <c r="CF4" s="26">
        <f>资产资本表!CF50</f>
        <v>85802431.019999996</v>
      </c>
      <c r="CG4" s="26">
        <f>资产资本表!CG50</f>
        <v>0</v>
      </c>
      <c r="CH4" s="26">
        <f>资产资本表!CH50</f>
        <v>0</v>
      </c>
      <c r="CI4" s="26">
        <f>资产资本表!CI50</f>
        <v>0</v>
      </c>
      <c r="CJ4" s="26">
        <f>资产资本表!CJ50</f>
        <v>0</v>
      </c>
      <c r="CK4" s="26">
        <f>资产资本表!CK50</f>
        <v>0</v>
      </c>
    </row>
    <row r="5" spans="1:90" s="26" customFormat="1">
      <c r="A5" s="17" t="s">
        <v>334</v>
      </c>
      <c r="E5" s="26">
        <f>资产资本表!E33</f>
        <v>6998216536.8999996</v>
      </c>
      <c r="F5" s="26">
        <f>资产资本表!F33</f>
        <v>6416311151.6199999</v>
      </c>
      <c r="G5" s="26">
        <f>资产资本表!G33</f>
        <v>5586304165.5800009</v>
      </c>
      <c r="H5" s="26">
        <f>资产资本表!H33</f>
        <v>5310228347.8100004</v>
      </c>
      <c r="I5" s="26">
        <f>资产资本表!I33</f>
        <v>4952729083.1199999</v>
      </c>
      <c r="J5" s="26">
        <f>资产资本表!J33</f>
        <v>4753311523.6999998</v>
      </c>
      <c r="K5" s="26">
        <f>资产资本表!K33</f>
        <v>4326424456</v>
      </c>
      <c r="L5" s="26">
        <f>资产资本表!L33</f>
        <v>4271871159.8099995</v>
      </c>
      <c r="M5" s="26">
        <f>资产资本表!M33</f>
        <v>3919272912</v>
      </c>
      <c r="N5" s="26">
        <f>资产资本表!N33</f>
        <v>4190187441.9500003</v>
      </c>
      <c r="O5" s="26">
        <f>资产资本表!O33</f>
        <v>4312387183</v>
      </c>
      <c r="P5" s="26">
        <f>资产资本表!P33</f>
        <v>4226032117.1600003</v>
      </c>
      <c r="Q5" s="26">
        <f>资产资本表!Q33</f>
        <v>4342033198</v>
      </c>
      <c r="R5" s="26">
        <f>资产资本表!R33</f>
        <v>4863799178.2799997</v>
      </c>
      <c r="S5" s="26">
        <f>资产资本表!S33</f>
        <v>1964160000</v>
      </c>
      <c r="T5" s="26">
        <f>资产资本表!T33</f>
        <v>1766273643.6500001</v>
      </c>
      <c r="U5" s="26">
        <f>资产资本表!U33</f>
        <v>1887045411</v>
      </c>
      <c r="V5" s="26">
        <f>资产资本表!V33</f>
        <v>2180410062</v>
      </c>
      <c r="W5" s="26">
        <f>资产资本表!W33</f>
        <v>1753629246</v>
      </c>
      <c r="X5" s="26">
        <f>资产资本表!X33</f>
        <v>1822067445.76</v>
      </c>
      <c r="Y5" s="26">
        <f>资产资本表!Y33</f>
        <v>1719104066</v>
      </c>
      <c r="Z5" s="26">
        <f>资产资本表!Z33</f>
        <v>2090913680</v>
      </c>
      <c r="AA5" s="26">
        <f>资产资本表!AA33</f>
        <v>1938141704</v>
      </c>
      <c r="AB5" s="26">
        <f>资产资本表!AB33</f>
        <v>1508773675.76</v>
      </c>
      <c r="AC5" s="26">
        <f>资产资本表!AC33</f>
        <v>1668562801</v>
      </c>
      <c r="AD5" s="26">
        <f>资产资本表!AD33</f>
        <v>1598945118.9599998</v>
      </c>
      <c r="AE5" s="26">
        <f>资产资本表!AE33</f>
        <v>1590762599</v>
      </c>
      <c r="AF5" s="26">
        <f>资产资本表!AF33</f>
        <v>1560041875.4199998</v>
      </c>
      <c r="AG5" s="26">
        <f>资产资本表!AG33</f>
        <v>1460754481</v>
      </c>
      <c r="AH5" s="26">
        <f>资产资本表!AH33</f>
        <v>1255007358.46</v>
      </c>
      <c r="AI5" s="26">
        <f>资产资本表!AI33</f>
        <v>1065068784.0699999</v>
      </c>
      <c r="AJ5" s="26">
        <f>资产资本表!AJ33</f>
        <v>857100757.64999998</v>
      </c>
      <c r="AK5" s="26">
        <f>资产资本表!AK33</f>
        <v>700789646.08999991</v>
      </c>
      <c r="AL5" s="26">
        <f>资产资本表!AL33</f>
        <v>732154629.10000002</v>
      </c>
      <c r="AM5" s="26">
        <f>资产资本表!AM33</f>
        <v>674459745.45000005</v>
      </c>
      <c r="AN5" s="26">
        <f>资产资本表!AN33</f>
        <v>603768649.71000004</v>
      </c>
      <c r="AO5" s="26">
        <f>资产资本表!AO33</f>
        <v>700000339.52999997</v>
      </c>
      <c r="AP5" s="26">
        <f>资产资本表!AP33</f>
        <v>1130710044.6399999</v>
      </c>
      <c r="AQ5" s="26">
        <f>资产资本表!AQ33</f>
        <v>1124974024.1099999</v>
      </c>
      <c r="AR5" s="26">
        <f>资产资本表!AR33</f>
        <v>1108723311.4099998</v>
      </c>
      <c r="AS5" s="26">
        <f>资产资本表!AS33</f>
        <v>969613361.01999998</v>
      </c>
      <c r="AT5" s="26">
        <f>资产资本表!AT33</f>
        <v>811874026.26999998</v>
      </c>
      <c r="AU5" s="26">
        <f>资产资本表!AU33</f>
        <v>722676858.78999996</v>
      </c>
      <c r="AV5" s="26">
        <f>资产资本表!AV33</f>
        <v>678215248.68000007</v>
      </c>
      <c r="AW5" s="26">
        <f>资产资本表!AW33</f>
        <v>709069787.47000003</v>
      </c>
      <c r="AX5" s="26">
        <f>资产资本表!AX33</f>
        <v>642864587.53999996</v>
      </c>
      <c r="AY5" s="26">
        <f>资产资本表!AY33</f>
        <v>713421190.85000002</v>
      </c>
      <c r="AZ5" s="26">
        <f>资产资本表!AZ33</f>
        <v>616163465.17999995</v>
      </c>
      <c r="BA5" s="26">
        <f>资产资本表!BA33</f>
        <v>656447483.08999991</v>
      </c>
      <c r="BB5" s="26">
        <f>资产资本表!BB33</f>
        <v>552412543.26999998</v>
      </c>
      <c r="BC5" s="26">
        <f>资产资本表!BC33</f>
        <v>627656887.99000001</v>
      </c>
      <c r="BD5" s="26">
        <f>资产资本表!BD33</f>
        <v>648054703.35000002</v>
      </c>
      <c r="BE5" s="26">
        <f>资产资本表!BE33</f>
        <v>675624229.69000006</v>
      </c>
      <c r="BF5" s="26">
        <f>资产资本表!BF33</f>
        <v>624703825.03999996</v>
      </c>
      <c r="BG5" s="26">
        <f>资产资本表!BG33</f>
        <v>591040448.36000001</v>
      </c>
      <c r="BH5" s="26">
        <f>资产资本表!BH33</f>
        <v>479850588.79999995</v>
      </c>
      <c r="BI5" s="26">
        <f>资产资本表!BI33</f>
        <v>456953856.68000001</v>
      </c>
      <c r="BJ5" s="26">
        <f>资产资本表!BJ33</f>
        <v>418208686.69</v>
      </c>
      <c r="BK5" s="26">
        <f>资产资本表!BK33</f>
        <v>372626612.93000007</v>
      </c>
      <c r="BL5" s="26">
        <f>资产资本表!BL33</f>
        <v>346589307.75999999</v>
      </c>
      <c r="BM5" s="26">
        <f>资产资本表!BM33</f>
        <v>299402273.56999999</v>
      </c>
      <c r="BN5" s="26">
        <f>资产资本表!BN33</f>
        <v>625229833.71000004</v>
      </c>
      <c r="BO5" s="26">
        <f>资产资本表!BO33</f>
        <v>327292931.51999998</v>
      </c>
      <c r="BP5" s="26">
        <f>资产资本表!BP33</f>
        <v>277425370.10000002</v>
      </c>
      <c r="BQ5" s="26">
        <f>资产资本表!BQ33</f>
        <v>260484317.41000003</v>
      </c>
      <c r="BR5" s="26">
        <f>资产资本表!BR33</f>
        <v>319123806.00999999</v>
      </c>
      <c r="BS5" s="26">
        <f>资产资本表!BS33</f>
        <v>327421197.92000002</v>
      </c>
      <c r="BT5" s="26">
        <f>资产资本表!BT33</f>
        <v>291039113.51999998</v>
      </c>
      <c r="BU5" s="26">
        <f>资产资本表!BU33</f>
        <v>253994846.80000001</v>
      </c>
      <c r="BV5" s="26">
        <f>资产资本表!BV33</f>
        <v>239198496.55000001</v>
      </c>
      <c r="BW5" s="26">
        <f>资产资本表!BW33</f>
        <v>162751505.20999998</v>
      </c>
      <c r="BX5" s="26">
        <f>资产资本表!BX33</f>
        <v>266283516.17000002</v>
      </c>
      <c r="BY5" s="26">
        <f>资产资本表!BY33</f>
        <v>269111531.12</v>
      </c>
      <c r="BZ5" s="26">
        <f>资产资本表!BZ33</f>
        <v>0</v>
      </c>
      <c r="CA5" s="26">
        <f>资产资本表!CA33</f>
        <v>227764186.59999999</v>
      </c>
      <c r="CB5" s="26">
        <f>资产资本表!CB33</f>
        <v>0</v>
      </c>
      <c r="CC5" s="26">
        <f>资产资本表!CC33</f>
        <v>111411198.04999998</v>
      </c>
      <c r="CD5" s="26">
        <f>资产资本表!CD33</f>
        <v>0</v>
      </c>
      <c r="CE5" s="26">
        <f>资产资本表!CE33</f>
        <v>83071282.260000005</v>
      </c>
      <c r="CF5" s="26">
        <f>资产资本表!CF33</f>
        <v>106997206.34</v>
      </c>
      <c r="CG5" s="26">
        <f>资产资本表!CG33</f>
        <v>0</v>
      </c>
      <c r="CH5" s="26">
        <f>资产资本表!CH33</f>
        <v>0</v>
      </c>
      <c r="CI5" s="26">
        <f>资产资本表!CI33</f>
        <v>0</v>
      </c>
      <c r="CJ5" s="26">
        <f>资产资本表!CJ33</f>
        <v>0</v>
      </c>
      <c r="CK5" s="26">
        <f>资产资本表!CK33</f>
        <v>0</v>
      </c>
      <c r="CL5" s="26">
        <f>资产资本表!CL33</f>
        <v>0</v>
      </c>
    </row>
    <row r="6" spans="1:90" s="26" customFormat="1">
      <c r="A6" s="17" t="s">
        <v>335</v>
      </c>
      <c r="E6" s="26">
        <f>资产资本表!E49</f>
        <v>7965894197.4000006</v>
      </c>
      <c r="F6" s="26">
        <f>资产资本表!F49</f>
        <v>7218259335.7099991</v>
      </c>
      <c r="G6" s="26">
        <f>资产资本表!G49</f>
        <v>5462063185.6500006</v>
      </c>
      <c r="H6" s="26">
        <f>资产资本表!H49</f>
        <v>4902479847.9799995</v>
      </c>
      <c r="I6" s="26">
        <f>资产资本表!I49</f>
        <v>6109250950.9399996</v>
      </c>
      <c r="J6" s="26">
        <f>资产资本表!J49</f>
        <v>5300415491.3500004</v>
      </c>
      <c r="K6" s="26">
        <f>资产资本表!K49</f>
        <v>3849777198</v>
      </c>
      <c r="L6" s="26">
        <f>资产资本表!L49</f>
        <v>4202468418.7699995</v>
      </c>
      <c r="M6" s="26">
        <f>资产资本表!M49</f>
        <v>5773316634</v>
      </c>
      <c r="N6" s="26">
        <f>资产资本表!N49</f>
        <v>4483636353.5</v>
      </c>
      <c r="O6" s="26">
        <f>资产资本表!O49</f>
        <v>4031553651</v>
      </c>
      <c r="P6" s="26">
        <f>资产资本表!P49</f>
        <v>4265940811.2099996</v>
      </c>
      <c r="Q6" s="26">
        <f>资产资本表!Q49</f>
        <v>3979668736</v>
      </c>
      <c r="R6" s="26">
        <f>资产资本表!R49</f>
        <v>4433015267.7699995</v>
      </c>
      <c r="S6" s="26">
        <f>资产资本表!S49</f>
        <v>1747239154</v>
      </c>
      <c r="T6" s="26">
        <f>资产资本表!T49</f>
        <v>1513755056.5700002</v>
      </c>
      <c r="U6" s="26">
        <f>资产资本表!U49</f>
        <v>1878607633</v>
      </c>
      <c r="V6" s="26">
        <f>资产资本表!V49</f>
        <v>1507341591</v>
      </c>
      <c r="W6" s="26">
        <f>资产资本表!W49</f>
        <v>1435943210</v>
      </c>
      <c r="X6" s="26">
        <f>资产资本表!X49</f>
        <v>1428501628.4700003</v>
      </c>
      <c r="Y6" s="26">
        <f>资产资本表!Y49</f>
        <v>1411759859</v>
      </c>
      <c r="Z6" s="26">
        <f>资产资本表!Z49</f>
        <v>1350250846</v>
      </c>
      <c r="AA6" s="26">
        <f>资产资本表!AA49</f>
        <v>1327246919</v>
      </c>
      <c r="AB6" s="26">
        <f>资产资本表!AB49</f>
        <v>1292136246.95</v>
      </c>
      <c r="AC6" s="26">
        <f>资产资本表!AC49</f>
        <v>1380967991</v>
      </c>
      <c r="AD6" s="26">
        <f>资产资本表!AD49</f>
        <v>1369877517.4300001</v>
      </c>
      <c r="AE6" s="26">
        <f>资产资本表!AE49</f>
        <v>1321902337</v>
      </c>
      <c r="AF6" s="26">
        <f>资产资本表!AF49</f>
        <v>1430137966.23</v>
      </c>
      <c r="AG6" s="26">
        <f>资产资本表!AG49</f>
        <v>1586202060</v>
      </c>
      <c r="AH6" s="26">
        <f>资产资本表!AH49</f>
        <v>1015267205.6200001</v>
      </c>
      <c r="AI6" s="26">
        <f>资产资本表!AI49</f>
        <v>972183871.62</v>
      </c>
      <c r="AJ6" s="26">
        <f>资产资本表!AJ49</f>
        <v>722190367.32999992</v>
      </c>
      <c r="AK6" s="26">
        <f>资产资本表!AK49</f>
        <v>814755737.55999994</v>
      </c>
      <c r="AL6" s="26">
        <f>资产资本表!AL49</f>
        <v>928548885.08000016</v>
      </c>
      <c r="AM6" s="26">
        <f>资产资本表!AM49</f>
        <v>824678137.29000008</v>
      </c>
      <c r="AN6" s="26">
        <f>资产资本表!AN49</f>
        <v>677751956.57000005</v>
      </c>
      <c r="AO6" s="26">
        <f>资产资本表!AO49</f>
        <v>748474359.38999999</v>
      </c>
      <c r="AP6" s="26">
        <f>资产资本表!AP49</f>
        <v>913877860.93999994</v>
      </c>
      <c r="AQ6" s="26">
        <f>资产资本表!AQ49</f>
        <v>702781057.33000004</v>
      </c>
      <c r="AR6" s="26">
        <f>资产资本表!AR49</f>
        <v>504621603.50999999</v>
      </c>
      <c r="AS6" s="26">
        <f>资产资本表!AS49</f>
        <v>507091303.15000004</v>
      </c>
      <c r="AT6" s="26">
        <f>资产资本表!AT49</f>
        <v>437533811.74000001</v>
      </c>
      <c r="AU6" s="26">
        <f>资产资本表!AU49</f>
        <v>378655147.95999998</v>
      </c>
      <c r="AV6" s="26">
        <f>资产资本表!AV49</f>
        <v>322247928.72000003</v>
      </c>
      <c r="AW6" s="26">
        <f>资产资本表!AW49</f>
        <v>305470104.42000002</v>
      </c>
      <c r="AX6" s="26">
        <f>资产资本表!AX49</f>
        <v>260160141.47</v>
      </c>
      <c r="AY6" s="26">
        <f>资产资本表!AY49</f>
        <v>260522531.94999999</v>
      </c>
      <c r="AZ6" s="26">
        <f>资产资本表!AZ49</f>
        <v>219323100.83999997</v>
      </c>
      <c r="BA6" s="26">
        <f>资产资本表!BA49</f>
        <v>210550326.79000002</v>
      </c>
      <c r="BB6" s="26">
        <f>资产资本表!BB49</f>
        <v>139822398.22000003</v>
      </c>
      <c r="BC6" s="26">
        <f>资产资本表!BC49</f>
        <v>196449260.66</v>
      </c>
      <c r="BD6" s="26">
        <f>资产资本表!BD49</f>
        <v>184518295.31</v>
      </c>
      <c r="BE6" s="26">
        <f>资产资本表!BE49</f>
        <v>267238653.38</v>
      </c>
      <c r="BF6" s="26">
        <f>资产资本表!BF49</f>
        <v>169331343.94</v>
      </c>
      <c r="BG6" s="26">
        <f>资产资本表!BG49</f>
        <v>195934105.28</v>
      </c>
      <c r="BH6" s="26">
        <f>资产资本表!BH49</f>
        <v>154196150.87</v>
      </c>
      <c r="BI6" s="26">
        <f>资产资本表!BI49</f>
        <v>136808132.08999997</v>
      </c>
      <c r="BJ6" s="26">
        <f>资产资本表!BJ49</f>
        <v>137788572.89999998</v>
      </c>
      <c r="BK6" s="26">
        <f>资产资本表!BK49</f>
        <v>104881987.34</v>
      </c>
      <c r="BL6" s="26">
        <f>资产资本表!BL49</f>
        <v>105361139.46000001</v>
      </c>
      <c r="BM6" s="26">
        <f>资产资本表!BM49</f>
        <v>78265217</v>
      </c>
      <c r="BN6" s="26">
        <f>资产资本表!BN49</f>
        <v>49676373.910000004</v>
      </c>
      <c r="BO6" s="26">
        <f>资产资本表!BO49</f>
        <v>63683617.539999992</v>
      </c>
      <c r="BP6" s="26">
        <f>资产资本表!BP49</f>
        <v>40429867.329999991</v>
      </c>
      <c r="BQ6" s="26">
        <f>资产资本表!BQ49</f>
        <v>32627955.780000001</v>
      </c>
      <c r="BR6" s="26">
        <f>资产资本表!BR49</f>
        <v>53893251.950000003</v>
      </c>
      <c r="BS6" s="26">
        <f>资产资本表!BS49</f>
        <v>64862564.07</v>
      </c>
      <c r="BT6" s="26">
        <f>资产资本表!BT49</f>
        <v>48562408.730000004</v>
      </c>
      <c r="BU6" s="26">
        <f>资产资本表!BU49</f>
        <v>32845323.300000001</v>
      </c>
      <c r="BV6" s="26">
        <f>资产资本表!BV49</f>
        <v>52291626.969999999</v>
      </c>
      <c r="BW6" s="26">
        <f>资产资本表!BW49</f>
        <v>18617406.299999997</v>
      </c>
      <c r="BX6" s="26">
        <f>资产资本表!BX49</f>
        <v>12537547.74</v>
      </c>
      <c r="BY6" s="26">
        <f>资产资本表!BY49</f>
        <v>31912517.249999996</v>
      </c>
      <c r="BZ6" s="26">
        <f>资产资本表!BZ49</f>
        <v>0</v>
      </c>
      <c r="CA6" s="26">
        <f>资产资本表!CA49</f>
        <v>29336776.770000003</v>
      </c>
      <c r="CB6" s="26">
        <f>资产资本表!CB49</f>
        <v>0</v>
      </c>
      <c r="CC6" s="26">
        <f>资产资本表!CC49</f>
        <v>30752681.489999998</v>
      </c>
      <c r="CD6" s="26">
        <f>资产资本表!CD49</f>
        <v>0</v>
      </c>
      <c r="CE6" s="26">
        <f>资产资本表!CE49</f>
        <v>25874462.969999995</v>
      </c>
      <c r="CF6" s="26">
        <f>资产资本表!CF49</f>
        <v>21194775.320000004</v>
      </c>
      <c r="CG6" s="26">
        <f>资产资本表!CG49</f>
        <v>0</v>
      </c>
      <c r="CH6" s="26">
        <f>资产资本表!CH49</f>
        <v>0</v>
      </c>
      <c r="CI6" s="26">
        <f>资产资本表!CI49</f>
        <v>0</v>
      </c>
      <c r="CJ6" s="26">
        <f>资产资本表!CJ49</f>
        <v>0</v>
      </c>
      <c r="CK6" s="26">
        <f>资产资本表!CK49</f>
        <v>0</v>
      </c>
      <c r="CL6" s="26">
        <f>资产资本表!CL49</f>
        <v>0</v>
      </c>
    </row>
    <row r="7" spans="1:90" s="26" customFormat="1">
      <c r="A7" s="17" t="s">
        <v>336</v>
      </c>
      <c r="E7" s="26">
        <f>资产资本表!E68</f>
        <v>17979439545.629997</v>
      </c>
      <c r="F7" s="26">
        <f>资产资本表!F68</f>
        <v>17275673182.619999</v>
      </c>
      <c r="G7" s="26">
        <f>资产资本表!G68</f>
        <v>16212092731.49</v>
      </c>
      <c r="H7" s="26">
        <f>资产资本表!H68</f>
        <v>15004693768.980001</v>
      </c>
      <c r="I7" s="26">
        <f>资产资本表!I68</f>
        <v>11859660776.600002</v>
      </c>
      <c r="J7" s="26">
        <f>资产资本表!J68</f>
        <v>10952660553.200001</v>
      </c>
      <c r="K7" s="26">
        <f>资产资本表!K68</f>
        <v>10282920094</v>
      </c>
      <c r="L7" s="26">
        <f>资产资本表!L68</f>
        <v>10107441140.140003</v>
      </c>
      <c r="M7" s="26">
        <f>资产资本表!M68</f>
        <v>9991098352</v>
      </c>
      <c r="N7" s="26">
        <f>资产资本表!N68</f>
        <v>10013081556.679998</v>
      </c>
      <c r="O7" s="26">
        <f>资产资本表!O68</f>
        <v>10016128783</v>
      </c>
      <c r="P7" s="26">
        <f>资产资本表!P68</f>
        <v>9970453108.6800003</v>
      </c>
      <c r="Q7" s="26">
        <f>资产资本表!Q68</f>
        <v>10121297801</v>
      </c>
      <c r="R7" s="26">
        <f>资产资本表!R68</f>
        <v>10274222589.23</v>
      </c>
      <c r="S7" s="26">
        <f>资产资本表!S68</f>
        <v>4749636104</v>
      </c>
      <c r="T7" s="26">
        <f>资产资本表!T68</f>
        <v>4826317759.04</v>
      </c>
      <c r="U7" s="26">
        <f>资产资本表!U68</f>
        <v>4910395414</v>
      </c>
      <c r="V7" s="26">
        <f>资产资本表!V68</f>
        <v>5060905467</v>
      </c>
      <c r="W7" s="26">
        <f>资产资本表!W68</f>
        <v>5195058539</v>
      </c>
      <c r="X7" s="26">
        <f>资产资本表!X68</f>
        <v>5305250359.1300001</v>
      </c>
      <c r="Y7" s="26">
        <f>资产资本表!Y68</f>
        <v>5410423543</v>
      </c>
      <c r="Z7" s="26">
        <f>资产资本表!Z68</f>
        <v>5253693297</v>
      </c>
      <c r="AA7" s="26">
        <f>资产资本表!AA68</f>
        <v>5331148907</v>
      </c>
      <c r="AB7" s="26">
        <f>资产资本表!AB68</f>
        <v>5397880008.8100023</v>
      </c>
      <c r="AC7" s="26">
        <f>资产资本表!AC68</f>
        <v>5490391736</v>
      </c>
      <c r="AD7" s="26">
        <f>资产资本表!AD68</f>
        <v>5340239391.0699997</v>
      </c>
      <c r="AE7" s="26">
        <f>资产资本表!AE68</f>
        <v>5402080602</v>
      </c>
      <c r="AF7" s="26">
        <f>资产资本表!AF68</f>
        <v>5429906012.6300001</v>
      </c>
      <c r="AG7" s="26">
        <f>资产资本表!AG68</f>
        <v>5440685019</v>
      </c>
      <c r="AH7" s="26">
        <f>资产资本表!AH68</f>
        <v>5286604339.0500002</v>
      </c>
      <c r="AI7" s="26">
        <f>资产资本表!AI68</f>
        <v>5054322378.8399992</v>
      </c>
      <c r="AJ7" s="26">
        <f>资产资本表!AJ68</f>
        <v>4967704990.5500002</v>
      </c>
      <c r="AK7" s="26">
        <f>资产资本表!AK68</f>
        <v>4543175421.7299995</v>
      </c>
      <c r="AL7" s="26">
        <f>资产资本表!AL68</f>
        <v>4134285375.9899998</v>
      </c>
      <c r="AM7" s="26">
        <f>资产资本表!AM68</f>
        <v>4072491484.3200002</v>
      </c>
      <c r="AN7" s="26">
        <f>资产资本表!AN68</f>
        <v>3999705791.6300001</v>
      </c>
      <c r="AO7" s="26">
        <f>资产资本表!AO68</f>
        <v>3996399107.8400002</v>
      </c>
      <c r="AP7" s="26">
        <f>资产资本表!AP68</f>
        <v>3676737167.1999998</v>
      </c>
      <c r="AQ7" s="26">
        <f>资产资本表!AQ68</f>
        <v>3330029427.8699994</v>
      </c>
      <c r="AR7" s="26">
        <f>资产资本表!AR68</f>
        <v>2964540950.8500004</v>
      </c>
      <c r="AS7" s="26">
        <f>资产资本表!AS68</f>
        <v>2737212161.5900002</v>
      </c>
      <c r="AT7" s="26">
        <f>资产资本表!AT68</f>
        <v>2343286430.6500001</v>
      </c>
      <c r="AU7" s="26">
        <f>资产资本表!AU68</f>
        <v>1255480708.8900001</v>
      </c>
      <c r="AV7" s="26">
        <f>资产资本表!AV68</f>
        <v>998453716.98000002</v>
      </c>
      <c r="AW7" s="26">
        <f>资产资本表!AW68</f>
        <v>552558864.32000005</v>
      </c>
      <c r="AX7" s="26">
        <f>资产资本表!AX68</f>
        <v>543322800.72000003</v>
      </c>
      <c r="AY7" s="26">
        <f>资产资本表!AY68</f>
        <v>550548574.7299999</v>
      </c>
      <c r="AZ7" s="26">
        <f>资产资本表!AZ68</f>
        <v>563488545.72000003</v>
      </c>
      <c r="BA7" s="26">
        <f>资产资本表!BA68</f>
        <v>575646244.75999987</v>
      </c>
      <c r="BB7" s="26">
        <f>资产资本表!BB68</f>
        <v>586355391.00999999</v>
      </c>
      <c r="BC7" s="26">
        <f>资产资本表!BC68</f>
        <v>597615163.26999998</v>
      </c>
      <c r="BD7" s="26">
        <f>资产资本表!BD68</f>
        <v>609924230.62</v>
      </c>
      <c r="BE7" s="26">
        <f>资产资本表!BE68</f>
        <v>618857137.5400002</v>
      </c>
      <c r="BF7" s="26">
        <f>资产资本表!BF68</f>
        <v>595974055.66999996</v>
      </c>
      <c r="BG7" s="26">
        <f>资产资本表!BG68</f>
        <v>606158223.61000001</v>
      </c>
      <c r="BH7" s="26">
        <f>资产资本表!BH68</f>
        <v>602415825.05000007</v>
      </c>
      <c r="BI7" s="26">
        <f>资产资本表!BI68</f>
        <v>623192779.34000003</v>
      </c>
      <c r="BJ7" s="26">
        <f>资产资本表!BJ68</f>
        <v>581203336.89999998</v>
      </c>
      <c r="BK7" s="26">
        <f>资产资本表!BK68</f>
        <v>571151976.6099999</v>
      </c>
      <c r="BL7" s="26">
        <f>资产资本表!BL68</f>
        <v>533887678.29000008</v>
      </c>
      <c r="BM7" s="26">
        <f>资产资本表!BM68</f>
        <v>530574969.35999995</v>
      </c>
      <c r="BN7" s="26">
        <f>资产资本表!BN68</f>
        <v>266487205.75999999</v>
      </c>
      <c r="BO7" s="26">
        <f>资产资本表!BO68</f>
        <v>253733064.18000004</v>
      </c>
      <c r="BP7" s="26">
        <f>资产资本表!BP68</f>
        <v>242814284.77000001</v>
      </c>
      <c r="BQ7" s="26">
        <f>资产资本表!BQ68</f>
        <v>228276055.34999999</v>
      </c>
      <c r="BR7" s="26">
        <f>资产资本表!BR68</f>
        <v>225536625.93999997</v>
      </c>
      <c r="BS7" s="26">
        <f>资产资本表!BS68</f>
        <v>214794658.21000001</v>
      </c>
      <c r="BT7" s="26">
        <f>资产资本表!BT68</f>
        <v>221512773.78999999</v>
      </c>
      <c r="BU7" s="26">
        <f>资产资本表!BU68</f>
        <v>217254771.89000002</v>
      </c>
      <c r="BV7" s="26">
        <f>资产资本表!BV68</f>
        <v>223944119.79000002</v>
      </c>
      <c r="BW7" s="26">
        <f>资产资本表!BW68</f>
        <v>232272352.60000002</v>
      </c>
      <c r="BX7" s="26">
        <f>资产资本表!BX68</f>
        <v>95397692.190000013</v>
      </c>
      <c r="BY7" s="26">
        <f>资产资本表!BY68</f>
        <v>98455842.080000013</v>
      </c>
      <c r="BZ7" s="26">
        <f>资产资本表!BZ68</f>
        <v>93907953.310000002</v>
      </c>
      <c r="CA7" s="26">
        <f>资产资本表!CA68</f>
        <v>104975543.53999999</v>
      </c>
      <c r="CB7" s="26">
        <f>资产资本表!CB68</f>
        <v>96510000</v>
      </c>
      <c r="CC7" s="26">
        <f>资产资本表!CC68</f>
        <v>105508415.40000001</v>
      </c>
      <c r="CD7" s="26">
        <f>资产资本表!CD68</f>
        <v>102190000</v>
      </c>
      <c r="CE7" s="26">
        <f>资产资本表!CE68</f>
        <v>112360606.42999999</v>
      </c>
      <c r="CF7" s="26">
        <f>资产资本表!CF68</f>
        <v>147224296.02000001</v>
      </c>
      <c r="CG7" s="26">
        <f>资产资本表!CG68</f>
        <v>36293400</v>
      </c>
      <c r="CH7" s="26">
        <f>资产资本表!CH68</f>
        <v>35881300</v>
      </c>
      <c r="CI7" s="26">
        <f>资产资本表!CI68</f>
        <v>0</v>
      </c>
      <c r="CJ7" s="26">
        <f>资产资本表!CJ68</f>
        <v>0</v>
      </c>
      <c r="CK7" s="26">
        <f>资产资本表!CK68</f>
        <v>0</v>
      </c>
    </row>
    <row r="8" spans="1:90" s="26" customFormat="1">
      <c r="A8" s="41" t="s">
        <v>636</v>
      </c>
      <c r="E8" s="26">
        <f>资产资本表!E69</f>
        <v>17011761885.129997</v>
      </c>
      <c r="F8" s="26">
        <f>资产资本表!F69</f>
        <v>16473724998.529999</v>
      </c>
      <c r="G8" s="26">
        <f>资产资本表!G69</f>
        <v>16336333711.42</v>
      </c>
      <c r="H8" s="26">
        <f>资产资本表!H69</f>
        <v>15412442268.810001</v>
      </c>
      <c r="I8" s="26">
        <f>资产资本表!I69</f>
        <v>10703138908.780003</v>
      </c>
      <c r="J8" s="26">
        <f>资产资本表!J69</f>
        <v>10405556585.549999</v>
      </c>
      <c r="K8" s="26">
        <f>资产资本表!K69</f>
        <v>10759567352</v>
      </c>
      <c r="L8" s="26">
        <f>资产资本表!L69</f>
        <v>10176843881.180004</v>
      </c>
      <c r="M8" s="26">
        <f>资产资本表!M69</f>
        <v>8137054630</v>
      </c>
      <c r="N8" s="26">
        <f>资产资本表!N69</f>
        <v>9719632645.1299992</v>
      </c>
      <c r="O8" s="26">
        <f>资产资本表!O69</f>
        <v>10296962315</v>
      </c>
      <c r="P8" s="26">
        <f>资产资本表!P69</f>
        <v>9930544414.6300011</v>
      </c>
      <c r="Q8" s="26">
        <f>资产资本表!Q69</f>
        <v>10483662263</v>
      </c>
      <c r="R8" s="26">
        <f>资产资本表!R69</f>
        <v>10705006499.74</v>
      </c>
      <c r="S8" s="26">
        <f>资产资本表!S69</f>
        <v>4966556950</v>
      </c>
      <c r="T8" s="26">
        <f>资产资本表!T69</f>
        <v>5078836346.1199999</v>
      </c>
      <c r="U8" s="26">
        <f>资产资本表!U69</f>
        <v>4918833192</v>
      </c>
      <c r="V8" s="26">
        <f>资产资本表!V69</f>
        <v>5733973938</v>
      </c>
      <c r="W8" s="26">
        <f>资产资本表!W69</f>
        <v>5512744575</v>
      </c>
      <c r="X8" s="26">
        <f>资产资本表!X69</f>
        <v>5698816176.4200001</v>
      </c>
      <c r="Y8" s="26">
        <f>资产资本表!Y69</f>
        <v>5717767750</v>
      </c>
      <c r="Z8" s="26">
        <f>资产资本表!Z69</f>
        <v>5994356131</v>
      </c>
      <c r="AA8" s="26">
        <f>资产资本表!AA69</f>
        <v>5942043692</v>
      </c>
      <c r="AB8" s="26">
        <f>资产资本表!AB69</f>
        <v>5614517437.6200027</v>
      </c>
      <c r="AC8" s="26">
        <f>资产资本表!AC69</f>
        <v>5777986546</v>
      </c>
      <c r="AD8" s="26">
        <f>资产资本表!AD69</f>
        <v>5569306992.5999994</v>
      </c>
      <c r="AE8" s="26">
        <f>资产资本表!AE69</f>
        <v>5670940864</v>
      </c>
      <c r="AF8" s="26">
        <f>资产资本表!AF69</f>
        <v>5559809921.8199997</v>
      </c>
      <c r="AG8" s="26">
        <f>资产资本表!AG69</f>
        <v>5315237440</v>
      </c>
      <c r="AH8" s="26">
        <f>资产资本表!AH69</f>
        <v>5526344491.8900003</v>
      </c>
      <c r="AI8" s="26">
        <f>资产资本表!AI69</f>
        <v>5147207291.289999</v>
      </c>
      <c r="AJ8" s="26">
        <f>资产资本表!AJ69</f>
        <v>5102615380.8699999</v>
      </c>
      <c r="AK8" s="26">
        <f>资产资本表!AK69</f>
        <v>4429209330.2599993</v>
      </c>
      <c r="AL8" s="26">
        <f>资产资本表!AL69</f>
        <v>3937891120.0099998</v>
      </c>
      <c r="AM8" s="26">
        <f>资产资本表!AM69</f>
        <v>3922273092.48</v>
      </c>
      <c r="AN8" s="26">
        <f>资产资本表!AN69</f>
        <v>3925722484.77</v>
      </c>
      <c r="AO8" s="26">
        <f>资产资本表!AO69</f>
        <v>3947925087.98</v>
      </c>
      <c r="AP8" s="26">
        <f>资产资本表!AP69</f>
        <v>3893569350.8999996</v>
      </c>
      <c r="AQ8" s="26">
        <f>资产资本表!AQ69</f>
        <v>3752222394.6499991</v>
      </c>
      <c r="AR8" s="26">
        <f>资产资本表!AR69</f>
        <v>3568642658.75</v>
      </c>
      <c r="AS8" s="26">
        <f>资产资本表!AS69</f>
        <v>3199734219.46</v>
      </c>
      <c r="AT8" s="26">
        <f>资产资本表!AT69</f>
        <v>2717626645.1800003</v>
      </c>
      <c r="AU8" s="26">
        <f>资产资本表!AU69</f>
        <v>1599502419.72</v>
      </c>
      <c r="AV8" s="26">
        <f>资产资本表!AV69</f>
        <v>1354421036.9400001</v>
      </c>
      <c r="AW8" s="26">
        <f>资产资本表!AW69</f>
        <v>956158547.37000012</v>
      </c>
      <c r="AX8" s="26">
        <f>资产资本表!AX69</f>
        <v>926027246.78999996</v>
      </c>
      <c r="AY8" s="26">
        <f>资产资本表!AY69</f>
        <v>1003447233.6299999</v>
      </c>
      <c r="AZ8" s="26">
        <f>资产资本表!AZ69</f>
        <v>960328910.05999994</v>
      </c>
      <c r="BA8" s="26">
        <f>资产资本表!BA69</f>
        <v>1021543401.0599997</v>
      </c>
      <c r="BB8" s="26">
        <f>资产资本表!BB69</f>
        <v>998945536.05999994</v>
      </c>
      <c r="BC8" s="26">
        <f>资产资本表!BC69</f>
        <v>1028822790.6</v>
      </c>
      <c r="BD8" s="26">
        <f>资产资本表!BD69</f>
        <v>1073460638.6600001</v>
      </c>
      <c r="BE8" s="26">
        <f>资产资本表!BE69</f>
        <v>1027242713.8500003</v>
      </c>
      <c r="BF8" s="26">
        <f>资产资本表!BF69</f>
        <v>1051346536.77</v>
      </c>
      <c r="BG8" s="26">
        <f>资产资本表!BG69</f>
        <v>1001264566.6900001</v>
      </c>
      <c r="BH8" s="26">
        <f>资产资本表!BH69</f>
        <v>928070262.98000002</v>
      </c>
      <c r="BI8" s="26">
        <f>资产资本表!BI69</f>
        <v>943338503.93000007</v>
      </c>
      <c r="BJ8" s="26">
        <f>资产资本表!BJ69</f>
        <v>861623450.69000006</v>
      </c>
      <c r="BK8" s="26">
        <f>资产资本表!BK69</f>
        <v>838896602.19999993</v>
      </c>
      <c r="BL8" s="26">
        <f>资产资本表!BL69</f>
        <v>775115846.59000003</v>
      </c>
      <c r="BM8" s="26">
        <f>资产资本表!BM69</f>
        <v>751712025.92999995</v>
      </c>
      <c r="BN8" s="26">
        <f>资产资本表!BN69</f>
        <v>842040665.56000006</v>
      </c>
      <c r="BO8" s="26">
        <f>资产资本表!BO69</f>
        <v>517342378.16000003</v>
      </c>
      <c r="BP8" s="26">
        <f>资产资本表!BP69</f>
        <v>479809787.54000008</v>
      </c>
      <c r="BQ8" s="26">
        <f>资产资本表!BQ69</f>
        <v>456132416.98000002</v>
      </c>
      <c r="BR8" s="26">
        <f>资产资本表!BR69</f>
        <v>490767180</v>
      </c>
      <c r="BS8" s="26">
        <f>资产资本表!BS69</f>
        <v>477353292.06000006</v>
      </c>
      <c r="BT8" s="26">
        <f>资产资本表!BT69</f>
        <v>463989478.57999992</v>
      </c>
      <c r="BU8" s="26">
        <f>资产资本表!BU69</f>
        <v>438404295.38999999</v>
      </c>
      <c r="BV8" s="26">
        <f>资产资本表!BV69</f>
        <v>410850989.37</v>
      </c>
      <c r="BW8" s="26">
        <f>资产资本表!BW69</f>
        <v>376406451.50999999</v>
      </c>
      <c r="BX8" s="26">
        <f>资产资本表!BX69</f>
        <v>349143660.62</v>
      </c>
      <c r="BY8" s="26">
        <f>资产资本表!BY69</f>
        <v>335654855.95000005</v>
      </c>
      <c r="BZ8" s="26">
        <f>资产资本表!BZ69</f>
        <v>93907953.310000002</v>
      </c>
      <c r="CA8" s="26">
        <f>资产资本表!CA69</f>
        <v>303402953.37</v>
      </c>
      <c r="CB8" s="26">
        <f>资产资本表!CB69</f>
        <v>96510000</v>
      </c>
      <c r="CC8" s="26">
        <f>资产资本表!CC69</f>
        <v>186166931.95999998</v>
      </c>
      <c r="CD8" s="26">
        <f>资产资本表!CD69</f>
        <v>102190000</v>
      </c>
      <c r="CE8" s="26">
        <f>资产资本表!CE69</f>
        <v>169557425.72</v>
      </c>
      <c r="CF8" s="26">
        <f>资产资本表!CF69</f>
        <v>233026727.04000002</v>
      </c>
      <c r="CG8" s="26">
        <f>资产资本表!CG69</f>
        <v>36293400</v>
      </c>
      <c r="CH8" s="26">
        <f>资产资本表!CH69</f>
        <v>35881300</v>
      </c>
      <c r="CI8" s="26">
        <f>资产资本表!CI69</f>
        <v>0</v>
      </c>
      <c r="CJ8" s="26">
        <f>资产资本表!CJ69</f>
        <v>0</v>
      </c>
      <c r="CK8" s="26">
        <f>资产资本表!CK69</f>
        <v>0</v>
      </c>
      <c r="CL8" s="26">
        <f>资产资本表!CL69</f>
        <v>0</v>
      </c>
    </row>
    <row r="9" spans="1:90" s="48" customFormat="1">
      <c r="A9" s="46" t="s">
        <v>638</v>
      </c>
      <c r="E9" s="48">
        <f>资产资本表!E70</f>
        <v>21648020117.869995</v>
      </c>
      <c r="F9" s="48">
        <f>资产资本表!F70</f>
        <v>19977252443.759998</v>
      </c>
      <c r="G9" s="48">
        <f>资产资本表!G70</f>
        <v>19184800950.75</v>
      </c>
      <c r="H9" s="48">
        <f>资产资本表!H70</f>
        <v>17812062616.210003</v>
      </c>
      <c r="I9" s="48">
        <f>资产资本表!I70</f>
        <v>15530717701.450003</v>
      </c>
      <c r="J9" s="48">
        <f>资产资本表!J70</f>
        <v>15832656774.719999</v>
      </c>
      <c r="K9" s="48">
        <f>资产资本表!K70</f>
        <v>15802553578</v>
      </c>
      <c r="L9" s="48">
        <f>资产资本表!L70</f>
        <v>16056035136.870003</v>
      </c>
      <c r="M9" s="48">
        <f>资产资本表!M70</f>
        <v>15814986533</v>
      </c>
      <c r="N9" s="48">
        <f>资产资本表!N70</f>
        <v>12683553041.919998</v>
      </c>
      <c r="O9" s="48">
        <f>资产资本表!O70</f>
        <v>13812215289</v>
      </c>
      <c r="P9" s="48">
        <f>资产资本表!P70</f>
        <v>12781865813</v>
      </c>
      <c r="Q9" s="48">
        <f>资产资本表!Q70</f>
        <v>11664917488</v>
      </c>
      <c r="R9" s="48">
        <f>资产资本表!R70</f>
        <v>14114605858.76</v>
      </c>
      <c r="S9" s="48">
        <f>资产资本表!S70</f>
        <v>5825268221</v>
      </c>
      <c r="T9" s="48">
        <f>资产资本表!T70</f>
        <v>6089793163.5699997</v>
      </c>
      <c r="U9" s="48">
        <f>资产资本表!U70</f>
        <v>6098153671</v>
      </c>
      <c r="V9" s="48">
        <f>资产资本表!V70</f>
        <v>6339167686</v>
      </c>
      <c r="W9" s="48">
        <f>资产资本表!W70</f>
        <v>6159887302</v>
      </c>
      <c r="X9" s="48">
        <f>资产资本表!X70</f>
        <v>6379552106.5600004</v>
      </c>
      <c r="Y9" s="48">
        <f>资产资本表!Y70</f>
        <v>6391428582</v>
      </c>
      <c r="Z9" s="48">
        <f>资产资本表!Z70</f>
        <v>6700824055</v>
      </c>
      <c r="AA9" s="48">
        <f>资产资本表!AA70</f>
        <v>6697964695</v>
      </c>
      <c r="AB9" s="48">
        <f>资产资本表!AB70</f>
        <v>6558824238.130003</v>
      </c>
      <c r="AC9" s="48">
        <f>资产资本表!AC70</f>
        <v>6671196510</v>
      </c>
      <c r="AD9" s="48">
        <f>资产资本表!AD70</f>
        <v>6587659940.6899996</v>
      </c>
      <c r="AE9" s="48">
        <f>资产资本表!AE70</f>
        <v>6905949828</v>
      </c>
      <c r="AF9" s="48">
        <f>资产资本表!AF70</f>
        <v>6627020547.8099995</v>
      </c>
      <c r="AG9" s="48">
        <f>资产资本表!AG70</f>
        <v>6385312231</v>
      </c>
      <c r="AH9" s="48">
        <f>资产资本表!AH70</f>
        <v>6603502195.3600006</v>
      </c>
      <c r="AI9" s="48">
        <f>资产资本表!AI70</f>
        <v>6712103100.6299992</v>
      </c>
      <c r="AJ9" s="48">
        <f>资产资本表!AJ70</f>
        <v>6230027901.9499998</v>
      </c>
      <c r="AK9" s="48">
        <f>资产资本表!AK70</f>
        <v>5661283893.1699991</v>
      </c>
      <c r="AL9" s="48">
        <f>资产资本表!AL70</f>
        <v>4851033429.6999998</v>
      </c>
      <c r="AM9" s="48">
        <f>资产资本表!AM70</f>
        <v>4777382499</v>
      </c>
      <c r="AN9" s="48">
        <f>资产资本表!AN70</f>
        <v>4453608586.3500004</v>
      </c>
      <c r="AO9" s="48">
        <f>资产资本表!AO70</f>
        <v>4274753574.6999998</v>
      </c>
      <c r="AP9" s="48">
        <f>资产资本表!AP70</f>
        <v>4446753860.2999992</v>
      </c>
      <c r="AQ9" s="48">
        <f>资产资本表!AQ70</f>
        <v>4487493402.1999989</v>
      </c>
      <c r="AR9" s="48">
        <f>资产资本表!AR70</f>
        <v>4479265868.1800003</v>
      </c>
      <c r="AS9" s="48">
        <f>资产资本表!AS70</f>
        <v>4139330992.8500004</v>
      </c>
      <c r="AT9" s="48">
        <f>资产资本表!AT70</f>
        <v>4112939920.2200003</v>
      </c>
      <c r="AU9" s="48">
        <f>资产资本表!AU70</f>
        <v>3248908725.2600002</v>
      </c>
      <c r="AV9" s="48">
        <f>资产资本表!AV70</f>
        <v>1701443476.3500001</v>
      </c>
      <c r="AW9" s="48">
        <f>资产资本表!AW70</f>
        <v>1245009353.9200001</v>
      </c>
      <c r="AX9" s="48">
        <f>资产资本表!AX70</f>
        <v>1256322425.5</v>
      </c>
      <c r="AY9" s="48">
        <f>资产资本表!AY70</f>
        <v>1246971140.2399998</v>
      </c>
      <c r="AZ9" s="48">
        <f>资产资本表!AZ70</f>
        <v>1186851348.4000001</v>
      </c>
      <c r="BA9" s="48">
        <f>资产资本表!BA70</f>
        <v>1120448419.7399998</v>
      </c>
      <c r="BB9" s="48">
        <f>资产资本表!BB70</f>
        <v>1188410252.96</v>
      </c>
      <c r="BC9" s="48">
        <f>资产资本表!BC70</f>
        <v>1206208360.5599999</v>
      </c>
      <c r="BD9" s="48">
        <f>资产资本表!BD70</f>
        <v>1218001214.8900001</v>
      </c>
      <c r="BE9" s="48">
        <f>资产资本表!BE70</f>
        <v>1242234669.1300004</v>
      </c>
      <c r="BF9" s="48">
        <f>资产资本表!BF70</f>
        <v>1146422002.49</v>
      </c>
      <c r="BG9" s="48">
        <f>资产资本表!BG70</f>
        <v>1134130782.28</v>
      </c>
      <c r="BH9" s="48">
        <f>资产资本表!BH70</f>
        <v>1097440338.1500001</v>
      </c>
      <c r="BI9" s="48">
        <f>资产资本表!BI70</f>
        <v>1029302822.9400001</v>
      </c>
      <c r="BJ9" s="48">
        <f>资产资本表!BJ70</f>
        <v>988343243.83000004</v>
      </c>
      <c r="BK9" s="48">
        <f>资产资本表!BK70</f>
        <v>1001787086.0699999</v>
      </c>
      <c r="BL9" s="48">
        <f>资产资本表!BL70</f>
        <v>983169015.28000009</v>
      </c>
      <c r="BM9" s="48">
        <f>资产资本表!BM70</f>
        <v>944693918.64999998</v>
      </c>
      <c r="BN9" s="48">
        <f>资产资本表!BN70</f>
        <v>978138799.23000002</v>
      </c>
      <c r="BO9" s="48">
        <f>资产资本表!BO70</f>
        <v>910092759.95000005</v>
      </c>
      <c r="BP9" s="48">
        <f>资产资本表!BP70</f>
        <v>855928342.9000001</v>
      </c>
      <c r="BQ9" s="48">
        <f>资产资本表!BQ70</f>
        <v>816438330.6500001</v>
      </c>
      <c r="BR9" s="48">
        <f>资产资本表!BR70</f>
        <v>866504738.43000007</v>
      </c>
      <c r="BS9" s="48">
        <f>资产资本表!BS70</f>
        <v>537828077.10000002</v>
      </c>
      <c r="BT9" s="48">
        <f>资产资本表!BT70</f>
        <v>525233348.87999994</v>
      </c>
      <c r="BU9" s="48">
        <f>资产资本表!BU70</f>
        <v>494851852.39999998</v>
      </c>
      <c r="BV9" s="48">
        <f>资产资本表!BV70</f>
        <v>486269261.79000002</v>
      </c>
      <c r="BW9" s="48">
        <f>资产资本表!BW70</f>
        <v>453287192.31999999</v>
      </c>
      <c r="BX9" s="48">
        <f>资产资本表!BX70</f>
        <v>493339845.44999999</v>
      </c>
      <c r="BY9" s="48">
        <f>资产资本表!BY70</f>
        <v>384627891.85000002</v>
      </c>
      <c r="BZ9" s="48">
        <f>资产资本表!BZ70</f>
        <v>123205789.72</v>
      </c>
      <c r="CA9" s="48">
        <f>资产资本表!CA70</f>
        <v>358617147.73000002</v>
      </c>
      <c r="CB9" s="48">
        <f>资产资本表!CB70</f>
        <v>125670000</v>
      </c>
      <c r="CC9" s="48">
        <f>资产资本表!CC70</f>
        <v>237877720.19</v>
      </c>
      <c r="CD9" s="48">
        <f>资产资本表!CD70</f>
        <v>128580000</v>
      </c>
      <c r="CE9" s="48">
        <f>资产资本表!CE70</f>
        <v>219043512.36000001</v>
      </c>
      <c r="CF9" s="48">
        <f>资产资本表!CF70</f>
        <v>275427043.85000002</v>
      </c>
      <c r="CG9" s="48">
        <f>资产资本表!CG70</f>
        <v>36293400</v>
      </c>
      <c r="CH9" s="48">
        <f>资产资本表!CH70</f>
        <v>35881300</v>
      </c>
      <c r="CI9" s="48">
        <f>资产资本表!CI70</f>
        <v>0</v>
      </c>
      <c r="CJ9" s="48">
        <f>资产资本表!CJ70</f>
        <v>0</v>
      </c>
      <c r="CK9" s="48">
        <f>资产资本表!CK70</f>
        <v>0</v>
      </c>
      <c r="CL9" s="48">
        <f>资产资本表!CL70</f>
        <v>0</v>
      </c>
    </row>
    <row r="10" spans="1:90" s="26" customFormat="1">
      <c r="A10" s="17" t="s">
        <v>339</v>
      </c>
      <c r="E10" s="26">
        <f>资产资本表!E72</f>
        <v>3233731137.7200003</v>
      </c>
      <c r="F10" s="26">
        <f>资产资本表!F72</f>
        <v>3356567736.0999999</v>
      </c>
      <c r="G10" s="26">
        <f>资产资本表!G72</f>
        <v>2775598395.8299999</v>
      </c>
      <c r="H10" s="26">
        <f>资产资本表!H72</f>
        <v>1618814858.6400001</v>
      </c>
      <c r="I10" s="26">
        <f>资产资本表!I72</f>
        <v>268592114</v>
      </c>
      <c r="J10" s="26">
        <f>资产资本表!J72</f>
        <v>461257697.76999998</v>
      </c>
      <c r="K10" s="26">
        <f>资产资本表!K72</f>
        <v>469528759</v>
      </c>
      <c r="L10" s="26">
        <f>资产资本表!L72</f>
        <v>932283840.64999998</v>
      </c>
      <c r="M10" s="26">
        <f>资产资本表!M72</f>
        <v>1226162522</v>
      </c>
      <c r="N10" s="26">
        <f>资产资本表!N72</f>
        <v>781754967.38999999</v>
      </c>
      <c r="O10" s="26">
        <f>资产资本表!O72</f>
        <v>1665440156</v>
      </c>
      <c r="P10" s="26">
        <f>资产资本表!P72</f>
        <v>1129056753.53</v>
      </c>
      <c r="Q10" s="26">
        <f>资产资本表!Q72</f>
        <v>1349689823</v>
      </c>
      <c r="R10" s="26">
        <f>资产资本表!R72</f>
        <v>2116473620.3000002</v>
      </c>
      <c r="S10" s="26">
        <f>资产资本表!S72</f>
        <v>1346548494</v>
      </c>
      <c r="T10" s="26">
        <f>资产资本表!T72</f>
        <v>1178057360.53</v>
      </c>
      <c r="U10" s="26">
        <f>资产资本表!U72</f>
        <v>1166262283</v>
      </c>
      <c r="V10" s="26">
        <f>资产资本表!V72</f>
        <v>1233863072</v>
      </c>
      <c r="W10" s="26">
        <f>资产资本表!W72</f>
        <v>1132844370</v>
      </c>
      <c r="X10" s="26">
        <f>资产资本表!X72</f>
        <v>1607594252.6799998</v>
      </c>
      <c r="Y10" s="26">
        <f>资产资本表!Y72</f>
        <v>1316474143</v>
      </c>
      <c r="Z10" s="26">
        <f>资产资本表!Z72</f>
        <v>1381335643</v>
      </c>
      <c r="AA10" s="26">
        <f>资产资本表!AA72</f>
        <v>1360976296</v>
      </c>
      <c r="AB10" s="26">
        <f>资产资本表!AB72</f>
        <v>1011224355.3099999</v>
      </c>
      <c r="AC10" s="26">
        <f>资产资本表!AC72</f>
        <v>998532782</v>
      </c>
      <c r="AD10" s="26">
        <f>资产资本表!AD72</f>
        <v>852551559.35000002</v>
      </c>
      <c r="AE10" s="26">
        <f>资产资本表!AE72</f>
        <v>1053700457</v>
      </c>
      <c r="AF10" s="26">
        <f>资产资本表!AF72</f>
        <v>890436176.6500001</v>
      </c>
      <c r="AG10" s="26">
        <f>资产资本表!AG72</f>
        <v>783877210</v>
      </c>
      <c r="AH10" s="26">
        <f>资产资本表!AH72</f>
        <v>1001798895.63</v>
      </c>
      <c r="AI10" s="26">
        <f>资产资本表!AI72</f>
        <v>1027869733.53</v>
      </c>
      <c r="AJ10" s="26">
        <f>资产资本表!AJ72</f>
        <v>1124730645.1900001</v>
      </c>
      <c r="AK10" s="26">
        <f>资产资本表!AK72</f>
        <v>922572249</v>
      </c>
      <c r="AL10" s="26">
        <f>资产资本表!AL72</f>
        <v>480010678.63999999</v>
      </c>
      <c r="AM10" s="26">
        <f>资产资本表!AM72</f>
        <v>503755748.19</v>
      </c>
      <c r="AN10" s="26">
        <f>资产资本表!AN72</f>
        <v>277697195.22000003</v>
      </c>
      <c r="AO10" s="26">
        <f>资产资本表!AO72</f>
        <v>181369946.63</v>
      </c>
      <c r="AP10" s="26">
        <f>资产资本表!AP72</f>
        <v>217690317.11000001</v>
      </c>
      <c r="AQ10" s="26">
        <f>资产资本表!AQ72</f>
        <v>251821444.57999998</v>
      </c>
      <c r="AR10" s="26">
        <f>资产资本表!AR72</f>
        <v>257356385.06</v>
      </c>
      <c r="AS10" s="26">
        <f>资产资本表!AS72</f>
        <v>168174049.03999999</v>
      </c>
      <c r="AT10" s="26">
        <f>资产资本表!AT72</f>
        <v>56491450.100000001</v>
      </c>
      <c r="AU10" s="26">
        <f>资产资本表!AU72</f>
        <v>415000000</v>
      </c>
      <c r="AV10" s="26">
        <f>资产资本表!AV72</f>
        <v>375000000</v>
      </c>
      <c r="AW10" s="26">
        <f>资产资本表!AW72</f>
        <v>362598500.05000001</v>
      </c>
      <c r="AX10" s="26">
        <f>资产资本表!AX72</f>
        <v>318351000</v>
      </c>
      <c r="AY10" s="26">
        <f>资产资本表!AY72</f>
        <v>343351000</v>
      </c>
      <c r="AZ10" s="26">
        <f>资产资本表!AZ72</f>
        <v>300351000</v>
      </c>
      <c r="BA10" s="26">
        <f>资产资本表!BA72</f>
        <v>261157000</v>
      </c>
      <c r="BB10" s="26">
        <f>资产资本表!BB72</f>
        <v>422478000</v>
      </c>
      <c r="BC10" s="26">
        <f>资产资本表!BC72</f>
        <v>445421500</v>
      </c>
      <c r="BD10" s="26">
        <f>资产资本表!BD72</f>
        <v>345609000</v>
      </c>
      <c r="BE10" s="26">
        <f>资产资本表!BE72</f>
        <v>381974500</v>
      </c>
      <c r="BF10" s="26">
        <f>资产资本表!BF72</f>
        <v>390703900</v>
      </c>
      <c r="BG10" s="26">
        <f>资产资本表!BG72</f>
        <v>390951600</v>
      </c>
      <c r="BH10" s="26">
        <f>资产资本表!BH72</f>
        <v>377257300</v>
      </c>
      <c r="BI10" s="26">
        <f>资产资本表!BI72</f>
        <v>322427200</v>
      </c>
      <c r="BJ10" s="26">
        <f>资产资本表!BJ72</f>
        <v>298667970</v>
      </c>
      <c r="BK10" s="26">
        <f>资产资本表!BK72</f>
        <v>322822200</v>
      </c>
      <c r="BL10" s="26">
        <f>资产资本表!BL72</f>
        <v>314697100</v>
      </c>
      <c r="BM10" s="26">
        <f>资产资本表!BM72</f>
        <v>284697100</v>
      </c>
      <c r="BN10" s="26">
        <f>资产资本表!BN72</f>
        <v>274220674.54000002</v>
      </c>
      <c r="BO10" s="26">
        <f>资产资本表!BO72</f>
        <v>175612300</v>
      </c>
      <c r="BP10" s="26">
        <f>资产资本表!BP72</f>
        <v>125612300</v>
      </c>
      <c r="BQ10" s="26">
        <f>资产资本表!BQ72</f>
        <v>106296607.69</v>
      </c>
      <c r="BR10" s="26">
        <f>资产资本表!BR72</f>
        <v>140370230.77000001</v>
      </c>
      <c r="BS10" s="26">
        <f>资产资本表!BS72</f>
        <v>172575127.5</v>
      </c>
      <c r="BT10" s="26">
        <f>资产资本表!BT72</f>
        <v>151089720.90000001</v>
      </c>
      <c r="BU10" s="26">
        <f>资产资本表!BU72</f>
        <v>136129032.75</v>
      </c>
      <c r="BV10" s="26">
        <f>资产资本表!BV72</f>
        <v>118991210.45999999</v>
      </c>
      <c r="BW10" s="26">
        <f>资产资本表!BW72</f>
        <v>95047932.230000004</v>
      </c>
      <c r="BX10" s="26">
        <f>资产资本表!BX72</f>
        <v>110702727.2</v>
      </c>
      <c r="BY10" s="26">
        <f>资产资本表!BY72</f>
        <v>130771211.66</v>
      </c>
      <c r="BZ10" s="26">
        <f>资产资本表!BZ72</f>
        <v>0</v>
      </c>
      <c r="CA10" s="26">
        <f>资产资本表!CA72</f>
        <v>136570027.87</v>
      </c>
      <c r="CB10" s="26">
        <f>资产资本表!CB72</f>
        <v>0</v>
      </c>
      <c r="CC10" s="26">
        <f>资产资本表!CC72</f>
        <v>152281013.96000001</v>
      </c>
      <c r="CD10" s="26">
        <f>资产资本表!CD72</f>
        <v>0</v>
      </c>
      <c r="CE10" s="26">
        <f>资产资本表!CE72</f>
        <v>143253671.35999998</v>
      </c>
      <c r="CF10" s="26">
        <f>资产资本表!CF72</f>
        <v>131238236.94</v>
      </c>
      <c r="CG10" s="26">
        <f>资产资本表!CG72</f>
        <v>0</v>
      </c>
      <c r="CH10" s="26">
        <f>资产资本表!CH72</f>
        <v>0</v>
      </c>
      <c r="CI10" s="26">
        <f>资产资本表!CI72</f>
        <v>0</v>
      </c>
      <c r="CJ10" s="26">
        <f>资产资本表!CJ72</f>
        <v>0</v>
      </c>
      <c r="CK10" s="26">
        <f>资产资本表!CK72</f>
        <v>0</v>
      </c>
    </row>
    <row r="11" spans="1:90" s="26" customFormat="1">
      <c r="A11" s="17" t="s">
        <v>340</v>
      </c>
      <c r="E11" s="26">
        <f>资产资本表!E81</f>
        <v>3930000000</v>
      </c>
      <c r="F11" s="26">
        <f>资产资本表!F81</f>
        <v>2183399291.0700002</v>
      </c>
      <c r="G11" s="26">
        <f>资产资本表!G81</f>
        <v>2183509991.4500003</v>
      </c>
      <c r="H11" s="26">
        <f>资产资本表!H81</f>
        <v>2183615244.6599998</v>
      </c>
      <c r="I11" s="26">
        <f>资产资本表!I81</f>
        <v>1493518127.79</v>
      </c>
      <c r="J11" s="26">
        <f>资产资本表!J81</f>
        <v>1753908217.01</v>
      </c>
      <c r="K11" s="26">
        <f>资产资本表!K81</f>
        <v>1741436818</v>
      </c>
      <c r="L11" s="26">
        <f>资产资本表!L81</f>
        <v>1751630668.1999998</v>
      </c>
      <c r="M11" s="26">
        <f>资产资本表!M81</f>
        <v>1334041793</v>
      </c>
      <c r="N11" s="26">
        <f>资产资本表!N81</f>
        <v>3100198577.7599998</v>
      </c>
      <c r="O11" s="26">
        <f>资产资本表!O81</f>
        <v>3331124999</v>
      </c>
      <c r="P11" s="26">
        <f>资产资本表!P81</f>
        <v>2961572646.9299998</v>
      </c>
      <c r="Q11" s="26">
        <f>资产资本表!Q81</f>
        <v>1590784328</v>
      </c>
      <c r="R11" s="26">
        <f>资产资本表!R81</f>
        <v>3660597107.5599999</v>
      </c>
      <c r="S11" s="26">
        <f>资产资本表!S81</f>
        <v>1064252747</v>
      </c>
      <c r="T11" s="26">
        <f>资产资本表!T81</f>
        <v>1574769633.24</v>
      </c>
      <c r="U11" s="26">
        <f>资产资本表!U81</f>
        <v>1646166926</v>
      </c>
      <c r="V11" s="26">
        <f>资产资本表!V81</f>
        <v>1882068696</v>
      </c>
      <c r="W11" s="26">
        <f>资产资本表!W81</f>
        <v>1955354233</v>
      </c>
      <c r="X11" s="26">
        <f>资产资本表!X81</f>
        <v>1722275945.4000001</v>
      </c>
      <c r="Y11" s="26">
        <f>资产资本表!Y81</f>
        <v>2018842448</v>
      </c>
      <c r="Z11" s="26">
        <f>资产资本表!Z81</f>
        <v>2278195624</v>
      </c>
      <c r="AA11" s="26">
        <f>资产资本表!AA81</f>
        <v>2380658043</v>
      </c>
      <c r="AB11" s="26">
        <f>资产资本表!AB81</f>
        <v>2639994849.4499998</v>
      </c>
      <c r="AC11" s="26">
        <f>资产资本表!AC81</f>
        <v>2753753835</v>
      </c>
      <c r="AD11" s="26">
        <f>资产资本表!AD81</f>
        <v>2977225594.8499999</v>
      </c>
      <c r="AE11" s="26">
        <f>资产资本表!AE81</f>
        <v>3125564348</v>
      </c>
      <c r="AF11" s="26">
        <f>资产资本表!AF81</f>
        <v>3065882838.4299998</v>
      </c>
      <c r="AG11" s="26">
        <f>资产资本表!AG81</f>
        <v>3110755291</v>
      </c>
      <c r="AH11" s="26">
        <f>资产资本表!AH81</f>
        <v>3108918003.5900002</v>
      </c>
      <c r="AI11" s="26">
        <f>资产资本表!AI81</f>
        <v>3252876169.0700002</v>
      </c>
      <c r="AJ11" s="26">
        <f>资产资本表!AJ81</f>
        <v>2742884854.1199999</v>
      </c>
      <c r="AK11" s="26">
        <f>资产资本表!AK81</f>
        <v>2640027384.4400001</v>
      </c>
      <c r="AL11" s="26">
        <f>资产资本表!AL81</f>
        <v>2428341669.6199999</v>
      </c>
      <c r="AM11" s="26">
        <f>资产资本表!AM81</f>
        <v>2310239979.8800001</v>
      </c>
      <c r="AN11" s="26">
        <f>资产资本表!AN81</f>
        <v>2129468615.3499999</v>
      </c>
      <c r="AO11" s="26">
        <f>资产资本表!AO81</f>
        <v>2096526736.6400001</v>
      </c>
      <c r="AP11" s="26">
        <f>资产资本表!AP81</f>
        <v>2077672000</v>
      </c>
      <c r="AQ11" s="26">
        <f>资产资本表!AQ81</f>
        <v>2065910000</v>
      </c>
      <c r="AR11" s="26">
        <f>资产资本表!AR81</f>
        <v>1971348000</v>
      </c>
      <c r="AS11" s="26">
        <f>资产资本表!AS81</f>
        <v>1694577200</v>
      </c>
      <c r="AT11" s="26">
        <f>资产资本表!AT81</f>
        <v>1911485600</v>
      </c>
      <c r="AU11" s="26">
        <f>资产资本表!AU81</f>
        <v>1402930000</v>
      </c>
      <c r="AV11" s="26">
        <f>资产资本表!AV81</f>
        <v>10000000</v>
      </c>
      <c r="AW11" s="26">
        <f>资产资本表!AW81</f>
        <v>10000000</v>
      </c>
      <c r="AX11" s="26">
        <f>资产资本表!AX81</f>
        <v>80000000</v>
      </c>
      <c r="AY11" s="26">
        <f>资产资本表!AY81</f>
        <v>80000000</v>
      </c>
      <c r="AZ11" s="26">
        <f>资产资本表!AZ81</f>
        <v>80000000</v>
      </c>
      <c r="BA11" s="26">
        <f>资产资本表!BA81</f>
        <v>70000000</v>
      </c>
      <c r="BB11" s="26">
        <f>资产资本表!BB81</f>
        <v>0</v>
      </c>
      <c r="BC11" s="26">
        <f>资产资本表!BC81</f>
        <v>0</v>
      </c>
      <c r="BD11" s="26">
        <f>资产资本表!BD81</f>
        <v>100000000</v>
      </c>
      <c r="BE11" s="26">
        <f>资产资本表!BE81</f>
        <v>100000000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20000000</v>
      </c>
      <c r="BY11" s="26">
        <f>资产资本表!BY81</f>
        <v>21807653.68</v>
      </c>
      <c r="BZ11" s="26">
        <f>资产资本表!BZ81</f>
        <v>0</v>
      </c>
      <c r="CA11" s="26">
        <f>资产资本表!CA81</f>
        <v>21280671.73</v>
      </c>
      <c r="CB11" s="26">
        <f>资产资本表!CB81</f>
        <v>0</v>
      </c>
      <c r="CC11" s="26">
        <f>资产资本表!CC81</f>
        <v>252937.26</v>
      </c>
      <c r="CD11" s="26">
        <f>资产资本表!CD81</f>
        <v>0</v>
      </c>
      <c r="CE11" s="26">
        <f>资产资本表!CE81</f>
        <v>0</v>
      </c>
      <c r="CF11" s="26">
        <f>资产资本表!CF81</f>
        <v>26974172.73</v>
      </c>
      <c r="CG11" s="26">
        <f>资产资本表!CG81</f>
        <v>0</v>
      </c>
      <c r="CH11" s="26">
        <f>资产资本表!CH81</f>
        <v>0</v>
      </c>
      <c r="CI11" s="26">
        <f>资产资本表!CI81</f>
        <v>0</v>
      </c>
      <c r="CJ11" s="26">
        <f>资产资本表!CJ81</f>
        <v>0</v>
      </c>
      <c r="CK11" s="26">
        <f>资产资本表!CK81</f>
        <v>0</v>
      </c>
    </row>
    <row r="12" spans="1:90" s="26" customFormat="1">
      <c r="A12" s="41" t="s">
        <v>637</v>
      </c>
      <c r="E12" s="26">
        <f>资产资本表!E89</f>
        <v>7163731137.7200003</v>
      </c>
      <c r="F12" s="26">
        <f>资产资本表!F89</f>
        <v>5539967027.1700001</v>
      </c>
      <c r="G12" s="26">
        <f>资产资本表!G89</f>
        <v>4959108387.2800007</v>
      </c>
      <c r="H12" s="26">
        <f>资产资本表!H89</f>
        <v>3802430103.3000002</v>
      </c>
      <c r="I12" s="26">
        <f>资产资本表!I89</f>
        <v>1762110241.79</v>
      </c>
      <c r="J12" s="26">
        <f>资产资本表!J89</f>
        <v>2215165914.7799997</v>
      </c>
      <c r="K12" s="26">
        <f>资产资本表!K89</f>
        <v>2210965577</v>
      </c>
      <c r="L12" s="26">
        <f>资产资本表!L89</f>
        <v>2683914508.8499999</v>
      </c>
      <c r="M12" s="26">
        <f>资产资本表!M89</f>
        <v>2560204315</v>
      </c>
      <c r="N12" s="26">
        <f>资产资本表!N89</f>
        <v>3881953545.1499996</v>
      </c>
      <c r="O12" s="26">
        <f>资产资本表!O89</f>
        <v>4996565155</v>
      </c>
      <c r="P12" s="26">
        <f>资产资本表!P89</f>
        <v>4090629400.46</v>
      </c>
      <c r="Q12" s="26">
        <f>资产资本表!Q89</f>
        <v>2940474151</v>
      </c>
      <c r="R12" s="26">
        <f>资产资本表!R89</f>
        <v>5777070727.8600006</v>
      </c>
      <c r="S12" s="26">
        <f>资产资本表!S89</f>
        <v>2410801241</v>
      </c>
      <c r="T12" s="26">
        <f>资产资本表!T89</f>
        <v>2752826993.77</v>
      </c>
      <c r="U12" s="26">
        <f>资产资本表!U89</f>
        <v>2812429209</v>
      </c>
      <c r="V12" s="26">
        <f>资产资本表!V89</f>
        <v>3115931768</v>
      </c>
      <c r="W12" s="26">
        <f>资产资本表!W89</f>
        <v>3088198603</v>
      </c>
      <c r="X12" s="26">
        <f>资产资本表!X89</f>
        <v>3329870198.0799999</v>
      </c>
      <c r="Y12" s="26">
        <f>资产资本表!Y89</f>
        <v>3335316591</v>
      </c>
      <c r="Z12" s="26">
        <f>资产资本表!Z89</f>
        <v>3659531267</v>
      </c>
      <c r="AA12" s="26">
        <f>资产资本表!AA89</f>
        <v>3741634339</v>
      </c>
      <c r="AB12" s="26">
        <f>资产资本表!AB89</f>
        <v>3651219204.7599998</v>
      </c>
      <c r="AC12" s="26">
        <f>资产资本表!AC89</f>
        <v>3752286617</v>
      </c>
      <c r="AD12" s="26">
        <f>资产资本表!AD89</f>
        <v>3829777154.1999998</v>
      </c>
      <c r="AE12" s="26">
        <f>资产资本表!AE89</f>
        <v>4179264805</v>
      </c>
      <c r="AF12" s="26">
        <f>资产资本表!AF89</f>
        <v>3956319015.0799999</v>
      </c>
      <c r="AG12" s="26">
        <f>资产资本表!AG89</f>
        <v>3894632501</v>
      </c>
      <c r="AH12" s="26">
        <f>资产资本表!AH89</f>
        <v>4110716899.2200003</v>
      </c>
      <c r="AI12" s="26">
        <f>资产资本表!AI89</f>
        <v>4280745902.6000004</v>
      </c>
      <c r="AJ12" s="26">
        <f>资产资本表!AJ89</f>
        <v>3867615499.3099999</v>
      </c>
      <c r="AK12" s="26">
        <f>资产资本表!AK89</f>
        <v>3562599633.4400001</v>
      </c>
      <c r="AL12" s="26">
        <f>资产资本表!AL89</f>
        <v>2908352348.2599998</v>
      </c>
      <c r="AM12" s="26">
        <f>资产资本表!AM89</f>
        <v>2813995728.0700002</v>
      </c>
      <c r="AN12" s="26">
        <f>资产资本表!AN89</f>
        <v>2407165810.5699997</v>
      </c>
      <c r="AO12" s="26">
        <f>资产资本表!AO89</f>
        <v>2277896683.27</v>
      </c>
      <c r="AP12" s="26">
        <f>资产资本表!AP89</f>
        <v>2295362317.1100001</v>
      </c>
      <c r="AQ12" s="26">
        <f>资产资本表!AQ89</f>
        <v>2317731444.5799999</v>
      </c>
      <c r="AR12" s="26">
        <f>资产资本表!AR89</f>
        <v>2228704385.0599999</v>
      </c>
      <c r="AS12" s="26">
        <f>资产资本表!AS89</f>
        <v>1862751249.04</v>
      </c>
      <c r="AT12" s="26">
        <f>资产资本表!AT89</f>
        <v>1967977050.0999999</v>
      </c>
      <c r="AU12" s="26">
        <f>资产资本表!AU89</f>
        <v>1817930000</v>
      </c>
      <c r="AV12" s="26">
        <f>资产资本表!AV89</f>
        <v>385000000</v>
      </c>
      <c r="AW12" s="26">
        <f>资产资本表!AW89</f>
        <v>372598500.05000001</v>
      </c>
      <c r="AX12" s="26">
        <f>资产资本表!AX89</f>
        <v>398351000</v>
      </c>
      <c r="AY12" s="26">
        <f>资产资本表!AY89</f>
        <v>423351000</v>
      </c>
      <c r="AZ12" s="26">
        <f>资产资本表!AZ89</f>
        <v>380351000</v>
      </c>
      <c r="BA12" s="26">
        <f>资产资本表!BA89</f>
        <v>331157000</v>
      </c>
      <c r="BB12" s="26">
        <f>资产资本表!BB89</f>
        <v>422478000</v>
      </c>
      <c r="BC12" s="26">
        <f>资产资本表!BC89</f>
        <v>445421500</v>
      </c>
      <c r="BD12" s="26">
        <f>资产资本表!BD89</f>
        <v>445609000</v>
      </c>
      <c r="BE12" s="26">
        <f>资产资本表!BE89</f>
        <v>481974500</v>
      </c>
      <c r="BF12" s="26">
        <f>资产资本表!BF89</f>
        <v>390703900</v>
      </c>
      <c r="BG12" s="26">
        <f>资产资本表!BG89</f>
        <v>390951600</v>
      </c>
      <c r="BH12" s="26">
        <f>资产资本表!BH89</f>
        <v>377257300</v>
      </c>
      <c r="BI12" s="26">
        <f>资产资本表!BI89</f>
        <v>322427200</v>
      </c>
      <c r="BJ12" s="26">
        <f>资产资本表!BJ89</f>
        <v>298667970</v>
      </c>
      <c r="BK12" s="26">
        <f>资产资本表!BK89</f>
        <v>322822200</v>
      </c>
      <c r="BL12" s="26">
        <f>资产资本表!BL89</f>
        <v>314697100</v>
      </c>
      <c r="BM12" s="26">
        <f>资产资本表!BM89</f>
        <v>284697100</v>
      </c>
      <c r="BN12" s="26">
        <f>资产资本表!BN89</f>
        <v>274220674.54000002</v>
      </c>
      <c r="BO12" s="26">
        <f>资产资本表!BO89</f>
        <v>175612300</v>
      </c>
      <c r="BP12" s="26">
        <f>资产资本表!BP89</f>
        <v>125612300</v>
      </c>
      <c r="BQ12" s="26">
        <f>资产资本表!BQ89</f>
        <v>106296607.69</v>
      </c>
      <c r="BR12" s="26">
        <f>资产资本表!BR89</f>
        <v>140370230.77000001</v>
      </c>
      <c r="BS12" s="26">
        <f>资产资本表!BS89</f>
        <v>172575127.5</v>
      </c>
      <c r="BT12" s="26">
        <f>资产资本表!BT89</f>
        <v>151089720.90000001</v>
      </c>
      <c r="BU12" s="26">
        <f>资产资本表!BU89</f>
        <v>136129032.75</v>
      </c>
      <c r="BV12" s="26">
        <f>资产资本表!BV89</f>
        <v>118991210.45999999</v>
      </c>
      <c r="BW12" s="26">
        <f>资产资本表!BW89</f>
        <v>95047932.230000004</v>
      </c>
      <c r="BX12" s="26">
        <f>资产资本表!BX89</f>
        <v>130702727.2</v>
      </c>
      <c r="BY12" s="26">
        <f>资产资本表!BY89</f>
        <v>152578865.34</v>
      </c>
      <c r="BZ12" s="26">
        <f>资产资本表!BZ89</f>
        <v>0</v>
      </c>
      <c r="CA12" s="26">
        <f>资产资本表!CA89</f>
        <v>157850699.59999999</v>
      </c>
      <c r="CB12" s="26">
        <f>资产资本表!CB89</f>
        <v>0</v>
      </c>
      <c r="CC12" s="26">
        <f>资产资本表!CC89</f>
        <v>152533951.22</v>
      </c>
      <c r="CD12" s="26">
        <f>资产资本表!CD89</f>
        <v>0</v>
      </c>
      <c r="CE12" s="26">
        <f>资产资本表!CE89</f>
        <v>143253671.35999998</v>
      </c>
      <c r="CF12" s="26">
        <f>资产资本表!CF89</f>
        <v>158212409.66999999</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c r="A13" s="41" t="s">
        <v>345</v>
      </c>
      <c r="E13" s="26">
        <f>E9-E12</f>
        <v>14484288980.149994</v>
      </c>
      <c r="F13" s="26">
        <f t="shared" ref="F13:BQ13" si="0">F9-F12</f>
        <v>14437285416.589998</v>
      </c>
      <c r="G13" s="26">
        <f t="shared" si="0"/>
        <v>14225692563.469999</v>
      </c>
      <c r="H13" s="26">
        <f t="shared" si="0"/>
        <v>14009632512.910004</v>
      </c>
      <c r="I13" s="26">
        <f t="shared" si="0"/>
        <v>13768607459.660004</v>
      </c>
      <c r="J13" s="26">
        <f t="shared" si="0"/>
        <v>13617490859.939999</v>
      </c>
      <c r="K13" s="26">
        <f t="shared" si="0"/>
        <v>13591588001</v>
      </c>
      <c r="L13" s="26">
        <f t="shared" si="0"/>
        <v>13372120628.020002</v>
      </c>
      <c r="M13" s="26">
        <f t="shared" si="0"/>
        <v>13254782218</v>
      </c>
      <c r="N13" s="26">
        <f t="shared" si="0"/>
        <v>8801599496.7699986</v>
      </c>
      <c r="O13" s="26">
        <f t="shared" si="0"/>
        <v>8815650134</v>
      </c>
      <c r="P13" s="26">
        <f t="shared" si="0"/>
        <v>8691236412.5400009</v>
      </c>
      <c r="Q13" s="26">
        <f t="shared" si="0"/>
        <v>8724443337</v>
      </c>
      <c r="R13" s="26">
        <f t="shared" si="0"/>
        <v>8337535130.8999996</v>
      </c>
      <c r="S13" s="26">
        <f t="shared" si="0"/>
        <v>3414466980</v>
      </c>
      <c r="T13" s="26">
        <f t="shared" si="0"/>
        <v>3336966169.7999997</v>
      </c>
      <c r="U13" s="26">
        <f t="shared" si="0"/>
        <v>3285724462</v>
      </c>
      <c r="V13" s="26">
        <f t="shared" si="0"/>
        <v>3223235918</v>
      </c>
      <c r="W13" s="26">
        <f t="shared" si="0"/>
        <v>3071688699</v>
      </c>
      <c r="X13" s="26">
        <f t="shared" si="0"/>
        <v>3049681908.4800005</v>
      </c>
      <c r="Y13" s="26">
        <f t="shared" si="0"/>
        <v>3056111991</v>
      </c>
      <c r="Z13" s="26">
        <f t="shared" si="0"/>
        <v>3041292788</v>
      </c>
      <c r="AA13" s="26">
        <f t="shared" si="0"/>
        <v>2956330356</v>
      </c>
      <c r="AB13" s="26">
        <f t="shared" si="0"/>
        <v>2907605033.3700032</v>
      </c>
      <c r="AC13" s="26">
        <f t="shared" si="0"/>
        <v>2918909893</v>
      </c>
      <c r="AD13" s="26">
        <f t="shared" si="0"/>
        <v>2757882786.4899998</v>
      </c>
      <c r="AE13" s="26">
        <f t="shared" si="0"/>
        <v>2726685023</v>
      </c>
      <c r="AF13" s="26">
        <f t="shared" si="0"/>
        <v>2670701532.7299995</v>
      </c>
      <c r="AG13" s="26">
        <f t="shared" si="0"/>
        <v>2490679730</v>
      </c>
      <c r="AH13" s="26">
        <f t="shared" si="0"/>
        <v>2492785296.1400003</v>
      </c>
      <c r="AI13" s="26">
        <f t="shared" si="0"/>
        <v>2431357198.0299988</v>
      </c>
      <c r="AJ13" s="26">
        <f t="shared" si="0"/>
        <v>2362412402.6399999</v>
      </c>
      <c r="AK13" s="26">
        <f t="shared" si="0"/>
        <v>2098684259.7299991</v>
      </c>
      <c r="AL13" s="26">
        <f t="shared" si="0"/>
        <v>1942681081.4400001</v>
      </c>
      <c r="AM13" s="26">
        <f t="shared" si="0"/>
        <v>1963386770.9299998</v>
      </c>
      <c r="AN13" s="26">
        <f t="shared" si="0"/>
        <v>2046442775.7800007</v>
      </c>
      <c r="AO13" s="26">
        <f t="shared" si="0"/>
        <v>1996856891.4299998</v>
      </c>
      <c r="AP13" s="26">
        <f t="shared" si="0"/>
        <v>2151391543.1899991</v>
      </c>
      <c r="AQ13" s="26">
        <f t="shared" si="0"/>
        <v>2169761957.6199989</v>
      </c>
      <c r="AR13" s="26">
        <f t="shared" si="0"/>
        <v>2250561483.1200004</v>
      </c>
      <c r="AS13" s="26">
        <f t="shared" si="0"/>
        <v>2276579743.8100004</v>
      </c>
      <c r="AT13" s="26">
        <f t="shared" si="0"/>
        <v>2144962870.1200004</v>
      </c>
      <c r="AU13" s="26">
        <f t="shared" si="0"/>
        <v>1430978725.2600002</v>
      </c>
      <c r="AV13" s="26">
        <f t="shared" si="0"/>
        <v>1316443476.3500001</v>
      </c>
      <c r="AW13" s="26">
        <f t="shared" si="0"/>
        <v>872410853.87000012</v>
      </c>
      <c r="AX13" s="26">
        <f t="shared" si="0"/>
        <v>857971425.5</v>
      </c>
      <c r="AY13" s="26">
        <f t="shared" si="0"/>
        <v>823620140.23999977</v>
      </c>
      <c r="AZ13" s="26">
        <f t="shared" si="0"/>
        <v>806500348.4000001</v>
      </c>
      <c r="BA13" s="26">
        <f t="shared" si="0"/>
        <v>789291419.73999977</v>
      </c>
      <c r="BB13" s="26">
        <f t="shared" si="0"/>
        <v>765932252.96000004</v>
      </c>
      <c r="BC13" s="26">
        <f t="shared" si="0"/>
        <v>760786860.55999994</v>
      </c>
      <c r="BD13" s="26">
        <f t="shared" si="0"/>
        <v>772392214.8900001</v>
      </c>
      <c r="BE13" s="26">
        <f t="shared" si="0"/>
        <v>760260169.13000035</v>
      </c>
      <c r="BF13" s="26">
        <f t="shared" si="0"/>
        <v>755718102.49000001</v>
      </c>
      <c r="BG13" s="26">
        <f t="shared" si="0"/>
        <v>743179182.27999997</v>
      </c>
      <c r="BH13" s="26">
        <f t="shared" si="0"/>
        <v>720183038.1500001</v>
      </c>
      <c r="BI13" s="26">
        <f t="shared" si="0"/>
        <v>706875622.94000006</v>
      </c>
      <c r="BJ13" s="26">
        <f t="shared" si="0"/>
        <v>689675273.83000004</v>
      </c>
      <c r="BK13" s="26">
        <f t="shared" si="0"/>
        <v>678964886.06999993</v>
      </c>
      <c r="BL13" s="26">
        <f t="shared" si="0"/>
        <v>668471915.28000009</v>
      </c>
      <c r="BM13" s="26">
        <f t="shared" si="0"/>
        <v>659996818.64999998</v>
      </c>
      <c r="BN13" s="26">
        <f t="shared" si="0"/>
        <v>703918124.69000006</v>
      </c>
      <c r="BO13" s="26">
        <f t="shared" si="0"/>
        <v>734480459.95000005</v>
      </c>
      <c r="BP13" s="26">
        <f t="shared" si="0"/>
        <v>730316042.9000001</v>
      </c>
      <c r="BQ13" s="26">
        <f t="shared" si="0"/>
        <v>710141722.96000004</v>
      </c>
      <c r="BR13" s="26">
        <f t="shared" ref="BR13:CL13" si="1">BR9-BR12</f>
        <v>726134507.66000009</v>
      </c>
      <c r="BS13" s="26">
        <f t="shared" si="1"/>
        <v>365252949.60000002</v>
      </c>
      <c r="BT13" s="26">
        <f t="shared" si="1"/>
        <v>374143627.9799999</v>
      </c>
      <c r="BU13" s="26">
        <f t="shared" si="1"/>
        <v>358722819.64999998</v>
      </c>
      <c r="BV13" s="26">
        <f t="shared" si="1"/>
        <v>367278051.33000004</v>
      </c>
      <c r="BW13" s="26">
        <f t="shared" si="1"/>
        <v>358239260.08999997</v>
      </c>
      <c r="BX13" s="26">
        <f t="shared" si="1"/>
        <v>362637118.25</v>
      </c>
      <c r="BY13" s="26">
        <f t="shared" si="1"/>
        <v>232049026.51000002</v>
      </c>
      <c r="BZ13" s="26">
        <f t="shared" si="1"/>
        <v>123205789.72</v>
      </c>
      <c r="CA13" s="26">
        <f t="shared" si="1"/>
        <v>200766448.13000003</v>
      </c>
      <c r="CB13" s="26">
        <f t="shared" si="1"/>
        <v>125670000</v>
      </c>
      <c r="CC13" s="26">
        <f t="shared" si="1"/>
        <v>85343768.969999999</v>
      </c>
      <c r="CD13" s="26">
        <f t="shared" si="1"/>
        <v>128580000</v>
      </c>
      <c r="CE13" s="26">
        <f t="shared" si="1"/>
        <v>75789841.00000003</v>
      </c>
      <c r="CF13" s="26">
        <f t="shared" si="1"/>
        <v>117214634.18000004</v>
      </c>
      <c r="CG13" s="26">
        <f t="shared" si="1"/>
        <v>36293400</v>
      </c>
      <c r="CH13" s="26">
        <f t="shared" si="1"/>
        <v>35881300</v>
      </c>
      <c r="CI13" s="26">
        <f t="shared" si="1"/>
        <v>0</v>
      </c>
      <c r="CJ13" s="26">
        <f t="shared" si="1"/>
        <v>0</v>
      </c>
      <c r="CK13" s="26">
        <f t="shared" si="1"/>
        <v>0</v>
      </c>
      <c r="CL13" s="26">
        <f t="shared" si="1"/>
        <v>0</v>
      </c>
    </row>
    <row r="14" spans="1:90" s="48" customFormat="1">
      <c r="A14" s="46" t="s">
        <v>639</v>
      </c>
      <c r="E14" s="48">
        <f>E9</f>
        <v>21648020117.869995</v>
      </c>
      <c r="F14" s="48">
        <f t="shared" ref="F14:BQ14" si="2">F9</f>
        <v>19977252443.759998</v>
      </c>
      <c r="G14" s="48">
        <f t="shared" si="2"/>
        <v>19184800950.75</v>
      </c>
      <c r="H14" s="48">
        <f t="shared" si="2"/>
        <v>17812062616.210003</v>
      </c>
      <c r="I14" s="48">
        <f t="shared" si="2"/>
        <v>15530717701.450003</v>
      </c>
      <c r="J14" s="48">
        <f t="shared" si="2"/>
        <v>15832656774.719999</v>
      </c>
      <c r="K14" s="48">
        <f t="shared" si="2"/>
        <v>15802553578</v>
      </c>
      <c r="L14" s="48">
        <f t="shared" si="2"/>
        <v>16056035136.870003</v>
      </c>
      <c r="M14" s="48">
        <f t="shared" si="2"/>
        <v>15814986533</v>
      </c>
      <c r="N14" s="48">
        <f t="shared" si="2"/>
        <v>12683553041.919998</v>
      </c>
      <c r="O14" s="48">
        <f t="shared" si="2"/>
        <v>13812215289</v>
      </c>
      <c r="P14" s="48">
        <f t="shared" si="2"/>
        <v>12781865813</v>
      </c>
      <c r="Q14" s="48">
        <f t="shared" si="2"/>
        <v>11664917488</v>
      </c>
      <c r="R14" s="48">
        <f t="shared" si="2"/>
        <v>14114605858.76</v>
      </c>
      <c r="S14" s="48">
        <f t="shared" si="2"/>
        <v>5825268221</v>
      </c>
      <c r="T14" s="48">
        <f t="shared" si="2"/>
        <v>6089793163.5699997</v>
      </c>
      <c r="U14" s="48">
        <f t="shared" si="2"/>
        <v>6098153671</v>
      </c>
      <c r="V14" s="48">
        <f t="shared" si="2"/>
        <v>6339167686</v>
      </c>
      <c r="W14" s="48">
        <f t="shared" si="2"/>
        <v>6159887302</v>
      </c>
      <c r="X14" s="48">
        <f t="shared" si="2"/>
        <v>6379552106.5600004</v>
      </c>
      <c r="Y14" s="48">
        <f t="shared" si="2"/>
        <v>6391428582</v>
      </c>
      <c r="Z14" s="48">
        <f t="shared" si="2"/>
        <v>6700824055</v>
      </c>
      <c r="AA14" s="48">
        <f t="shared" si="2"/>
        <v>6697964695</v>
      </c>
      <c r="AB14" s="48">
        <f t="shared" si="2"/>
        <v>6558824238.130003</v>
      </c>
      <c r="AC14" s="48">
        <f t="shared" si="2"/>
        <v>6671196510</v>
      </c>
      <c r="AD14" s="48">
        <f t="shared" si="2"/>
        <v>6587659940.6899996</v>
      </c>
      <c r="AE14" s="48">
        <f t="shared" si="2"/>
        <v>6905949828</v>
      </c>
      <c r="AF14" s="48">
        <f t="shared" si="2"/>
        <v>6627020547.8099995</v>
      </c>
      <c r="AG14" s="48">
        <f t="shared" si="2"/>
        <v>6385312231</v>
      </c>
      <c r="AH14" s="48">
        <f t="shared" si="2"/>
        <v>6603502195.3600006</v>
      </c>
      <c r="AI14" s="48">
        <f t="shared" si="2"/>
        <v>6712103100.6299992</v>
      </c>
      <c r="AJ14" s="48">
        <f t="shared" si="2"/>
        <v>6230027901.9499998</v>
      </c>
      <c r="AK14" s="48">
        <f t="shared" si="2"/>
        <v>5661283893.1699991</v>
      </c>
      <c r="AL14" s="48">
        <f t="shared" si="2"/>
        <v>4851033429.6999998</v>
      </c>
      <c r="AM14" s="48">
        <f t="shared" si="2"/>
        <v>4777382499</v>
      </c>
      <c r="AN14" s="48">
        <f t="shared" si="2"/>
        <v>4453608586.3500004</v>
      </c>
      <c r="AO14" s="48">
        <f t="shared" si="2"/>
        <v>4274753574.6999998</v>
      </c>
      <c r="AP14" s="48">
        <f t="shared" si="2"/>
        <v>4446753860.2999992</v>
      </c>
      <c r="AQ14" s="48">
        <f t="shared" si="2"/>
        <v>4487493402.1999989</v>
      </c>
      <c r="AR14" s="48">
        <f t="shared" si="2"/>
        <v>4479265868.1800003</v>
      </c>
      <c r="AS14" s="48">
        <f t="shared" si="2"/>
        <v>4139330992.8500004</v>
      </c>
      <c r="AT14" s="48">
        <f t="shared" si="2"/>
        <v>4112939920.2200003</v>
      </c>
      <c r="AU14" s="48">
        <f t="shared" si="2"/>
        <v>3248908725.2600002</v>
      </c>
      <c r="AV14" s="48">
        <f t="shared" si="2"/>
        <v>1701443476.3500001</v>
      </c>
      <c r="AW14" s="48">
        <f t="shared" si="2"/>
        <v>1245009353.9200001</v>
      </c>
      <c r="AX14" s="48">
        <f t="shared" si="2"/>
        <v>1256322425.5</v>
      </c>
      <c r="AY14" s="48">
        <f t="shared" si="2"/>
        <v>1246971140.2399998</v>
      </c>
      <c r="AZ14" s="48">
        <f t="shared" si="2"/>
        <v>1186851348.4000001</v>
      </c>
      <c r="BA14" s="48">
        <f t="shared" si="2"/>
        <v>1120448419.7399998</v>
      </c>
      <c r="BB14" s="48">
        <f t="shared" si="2"/>
        <v>1188410252.96</v>
      </c>
      <c r="BC14" s="48">
        <f t="shared" si="2"/>
        <v>1206208360.5599999</v>
      </c>
      <c r="BD14" s="48">
        <f t="shared" si="2"/>
        <v>1218001214.8900001</v>
      </c>
      <c r="BE14" s="48">
        <f t="shared" si="2"/>
        <v>1242234669.1300004</v>
      </c>
      <c r="BF14" s="48">
        <f t="shared" si="2"/>
        <v>1146422002.49</v>
      </c>
      <c r="BG14" s="48">
        <f t="shared" si="2"/>
        <v>1134130782.28</v>
      </c>
      <c r="BH14" s="48">
        <f t="shared" si="2"/>
        <v>1097440338.1500001</v>
      </c>
      <c r="BI14" s="48">
        <f t="shared" si="2"/>
        <v>1029302822.9400001</v>
      </c>
      <c r="BJ14" s="48">
        <f t="shared" si="2"/>
        <v>988343243.83000004</v>
      </c>
      <c r="BK14" s="48">
        <f t="shared" si="2"/>
        <v>1001787086.0699999</v>
      </c>
      <c r="BL14" s="48">
        <f t="shared" si="2"/>
        <v>983169015.28000009</v>
      </c>
      <c r="BM14" s="48">
        <f t="shared" si="2"/>
        <v>944693918.64999998</v>
      </c>
      <c r="BN14" s="48">
        <f t="shared" si="2"/>
        <v>978138799.23000002</v>
      </c>
      <c r="BO14" s="48">
        <f t="shared" si="2"/>
        <v>910092759.95000005</v>
      </c>
      <c r="BP14" s="48">
        <f t="shared" si="2"/>
        <v>855928342.9000001</v>
      </c>
      <c r="BQ14" s="48">
        <f t="shared" si="2"/>
        <v>816438330.6500001</v>
      </c>
      <c r="BR14" s="48">
        <f t="shared" ref="BR14:CL14" si="3">BR9</f>
        <v>866504738.43000007</v>
      </c>
      <c r="BS14" s="48">
        <f t="shared" si="3"/>
        <v>537828077.10000002</v>
      </c>
      <c r="BT14" s="48">
        <f t="shared" si="3"/>
        <v>525233348.87999994</v>
      </c>
      <c r="BU14" s="48">
        <f t="shared" si="3"/>
        <v>494851852.39999998</v>
      </c>
      <c r="BV14" s="48">
        <f t="shared" si="3"/>
        <v>486269261.79000002</v>
      </c>
      <c r="BW14" s="48">
        <f t="shared" si="3"/>
        <v>453287192.31999999</v>
      </c>
      <c r="BX14" s="48">
        <f t="shared" si="3"/>
        <v>493339845.44999999</v>
      </c>
      <c r="BY14" s="48">
        <f t="shared" si="3"/>
        <v>384627891.85000002</v>
      </c>
      <c r="BZ14" s="48">
        <f t="shared" si="3"/>
        <v>123205789.72</v>
      </c>
      <c r="CA14" s="48">
        <f t="shared" si="3"/>
        <v>358617147.73000002</v>
      </c>
      <c r="CB14" s="48">
        <f t="shared" si="3"/>
        <v>125670000</v>
      </c>
      <c r="CC14" s="48">
        <f t="shared" si="3"/>
        <v>237877720.19</v>
      </c>
      <c r="CD14" s="48">
        <f t="shared" si="3"/>
        <v>128580000</v>
      </c>
      <c r="CE14" s="48">
        <f t="shared" si="3"/>
        <v>219043512.36000001</v>
      </c>
      <c r="CF14" s="48">
        <f t="shared" si="3"/>
        <v>275427043.85000002</v>
      </c>
      <c r="CG14" s="48">
        <f t="shared" si="3"/>
        <v>36293400</v>
      </c>
      <c r="CH14" s="48">
        <f t="shared" si="3"/>
        <v>35881300</v>
      </c>
      <c r="CI14" s="48">
        <f t="shared" si="3"/>
        <v>0</v>
      </c>
      <c r="CJ14" s="48">
        <f t="shared" si="3"/>
        <v>0</v>
      </c>
      <c r="CK14" s="48">
        <f t="shared" si="3"/>
        <v>0</v>
      </c>
      <c r="CL14" s="48">
        <f t="shared" si="3"/>
        <v>0</v>
      </c>
    </row>
    <row r="15" spans="1:90" s="58" customFormat="1">
      <c r="A15" s="46" t="s">
        <v>343</v>
      </c>
      <c r="E15" s="58">
        <f>E11+E13-E3-E4-E7</f>
        <v>1089119321.1099968</v>
      </c>
      <c r="F15" s="58">
        <f t="shared" ref="F15:BQ15" si="4">F11+F13-F3-F4-F7</f>
        <v>-179546523.41000366</v>
      </c>
      <c r="G15" s="58">
        <f t="shared" si="4"/>
        <v>-254709396.43000031</v>
      </c>
      <c r="H15" s="58">
        <f t="shared" si="4"/>
        <v>452200687.95000267</v>
      </c>
      <c r="I15" s="58">
        <f t="shared" si="4"/>
        <v>4228635827.7600021</v>
      </c>
      <c r="J15" s="58">
        <f t="shared" si="4"/>
        <v>4634152708.2599983</v>
      </c>
      <c r="K15" s="58">
        <f t="shared" si="4"/>
        <v>4240111081</v>
      </c>
      <c r="L15" s="58">
        <f t="shared" si="4"/>
        <v>4646409919.3799973</v>
      </c>
      <c r="M15" s="58">
        <f t="shared" si="4"/>
        <v>6150851756</v>
      </c>
      <c r="N15" s="58">
        <f t="shared" si="4"/>
        <v>1880907649.9499989</v>
      </c>
      <c r="O15" s="58">
        <f t="shared" si="4"/>
        <v>1547661401</v>
      </c>
      <c r="P15" s="58">
        <f t="shared" si="4"/>
        <v>1418851320.3899994</v>
      </c>
      <c r="Q15" s="58">
        <f t="shared" si="4"/>
        <v>-472591671</v>
      </c>
      <c r="R15" s="58">
        <f t="shared" si="4"/>
        <v>1166876161.0900002</v>
      </c>
      <c r="S15" s="58">
        <f t="shared" si="4"/>
        <v>-775997523</v>
      </c>
      <c r="T15" s="58">
        <f t="shared" si="4"/>
        <v>-333584040.55999947</v>
      </c>
      <c r="U15" s="58">
        <f t="shared" si="4"/>
        <v>-152918239</v>
      </c>
      <c r="V15" s="58">
        <f t="shared" si="4"/>
        <v>-794317384</v>
      </c>
      <c r="W15" s="58">
        <f t="shared" si="4"/>
        <v>-646373434</v>
      </c>
      <c r="X15" s="58">
        <f t="shared" si="4"/>
        <v>-1082149865.539999</v>
      </c>
      <c r="Y15" s="58">
        <f t="shared" si="4"/>
        <v>-793397237</v>
      </c>
      <c r="Z15" s="58">
        <f t="shared" si="4"/>
        <v>-830510917</v>
      </c>
      <c r="AA15" s="58">
        <f t="shared" si="4"/>
        <v>-764102925</v>
      </c>
      <c r="AB15" s="58">
        <f t="shared" si="4"/>
        <v>-213808010.07999897</v>
      </c>
      <c r="AC15" s="58">
        <f t="shared" si="4"/>
        <v>-254461569</v>
      </c>
      <c r="AD15" s="58">
        <f t="shared" si="4"/>
        <v>5947636.9900007248</v>
      </c>
      <c r="AE15" s="58">
        <f t="shared" si="4"/>
        <v>5143496</v>
      </c>
      <c r="AF15" s="58">
        <f t="shared" si="4"/>
        <v>-223029.35999965668</v>
      </c>
      <c r="AG15" s="58">
        <f t="shared" si="4"/>
        <v>108389032</v>
      </c>
      <c r="AH15" s="58">
        <f t="shared" si="4"/>
        <v>-72271672.720000267</v>
      </c>
      <c r="AI15" s="58">
        <f t="shared" si="4"/>
        <v>437395595.24999905</v>
      </c>
      <c r="AJ15" s="58">
        <f t="shared" si="4"/>
        <v>-42948604.670000076</v>
      </c>
      <c r="AK15" s="58">
        <f t="shared" si="4"/>
        <v>276952313.90999985</v>
      </c>
      <c r="AL15" s="58">
        <f t="shared" si="4"/>
        <v>398500631.05000019</v>
      </c>
      <c r="AM15" s="58">
        <f t="shared" si="4"/>
        <v>316722658.32999945</v>
      </c>
      <c r="AN15" s="58">
        <f t="shared" si="4"/>
        <v>245157906.36000061</v>
      </c>
      <c r="AO15" s="58">
        <f t="shared" si="4"/>
        <v>140427540.08999968</v>
      </c>
      <c r="AP15" s="58">
        <f t="shared" si="4"/>
        <v>327910789.17999935</v>
      </c>
      <c r="AQ15" s="58">
        <f t="shared" si="4"/>
        <v>475866159.85999966</v>
      </c>
      <c r="AR15" s="58">
        <f t="shared" si="4"/>
        <v>645266431.55000019</v>
      </c>
      <c r="AS15" s="58">
        <f t="shared" si="4"/>
        <v>763422331.53000021</v>
      </c>
      <c r="AT15" s="58">
        <f t="shared" si="4"/>
        <v>1335586531.0700002</v>
      </c>
      <c r="AU15" s="58">
        <f t="shared" si="4"/>
        <v>1226711246.5900004</v>
      </c>
      <c r="AV15" s="58">
        <f t="shared" si="4"/>
        <v>-39972268.00999999</v>
      </c>
      <c r="AW15" s="58">
        <f t="shared" si="4"/>
        <v>-240242400.9199999</v>
      </c>
      <c r="AX15" s="58">
        <f t="shared" si="4"/>
        <v>-155207594.82999992</v>
      </c>
      <c r="AY15" s="58">
        <f t="shared" si="4"/>
        <v>-173728866.93000013</v>
      </c>
      <c r="AZ15" s="58">
        <f t="shared" si="4"/>
        <v>-147730335.19999987</v>
      </c>
      <c r="BA15" s="58">
        <f t="shared" si="4"/>
        <v>-174353754.85999995</v>
      </c>
      <c r="BB15" s="58">
        <f t="shared" si="4"/>
        <v>-259479069.43999994</v>
      </c>
      <c r="BC15" s="58">
        <f t="shared" si="4"/>
        <v>-294501716.38000011</v>
      </c>
      <c r="BD15" s="58">
        <f t="shared" si="4"/>
        <v>-225841806.39999992</v>
      </c>
      <c r="BE15" s="58">
        <f t="shared" si="4"/>
        <v>-191755927.3499999</v>
      </c>
      <c r="BF15" s="58">
        <f t="shared" si="4"/>
        <v>-312268375.35999995</v>
      </c>
      <c r="BG15" s="58">
        <f t="shared" si="4"/>
        <v>-267633499.49000013</v>
      </c>
      <c r="BH15" s="58">
        <f t="shared" si="4"/>
        <v>-217435339.90999997</v>
      </c>
      <c r="BI15" s="58">
        <f t="shared" si="4"/>
        <v>-241872646.07000005</v>
      </c>
      <c r="BJ15" s="58">
        <f t="shared" si="4"/>
        <v>-177965441.94</v>
      </c>
      <c r="BK15" s="58">
        <f t="shared" si="4"/>
        <v>-165948981.21000004</v>
      </c>
      <c r="BL15" s="58">
        <f t="shared" si="4"/>
        <v>-112661196.38999999</v>
      </c>
      <c r="BM15" s="58">
        <f t="shared" si="4"/>
        <v>-97732472.360000014</v>
      </c>
      <c r="BN15" s="58">
        <f t="shared" si="4"/>
        <v>-144139805.95000005</v>
      </c>
      <c r="BO15" s="58">
        <f t="shared" si="4"/>
        <v>211120816.70999995</v>
      </c>
      <c r="BP15" s="58">
        <f t="shared" si="4"/>
        <v>243222017.25000003</v>
      </c>
      <c r="BQ15" s="58">
        <f t="shared" si="4"/>
        <v>247992040.90000001</v>
      </c>
      <c r="BR15" s="58">
        <f t="shared" ref="BR15:CL15" si="5">BR11+BR13-BR3-BR4-BR7</f>
        <v>227633089.5500001</v>
      </c>
      <c r="BS15" s="58">
        <f t="shared" si="5"/>
        <v>-120284580.57000002</v>
      </c>
      <c r="BT15" s="58">
        <f t="shared" si="5"/>
        <v>-98203872.830000073</v>
      </c>
      <c r="BU15" s="58">
        <f t="shared" si="5"/>
        <v>-87740694.140000015</v>
      </c>
      <c r="BV15" s="58">
        <f t="shared" si="5"/>
        <v>-51137908.99999997</v>
      </c>
      <c r="BW15" s="58">
        <f t="shared" si="5"/>
        <v>-25732162.379999995</v>
      </c>
      <c r="BX15" s="58">
        <f t="shared" si="5"/>
        <v>26476966.749999985</v>
      </c>
      <c r="BY15" s="58">
        <f t="shared" si="5"/>
        <v>-88814666.639999986</v>
      </c>
      <c r="BZ15" s="58">
        <f t="shared" si="5"/>
        <v>0</v>
      </c>
      <c r="CA15" s="58">
        <f t="shared" si="5"/>
        <v>-110572559.43999997</v>
      </c>
      <c r="CB15" s="58">
        <f t="shared" si="5"/>
        <v>0</v>
      </c>
      <c r="CC15" s="58">
        <f t="shared" si="5"/>
        <v>-130293163.84999999</v>
      </c>
      <c r="CD15" s="58">
        <f t="shared" si="5"/>
        <v>0</v>
      </c>
      <c r="CE15" s="58">
        <f t="shared" si="5"/>
        <v>-120357855.16999997</v>
      </c>
      <c r="CF15" s="58">
        <f t="shared" si="5"/>
        <v>-113403248.56999998</v>
      </c>
      <c r="CG15" s="58">
        <f t="shared" si="5"/>
        <v>0</v>
      </c>
      <c r="CH15" s="58">
        <f t="shared" si="5"/>
        <v>0</v>
      </c>
      <c r="CI15" s="58">
        <f t="shared" si="5"/>
        <v>0</v>
      </c>
      <c r="CJ15" s="58">
        <f t="shared" si="5"/>
        <v>0</v>
      </c>
      <c r="CK15" s="58">
        <f t="shared" si="5"/>
        <v>0</v>
      </c>
      <c r="CL15" s="58">
        <f t="shared" si="5"/>
        <v>0</v>
      </c>
    </row>
    <row r="16" spans="1:90" s="58" customFormat="1">
      <c r="A16" s="46" t="s">
        <v>344</v>
      </c>
      <c r="E16" s="58">
        <f>E10-E2</f>
        <v>-1089119321.1099997</v>
      </c>
      <c r="F16" s="58">
        <f t="shared" ref="F16:BQ16" si="6">F10-F2</f>
        <v>179546523.40999985</v>
      </c>
      <c r="G16" s="58">
        <f t="shared" si="6"/>
        <v>254709396.42999983</v>
      </c>
      <c r="H16" s="58">
        <f t="shared" si="6"/>
        <v>-452200687.94999981</v>
      </c>
      <c r="I16" s="58">
        <f t="shared" si="6"/>
        <v>-4228635827.7600002</v>
      </c>
      <c r="J16" s="58">
        <f t="shared" si="6"/>
        <v>-4634152708.2600002</v>
      </c>
      <c r="K16" s="58">
        <f t="shared" si="6"/>
        <v>-4240111081</v>
      </c>
      <c r="L16" s="58">
        <f t="shared" si="6"/>
        <v>-4646409919.3800001</v>
      </c>
      <c r="M16" s="58">
        <f t="shared" si="6"/>
        <v>-6150851756</v>
      </c>
      <c r="N16" s="58">
        <f t="shared" si="6"/>
        <v>-1880907649.9500003</v>
      </c>
      <c r="O16" s="58">
        <f t="shared" si="6"/>
        <v>-1547661401</v>
      </c>
      <c r="P16" s="58">
        <f t="shared" si="6"/>
        <v>-1418851320.3900001</v>
      </c>
      <c r="Q16" s="58">
        <f t="shared" si="6"/>
        <v>472591671</v>
      </c>
      <c r="R16" s="58">
        <f t="shared" si="6"/>
        <v>-1166876161.0899997</v>
      </c>
      <c r="S16" s="58">
        <f t="shared" si="6"/>
        <v>775997523</v>
      </c>
      <c r="T16" s="58">
        <f t="shared" si="6"/>
        <v>333584040.56000006</v>
      </c>
      <c r="U16" s="58">
        <f t="shared" si="6"/>
        <v>152918239</v>
      </c>
      <c r="V16" s="58">
        <f t="shared" si="6"/>
        <v>794317384</v>
      </c>
      <c r="W16" s="58">
        <f t="shared" si="6"/>
        <v>646373434</v>
      </c>
      <c r="X16" s="58">
        <f t="shared" si="6"/>
        <v>1082149865.54</v>
      </c>
      <c r="Y16" s="58">
        <f t="shared" si="6"/>
        <v>793397237</v>
      </c>
      <c r="Z16" s="58">
        <f t="shared" si="6"/>
        <v>830510917</v>
      </c>
      <c r="AA16" s="58">
        <f t="shared" si="6"/>
        <v>764102925</v>
      </c>
      <c r="AB16" s="58">
        <f t="shared" si="6"/>
        <v>213808010.07999992</v>
      </c>
      <c r="AC16" s="58">
        <f t="shared" si="6"/>
        <v>254461569</v>
      </c>
      <c r="AD16" s="58">
        <f t="shared" si="6"/>
        <v>-5947636.9899998903</v>
      </c>
      <c r="AE16" s="58">
        <f t="shared" si="6"/>
        <v>-5143496</v>
      </c>
      <c r="AF16" s="58">
        <f t="shared" si="6"/>
        <v>223029.36000013351</v>
      </c>
      <c r="AG16" s="58">
        <f t="shared" si="6"/>
        <v>-108389032</v>
      </c>
      <c r="AH16" s="58">
        <f t="shared" si="6"/>
        <v>72271672.720000029</v>
      </c>
      <c r="AI16" s="58">
        <f t="shared" si="6"/>
        <v>-437395595.25</v>
      </c>
      <c r="AJ16" s="58">
        <f t="shared" si="6"/>
        <v>42948604.670000076</v>
      </c>
      <c r="AK16" s="58">
        <f t="shared" si="6"/>
        <v>-276952313.91000009</v>
      </c>
      <c r="AL16" s="58">
        <f t="shared" si="6"/>
        <v>-398500631.04999995</v>
      </c>
      <c r="AM16" s="58">
        <f t="shared" si="6"/>
        <v>-316722658.32999998</v>
      </c>
      <c r="AN16" s="58">
        <f t="shared" si="6"/>
        <v>-245157906.36000001</v>
      </c>
      <c r="AO16" s="58">
        <f t="shared" si="6"/>
        <v>-140427540.09000003</v>
      </c>
      <c r="AP16" s="58">
        <f t="shared" si="6"/>
        <v>-327910789.17999995</v>
      </c>
      <c r="AQ16" s="58">
        <f t="shared" si="6"/>
        <v>-475866159.86000007</v>
      </c>
      <c r="AR16" s="58">
        <f t="shared" si="6"/>
        <v>-645266431.54999995</v>
      </c>
      <c r="AS16" s="58">
        <f t="shared" si="6"/>
        <v>-763422331.53000009</v>
      </c>
      <c r="AT16" s="58">
        <f t="shared" si="6"/>
        <v>-1335586531.0700002</v>
      </c>
      <c r="AU16" s="58">
        <f t="shared" si="6"/>
        <v>-1226711246.5899999</v>
      </c>
      <c r="AV16" s="58">
        <f t="shared" si="6"/>
        <v>39972268.00999999</v>
      </c>
      <c r="AW16" s="58">
        <f t="shared" si="6"/>
        <v>240242400.92000002</v>
      </c>
      <c r="AX16" s="58">
        <f t="shared" si="6"/>
        <v>155207594.83000001</v>
      </c>
      <c r="AY16" s="58">
        <f t="shared" si="6"/>
        <v>173728866.93000001</v>
      </c>
      <c r="AZ16" s="58">
        <f t="shared" si="6"/>
        <v>147730335.19999999</v>
      </c>
      <c r="BA16" s="58">
        <f t="shared" si="6"/>
        <v>174353754.86000001</v>
      </c>
      <c r="BB16" s="58">
        <f t="shared" si="6"/>
        <v>259479069.44</v>
      </c>
      <c r="BC16" s="58">
        <f t="shared" si="6"/>
        <v>294501716.38</v>
      </c>
      <c r="BD16" s="58">
        <f t="shared" si="6"/>
        <v>225841806.40000001</v>
      </c>
      <c r="BE16" s="58">
        <f t="shared" si="6"/>
        <v>191755927.34999999</v>
      </c>
      <c r="BF16" s="58">
        <f t="shared" si="6"/>
        <v>312268375.36000001</v>
      </c>
      <c r="BG16" s="58">
        <f t="shared" si="6"/>
        <v>267633499.49000001</v>
      </c>
      <c r="BH16" s="58">
        <f t="shared" si="6"/>
        <v>217435339.91</v>
      </c>
      <c r="BI16" s="58">
        <f t="shared" si="6"/>
        <v>241872646.06999999</v>
      </c>
      <c r="BJ16" s="58">
        <f t="shared" si="6"/>
        <v>177965441.94</v>
      </c>
      <c r="BK16" s="58">
        <f t="shared" si="6"/>
        <v>165948981.20999998</v>
      </c>
      <c r="BL16" s="58">
        <f t="shared" si="6"/>
        <v>112661196.38999999</v>
      </c>
      <c r="BM16" s="58">
        <f t="shared" si="6"/>
        <v>97732472.359999985</v>
      </c>
      <c r="BN16" s="58">
        <f t="shared" si="6"/>
        <v>144139805.95000002</v>
      </c>
      <c r="BO16" s="58">
        <f t="shared" si="6"/>
        <v>-211120816.71000004</v>
      </c>
      <c r="BP16" s="58">
        <f t="shared" si="6"/>
        <v>-243222017.25</v>
      </c>
      <c r="BQ16" s="58">
        <f t="shared" si="6"/>
        <v>-247992040.90000004</v>
      </c>
      <c r="BR16" s="58">
        <f t="shared" ref="BR16:CL16" si="7">BR10-BR2</f>
        <v>-227633089.55000004</v>
      </c>
      <c r="BS16" s="58">
        <f t="shared" si="7"/>
        <v>120284580.56999999</v>
      </c>
      <c r="BT16" s="58">
        <f t="shared" si="7"/>
        <v>98203872.830000013</v>
      </c>
      <c r="BU16" s="58">
        <f t="shared" si="7"/>
        <v>87740694.140000001</v>
      </c>
      <c r="BV16" s="58">
        <f t="shared" si="7"/>
        <v>51137908.999999985</v>
      </c>
      <c r="BW16" s="58">
        <f t="shared" si="7"/>
        <v>25732162.38000001</v>
      </c>
      <c r="BX16" s="58">
        <f t="shared" si="7"/>
        <v>-26476966.749999985</v>
      </c>
      <c r="BY16" s="58">
        <f t="shared" si="7"/>
        <v>88814666.640000001</v>
      </c>
      <c r="BZ16" s="58">
        <f t="shared" si="7"/>
        <v>0</v>
      </c>
      <c r="CA16" s="58">
        <f t="shared" si="7"/>
        <v>110572559.44</v>
      </c>
      <c r="CB16" s="58">
        <f t="shared" si="7"/>
        <v>0</v>
      </c>
      <c r="CC16" s="58">
        <f t="shared" si="7"/>
        <v>130293163.85000001</v>
      </c>
      <c r="CD16" s="58">
        <f t="shared" si="7"/>
        <v>0</v>
      </c>
      <c r="CE16" s="58">
        <f t="shared" si="7"/>
        <v>120357855.16999999</v>
      </c>
      <c r="CF16" s="58">
        <f t="shared" si="7"/>
        <v>113403248.56999999</v>
      </c>
      <c r="CG16" s="58">
        <f t="shared" si="7"/>
        <v>0</v>
      </c>
      <c r="CH16" s="58">
        <f t="shared" si="7"/>
        <v>0</v>
      </c>
      <c r="CI16" s="58">
        <f t="shared" si="7"/>
        <v>0</v>
      </c>
      <c r="CJ16" s="58">
        <f t="shared" si="7"/>
        <v>0</v>
      </c>
      <c r="CK16" s="58">
        <f t="shared" si="7"/>
        <v>0</v>
      </c>
      <c r="CL16" s="58">
        <f t="shared" si="7"/>
        <v>0</v>
      </c>
    </row>
    <row r="17" spans="1:90" s="59" customFormat="1">
      <c r="A17" s="66" t="s">
        <v>664</v>
      </c>
      <c r="E17" s="59">
        <f>(E11+E13-E7-E3)/E4</f>
        <v>-0.12549805122838886</v>
      </c>
      <c r="F17" s="59">
        <f t="shared" ref="F17:BQ17" si="8">(F11+F13-F7-F3)/F4</f>
        <v>1.2238879356198555</v>
      </c>
      <c r="G17" s="59">
        <f t="shared" si="8"/>
        <v>-1.0501238526411176</v>
      </c>
      <c r="H17" s="59">
        <f t="shared" si="8"/>
        <v>2.1090186429589157</v>
      </c>
      <c r="I17" s="59">
        <f t="shared" si="8"/>
        <v>-2.6563388427153756</v>
      </c>
      <c r="J17" s="59">
        <f t="shared" si="8"/>
        <v>-7.4703328476400497</v>
      </c>
      <c r="K17" s="59">
        <f t="shared" si="8"/>
        <v>9.8957001426828732</v>
      </c>
      <c r="L17" s="59">
        <f t="shared" si="8"/>
        <v>67.948507360855686</v>
      </c>
      <c r="M17" s="59">
        <f t="shared" si="8"/>
        <v>-2.3175332830689306</v>
      </c>
      <c r="N17" s="59">
        <f t="shared" si="8"/>
        <v>-5.4096596576727087</v>
      </c>
      <c r="O17" s="59">
        <f t="shared" si="8"/>
        <v>6.5109565797862059</v>
      </c>
      <c r="P17" s="59">
        <f t="shared" si="8"/>
        <v>-34.552436735023335</v>
      </c>
      <c r="Q17" s="59">
        <f t="shared" si="8"/>
        <v>-0.30418879487139111</v>
      </c>
      <c r="R17" s="59">
        <f t="shared" si="8"/>
        <v>3.7087273517447477</v>
      </c>
      <c r="S17" s="59">
        <f t="shared" si="8"/>
        <v>-2.5773303364306446</v>
      </c>
      <c r="T17" s="59">
        <f t="shared" si="8"/>
        <v>-0.3210276693585245</v>
      </c>
      <c r="U17" s="59">
        <f t="shared" si="8"/>
        <v>-17.123046019935579</v>
      </c>
      <c r="V17" s="59">
        <f t="shared" si="8"/>
        <v>-0.18014350430032253</v>
      </c>
      <c r="W17" s="59">
        <f t="shared" si="8"/>
        <v>-1.0346296681419136</v>
      </c>
      <c r="X17" s="59">
        <f t="shared" si="8"/>
        <v>-1.7496032886987607</v>
      </c>
      <c r="Y17" s="59">
        <f t="shared" si="8"/>
        <v>-1.581461497987499</v>
      </c>
      <c r="Z17" s="59">
        <f t="shared" si="8"/>
        <v>-0.12130767047506531</v>
      </c>
      <c r="AA17" s="59">
        <f t="shared" si="8"/>
        <v>-0.25079300685141714</v>
      </c>
      <c r="AB17" s="59">
        <f t="shared" si="8"/>
        <v>1.3060618128378451E-2</v>
      </c>
      <c r="AC17" s="59">
        <f t="shared" si="8"/>
        <v>0.11520806303841158</v>
      </c>
      <c r="AD17" s="59">
        <f t="shared" si="8"/>
        <v>1.0259645491124672</v>
      </c>
      <c r="AE17" s="59">
        <f t="shared" si="8"/>
        <v>1.0191307408604697</v>
      </c>
      <c r="AF17" s="59">
        <f t="shared" si="8"/>
        <v>0.99828312048967005</v>
      </c>
      <c r="AG17" s="59">
        <f t="shared" si="8"/>
        <v>0.13598147637428698</v>
      </c>
      <c r="AH17" s="59">
        <f t="shared" si="8"/>
        <v>0.6985416424246923</v>
      </c>
      <c r="AI17" s="59">
        <f t="shared" si="8"/>
        <v>5.709005840808107</v>
      </c>
      <c r="AJ17" s="59">
        <f t="shared" si="8"/>
        <v>0.68165087530969048</v>
      </c>
      <c r="AK17" s="59">
        <f t="shared" si="8"/>
        <v>-1.4301290878515687</v>
      </c>
      <c r="AL17" s="59">
        <f t="shared" si="8"/>
        <v>-1.0290849600539298</v>
      </c>
      <c r="AM17" s="59">
        <f t="shared" si="8"/>
        <v>-1.1084146518313556</v>
      </c>
      <c r="AN17" s="59">
        <f t="shared" si="8"/>
        <v>-2.313692193076978</v>
      </c>
      <c r="AO17" s="59">
        <f t="shared" si="8"/>
        <v>-1.8969650236471953</v>
      </c>
      <c r="AP17" s="59">
        <f t="shared" si="8"/>
        <v>2.5122791441038257</v>
      </c>
      <c r="AQ17" s="59">
        <f t="shared" si="8"/>
        <v>2.1271295291566719</v>
      </c>
      <c r="AR17" s="59">
        <f t="shared" si="8"/>
        <v>2.0681420415000953</v>
      </c>
      <c r="AS17" s="59">
        <f t="shared" si="8"/>
        <v>2.6505641591358953</v>
      </c>
      <c r="AT17" s="59">
        <f t="shared" si="8"/>
        <v>4.5678414427017575</v>
      </c>
      <c r="AU17" s="59">
        <f t="shared" si="8"/>
        <v>4.5657960180198787</v>
      </c>
      <c r="AV17" s="59">
        <f t="shared" si="8"/>
        <v>0.88770804012432492</v>
      </c>
      <c r="AW17" s="59">
        <f t="shared" si="8"/>
        <v>0.40475076911733487</v>
      </c>
      <c r="AX17" s="59">
        <f t="shared" si="8"/>
        <v>0.59444527905586142</v>
      </c>
      <c r="AY17" s="59">
        <f t="shared" si="8"/>
        <v>0.61640675344026685</v>
      </c>
      <c r="AZ17" s="59">
        <f t="shared" si="8"/>
        <v>0.62773359649113369</v>
      </c>
      <c r="BA17" s="59">
        <f t="shared" si="8"/>
        <v>0.60898213321931416</v>
      </c>
      <c r="BB17" s="59">
        <f t="shared" si="8"/>
        <v>0.37109726794721476</v>
      </c>
      <c r="BC17" s="59">
        <f t="shared" si="8"/>
        <v>0.3170303637634404</v>
      </c>
      <c r="BD17" s="59">
        <f t="shared" si="8"/>
        <v>0.51278518260315098</v>
      </c>
      <c r="BE17" s="59">
        <f t="shared" si="8"/>
        <v>0.53045372198835805</v>
      </c>
      <c r="BF17" s="59">
        <f t="shared" si="8"/>
        <v>0.31425725462003562</v>
      </c>
      <c r="BG17" s="59">
        <f t="shared" si="8"/>
        <v>0.32262920052435001</v>
      </c>
      <c r="BH17" s="59">
        <f t="shared" si="8"/>
        <v>0.33231267692185401</v>
      </c>
      <c r="BI17" s="59">
        <f t="shared" si="8"/>
        <v>0.24449203130930999</v>
      </c>
      <c r="BJ17" s="59">
        <f t="shared" si="8"/>
        <v>0.36536135181346496</v>
      </c>
      <c r="BK17" s="59">
        <f t="shared" si="8"/>
        <v>0.38019677950839881</v>
      </c>
      <c r="BL17" s="59">
        <f t="shared" si="8"/>
        <v>0.53296832130362792</v>
      </c>
      <c r="BM17" s="59">
        <f t="shared" si="8"/>
        <v>0.55804570307707257</v>
      </c>
      <c r="BN17" s="59">
        <f t="shared" si="8"/>
        <v>0.74956313180692657</v>
      </c>
      <c r="BO17" s="59">
        <f t="shared" si="8"/>
        <v>1.8008852704120224</v>
      </c>
      <c r="BP17" s="59">
        <f t="shared" si="8"/>
        <v>2.0262727115376649</v>
      </c>
      <c r="BQ17" s="59">
        <f t="shared" si="8"/>
        <v>2.088370055266207</v>
      </c>
      <c r="BR17" s="59">
        <f t="shared" ref="BR17:CL17" si="9">(BR11+BR13-BR7-BR3)/BR4</f>
        <v>1.8582461034956981</v>
      </c>
      <c r="BS17" s="59">
        <f t="shared" si="9"/>
        <v>0.54187535634909378</v>
      </c>
      <c r="BT17" s="59">
        <f t="shared" si="9"/>
        <v>0.5949966702366285</v>
      </c>
      <c r="BU17" s="59">
        <f t="shared" si="9"/>
        <v>0.60325171516817655</v>
      </c>
      <c r="BV17" s="59">
        <f t="shared" si="9"/>
        <v>0.72639898621750809</v>
      </c>
      <c r="BW17" s="59">
        <f t="shared" si="9"/>
        <v>0.82147068199269313</v>
      </c>
      <c r="BX17" s="59">
        <f t="shared" si="9"/>
        <v>1.1043443839278342</v>
      </c>
      <c r="BY17" s="59">
        <f t="shared" si="9"/>
        <v>0.62556898871141164</v>
      </c>
      <c r="BZ17" s="59" t="e">
        <f t="shared" si="9"/>
        <v>#DIV/0!</v>
      </c>
      <c r="CA17" s="59">
        <f t="shared" si="9"/>
        <v>0.44275561760982757</v>
      </c>
      <c r="CB17" s="59" t="e">
        <f t="shared" si="9"/>
        <v>#DIV/0!</v>
      </c>
      <c r="CC17" s="59">
        <f t="shared" si="9"/>
        <v>-0.61536771821333891</v>
      </c>
      <c r="CD17" s="59" t="e">
        <f t="shared" si="9"/>
        <v>#DIV/0!</v>
      </c>
      <c r="CE17" s="59">
        <f t="shared" si="9"/>
        <v>-1.104275319222912</v>
      </c>
      <c r="CF17" s="59">
        <f t="shared" si="9"/>
        <v>-0.32167873592726542</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c r="A18" s="277" t="s">
        <v>743</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c r="A19" s="113" t="s">
        <v>573</v>
      </c>
      <c r="B19" s="114"/>
      <c r="C19" s="114"/>
      <c r="D19" s="114"/>
      <c r="E19" s="114" t="s">
        <v>566</v>
      </c>
      <c r="F19" s="114"/>
      <c r="G19" s="114"/>
      <c r="H19" s="114"/>
      <c r="I19" s="114" t="s">
        <v>601</v>
      </c>
      <c r="M19" s="114" t="s">
        <v>568</v>
      </c>
      <c r="N19" s="63"/>
      <c r="O19" s="63"/>
      <c r="P19" s="63"/>
      <c r="Q19" s="63"/>
      <c r="R19" s="63"/>
      <c r="S19" s="63"/>
      <c r="T19" s="63"/>
      <c r="U19" s="63"/>
    </row>
    <row r="20" spans="1:90" s="63" customFormat="1" ht="14.25" customHeight="1">
      <c r="A20" s="113" t="s">
        <v>574</v>
      </c>
      <c r="B20" s="115"/>
      <c r="C20" s="115"/>
      <c r="D20" s="115"/>
      <c r="E20" s="115">
        <f>POWER(E9/U9,1/5)-1</f>
        <v>0.28837996808497257</v>
      </c>
      <c r="F20" s="115"/>
      <c r="G20" s="115"/>
      <c r="H20" s="115"/>
      <c r="I20" s="115">
        <f>POWER(E9/Y9,1/6)-1</f>
        <v>0.22547194620959576</v>
      </c>
      <c r="M20" s="115">
        <f>POWER(E9/AC9,1/7)-1</f>
        <v>0.18312501170099282</v>
      </c>
    </row>
    <row r="21" spans="1:90" s="63" customFormat="1" ht="14.25" customHeight="1">
      <c r="A21" s="113" t="s">
        <v>572</v>
      </c>
      <c r="B21" s="115"/>
      <c r="C21" s="115"/>
      <c r="D21" s="115"/>
      <c r="E21" s="115">
        <f>POWER(E4/U4,1/5)-1</f>
        <v>-3.5816687870742467</v>
      </c>
      <c r="F21" s="115"/>
      <c r="G21" s="115"/>
      <c r="H21" s="115"/>
      <c r="I21" s="115" t="e">
        <f>POWER(E4/Y4,1/6)-1</f>
        <v>#NUM!</v>
      </c>
      <c r="M21" s="115">
        <f>POWER(E4/AC4,1/7)-1</f>
        <v>-2.1892646894300181</v>
      </c>
    </row>
    <row r="22" spans="1:90" s="63" customFormat="1" ht="14.25" customHeight="1">
      <c r="A22" s="113" t="s">
        <v>575</v>
      </c>
      <c r="B22" s="115"/>
      <c r="C22" s="115"/>
      <c r="D22" s="115"/>
      <c r="E22" s="115">
        <f>POWER(E5/U5,1/5)-1</f>
        <v>0.29969367355504772</v>
      </c>
      <c r="F22" s="115"/>
      <c r="G22" s="115"/>
      <c r="H22" s="115"/>
      <c r="I22" s="115">
        <f>POWER(E5/Y5,1/6)-1</f>
        <v>0.26361333804695763</v>
      </c>
      <c r="M22" s="115">
        <f>POWER(E5/AC5,1/7)-1</f>
        <v>0.2272958335170101</v>
      </c>
    </row>
    <row r="23" spans="1:90" s="63" customFormat="1" ht="14.25" customHeight="1">
      <c r="A23" s="113" t="s">
        <v>576</v>
      </c>
      <c r="B23" s="115"/>
      <c r="C23" s="115"/>
      <c r="D23" s="115"/>
      <c r="E23" s="115">
        <f>POWER(E6/U6,1/5)-1</f>
        <v>0.33499515714556471</v>
      </c>
      <c r="F23" s="115"/>
      <c r="G23" s="115"/>
      <c r="H23" s="115"/>
      <c r="I23" s="115">
        <f>POWER(E6/Y6,1/6)-1</f>
        <v>0.33427582519898458</v>
      </c>
      <c r="M23" s="115">
        <f>POWER(E6/AC6,1/7)-1</f>
        <v>0.28446288654134078</v>
      </c>
    </row>
    <row r="24" spans="1:90" s="63" customFormat="1" ht="14.25" customHeight="1">
      <c r="A24" s="113" t="s">
        <v>577</v>
      </c>
      <c r="B24" s="115"/>
      <c r="C24" s="115"/>
      <c r="D24" s="115"/>
      <c r="E24" s="115">
        <f>POWER(E7/U7,1/5)-1</f>
        <v>0.29637884945742932</v>
      </c>
      <c r="F24" s="115"/>
      <c r="G24" s="115"/>
      <c r="H24" s="115"/>
      <c r="I24" s="115">
        <f>POWER(E7/Y7,1/6)-1</f>
        <v>0.22158628340904696</v>
      </c>
      <c r="M24" s="115">
        <f>POWER(E7/AC7,1/7)-1</f>
        <v>0.18466652496029901</v>
      </c>
    </row>
    <row r="25" spans="1:90" s="107" customFormat="1">
      <c r="A25" s="142" t="s">
        <v>553</v>
      </c>
      <c r="B25" s="108"/>
      <c r="C25" s="108"/>
      <c r="D25" s="108"/>
      <c r="E25" s="108">
        <f>(E2-I2)/I2</f>
        <v>-3.877443731743721E-2</v>
      </c>
      <c r="F25" s="108">
        <f t="shared" ref="F25:BQ25" si="10">(F2-J2)/J2</f>
        <v>-0.37649355802032031</v>
      </c>
      <c r="G25" s="108">
        <f t="shared" si="10"/>
        <v>-0.4647384757557172</v>
      </c>
      <c r="H25" s="108">
        <f t="shared" si="10"/>
        <v>-0.62876335649962922</v>
      </c>
      <c r="I25" s="108">
        <f t="shared" si="10"/>
        <v>-0.39037288362423306</v>
      </c>
      <c r="J25" s="107">
        <f t="shared" si="10"/>
        <v>0.91365228656731379</v>
      </c>
      <c r="K25" s="107">
        <f t="shared" si="10"/>
        <v>0.46576127658949062</v>
      </c>
      <c r="L25" s="107">
        <f t="shared" si="10"/>
        <v>1.1895192440938751</v>
      </c>
      <c r="M25" s="108">
        <f t="shared" si="10"/>
        <v>7.4107055307078102</v>
      </c>
      <c r="N25" s="108">
        <f t="shared" si="10"/>
        <v>-0.18904082884134049</v>
      </c>
      <c r="O25" s="108">
        <f t="shared" si="10"/>
        <v>4.6315767044764176</v>
      </c>
      <c r="P25" s="108">
        <f t="shared" si="10"/>
        <v>2.0171563904594585</v>
      </c>
      <c r="Q25" s="108">
        <f t="shared" si="10"/>
        <v>-0.13445176177499693</v>
      </c>
      <c r="R25" s="108">
        <f t="shared" si="10"/>
        <v>6.4698714400538035</v>
      </c>
      <c r="S25" s="108">
        <f t="shared" si="10"/>
        <v>0.17283670776171509</v>
      </c>
      <c r="T25" s="108">
        <f t="shared" si="10"/>
        <v>0.60716022596887598</v>
      </c>
      <c r="U25" s="108">
        <f t="shared" si="10"/>
        <v>0.93727544148163944</v>
      </c>
      <c r="V25" s="107">
        <f t="shared" si="10"/>
        <v>-0.2020225903947529</v>
      </c>
      <c r="W25" s="107">
        <f t="shared" si="10"/>
        <v>-0.18496793518369242</v>
      </c>
      <c r="X25" s="107">
        <f t="shared" si="10"/>
        <v>-0.34106644504704092</v>
      </c>
      <c r="Y25" s="107">
        <f t="shared" si="10"/>
        <v>-0.29700693043744997</v>
      </c>
      <c r="Z25" s="107">
        <f t="shared" si="10"/>
        <v>-0.35838643955835292</v>
      </c>
      <c r="AA25" s="107">
        <f t="shared" si="10"/>
        <v>-0.43629713395548853</v>
      </c>
      <c r="AB25" s="107">
        <f t="shared" si="10"/>
        <v>-0.10424110488874866</v>
      </c>
      <c r="AC25" s="107">
        <f t="shared" si="10"/>
        <v>-0.16608835123900159</v>
      </c>
      <c r="AD25" s="107">
        <f t="shared" si="10"/>
        <v>-7.6413067653508873E-2</v>
      </c>
      <c r="AE25" s="107">
        <f t="shared" si="10"/>
        <v>-0.27737049925175805</v>
      </c>
      <c r="AF25" s="107">
        <f t="shared" si="10"/>
        <v>-0.17708640562928471</v>
      </c>
      <c r="AG25" s="107">
        <f t="shared" si="10"/>
        <v>-0.25615008680156021</v>
      </c>
      <c r="AH25" s="107">
        <f t="shared" si="10"/>
        <v>5.8070866768922987E-2</v>
      </c>
      <c r="AI25" s="107">
        <f t="shared" si="10"/>
        <v>0.78586702238126804</v>
      </c>
      <c r="AJ25" s="107">
        <f t="shared" si="10"/>
        <v>1.0689901222174087</v>
      </c>
      <c r="AK25" s="107">
        <f t="shared" si="10"/>
        <v>2.7275759209198585</v>
      </c>
      <c r="AL25" s="107">
        <f t="shared" si="10"/>
        <v>0.61017142297187776</v>
      </c>
      <c r="AM25" s="107">
        <f t="shared" si="10"/>
        <v>0.12751461137146633</v>
      </c>
      <c r="AN25" s="107">
        <f t="shared" si="10"/>
        <v>-0.42073799602839834</v>
      </c>
      <c r="AO25" s="107">
        <f t="shared" si="10"/>
        <v>-0.65457413378623552</v>
      </c>
      <c r="AP25" s="107">
        <f t="shared" si="10"/>
        <v>-0.60806713871629625</v>
      </c>
      <c r="AQ25" s="107">
        <f t="shared" si="10"/>
        <v>-0.55675055162624931</v>
      </c>
      <c r="AR25" s="107">
        <f t="shared" si="10"/>
        <v>1.6941734382661242</v>
      </c>
      <c r="AS25" s="107">
        <f t="shared" si="10"/>
        <v>6.6138123656606975</v>
      </c>
      <c r="AT25" s="107">
        <f t="shared" si="10"/>
        <v>7.5328486292131505</v>
      </c>
      <c r="AU25" s="107">
        <f t="shared" si="10"/>
        <v>8.678638140415881</v>
      </c>
      <c r="AV25" s="107">
        <f t="shared" si="10"/>
        <v>1.1951662471725781</v>
      </c>
      <c r="AW25" s="107">
        <f t="shared" si="10"/>
        <v>0.40957977933496409</v>
      </c>
      <c r="AX25" s="107">
        <f t="shared" si="10"/>
        <v>8.8635311595988242E-4</v>
      </c>
      <c r="AY25" s="107">
        <f t="shared" si="10"/>
        <v>0.12392245073111501</v>
      </c>
      <c r="AZ25" s="107">
        <f t="shared" si="10"/>
        <v>0.274311104839982</v>
      </c>
      <c r="BA25" s="107">
        <f t="shared" si="10"/>
        <v>-0.54366577390044357</v>
      </c>
      <c r="BB25" s="107">
        <f t="shared" si="10"/>
        <v>1.0781263503766372</v>
      </c>
      <c r="BC25" s="107">
        <f t="shared" si="10"/>
        <v>0.22382507511751501</v>
      </c>
      <c r="BD25" s="107">
        <f t="shared" si="10"/>
        <v>-0.25062116912747223</v>
      </c>
      <c r="BE25" s="107">
        <f t="shared" si="10"/>
        <v>1.3613633664373024</v>
      </c>
      <c r="BF25" s="107">
        <f t="shared" si="10"/>
        <v>-0.35017496401557974</v>
      </c>
      <c r="BG25" s="107">
        <f t="shared" si="10"/>
        <v>-0.21389959700462921</v>
      </c>
      <c r="BH25" s="107">
        <f t="shared" si="10"/>
        <v>-0.20894278079151563</v>
      </c>
      <c r="BI25" s="107">
        <f t="shared" si="10"/>
        <v>-0.56914548518178742</v>
      </c>
      <c r="BJ25" s="107">
        <f t="shared" si="10"/>
        <v>-7.2096232379562725E-2</v>
      </c>
      <c r="BK25" s="107">
        <f t="shared" si="10"/>
        <v>-0.59436310982481833</v>
      </c>
      <c r="BL25" s="107">
        <f t="shared" si="10"/>
        <v>-0.4522312752339207</v>
      </c>
      <c r="BM25" s="107">
        <f t="shared" si="10"/>
        <v>-0.472281631420925</v>
      </c>
      <c r="BN25" s="107">
        <f t="shared" si="10"/>
        <v>-0.64652256812007236</v>
      </c>
      <c r="BO25" s="107">
        <f t="shared" si="10"/>
        <v>6.3958514380755975</v>
      </c>
      <c r="BP25" s="107">
        <f t="shared" si="10"/>
        <v>5.9741590748778171</v>
      </c>
      <c r="BQ25" s="107">
        <f t="shared" si="10"/>
        <v>6.3217774936538582</v>
      </c>
      <c r="BR25" s="107">
        <f t="shared" ref="BR25:CK25" si="11">(BR2-BV2)/BV2</f>
        <v>4.4235138512300765</v>
      </c>
      <c r="BS25" s="107">
        <f t="shared" si="11"/>
        <v>-0.24561831971054701</v>
      </c>
      <c r="BT25" s="107">
        <f t="shared" si="11"/>
        <v>-0.61447757647515877</v>
      </c>
      <c r="BU25" s="107">
        <f t="shared" si="11"/>
        <v>0.15329654972624826</v>
      </c>
      <c r="BV25" s="107" t="e">
        <f t="shared" si="11"/>
        <v>#DIV/0!</v>
      </c>
      <c r="BW25" s="107">
        <f t="shared" si="11"/>
        <v>1.6662507557856083</v>
      </c>
      <c r="BX25" s="107" t="e">
        <f t="shared" si="11"/>
        <v>#DIV/0!</v>
      </c>
      <c r="BY25" s="107">
        <f t="shared" si="11"/>
        <v>0.90816950316203504</v>
      </c>
      <c r="BZ25" s="107" t="e">
        <f t="shared" si="11"/>
        <v>#DIV/0!</v>
      </c>
      <c r="CA25" s="107">
        <f t="shared" si="11"/>
        <v>0.13546807915739134</v>
      </c>
      <c r="CB25" s="107">
        <f t="shared" si="11"/>
        <v>-1</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c r="A26" s="142" t="s">
        <v>561</v>
      </c>
      <c r="E26" s="108">
        <f>E2/E9</f>
        <v>0.19968802852606257</v>
      </c>
      <c r="F26" s="108">
        <f t="shared" ref="F26:BQ26" si="12">F2/F9</f>
        <v>0.15903194003449456</v>
      </c>
      <c r="G26" s="108">
        <f t="shared" si="12"/>
        <v>0.13140032079933828</v>
      </c>
      <c r="H26" s="108">
        <f t="shared" si="12"/>
        <v>0.1162703944632025</v>
      </c>
      <c r="I26" s="108">
        <f t="shared" si="12"/>
        <v>0.28956987231440845</v>
      </c>
      <c r="J26" s="108">
        <f t="shared" si="12"/>
        <v>0.32182914583014527</v>
      </c>
      <c r="K26" s="108">
        <f t="shared" si="12"/>
        <v>0.29803030356794147</v>
      </c>
      <c r="L26" s="108">
        <f t="shared" si="12"/>
        <v>0.3474515166711028</v>
      </c>
      <c r="M26" s="108">
        <f t="shared" si="12"/>
        <v>0.46645719631862553</v>
      </c>
      <c r="N26" s="108">
        <f t="shared" si="12"/>
        <v>0.20993034117015325</v>
      </c>
      <c r="O26" s="108">
        <f t="shared" si="12"/>
        <v>0.23262753220758894</v>
      </c>
      <c r="P26" s="108">
        <f t="shared" si="12"/>
        <v>0.19933772668217262</v>
      </c>
      <c r="Q26" s="108">
        <f t="shared" si="12"/>
        <v>7.5191114973791578E-2</v>
      </c>
      <c r="R26" s="108">
        <f t="shared" si="12"/>
        <v>0.23262072028403416</v>
      </c>
      <c r="S26" s="108">
        <f t="shared" si="12"/>
        <v>9.7944154561531216E-2</v>
      </c>
      <c r="T26" s="108">
        <f t="shared" si="12"/>
        <v>0.13867027948038665</v>
      </c>
      <c r="U26" s="108">
        <f t="shared" si="12"/>
        <v>0.16617227093160933</v>
      </c>
      <c r="V26" s="108">
        <f t="shared" si="12"/>
        <v>6.9338075560098064E-2</v>
      </c>
      <c r="W26" s="108">
        <f t="shared" si="12"/>
        <v>7.8973999385029664E-2</v>
      </c>
      <c r="X26" s="108">
        <f t="shared" si="12"/>
        <v>8.2363836577131047E-2</v>
      </c>
      <c r="Y26" s="108">
        <f t="shared" si="12"/>
        <v>8.1840374071162542E-2</v>
      </c>
      <c r="Z26" s="108">
        <f t="shared" si="12"/>
        <v>8.2202535311905009E-2</v>
      </c>
      <c r="AA26" s="108">
        <f t="shared" si="12"/>
        <v>8.9112648122132265E-2</v>
      </c>
      <c r="AB26" s="108">
        <f t="shared" si="12"/>
        <v>0.12157916057487655</v>
      </c>
      <c r="AC26" s="108">
        <f t="shared" si="12"/>
        <v>0.11153489660882437</v>
      </c>
      <c r="AD26" s="108">
        <f t="shared" si="12"/>
        <v>0.1303192945703387</v>
      </c>
      <c r="AE26" s="108">
        <f t="shared" si="12"/>
        <v>0.15332343549716274</v>
      </c>
      <c r="AF26" s="108">
        <f t="shared" si="12"/>
        <v>0.13433082648041353</v>
      </c>
      <c r="AG26" s="108">
        <f t="shared" si="12"/>
        <v>0.13973729235481139</v>
      </c>
      <c r="AH26" s="108">
        <f t="shared" si="12"/>
        <v>0.14076276427425724</v>
      </c>
      <c r="AI26" s="108">
        <f t="shared" si="12"/>
        <v>0.21830196986134939</v>
      </c>
      <c r="AJ26" s="108">
        <f t="shared" si="12"/>
        <v>0.17363999929782048</v>
      </c>
      <c r="AK26" s="108">
        <f t="shared" si="12"/>
        <v>0.21188207225522726</v>
      </c>
      <c r="AL26" s="108">
        <f t="shared" si="12"/>
        <v>0.18109776451165979</v>
      </c>
      <c r="AM26" s="108">
        <f t="shared" si="12"/>
        <v>0.17174224728535809</v>
      </c>
      <c r="AN26" s="108">
        <f t="shared" si="12"/>
        <v>0.11740032637410357</v>
      </c>
      <c r="AO26" s="108">
        <f t="shared" si="12"/>
        <v>7.527860521002866E-2</v>
      </c>
      <c r="AP26" s="108">
        <f t="shared" si="12"/>
        <v>0.12269649353903998</v>
      </c>
      <c r="AQ26" s="108">
        <f t="shared" si="12"/>
        <v>0.16215903606303919</v>
      </c>
      <c r="AR26" s="108">
        <f t="shared" si="12"/>
        <v>0.20151132868046309</v>
      </c>
      <c r="AS26" s="108">
        <f t="shared" si="12"/>
        <v>0.22505964905420139</v>
      </c>
      <c r="AT26" s="108">
        <f t="shared" si="12"/>
        <v>0.33846299925906481</v>
      </c>
      <c r="AU26" s="108">
        <f t="shared" si="12"/>
        <v>0.50531159395948211</v>
      </c>
      <c r="AV26" s="108">
        <f t="shared" si="12"/>
        <v>0.19690794119632699</v>
      </c>
      <c r="AW26" s="108">
        <f t="shared" si="12"/>
        <v>9.8277252893524986E-2</v>
      </c>
      <c r="AX26" s="108">
        <f t="shared" si="12"/>
        <v>0.12985791056389925</v>
      </c>
      <c r="AY26" s="108">
        <f t="shared" si="12"/>
        <v>0.13602731257866438</v>
      </c>
      <c r="AZ26" s="108">
        <f t="shared" si="12"/>
        <v>0.12859290677450774</v>
      </c>
      <c r="BA26" s="108">
        <f t="shared" si="12"/>
        <v>7.7471879660594017E-2</v>
      </c>
      <c r="BB26" s="108">
        <f t="shared" si="12"/>
        <v>0.13715712242806297</v>
      </c>
      <c r="BC26" s="108">
        <f t="shared" si="12"/>
        <v>0.12511916560579409</v>
      </c>
      <c r="BD26" s="108">
        <f t="shared" si="12"/>
        <v>9.833093114838673E-2</v>
      </c>
      <c r="BE26" s="108">
        <f t="shared" si="12"/>
        <v>0.15312611809749255</v>
      </c>
      <c r="BF26" s="108">
        <f t="shared" si="12"/>
        <v>6.8417672087276754E-2</v>
      </c>
      <c r="BG26" s="108">
        <f t="shared" si="12"/>
        <v>0.10873358032138712</v>
      </c>
      <c r="BH26" s="108">
        <f t="shared" si="12"/>
        <v>0.14563157060493911</v>
      </c>
      <c r="BI26" s="108">
        <f t="shared" si="12"/>
        <v>7.8261277570299312E-2</v>
      </c>
      <c r="BJ26" s="108">
        <f t="shared" si="12"/>
        <v>0.12212612249187534</v>
      </c>
      <c r="BK26" s="108">
        <f t="shared" si="12"/>
        <v>0.15659337295453865</v>
      </c>
      <c r="BL26" s="108">
        <f t="shared" si="12"/>
        <v>0.20549457974167495</v>
      </c>
      <c r="BM26" s="108">
        <f t="shared" si="12"/>
        <v>0.1979102690818407</v>
      </c>
      <c r="BN26" s="108">
        <f t="shared" si="12"/>
        <v>0.13298814922013202</v>
      </c>
      <c r="BO26" s="108">
        <f t="shared" si="12"/>
        <v>0.42493813128592178</v>
      </c>
      <c r="BP26" s="108">
        <f t="shared" si="12"/>
        <v>0.4309172845011065</v>
      </c>
      <c r="BQ26" s="108">
        <f t="shared" si="12"/>
        <v>0.43394416367974331</v>
      </c>
      <c r="BR26" s="108">
        <f t="shared" ref="BR26:CK26" si="13">BR2/BR9</f>
        <v>0.42469856654999577</v>
      </c>
      <c r="BS26" s="108">
        <f t="shared" si="13"/>
        <v>9.7225394427069789E-2</v>
      </c>
      <c r="BT26" s="108">
        <f t="shared" si="13"/>
        <v>0.10069019452548666</v>
      </c>
      <c r="BU26" s="108">
        <f t="shared" si="13"/>
        <v>9.7783484845655605E-2</v>
      </c>
      <c r="BV26" s="108">
        <f t="shared" si="13"/>
        <v>0.13953853716812373</v>
      </c>
      <c r="BW26" s="108">
        <f t="shared" si="13"/>
        <v>0.15291799773832179</v>
      </c>
      <c r="BX26" s="108">
        <f t="shared" si="13"/>
        <v>0.27806327669493536</v>
      </c>
      <c r="BY26" s="108">
        <f t="shared" si="13"/>
        <v>0.10908346978737182</v>
      </c>
      <c r="BZ26" s="108">
        <f t="shared" si="13"/>
        <v>0</v>
      </c>
      <c r="CA26" s="108">
        <f t="shared" si="13"/>
        <v>7.2493656799627673E-2</v>
      </c>
      <c r="CB26" s="108">
        <f t="shared" si="13"/>
        <v>0</v>
      </c>
      <c r="CC26" s="108">
        <f t="shared" si="13"/>
        <v>9.2433415338089048E-2</v>
      </c>
      <c r="CD26" s="108">
        <f t="shared" si="13"/>
        <v>0</v>
      </c>
      <c r="CE26" s="108">
        <f t="shared" si="13"/>
        <v>0.10452633791029846</v>
      </c>
      <c r="CF26" s="108">
        <f t="shared" si="13"/>
        <v>6.4753947617842103E-2</v>
      </c>
      <c r="CG26" s="108">
        <f t="shared" si="13"/>
        <v>0</v>
      </c>
      <c r="CH26" s="108">
        <f t="shared" si="13"/>
        <v>0</v>
      </c>
      <c r="CI26" s="108" t="e">
        <f t="shared" si="13"/>
        <v>#DIV/0!</v>
      </c>
      <c r="CJ26" s="108" t="e">
        <f t="shared" si="13"/>
        <v>#DIV/0!</v>
      </c>
      <c r="CK26" s="108" t="e">
        <f t="shared" si="13"/>
        <v>#DIV/0!</v>
      </c>
    </row>
    <row r="27" spans="1:90" s="109" customFormat="1">
      <c r="A27" s="143" t="s">
        <v>554</v>
      </c>
      <c r="E27" s="109">
        <f>(E3-I3)/I3</f>
        <v>-5.1288128828267887E-2</v>
      </c>
      <c r="F27" s="109">
        <f t="shared" ref="F27:BQ27" si="14">(F3-J3)/J3</f>
        <v>-1.562770656041608E-2</v>
      </c>
      <c r="G27" s="109">
        <f t="shared" si="14"/>
        <v>-1.7303760629341254E-2</v>
      </c>
      <c r="H27" s="109">
        <f t="shared" si="14"/>
        <v>9.353590481100775E-2</v>
      </c>
      <c r="I27" s="109">
        <f t="shared" si="14"/>
        <v>9.7811571887821552E-2</v>
      </c>
      <c r="J27" s="109">
        <f t="shared" si="14"/>
        <v>0.10101649074609483</v>
      </c>
      <c r="K27" s="109">
        <f t="shared" si="14"/>
        <v>0.10324283536290681</v>
      </c>
      <c r="L27" s="109">
        <f t="shared" si="14"/>
        <v>-9.6100881373140431E-3</v>
      </c>
      <c r="M27" s="109">
        <f t="shared" si="14"/>
        <v>-1.0650575927918664E-2</v>
      </c>
      <c r="N27" s="109">
        <f t="shared" si="14"/>
        <v>1.3862082163387275</v>
      </c>
      <c r="O27" s="109">
        <f t="shared" si="14"/>
        <v>4.8553242761060426E-2</v>
      </c>
      <c r="P27" s="109">
        <f t="shared" si="14"/>
        <v>0.82248288294429706</v>
      </c>
      <c r="Q27" s="109">
        <f t="shared" si="14"/>
        <v>0.83253166631757092</v>
      </c>
      <c r="R27" s="109">
        <f t="shared" si="14"/>
        <v>-0.23784451426717587</v>
      </c>
      <c r="S27" s="109">
        <f t="shared" si="14"/>
        <v>0.79347163684756583</v>
      </c>
      <c r="T27" s="109">
        <f t="shared" si="14"/>
        <v>7.2070598718952703E-2</v>
      </c>
      <c r="U27" s="109">
        <f t="shared" si="14"/>
        <v>0.10221880521298136</v>
      </c>
      <c r="V27" s="109">
        <f t="shared" si="14"/>
        <v>6.4280753213513384E-2</v>
      </c>
      <c r="W27" s="109">
        <f t="shared" si="14"/>
        <v>1.0211777312094782E-2</v>
      </c>
      <c r="X27" s="109">
        <f t="shared" si="14"/>
        <v>5.7192876854973276E-2</v>
      </c>
      <c r="Y27" s="109">
        <f t="shared" si="14"/>
        <v>9.6901374747331761E-3</v>
      </c>
      <c r="Z27" s="109">
        <f t="shared" si="14"/>
        <v>-2.6340037089558017E-2</v>
      </c>
      <c r="AA27" s="109">
        <f t="shared" si="14"/>
        <v>-9.7166735339970542E-2</v>
      </c>
      <c r="AB27" s="109">
        <f t="shared" si="14"/>
        <v>-0.17009860050622286</v>
      </c>
      <c r="AC27" s="109">
        <f t="shared" si="14"/>
        <v>-0.16123970507177357</v>
      </c>
      <c r="AD27" s="109">
        <f t="shared" si="14"/>
        <v>8.2796392341432587E-2</v>
      </c>
      <c r="AE27" s="109">
        <f t="shared" si="14"/>
        <v>0.76818389322039815</v>
      </c>
      <c r="AF27" s="109">
        <f t="shared" si="14"/>
        <v>2.8789308490245711</v>
      </c>
      <c r="AG27" s="109">
        <f t="shared" si="14"/>
        <v>4.4626282334869432</v>
      </c>
      <c r="AH27" s="109">
        <f t="shared" si="14"/>
        <v>3.2629574820247758</v>
      </c>
      <c r="AI27" s="109">
        <f t="shared" si="14"/>
        <v>1.876916074037712</v>
      </c>
      <c r="AJ27" s="109">
        <f t="shared" si="14"/>
        <v>8.0698629616378454</v>
      </c>
      <c r="AK27" s="109">
        <f t="shared" si="14"/>
        <v>5.4698867024448417</v>
      </c>
      <c r="AL27" s="109">
        <f t="shared" si="14"/>
        <v>3.5666832552173267</v>
      </c>
      <c r="AM27" s="109">
        <f t="shared" si="14"/>
        <v>3.5666832552173267</v>
      </c>
      <c r="AN27" s="109">
        <f t="shared" si="14"/>
        <v>-0.37115587781850945</v>
      </c>
      <c r="AO27" s="109">
        <f t="shared" si="14"/>
        <v>-0.37115587781850945</v>
      </c>
      <c r="AP27" s="109">
        <f t="shared" si="14"/>
        <v>1.3439611406922982</v>
      </c>
      <c r="AQ27" s="109">
        <f t="shared" si="14"/>
        <v>-1.4510069477765319E-2</v>
      </c>
      <c r="AR27" s="109">
        <f t="shared" si="14"/>
        <v>-0.33300642192738034</v>
      </c>
      <c r="AS27" s="109">
        <f t="shared" si="14"/>
        <v>-0.95194806523297959</v>
      </c>
      <c r="AT27" s="109">
        <f t="shared" si="14"/>
        <v>-0.98064457348263923</v>
      </c>
      <c r="AU27" s="109">
        <f t="shared" si="14"/>
        <v>-0.89587450231035415</v>
      </c>
      <c r="AV27" s="109">
        <f t="shared" si="14"/>
        <v>-0.83769391659446768</v>
      </c>
      <c r="AW27" s="109">
        <f t="shared" si="14"/>
        <v>12.757876634336689</v>
      </c>
      <c r="AX27" s="109">
        <f t="shared" si="14"/>
        <v>5.3157682674770657</v>
      </c>
      <c r="AY27" s="109">
        <f t="shared" si="14"/>
        <v>1.7923513244836391</v>
      </c>
      <c r="AZ27" s="109">
        <f t="shared" si="14"/>
        <v>1.983111940898481</v>
      </c>
      <c r="BA27" s="109">
        <f t="shared" si="14"/>
        <v>-0.51150096372608278</v>
      </c>
      <c r="BB27" s="109">
        <f t="shared" si="14"/>
        <v>0.59049759928597056</v>
      </c>
      <c r="BC27" s="109">
        <f t="shared" si="14"/>
        <v>1.7718336151432308</v>
      </c>
      <c r="BD27" s="109">
        <f t="shared" si="14"/>
        <v>1.5945835824592929</v>
      </c>
      <c r="BE27" s="109">
        <f t="shared" si="14"/>
        <v>3.57938233243947</v>
      </c>
      <c r="BF27" s="109">
        <f t="shared" si="14"/>
        <v>1.7653661354071508</v>
      </c>
      <c r="BG27" s="109">
        <f t="shared" si="14"/>
        <v>0.58678651398219606</v>
      </c>
      <c r="BH27" s="109">
        <f t="shared" si="14"/>
        <v>0.58678651398219606</v>
      </c>
      <c r="BI27" s="109">
        <f t="shared" si="14"/>
        <v>-0.10095948772793636</v>
      </c>
      <c r="BJ27" s="109">
        <f t="shared" si="14"/>
        <v>0</v>
      </c>
      <c r="BK27" s="109">
        <f t="shared" si="14"/>
        <v>0</v>
      </c>
      <c r="BL27" s="109">
        <f t="shared" si="14"/>
        <v>-0.17393350009531747</v>
      </c>
      <c r="BM27" s="109">
        <f t="shared" si="14"/>
        <v>0</v>
      </c>
      <c r="BN27" s="109">
        <f t="shared" si="14"/>
        <v>-0.22199640165978807</v>
      </c>
      <c r="BO27" s="109">
        <f t="shared" si="14"/>
        <v>-0.26477394729660425</v>
      </c>
      <c r="BP27" s="109">
        <f t="shared" si="14"/>
        <v>-0.12847347021234234</v>
      </c>
      <c r="BQ27" s="109">
        <f t="shared" si="14"/>
        <v>-0.25336865421093441</v>
      </c>
      <c r="BR27" s="109">
        <f t="shared" ref="BR27:CL27" si="15">(BR3-BV3)/BV3</f>
        <v>2.237512224369469E-2</v>
      </c>
      <c r="BS27" s="109">
        <f t="shared" si="15"/>
        <v>8.1859818533923406E-2</v>
      </c>
      <c r="BT27" s="109">
        <f t="shared" si="15"/>
        <v>0.19119690639432579</v>
      </c>
      <c r="BU27" s="109">
        <f t="shared" si="15"/>
        <v>0.14861097061669673</v>
      </c>
      <c r="BV27" s="109">
        <f t="shared" si="15"/>
        <v>-0.74179079799155723</v>
      </c>
      <c r="BW27" s="109">
        <f t="shared" si="15"/>
        <v>-0.74107396639428991</v>
      </c>
      <c r="BX27" s="109">
        <f t="shared" si="15"/>
        <v>-0.75937959945130318</v>
      </c>
      <c r="BY27" s="109">
        <f t="shared" si="15"/>
        <v>-0.7639368338462228</v>
      </c>
      <c r="BZ27" s="109">
        <f t="shared" si="15"/>
        <v>0.11018705608184919</v>
      </c>
      <c r="CA27" s="109">
        <f t="shared" si="15"/>
        <v>9.8775057024664464E-2</v>
      </c>
      <c r="CB27" s="109">
        <f t="shared" si="15"/>
        <v>0.18703888169956007</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c r="A28" s="143" t="s">
        <v>562</v>
      </c>
      <c r="E28" s="109">
        <f>E3/E9</f>
        <v>1.4477433603791248E-2</v>
      </c>
      <c r="F28" s="109">
        <f t="shared" ref="F28:BQ28" si="16">F3/F9</f>
        <v>1.6343900817150959E-2</v>
      </c>
      <c r="G28" s="109">
        <f t="shared" si="16"/>
        <v>1.7074883433554407E-2</v>
      </c>
      <c r="H28" s="109">
        <f t="shared" si="16"/>
        <v>1.8448441816668146E-2</v>
      </c>
      <c r="I28" s="109">
        <f t="shared" si="16"/>
        <v>2.1270803916496227E-2</v>
      </c>
      <c r="J28" s="109">
        <f t="shared" si="16"/>
        <v>2.0949723590901623E-2</v>
      </c>
      <c r="K28" s="109">
        <f t="shared" si="16"/>
        <v>2.1094463268523777E-2</v>
      </c>
      <c r="L28" s="109">
        <f t="shared" si="16"/>
        <v>1.8715547960527174E-2</v>
      </c>
      <c r="M28" s="109">
        <f t="shared" si="16"/>
        <v>1.9027371561278077E-2</v>
      </c>
      <c r="N28" s="109">
        <f t="shared" si="16"/>
        <v>2.3751844491391547E-2</v>
      </c>
      <c r="O28" s="109">
        <f t="shared" si="16"/>
        <v>2.1875666623921822E-2</v>
      </c>
      <c r="P28" s="109">
        <f t="shared" si="16"/>
        <v>2.3737796100269541E-2</v>
      </c>
      <c r="Q28" s="109">
        <f t="shared" si="16"/>
        <v>2.6074515598836785E-2</v>
      </c>
      <c r="R28" s="109">
        <f t="shared" si="16"/>
        <v>8.9446052474533144E-3</v>
      </c>
      <c r="S28" s="109">
        <f t="shared" si="16"/>
        <v>4.9467301601870739E-2</v>
      </c>
      <c r="T28" s="109">
        <f t="shared" si="16"/>
        <v>2.7338120196910416E-2</v>
      </c>
      <c r="U28" s="109">
        <f t="shared" si="16"/>
        <v>2.72174897443643E-2</v>
      </c>
      <c r="V28" s="109">
        <f t="shared" si="16"/>
        <v>2.6130884716274724E-2</v>
      </c>
      <c r="W28" s="109">
        <f t="shared" si="16"/>
        <v>2.6083560156665995E-2</v>
      </c>
      <c r="X28" s="109">
        <f t="shared" si="16"/>
        <v>2.4342076121663146E-2</v>
      </c>
      <c r="Y28" s="109">
        <f t="shared" si="16"/>
        <v>2.3560292361567689E-2</v>
      </c>
      <c r="Z28" s="109">
        <f t="shared" si="16"/>
        <v>2.3227471236744776E-2</v>
      </c>
      <c r="AA28" s="109">
        <f t="shared" si="16"/>
        <v>2.3745665921280284E-2</v>
      </c>
      <c r="AB28" s="109">
        <f t="shared" si="16"/>
        <v>2.2395851748251785E-2</v>
      </c>
      <c r="AC28" s="109">
        <f t="shared" si="16"/>
        <v>2.2355622529848098E-2</v>
      </c>
      <c r="AD28" s="109">
        <f t="shared" si="16"/>
        <v>2.4265635018989266E-2</v>
      </c>
      <c r="AE28" s="109">
        <f t="shared" si="16"/>
        <v>2.5509164617116591E-2</v>
      </c>
      <c r="AF28" s="109">
        <f t="shared" si="16"/>
        <v>2.6708454790968096E-2</v>
      </c>
      <c r="AG28" s="109">
        <f t="shared" si="16"/>
        <v>2.7846492476398997E-2</v>
      </c>
      <c r="AH28" s="109">
        <f t="shared" si="16"/>
        <v>2.2356391531713829E-2</v>
      </c>
      <c r="AI28" s="109">
        <f t="shared" si="16"/>
        <v>1.4843407359259524E-2</v>
      </c>
      <c r="AJ28" s="109">
        <f t="shared" si="16"/>
        <v>7.3242818937805489E-3</v>
      </c>
      <c r="AK28" s="109">
        <f t="shared" si="16"/>
        <v>5.749579179251129E-3</v>
      </c>
      <c r="AL28" s="109">
        <f t="shared" si="16"/>
        <v>7.1388912284081436E-3</v>
      </c>
      <c r="AM28" s="109">
        <f t="shared" si="16"/>
        <v>7.2489485627849452E-3</v>
      </c>
      <c r="AN28" s="109">
        <f t="shared" si="16"/>
        <v>1.1296457473653307E-3</v>
      </c>
      <c r="AO28" s="109">
        <f t="shared" si="16"/>
        <v>1.1769099462892603E-3</v>
      </c>
      <c r="AP28" s="109">
        <f t="shared" si="16"/>
        <v>1.7053795528696944E-3</v>
      </c>
      <c r="AQ28" s="109">
        <f t="shared" si="16"/>
        <v>1.6898973280455919E-3</v>
      </c>
      <c r="AR28" s="109">
        <f t="shared" si="16"/>
        <v>1.7860946537765334E-3</v>
      </c>
      <c r="AS28" s="109">
        <f t="shared" si="16"/>
        <v>1.9327743622868856E-3</v>
      </c>
      <c r="AT28" s="109">
        <f t="shared" si="16"/>
        <v>7.8661345236157617E-4</v>
      </c>
      <c r="AU28" s="109">
        <f t="shared" si="16"/>
        <v>2.3685057355325328E-3</v>
      </c>
      <c r="AV28" s="109">
        <f t="shared" si="16"/>
        <v>7.0497242998230495E-3</v>
      </c>
      <c r="AW28" s="109">
        <f t="shared" si="16"/>
        <v>0.13372968395440535</v>
      </c>
      <c r="AX28" s="109">
        <f t="shared" si="16"/>
        <v>0.13304846761250461</v>
      </c>
      <c r="AY28" s="109">
        <f t="shared" si="16"/>
        <v>5.9265023187125579E-2</v>
      </c>
      <c r="AZ28" s="109">
        <f t="shared" si="16"/>
        <v>6.2267084786673019E-2</v>
      </c>
      <c r="BA28" s="109">
        <f t="shared" si="16"/>
        <v>1.0800830566397888E-2</v>
      </c>
      <c r="BB28" s="109">
        <f t="shared" si="16"/>
        <v>2.2269907444908921E-2</v>
      </c>
      <c r="BC28" s="109">
        <f t="shared" si="16"/>
        <v>2.1941305669372801E-2</v>
      </c>
      <c r="BD28" s="109">
        <f t="shared" si="16"/>
        <v>2.0339374318470878E-2</v>
      </c>
      <c r="BE28" s="109">
        <f t="shared" si="16"/>
        <v>1.9942594781507787E-2</v>
      </c>
      <c r="BF28" s="109">
        <f t="shared" si="16"/>
        <v>1.4514673518005117E-2</v>
      </c>
      <c r="BG28" s="109">
        <f t="shared" si="16"/>
        <v>8.4188836324545803E-3</v>
      </c>
      <c r="BH28" s="109">
        <f t="shared" si="16"/>
        <v>8.7003500309599038E-3</v>
      </c>
      <c r="BI28" s="109">
        <f t="shared" si="16"/>
        <v>5.2557565756480443E-3</v>
      </c>
      <c r="BJ28" s="109">
        <f t="shared" si="16"/>
        <v>6.0882341408861791E-3</v>
      </c>
      <c r="BK28" s="109">
        <f t="shared" si="16"/>
        <v>6.0065308923133226E-3</v>
      </c>
      <c r="BL28" s="109">
        <f t="shared" si="16"/>
        <v>6.1202753407422249E-3</v>
      </c>
      <c r="BM28" s="109">
        <f t="shared" si="16"/>
        <v>6.3695393409527587E-3</v>
      </c>
      <c r="BN28" s="109">
        <f t="shared" si="16"/>
        <v>6.151749715619958E-3</v>
      </c>
      <c r="BO28" s="109">
        <f t="shared" si="16"/>
        <v>6.6117052511554808E-3</v>
      </c>
      <c r="BP28" s="109">
        <f t="shared" si="16"/>
        <v>8.5103363738604845E-3</v>
      </c>
      <c r="BQ28" s="109">
        <f t="shared" si="16"/>
        <v>7.3701403450881688E-3</v>
      </c>
      <c r="BR28" s="109">
        <f t="shared" ref="BR28:CK28" si="17">BR3/BR9</f>
        <v>8.9257885929319766E-3</v>
      </c>
      <c r="BS28" s="109">
        <f t="shared" si="17"/>
        <v>1.521720129252062E-2</v>
      </c>
      <c r="BT28" s="109">
        <f t="shared" si="17"/>
        <v>1.5912969440768619E-2</v>
      </c>
      <c r="BU28" s="109">
        <f t="shared" si="17"/>
        <v>1.6286123535586065E-2</v>
      </c>
      <c r="BV28" s="109">
        <f t="shared" si="17"/>
        <v>1.5557164629638886E-2</v>
      </c>
      <c r="BW28" s="109">
        <f t="shared" si="17"/>
        <v>1.6689134588782902E-2</v>
      </c>
      <c r="BX28" s="109">
        <f t="shared" si="17"/>
        <v>1.4222428909223634E-2</v>
      </c>
      <c r="BY28" s="109">
        <f t="shared" si="17"/>
        <v>1.8242283070662859E-2</v>
      </c>
      <c r="BZ28" s="109">
        <f t="shared" si="17"/>
        <v>0.23779593862092735</v>
      </c>
      <c r="CA28" s="109">
        <f t="shared" si="17"/>
        <v>8.1470521180981109E-2</v>
      </c>
      <c r="CB28" s="109">
        <f t="shared" si="17"/>
        <v>0.23203628550966818</v>
      </c>
      <c r="CC28" s="109">
        <f t="shared" si="17"/>
        <v>0.12495049177476314</v>
      </c>
      <c r="CD28" s="109">
        <f t="shared" si="17"/>
        <v>0.20524187276403796</v>
      </c>
      <c r="CE28" s="109">
        <f t="shared" si="17"/>
        <v>0.12139264095755846</v>
      </c>
      <c r="CF28" s="109">
        <f t="shared" si="17"/>
        <v>8.9189965141471345E-2</v>
      </c>
      <c r="CG28" s="109">
        <f t="shared" si="17"/>
        <v>0</v>
      </c>
      <c r="CH28" s="109">
        <f t="shared" si="17"/>
        <v>0</v>
      </c>
      <c r="CI28" s="109" t="e">
        <f t="shared" si="17"/>
        <v>#DIV/0!</v>
      </c>
      <c r="CJ28" s="109" t="e">
        <f t="shared" si="17"/>
        <v>#DIV/0!</v>
      </c>
      <c r="CK28" s="109" t="e">
        <f t="shared" si="17"/>
        <v>#DIV/0!</v>
      </c>
    </row>
    <row r="29" spans="1:90" s="108" customFormat="1">
      <c r="A29" s="142" t="s">
        <v>571</v>
      </c>
      <c r="E29" s="108">
        <f>(E4-I4)/I4</f>
        <v>-0.16328632650583857</v>
      </c>
      <c r="F29" s="108">
        <f t="shared" ref="F29:BQ29" si="18">(F4-J4)/J4</f>
        <v>0.46580582761013789</v>
      </c>
      <c r="G29" s="108">
        <f t="shared" si="18"/>
        <v>-0.7393439743022705</v>
      </c>
      <c r="H29" s="108">
        <f t="shared" si="18"/>
        <v>4.8751065695661335</v>
      </c>
      <c r="I29" s="108">
        <f t="shared" si="18"/>
        <v>-0.37621650768168902</v>
      </c>
      <c r="J29" s="108">
        <f t="shared" si="18"/>
        <v>0.86439256073635662</v>
      </c>
      <c r="K29" s="108">
        <f t="shared" si="18"/>
        <v>0.69725906520308267</v>
      </c>
      <c r="L29" s="108">
        <f t="shared" si="18"/>
        <v>-2.7390381392347587</v>
      </c>
      <c r="M29" s="108">
        <f t="shared" si="18"/>
        <v>-6.1165164259402456</v>
      </c>
      <c r="N29" s="108">
        <f t="shared" si="18"/>
        <v>-1.6811974736999551</v>
      </c>
      <c r="O29" s="108">
        <f t="shared" si="18"/>
        <v>0.29463597979882489</v>
      </c>
      <c r="P29" s="108">
        <f t="shared" si="18"/>
        <v>-1.1580425999982165</v>
      </c>
      <c r="Q29" s="108">
        <f t="shared" si="18"/>
        <v>41.945484225823435</v>
      </c>
      <c r="R29" s="108">
        <f t="shared" si="18"/>
        <v>-0.35997015300691415</v>
      </c>
      <c r="S29" s="108">
        <f t="shared" si="18"/>
        <v>-0.31718482583855212</v>
      </c>
      <c r="T29" s="108">
        <f t="shared" si="18"/>
        <v>-0.35838282699757151</v>
      </c>
      <c r="U29" s="108">
        <f t="shared" si="18"/>
        <v>-0.97254616222520829</v>
      </c>
      <c r="V29" s="108">
        <f t="shared" si="18"/>
        <v>-9.1261988447499179E-2</v>
      </c>
      <c r="W29" s="108">
        <f t="shared" si="18"/>
        <v>-0.4799660370320562</v>
      </c>
      <c r="X29" s="108">
        <f t="shared" si="18"/>
        <v>0.81670277131646241</v>
      </c>
      <c r="Y29" s="108">
        <f t="shared" si="18"/>
        <v>6.8670908908265771E-2</v>
      </c>
      <c r="Z29" s="108">
        <f t="shared" si="18"/>
        <v>2.2333810152676672</v>
      </c>
      <c r="AA29" s="108">
        <f t="shared" si="18"/>
        <v>1.2721646570440373</v>
      </c>
      <c r="AB29" s="108">
        <f t="shared" si="18"/>
        <v>0.66767443844312724</v>
      </c>
      <c r="AC29" s="108">
        <f t="shared" si="18"/>
        <v>-3.2925497031712347</v>
      </c>
      <c r="AD29" s="108">
        <f t="shared" si="18"/>
        <v>-4.4517162367552716E-2</v>
      </c>
      <c r="AE29" s="108">
        <f t="shared" si="18"/>
        <v>1.8945525695007555</v>
      </c>
      <c r="AF29" s="108">
        <f t="shared" si="18"/>
        <v>-3.7109677898975277E-2</v>
      </c>
      <c r="AG29" s="108">
        <f t="shared" si="18"/>
        <v>0.10074476874573093</v>
      </c>
      <c r="AH29" s="108">
        <f t="shared" si="18"/>
        <v>-2.2207085774668172</v>
      </c>
      <c r="AI29" s="108">
        <f t="shared" si="18"/>
        <v>-1.6183324911967711</v>
      </c>
      <c r="AJ29" s="108">
        <f t="shared" si="18"/>
        <v>-2.8235247388345792</v>
      </c>
      <c r="AK29" s="108">
        <f t="shared" si="18"/>
        <v>1.3510757267326001</v>
      </c>
      <c r="AL29" s="108">
        <f t="shared" si="18"/>
        <v>-1.9057431080052356</v>
      </c>
      <c r="AM29" s="108">
        <f t="shared" si="18"/>
        <v>-1.3558050551758178</v>
      </c>
      <c r="AN29" s="108">
        <f t="shared" si="18"/>
        <v>-1.1224682961370585</v>
      </c>
      <c r="AO29" s="108">
        <f t="shared" si="18"/>
        <v>-1.1048036932189393</v>
      </c>
      <c r="AP29" s="108">
        <f t="shared" si="18"/>
        <v>-0.42076171545650809</v>
      </c>
      <c r="AQ29" s="108">
        <f t="shared" si="18"/>
        <v>0.22722768211750619</v>
      </c>
      <c r="AR29" s="108">
        <f t="shared" si="18"/>
        <v>0.69707069729851223</v>
      </c>
      <c r="AS29" s="108">
        <f t="shared" si="18"/>
        <v>0.14599212361794725</v>
      </c>
      <c r="AT29" s="108">
        <f t="shared" si="18"/>
        <v>-2.1855590197324418E-2</v>
      </c>
      <c r="AU29" s="108">
        <f t="shared" si="18"/>
        <v>-0.24040024391867335</v>
      </c>
      <c r="AV29" s="108">
        <f t="shared" si="18"/>
        <v>-0.1029961870133282</v>
      </c>
      <c r="AW29" s="108">
        <f t="shared" si="18"/>
        <v>-9.485925768394475E-2</v>
      </c>
      <c r="AX29" s="108">
        <f t="shared" si="18"/>
        <v>-7.2434350016717691E-2</v>
      </c>
      <c r="AY29" s="108">
        <f t="shared" si="18"/>
        <v>5.0302986763729032E-2</v>
      </c>
      <c r="AZ29" s="108">
        <f t="shared" si="18"/>
        <v>-0.14388523219139376</v>
      </c>
      <c r="BA29" s="108">
        <f t="shared" si="18"/>
        <v>9.1853341954284129E-2</v>
      </c>
      <c r="BB29" s="108">
        <f t="shared" si="18"/>
        <v>-9.3950200826046396E-2</v>
      </c>
      <c r="BC29" s="108">
        <f t="shared" si="18"/>
        <v>9.1371057140154061E-2</v>
      </c>
      <c r="BD29" s="108">
        <f t="shared" si="18"/>
        <v>0.42339963485969156</v>
      </c>
      <c r="BE29" s="108">
        <f t="shared" si="18"/>
        <v>0.27562402038323602</v>
      </c>
      <c r="BF29" s="108">
        <f t="shared" si="18"/>
        <v>0.62389378902048953</v>
      </c>
      <c r="BG29" s="108">
        <f t="shared" si="18"/>
        <v>0.47568356305694892</v>
      </c>
      <c r="BH29" s="108">
        <f t="shared" si="18"/>
        <v>0.34998512082968863</v>
      </c>
      <c r="BI29" s="108">
        <f t="shared" si="18"/>
        <v>0.44772535890500681</v>
      </c>
      <c r="BJ29" s="108">
        <f t="shared" si="18"/>
        <v>-0.51278181198416628</v>
      </c>
      <c r="BK29" s="108">
        <f t="shared" si="18"/>
        <v>1.5687274275573659E-2</v>
      </c>
      <c r="BL29" s="108">
        <f t="shared" si="18"/>
        <v>1.7859687127091475E-2</v>
      </c>
      <c r="BM29" s="108">
        <f t="shared" si="18"/>
        <v>-2.948921422220829E-2</v>
      </c>
      <c r="BN29" s="108">
        <f t="shared" si="18"/>
        <v>1.1700119046985791</v>
      </c>
      <c r="BO29" s="108">
        <f t="shared" si="18"/>
        <v>4.0016971241563512E-3</v>
      </c>
      <c r="BP29" s="108">
        <f t="shared" si="18"/>
        <v>-2.2605066432039259E-2</v>
      </c>
      <c r="BQ29" s="108">
        <f t="shared" si="18"/>
        <v>3.0327165186046737E-2</v>
      </c>
      <c r="BR29" s="108">
        <f t="shared" ref="BR29:CK29" si="19">(BR4-BV4)/BV4</f>
        <v>0.41905193027951188</v>
      </c>
      <c r="BS29" s="108">
        <f t="shared" si="19"/>
        <v>0.82162746938839615</v>
      </c>
      <c r="BT29" s="108">
        <f t="shared" si="19"/>
        <v>-4.4411596801818179E-2</v>
      </c>
      <c r="BU29" s="108">
        <f t="shared" si="19"/>
        <v>-6.766255098681033E-2</v>
      </c>
      <c r="BV29" s="108" t="e">
        <f t="shared" si="19"/>
        <v>#DIV/0!</v>
      </c>
      <c r="BW29" s="108">
        <f t="shared" si="19"/>
        <v>-0.27361799948159926</v>
      </c>
      <c r="BX29" s="108" t="e">
        <f t="shared" si="19"/>
        <v>#DIV/0!</v>
      </c>
      <c r="BY29" s="108">
        <f t="shared" si="19"/>
        <v>1.9407807629781189</v>
      </c>
      <c r="BZ29" s="108" t="e">
        <f t="shared" si="19"/>
        <v>#DIV/0!</v>
      </c>
      <c r="CA29" s="108">
        <f t="shared" si="19"/>
        <v>2.4692035727359403</v>
      </c>
      <c r="CB29" s="108">
        <f t="shared" si="19"/>
        <v>-1</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c r="A30" s="142" t="s">
        <v>555</v>
      </c>
      <c r="E30" s="108">
        <f>(E5-I5)/I5</f>
        <v>0.41300208823282403</v>
      </c>
      <c r="F30" s="108">
        <f t="shared" ref="F30:BQ30" si="20">(F5-J5)/J5</f>
        <v>0.34986127453003824</v>
      </c>
      <c r="G30" s="108">
        <f t="shared" si="20"/>
        <v>0.29120575717733066</v>
      </c>
      <c r="H30" s="108">
        <f t="shared" si="20"/>
        <v>0.24306847026870165</v>
      </c>
      <c r="I30" s="108">
        <f t="shared" si="20"/>
        <v>0.26368568719870761</v>
      </c>
      <c r="J30" s="108">
        <f t="shared" si="20"/>
        <v>0.13439114348735118</v>
      </c>
      <c r="K30" s="108">
        <f t="shared" si="20"/>
        <v>3.255104981142877E-3</v>
      </c>
      <c r="L30" s="108">
        <f t="shared" si="20"/>
        <v>1.0846827799501942E-2</v>
      </c>
      <c r="M30" s="108">
        <f t="shared" si="20"/>
        <v>-9.7364590900578377E-2</v>
      </c>
      <c r="N30" s="108">
        <f t="shared" si="20"/>
        <v>-0.13849497309389547</v>
      </c>
      <c r="O30" s="108">
        <f t="shared" si="20"/>
        <v>1.1955376257535029</v>
      </c>
      <c r="P30" s="108">
        <f t="shared" si="20"/>
        <v>1.3926259288039398</v>
      </c>
      <c r="Q30" s="108">
        <f t="shared" si="20"/>
        <v>1.3009691090046587</v>
      </c>
      <c r="R30" s="108">
        <f t="shared" si="20"/>
        <v>1.2306809453166061</v>
      </c>
      <c r="S30" s="108">
        <f t="shared" si="20"/>
        <v>0.12005431278031958</v>
      </c>
      <c r="T30" s="108">
        <f t="shared" si="20"/>
        <v>-3.0621150846986248E-2</v>
      </c>
      <c r="U30" s="108">
        <f t="shared" si="20"/>
        <v>9.7691203413162078E-2</v>
      </c>
      <c r="V30" s="108">
        <f t="shared" si="20"/>
        <v>4.2802523536026607E-2</v>
      </c>
      <c r="W30" s="108">
        <f t="shared" si="20"/>
        <v>-9.5200705716819975E-2</v>
      </c>
      <c r="X30" s="108">
        <f t="shared" si="20"/>
        <v>0.20764795610725881</v>
      </c>
      <c r="Y30" s="108">
        <f t="shared" si="20"/>
        <v>3.029029831523854E-2</v>
      </c>
      <c r="Z30" s="108">
        <f t="shared" si="20"/>
        <v>0.30768320638796581</v>
      </c>
      <c r="AA30" s="108">
        <f t="shared" si="20"/>
        <v>0.21837268818010475</v>
      </c>
      <c r="AB30" s="108">
        <f t="shared" si="20"/>
        <v>-3.286334839325851E-2</v>
      </c>
      <c r="AC30" s="108">
        <f t="shared" si="20"/>
        <v>0.14226094987416302</v>
      </c>
      <c r="AD30" s="108">
        <f t="shared" si="20"/>
        <v>0.27405238557488654</v>
      </c>
      <c r="AE30" s="108">
        <f t="shared" si="20"/>
        <v>0.4935773377200488</v>
      </c>
      <c r="AF30" s="108">
        <f t="shared" si="20"/>
        <v>0.82013825270359664</v>
      </c>
      <c r="AG30" s="108">
        <f t="shared" si="20"/>
        <v>1.0844407293260729</v>
      </c>
      <c r="AH30" s="108">
        <f t="shared" si="20"/>
        <v>0.71412883095844926</v>
      </c>
      <c r="AI30" s="108">
        <f t="shared" si="20"/>
        <v>0.57914359048868846</v>
      </c>
      <c r="AJ30" s="108">
        <f t="shared" si="20"/>
        <v>0.41958473342675129</v>
      </c>
      <c r="AK30" s="108">
        <f t="shared" si="20"/>
        <v>1.1275802530751706E-3</v>
      </c>
      <c r="AL30" s="108">
        <f t="shared" si="20"/>
        <v>-0.35248242237636934</v>
      </c>
      <c r="AM30" s="108">
        <f t="shared" si="20"/>
        <v>-0.40046638322730604</v>
      </c>
      <c r="AN30" s="108">
        <f t="shared" si="20"/>
        <v>-0.45543794065070425</v>
      </c>
      <c r="AO30" s="108">
        <f t="shared" si="20"/>
        <v>-0.27806240335464888</v>
      </c>
      <c r="AP30" s="108">
        <f t="shared" si="20"/>
        <v>0.39271612104014586</v>
      </c>
      <c r="AQ30" s="108">
        <f t="shared" si="20"/>
        <v>0.55667641827300018</v>
      </c>
      <c r="AR30" s="108">
        <f t="shared" si="20"/>
        <v>0.63476612118039366</v>
      </c>
      <c r="AS30" s="108">
        <f t="shared" si="20"/>
        <v>0.36744418977380738</v>
      </c>
      <c r="AT30" s="108">
        <f t="shared" si="20"/>
        <v>0.26290052680726328</v>
      </c>
      <c r="AU30" s="108">
        <f t="shared" si="20"/>
        <v>1.2973637535173782E-2</v>
      </c>
      <c r="AV30" s="108">
        <f t="shared" si="20"/>
        <v>0.10070669068616868</v>
      </c>
      <c r="AW30" s="108">
        <f t="shared" si="20"/>
        <v>8.0162245625954393E-2</v>
      </c>
      <c r="AX30" s="108">
        <f t="shared" si="20"/>
        <v>0.16374002613077918</v>
      </c>
      <c r="AY30" s="108">
        <f t="shared" si="20"/>
        <v>0.13664201652378971</v>
      </c>
      <c r="AZ30" s="108">
        <f t="shared" si="20"/>
        <v>-4.9210719411716577E-2</v>
      </c>
      <c r="BA30" s="108">
        <f t="shared" si="20"/>
        <v>-2.8383746108097845E-2</v>
      </c>
      <c r="BB30" s="108">
        <f t="shared" si="20"/>
        <v>-0.11572088863930223</v>
      </c>
      <c r="BC30" s="108">
        <f t="shared" si="20"/>
        <v>6.1952510579609418E-2</v>
      </c>
      <c r="BD30" s="108">
        <f t="shared" si="20"/>
        <v>0.35053435064160554</v>
      </c>
      <c r="BE30" s="108">
        <f t="shared" si="20"/>
        <v>0.47853928753058456</v>
      </c>
      <c r="BF30" s="108">
        <f t="shared" si="20"/>
        <v>0.49376099761185943</v>
      </c>
      <c r="BG30" s="108">
        <f t="shared" si="20"/>
        <v>0.58614663540156264</v>
      </c>
      <c r="BH30" s="108">
        <f t="shared" si="20"/>
        <v>0.38449334141686325</v>
      </c>
      <c r="BI30" s="108">
        <f t="shared" si="20"/>
        <v>0.5262203964966371</v>
      </c>
      <c r="BJ30" s="108">
        <f t="shared" si="20"/>
        <v>-0.33111207408573939</v>
      </c>
      <c r="BK30" s="108">
        <f t="shared" si="20"/>
        <v>0.13851103107990545</v>
      </c>
      <c r="BL30" s="108">
        <f t="shared" si="20"/>
        <v>0.24930646261756564</v>
      </c>
      <c r="BM30" s="108">
        <f t="shared" si="20"/>
        <v>0.14940613909874445</v>
      </c>
      <c r="BN30" s="108">
        <f t="shared" si="20"/>
        <v>0.95920774926583818</v>
      </c>
      <c r="BO30" s="108">
        <f t="shared" si="20"/>
        <v>-3.9174739086800221E-4</v>
      </c>
      <c r="BP30" s="108">
        <f t="shared" si="20"/>
        <v>-4.6776336195321844E-2</v>
      </c>
      <c r="BQ30" s="108">
        <f t="shared" si="20"/>
        <v>2.5549615245186202E-2</v>
      </c>
      <c r="BR30" s="108">
        <f t="shared" ref="BR30:CK30" si="21">(BR5-BV5)/BV5</f>
        <v>0.33413800928005866</v>
      </c>
      <c r="BS30" s="108">
        <f t="shared" si="21"/>
        <v>1.0117859893063661</v>
      </c>
      <c r="BT30" s="108">
        <f t="shared" si="21"/>
        <v>9.2967066478856178E-2</v>
      </c>
      <c r="BU30" s="108">
        <f t="shared" si="21"/>
        <v>-5.617256256945484E-2</v>
      </c>
      <c r="BV30" s="108" t="e">
        <f t="shared" si="21"/>
        <v>#DIV/0!</v>
      </c>
      <c r="BW30" s="108">
        <f t="shared" si="21"/>
        <v>-0.28543855976872889</v>
      </c>
      <c r="BX30" s="108" t="e">
        <f t="shared" si="21"/>
        <v>#DIV/0!</v>
      </c>
      <c r="BY30" s="108">
        <f t="shared" si="21"/>
        <v>1.4154800938342484</v>
      </c>
      <c r="BZ30" s="108" t="e">
        <f t="shared" si="21"/>
        <v>#DIV/0!</v>
      </c>
      <c r="CA30" s="108">
        <f t="shared" si="21"/>
        <v>1.7417921139959536</v>
      </c>
      <c r="CB30" s="108">
        <f t="shared" si="21"/>
        <v>-1</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c r="A31" s="142" t="s">
        <v>556</v>
      </c>
      <c r="E31" s="108">
        <f>(E6-I6)/I6</f>
        <v>0.30390685558175157</v>
      </c>
      <c r="F31" s="108">
        <f t="shared" ref="F31:BQ31" si="22">(F6-J6)/J6</f>
        <v>0.36182896368969925</v>
      </c>
      <c r="G31" s="108">
        <f t="shared" si="22"/>
        <v>0.41879981742517469</v>
      </c>
      <c r="H31" s="108">
        <f t="shared" si="22"/>
        <v>0.16657149071803926</v>
      </c>
      <c r="I31" s="108">
        <f t="shared" si="22"/>
        <v>5.818740565200041E-2</v>
      </c>
      <c r="J31" s="108">
        <f t="shared" si="22"/>
        <v>0.18216890788041032</v>
      </c>
      <c r="K31" s="108">
        <f t="shared" si="22"/>
        <v>-4.5088437048310538E-2</v>
      </c>
      <c r="L31" s="108">
        <f t="shared" si="22"/>
        <v>-1.4878873207337499E-2</v>
      </c>
      <c r="M31" s="108">
        <f t="shared" si="22"/>
        <v>0.45070281397411266</v>
      </c>
      <c r="N31" s="108">
        <f t="shared" si="22"/>
        <v>1.1419109268140444E-2</v>
      </c>
      <c r="O31" s="108">
        <f t="shared" si="22"/>
        <v>1.3073851348686065</v>
      </c>
      <c r="P31" s="108">
        <f t="shared" si="22"/>
        <v>1.8181182898084878</v>
      </c>
      <c r="Q31" s="108">
        <f t="shared" si="22"/>
        <v>1.118414013704798</v>
      </c>
      <c r="R31" s="108">
        <f t="shared" si="22"/>
        <v>1.9409493470083647</v>
      </c>
      <c r="S31" s="108">
        <f t="shared" si="22"/>
        <v>0.21678847870313758</v>
      </c>
      <c r="T31" s="108">
        <f t="shared" si="22"/>
        <v>5.9680315654460102E-2</v>
      </c>
      <c r="U31" s="108">
        <f t="shared" si="22"/>
        <v>0.33068497522707935</v>
      </c>
      <c r="V31" s="108">
        <f t="shared" si="22"/>
        <v>0.11634189711146457</v>
      </c>
      <c r="W31" s="108">
        <f t="shared" si="22"/>
        <v>8.1896058257114698E-2</v>
      </c>
      <c r="X31" s="108">
        <f t="shared" si="22"/>
        <v>0.10553483182743419</v>
      </c>
      <c r="Y31" s="108">
        <f t="shared" si="22"/>
        <v>2.2297307541286813E-2</v>
      </c>
      <c r="Z31" s="108">
        <f t="shared" si="22"/>
        <v>-1.4327318450208069E-2</v>
      </c>
      <c r="AA31" s="108">
        <f t="shared" si="22"/>
        <v>4.0430989872741255E-3</v>
      </c>
      <c r="AB31" s="108">
        <f t="shared" si="22"/>
        <v>-9.6495388933549947E-2</v>
      </c>
      <c r="AC31" s="108">
        <f t="shared" si="22"/>
        <v>-0.12938709019202763</v>
      </c>
      <c r="AD31" s="108">
        <f t="shared" si="22"/>
        <v>0.34927781558102</v>
      </c>
      <c r="AE31" s="108">
        <f t="shared" si="22"/>
        <v>0.35972461135077888</v>
      </c>
      <c r="AF31" s="108">
        <f t="shared" si="22"/>
        <v>0.98027837385500372</v>
      </c>
      <c r="AG31" s="108">
        <f t="shared" si="22"/>
        <v>0.94684368194852941</v>
      </c>
      <c r="AH31" s="108">
        <f t="shared" si="22"/>
        <v>9.3391227896987505E-2</v>
      </c>
      <c r="AI31" s="108">
        <f t="shared" si="22"/>
        <v>0.17886461112540586</v>
      </c>
      <c r="AJ31" s="108">
        <f t="shared" si="22"/>
        <v>6.5567366245456421E-2</v>
      </c>
      <c r="AK31" s="108">
        <f t="shared" si="22"/>
        <v>8.8555308994176768E-2</v>
      </c>
      <c r="AL31" s="108">
        <f t="shared" si="22"/>
        <v>1.6053593994398603E-2</v>
      </c>
      <c r="AM31" s="108">
        <f t="shared" si="22"/>
        <v>0.17344958104464342</v>
      </c>
      <c r="AN31" s="108">
        <f t="shared" si="22"/>
        <v>0.34308945922203105</v>
      </c>
      <c r="AO31" s="108">
        <f t="shared" si="22"/>
        <v>0.47601497943378784</v>
      </c>
      <c r="AP31" s="108">
        <f t="shared" si="22"/>
        <v>1.0887022589309339</v>
      </c>
      <c r="AQ31" s="108">
        <f t="shared" si="22"/>
        <v>0.85599234848971284</v>
      </c>
      <c r="AR31" s="108">
        <f t="shared" si="22"/>
        <v>0.56594211641454406</v>
      </c>
      <c r="AS31" s="108">
        <f t="shared" si="22"/>
        <v>0.66003578030269361</v>
      </c>
      <c r="AT31" s="108">
        <f t="shared" si="22"/>
        <v>0.68178649222657195</v>
      </c>
      <c r="AU31" s="108">
        <f t="shared" si="22"/>
        <v>0.45344490983479402</v>
      </c>
      <c r="AV31" s="108">
        <f t="shared" si="22"/>
        <v>0.46928402656082047</v>
      </c>
      <c r="AW31" s="108">
        <f t="shared" si="22"/>
        <v>0.45081752698808047</v>
      </c>
      <c r="AX31" s="108">
        <f t="shared" si="22"/>
        <v>0.8606471122077135</v>
      </c>
      <c r="AY31" s="108">
        <f t="shared" si="22"/>
        <v>0.32615684617359453</v>
      </c>
      <c r="AZ31" s="108">
        <f t="shared" si="22"/>
        <v>0.18862522803782764</v>
      </c>
      <c r="BA31" s="108">
        <f t="shared" si="22"/>
        <v>-0.21212622453007204</v>
      </c>
      <c r="BB31" s="108">
        <f t="shared" si="22"/>
        <v>-0.17426747484184629</v>
      </c>
      <c r="BC31" s="108">
        <f t="shared" si="22"/>
        <v>2.6292277154291821E-3</v>
      </c>
      <c r="BD31" s="108">
        <f t="shared" si="22"/>
        <v>0.19664657171347974</v>
      </c>
      <c r="BE31" s="108">
        <f t="shared" si="22"/>
        <v>0.95338280917537555</v>
      </c>
      <c r="BF31" s="108">
        <f t="shared" si="22"/>
        <v>0.22892153083617595</v>
      </c>
      <c r="BG31" s="108">
        <f t="shared" si="22"/>
        <v>0.86813875527389484</v>
      </c>
      <c r="BH31" s="108">
        <f t="shared" si="22"/>
        <v>0.46350116997870966</v>
      </c>
      <c r="BI31" s="108">
        <f t="shared" si="22"/>
        <v>0.74800680728962876</v>
      </c>
      <c r="BJ31" s="108">
        <f t="shared" si="22"/>
        <v>1.7737244499696208</v>
      </c>
      <c r="BK31" s="108">
        <f t="shared" si="22"/>
        <v>0.64692257430450018</v>
      </c>
      <c r="BL31" s="108">
        <f t="shared" si="22"/>
        <v>1.6060223893393626</v>
      </c>
      <c r="BM31" s="108">
        <f t="shared" si="22"/>
        <v>1.3987165339967247</v>
      </c>
      <c r="BN31" s="108">
        <f t="shared" si="22"/>
        <v>-7.8245010041558621E-2</v>
      </c>
      <c r="BO31" s="108">
        <f t="shared" si="22"/>
        <v>-1.8176070386728527E-2</v>
      </c>
      <c r="BP31" s="108">
        <f t="shared" si="22"/>
        <v>-0.16746577471508409</v>
      </c>
      <c r="BQ31" s="108">
        <f t="shared" si="22"/>
        <v>-6.6179138507672887E-3</v>
      </c>
      <c r="BR31" s="108">
        <f t="shared" ref="BR31:CK31" si="23">(BR6-BV6)/BV6</f>
        <v>3.0628708127954509E-2</v>
      </c>
      <c r="BS31" s="108">
        <f t="shared" si="23"/>
        <v>2.4839742456498901</v>
      </c>
      <c r="BT31" s="108">
        <f t="shared" si="23"/>
        <v>2.8733578317764397</v>
      </c>
      <c r="BU31" s="108">
        <f t="shared" si="23"/>
        <v>2.9230099358583336E-2</v>
      </c>
      <c r="BV31" s="108" t="e">
        <f t="shared" si="23"/>
        <v>#DIV/0!</v>
      </c>
      <c r="BW31" s="108">
        <f t="shared" si="23"/>
        <v>-0.36539019109153498</v>
      </c>
      <c r="BX31" s="108" t="e">
        <f t="shared" si="23"/>
        <v>#DIV/0!</v>
      </c>
      <c r="BY31" s="108">
        <f t="shared" si="23"/>
        <v>3.771494724377604E-2</v>
      </c>
      <c r="BZ31" s="108" t="e">
        <f t="shared" si="23"/>
        <v>#DIV/0!</v>
      </c>
      <c r="CA31" s="108">
        <f t="shared" si="23"/>
        <v>0.13381200622460721</v>
      </c>
      <c r="CB31" s="108">
        <f t="shared" si="23"/>
        <v>-1</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c r="A32" s="143" t="s">
        <v>558</v>
      </c>
      <c r="E32" s="109">
        <f>(E7-I7)/I7</f>
        <v>0.51601634180842471</v>
      </c>
      <c r="F32" s="109">
        <f t="shared" ref="F32:BQ32" si="24">(F7-J7)/J7</f>
        <v>0.57730380656895508</v>
      </c>
      <c r="G32" s="109">
        <f t="shared" si="24"/>
        <v>0.57660397856729662</v>
      </c>
      <c r="H32" s="109">
        <f t="shared" si="24"/>
        <v>0.48451952981367191</v>
      </c>
      <c r="I32" s="109">
        <f t="shared" si="24"/>
        <v>0.18702272350526475</v>
      </c>
      <c r="J32" s="109">
        <f t="shared" si="24"/>
        <v>9.383514867040943E-2</v>
      </c>
      <c r="K32" s="109">
        <f t="shared" si="24"/>
        <v>2.6636170199090779E-2</v>
      </c>
      <c r="L32" s="109">
        <f t="shared" si="24"/>
        <v>1.3739398798309869E-2</v>
      </c>
      <c r="M32" s="109">
        <f t="shared" si="24"/>
        <v>-1.2863908518444749E-2</v>
      </c>
      <c r="N32" s="109">
        <f t="shared" si="24"/>
        <v>-2.5417108718643434E-2</v>
      </c>
      <c r="O32" s="109">
        <f t="shared" si="24"/>
        <v>1.1088202472110904</v>
      </c>
      <c r="P32" s="109">
        <f t="shared" si="24"/>
        <v>1.0658509460975105</v>
      </c>
      <c r="Q32" s="109">
        <f t="shared" si="24"/>
        <v>1.0611981210603176</v>
      </c>
      <c r="R32" s="109">
        <f t="shared" si="24"/>
        <v>1.0301154914320789</v>
      </c>
      <c r="S32" s="109">
        <f t="shared" si="24"/>
        <v>-8.5739637321919304E-2</v>
      </c>
      <c r="T32" s="109">
        <f t="shared" si="24"/>
        <v>-9.0275211850424267E-2</v>
      </c>
      <c r="U32" s="109">
        <f t="shared" si="24"/>
        <v>-9.2419405805472629E-2</v>
      </c>
      <c r="V32" s="109">
        <f t="shared" si="24"/>
        <v>-3.669567656530065E-2</v>
      </c>
      <c r="W32" s="109">
        <f t="shared" si="24"/>
        <v>-2.5527399510696127E-2</v>
      </c>
      <c r="X32" s="109">
        <f t="shared" si="24"/>
        <v>-1.7160375838073328E-2</v>
      </c>
      <c r="Y32" s="109">
        <f t="shared" si="24"/>
        <v>-1.4565116087374206E-2</v>
      </c>
      <c r="Z32" s="109">
        <f t="shared" si="24"/>
        <v>-1.6206407191168792E-2</v>
      </c>
      <c r="AA32" s="109">
        <f t="shared" si="24"/>
        <v>-1.313043995932588E-2</v>
      </c>
      <c r="AB32" s="109">
        <f t="shared" si="24"/>
        <v>-5.8980770100817721E-3</v>
      </c>
      <c r="AC32" s="109">
        <f t="shared" si="24"/>
        <v>9.1361137111253161E-3</v>
      </c>
      <c r="AD32" s="109">
        <f t="shared" si="24"/>
        <v>1.0145463624697454E-2</v>
      </c>
      <c r="AE32" s="109">
        <f t="shared" si="24"/>
        <v>6.8804123895202282E-2</v>
      </c>
      <c r="AF32" s="109">
        <f t="shared" si="24"/>
        <v>9.3041157427673105E-2</v>
      </c>
      <c r="AG32" s="109">
        <f t="shared" si="24"/>
        <v>0.19755116497972183</v>
      </c>
      <c r="AH32" s="109">
        <f t="shared" si="24"/>
        <v>0.27872264690583076</v>
      </c>
      <c r="AI32" s="109">
        <f t="shared" si="24"/>
        <v>0.24108850768633078</v>
      </c>
      <c r="AJ32" s="109">
        <f t="shared" si="24"/>
        <v>0.24201760063094824</v>
      </c>
      <c r="AK32" s="109">
        <f t="shared" si="24"/>
        <v>0.13681724450827551</v>
      </c>
      <c r="AL32" s="109">
        <f t="shared" si="24"/>
        <v>0.12444408941486657</v>
      </c>
      <c r="AM32" s="109">
        <f t="shared" si="24"/>
        <v>0.22295960817526614</v>
      </c>
      <c r="AN32" s="109">
        <f t="shared" si="24"/>
        <v>0.34918216949683045</v>
      </c>
      <c r="AO32" s="109">
        <f t="shared" si="24"/>
        <v>0.46002533669825568</v>
      </c>
      <c r="AP32" s="109">
        <f t="shared" si="24"/>
        <v>0.56905153339710002</v>
      </c>
      <c r="AQ32" s="109">
        <f t="shared" si="24"/>
        <v>1.652393943045255</v>
      </c>
      <c r="AR32" s="109">
        <f t="shared" si="24"/>
        <v>1.9691320693529784</v>
      </c>
      <c r="AS32" s="109">
        <f t="shared" si="24"/>
        <v>3.9537023805753573</v>
      </c>
      <c r="AT32" s="109">
        <f t="shared" si="24"/>
        <v>3.3128807175857995</v>
      </c>
      <c r="AU32" s="109">
        <f t="shared" si="24"/>
        <v>1.2804176897664536</v>
      </c>
      <c r="AV32" s="109">
        <f t="shared" si="24"/>
        <v>0.7719148411512452</v>
      </c>
      <c r="AW32" s="109">
        <f t="shared" si="24"/>
        <v>-4.0106889691646434E-2</v>
      </c>
      <c r="AX32" s="109">
        <f t="shared" si="24"/>
        <v>-7.3389945670792101E-2</v>
      </c>
      <c r="AY32" s="109">
        <f t="shared" si="24"/>
        <v>-7.8757353281438736E-2</v>
      </c>
      <c r="AZ32" s="109">
        <f t="shared" si="24"/>
        <v>-7.6133530312113007E-2</v>
      </c>
      <c r="BA32" s="109">
        <f t="shared" si="24"/>
        <v>-6.9823696227802448E-2</v>
      </c>
      <c r="BB32" s="109">
        <f t="shared" si="24"/>
        <v>-1.6139401654299477E-2</v>
      </c>
      <c r="BC32" s="109">
        <f t="shared" si="24"/>
        <v>-1.4093779490644356E-2</v>
      </c>
      <c r="BD32" s="109">
        <f t="shared" si="24"/>
        <v>1.2463825247912006E-2</v>
      </c>
      <c r="BE32" s="109">
        <f t="shared" si="24"/>
        <v>-6.9571438305038574E-3</v>
      </c>
      <c r="BF32" s="109">
        <f t="shared" si="24"/>
        <v>2.5414029535314565E-2</v>
      </c>
      <c r="BG32" s="109">
        <f t="shared" si="24"/>
        <v>6.1290599408891581E-2</v>
      </c>
      <c r="BH32" s="109">
        <f t="shared" si="24"/>
        <v>0.12835686146473771</v>
      </c>
      <c r="BI32" s="109">
        <f t="shared" si="24"/>
        <v>0.17456121251200232</v>
      </c>
      <c r="BJ32" s="109">
        <f t="shared" si="24"/>
        <v>1.1809802659848341</v>
      </c>
      <c r="BK32" s="109">
        <f t="shared" si="24"/>
        <v>1.2509954642916408</v>
      </c>
      <c r="BL32" s="109">
        <f t="shared" si="24"/>
        <v>1.1987490513406671</v>
      </c>
      <c r="BM32" s="109">
        <f t="shared" si="24"/>
        <v>1.324269045855492</v>
      </c>
      <c r="BN32" s="109">
        <f t="shared" si="24"/>
        <v>0.18156953288329408</v>
      </c>
      <c r="BO32" s="109">
        <f t="shared" si="24"/>
        <v>0.1812820034468958</v>
      </c>
      <c r="BP32" s="109">
        <f t="shared" si="24"/>
        <v>9.6163804080185544E-2</v>
      </c>
      <c r="BQ32" s="109">
        <f t="shared" si="24"/>
        <v>5.0729764709519252E-2</v>
      </c>
      <c r="BR32" s="109">
        <f t="shared" ref="BR32:CK32" si="25">(BR7-BV7)/BV7</f>
        <v>7.1111764465764645E-3</v>
      </c>
      <c r="BS32" s="109">
        <f t="shared" si="25"/>
        <v>-7.5246555151136027E-2</v>
      </c>
      <c r="BT32" s="109">
        <f t="shared" si="25"/>
        <v>1.3219930032355636</v>
      </c>
      <c r="BU32" s="109">
        <f t="shared" si="25"/>
        <v>1.206621438608694</v>
      </c>
      <c r="BV32" s="109">
        <f t="shared" si="25"/>
        <v>1.3847194182875757</v>
      </c>
      <c r="BW32" s="109">
        <f t="shared" si="25"/>
        <v>1.2126330073394163</v>
      </c>
      <c r="BX32" s="109">
        <f t="shared" si="25"/>
        <v>-1.1525311470313828E-2</v>
      </c>
      <c r="BY32" s="109">
        <f t="shared" si="25"/>
        <v>-6.684370429849136E-2</v>
      </c>
      <c r="BZ32" s="109">
        <f t="shared" si="25"/>
        <v>-8.1045568940209395E-2</v>
      </c>
      <c r="CA32" s="109">
        <f t="shared" si="25"/>
        <v>-6.5726442074703934E-2</v>
      </c>
      <c r="CB32" s="109">
        <f t="shared" si="25"/>
        <v>-0.34446961127333642</v>
      </c>
      <c r="CC32" s="109">
        <f t="shared" si="25"/>
        <v>1.9070964803517996</v>
      </c>
      <c r="CD32" s="109">
        <f t="shared" si="25"/>
        <v>1.8480016052930077</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c r="A33" s="143" t="s">
        <v>565</v>
      </c>
      <c r="E33" s="109">
        <f>E7/E9</f>
        <v>0.83053505344760559</v>
      </c>
      <c r="F33" s="109">
        <f t="shared" ref="F33:BQ33" si="26">F7/F9</f>
        <v>0.86476722618660951</v>
      </c>
      <c r="G33" s="109">
        <f t="shared" si="26"/>
        <v>0.8450487848744771</v>
      </c>
      <c r="H33" s="109">
        <f t="shared" si="26"/>
        <v>0.84238945776694418</v>
      </c>
      <c r="I33" s="109">
        <f t="shared" si="26"/>
        <v>0.76362606059684812</v>
      </c>
      <c r="J33" s="109">
        <f t="shared" si="26"/>
        <v>0.69177654193123872</v>
      </c>
      <c r="K33" s="109">
        <f t="shared" si="26"/>
        <v>0.65071256004571798</v>
      </c>
      <c r="L33" s="109">
        <f t="shared" si="26"/>
        <v>0.62951040241123746</v>
      </c>
      <c r="M33" s="109">
        <f t="shared" si="26"/>
        <v>0.63174877393365403</v>
      </c>
      <c r="N33" s="109">
        <f t="shared" si="26"/>
        <v>0.78945399002835315</v>
      </c>
      <c r="O33" s="109">
        <f t="shared" si="26"/>
        <v>0.72516454264775398</v>
      </c>
      <c r="P33" s="109">
        <f t="shared" si="26"/>
        <v>0.78004676739286316</v>
      </c>
      <c r="Q33" s="109">
        <f t="shared" si="26"/>
        <v>0.86766990091546203</v>
      </c>
      <c r="R33" s="109">
        <f t="shared" si="26"/>
        <v>0.72791423947934553</v>
      </c>
      <c r="S33" s="109">
        <f t="shared" si="26"/>
        <v>0.81535062829856264</v>
      </c>
      <c r="T33" s="109">
        <f t="shared" si="26"/>
        <v>0.79252572778854169</v>
      </c>
      <c r="U33" s="109">
        <f t="shared" si="26"/>
        <v>0.80522657822671329</v>
      </c>
      <c r="V33" s="109">
        <f t="shared" si="26"/>
        <v>0.79835488153704603</v>
      </c>
      <c r="W33" s="109">
        <f t="shared" si="26"/>
        <v>0.84336908847557357</v>
      </c>
      <c r="X33" s="109">
        <f t="shared" si="26"/>
        <v>0.83160232419368263</v>
      </c>
      <c r="Y33" s="109">
        <f t="shared" si="26"/>
        <v>0.84651239915865184</v>
      </c>
      <c r="Z33" s="109">
        <f t="shared" si="26"/>
        <v>0.78403689663808074</v>
      </c>
      <c r="AA33" s="109">
        <f t="shared" si="26"/>
        <v>0.795935653554531</v>
      </c>
      <c r="AB33" s="109">
        <f t="shared" si="26"/>
        <v>0.8229950693645971</v>
      </c>
      <c r="AC33" s="109">
        <f t="shared" si="26"/>
        <v>0.82299955154521454</v>
      </c>
      <c r="AD33" s="109">
        <f t="shared" si="26"/>
        <v>0.81064284421922617</v>
      </c>
      <c r="AE33" s="109">
        <f t="shared" si="26"/>
        <v>0.78223571507823586</v>
      </c>
      <c r="AF33" s="109">
        <f t="shared" si="26"/>
        <v>0.81935855992243689</v>
      </c>
      <c r="AG33" s="109">
        <f t="shared" si="26"/>
        <v>0.85206248687199082</v>
      </c>
      <c r="AH33" s="109">
        <f t="shared" si="26"/>
        <v>0.80057584334032195</v>
      </c>
      <c r="AI33" s="109">
        <f t="shared" si="26"/>
        <v>0.75301620119118839</v>
      </c>
      <c r="AJ33" s="109">
        <f t="shared" si="26"/>
        <v>0.79738085747498944</v>
      </c>
      <c r="AK33" s="109">
        <f t="shared" si="26"/>
        <v>0.80249913402347994</v>
      </c>
      <c r="AL33" s="109">
        <f t="shared" si="26"/>
        <v>0.85224837880485904</v>
      </c>
      <c r="AM33" s="109">
        <f t="shared" si="26"/>
        <v>0.85245246433009136</v>
      </c>
      <c r="AN33" s="109">
        <f t="shared" si="26"/>
        <v>0.89808201912687602</v>
      </c>
      <c r="AO33" s="109">
        <f t="shared" si="26"/>
        <v>0.93488409051051924</v>
      </c>
      <c r="AP33" s="109">
        <f t="shared" si="26"/>
        <v>0.82683622316616134</v>
      </c>
      <c r="AQ33" s="109">
        <f t="shared" si="26"/>
        <v>0.74206893011529529</v>
      </c>
      <c r="AR33" s="109">
        <f t="shared" si="26"/>
        <v>0.66183634508271383</v>
      </c>
      <c r="AS33" s="109">
        <f t="shared" si="26"/>
        <v>0.66126921628593482</v>
      </c>
      <c r="AT33" s="109">
        <f t="shared" si="26"/>
        <v>0.56973514714619466</v>
      </c>
      <c r="AU33" s="109">
        <f t="shared" si="26"/>
        <v>0.38643151133447978</v>
      </c>
      <c r="AV33" s="109">
        <f t="shared" si="26"/>
        <v>0.58682743850058428</v>
      </c>
      <c r="AW33" s="109">
        <f t="shared" si="26"/>
        <v>0.44381904648365039</v>
      </c>
      <c r="AX33" s="109">
        <f t="shared" si="26"/>
        <v>0.43247082889869182</v>
      </c>
      <c r="AY33" s="109">
        <f t="shared" si="26"/>
        <v>0.44150867406926347</v>
      </c>
      <c r="AZ33" s="109">
        <f t="shared" si="26"/>
        <v>0.47477600836839556</v>
      </c>
      <c r="BA33" s="109">
        <f t="shared" si="26"/>
        <v>0.5137641631852885</v>
      </c>
      <c r="BB33" s="109">
        <f t="shared" si="26"/>
        <v>0.49339475955340462</v>
      </c>
      <c r="BC33" s="109">
        <f t="shared" si="26"/>
        <v>0.49544936249036475</v>
      </c>
      <c r="BD33" s="109">
        <f t="shared" si="26"/>
        <v>0.50075831055314945</v>
      </c>
      <c r="BE33" s="109">
        <f t="shared" si="26"/>
        <v>0.49818053940920609</v>
      </c>
      <c r="BF33" s="109">
        <f t="shared" si="26"/>
        <v>0.51985573756920156</v>
      </c>
      <c r="BG33" s="109">
        <f t="shared" si="26"/>
        <v>0.53446942194039537</v>
      </c>
      <c r="BH33" s="109">
        <f t="shared" si="26"/>
        <v>0.54892808666530057</v>
      </c>
      <c r="BI33" s="109">
        <f t="shared" si="26"/>
        <v>0.60545134575651216</v>
      </c>
      <c r="BJ33" s="109">
        <f t="shared" si="26"/>
        <v>0.58805818780906227</v>
      </c>
      <c r="BK33" s="109">
        <f t="shared" si="26"/>
        <v>0.57013309968949888</v>
      </c>
      <c r="BL33" s="109">
        <f t="shared" si="26"/>
        <v>0.54302736354842551</v>
      </c>
      <c r="BM33" s="109">
        <f t="shared" si="26"/>
        <v>0.56163690575907355</v>
      </c>
      <c r="BN33" s="109">
        <f t="shared" si="26"/>
        <v>0.27244313994065178</v>
      </c>
      <c r="BO33" s="109">
        <f t="shared" si="26"/>
        <v>0.27879912394198147</v>
      </c>
      <c r="BP33" s="109">
        <f t="shared" si="26"/>
        <v>0.28368529536866677</v>
      </c>
      <c r="BQ33" s="109">
        <f t="shared" si="26"/>
        <v>0.27959987518991181</v>
      </c>
      <c r="BR33" s="109">
        <f t="shared" ref="BR33:CK33" si="27">BR7/BR9</f>
        <v>0.26028319977643122</v>
      </c>
      <c r="BS33" s="109">
        <f t="shared" si="27"/>
        <v>0.3993742003358865</v>
      </c>
      <c r="BT33" s="109">
        <f t="shared" si="27"/>
        <v>0.42174163971566286</v>
      </c>
      <c r="BU33" s="109">
        <f t="shared" si="27"/>
        <v>0.43902992549452569</v>
      </c>
      <c r="BV33" s="109">
        <f t="shared" si="27"/>
        <v>0.46053521657042845</v>
      </c>
      <c r="BW33" s="109">
        <f t="shared" si="27"/>
        <v>0.51241763838768772</v>
      </c>
      <c r="BX33" s="109">
        <f t="shared" si="27"/>
        <v>0.193371147840254</v>
      </c>
      <c r="BY33" s="109">
        <f t="shared" si="27"/>
        <v>0.25597686534495145</v>
      </c>
      <c r="BZ33" s="109">
        <f t="shared" si="27"/>
        <v>0.76220406137907271</v>
      </c>
      <c r="CA33" s="109">
        <f t="shared" si="27"/>
        <v>0.29272315672711569</v>
      </c>
      <c r="CB33" s="109">
        <f t="shared" si="27"/>
        <v>0.76796371449033185</v>
      </c>
      <c r="CC33" s="109">
        <f t="shared" si="27"/>
        <v>0.44354055232968981</v>
      </c>
      <c r="CD33" s="109">
        <f t="shared" si="27"/>
        <v>0.79475812723596206</v>
      </c>
      <c r="CE33" s="109">
        <f t="shared" si="27"/>
        <v>0.51296021150963977</v>
      </c>
      <c r="CF33" s="109">
        <f t="shared" si="27"/>
        <v>0.53453101032511408</v>
      </c>
      <c r="CG33" s="109">
        <f t="shared" si="27"/>
        <v>1</v>
      </c>
      <c r="CH33" s="109">
        <f t="shared" si="27"/>
        <v>1</v>
      </c>
      <c r="CI33" s="109" t="e">
        <f t="shared" si="27"/>
        <v>#DIV/0!</v>
      </c>
      <c r="CJ33" s="109" t="e">
        <f t="shared" si="27"/>
        <v>#DIV/0!</v>
      </c>
      <c r="CK33" s="109" t="e">
        <f t="shared" si="27"/>
        <v>#DIV/0!</v>
      </c>
    </row>
    <row r="34" spans="1:89" s="108" customFormat="1">
      <c r="A34" s="142" t="s">
        <v>559</v>
      </c>
      <c r="E34" s="108">
        <f>(E10-I10)/I10</f>
        <v>11.039560989195685</v>
      </c>
      <c r="F34" s="108">
        <f t="shared" ref="F34:BQ34" si="28">(F10-J10)/J10</f>
        <v>6.2769901777849739</v>
      </c>
      <c r="G34" s="108">
        <f t="shared" si="28"/>
        <v>4.9114555660902548</v>
      </c>
      <c r="H34" s="108">
        <f t="shared" si="28"/>
        <v>0.73639699419368043</v>
      </c>
      <c r="I34" s="108">
        <f t="shared" si="28"/>
        <v>-0.78094901028136299</v>
      </c>
      <c r="J34" s="108">
        <f t="shared" si="28"/>
        <v>-0.40997151663778442</v>
      </c>
      <c r="K34" s="108">
        <f t="shared" si="28"/>
        <v>-0.71807527439010543</v>
      </c>
      <c r="L34" s="108">
        <f t="shared" si="28"/>
        <v>-0.1742807987860564</v>
      </c>
      <c r="M34" s="108">
        <f t="shared" si="28"/>
        <v>-9.1522732775321525E-2</v>
      </c>
      <c r="N34" s="108">
        <f t="shared" si="28"/>
        <v>-0.63063325718220398</v>
      </c>
      <c r="O34" s="108">
        <f t="shared" si="28"/>
        <v>0.23682152066630285</v>
      </c>
      <c r="P34" s="108">
        <f t="shared" si="28"/>
        <v>-4.1594415214175104E-2</v>
      </c>
      <c r="Q34" s="108">
        <f t="shared" si="28"/>
        <v>0.1572781206026535</v>
      </c>
      <c r="R34" s="108">
        <f t="shared" si="28"/>
        <v>0.71532293033890249</v>
      </c>
      <c r="S34" s="108">
        <f t="shared" si="28"/>
        <v>0.18864385052290986</v>
      </c>
      <c r="T34" s="108">
        <f t="shared" si="28"/>
        <v>-0.26719235368870248</v>
      </c>
      <c r="U34" s="108">
        <f t="shared" si="28"/>
        <v>-0.11410164096173972</v>
      </c>
      <c r="V34" s="108">
        <f t="shared" si="28"/>
        <v>-0.10676085261922109</v>
      </c>
      <c r="W34" s="108">
        <f t="shared" si="28"/>
        <v>-0.16762373207416978</v>
      </c>
      <c r="X34" s="108">
        <f t="shared" si="28"/>
        <v>0.58975033012053724</v>
      </c>
      <c r="Y34" s="108">
        <f t="shared" si="28"/>
        <v>0.31840853573498401</v>
      </c>
      <c r="Z34" s="108">
        <f t="shared" si="28"/>
        <v>0.62023707287938579</v>
      </c>
      <c r="AA34" s="108">
        <f t="shared" si="28"/>
        <v>0.29161593027571403</v>
      </c>
      <c r="AB34" s="108">
        <f t="shared" si="28"/>
        <v>0.13565057421007901</v>
      </c>
      <c r="AC34" s="108">
        <f t="shared" si="28"/>
        <v>0.27383826096946995</v>
      </c>
      <c r="AD34" s="108">
        <f t="shared" si="28"/>
        <v>-0.14897933799991164</v>
      </c>
      <c r="AE34" s="108">
        <f t="shared" si="28"/>
        <v>2.5130347384867441E-2</v>
      </c>
      <c r="AF34" s="108">
        <f t="shared" si="28"/>
        <v>-0.20831162513618603</v>
      </c>
      <c r="AG34" s="108">
        <f t="shared" si="28"/>
        <v>-0.15033515169173486</v>
      </c>
      <c r="AH34" s="108">
        <f t="shared" si="28"/>
        <v>1.0870346019558712</v>
      </c>
      <c r="AI34" s="108">
        <f t="shared" si="28"/>
        <v>1.0404129128514112</v>
      </c>
      <c r="AJ34" s="108">
        <f t="shared" si="28"/>
        <v>3.0502052759263729</v>
      </c>
      <c r="AK34" s="108">
        <f t="shared" si="28"/>
        <v>4.0866875474252327</v>
      </c>
      <c r="AL34" s="108">
        <f t="shared" si="28"/>
        <v>1.2050162129969619</v>
      </c>
      <c r="AM34" s="108">
        <f t="shared" si="28"/>
        <v>1.0004481708465627</v>
      </c>
      <c r="AN34" s="108">
        <f t="shared" si="28"/>
        <v>7.9037518945790974E-2</v>
      </c>
      <c r="AO34" s="108">
        <f t="shared" si="28"/>
        <v>7.8465718494185599E-2</v>
      </c>
      <c r="AP34" s="108">
        <f t="shared" si="28"/>
        <v>2.8535091013710767</v>
      </c>
      <c r="AQ34" s="108">
        <f t="shared" si="28"/>
        <v>-0.39320133836144583</v>
      </c>
      <c r="AR34" s="108">
        <f t="shared" si="28"/>
        <v>-0.31371630650666665</v>
      </c>
      <c r="AS34" s="108">
        <f t="shared" si="28"/>
        <v>-0.53619761522231923</v>
      </c>
      <c r="AT34" s="108">
        <f t="shared" si="28"/>
        <v>-0.82254979535167161</v>
      </c>
      <c r="AU34" s="108">
        <f t="shared" si="28"/>
        <v>0.20867567008687901</v>
      </c>
      <c r="AV34" s="108">
        <f t="shared" si="28"/>
        <v>0.24853920912532337</v>
      </c>
      <c r="AW34" s="108">
        <f t="shared" si="28"/>
        <v>0.38843109719440799</v>
      </c>
      <c r="AX34" s="108">
        <f t="shared" si="28"/>
        <v>-0.24646727166858393</v>
      </c>
      <c r="AY34" s="108">
        <f t="shared" si="28"/>
        <v>-0.2291548566919199</v>
      </c>
      <c r="AZ34" s="108">
        <f t="shared" si="28"/>
        <v>-0.1309514509170768</v>
      </c>
      <c r="BA34" s="108">
        <f t="shared" si="28"/>
        <v>-0.31629729209672375</v>
      </c>
      <c r="BB34" s="108">
        <f t="shared" si="28"/>
        <v>8.1325269596745769E-2</v>
      </c>
      <c r="BC34" s="108">
        <f t="shared" si="28"/>
        <v>0.13932645370935942</v>
      </c>
      <c r="BD34" s="108">
        <f t="shared" si="28"/>
        <v>-8.3890490654521463E-2</v>
      </c>
      <c r="BE34" s="108">
        <f t="shared" si="28"/>
        <v>0.18468448071378593</v>
      </c>
      <c r="BF34" s="108">
        <f t="shared" si="28"/>
        <v>0.30815467088754112</v>
      </c>
      <c r="BG34" s="108">
        <f t="shared" si="28"/>
        <v>0.21104310670084028</v>
      </c>
      <c r="BH34" s="108">
        <f t="shared" si="28"/>
        <v>0.19879496824088941</v>
      </c>
      <c r="BI34" s="108">
        <f t="shared" si="28"/>
        <v>0.13252716659214303</v>
      </c>
      <c r="BJ34" s="108">
        <f t="shared" si="28"/>
        <v>8.9151904760681716E-2</v>
      </c>
      <c r="BK34" s="108">
        <f t="shared" si="28"/>
        <v>0.83826645400122879</v>
      </c>
      <c r="BL34" s="108">
        <f t="shared" si="28"/>
        <v>1.5053048148947197</v>
      </c>
      <c r="BM34" s="108">
        <f t="shared" si="28"/>
        <v>1.6783272409810241</v>
      </c>
      <c r="BN34" s="108">
        <f t="shared" si="28"/>
        <v>0.95355292240929046</v>
      </c>
      <c r="BO34" s="108">
        <f t="shared" si="28"/>
        <v>1.7599132296744209E-2</v>
      </c>
      <c r="BP34" s="108">
        <f t="shared" si="28"/>
        <v>-0.16862444875957147</v>
      </c>
      <c r="BQ34" s="108">
        <f t="shared" si="28"/>
        <v>-0.21914814538341015</v>
      </c>
      <c r="BR34" s="108">
        <f t="shared" ref="BR34:CK34" si="29">(BR10-BV10)/BV10</f>
        <v>0.17966890350432038</v>
      </c>
      <c r="BS34" s="108">
        <f t="shared" si="29"/>
        <v>0.81566419648559241</v>
      </c>
      <c r="BT34" s="108">
        <f t="shared" si="29"/>
        <v>0.36482383696867049</v>
      </c>
      <c r="BU34" s="108">
        <f t="shared" si="29"/>
        <v>4.0970952413671345E-2</v>
      </c>
      <c r="BV34" s="108" t="e">
        <f t="shared" si="29"/>
        <v>#DIV/0!</v>
      </c>
      <c r="BW34" s="108">
        <f t="shared" si="29"/>
        <v>-0.30403519928636591</v>
      </c>
      <c r="BX34" s="108" t="e">
        <f t="shared" si="29"/>
        <v>#DIV/0!</v>
      </c>
      <c r="BY34" s="108">
        <f t="shared" si="29"/>
        <v>-0.14125071629513866</v>
      </c>
      <c r="BZ34" s="108" t="e">
        <f t="shared" si="29"/>
        <v>#DIV/0!</v>
      </c>
      <c r="CA34" s="108">
        <f t="shared" si="29"/>
        <v>-4.6656001389338356E-2</v>
      </c>
      <c r="CB34" s="108">
        <f t="shared" si="29"/>
        <v>-1</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c r="A35" s="142" t="s">
        <v>563</v>
      </c>
      <c r="E35" s="108">
        <f>E10/E12</f>
        <v>0.45140319695878472</v>
      </c>
      <c r="F35" s="108">
        <f t="shared" ref="F35:BQ35" si="30">F10/F12</f>
        <v>0.6058822588001298</v>
      </c>
      <c r="G35" s="108">
        <f t="shared" si="30"/>
        <v>0.55969706226815819</v>
      </c>
      <c r="H35" s="108">
        <f t="shared" si="30"/>
        <v>0.42573165440571425</v>
      </c>
      <c r="I35" s="108">
        <f t="shared" si="30"/>
        <v>0.15242639627765669</v>
      </c>
      <c r="J35" s="108">
        <f t="shared" si="30"/>
        <v>0.20822715566919961</v>
      </c>
      <c r="K35" s="108">
        <f t="shared" si="30"/>
        <v>0.21236366765921838</v>
      </c>
      <c r="L35" s="108">
        <f t="shared" si="30"/>
        <v>0.34735973801544956</v>
      </c>
      <c r="M35" s="108">
        <f t="shared" si="30"/>
        <v>0.47893151137041184</v>
      </c>
      <c r="N35" s="108">
        <f t="shared" si="30"/>
        <v>0.201381845067853</v>
      </c>
      <c r="O35" s="108">
        <f t="shared" si="30"/>
        <v>0.3333170096528042</v>
      </c>
      <c r="P35" s="108">
        <f t="shared" si="30"/>
        <v>0.27601052136452037</v>
      </c>
      <c r="Q35" s="108">
        <f t="shared" si="30"/>
        <v>0.45900414480467233</v>
      </c>
      <c r="R35" s="108">
        <f t="shared" si="30"/>
        <v>0.36635757462571439</v>
      </c>
      <c r="S35" s="108">
        <f t="shared" si="30"/>
        <v>0.5585481171568718</v>
      </c>
      <c r="T35" s="108">
        <f t="shared" si="30"/>
        <v>0.42794456869105635</v>
      </c>
      <c r="U35" s="108">
        <f t="shared" si="30"/>
        <v>0.41468147154348517</v>
      </c>
      <c r="V35" s="108">
        <f t="shared" si="30"/>
        <v>0.39598526664528683</v>
      </c>
      <c r="W35" s="108">
        <f t="shared" si="30"/>
        <v>0.36683015428460769</v>
      </c>
      <c r="X35" s="108">
        <f t="shared" si="30"/>
        <v>0.48277985538503487</v>
      </c>
      <c r="Y35" s="108">
        <f t="shared" si="30"/>
        <v>0.39470740095628903</v>
      </c>
      <c r="Z35" s="108">
        <f t="shared" si="30"/>
        <v>0.37746245139541801</v>
      </c>
      <c r="AA35" s="108">
        <f t="shared" si="30"/>
        <v>0.36373845562999041</v>
      </c>
      <c r="AB35" s="108">
        <f t="shared" si="30"/>
        <v>0.2769552575730575</v>
      </c>
      <c r="AC35" s="108">
        <f t="shared" si="30"/>
        <v>0.26611314217737969</v>
      </c>
      <c r="AD35" s="108">
        <f t="shared" si="30"/>
        <v>0.22261127084510196</v>
      </c>
      <c r="AE35" s="108">
        <f t="shared" si="30"/>
        <v>0.25212579392896356</v>
      </c>
      <c r="AF35" s="108">
        <f t="shared" si="30"/>
        <v>0.225066829357287</v>
      </c>
      <c r="AG35" s="108">
        <f t="shared" si="30"/>
        <v>0.20127116224668923</v>
      </c>
      <c r="AH35" s="108">
        <f t="shared" si="30"/>
        <v>0.24370418109310549</v>
      </c>
      <c r="AI35" s="108">
        <f t="shared" si="30"/>
        <v>0.24011463350480622</v>
      </c>
      <c r="AJ35" s="108">
        <f t="shared" si="30"/>
        <v>0.29080725459670359</v>
      </c>
      <c r="AK35" s="108">
        <f t="shared" si="30"/>
        <v>0.25896040642354645</v>
      </c>
      <c r="AL35" s="108">
        <f t="shared" si="30"/>
        <v>0.16504557259961275</v>
      </c>
      <c r="AM35" s="108">
        <f t="shared" si="30"/>
        <v>0.17901795058356559</v>
      </c>
      <c r="AN35" s="108">
        <f t="shared" si="30"/>
        <v>0.11536271992590461</v>
      </c>
      <c r="AO35" s="108">
        <f t="shared" si="30"/>
        <v>7.9621673784447997E-2</v>
      </c>
      <c r="AP35" s="108">
        <f t="shared" si="30"/>
        <v>9.4839196185848892E-2</v>
      </c>
      <c r="AQ35" s="108">
        <f t="shared" si="30"/>
        <v>0.10864996683238812</v>
      </c>
      <c r="AR35" s="108">
        <f t="shared" si="30"/>
        <v>0.11547354004648382</v>
      </c>
      <c r="AS35" s="108">
        <f t="shared" si="30"/>
        <v>9.0282612413585178E-2</v>
      </c>
      <c r="AT35" s="108">
        <f t="shared" si="30"/>
        <v>2.870533988042669E-2</v>
      </c>
      <c r="AU35" s="108">
        <f t="shared" si="30"/>
        <v>0.22828161700395505</v>
      </c>
      <c r="AV35" s="108">
        <f t="shared" si="30"/>
        <v>0.97402597402597402</v>
      </c>
      <c r="AW35" s="108">
        <f t="shared" si="30"/>
        <v>0.97316145932241249</v>
      </c>
      <c r="AX35" s="108">
        <f t="shared" si="30"/>
        <v>0.79917208692836217</v>
      </c>
      <c r="AY35" s="108">
        <f t="shared" si="30"/>
        <v>0.81103150813391256</v>
      </c>
      <c r="AZ35" s="108">
        <f t="shared" si="30"/>
        <v>0.78966796459060185</v>
      </c>
      <c r="BA35" s="108">
        <f t="shared" si="30"/>
        <v>0.78861989932267773</v>
      </c>
      <c r="BB35" s="108">
        <f t="shared" si="30"/>
        <v>1</v>
      </c>
      <c r="BC35" s="108">
        <f t="shared" si="30"/>
        <v>1</v>
      </c>
      <c r="BD35" s="108">
        <f t="shared" si="30"/>
        <v>0.77558801550237988</v>
      </c>
      <c r="BE35" s="108">
        <f t="shared" si="30"/>
        <v>0.79252014370054846</v>
      </c>
      <c r="BF35" s="108">
        <f t="shared" si="30"/>
        <v>1</v>
      </c>
      <c r="BG35" s="108">
        <f t="shared" si="30"/>
        <v>1</v>
      </c>
      <c r="BH35" s="108">
        <f t="shared" si="30"/>
        <v>1</v>
      </c>
      <c r="BI35" s="108">
        <f t="shared" si="30"/>
        <v>1</v>
      </c>
      <c r="BJ35" s="108">
        <f t="shared" si="30"/>
        <v>1</v>
      </c>
      <c r="BK35" s="108">
        <f t="shared" si="30"/>
        <v>1</v>
      </c>
      <c r="BL35" s="108">
        <f t="shared" si="30"/>
        <v>1</v>
      </c>
      <c r="BM35" s="108">
        <f t="shared" si="30"/>
        <v>1</v>
      </c>
      <c r="BN35" s="108">
        <f t="shared" si="30"/>
        <v>1</v>
      </c>
      <c r="BO35" s="108">
        <f t="shared" si="30"/>
        <v>1</v>
      </c>
      <c r="BP35" s="108">
        <f t="shared" si="30"/>
        <v>1</v>
      </c>
      <c r="BQ35" s="108">
        <f t="shared" si="30"/>
        <v>1</v>
      </c>
      <c r="BR35" s="108">
        <f t="shared" ref="BR35:CK35" si="31">BR10/BR12</f>
        <v>1</v>
      </c>
      <c r="BS35" s="108">
        <f t="shared" si="31"/>
        <v>1</v>
      </c>
      <c r="BT35" s="108">
        <f t="shared" si="31"/>
        <v>1</v>
      </c>
      <c r="BU35" s="108">
        <f t="shared" si="31"/>
        <v>1</v>
      </c>
      <c r="BV35" s="108">
        <f t="shared" si="31"/>
        <v>1</v>
      </c>
      <c r="BW35" s="108">
        <f t="shared" si="31"/>
        <v>1</v>
      </c>
      <c r="BX35" s="108">
        <f t="shared" si="31"/>
        <v>0.84698100469322113</v>
      </c>
      <c r="BY35" s="108">
        <f t="shared" si="31"/>
        <v>0.85707290697564964</v>
      </c>
      <c r="BZ35" s="108" t="e">
        <f t="shared" si="31"/>
        <v>#DIV/0!</v>
      </c>
      <c r="CA35" s="108">
        <f t="shared" si="31"/>
        <v>0.86518481207922382</v>
      </c>
      <c r="CB35" s="108" t="e">
        <f t="shared" si="31"/>
        <v>#DIV/0!</v>
      </c>
      <c r="CC35" s="108">
        <f t="shared" si="31"/>
        <v>0.9983417641910084</v>
      </c>
      <c r="CD35" s="108" t="e">
        <f t="shared" si="31"/>
        <v>#DIV/0!</v>
      </c>
      <c r="CE35" s="108">
        <f t="shared" si="31"/>
        <v>1</v>
      </c>
      <c r="CF35" s="108">
        <f t="shared" si="31"/>
        <v>0.82950659315370512</v>
      </c>
      <c r="CG35" s="108" t="e">
        <f t="shared" si="31"/>
        <v>#DIV/0!</v>
      </c>
      <c r="CH35" s="108" t="e">
        <f t="shared" si="31"/>
        <v>#DIV/0!</v>
      </c>
      <c r="CI35" s="108" t="e">
        <f t="shared" si="31"/>
        <v>#DIV/0!</v>
      </c>
      <c r="CJ35" s="108" t="e">
        <f t="shared" si="31"/>
        <v>#DIV/0!</v>
      </c>
      <c r="CK35" s="108" t="e">
        <f t="shared" si="31"/>
        <v>#DIV/0!</v>
      </c>
    </row>
    <row r="36" spans="1:89" s="108" customFormat="1">
      <c r="A36" s="142" t="s">
        <v>560</v>
      </c>
      <c r="E36" s="108">
        <f>(E11-I11)/I11</f>
        <v>1.6313708062019505</v>
      </c>
      <c r="F36" s="108">
        <f t="shared" ref="F36:BQ36" si="32">(F11-J11)/J11</f>
        <v>0.24487659610386067</v>
      </c>
      <c r="G36" s="108">
        <f t="shared" si="32"/>
        <v>0.25385541920361548</v>
      </c>
      <c r="H36" s="108">
        <f t="shared" si="32"/>
        <v>0.24661852769677378</v>
      </c>
      <c r="I36" s="108">
        <f t="shared" si="32"/>
        <v>0.1195437321580224</v>
      </c>
      <c r="J36" s="108">
        <f t="shared" si="32"/>
        <v>-0.43425939564256588</v>
      </c>
      <c r="K36" s="108">
        <f t="shared" si="32"/>
        <v>-0.47722261442522351</v>
      </c>
      <c r="L36" s="108">
        <f t="shared" si="32"/>
        <v>-0.40854712106564051</v>
      </c>
      <c r="M36" s="108">
        <f t="shared" si="32"/>
        <v>-0.16139367887964257</v>
      </c>
      <c r="N36" s="108">
        <f t="shared" si="32"/>
        <v>-0.15308937676933759</v>
      </c>
      <c r="O36" s="108">
        <f t="shared" si="32"/>
        <v>2.1300130616435231</v>
      </c>
      <c r="P36" s="108">
        <f t="shared" si="32"/>
        <v>0.88063865623108983</v>
      </c>
      <c r="Q36" s="108">
        <f t="shared" si="32"/>
        <v>-3.364336697893297E-2</v>
      </c>
      <c r="R36" s="108">
        <f t="shared" si="32"/>
        <v>0.94498591647581387</v>
      </c>
      <c r="S36" s="108">
        <f t="shared" si="32"/>
        <v>-0.45572381257631694</v>
      </c>
      <c r="T36" s="108">
        <f t="shared" si="32"/>
        <v>-8.5646154760491422E-2</v>
      </c>
      <c r="U36" s="108">
        <f t="shared" si="32"/>
        <v>-0.18459861608774733</v>
      </c>
      <c r="V36" s="108">
        <f t="shared" si="32"/>
        <v>-0.17387748612408011</v>
      </c>
      <c r="W36" s="108">
        <f t="shared" si="32"/>
        <v>-0.17864968522066738</v>
      </c>
      <c r="X36" s="108">
        <f t="shared" si="32"/>
        <v>-0.34762147518628361</v>
      </c>
      <c r="Y36" s="108">
        <f t="shared" si="32"/>
        <v>-0.26687621008796525</v>
      </c>
      <c r="Z36" s="108">
        <f t="shared" si="32"/>
        <v>-0.23479240943621499</v>
      </c>
      <c r="AA36" s="108">
        <f t="shared" si="32"/>
        <v>-0.23832697780695317</v>
      </c>
      <c r="AB36" s="108">
        <f t="shared" si="32"/>
        <v>-0.13891202352601703</v>
      </c>
      <c r="AC36" s="108">
        <f t="shared" si="32"/>
        <v>-0.11476359359827253</v>
      </c>
      <c r="AD36" s="108">
        <f t="shared" si="32"/>
        <v>-4.2359563226797688E-2</v>
      </c>
      <c r="AE36" s="108">
        <f t="shared" si="32"/>
        <v>-3.9138231661120598E-2</v>
      </c>
      <c r="AF36" s="108">
        <f t="shared" si="32"/>
        <v>0.11775849205803698</v>
      </c>
      <c r="AG36" s="108">
        <f t="shared" si="32"/>
        <v>0.17830417568181789</v>
      </c>
      <c r="AH36" s="108">
        <f t="shared" si="32"/>
        <v>0.28026382880317685</v>
      </c>
      <c r="AI36" s="108">
        <f t="shared" si="32"/>
        <v>0.40802522569060684</v>
      </c>
      <c r="AJ36" s="108">
        <f t="shared" si="32"/>
        <v>0.28806070883048857</v>
      </c>
      <c r="AK36" s="108">
        <f t="shared" si="32"/>
        <v>0.25923859605579924</v>
      </c>
      <c r="AL36" s="108">
        <f t="shared" si="32"/>
        <v>0.16878009118859949</v>
      </c>
      <c r="AM36" s="108">
        <f t="shared" si="32"/>
        <v>0.11826748497272394</v>
      </c>
      <c r="AN36" s="108">
        <f t="shared" si="32"/>
        <v>8.0209387358294887E-2</v>
      </c>
      <c r="AO36" s="108">
        <f t="shared" si="32"/>
        <v>0.23719753614057837</v>
      </c>
      <c r="AP36" s="108">
        <f t="shared" si="32"/>
        <v>8.6940963614897226E-2</v>
      </c>
      <c r="AQ36" s="108">
        <f t="shared" si="32"/>
        <v>0.47256812528066261</v>
      </c>
      <c r="AR36" s="108">
        <f t="shared" si="32"/>
        <v>196.13480000000001</v>
      </c>
      <c r="AS36" s="108">
        <f t="shared" si="32"/>
        <v>168.45771999999999</v>
      </c>
      <c r="AT36" s="108">
        <f t="shared" si="32"/>
        <v>22.89357</v>
      </c>
      <c r="AU36" s="108">
        <f t="shared" si="32"/>
        <v>16.536625000000001</v>
      </c>
      <c r="AV36" s="108">
        <f t="shared" si="32"/>
        <v>-0.875</v>
      </c>
      <c r="AW36" s="108">
        <f t="shared" si="32"/>
        <v>-0.8571428571428571</v>
      </c>
      <c r="AX36" s="108" t="e">
        <f t="shared" si="32"/>
        <v>#DIV/0!</v>
      </c>
      <c r="AY36" s="108" t="e">
        <f t="shared" si="32"/>
        <v>#DIV/0!</v>
      </c>
      <c r="AZ36" s="108">
        <f t="shared" si="32"/>
        <v>-0.2</v>
      </c>
      <c r="BA36" s="108">
        <f t="shared" si="32"/>
        <v>-0.3</v>
      </c>
      <c r="BB36" s="108" t="e">
        <f t="shared" si="32"/>
        <v>#DIV/0!</v>
      </c>
      <c r="BC36" s="108" t="e">
        <f t="shared" si="32"/>
        <v>#DIV/0!</v>
      </c>
      <c r="BD36" s="108" t="e">
        <f t="shared" si="32"/>
        <v>#DIV/0!</v>
      </c>
      <c r="BE36" s="108" t="e">
        <f t="shared" si="32"/>
        <v>#DIV/0!</v>
      </c>
      <c r="BF36" s="108" t="e">
        <f t="shared" si="32"/>
        <v>#DIV/0!</v>
      </c>
      <c r="BG36" s="108" t="e">
        <f t="shared" si="32"/>
        <v>#DIV/0!</v>
      </c>
      <c r="BH36" s="108" t="e">
        <f t="shared" si="32"/>
        <v>#DIV/0!</v>
      </c>
      <c r="BI36" s="108" t="e">
        <f t="shared" si="32"/>
        <v>#DIV/0!</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t="e">
        <f t="shared" si="32"/>
        <v>#DIV/0!</v>
      </c>
      <c r="BR36" s="108" t="e">
        <f t="shared" ref="BR36:CK36" si="33">(BR11-BV11)/BV11</f>
        <v>#DIV/0!</v>
      </c>
      <c r="BS36" s="108" t="e">
        <f t="shared" si="33"/>
        <v>#DIV/0!</v>
      </c>
      <c r="BT36" s="108">
        <f t="shared" si="33"/>
        <v>-1</v>
      </c>
      <c r="BU36" s="108">
        <f t="shared" si="33"/>
        <v>-1</v>
      </c>
      <c r="BV36" s="108" t="e">
        <f t="shared" si="33"/>
        <v>#DIV/0!</v>
      </c>
      <c r="BW36" s="108">
        <f t="shared" si="33"/>
        <v>-1</v>
      </c>
      <c r="BX36" s="108" t="e">
        <f t="shared" si="33"/>
        <v>#DIV/0!</v>
      </c>
      <c r="BY36" s="108">
        <f t="shared" si="33"/>
        <v>85.217640216391985</v>
      </c>
      <c r="BZ36" s="108" t="e">
        <f t="shared" si="33"/>
        <v>#DIV/0!</v>
      </c>
      <c r="CA36" s="108" t="e">
        <f t="shared" si="33"/>
        <v>#DIV/0!</v>
      </c>
      <c r="CB36" s="108">
        <f t="shared" si="33"/>
        <v>-1</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c r="A37" s="142" t="s">
        <v>564</v>
      </c>
      <c r="B37" s="108"/>
      <c r="C37" s="108"/>
      <c r="D37" s="108"/>
      <c r="E37" s="108">
        <f>E11/E12</f>
        <v>0.54859680304121528</v>
      </c>
      <c r="F37" s="108">
        <f t="shared" ref="F37:BQ37" si="34">F11/F12</f>
        <v>0.39411774119987014</v>
      </c>
      <c r="G37" s="108">
        <f t="shared" si="34"/>
        <v>0.44030293773184176</v>
      </c>
      <c r="H37" s="108">
        <f t="shared" si="34"/>
        <v>0.57426834559428563</v>
      </c>
      <c r="I37" s="108">
        <f t="shared" si="34"/>
        <v>0.84757360372234325</v>
      </c>
      <c r="J37" s="108">
        <f t="shared" si="34"/>
        <v>0.79177284433080053</v>
      </c>
      <c r="K37" s="108">
        <f t="shared" si="34"/>
        <v>0.78763633234078168</v>
      </c>
      <c r="L37" s="108">
        <f t="shared" si="34"/>
        <v>0.65264026198455038</v>
      </c>
      <c r="M37" s="108">
        <f t="shared" si="34"/>
        <v>0.5210684886295881</v>
      </c>
      <c r="N37" s="108">
        <f t="shared" si="34"/>
        <v>0.79861815493214705</v>
      </c>
      <c r="O37" s="110">
        <f t="shared" si="34"/>
        <v>0.6666829903471958</v>
      </c>
      <c r="P37" s="110">
        <f t="shared" si="34"/>
        <v>0.72398947863547958</v>
      </c>
      <c r="Q37" s="110">
        <f t="shared" si="34"/>
        <v>0.54099585519532767</v>
      </c>
      <c r="R37" s="110">
        <f t="shared" si="34"/>
        <v>0.6336424253742855</v>
      </c>
      <c r="S37" s="110">
        <f t="shared" si="34"/>
        <v>0.4414518828431282</v>
      </c>
      <c r="T37" s="110">
        <f t="shared" si="34"/>
        <v>0.57205543130894365</v>
      </c>
      <c r="U37" s="110">
        <f t="shared" si="34"/>
        <v>0.58531852845651489</v>
      </c>
      <c r="V37" s="110">
        <f t="shared" si="34"/>
        <v>0.60401473335471323</v>
      </c>
      <c r="W37" s="110">
        <f t="shared" si="34"/>
        <v>0.63316984571539225</v>
      </c>
      <c r="X37" s="110">
        <f t="shared" si="34"/>
        <v>0.51722014461496513</v>
      </c>
      <c r="Y37" s="110">
        <f t="shared" si="34"/>
        <v>0.60529259904371102</v>
      </c>
      <c r="Z37" s="110">
        <f t="shared" si="34"/>
        <v>0.62253754860458199</v>
      </c>
      <c r="AA37" s="110">
        <f t="shared" si="34"/>
        <v>0.63626154437000959</v>
      </c>
      <c r="AB37" s="110">
        <f t="shared" si="34"/>
        <v>0.7230447424269425</v>
      </c>
      <c r="AC37" s="110">
        <f t="shared" si="34"/>
        <v>0.73388685782262031</v>
      </c>
      <c r="AD37" s="110">
        <f t="shared" si="34"/>
        <v>0.77738872915489809</v>
      </c>
      <c r="AE37" s="110">
        <f t="shared" si="34"/>
        <v>0.7478742060710365</v>
      </c>
      <c r="AF37" s="110">
        <f t="shared" si="34"/>
        <v>0.77493317064271305</v>
      </c>
      <c r="AG37" s="110">
        <f t="shared" si="34"/>
        <v>0.79872883775331083</v>
      </c>
      <c r="AH37" s="110">
        <f t="shared" si="34"/>
        <v>0.75629581890689446</v>
      </c>
      <c r="AI37" s="110">
        <f t="shared" si="34"/>
        <v>0.75988536649519378</v>
      </c>
      <c r="AJ37" s="110">
        <f t="shared" si="34"/>
        <v>0.70919274540329635</v>
      </c>
      <c r="AK37" s="110">
        <f t="shared" si="34"/>
        <v>0.74103959357645355</v>
      </c>
      <c r="AL37" s="110">
        <f t="shared" si="34"/>
        <v>0.83495442740038728</v>
      </c>
      <c r="AM37" s="110">
        <f t="shared" si="34"/>
        <v>0.82098204941643438</v>
      </c>
      <c r="AN37" s="110">
        <f t="shared" si="34"/>
        <v>0.88463728007409548</v>
      </c>
      <c r="AO37" s="110">
        <f t="shared" si="34"/>
        <v>0.92037832621555205</v>
      </c>
      <c r="AP37" s="110">
        <f t="shared" si="34"/>
        <v>0.90516080381415109</v>
      </c>
      <c r="AQ37" s="110">
        <f t="shared" si="34"/>
        <v>0.89135003316761197</v>
      </c>
      <c r="AR37" s="110">
        <f t="shared" si="34"/>
        <v>0.8845264599535162</v>
      </c>
      <c r="AS37" s="110">
        <f t="shared" si="34"/>
        <v>0.90971738758641485</v>
      </c>
      <c r="AT37" s="110">
        <f t="shared" si="34"/>
        <v>0.97129466011957333</v>
      </c>
      <c r="AU37" s="110">
        <f t="shared" si="34"/>
        <v>0.771718382996045</v>
      </c>
      <c r="AV37" s="110">
        <f t="shared" si="34"/>
        <v>2.5974025974025976E-2</v>
      </c>
      <c r="AW37" s="110">
        <f t="shared" si="34"/>
        <v>2.6838540677587463E-2</v>
      </c>
      <c r="AX37" s="110">
        <f t="shared" si="34"/>
        <v>0.20082791307163783</v>
      </c>
      <c r="AY37" s="110">
        <f t="shared" si="34"/>
        <v>0.18896849186608747</v>
      </c>
      <c r="AZ37" s="110">
        <f t="shared" si="34"/>
        <v>0.21033203540939815</v>
      </c>
      <c r="BA37" s="110">
        <f t="shared" si="34"/>
        <v>0.21138010067732224</v>
      </c>
      <c r="BB37" s="110">
        <f t="shared" si="34"/>
        <v>0</v>
      </c>
      <c r="BC37" s="110">
        <f t="shared" si="34"/>
        <v>0</v>
      </c>
      <c r="BD37" s="110">
        <f t="shared" si="34"/>
        <v>0.22441198449762012</v>
      </c>
      <c r="BE37" s="110">
        <f t="shared" si="34"/>
        <v>0.20747985629945154</v>
      </c>
      <c r="BF37" s="110">
        <f t="shared" si="34"/>
        <v>0</v>
      </c>
      <c r="BG37" s="110">
        <f t="shared" si="34"/>
        <v>0</v>
      </c>
      <c r="BH37" s="110">
        <f t="shared" si="34"/>
        <v>0</v>
      </c>
      <c r="BI37" s="110">
        <f t="shared" si="34"/>
        <v>0</v>
      </c>
      <c r="BJ37" s="110">
        <f t="shared" si="34"/>
        <v>0</v>
      </c>
      <c r="BK37" s="110">
        <f t="shared" si="34"/>
        <v>0</v>
      </c>
      <c r="BL37" s="110">
        <f t="shared" si="34"/>
        <v>0</v>
      </c>
      <c r="BM37" s="110">
        <f t="shared" si="34"/>
        <v>0</v>
      </c>
      <c r="BN37" s="110">
        <f t="shared" si="34"/>
        <v>0</v>
      </c>
      <c r="BO37" s="110">
        <f t="shared" si="34"/>
        <v>0</v>
      </c>
      <c r="BP37" s="110">
        <f t="shared" si="34"/>
        <v>0</v>
      </c>
      <c r="BQ37" s="110">
        <f t="shared" si="34"/>
        <v>0</v>
      </c>
      <c r="BR37" s="110">
        <f t="shared" ref="BR37:CK37" si="35">BR11/BR12</f>
        <v>0</v>
      </c>
      <c r="BS37" s="110">
        <f t="shared" si="35"/>
        <v>0</v>
      </c>
      <c r="BT37" s="110">
        <f t="shared" si="35"/>
        <v>0</v>
      </c>
      <c r="BU37" s="110">
        <f t="shared" si="35"/>
        <v>0</v>
      </c>
      <c r="BV37" s="110">
        <f t="shared" si="35"/>
        <v>0</v>
      </c>
      <c r="BW37" s="110">
        <f t="shared" si="35"/>
        <v>0</v>
      </c>
      <c r="BX37" s="110">
        <f t="shared" si="35"/>
        <v>0.15301899530677887</v>
      </c>
      <c r="BY37" s="110">
        <f t="shared" si="35"/>
        <v>0.1429270930243503</v>
      </c>
      <c r="BZ37" s="110" t="e">
        <f t="shared" si="35"/>
        <v>#DIV/0!</v>
      </c>
      <c r="CA37" s="110">
        <f t="shared" si="35"/>
        <v>0.13481518792077626</v>
      </c>
      <c r="CB37" s="110" t="e">
        <f t="shared" si="35"/>
        <v>#DIV/0!</v>
      </c>
      <c r="CC37" s="110">
        <f t="shared" si="35"/>
        <v>1.6582358089917183E-3</v>
      </c>
      <c r="CD37" s="110" t="e">
        <f t="shared" si="35"/>
        <v>#DIV/0!</v>
      </c>
      <c r="CE37" s="110">
        <f t="shared" si="35"/>
        <v>0</v>
      </c>
      <c r="CF37" s="110">
        <f t="shared" si="35"/>
        <v>0.17049340684629496</v>
      </c>
      <c r="CG37" s="110" t="e">
        <f t="shared" si="35"/>
        <v>#DIV/0!</v>
      </c>
      <c r="CH37" s="110" t="e">
        <f t="shared" si="35"/>
        <v>#DIV/0!</v>
      </c>
      <c r="CI37" s="110" t="e">
        <f t="shared" si="35"/>
        <v>#DIV/0!</v>
      </c>
      <c r="CJ37" s="110" t="e">
        <f t="shared" si="35"/>
        <v>#DIV/0!</v>
      </c>
      <c r="CK37" s="110" t="e">
        <f t="shared" si="35"/>
        <v>#DIV/0!</v>
      </c>
    </row>
    <row r="38" spans="1:89" s="188" customFormat="1">
      <c r="A38" s="185" t="s">
        <v>634</v>
      </c>
      <c r="B38" s="186"/>
      <c r="C38" s="186"/>
      <c r="D38" s="186"/>
      <c r="E38" s="187">
        <f>E1</f>
        <v>43100</v>
      </c>
      <c r="F38" s="187">
        <f t="shared" ref="F38:U38" si="36">F1</f>
        <v>43008</v>
      </c>
      <c r="G38" s="187">
        <f t="shared" si="36"/>
        <v>42916</v>
      </c>
      <c r="H38" s="187">
        <f t="shared" si="36"/>
        <v>42825</v>
      </c>
      <c r="I38" s="187">
        <f t="shared" si="36"/>
        <v>42735</v>
      </c>
      <c r="J38" s="187">
        <f t="shared" si="36"/>
        <v>42643</v>
      </c>
      <c r="K38" s="187">
        <f t="shared" si="36"/>
        <v>42551</v>
      </c>
      <c r="L38" s="187">
        <f t="shared" si="36"/>
        <v>42460</v>
      </c>
      <c r="M38" s="187">
        <f t="shared" si="36"/>
        <v>42369</v>
      </c>
      <c r="N38" s="187">
        <f t="shared" si="36"/>
        <v>42277</v>
      </c>
      <c r="O38" s="187">
        <f t="shared" si="36"/>
        <v>42185</v>
      </c>
      <c r="P38" s="187">
        <f t="shared" si="36"/>
        <v>42094</v>
      </c>
      <c r="Q38" s="187">
        <f t="shared" si="36"/>
        <v>42004</v>
      </c>
      <c r="R38" s="187">
        <f t="shared" si="36"/>
        <v>41912</v>
      </c>
      <c r="S38" s="187">
        <f t="shared" si="36"/>
        <v>41820</v>
      </c>
      <c r="T38" s="187">
        <f t="shared" si="36"/>
        <v>41729</v>
      </c>
      <c r="U38" s="187">
        <f t="shared" si="36"/>
        <v>41639</v>
      </c>
    </row>
    <row r="39" spans="1:89" s="224" customFormat="1">
      <c r="A39" s="221" t="s">
        <v>551</v>
      </c>
      <c r="B39" s="222"/>
      <c r="C39" s="222"/>
      <c r="D39" s="222"/>
      <c r="E39" s="223">
        <f>E2/E9</f>
        <v>0.19968802852606257</v>
      </c>
      <c r="F39" s="223">
        <f t="shared" ref="F39:U39" si="37">F2/F9</f>
        <v>0.15903194003449456</v>
      </c>
      <c r="G39" s="223">
        <f t="shared" si="37"/>
        <v>0.13140032079933828</v>
      </c>
      <c r="H39" s="223">
        <f t="shared" si="37"/>
        <v>0.1162703944632025</v>
      </c>
      <c r="I39" s="223">
        <f t="shared" si="37"/>
        <v>0.28956987231440845</v>
      </c>
      <c r="J39" s="223">
        <f t="shared" si="37"/>
        <v>0.32182914583014527</v>
      </c>
      <c r="K39" s="223">
        <f t="shared" si="37"/>
        <v>0.29803030356794147</v>
      </c>
      <c r="L39" s="223">
        <f t="shared" si="37"/>
        <v>0.3474515166711028</v>
      </c>
      <c r="M39" s="223">
        <f t="shared" si="37"/>
        <v>0.46645719631862553</v>
      </c>
      <c r="N39" s="223">
        <f t="shared" si="37"/>
        <v>0.20993034117015325</v>
      </c>
      <c r="O39" s="223">
        <f t="shared" si="37"/>
        <v>0.23262753220758894</v>
      </c>
      <c r="P39" s="223">
        <f t="shared" si="37"/>
        <v>0.19933772668217262</v>
      </c>
      <c r="Q39" s="223">
        <f t="shared" si="37"/>
        <v>7.5191114973791578E-2</v>
      </c>
      <c r="R39" s="223">
        <f t="shared" si="37"/>
        <v>0.23262072028403416</v>
      </c>
      <c r="S39" s="223">
        <f t="shared" si="37"/>
        <v>9.7944154561531216E-2</v>
      </c>
      <c r="T39" s="223">
        <f t="shared" si="37"/>
        <v>0.13867027948038665</v>
      </c>
      <c r="U39" s="223">
        <f t="shared" si="37"/>
        <v>0.16617227093160933</v>
      </c>
    </row>
    <row r="40" spans="1:89" s="224" customFormat="1">
      <c r="A40" s="221" t="s">
        <v>552</v>
      </c>
      <c r="B40" s="222"/>
      <c r="C40" s="222"/>
      <c r="D40" s="222"/>
      <c r="E40" s="223">
        <f>E3/E9</f>
        <v>1.4477433603791248E-2</v>
      </c>
      <c r="F40" s="223">
        <f t="shared" ref="F40:U40" si="38">F3/F9</f>
        <v>1.6343900817150959E-2</v>
      </c>
      <c r="G40" s="223">
        <f t="shared" si="38"/>
        <v>1.7074883433554407E-2</v>
      </c>
      <c r="H40" s="223">
        <f t="shared" si="38"/>
        <v>1.8448441816668146E-2</v>
      </c>
      <c r="I40" s="223">
        <f t="shared" si="38"/>
        <v>2.1270803916496227E-2</v>
      </c>
      <c r="J40" s="223">
        <f t="shared" si="38"/>
        <v>2.0949723590901623E-2</v>
      </c>
      <c r="K40" s="223">
        <f t="shared" si="38"/>
        <v>2.1094463268523777E-2</v>
      </c>
      <c r="L40" s="223">
        <f t="shared" si="38"/>
        <v>1.8715547960527174E-2</v>
      </c>
      <c r="M40" s="223">
        <f t="shared" si="38"/>
        <v>1.9027371561278077E-2</v>
      </c>
      <c r="N40" s="223">
        <f t="shared" si="38"/>
        <v>2.3751844491391547E-2</v>
      </c>
      <c r="O40" s="223">
        <f t="shared" si="38"/>
        <v>2.1875666623921822E-2</v>
      </c>
      <c r="P40" s="223">
        <f t="shared" si="38"/>
        <v>2.3737796100269541E-2</v>
      </c>
      <c r="Q40" s="223">
        <f t="shared" si="38"/>
        <v>2.6074515598836785E-2</v>
      </c>
      <c r="R40" s="223">
        <f t="shared" si="38"/>
        <v>8.9446052474533144E-3</v>
      </c>
      <c r="S40" s="223">
        <f t="shared" si="38"/>
        <v>4.9467301601870739E-2</v>
      </c>
      <c r="T40" s="223">
        <f t="shared" si="38"/>
        <v>2.7338120196910416E-2</v>
      </c>
      <c r="U40" s="223">
        <f t="shared" si="38"/>
        <v>2.72174897443643E-2</v>
      </c>
    </row>
    <row r="41" spans="1:89">
      <c r="A41" s="183" t="s">
        <v>557</v>
      </c>
      <c r="B41" s="64"/>
      <c r="C41" s="64"/>
      <c r="D41" s="64"/>
      <c r="E41" s="90">
        <f>E4/E9</f>
        <v>-4.470051557745934E-2</v>
      </c>
      <c r="F41" s="90">
        <f t="shared" ref="F41:U41" si="39">F4/F9</f>
        <v>-4.0143067038254904E-2</v>
      </c>
      <c r="G41" s="90">
        <f t="shared" si="39"/>
        <v>6.476010892630257E-3</v>
      </c>
      <c r="H41" s="90">
        <f t="shared" si="39"/>
        <v>2.2891705953185133E-2</v>
      </c>
      <c r="I41" s="90">
        <f t="shared" si="39"/>
        <v>-7.446673682775283E-2</v>
      </c>
      <c r="J41" s="90">
        <f t="shared" si="39"/>
        <v>-3.4555411352285577E-2</v>
      </c>
      <c r="K41" s="90">
        <f t="shared" si="39"/>
        <v>3.0162673117816782E-2</v>
      </c>
      <c r="L41" s="90">
        <f t="shared" si="39"/>
        <v>4.322532957132621E-3</v>
      </c>
      <c r="M41" s="90">
        <f t="shared" si="39"/>
        <v>-0.11723334181355764</v>
      </c>
      <c r="N41" s="213">
        <f t="shared" si="39"/>
        <v>-2.3136175689897877E-2</v>
      </c>
      <c r="O41" s="213">
        <f t="shared" si="39"/>
        <v>2.0332258520735252E-2</v>
      </c>
      <c r="P41" s="213">
        <f t="shared" si="39"/>
        <v>-3.1222901753051942E-3</v>
      </c>
      <c r="Q41" s="213">
        <f t="shared" si="39"/>
        <v>3.1064468511909631E-2</v>
      </c>
      <c r="R41" s="213">
        <f t="shared" si="39"/>
        <v>3.0520434989166997E-2</v>
      </c>
      <c r="S41" s="213">
        <f t="shared" si="39"/>
        <v>3.7237915538035446E-2</v>
      </c>
      <c r="T41" s="213">
        <f t="shared" si="39"/>
        <v>4.1465872534161202E-2</v>
      </c>
      <c r="U41" s="213">
        <f t="shared" si="39"/>
        <v>1.3836610973131378E-3</v>
      </c>
    </row>
    <row r="42" spans="1:89">
      <c r="A42" s="183" t="s">
        <v>334</v>
      </c>
      <c r="B42" s="64"/>
      <c r="C42" s="64"/>
      <c r="D42" s="64"/>
      <c r="E42" s="90">
        <f>E5/E9</f>
        <v>0.3232728212000836</v>
      </c>
      <c r="F42" s="90">
        <f t="shared" ref="F42:U42" si="40">F5/F9</f>
        <v>0.32118086156658487</v>
      </c>
      <c r="G42" s="90">
        <f t="shared" si="40"/>
        <v>0.29118384808478365</v>
      </c>
      <c r="H42" s="90">
        <f t="shared" si="40"/>
        <v>0.29812540311740127</v>
      </c>
      <c r="I42" s="90">
        <f t="shared" si="40"/>
        <v>0.31889891879610921</v>
      </c>
      <c r="J42" s="90">
        <f t="shared" si="40"/>
        <v>0.30022197735566475</v>
      </c>
      <c r="K42" s="90">
        <f t="shared" si="40"/>
        <v>0.27378008463285086</v>
      </c>
      <c r="L42" s="90">
        <f t="shared" si="40"/>
        <v>0.26606015267121341</v>
      </c>
      <c r="M42" s="90">
        <f t="shared" si="40"/>
        <v>0.24782018649348414</v>
      </c>
      <c r="N42" s="213">
        <f t="shared" si="40"/>
        <v>0.33036385215571284</v>
      </c>
      <c r="O42" s="213">
        <f t="shared" si="40"/>
        <v>0.31221546238381981</v>
      </c>
      <c r="P42" s="213">
        <f t="shared" si="40"/>
        <v>0.33062716969394618</v>
      </c>
      <c r="Q42" s="213">
        <f t="shared" si="40"/>
        <v>0.37223008242165118</v>
      </c>
      <c r="R42" s="213">
        <f t="shared" si="40"/>
        <v>0.3445933401860713</v>
      </c>
      <c r="S42" s="213">
        <f t="shared" si="40"/>
        <v>0.33717932384971289</v>
      </c>
      <c r="T42" s="213">
        <f t="shared" si="40"/>
        <v>0.29003836357137674</v>
      </c>
      <c r="U42" s="213">
        <f t="shared" si="40"/>
        <v>0.30944536868165778</v>
      </c>
    </row>
    <row r="43" spans="1:89">
      <c r="A43" s="183" t="s">
        <v>335</v>
      </c>
      <c r="B43" s="64"/>
      <c r="C43" s="64"/>
      <c r="D43" s="64"/>
      <c r="E43" s="90">
        <f>E6/E9</f>
        <v>0.36797333677754296</v>
      </c>
      <c r="F43" s="90">
        <f t="shared" ref="F43:U43" si="41">F6/F9</f>
        <v>0.36132392860483981</v>
      </c>
      <c r="G43" s="90">
        <f t="shared" si="41"/>
        <v>0.28470783719215337</v>
      </c>
      <c r="H43" s="90">
        <f t="shared" si="41"/>
        <v>0.27523369716421614</v>
      </c>
      <c r="I43" s="90">
        <f t="shared" si="41"/>
        <v>0.393365655623862</v>
      </c>
      <c r="J43" s="90">
        <f t="shared" si="41"/>
        <v>0.33477738870795032</v>
      </c>
      <c r="K43" s="90">
        <f t="shared" si="41"/>
        <v>0.24361741151503408</v>
      </c>
      <c r="L43" s="90">
        <f t="shared" si="41"/>
        <v>0.26173761971408077</v>
      </c>
      <c r="M43" s="90">
        <f t="shared" si="41"/>
        <v>0.3650535283070418</v>
      </c>
      <c r="N43" s="213">
        <f t="shared" si="41"/>
        <v>0.35350002784561074</v>
      </c>
      <c r="O43" s="213">
        <f t="shared" si="41"/>
        <v>0.29188320386308453</v>
      </c>
      <c r="P43" s="213">
        <f t="shared" si="41"/>
        <v>0.33374945986925136</v>
      </c>
      <c r="Q43" s="213">
        <f t="shared" si="41"/>
        <v>0.34116561390974154</v>
      </c>
      <c r="R43" s="213">
        <f t="shared" si="41"/>
        <v>0.31407290519690428</v>
      </c>
      <c r="S43" s="213">
        <f t="shared" si="41"/>
        <v>0.29994140831167748</v>
      </c>
      <c r="T43" s="213">
        <f t="shared" si="41"/>
        <v>0.24857249103721554</v>
      </c>
      <c r="U43" s="213">
        <f t="shared" si="41"/>
        <v>0.30806170758434465</v>
      </c>
    </row>
    <row r="44" spans="1:89">
      <c r="A44" s="183" t="s">
        <v>336</v>
      </c>
      <c r="B44" s="64"/>
      <c r="C44" s="64"/>
      <c r="D44" s="64"/>
      <c r="E44" s="90">
        <f>E7/E9</f>
        <v>0.83053505344760559</v>
      </c>
      <c r="F44" s="90">
        <f t="shared" ref="F44:U44" si="42">F7/F9</f>
        <v>0.86476722618660951</v>
      </c>
      <c r="G44" s="90">
        <f t="shared" si="42"/>
        <v>0.8450487848744771</v>
      </c>
      <c r="H44" s="90">
        <f t="shared" si="42"/>
        <v>0.84238945776694418</v>
      </c>
      <c r="I44" s="90">
        <f t="shared" si="42"/>
        <v>0.76362606059684812</v>
      </c>
      <c r="J44" s="90">
        <f t="shared" si="42"/>
        <v>0.69177654193123872</v>
      </c>
      <c r="K44" s="90">
        <f t="shared" si="42"/>
        <v>0.65071256004571798</v>
      </c>
      <c r="L44" s="90">
        <f t="shared" si="42"/>
        <v>0.62951040241123746</v>
      </c>
      <c r="M44" s="90">
        <f t="shared" si="42"/>
        <v>0.63174877393365403</v>
      </c>
      <c r="N44" s="213">
        <f t="shared" si="42"/>
        <v>0.78945399002835315</v>
      </c>
      <c r="O44" s="213">
        <f t="shared" si="42"/>
        <v>0.72516454264775398</v>
      </c>
      <c r="P44" s="213">
        <f t="shared" si="42"/>
        <v>0.78004676739286316</v>
      </c>
      <c r="Q44" s="213">
        <f t="shared" si="42"/>
        <v>0.86766990091546203</v>
      </c>
      <c r="R44" s="213">
        <f t="shared" si="42"/>
        <v>0.72791423947934553</v>
      </c>
      <c r="S44" s="213">
        <f t="shared" si="42"/>
        <v>0.81535062829856264</v>
      </c>
      <c r="T44" s="213">
        <f t="shared" si="42"/>
        <v>0.79252572778854169</v>
      </c>
      <c r="U44" s="213">
        <f t="shared" si="42"/>
        <v>0.80522657822671329</v>
      </c>
    </row>
    <row r="45" spans="1:89" s="224" customFormat="1">
      <c r="A45" s="221" t="s">
        <v>337</v>
      </c>
      <c r="B45" s="222"/>
      <c r="C45" s="222"/>
      <c r="D45" s="222"/>
      <c r="E45" s="223">
        <f>E8/E9</f>
        <v>0.78583453787014623</v>
      </c>
      <c r="F45" s="223">
        <f t="shared" ref="F45:U45" si="43">F8/F9</f>
        <v>0.82462415914835452</v>
      </c>
      <c r="G45" s="223">
        <f t="shared" si="43"/>
        <v>0.85152479576710727</v>
      </c>
      <c r="H45" s="223">
        <f t="shared" si="43"/>
        <v>0.86528116372012931</v>
      </c>
      <c r="I45" s="223">
        <f t="shared" si="43"/>
        <v>0.68915932376909539</v>
      </c>
      <c r="J45" s="223">
        <f t="shared" si="43"/>
        <v>0.65722113057895315</v>
      </c>
      <c r="K45" s="223">
        <f t="shared" si="43"/>
        <v>0.68087523316353471</v>
      </c>
      <c r="L45" s="223">
        <f t="shared" si="43"/>
        <v>0.63383293536837015</v>
      </c>
      <c r="M45" s="223">
        <f t="shared" si="43"/>
        <v>0.51451543212009643</v>
      </c>
      <c r="N45" s="223">
        <f t="shared" si="43"/>
        <v>0.76631781433845525</v>
      </c>
      <c r="O45" s="223">
        <f t="shared" si="43"/>
        <v>0.74549680116848926</v>
      </c>
      <c r="P45" s="223">
        <f t="shared" si="43"/>
        <v>0.77692447721755797</v>
      </c>
      <c r="Q45" s="223">
        <f t="shared" si="43"/>
        <v>0.89873436942737162</v>
      </c>
      <c r="R45" s="223">
        <f t="shared" si="43"/>
        <v>0.75843467446851243</v>
      </c>
      <c r="S45" s="223">
        <f t="shared" si="43"/>
        <v>0.85258854383659799</v>
      </c>
      <c r="T45" s="223">
        <f t="shared" si="43"/>
        <v>0.83399160032270292</v>
      </c>
      <c r="U45" s="223">
        <f t="shared" si="43"/>
        <v>0.80661023932402642</v>
      </c>
    </row>
    <row r="46" spans="1:89">
      <c r="A46" s="184"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3">
        <f t="shared" si="44"/>
        <v>1</v>
      </c>
      <c r="O46" s="213">
        <f t="shared" si="44"/>
        <v>1</v>
      </c>
      <c r="P46" s="213">
        <f t="shared" si="44"/>
        <v>1</v>
      </c>
      <c r="Q46" s="213">
        <f t="shared" si="44"/>
        <v>1</v>
      </c>
      <c r="R46" s="213">
        <f t="shared" si="44"/>
        <v>1</v>
      </c>
      <c r="S46" s="213">
        <f t="shared" si="44"/>
        <v>1</v>
      </c>
      <c r="T46" s="213">
        <f t="shared" si="44"/>
        <v>1</v>
      </c>
      <c r="U46" s="213">
        <f t="shared" si="44"/>
        <v>1</v>
      </c>
    </row>
    <row r="47" spans="1:89">
      <c r="A47" s="183" t="s">
        <v>339</v>
      </c>
      <c r="B47" s="64"/>
      <c r="C47" s="64"/>
      <c r="D47" s="64"/>
      <c r="E47" s="90">
        <f>E10/E14</f>
        <v>0.14937768535472773</v>
      </c>
      <c r="F47" s="90">
        <f t="shared" ref="F47:U47" si="45">F10/F14</f>
        <v>0.16801948844313883</v>
      </c>
      <c r="G47" s="90">
        <f t="shared" si="45"/>
        <v>0.14467694520028326</v>
      </c>
      <c r="H47" s="90">
        <f t="shared" si="45"/>
        <v>9.0883065791986684E-2</v>
      </c>
      <c r="I47" s="90">
        <f t="shared" si="45"/>
        <v>1.7294249960832349E-2</v>
      </c>
      <c r="J47" s="90">
        <f t="shared" si="45"/>
        <v>2.9133309989166828E-2</v>
      </c>
      <c r="K47" s="90">
        <f t="shared" si="45"/>
        <v>2.9712208010081901E-2</v>
      </c>
      <c r="L47" s="90">
        <f t="shared" si="45"/>
        <v>5.8064387172968114E-2</v>
      </c>
      <c r="M47" s="90">
        <f t="shared" si="45"/>
        <v>7.7531682966751475E-2</v>
      </c>
      <c r="N47" s="213">
        <f t="shared" si="45"/>
        <v>6.1635329217786777E-2</v>
      </c>
      <c r="O47" s="213">
        <f t="shared" si="45"/>
        <v>0.12057733833082886</v>
      </c>
      <c r="P47" s="213">
        <f t="shared" si="45"/>
        <v>8.8332702756249784E-2</v>
      </c>
      <c r="Q47" s="213">
        <f t="shared" si="45"/>
        <v>0.11570504672565927</v>
      </c>
      <c r="R47" s="213">
        <f t="shared" si="45"/>
        <v>0.14994918324173007</v>
      </c>
      <c r="S47" s="213">
        <f t="shared" si="45"/>
        <v>0.23115647948118748</v>
      </c>
      <c r="T47" s="213">
        <f t="shared" si="45"/>
        <v>0.19344784443210733</v>
      </c>
      <c r="U47" s="213">
        <f t="shared" si="45"/>
        <v>0.19124842467420988</v>
      </c>
    </row>
    <row r="48" spans="1:89">
      <c r="A48" s="183" t="s">
        <v>340</v>
      </c>
      <c r="B48" s="64"/>
      <c r="C48" s="64"/>
      <c r="D48" s="64"/>
      <c r="E48" s="90">
        <f>E11/E14</f>
        <v>0.18154085124652419</v>
      </c>
      <c r="F48" s="90">
        <f t="shared" ref="F48:U48" si="46">F11/F14</f>
        <v>0.10929427343508374</v>
      </c>
      <c r="G48" s="90">
        <f t="shared" si="46"/>
        <v>0.11381457629168883</v>
      </c>
      <c r="H48" s="90">
        <f t="shared" si="46"/>
        <v>0.12259193624621464</v>
      </c>
      <c r="I48" s="90">
        <f t="shared" si="46"/>
        <v>9.6165428829509916E-2</v>
      </c>
      <c r="J48" s="90">
        <f t="shared" si="46"/>
        <v>0.11077788408894615</v>
      </c>
      <c r="K48" s="90">
        <f t="shared" si="46"/>
        <v>0.11019970977503241</v>
      </c>
      <c r="L48" s="90">
        <f t="shared" si="46"/>
        <v>0.10909484522599683</v>
      </c>
      <c r="M48" s="90">
        <f t="shared" si="46"/>
        <v>8.4353014794944683E-2</v>
      </c>
      <c r="N48" s="213">
        <f t="shared" si="46"/>
        <v>0.24442666558129528</v>
      </c>
      <c r="O48" s="213">
        <f t="shared" si="46"/>
        <v>0.2411723919227422</v>
      </c>
      <c r="P48" s="213">
        <f t="shared" si="46"/>
        <v>0.23170112174999405</v>
      </c>
      <c r="Q48" s="213">
        <f t="shared" si="46"/>
        <v>0.13637338880763458</v>
      </c>
      <c r="R48" s="213">
        <f t="shared" si="46"/>
        <v>0.25934816346912798</v>
      </c>
      <c r="S48" s="213">
        <f t="shared" si="46"/>
        <v>0.18269592173685423</v>
      </c>
      <c r="T48" s="213">
        <f t="shared" si="46"/>
        <v>0.25859164522376454</v>
      </c>
      <c r="U48" s="213">
        <f t="shared" si="46"/>
        <v>0.26994513664495023</v>
      </c>
    </row>
    <row r="49" spans="1:21">
      <c r="A49" s="183" t="s">
        <v>341</v>
      </c>
      <c r="B49" s="64"/>
      <c r="C49" s="64"/>
      <c r="D49" s="64"/>
      <c r="E49" s="90">
        <f>E12/E14</f>
        <v>0.33091853660125192</v>
      </c>
      <c r="F49" s="90">
        <f t="shared" ref="F49:U49" si="47">F12/F14</f>
        <v>0.27731376187822254</v>
      </c>
      <c r="G49" s="90">
        <f t="shared" si="47"/>
        <v>0.25849152149197213</v>
      </c>
      <c r="H49" s="90">
        <f t="shared" si="47"/>
        <v>0.21347500203820133</v>
      </c>
      <c r="I49" s="90">
        <f t="shared" si="47"/>
        <v>0.11345967879034226</v>
      </c>
      <c r="J49" s="90">
        <f t="shared" si="47"/>
        <v>0.13991119407811295</v>
      </c>
      <c r="K49" s="90">
        <f t="shared" si="47"/>
        <v>0.1399119177851143</v>
      </c>
      <c r="L49" s="90">
        <f t="shared" si="47"/>
        <v>0.16715923239896496</v>
      </c>
      <c r="M49" s="90">
        <f t="shared" si="47"/>
        <v>0.16188469776169617</v>
      </c>
      <c r="N49" s="213">
        <f t="shared" si="47"/>
        <v>0.30606199479908203</v>
      </c>
      <c r="O49" s="213">
        <f t="shared" si="47"/>
        <v>0.36174973025357104</v>
      </c>
      <c r="P49" s="213">
        <f t="shared" si="47"/>
        <v>0.32003382450624385</v>
      </c>
      <c r="Q49" s="213">
        <f t="shared" si="47"/>
        <v>0.25207843553329384</v>
      </c>
      <c r="R49" s="213">
        <f t="shared" si="47"/>
        <v>0.4092973467108581</v>
      </c>
      <c r="S49" s="213">
        <f t="shared" si="47"/>
        <v>0.41385240121804168</v>
      </c>
      <c r="T49" s="213">
        <f t="shared" si="47"/>
        <v>0.45203948965587187</v>
      </c>
      <c r="U49" s="213">
        <f t="shared" si="47"/>
        <v>0.46119356131916012</v>
      </c>
    </row>
    <row r="50" spans="1:21">
      <c r="A50" s="183" t="s">
        <v>345</v>
      </c>
      <c r="B50" s="64"/>
      <c r="C50" s="64"/>
      <c r="D50" s="64"/>
      <c r="E50" s="90">
        <f>E13/E14</f>
        <v>0.66908146339874797</v>
      </c>
      <c r="F50" s="90">
        <f t="shared" ref="F50:U50" si="48">F13/F14</f>
        <v>0.72268623812177746</v>
      </c>
      <c r="G50" s="90">
        <f t="shared" si="48"/>
        <v>0.74150847850802792</v>
      </c>
      <c r="H50" s="90">
        <f t="shared" si="48"/>
        <v>0.78652499796179876</v>
      </c>
      <c r="I50" s="90">
        <f t="shared" si="48"/>
        <v>0.88654032120965776</v>
      </c>
      <c r="J50" s="90">
        <f t="shared" si="48"/>
        <v>0.86008880592188697</v>
      </c>
      <c r="K50" s="90">
        <f t="shared" si="48"/>
        <v>0.86008808221488564</v>
      </c>
      <c r="L50" s="90">
        <f t="shared" si="48"/>
        <v>0.83284076760103498</v>
      </c>
      <c r="M50" s="90">
        <f t="shared" si="48"/>
        <v>0.83811530223830388</v>
      </c>
      <c r="N50" s="213">
        <f t="shared" si="48"/>
        <v>0.69393800520091797</v>
      </c>
      <c r="O50" s="213">
        <f t="shared" si="48"/>
        <v>0.63825026974642896</v>
      </c>
      <c r="P50" s="213">
        <f t="shared" si="48"/>
        <v>0.67996617549375626</v>
      </c>
      <c r="Q50" s="213">
        <f t="shared" si="48"/>
        <v>0.7479215644667061</v>
      </c>
      <c r="R50" s="213">
        <f t="shared" si="48"/>
        <v>0.59070265328914195</v>
      </c>
      <c r="S50" s="213">
        <f t="shared" si="48"/>
        <v>0.58614759878195832</v>
      </c>
      <c r="T50" s="213">
        <f t="shared" si="48"/>
        <v>0.54796051034412818</v>
      </c>
      <c r="U50" s="213">
        <f t="shared" si="48"/>
        <v>0.53880643868083988</v>
      </c>
    </row>
    <row r="51" spans="1:21">
      <c r="A51" s="184"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3">
        <f t="shared" si="49"/>
        <v>1</v>
      </c>
      <c r="O51" s="213">
        <f t="shared" si="49"/>
        <v>1</v>
      </c>
      <c r="P51" s="213">
        <f t="shared" si="49"/>
        <v>1</v>
      </c>
      <c r="Q51" s="213">
        <f t="shared" si="49"/>
        <v>1</v>
      </c>
      <c r="R51" s="213">
        <f t="shared" si="49"/>
        <v>1</v>
      </c>
      <c r="S51" s="213">
        <f t="shared" si="49"/>
        <v>1</v>
      </c>
      <c r="T51" s="213">
        <f t="shared" si="49"/>
        <v>1</v>
      </c>
      <c r="U51" s="213">
        <f t="shared" si="49"/>
        <v>1</v>
      </c>
    </row>
    <row r="54" spans="1:21" s="9" customFormat="1">
      <c r="A54" s="228" t="s">
        <v>640</v>
      </c>
      <c r="B54" s="229"/>
      <c r="C54" s="229"/>
      <c r="D54" s="229"/>
      <c r="E54" s="230">
        <f>E1</f>
        <v>43100</v>
      </c>
      <c r="F54" s="230">
        <f t="shared" ref="F54:U54" si="50">F1</f>
        <v>43008</v>
      </c>
      <c r="G54" s="230">
        <f t="shared" si="50"/>
        <v>42916</v>
      </c>
      <c r="H54" s="230">
        <f t="shared" si="50"/>
        <v>42825</v>
      </c>
      <c r="I54" s="230">
        <f t="shared" si="50"/>
        <v>42735</v>
      </c>
      <c r="J54" s="230">
        <f t="shared" si="50"/>
        <v>42643</v>
      </c>
      <c r="K54" s="230">
        <f t="shared" si="50"/>
        <v>42551</v>
      </c>
      <c r="L54" s="230">
        <f t="shared" si="50"/>
        <v>42460</v>
      </c>
      <c r="M54" s="230">
        <f t="shared" si="50"/>
        <v>42369</v>
      </c>
      <c r="N54" s="230">
        <f t="shared" si="50"/>
        <v>42277</v>
      </c>
      <c r="O54" s="230">
        <f t="shared" si="50"/>
        <v>42185</v>
      </c>
      <c r="P54" s="230">
        <f t="shared" si="50"/>
        <v>42094</v>
      </c>
      <c r="Q54" s="230">
        <f t="shared" si="50"/>
        <v>42004</v>
      </c>
      <c r="R54" s="230">
        <f t="shared" si="50"/>
        <v>41912</v>
      </c>
      <c r="S54" s="230">
        <f t="shared" si="50"/>
        <v>41820</v>
      </c>
      <c r="T54" s="230">
        <f t="shared" si="50"/>
        <v>41729</v>
      </c>
      <c r="U54" s="230">
        <f t="shared" si="50"/>
        <v>41639</v>
      </c>
    </row>
    <row r="55" spans="1:21">
      <c r="A55" s="183" t="s">
        <v>644</v>
      </c>
      <c r="B55" s="64"/>
      <c r="C55" s="64"/>
      <c r="D55" s="64"/>
      <c r="E55" s="213">
        <f>E2/E9</f>
        <v>0.19968802852606257</v>
      </c>
      <c r="F55" s="213">
        <f t="shared" ref="F55:U55" si="51">F2/F9</f>
        <v>0.15903194003449456</v>
      </c>
      <c r="G55" s="213">
        <f t="shared" si="51"/>
        <v>0.13140032079933828</v>
      </c>
      <c r="H55" s="213">
        <f t="shared" si="51"/>
        <v>0.1162703944632025</v>
      </c>
      <c r="I55" s="213">
        <f t="shared" si="51"/>
        <v>0.28956987231440845</v>
      </c>
      <c r="J55" s="213">
        <f t="shared" si="51"/>
        <v>0.32182914583014527</v>
      </c>
      <c r="K55" s="213">
        <f t="shared" si="51"/>
        <v>0.29803030356794147</v>
      </c>
      <c r="L55" s="213">
        <f t="shared" si="51"/>
        <v>0.3474515166711028</v>
      </c>
      <c r="M55" s="213">
        <f t="shared" si="51"/>
        <v>0.46645719631862553</v>
      </c>
      <c r="N55" s="213">
        <f t="shared" si="51"/>
        <v>0.20993034117015325</v>
      </c>
      <c r="O55" s="213">
        <f t="shared" si="51"/>
        <v>0.23262753220758894</v>
      </c>
      <c r="P55" s="213">
        <f t="shared" si="51"/>
        <v>0.19933772668217262</v>
      </c>
      <c r="Q55" s="213">
        <f t="shared" si="51"/>
        <v>7.5191114973791578E-2</v>
      </c>
      <c r="R55" s="213">
        <f t="shared" si="51"/>
        <v>0.23262072028403416</v>
      </c>
      <c r="S55" s="213">
        <f t="shared" si="51"/>
        <v>9.7944154561531216E-2</v>
      </c>
      <c r="T55" s="213">
        <f t="shared" si="51"/>
        <v>0.13867027948038665</v>
      </c>
      <c r="U55" s="213">
        <f t="shared" si="51"/>
        <v>0.16617227093160933</v>
      </c>
    </row>
    <row r="56" spans="1:21">
      <c r="A56" s="183" t="s">
        <v>645</v>
      </c>
      <c r="B56" s="64"/>
      <c r="C56" s="64"/>
      <c r="D56" s="64"/>
      <c r="E56" s="213">
        <f>E4/E9</f>
        <v>-4.470051557745934E-2</v>
      </c>
      <c r="F56" s="213">
        <f t="shared" ref="F56:U56" si="52">F4/F9</f>
        <v>-4.0143067038254904E-2</v>
      </c>
      <c r="G56" s="213">
        <f t="shared" si="52"/>
        <v>6.476010892630257E-3</v>
      </c>
      <c r="H56" s="213">
        <f t="shared" si="52"/>
        <v>2.2891705953185133E-2</v>
      </c>
      <c r="I56" s="213">
        <f t="shared" si="52"/>
        <v>-7.446673682775283E-2</v>
      </c>
      <c r="J56" s="213">
        <f t="shared" si="52"/>
        <v>-3.4555411352285577E-2</v>
      </c>
      <c r="K56" s="213">
        <f t="shared" si="52"/>
        <v>3.0162673117816782E-2</v>
      </c>
      <c r="L56" s="213">
        <f t="shared" si="52"/>
        <v>4.322532957132621E-3</v>
      </c>
      <c r="M56" s="213">
        <f t="shared" si="52"/>
        <v>-0.11723334181355764</v>
      </c>
      <c r="N56" s="213">
        <f t="shared" si="52"/>
        <v>-2.3136175689897877E-2</v>
      </c>
      <c r="O56" s="213">
        <f t="shared" si="52"/>
        <v>2.0332258520735252E-2</v>
      </c>
      <c r="P56" s="213">
        <f t="shared" si="52"/>
        <v>-3.1222901753051942E-3</v>
      </c>
      <c r="Q56" s="213">
        <f t="shared" si="52"/>
        <v>3.1064468511909631E-2</v>
      </c>
      <c r="R56" s="213">
        <f t="shared" si="52"/>
        <v>3.0520434989166997E-2</v>
      </c>
      <c r="S56" s="213">
        <f t="shared" si="52"/>
        <v>3.7237915538035446E-2</v>
      </c>
      <c r="T56" s="213">
        <f t="shared" si="52"/>
        <v>4.1465872534161202E-2</v>
      </c>
      <c r="U56" s="213">
        <f t="shared" si="52"/>
        <v>1.3836610973131378E-3</v>
      </c>
    </row>
    <row r="57" spans="1:21">
      <c r="A57" s="183" t="s">
        <v>646</v>
      </c>
      <c r="B57" s="64"/>
      <c r="C57" s="64"/>
      <c r="D57" s="64"/>
      <c r="E57" s="213">
        <f>E5/E9</f>
        <v>0.3232728212000836</v>
      </c>
      <c r="F57" s="213">
        <f t="shared" ref="F57:U57" si="53">F5/F9</f>
        <v>0.32118086156658487</v>
      </c>
      <c r="G57" s="213">
        <f t="shared" si="53"/>
        <v>0.29118384808478365</v>
      </c>
      <c r="H57" s="213">
        <f t="shared" si="53"/>
        <v>0.29812540311740127</v>
      </c>
      <c r="I57" s="213">
        <f t="shared" si="53"/>
        <v>0.31889891879610921</v>
      </c>
      <c r="J57" s="213">
        <f t="shared" si="53"/>
        <v>0.30022197735566475</v>
      </c>
      <c r="K57" s="213">
        <f t="shared" si="53"/>
        <v>0.27378008463285086</v>
      </c>
      <c r="L57" s="213">
        <f t="shared" si="53"/>
        <v>0.26606015267121341</v>
      </c>
      <c r="M57" s="213">
        <f t="shared" si="53"/>
        <v>0.24782018649348414</v>
      </c>
      <c r="N57" s="213">
        <f t="shared" si="53"/>
        <v>0.33036385215571284</v>
      </c>
      <c r="O57" s="213">
        <f t="shared" si="53"/>
        <v>0.31221546238381981</v>
      </c>
      <c r="P57" s="213">
        <f t="shared" si="53"/>
        <v>0.33062716969394618</v>
      </c>
      <c r="Q57" s="213">
        <f t="shared" si="53"/>
        <v>0.37223008242165118</v>
      </c>
      <c r="R57" s="213">
        <f t="shared" si="53"/>
        <v>0.3445933401860713</v>
      </c>
      <c r="S57" s="213">
        <f t="shared" si="53"/>
        <v>0.33717932384971289</v>
      </c>
      <c r="T57" s="213">
        <f t="shared" si="53"/>
        <v>0.29003836357137674</v>
      </c>
      <c r="U57" s="213">
        <f t="shared" si="53"/>
        <v>0.30944536868165778</v>
      </c>
    </row>
    <row r="58" spans="1:21">
      <c r="A58" s="183" t="s">
        <v>647</v>
      </c>
      <c r="B58" s="64"/>
      <c r="C58" s="64"/>
      <c r="D58" s="64"/>
      <c r="E58" s="213">
        <f>E6/E9</f>
        <v>0.36797333677754296</v>
      </c>
      <c r="F58" s="213">
        <f t="shared" ref="F58:U58" si="54">F6/F9</f>
        <v>0.36132392860483981</v>
      </c>
      <c r="G58" s="213">
        <f t="shared" si="54"/>
        <v>0.28470783719215337</v>
      </c>
      <c r="H58" s="213">
        <f t="shared" si="54"/>
        <v>0.27523369716421614</v>
      </c>
      <c r="I58" s="213">
        <f t="shared" si="54"/>
        <v>0.393365655623862</v>
      </c>
      <c r="J58" s="213">
        <f t="shared" si="54"/>
        <v>0.33477738870795032</v>
      </c>
      <c r="K58" s="213">
        <f t="shared" si="54"/>
        <v>0.24361741151503408</v>
      </c>
      <c r="L58" s="213">
        <f t="shared" si="54"/>
        <v>0.26173761971408077</v>
      </c>
      <c r="M58" s="213">
        <f t="shared" si="54"/>
        <v>0.3650535283070418</v>
      </c>
      <c r="N58" s="213">
        <f t="shared" si="54"/>
        <v>0.35350002784561074</v>
      </c>
      <c r="O58" s="213">
        <f t="shared" si="54"/>
        <v>0.29188320386308453</v>
      </c>
      <c r="P58" s="213">
        <f t="shared" si="54"/>
        <v>0.33374945986925136</v>
      </c>
      <c r="Q58" s="213">
        <f t="shared" si="54"/>
        <v>0.34116561390974154</v>
      </c>
      <c r="R58" s="213">
        <f t="shared" si="54"/>
        <v>0.31407290519690428</v>
      </c>
      <c r="S58" s="213">
        <f t="shared" si="54"/>
        <v>0.29994140831167748</v>
      </c>
      <c r="T58" s="213">
        <f t="shared" si="54"/>
        <v>0.24857249103721554</v>
      </c>
      <c r="U58" s="213">
        <f t="shared" si="54"/>
        <v>0.30806170758434465</v>
      </c>
    </row>
    <row r="59" spans="1:21" s="224" customFormat="1">
      <c r="A59" s="226" t="s">
        <v>641</v>
      </c>
      <c r="B59" s="222"/>
      <c r="C59" s="222"/>
      <c r="D59" s="222"/>
      <c r="E59" s="223">
        <f>E55+E56</f>
        <v>0.15498751294860325</v>
      </c>
      <c r="F59" s="223">
        <f t="shared" ref="F59:U59" si="55">F55+F56</f>
        <v>0.11888887299623965</v>
      </c>
      <c r="G59" s="223">
        <f t="shared" si="55"/>
        <v>0.13787633169196853</v>
      </c>
      <c r="H59" s="223">
        <f t="shared" si="55"/>
        <v>0.13916210041638763</v>
      </c>
      <c r="I59" s="223">
        <f t="shared" si="55"/>
        <v>0.21510313548665561</v>
      </c>
      <c r="J59" s="223">
        <f t="shared" si="55"/>
        <v>0.2872737344778597</v>
      </c>
      <c r="K59" s="223">
        <f t="shared" si="55"/>
        <v>0.32819297668575825</v>
      </c>
      <c r="L59" s="223">
        <f t="shared" si="55"/>
        <v>0.35177404962823544</v>
      </c>
      <c r="M59" s="223">
        <f t="shared" si="55"/>
        <v>0.34922385450506788</v>
      </c>
      <c r="N59" s="223">
        <f t="shared" si="55"/>
        <v>0.18679416548025538</v>
      </c>
      <c r="O59" s="223">
        <f t="shared" si="55"/>
        <v>0.2529597907283242</v>
      </c>
      <c r="P59" s="223">
        <f t="shared" si="55"/>
        <v>0.19621543650686743</v>
      </c>
      <c r="Q59" s="223">
        <f t="shared" si="55"/>
        <v>0.10625558348570122</v>
      </c>
      <c r="R59" s="223">
        <f t="shared" si="55"/>
        <v>0.26314115527320114</v>
      </c>
      <c r="S59" s="223">
        <f t="shared" si="55"/>
        <v>0.13518207009956668</v>
      </c>
      <c r="T59" s="223">
        <f t="shared" si="55"/>
        <v>0.18013615201454786</v>
      </c>
      <c r="U59" s="223">
        <f t="shared" si="55"/>
        <v>0.16755593202892247</v>
      </c>
    </row>
    <row r="60" spans="1:21">
      <c r="A60" s="183" t="s">
        <v>648</v>
      </c>
      <c r="B60" s="64"/>
      <c r="C60" s="64"/>
      <c r="D60" s="64"/>
      <c r="E60" s="213">
        <f>E3/E9</f>
        <v>1.4477433603791248E-2</v>
      </c>
      <c r="F60" s="213">
        <f t="shared" ref="F60:U60" si="56">F3/F9</f>
        <v>1.6343900817150959E-2</v>
      </c>
      <c r="G60" s="213">
        <f t="shared" si="56"/>
        <v>1.7074883433554407E-2</v>
      </c>
      <c r="H60" s="213">
        <f t="shared" si="56"/>
        <v>1.8448441816668146E-2</v>
      </c>
      <c r="I60" s="213">
        <f t="shared" si="56"/>
        <v>2.1270803916496227E-2</v>
      </c>
      <c r="J60" s="213">
        <f t="shared" si="56"/>
        <v>2.0949723590901623E-2</v>
      </c>
      <c r="K60" s="213">
        <f t="shared" si="56"/>
        <v>2.1094463268523777E-2</v>
      </c>
      <c r="L60" s="213">
        <f t="shared" si="56"/>
        <v>1.8715547960527174E-2</v>
      </c>
      <c r="M60" s="213">
        <f t="shared" si="56"/>
        <v>1.9027371561278077E-2</v>
      </c>
      <c r="N60" s="213">
        <f t="shared" si="56"/>
        <v>2.3751844491391547E-2</v>
      </c>
      <c r="O60" s="213">
        <f t="shared" si="56"/>
        <v>2.1875666623921822E-2</v>
      </c>
      <c r="P60" s="213">
        <f t="shared" si="56"/>
        <v>2.3737796100269541E-2</v>
      </c>
      <c r="Q60" s="213">
        <f t="shared" si="56"/>
        <v>2.6074515598836785E-2</v>
      </c>
      <c r="R60" s="213">
        <f t="shared" si="56"/>
        <v>8.9446052474533144E-3</v>
      </c>
      <c r="S60" s="213">
        <f t="shared" si="56"/>
        <v>4.9467301601870739E-2</v>
      </c>
      <c r="T60" s="213">
        <f t="shared" si="56"/>
        <v>2.7338120196910416E-2</v>
      </c>
      <c r="U60" s="213">
        <f t="shared" si="56"/>
        <v>2.72174897443643E-2</v>
      </c>
    </row>
    <row r="61" spans="1:21">
      <c r="A61" s="183" t="s">
        <v>649</v>
      </c>
      <c r="B61" s="64"/>
      <c r="C61" s="64"/>
      <c r="D61" s="64"/>
      <c r="E61" s="213">
        <f>E7/E9</f>
        <v>0.83053505344760559</v>
      </c>
      <c r="F61" s="213">
        <f t="shared" ref="F61:U61" si="57">F7/F9</f>
        <v>0.86476722618660951</v>
      </c>
      <c r="G61" s="213">
        <f t="shared" si="57"/>
        <v>0.8450487848744771</v>
      </c>
      <c r="H61" s="213">
        <f t="shared" si="57"/>
        <v>0.84238945776694418</v>
      </c>
      <c r="I61" s="213">
        <f t="shared" si="57"/>
        <v>0.76362606059684812</v>
      </c>
      <c r="J61" s="213">
        <f t="shared" si="57"/>
        <v>0.69177654193123872</v>
      </c>
      <c r="K61" s="213">
        <f t="shared" si="57"/>
        <v>0.65071256004571798</v>
      </c>
      <c r="L61" s="213">
        <f t="shared" si="57"/>
        <v>0.62951040241123746</v>
      </c>
      <c r="M61" s="213">
        <f t="shared" si="57"/>
        <v>0.63174877393365403</v>
      </c>
      <c r="N61" s="213">
        <f t="shared" si="57"/>
        <v>0.78945399002835315</v>
      </c>
      <c r="O61" s="213">
        <f t="shared" si="57"/>
        <v>0.72516454264775398</v>
      </c>
      <c r="P61" s="213">
        <f t="shared" si="57"/>
        <v>0.78004676739286316</v>
      </c>
      <c r="Q61" s="213">
        <f t="shared" si="57"/>
        <v>0.86766990091546203</v>
      </c>
      <c r="R61" s="213">
        <f t="shared" si="57"/>
        <v>0.72791423947934553</v>
      </c>
      <c r="S61" s="213">
        <f t="shared" si="57"/>
        <v>0.81535062829856264</v>
      </c>
      <c r="T61" s="213">
        <f t="shared" si="57"/>
        <v>0.79252572778854169</v>
      </c>
      <c r="U61" s="213">
        <f t="shared" si="57"/>
        <v>0.80522657822671329</v>
      </c>
    </row>
    <row r="62" spans="1:21" s="224" customFormat="1">
      <c r="A62" s="226" t="s">
        <v>642</v>
      </c>
      <c r="B62" s="222"/>
      <c r="C62" s="222"/>
      <c r="D62" s="222"/>
      <c r="E62" s="223">
        <f>E60+E61</f>
        <v>0.84501248705139687</v>
      </c>
      <c r="F62" s="223">
        <f t="shared" ref="F62:M62" si="58">F60+F61</f>
        <v>0.88111112700376049</v>
      </c>
      <c r="G62" s="223">
        <f t="shared" si="58"/>
        <v>0.86212366830803155</v>
      </c>
      <c r="H62" s="223">
        <f t="shared" si="58"/>
        <v>0.86083789958361234</v>
      </c>
      <c r="I62" s="223">
        <f t="shared" si="58"/>
        <v>0.78489686451334439</v>
      </c>
      <c r="J62" s="223">
        <f t="shared" si="58"/>
        <v>0.71272626552214036</v>
      </c>
      <c r="K62" s="223">
        <f t="shared" si="58"/>
        <v>0.6718070233142418</v>
      </c>
      <c r="L62" s="223">
        <f t="shared" si="58"/>
        <v>0.64822595037176467</v>
      </c>
      <c r="M62" s="223">
        <f t="shared" si="58"/>
        <v>0.65077614549493212</v>
      </c>
      <c r="N62" s="223">
        <f t="shared" ref="N62" si="59">N60+N61</f>
        <v>0.81320583451974471</v>
      </c>
      <c r="O62" s="223">
        <f t="shared" ref="O62" si="60">O60+O61</f>
        <v>0.7470402092716758</v>
      </c>
      <c r="P62" s="223">
        <f t="shared" ref="P62" si="61">P60+P61</f>
        <v>0.80378456349313265</v>
      </c>
      <c r="Q62" s="223">
        <f t="shared" ref="Q62" si="62">Q60+Q61</f>
        <v>0.89374441651429881</v>
      </c>
      <c r="R62" s="223">
        <f t="shared" ref="R62" si="63">R60+R61</f>
        <v>0.73685884472679886</v>
      </c>
      <c r="S62" s="223">
        <f t="shared" ref="S62" si="64">S60+S61</f>
        <v>0.86481792990043338</v>
      </c>
      <c r="T62" s="223">
        <f t="shared" ref="T62" si="65">T60+T61</f>
        <v>0.81986384798545209</v>
      </c>
      <c r="U62" s="223">
        <f t="shared" ref="U62" si="66">U60+U61</f>
        <v>0.83244406797107762</v>
      </c>
    </row>
    <row r="63" spans="1:21">
      <c r="A63" s="225" t="s">
        <v>643</v>
      </c>
      <c r="B63" s="64"/>
      <c r="C63" s="64"/>
      <c r="D63" s="64"/>
      <c r="E63" s="213">
        <v>1</v>
      </c>
      <c r="F63" s="213">
        <v>1</v>
      </c>
      <c r="G63" s="213">
        <v>1</v>
      </c>
      <c r="H63" s="213">
        <v>1</v>
      </c>
      <c r="I63" s="213">
        <v>1</v>
      </c>
      <c r="J63" s="213">
        <v>1</v>
      </c>
      <c r="K63" s="213">
        <v>1</v>
      </c>
      <c r="L63" s="213">
        <v>1</v>
      </c>
      <c r="M63" s="213">
        <v>1</v>
      </c>
      <c r="N63" s="213">
        <v>1</v>
      </c>
      <c r="O63" s="213">
        <v>1</v>
      </c>
      <c r="P63" s="213">
        <v>1</v>
      </c>
      <c r="Q63" s="213">
        <v>1</v>
      </c>
      <c r="R63" s="213">
        <v>1</v>
      </c>
      <c r="S63" s="213">
        <v>1</v>
      </c>
      <c r="T63" s="213">
        <v>1</v>
      </c>
      <c r="U63" s="213">
        <v>1</v>
      </c>
    </row>
    <row r="64" spans="1:21" ht="42.6" customHeight="1">
      <c r="A64" s="281" t="s">
        <v>699</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c r="A66" s="231" t="s">
        <v>650</v>
      </c>
      <c r="E66" s="232">
        <f>E1</f>
        <v>43100</v>
      </c>
      <c r="F66" s="232">
        <f t="shared" ref="F66:U66" si="67">F1</f>
        <v>43008</v>
      </c>
      <c r="G66" s="232">
        <f t="shared" si="67"/>
        <v>42916</v>
      </c>
      <c r="H66" s="232">
        <f t="shared" si="67"/>
        <v>42825</v>
      </c>
      <c r="I66" s="232">
        <f t="shared" si="67"/>
        <v>42735</v>
      </c>
      <c r="J66" s="232">
        <f t="shared" si="67"/>
        <v>42643</v>
      </c>
      <c r="K66" s="232">
        <f t="shared" si="67"/>
        <v>42551</v>
      </c>
      <c r="L66" s="232">
        <f t="shared" si="67"/>
        <v>42460</v>
      </c>
      <c r="M66" s="232">
        <f t="shared" si="67"/>
        <v>42369</v>
      </c>
      <c r="N66" s="232">
        <f t="shared" si="67"/>
        <v>42277</v>
      </c>
      <c r="O66" s="232">
        <f t="shared" si="67"/>
        <v>42185</v>
      </c>
      <c r="P66" s="232">
        <f t="shared" si="67"/>
        <v>42094</v>
      </c>
      <c r="Q66" s="232">
        <f t="shared" si="67"/>
        <v>42004</v>
      </c>
      <c r="R66" s="232">
        <f t="shared" si="67"/>
        <v>41912</v>
      </c>
      <c r="S66" s="232">
        <f t="shared" si="67"/>
        <v>41820</v>
      </c>
      <c r="T66" s="232">
        <f t="shared" si="67"/>
        <v>41729</v>
      </c>
      <c r="U66" s="232">
        <f t="shared" si="67"/>
        <v>41639</v>
      </c>
    </row>
    <row r="67" spans="1:21">
      <c r="A67" s="17" t="s">
        <v>651</v>
      </c>
      <c r="E67" s="192">
        <f>E10</f>
        <v>3233731137.7200003</v>
      </c>
      <c r="F67" s="192">
        <f t="shared" ref="F67:U67" si="68">F10</f>
        <v>3356567736.0999999</v>
      </c>
      <c r="G67" s="192">
        <f t="shared" si="68"/>
        <v>2775598395.8299999</v>
      </c>
      <c r="H67" s="192">
        <f t="shared" si="68"/>
        <v>1618814858.6400001</v>
      </c>
      <c r="I67" s="192">
        <f t="shared" si="68"/>
        <v>268592114</v>
      </c>
      <c r="J67" s="192">
        <f t="shared" si="68"/>
        <v>461257697.76999998</v>
      </c>
      <c r="K67" s="192">
        <f t="shared" si="68"/>
        <v>469528759</v>
      </c>
      <c r="L67" s="192">
        <f t="shared" si="68"/>
        <v>932283840.64999998</v>
      </c>
      <c r="M67" s="192">
        <f t="shared" si="68"/>
        <v>1226162522</v>
      </c>
      <c r="N67" s="192">
        <f t="shared" si="68"/>
        <v>781754967.38999999</v>
      </c>
      <c r="O67" s="192">
        <f t="shared" si="68"/>
        <v>1665440156</v>
      </c>
      <c r="P67" s="192">
        <f t="shared" si="68"/>
        <v>1129056753.53</v>
      </c>
      <c r="Q67" s="192">
        <f t="shared" si="68"/>
        <v>1349689823</v>
      </c>
      <c r="R67" s="192">
        <f t="shared" si="68"/>
        <v>2116473620.3000002</v>
      </c>
      <c r="S67" s="192">
        <f t="shared" si="68"/>
        <v>1346548494</v>
      </c>
      <c r="T67" s="192">
        <f t="shared" si="68"/>
        <v>1178057360.53</v>
      </c>
      <c r="U67" s="192">
        <f t="shared" si="68"/>
        <v>1166262283</v>
      </c>
    </row>
    <row r="68" spans="1:21">
      <c r="A68" s="17" t="s">
        <v>652</v>
      </c>
      <c r="E68" s="192">
        <f>E11</f>
        <v>3930000000</v>
      </c>
      <c r="F68" s="192">
        <f t="shared" ref="F68:U68" si="69">F11</f>
        <v>2183399291.0700002</v>
      </c>
      <c r="G68" s="192">
        <f t="shared" si="69"/>
        <v>2183509991.4500003</v>
      </c>
      <c r="H68" s="192">
        <f t="shared" si="69"/>
        <v>2183615244.6599998</v>
      </c>
      <c r="I68" s="192">
        <f t="shared" si="69"/>
        <v>1493518127.79</v>
      </c>
      <c r="J68" s="192">
        <f t="shared" si="69"/>
        <v>1753908217.01</v>
      </c>
      <c r="K68" s="192">
        <f t="shared" si="69"/>
        <v>1741436818</v>
      </c>
      <c r="L68" s="192">
        <f t="shared" si="69"/>
        <v>1751630668.1999998</v>
      </c>
      <c r="M68" s="192">
        <f t="shared" si="69"/>
        <v>1334041793</v>
      </c>
      <c r="N68" s="192">
        <f t="shared" si="69"/>
        <v>3100198577.7599998</v>
      </c>
      <c r="O68" s="192">
        <f t="shared" si="69"/>
        <v>3331124999</v>
      </c>
      <c r="P68" s="192">
        <f t="shared" si="69"/>
        <v>2961572646.9299998</v>
      </c>
      <c r="Q68" s="192">
        <f t="shared" si="69"/>
        <v>1590784328</v>
      </c>
      <c r="R68" s="192">
        <f t="shared" si="69"/>
        <v>3660597107.5599999</v>
      </c>
      <c r="S68" s="192">
        <f t="shared" si="69"/>
        <v>1064252747</v>
      </c>
      <c r="T68" s="192">
        <f t="shared" si="69"/>
        <v>1574769633.24</v>
      </c>
      <c r="U68" s="192">
        <f t="shared" si="69"/>
        <v>1646166926</v>
      </c>
    </row>
    <row r="69" spans="1:21">
      <c r="A69" s="17" t="s">
        <v>653</v>
      </c>
      <c r="E69" s="192">
        <f>E12</f>
        <v>7163731137.7200003</v>
      </c>
      <c r="F69" s="192">
        <f t="shared" ref="F69:U69" si="70">F12</f>
        <v>5539967027.1700001</v>
      </c>
      <c r="G69" s="192">
        <f t="shared" si="70"/>
        <v>4959108387.2800007</v>
      </c>
      <c r="H69" s="192">
        <f t="shared" si="70"/>
        <v>3802430103.3000002</v>
      </c>
      <c r="I69" s="192">
        <f t="shared" si="70"/>
        <v>1762110241.79</v>
      </c>
      <c r="J69" s="192">
        <f t="shared" si="70"/>
        <v>2215165914.7799997</v>
      </c>
      <c r="K69" s="192">
        <f t="shared" si="70"/>
        <v>2210965577</v>
      </c>
      <c r="L69" s="192">
        <f t="shared" si="70"/>
        <v>2683914508.8499999</v>
      </c>
      <c r="M69" s="192">
        <f t="shared" si="70"/>
        <v>2560204315</v>
      </c>
      <c r="N69" s="192">
        <f t="shared" si="70"/>
        <v>3881953545.1499996</v>
      </c>
      <c r="O69" s="192">
        <f t="shared" si="70"/>
        <v>4996565155</v>
      </c>
      <c r="P69" s="192">
        <f t="shared" si="70"/>
        <v>4090629400.46</v>
      </c>
      <c r="Q69" s="192">
        <f t="shared" si="70"/>
        <v>2940474151</v>
      </c>
      <c r="R69" s="192">
        <f t="shared" si="70"/>
        <v>5777070727.8600006</v>
      </c>
      <c r="S69" s="192">
        <f t="shared" si="70"/>
        <v>2410801241</v>
      </c>
      <c r="T69" s="192">
        <f t="shared" si="70"/>
        <v>2752826993.77</v>
      </c>
      <c r="U69" s="192">
        <f t="shared" si="70"/>
        <v>2812429209</v>
      </c>
    </row>
    <row r="70" spans="1:21" s="233" customFormat="1">
      <c r="A70" s="233" t="s">
        <v>656</v>
      </c>
      <c r="E70" s="233">
        <f>E69/E74</f>
        <v>0.33091853660125192</v>
      </c>
      <c r="F70" s="233">
        <f t="shared" ref="F70:U70" si="71">F69/F74</f>
        <v>0.27731376187822254</v>
      </c>
      <c r="G70" s="233">
        <f t="shared" si="71"/>
        <v>0.25849152149197213</v>
      </c>
      <c r="H70" s="233">
        <f t="shared" si="71"/>
        <v>0.21347500203820133</v>
      </c>
      <c r="I70" s="233">
        <f t="shared" si="71"/>
        <v>0.11345967879034226</v>
      </c>
      <c r="J70" s="233">
        <f t="shared" si="71"/>
        <v>0.13991119407811295</v>
      </c>
      <c r="K70" s="233">
        <f t="shared" si="71"/>
        <v>0.1399119177851143</v>
      </c>
      <c r="L70" s="233">
        <f t="shared" si="71"/>
        <v>0.16715923239896496</v>
      </c>
      <c r="M70" s="233">
        <f t="shared" si="71"/>
        <v>0.16188469776169617</v>
      </c>
      <c r="N70" s="233">
        <f t="shared" si="71"/>
        <v>0.30606199479908203</v>
      </c>
      <c r="O70" s="233">
        <f t="shared" si="71"/>
        <v>0.36174973025357104</v>
      </c>
      <c r="P70" s="233">
        <f t="shared" si="71"/>
        <v>0.32003382450624385</v>
      </c>
      <c r="Q70" s="233">
        <f t="shared" si="71"/>
        <v>0.25207843553329384</v>
      </c>
      <c r="R70" s="233">
        <f t="shared" si="71"/>
        <v>0.4092973467108581</v>
      </c>
      <c r="S70" s="233">
        <f t="shared" si="71"/>
        <v>0.41385240121804168</v>
      </c>
      <c r="T70" s="233">
        <f t="shared" si="71"/>
        <v>0.45203948965587187</v>
      </c>
      <c r="U70" s="233">
        <f t="shared" si="71"/>
        <v>0.46119356131916012</v>
      </c>
    </row>
    <row r="71" spans="1:21">
      <c r="A71" s="17" t="s">
        <v>654</v>
      </c>
      <c r="E71" s="192">
        <f>E13</f>
        <v>14484288980.149994</v>
      </c>
      <c r="F71" s="192">
        <f t="shared" ref="F71:U71" si="72">F13</f>
        <v>14437285416.589998</v>
      </c>
      <c r="G71" s="192">
        <f t="shared" si="72"/>
        <v>14225692563.469999</v>
      </c>
      <c r="H71" s="192">
        <f t="shared" si="72"/>
        <v>14009632512.910004</v>
      </c>
      <c r="I71" s="192">
        <f t="shared" si="72"/>
        <v>13768607459.660004</v>
      </c>
      <c r="J71" s="192">
        <f t="shared" si="72"/>
        <v>13617490859.939999</v>
      </c>
      <c r="K71" s="192">
        <f t="shared" si="72"/>
        <v>13591588001</v>
      </c>
      <c r="L71" s="192">
        <f t="shared" si="72"/>
        <v>13372120628.020002</v>
      </c>
      <c r="M71" s="192">
        <f t="shared" si="72"/>
        <v>13254782218</v>
      </c>
      <c r="N71" s="192">
        <f t="shared" si="72"/>
        <v>8801599496.7699986</v>
      </c>
      <c r="O71" s="192">
        <f t="shared" si="72"/>
        <v>8815650134</v>
      </c>
      <c r="P71" s="192">
        <f t="shared" si="72"/>
        <v>8691236412.5400009</v>
      </c>
      <c r="Q71" s="192">
        <f t="shared" si="72"/>
        <v>8724443337</v>
      </c>
      <c r="R71" s="192">
        <f t="shared" si="72"/>
        <v>8337535130.8999996</v>
      </c>
      <c r="S71" s="192">
        <f t="shared" si="72"/>
        <v>3414466980</v>
      </c>
      <c r="T71" s="192">
        <f t="shared" si="72"/>
        <v>3336966169.7999997</v>
      </c>
      <c r="U71" s="192">
        <f t="shared" si="72"/>
        <v>3285724462</v>
      </c>
    </row>
    <row r="72" spans="1:21" s="233" customFormat="1">
      <c r="A72" s="233" t="s">
        <v>657</v>
      </c>
      <c r="E72" s="233">
        <f>E71/E74</f>
        <v>0.66908146339874797</v>
      </c>
      <c r="F72" s="233">
        <f t="shared" ref="F72:U72" si="73">F71/F74</f>
        <v>0.72268623812177746</v>
      </c>
      <c r="G72" s="233">
        <f t="shared" si="73"/>
        <v>0.74150847850802792</v>
      </c>
      <c r="H72" s="233">
        <f t="shared" si="73"/>
        <v>0.78652499796179876</v>
      </c>
      <c r="I72" s="233">
        <f t="shared" si="73"/>
        <v>0.88654032120965776</v>
      </c>
      <c r="J72" s="233">
        <f t="shared" si="73"/>
        <v>0.86008880592188697</v>
      </c>
      <c r="K72" s="233">
        <f t="shared" si="73"/>
        <v>0.86008808221488564</v>
      </c>
      <c r="L72" s="233">
        <f t="shared" si="73"/>
        <v>0.83284076760103498</v>
      </c>
      <c r="M72" s="233">
        <f t="shared" si="73"/>
        <v>0.83811530223830388</v>
      </c>
      <c r="N72" s="233">
        <f t="shared" si="73"/>
        <v>0.69393800520091797</v>
      </c>
      <c r="O72" s="233">
        <f t="shared" si="73"/>
        <v>0.63825026974642896</v>
      </c>
      <c r="P72" s="233">
        <f t="shared" si="73"/>
        <v>0.67996617549375626</v>
      </c>
      <c r="Q72" s="233">
        <f t="shared" si="73"/>
        <v>0.7479215644667061</v>
      </c>
      <c r="R72" s="233">
        <f t="shared" si="73"/>
        <v>0.59070265328914195</v>
      </c>
      <c r="S72" s="233">
        <f t="shared" si="73"/>
        <v>0.58614759878195832</v>
      </c>
      <c r="T72" s="233">
        <f t="shared" si="73"/>
        <v>0.54796051034412818</v>
      </c>
      <c r="U72" s="233">
        <f t="shared" si="73"/>
        <v>0.53880643868083988</v>
      </c>
    </row>
    <row r="73" spans="1:21" s="235" customFormat="1">
      <c r="A73" s="234" t="s">
        <v>658</v>
      </c>
      <c r="E73" s="236">
        <f>E74/E71</f>
        <v>1.4945863167696767</v>
      </c>
      <c r="F73" s="236">
        <f t="shared" ref="F73:U73" si="74">F74/F71</f>
        <v>1.3837263631848671</v>
      </c>
      <c r="G73" s="236">
        <f t="shared" si="74"/>
        <v>1.3486022466150043</v>
      </c>
      <c r="H73" s="236">
        <f t="shared" si="74"/>
        <v>1.2714154064923562</v>
      </c>
      <c r="I73" s="236">
        <f t="shared" si="74"/>
        <v>1.1279802802827172</v>
      </c>
      <c r="J73" s="236">
        <f t="shared" si="74"/>
        <v>1.162670637165367</v>
      </c>
      <c r="K73" s="236">
        <f t="shared" si="74"/>
        <v>1.1626716154754932</v>
      </c>
      <c r="L73" s="236">
        <f t="shared" si="74"/>
        <v>1.2007097141515546</v>
      </c>
      <c r="M73" s="236">
        <f t="shared" si="74"/>
        <v>1.1931532538892446</v>
      </c>
      <c r="N73" s="236">
        <f t="shared" si="74"/>
        <v>1.4410509188215841</v>
      </c>
      <c r="O73" s="236">
        <f t="shared" si="74"/>
        <v>1.5667835133031607</v>
      </c>
      <c r="P73" s="236">
        <f t="shared" si="74"/>
        <v>1.4706613888166595</v>
      </c>
      <c r="Q73" s="236">
        <f t="shared" si="74"/>
        <v>1.3370385980420747</v>
      </c>
      <c r="R73" s="236">
        <f t="shared" si="74"/>
        <v>1.6928991167244882</v>
      </c>
      <c r="S73" s="236">
        <f t="shared" si="74"/>
        <v>1.7060549289599514</v>
      </c>
      <c r="T73" s="236">
        <f t="shared" si="74"/>
        <v>1.8249490266588437</v>
      </c>
      <c r="U73" s="236">
        <f t="shared" si="74"/>
        <v>1.8559540647812238</v>
      </c>
    </row>
    <row r="74" spans="1:21">
      <c r="A74" s="17" t="s">
        <v>655</v>
      </c>
      <c r="E74" s="192">
        <f>E14</f>
        <v>21648020117.869995</v>
      </c>
      <c r="F74" s="192">
        <f t="shared" ref="F74:U74" si="75">F14</f>
        <v>19977252443.759998</v>
      </c>
      <c r="G74" s="192">
        <f t="shared" si="75"/>
        <v>19184800950.75</v>
      </c>
      <c r="H74" s="192">
        <f t="shared" si="75"/>
        <v>17812062616.210003</v>
      </c>
      <c r="I74" s="192">
        <f t="shared" si="75"/>
        <v>15530717701.450003</v>
      </c>
      <c r="J74" s="192">
        <f t="shared" si="75"/>
        <v>15832656774.719999</v>
      </c>
      <c r="K74" s="192">
        <f t="shared" si="75"/>
        <v>15802553578</v>
      </c>
      <c r="L74" s="192">
        <f t="shared" si="75"/>
        <v>16056035136.870003</v>
      </c>
      <c r="M74" s="192">
        <f t="shared" si="75"/>
        <v>15814986533</v>
      </c>
      <c r="N74" s="192">
        <f t="shared" si="75"/>
        <v>12683553041.919998</v>
      </c>
      <c r="O74" s="192">
        <f t="shared" si="75"/>
        <v>13812215289</v>
      </c>
      <c r="P74" s="192">
        <f t="shared" si="75"/>
        <v>12781865813</v>
      </c>
      <c r="Q74" s="192">
        <f t="shared" si="75"/>
        <v>11664917488</v>
      </c>
      <c r="R74" s="192">
        <f t="shared" si="75"/>
        <v>14114605858.76</v>
      </c>
      <c r="S74" s="192">
        <f t="shared" si="75"/>
        <v>5825268221</v>
      </c>
      <c r="T74" s="192">
        <f t="shared" si="75"/>
        <v>6089793163.5699997</v>
      </c>
      <c r="U74" s="192">
        <f t="shared" si="75"/>
        <v>6098153671</v>
      </c>
    </row>
    <row r="75" spans="1:21" ht="83.45" customHeight="1">
      <c r="A75" s="279" t="s">
        <v>700</v>
      </c>
      <c r="B75" s="278"/>
      <c r="C75" s="278"/>
      <c r="D75" s="278"/>
      <c r="E75" s="278"/>
      <c r="F75" s="278"/>
      <c r="G75" s="278"/>
      <c r="H75" s="278"/>
      <c r="I75" s="278"/>
      <c r="J75" s="278"/>
      <c r="K75" s="278"/>
      <c r="L75" s="278"/>
      <c r="M75" s="278"/>
      <c r="N75" s="278"/>
      <c r="O75" s="278"/>
      <c r="P75" s="278"/>
      <c r="Q75" s="278"/>
      <c r="R75" s="278"/>
      <c r="S75" s="278"/>
      <c r="T75" s="278"/>
      <c r="U75" s="278"/>
    </row>
    <row r="77" spans="1:21" s="237" customFormat="1">
      <c r="A77" s="238" t="s">
        <v>659</v>
      </c>
      <c r="B77" s="239"/>
      <c r="C77" s="239"/>
      <c r="D77" s="239"/>
      <c r="E77" s="240">
        <f>E1</f>
        <v>43100</v>
      </c>
      <c r="F77" s="240">
        <f t="shared" ref="F77:U77" si="76">F1</f>
        <v>43008</v>
      </c>
      <c r="G77" s="240">
        <f t="shared" si="76"/>
        <v>42916</v>
      </c>
      <c r="H77" s="240">
        <f t="shared" si="76"/>
        <v>42825</v>
      </c>
      <c r="I77" s="240">
        <f t="shared" si="76"/>
        <v>42735</v>
      </c>
      <c r="J77" s="240">
        <f t="shared" si="76"/>
        <v>42643</v>
      </c>
      <c r="K77" s="240">
        <f t="shared" si="76"/>
        <v>42551</v>
      </c>
      <c r="L77" s="240">
        <f t="shared" si="76"/>
        <v>42460</v>
      </c>
      <c r="M77" s="240">
        <f t="shared" si="76"/>
        <v>42369</v>
      </c>
      <c r="N77" s="240">
        <f t="shared" si="76"/>
        <v>42277</v>
      </c>
      <c r="O77" s="240">
        <f t="shared" si="76"/>
        <v>42185</v>
      </c>
      <c r="P77" s="240">
        <f t="shared" si="76"/>
        <v>42094</v>
      </c>
      <c r="Q77" s="240">
        <f t="shared" si="76"/>
        <v>42004</v>
      </c>
      <c r="R77" s="240">
        <f t="shared" si="76"/>
        <v>41912</v>
      </c>
      <c r="S77" s="240">
        <f t="shared" si="76"/>
        <v>41820</v>
      </c>
      <c r="T77" s="240">
        <f t="shared" si="76"/>
        <v>41729</v>
      </c>
      <c r="U77" s="240">
        <f t="shared" si="76"/>
        <v>41639</v>
      </c>
    </row>
    <row r="78" spans="1:21">
      <c r="A78" s="183" t="s">
        <v>651</v>
      </c>
      <c r="B78" s="64"/>
      <c r="C78" s="64"/>
      <c r="D78" s="64"/>
      <c r="E78" s="89">
        <f>E10</f>
        <v>3233731137.7200003</v>
      </c>
      <c r="F78" s="89">
        <f t="shared" ref="F78:U78" si="77">F10</f>
        <v>3356567736.0999999</v>
      </c>
      <c r="G78" s="89">
        <f t="shared" si="77"/>
        <v>2775598395.8299999</v>
      </c>
      <c r="H78" s="89">
        <f t="shared" si="77"/>
        <v>1618814858.6400001</v>
      </c>
      <c r="I78" s="89">
        <f t="shared" si="77"/>
        <v>268592114</v>
      </c>
      <c r="J78" s="89">
        <f t="shared" si="77"/>
        <v>461257697.76999998</v>
      </c>
      <c r="K78" s="89">
        <f t="shared" si="77"/>
        <v>469528759</v>
      </c>
      <c r="L78" s="89">
        <f t="shared" si="77"/>
        <v>932283840.64999998</v>
      </c>
      <c r="M78" s="89">
        <f t="shared" si="77"/>
        <v>1226162522</v>
      </c>
      <c r="N78" s="89">
        <f t="shared" si="77"/>
        <v>781754967.38999999</v>
      </c>
      <c r="O78" s="89">
        <f t="shared" si="77"/>
        <v>1665440156</v>
      </c>
      <c r="P78" s="89">
        <f t="shared" si="77"/>
        <v>1129056753.53</v>
      </c>
      <c r="Q78" s="89">
        <f t="shared" si="77"/>
        <v>1349689823</v>
      </c>
      <c r="R78" s="89">
        <f t="shared" si="77"/>
        <v>2116473620.3000002</v>
      </c>
      <c r="S78" s="89">
        <f t="shared" si="77"/>
        <v>1346548494</v>
      </c>
      <c r="T78" s="89">
        <f t="shared" si="77"/>
        <v>1178057360.53</v>
      </c>
      <c r="U78" s="89">
        <f t="shared" si="77"/>
        <v>1166262283</v>
      </c>
    </row>
    <row r="79" spans="1:21">
      <c r="A79" s="183" t="s">
        <v>660</v>
      </c>
      <c r="B79" s="64"/>
      <c r="C79" s="64"/>
      <c r="D79" s="64"/>
      <c r="E79" s="89">
        <f>E78</f>
        <v>3233731137.7200003</v>
      </c>
      <c r="F79" s="89">
        <f t="shared" ref="F79:U79" si="78">F78</f>
        <v>3356567736.0999999</v>
      </c>
      <c r="G79" s="89">
        <f t="shared" si="78"/>
        <v>2775598395.8299999</v>
      </c>
      <c r="H79" s="89">
        <f t="shared" si="78"/>
        <v>1618814858.6400001</v>
      </c>
      <c r="I79" s="89">
        <f t="shared" si="78"/>
        <v>268592114</v>
      </c>
      <c r="J79" s="89">
        <f t="shared" si="78"/>
        <v>461257697.76999998</v>
      </c>
      <c r="K79" s="89">
        <f t="shared" si="78"/>
        <v>469528759</v>
      </c>
      <c r="L79" s="89">
        <f t="shared" si="78"/>
        <v>932283840.64999998</v>
      </c>
      <c r="M79" s="89">
        <f t="shared" si="78"/>
        <v>1226162522</v>
      </c>
      <c r="N79" s="89">
        <f t="shared" si="78"/>
        <v>781754967.38999999</v>
      </c>
      <c r="O79" s="89">
        <f t="shared" si="78"/>
        <v>1665440156</v>
      </c>
      <c r="P79" s="89">
        <f t="shared" si="78"/>
        <v>1129056753.53</v>
      </c>
      <c r="Q79" s="89">
        <f t="shared" si="78"/>
        <v>1349689823</v>
      </c>
      <c r="R79" s="89">
        <f t="shared" si="78"/>
        <v>2116473620.3000002</v>
      </c>
      <c r="S79" s="89">
        <f t="shared" si="78"/>
        <v>1346548494</v>
      </c>
      <c r="T79" s="89">
        <f t="shared" si="78"/>
        <v>1178057360.53</v>
      </c>
      <c r="U79" s="89">
        <f t="shared" si="78"/>
        <v>1166262283</v>
      </c>
    </row>
    <row r="80" spans="1:21" s="219" customFormat="1">
      <c r="A80" s="223" t="s">
        <v>661</v>
      </c>
      <c r="B80" s="223"/>
      <c r="C80" s="223"/>
      <c r="D80" s="223"/>
      <c r="E80" s="223">
        <f>E79/E85</f>
        <v>0.14937768535472773</v>
      </c>
      <c r="F80" s="223">
        <f t="shared" ref="F80:U80" si="79">F79/F85</f>
        <v>0.16801948844313883</v>
      </c>
      <c r="G80" s="223">
        <f t="shared" si="79"/>
        <v>0.14467694520028326</v>
      </c>
      <c r="H80" s="223">
        <f t="shared" si="79"/>
        <v>9.0883065791986684E-2</v>
      </c>
      <c r="I80" s="223">
        <f t="shared" si="79"/>
        <v>1.7294249960832349E-2</v>
      </c>
      <c r="J80" s="223">
        <f t="shared" si="79"/>
        <v>2.9133309989166828E-2</v>
      </c>
      <c r="K80" s="223">
        <f t="shared" si="79"/>
        <v>2.9712208010081901E-2</v>
      </c>
      <c r="L80" s="223">
        <f t="shared" si="79"/>
        <v>5.8064387172968114E-2</v>
      </c>
      <c r="M80" s="223">
        <f t="shared" si="79"/>
        <v>7.7531682966751475E-2</v>
      </c>
      <c r="N80" s="223">
        <f t="shared" si="79"/>
        <v>6.1635329217786777E-2</v>
      </c>
      <c r="O80" s="223">
        <f t="shared" si="79"/>
        <v>0.12057733833082886</v>
      </c>
      <c r="P80" s="223">
        <f t="shared" si="79"/>
        <v>8.8332702756249784E-2</v>
      </c>
      <c r="Q80" s="223">
        <f t="shared" si="79"/>
        <v>0.11570504672565927</v>
      </c>
      <c r="R80" s="223">
        <f t="shared" si="79"/>
        <v>0.14994918324173007</v>
      </c>
      <c r="S80" s="223">
        <f t="shared" si="79"/>
        <v>0.23115647948118748</v>
      </c>
      <c r="T80" s="223">
        <f t="shared" si="79"/>
        <v>0.19344784443210733</v>
      </c>
      <c r="U80" s="223">
        <f t="shared" si="79"/>
        <v>0.19124842467420988</v>
      </c>
    </row>
    <row r="81" spans="1:21">
      <c r="A81" s="183" t="s">
        <v>652</v>
      </c>
      <c r="B81" s="64"/>
      <c r="C81" s="64"/>
      <c r="D81" s="64"/>
      <c r="E81" s="89">
        <f>E11</f>
        <v>3930000000</v>
      </c>
      <c r="F81" s="89">
        <f t="shared" ref="F81:U81" si="80">F11</f>
        <v>2183399291.0700002</v>
      </c>
      <c r="G81" s="89">
        <f t="shared" si="80"/>
        <v>2183509991.4500003</v>
      </c>
      <c r="H81" s="89">
        <f t="shared" si="80"/>
        <v>2183615244.6599998</v>
      </c>
      <c r="I81" s="89">
        <f t="shared" si="80"/>
        <v>1493518127.79</v>
      </c>
      <c r="J81" s="89">
        <f t="shared" si="80"/>
        <v>1753908217.01</v>
      </c>
      <c r="K81" s="89">
        <f t="shared" si="80"/>
        <v>1741436818</v>
      </c>
      <c r="L81" s="89">
        <f t="shared" si="80"/>
        <v>1751630668.1999998</v>
      </c>
      <c r="M81" s="89">
        <f t="shared" si="80"/>
        <v>1334041793</v>
      </c>
      <c r="N81" s="89">
        <f t="shared" si="80"/>
        <v>3100198577.7599998</v>
      </c>
      <c r="O81" s="89">
        <f t="shared" si="80"/>
        <v>3331124999</v>
      </c>
      <c r="P81" s="89">
        <f t="shared" si="80"/>
        <v>2961572646.9299998</v>
      </c>
      <c r="Q81" s="89">
        <f t="shared" si="80"/>
        <v>1590784328</v>
      </c>
      <c r="R81" s="89">
        <f t="shared" si="80"/>
        <v>3660597107.5599999</v>
      </c>
      <c r="S81" s="89">
        <f t="shared" si="80"/>
        <v>1064252747</v>
      </c>
      <c r="T81" s="89">
        <f t="shared" si="80"/>
        <v>1574769633.24</v>
      </c>
      <c r="U81" s="89">
        <f t="shared" si="80"/>
        <v>1646166926</v>
      </c>
    </row>
    <row r="82" spans="1:21">
      <c r="A82" s="183" t="s">
        <v>654</v>
      </c>
      <c r="B82" s="64"/>
      <c r="C82" s="64"/>
      <c r="D82" s="64"/>
      <c r="E82" s="89">
        <f>E13</f>
        <v>14484288980.149994</v>
      </c>
      <c r="F82" s="89">
        <f t="shared" ref="F82:U82" si="81">F13</f>
        <v>14437285416.589998</v>
      </c>
      <c r="G82" s="89">
        <f t="shared" si="81"/>
        <v>14225692563.469999</v>
      </c>
      <c r="H82" s="89">
        <f t="shared" si="81"/>
        <v>14009632512.910004</v>
      </c>
      <c r="I82" s="89">
        <f t="shared" si="81"/>
        <v>13768607459.660004</v>
      </c>
      <c r="J82" s="89">
        <f t="shared" si="81"/>
        <v>13617490859.939999</v>
      </c>
      <c r="K82" s="89">
        <f t="shared" si="81"/>
        <v>13591588001</v>
      </c>
      <c r="L82" s="89">
        <f t="shared" si="81"/>
        <v>13372120628.020002</v>
      </c>
      <c r="M82" s="89">
        <f t="shared" si="81"/>
        <v>13254782218</v>
      </c>
      <c r="N82" s="89">
        <f t="shared" si="81"/>
        <v>8801599496.7699986</v>
      </c>
      <c r="O82" s="89">
        <f t="shared" si="81"/>
        <v>8815650134</v>
      </c>
      <c r="P82" s="89">
        <f t="shared" si="81"/>
        <v>8691236412.5400009</v>
      </c>
      <c r="Q82" s="89">
        <f t="shared" si="81"/>
        <v>8724443337</v>
      </c>
      <c r="R82" s="89">
        <f t="shared" si="81"/>
        <v>8337535130.8999996</v>
      </c>
      <c r="S82" s="89">
        <f t="shared" si="81"/>
        <v>3414466980</v>
      </c>
      <c r="T82" s="89">
        <f t="shared" si="81"/>
        <v>3336966169.7999997</v>
      </c>
      <c r="U82" s="89">
        <f t="shared" si="81"/>
        <v>3285724462</v>
      </c>
    </row>
    <row r="83" spans="1:21">
      <c r="A83" s="183" t="s">
        <v>662</v>
      </c>
      <c r="B83" s="64"/>
      <c r="C83" s="64"/>
      <c r="D83" s="64"/>
      <c r="E83" s="89">
        <f>E81+E82</f>
        <v>18414288980.149994</v>
      </c>
      <c r="F83" s="89">
        <f t="shared" ref="F83:U83" si="82">F81+F82</f>
        <v>16620684707.659998</v>
      </c>
      <c r="G83" s="89">
        <f t="shared" si="82"/>
        <v>16409202554.92</v>
      </c>
      <c r="H83" s="89">
        <f t="shared" si="82"/>
        <v>16193247757.570004</v>
      </c>
      <c r="I83" s="89">
        <f t="shared" si="82"/>
        <v>15262125587.450005</v>
      </c>
      <c r="J83" s="89">
        <f t="shared" si="82"/>
        <v>15371399076.949999</v>
      </c>
      <c r="K83" s="89">
        <f t="shared" si="82"/>
        <v>15333024819</v>
      </c>
      <c r="L83" s="89">
        <f t="shared" si="82"/>
        <v>15123751296.220001</v>
      </c>
      <c r="M83" s="89">
        <f t="shared" si="82"/>
        <v>14588824011</v>
      </c>
      <c r="N83" s="89">
        <f t="shared" si="82"/>
        <v>11901798074.529999</v>
      </c>
      <c r="O83" s="89">
        <f t="shared" si="82"/>
        <v>12146775133</v>
      </c>
      <c r="P83" s="89">
        <f t="shared" si="82"/>
        <v>11652809059.470001</v>
      </c>
      <c r="Q83" s="89">
        <f t="shared" si="82"/>
        <v>10315227665</v>
      </c>
      <c r="R83" s="89">
        <f t="shared" si="82"/>
        <v>11998132238.459999</v>
      </c>
      <c r="S83" s="89">
        <f t="shared" si="82"/>
        <v>4478719727</v>
      </c>
      <c r="T83" s="89">
        <f t="shared" si="82"/>
        <v>4911735803.04</v>
      </c>
      <c r="U83" s="89">
        <f t="shared" si="82"/>
        <v>4931891388</v>
      </c>
    </row>
    <row r="84" spans="1:21" s="219" customFormat="1">
      <c r="A84" s="223" t="s">
        <v>663</v>
      </c>
      <c r="B84" s="223"/>
      <c r="C84" s="223"/>
      <c r="D84" s="223"/>
      <c r="E84" s="223">
        <f>E83/E85</f>
        <v>0.85062231464527227</v>
      </c>
      <c r="F84" s="223">
        <f t="shared" ref="F84:U84" si="83">F83/F85</f>
        <v>0.83198051155686115</v>
      </c>
      <c r="G84" s="223">
        <f t="shared" si="83"/>
        <v>0.85532305479971671</v>
      </c>
      <c r="H84" s="223">
        <f t="shared" si="83"/>
        <v>0.90911693420801332</v>
      </c>
      <c r="I84" s="223">
        <f t="shared" si="83"/>
        <v>0.98270575003916782</v>
      </c>
      <c r="J84" s="223">
        <f t="shared" si="83"/>
        <v>0.97086669001083314</v>
      </c>
      <c r="K84" s="223">
        <f t="shared" si="83"/>
        <v>0.9702877919899181</v>
      </c>
      <c r="L84" s="223">
        <f t="shared" si="83"/>
        <v>0.94193561282703175</v>
      </c>
      <c r="M84" s="223">
        <f t="shared" si="83"/>
        <v>0.9224683170332485</v>
      </c>
      <c r="N84" s="223">
        <f t="shared" si="83"/>
        <v>0.93836467078221331</v>
      </c>
      <c r="O84" s="223">
        <f t="shared" si="83"/>
        <v>0.87942266166917116</v>
      </c>
      <c r="P84" s="223">
        <f t="shared" si="83"/>
        <v>0.91166729724375029</v>
      </c>
      <c r="Q84" s="223">
        <f t="shared" si="83"/>
        <v>0.88429495327434071</v>
      </c>
      <c r="R84" s="223">
        <f t="shared" si="83"/>
        <v>0.85005081675826988</v>
      </c>
      <c r="S84" s="223">
        <f t="shared" si="83"/>
        <v>0.76884352051881255</v>
      </c>
      <c r="T84" s="223">
        <f t="shared" si="83"/>
        <v>0.80655215556789273</v>
      </c>
      <c r="U84" s="223">
        <f t="shared" si="83"/>
        <v>0.80875157532579012</v>
      </c>
    </row>
    <row r="85" spans="1:21">
      <c r="A85" s="183" t="s">
        <v>655</v>
      </c>
      <c r="B85" s="64"/>
      <c r="C85" s="64"/>
      <c r="D85" s="64"/>
      <c r="E85" s="89">
        <f>E14</f>
        <v>21648020117.869995</v>
      </c>
      <c r="F85" s="89">
        <f t="shared" ref="F85:U85" si="84">F14</f>
        <v>19977252443.759998</v>
      </c>
      <c r="G85" s="89">
        <f t="shared" si="84"/>
        <v>19184800950.75</v>
      </c>
      <c r="H85" s="89">
        <f t="shared" si="84"/>
        <v>17812062616.210003</v>
      </c>
      <c r="I85" s="89">
        <f t="shared" si="84"/>
        <v>15530717701.450003</v>
      </c>
      <c r="J85" s="89">
        <f t="shared" si="84"/>
        <v>15832656774.719999</v>
      </c>
      <c r="K85" s="89">
        <f t="shared" si="84"/>
        <v>15802553578</v>
      </c>
      <c r="L85" s="89">
        <f t="shared" si="84"/>
        <v>16056035136.870003</v>
      </c>
      <c r="M85" s="89">
        <f t="shared" si="84"/>
        <v>15814986533</v>
      </c>
      <c r="N85" s="89">
        <f t="shared" si="84"/>
        <v>12683553041.919998</v>
      </c>
      <c r="O85" s="89">
        <f t="shared" si="84"/>
        <v>13812215289</v>
      </c>
      <c r="P85" s="89">
        <f t="shared" si="84"/>
        <v>12781865813</v>
      </c>
      <c r="Q85" s="89">
        <f t="shared" si="84"/>
        <v>11664917488</v>
      </c>
      <c r="R85" s="89">
        <f t="shared" si="84"/>
        <v>14114605858.76</v>
      </c>
      <c r="S85" s="89">
        <f t="shared" si="84"/>
        <v>5825268221</v>
      </c>
      <c r="T85" s="89">
        <f t="shared" si="84"/>
        <v>6089793163.5699997</v>
      </c>
      <c r="U85" s="89">
        <f t="shared" si="84"/>
        <v>6098153671</v>
      </c>
    </row>
    <row r="87" spans="1:21" s="56" customFormat="1" ht="85.9" customHeight="1">
      <c r="A87" s="277" t="s">
        <v>701</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分析表"/>
  <dimension ref="A1:CK78"/>
  <sheetViews>
    <sheetView topLeftCell="A34" zoomScaleNormal="100" workbookViewId="0">
      <selection activeCell="A35" sqref="A35:AG35"/>
    </sheetView>
  </sheetViews>
  <sheetFormatPr defaultRowHeight="13.5"/>
  <cols>
    <col min="1" max="1" width="45.625" style="17" bestFit="1" customWidth="1"/>
    <col min="2" max="4" width="10.5" hidden="1" customWidth="1"/>
    <col min="5" max="5" width="20.5" bestFit="1" customWidth="1"/>
    <col min="6" max="6" width="20.5" hidden="1" customWidth="1"/>
    <col min="7" max="8" width="19.375" hidden="1" customWidth="1"/>
    <col min="9" max="9" width="23" bestFit="1" customWidth="1"/>
    <col min="10" max="12" width="19.375" hidden="1" customWidth="1"/>
    <col min="13" max="13" width="23" bestFit="1" customWidth="1"/>
    <col min="14" max="16" width="19.375" hidden="1" customWidth="1"/>
    <col min="17" max="17" width="19.375" bestFit="1" customWidth="1"/>
    <col min="18" max="20" width="19.375" hidden="1" customWidth="1"/>
    <col min="21" max="21" width="19.375" bestFit="1" customWidth="1"/>
    <col min="22" max="24" width="19.375" hidden="1" customWidth="1"/>
    <col min="25" max="25" width="19.375" bestFit="1" customWidth="1"/>
    <col min="26" max="27" width="19.375" hidden="1" customWidth="1"/>
    <col min="28" max="28" width="18.375" hidden="1" customWidth="1"/>
    <col min="29" max="29" width="19.375" bestFit="1" customWidth="1"/>
    <col min="30" max="32" width="19.375" hidden="1" customWidth="1"/>
    <col min="33" max="33" width="19.375" bestFit="1" customWidth="1"/>
    <col min="34" max="35" width="19.375" hidden="1" customWidth="1"/>
    <col min="36" max="36" width="18.375" hidden="1" customWidth="1"/>
    <col min="37" max="37" width="19.375" bestFit="1" customWidth="1"/>
    <col min="38" max="38" width="19.375" hidden="1" customWidth="1"/>
    <col min="39" max="40" width="18.375" hidden="1" customWidth="1"/>
    <col min="41" max="41" width="19.375" bestFit="1" customWidth="1"/>
    <col min="42" max="42" width="19.375" hidden="1" customWidth="1"/>
    <col min="43" max="44" width="18.375" hidden="1" customWidth="1"/>
    <col min="45" max="45" width="19.375" bestFit="1" customWidth="1"/>
    <col min="46" max="46" width="19.375" hidden="1" customWidth="1"/>
    <col min="47" max="48" width="17.25" hidden="1" customWidth="1"/>
    <col min="49" max="49" width="19.375" bestFit="1" customWidth="1"/>
    <col min="50" max="50" width="19.375" hidden="1" customWidth="1"/>
    <col min="51" max="52" width="17.25" hidden="1" customWidth="1"/>
    <col min="53" max="53" width="19.375" bestFit="1" customWidth="1"/>
    <col min="54" max="56" width="17.25" hidden="1" customWidth="1"/>
    <col min="57" max="57" width="19.375" bestFit="1" customWidth="1"/>
    <col min="58" max="60" width="17.25" hidden="1" customWidth="1"/>
    <col min="61" max="61" width="17.25" bestFit="1" customWidth="1"/>
    <col min="62" max="64" width="17.25" hidden="1" customWidth="1"/>
    <col min="65" max="65" width="17.25" bestFit="1" customWidth="1"/>
    <col min="66" max="68" width="17.25" hidden="1" customWidth="1"/>
    <col min="69" max="69" width="17.25" bestFit="1" customWidth="1"/>
    <col min="70" max="70" width="17.25" hidden="1" customWidth="1"/>
    <col min="71" max="71" width="17.25" bestFit="1" customWidth="1"/>
    <col min="72" max="72" width="17.25" hidden="1" customWidth="1"/>
    <col min="73" max="73" width="17.25" bestFit="1" customWidth="1"/>
    <col min="74" max="74" width="17.25" hidden="1" customWidth="1"/>
    <col min="75" max="75" width="17.25" bestFit="1" customWidth="1"/>
    <col min="76" max="76" width="17.25" hidden="1" customWidth="1"/>
    <col min="77" max="77" width="17.25" bestFit="1" customWidth="1"/>
    <col min="78" max="78" width="17.25" hidden="1" customWidth="1"/>
    <col min="79" max="79" width="17.25" bestFit="1" customWidth="1"/>
    <col min="80" max="80" width="16.125" hidden="1" customWidth="1"/>
    <col min="81" max="81" width="17.25" bestFit="1" customWidth="1"/>
    <col min="82" max="82" width="16.125" hidden="1" customWidth="1"/>
    <col min="83" max="85" width="17.25" bestFit="1" customWidth="1"/>
    <col min="86" max="86" width="16.125" bestFit="1" customWidth="1"/>
    <col min="87" max="87" width="9.625" hidden="1" customWidth="1"/>
    <col min="88" max="88" width="16.125" bestFit="1" customWidth="1"/>
    <col min="89" max="89" width="9.625" bestFit="1" customWidth="1"/>
  </cols>
  <sheetData>
    <row r="1" spans="1:89" s="26" customFormat="1" ht="14.45">
      <c r="A1" s="17">
        <v>50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34334</v>
      </c>
      <c r="CG1" s="1">
        <v>33969</v>
      </c>
      <c r="CH1" s="1">
        <v>33603</v>
      </c>
      <c r="CI1" s="1">
        <v>25569</v>
      </c>
      <c r="CJ1" s="1"/>
      <c r="CK1" s="1"/>
    </row>
    <row r="2" spans="1:89" s="26" customFormat="1">
      <c r="A2" s="17" t="s">
        <v>351</v>
      </c>
      <c r="E2" s="26">
        <f>股权价值增加表!E4</f>
        <v>14012500489.6</v>
      </c>
      <c r="F2" s="26">
        <f>股权价值增加表!F4</f>
        <v>10101263607.549999</v>
      </c>
      <c r="G2" s="26">
        <f>股权价值增加表!G4</f>
        <v>6204369367.1700001</v>
      </c>
      <c r="H2" s="26">
        <f>股权价值增加表!H4</f>
        <v>2902672264.27</v>
      </c>
      <c r="I2" s="26">
        <f>股权价值增加表!I4</f>
        <v>10736756430.530001</v>
      </c>
      <c r="J2" s="26">
        <f>股权价值增加表!J4</f>
        <v>7753412466.4899998</v>
      </c>
      <c r="K2" s="26">
        <f>股权价值增加表!K4</f>
        <v>4970453217</v>
      </c>
      <c r="L2" s="26">
        <f>股权价值增加表!L4</f>
        <v>2451540177.1700001</v>
      </c>
      <c r="M2" s="26">
        <f>股权价值增加表!M4</f>
        <v>10530002724</v>
      </c>
      <c r="N2" s="26">
        <f>股权价值增加表!N4</f>
        <v>7798701732.9399996</v>
      </c>
      <c r="O2" s="26">
        <f>股权价值增加表!O4</f>
        <v>5137805297</v>
      </c>
      <c r="P2" s="26">
        <f>股权价值增加表!P4</f>
        <v>2440217347.02</v>
      </c>
      <c r="Q2" s="26">
        <f>股权价值增加表!Q4</f>
        <v>9322363339</v>
      </c>
      <c r="R2" s="26">
        <f>股权价值增加表!R4</f>
        <v>6534329893.3699999</v>
      </c>
      <c r="S2" s="26">
        <f>股权价值增加表!S4</f>
        <v>2485591860</v>
      </c>
      <c r="T2" s="26">
        <f>股权价值增加表!T4</f>
        <v>1179748523.6800001</v>
      </c>
      <c r="U2" s="26">
        <f>股权价值增加表!U4</f>
        <v>4519377681</v>
      </c>
      <c r="V2" s="26">
        <f>股权价值增加表!V4</f>
        <v>3497195925</v>
      </c>
      <c r="W2" s="26">
        <f>股权价值增加表!W4</f>
        <v>2251106750</v>
      </c>
      <c r="X2" s="26">
        <f>股权价值增加表!X4</f>
        <v>1040384420.38</v>
      </c>
      <c r="Y2" s="26">
        <f>股权价值增加表!Y4</f>
        <v>4333544367</v>
      </c>
      <c r="Z2" s="26">
        <f>股权价值增加表!Z4</f>
        <v>3309222233</v>
      </c>
      <c r="AA2" s="26">
        <f>股权价值增加表!AA4</f>
        <v>2237318777</v>
      </c>
      <c r="AB2" s="26">
        <f>股权价值增加表!AB4</f>
        <v>983311090.32000005</v>
      </c>
      <c r="AC2" s="26">
        <f>股权价值增加表!AC4</f>
        <v>4614967219</v>
      </c>
      <c r="AD2" s="26">
        <f>股权价值增加表!AD4</f>
        <v>3351943781.3899999</v>
      </c>
      <c r="AE2" s="26">
        <f>股权价值增加表!AE4</f>
        <v>2109214855</v>
      </c>
      <c r="AF2" s="26">
        <f>股权价值增加表!AF4</f>
        <v>1016773975.08</v>
      </c>
      <c r="AG2" s="26">
        <f>股权价值增加表!AG4</f>
        <v>3454211508</v>
      </c>
      <c r="AH2" s="26">
        <f>股权价值增加表!AH4</f>
        <v>2331874989.3000002</v>
      </c>
      <c r="AI2" s="26">
        <f>股权价值增加表!AI4</f>
        <v>1482501080.6800001</v>
      </c>
      <c r="AJ2" s="26">
        <f>股权价值增加表!AJ4</f>
        <v>654990128.36000001</v>
      </c>
      <c r="AK2" s="26">
        <f>股权价值增加表!AK4</f>
        <v>2190447604.0900002</v>
      </c>
      <c r="AL2" s="26">
        <f>股权价值增加表!AL4</f>
        <v>1582234481.26</v>
      </c>
      <c r="AM2" s="26">
        <f>股权价值增加表!AM4</f>
        <v>877566161.70000005</v>
      </c>
      <c r="AN2" s="26">
        <f>股权价值增加表!AN4</f>
        <v>348986536.45999998</v>
      </c>
      <c r="AO2" s="26">
        <f>股权价值增加表!AO4</f>
        <v>1376252455.3199999</v>
      </c>
      <c r="AP2" s="26">
        <f>股权价值增加表!AP4</f>
        <v>1039055393.03</v>
      </c>
      <c r="AQ2" s="26">
        <f>股权价值增加表!AQ4</f>
        <v>688263087.98000002</v>
      </c>
      <c r="AR2" s="26">
        <f>股权价值增加表!AR4</f>
        <v>345739706.98000002</v>
      </c>
      <c r="AS2" s="26">
        <f>股权价值增加表!AS4</f>
        <v>1721551769.9000001</v>
      </c>
      <c r="AT2" s="26">
        <f>股权价值增加表!AT4</f>
        <v>1233069401.45</v>
      </c>
      <c r="AU2" s="26">
        <f>股权价值增加表!AU4</f>
        <v>766793416.89999998</v>
      </c>
      <c r="AV2" s="26">
        <f>股权价值增加表!AV4</f>
        <v>353680370.72000003</v>
      </c>
      <c r="AW2" s="26">
        <f>股权价值增加表!AW4</f>
        <v>1511181193.1300001</v>
      </c>
      <c r="AX2" s="26">
        <f>股权价值增加表!AX4</f>
        <v>1021355833.87</v>
      </c>
      <c r="AY2" s="26">
        <f>股权价值增加表!AY4</f>
        <v>640682641.66999996</v>
      </c>
      <c r="AZ2" s="26">
        <f>股权价值增加表!AZ4</f>
        <v>252638836.43000001</v>
      </c>
      <c r="BA2" s="26">
        <f>股权价值增加表!BA4</f>
        <v>1102472837.22</v>
      </c>
      <c r="BB2" s="26">
        <f>股权价值增加表!BB4</f>
        <v>757278828.25999999</v>
      </c>
      <c r="BC2" s="26">
        <f>股权价值增加表!BC4</f>
        <v>525047305.04000002</v>
      </c>
      <c r="BD2" s="26">
        <f>股权价值增加表!BD4</f>
        <v>235781336</v>
      </c>
      <c r="BE2" s="26">
        <f>股权价值增加表!BE4</f>
        <v>1070912713.53</v>
      </c>
      <c r="BF2" s="26">
        <f>股权价值增加表!BF4</f>
        <v>658451923.87</v>
      </c>
      <c r="BG2" s="26">
        <f>股权价值增加表!BG4</f>
        <v>440634384.5</v>
      </c>
      <c r="BH2" s="26">
        <f>股权价值增加表!BH4</f>
        <v>175134049.22999999</v>
      </c>
      <c r="BI2" s="26">
        <f>股权价值增加表!BI4</f>
        <v>635780184.69000006</v>
      </c>
      <c r="BJ2" s="26">
        <f>股权价值增加表!BJ4</f>
        <v>444161175.67000002</v>
      </c>
      <c r="BK2" s="26">
        <f>股权价值增加表!BK4</f>
        <v>259543114.94999999</v>
      </c>
      <c r="BL2" s="26">
        <f>股权价值增加表!BL4</f>
        <v>108906147.65000001</v>
      </c>
      <c r="BM2" s="26">
        <f>股权价值增加表!BM4</f>
        <v>325573860.41000003</v>
      </c>
      <c r="BN2" s="26">
        <f>股权价值增加表!BN4</f>
        <v>242239931.31999999</v>
      </c>
      <c r="BO2" s="26">
        <f>股权价值增加表!BO4</f>
        <v>150534298.19999999</v>
      </c>
      <c r="BP2" s="26">
        <f>股权价值增加表!BP4</f>
        <v>64662895.729999997</v>
      </c>
      <c r="BQ2" s="26">
        <f>股权价值增加表!BQ4</f>
        <v>278936200.85000002</v>
      </c>
      <c r="BR2" s="26">
        <f>股权价值增加表!BR4</f>
        <v>151843112.88999999</v>
      </c>
      <c r="BS2" s="26">
        <f>股权价值增加表!BS4</f>
        <v>317613770.89999998</v>
      </c>
      <c r="BT2" s="26">
        <f>股权价值增加表!BT4</f>
        <v>155847802.03</v>
      </c>
      <c r="BU2" s="26">
        <f>股权价值增加表!BU4</f>
        <v>269058645.97000003</v>
      </c>
      <c r="BV2" s="26">
        <f>股权价值增加表!BV4</f>
        <v>123867036.98</v>
      </c>
      <c r="BW2" s="26">
        <f>股权价值增加表!BW4</f>
        <v>172359929.78999999</v>
      </c>
      <c r="BX2" s="26">
        <f>股权价值增加表!BX4</f>
        <v>96802269.069999993</v>
      </c>
      <c r="BY2" s="26">
        <f>股权价值增加表!BY4</f>
        <v>219024479.13999999</v>
      </c>
      <c r="BZ2" s="26">
        <f>股权价值增加表!BZ4</f>
        <v>104071345.44</v>
      </c>
      <c r="CA2" s="26">
        <f>股权价值增加表!CA4</f>
        <v>153766691.63999999</v>
      </c>
      <c r="CB2" s="26">
        <f>股权价值增加表!CB4</f>
        <v>65350000</v>
      </c>
      <c r="CC2" s="26">
        <f>股权价值增加表!CC4</f>
        <v>150277584.41999999</v>
      </c>
      <c r="CD2" s="26">
        <f>股权价值增加表!CD4</f>
        <v>72860000</v>
      </c>
      <c r="CE2" s="26">
        <f>股权价值增加表!CE4</f>
        <v>172102849.21000001</v>
      </c>
      <c r="CF2" s="26">
        <f>股权价值增加表!CF4</f>
        <v>134608301.97</v>
      </c>
      <c r="CG2" s="26">
        <f>股权价值增加表!CG4</f>
        <v>110910400</v>
      </c>
      <c r="CH2" s="26">
        <f>股权价值增加表!CH4</f>
        <v>59300500</v>
      </c>
      <c r="CI2" s="26">
        <f>股权价值增加表!CI4</f>
        <v>0</v>
      </c>
      <c r="CJ2" s="26">
        <f>股权价值增加表!CJ4</f>
        <v>0</v>
      </c>
    </row>
    <row r="3" spans="1:89" s="66" customFormat="1">
      <c r="A3" s="46" t="s">
        <v>372</v>
      </c>
      <c r="E3" s="66">
        <f>(E2-I2)/I2</f>
        <v>0.30509624394155122</v>
      </c>
      <c r="F3" s="66">
        <f t="shared" ref="F3:BQ3" si="0">(F2-J2)/J2</f>
        <v>0.30281519926965539</v>
      </c>
      <c r="G3" s="66">
        <f t="shared" si="0"/>
        <v>0.24825022916416278</v>
      </c>
      <c r="H3" s="66">
        <f t="shared" si="0"/>
        <v>0.18401986281977892</v>
      </c>
      <c r="I3" s="66">
        <f t="shared" si="0"/>
        <v>1.9634724885566012E-2</v>
      </c>
      <c r="J3" s="66">
        <f t="shared" si="0"/>
        <v>-5.8072828017909596E-3</v>
      </c>
      <c r="K3" s="66">
        <f t="shared" si="0"/>
        <v>-3.2572678473767394E-2</v>
      </c>
      <c r="L3" s="66">
        <f t="shared" si="0"/>
        <v>4.6400908361001391E-3</v>
      </c>
      <c r="M3" s="66">
        <f t="shared" si="0"/>
        <v>0.12954219236959522</v>
      </c>
      <c r="N3" s="66">
        <f t="shared" si="0"/>
        <v>0.19349678700074255</v>
      </c>
      <c r="O3" s="66">
        <f t="shared" si="0"/>
        <v>1.0670349704959203</v>
      </c>
      <c r="P3" s="66">
        <f t="shared" si="0"/>
        <v>1.0684216153186683</v>
      </c>
      <c r="Q3" s="66">
        <f t="shared" si="0"/>
        <v>1.0627537676685712</v>
      </c>
      <c r="R3" s="66">
        <f t="shared" si="0"/>
        <v>0.86844833217915862</v>
      </c>
      <c r="S3" s="66">
        <f t="shared" si="0"/>
        <v>0.1041643671496254</v>
      </c>
      <c r="T3" s="66">
        <f t="shared" si="0"/>
        <v>0.133954431237155</v>
      </c>
      <c r="U3" s="66">
        <f t="shared" si="0"/>
        <v>4.2882522540930522E-2</v>
      </c>
      <c r="V3" s="66">
        <f t="shared" si="0"/>
        <v>5.6802982321798028E-2</v>
      </c>
      <c r="W3" s="66">
        <f t="shared" si="0"/>
        <v>6.1627217103537501E-3</v>
      </c>
      <c r="X3" s="66">
        <f t="shared" si="0"/>
        <v>5.8041987547833414E-2</v>
      </c>
      <c r="Y3" s="66">
        <f t="shared" si="0"/>
        <v>-6.0980466088983505E-2</v>
      </c>
      <c r="Z3" s="66">
        <f t="shared" si="0"/>
        <v>-1.2745305761746366E-2</v>
      </c>
      <c r="AA3" s="66">
        <f t="shared" si="0"/>
        <v>6.073535927187465E-2</v>
      </c>
      <c r="AB3" s="66">
        <f t="shared" si="0"/>
        <v>-3.2910839164001143E-2</v>
      </c>
      <c r="AC3" s="66">
        <f t="shared" si="0"/>
        <v>0.33604071676319597</v>
      </c>
      <c r="AD3" s="66">
        <f t="shared" si="0"/>
        <v>0.43744574506380879</v>
      </c>
      <c r="AE3" s="66">
        <f t="shared" si="0"/>
        <v>0.42274085495609631</v>
      </c>
      <c r="AF3" s="66">
        <f t="shared" si="0"/>
        <v>0.55235007529938529</v>
      </c>
      <c r="AG3" s="66">
        <f t="shared" si="0"/>
        <v>0.57694322454931224</v>
      </c>
      <c r="AH3" s="66">
        <f t="shared" si="0"/>
        <v>0.47378597604763983</v>
      </c>
      <c r="AI3" s="66">
        <f t="shared" si="0"/>
        <v>0.68933254879396744</v>
      </c>
      <c r="AJ3" s="66">
        <f t="shared" si="0"/>
        <v>0.87683494900403836</v>
      </c>
      <c r="AK3" s="66">
        <f t="shared" si="0"/>
        <v>0.59160304900650462</v>
      </c>
      <c r="AL3" s="66">
        <f t="shared" si="0"/>
        <v>0.5227623973405594</v>
      </c>
      <c r="AM3" s="66">
        <f t="shared" si="0"/>
        <v>0.27504464067016904</v>
      </c>
      <c r="AN3" s="66">
        <f t="shared" si="0"/>
        <v>9.3909649787138234E-3</v>
      </c>
      <c r="AO3" s="66">
        <f t="shared" si="0"/>
        <v>-0.20057445882098426</v>
      </c>
      <c r="AP3" s="66">
        <f t="shared" si="0"/>
        <v>-0.15734232654857358</v>
      </c>
      <c r="AQ3" s="66">
        <f t="shared" si="0"/>
        <v>-0.10241393208288505</v>
      </c>
      <c r="AR3" s="66">
        <f t="shared" si="0"/>
        <v>-2.2451525154859205E-2</v>
      </c>
      <c r="AS3" s="66">
        <f t="shared" si="0"/>
        <v>0.13920936663741471</v>
      </c>
      <c r="AT3" s="66">
        <f t="shared" si="0"/>
        <v>0.20728678542697523</v>
      </c>
      <c r="AU3" s="66">
        <f t="shared" si="0"/>
        <v>0.19683813330930949</v>
      </c>
      <c r="AV3" s="66">
        <f t="shared" si="0"/>
        <v>0.39994458380905401</v>
      </c>
      <c r="AW3" s="66">
        <f t="shared" si="0"/>
        <v>0.37071966048669347</v>
      </c>
      <c r="AX3" s="66">
        <f t="shared" si="0"/>
        <v>0.34871832640134665</v>
      </c>
      <c r="AY3" s="66">
        <f t="shared" si="0"/>
        <v>0.22023793955325685</v>
      </c>
      <c r="AZ3" s="66">
        <f t="shared" si="0"/>
        <v>7.1496330947925443E-2</v>
      </c>
      <c r="BA3" s="66">
        <f t="shared" si="0"/>
        <v>2.9470304434027945E-2</v>
      </c>
      <c r="BB3" s="66">
        <f t="shared" si="0"/>
        <v>0.15008977999358333</v>
      </c>
      <c r="BC3" s="66">
        <f t="shared" si="0"/>
        <v>0.19157134238578702</v>
      </c>
      <c r="BD3" s="66">
        <f t="shared" si="0"/>
        <v>0.34629066727254826</v>
      </c>
      <c r="BE3" s="66">
        <f t="shared" si="0"/>
        <v>0.68440718870810058</v>
      </c>
      <c r="BF3" s="66">
        <f t="shared" si="0"/>
        <v>0.48246168269153794</v>
      </c>
      <c r="BG3" s="66">
        <f t="shared" si="0"/>
        <v>0.69773097076717516</v>
      </c>
      <c r="BH3" s="66">
        <f t="shared" si="0"/>
        <v>0.60811903651978994</v>
      </c>
      <c r="BI3" s="66">
        <f t="shared" si="0"/>
        <v>0.95279861807502786</v>
      </c>
      <c r="BJ3" s="66">
        <f t="shared" si="0"/>
        <v>0.83355887383926475</v>
      </c>
      <c r="BK3" s="66">
        <f t="shared" si="0"/>
        <v>0.72414604547576789</v>
      </c>
      <c r="BL3" s="66">
        <f t="shared" si="0"/>
        <v>0.68421389763826479</v>
      </c>
      <c r="BM3" s="66">
        <f t="shared" si="0"/>
        <v>0.16719830347542355</v>
      </c>
      <c r="BN3" s="66">
        <f t="shared" si="0"/>
        <v>0.59533038219182421</v>
      </c>
      <c r="BO3" s="66">
        <f t="shared" si="0"/>
        <v>-0.52604605973651131</v>
      </c>
      <c r="BP3" s="66">
        <f t="shared" si="0"/>
        <v>-0.58508945979518745</v>
      </c>
      <c r="BQ3" s="66">
        <f t="shared" si="0"/>
        <v>3.6711531214281591E-2</v>
      </c>
      <c r="BR3" s="66">
        <f t="shared" ref="BR3:CJ3" si="1">(BR2-BV2)/BV2</f>
        <v>0.22585569649588932</v>
      </c>
      <c r="BS3" s="66">
        <f t="shared" si="1"/>
        <v>0.84273555510828102</v>
      </c>
      <c r="BT3" s="66">
        <f t="shared" si="1"/>
        <v>0.6099602160906249</v>
      </c>
      <c r="BU3" s="66">
        <f t="shared" si="1"/>
        <v>0.22844098078196232</v>
      </c>
      <c r="BV3" s="66">
        <f t="shared" si="1"/>
        <v>0.1902126993391545</v>
      </c>
      <c r="BW3" s="66">
        <f t="shared" si="1"/>
        <v>0.12091850290653758</v>
      </c>
      <c r="BX3" s="66">
        <f t="shared" si="1"/>
        <v>0.4812895037490435</v>
      </c>
      <c r="BY3" s="66">
        <f t="shared" si="1"/>
        <v>0.45746606179045479</v>
      </c>
      <c r="BZ3" s="66">
        <f t="shared" si="1"/>
        <v>0.42837421685424099</v>
      </c>
      <c r="CA3" s="66">
        <f t="shared" si="1"/>
        <v>-0.10654185944142175</v>
      </c>
      <c r="CB3" s="66">
        <f t="shared" si="1"/>
        <v>-0.51451731398733136</v>
      </c>
      <c r="CC3" s="66">
        <f t="shared" si="1"/>
        <v>0.35494583393441903</v>
      </c>
      <c r="CD3" s="66">
        <f t="shared" si="1"/>
        <v>0.22865743121896107</v>
      </c>
      <c r="CE3" s="66" t="e">
        <f t="shared" si="1"/>
        <v>#DIV/0!</v>
      </c>
      <c r="CF3" s="66" t="e">
        <f t="shared" si="1"/>
        <v>#DIV/0!</v>
      </c>
      <c r="CG3" s="66" t="e">
        <f t="shared" si="1"/>
        <v>#DIV/0!</v>
      </c>
      <c r="CH3" s="66" t="e">
        <f t="shared" si="1"/>
        <v>#DIV/0!</v>
      </c>
      <c r="CI3" s="66" t="e">
        <f t="shared" si="1"/>
        <v>#DIV/0!</v>
      </c>
      <c r="CJ3" s="66" t="e">
        <f t="shared" si="1"/>
        <v>#DIV/0!</v>
      </c>
    </row>
    <row r="4" spans="1:89" s="26" customFormat="1">
      <c r="A4" s="17" t="s">
        <v>352</v>
      </c>
      <c r="E4" s="26">
        <f>股权价值增加表!E5</f>
        <v>11090998905.58</v>
      </c>
      <c r="F4" s="26">
        <f>股权价值增加表!F5</f>
        <v>7957111655.1599998</v>
      </c>
      <c r="G4" s="26">
        <f>股权价值增加表!G5</f>
        <v>4831519743.2299995</v>
      </c>
      <c r="H4" s="26">
        <f>股权价值增加表!H5</f>
        <v>2233500029.1700001</v>
      </c>
      <c r="I4" s="26">
        <f>股权价值增加表!I5</f>
        <v>8569738675.75</v>
      </c>
      <c r="J4" s="26">
        <f>股权价值增加表!J5</f>
        <v>6219877948.6300001</v>
      </c>
      <c r="K4" s="26">
        <f>股权价值增加表!K5</f>
        <v>3981758424</v>
      </c>
      <c r="L4" s="26">
        <f>股权价值增加表!L5</f>
        <v>1973339656.6500001</v>
      </c>
      <c r="M4" s="26">
        <f>股权价值增加表!M5</f>
        <v>8809723501</v>
      </c>
      <c r="N4" s="26">
        <f>股权价值增加表!N5</f>
        <v>6474105825.6199999</v>
      </c>
      <c r="O4" s="26">
        <f>股权价值增加表!O5</f>
        <v>4290191837</v>
      </c>
      <c r="P4" s="26">
        <f>股权价值增加表!P5</f>
        <v>2018137160.51</v>
      </c>
      <c r="Q4" s="26">
        <f>股权价值增加表!Q5</f>
        <v>7583469512</v>
      </c>
      <c r="R4" s="26">
        <f>股权价值增加表!R5</f>
        <v>5200557948.0799999</v>
      </c>
      <c r="S4" s="26">
        <f>股权价值增加表!S5</f>
        <v>1978256079</v>
      </c>
      <c r="T4" s="26">
        <f>股权价值增加表!T5</f>
        <v>949721061.24000001</v>
      </c>
      <c r="U4" s="26">
        <f>股权价值增加表!U5</f>
        <v>3699343634</v>
      </c>
      <c r="V4" s="26">
        <f>股权价值增加表!V5</f>
        <v>2903216446</v>
      </c>
      <c r="W4" s="26">
        <f>股权价值增加表!W5</f>
        <v>1879321834</v>
      </c>
      <c r="X4" s="26">
        <f>股权价值增加表!X5</f>
        <v>889651839.38</v>
      </c>
      <c r="Y4" s="26">
        <f>股权价值增加表!Y5</f>
        <v>3710965307</v>
      </c>
      <c r="Z4" s="26">
        <f>股权价值增加表!Z5</f>
        <v>2842770554</v>
      </c>
      <c r="AA4" s="26">
        <f>股权价值增加表!AA5</f>
        <v>1950502608</v>
      </c>
      <c r="AB4" s="26">
        <f>股权价值增加表!AB5</f>
        <v>893446570.84000003</v>
      </c>
      <c r="AC4" s="26">
        <f>股权价值增加表!AC5</f>
        <v>4067266812</v>
      </c>
      <c r="AD4" s="26">
        <f>股权价值增加表!AD5</f>
        <v>2923463345.8800001</v>
      </c>
      <c r="AE4" s="26">
        <f>股权价值增加表!AE5</f>
        <v>1814607570</v>
      </c>
      <c r="AF4" s="26">
        <f>股权价值增加表!AF5</f>
        <v>885449169.89999998</v>
      </c>
      <c r="AG4" s="26">
        <f>股权价值增加表!AG5</f>
        <v>2903758242</v>
      </c>
      <c r="AH4" s="26">
        <f>股权价值增加表!AH5</f>
        <v>1931085020.97</v>
      </c>
      <c r="AI4" s="26">
        <f>股权价值增加表!AI5</f>
        <v>1234888962.49</v>
      </c>
      <c r="AJ4" s="26">
        <f>股权价值增加表!AJ5</f>
        <v>570656934.16999996</v>
      </c>
      <c r="AK4" s="26">
        <f>股权价值增加表!AK5</f>
        <v>2103463504.24</v>
      </c>
      <c r="AL4" s="26">
        <f>股权价值增加表!AL5</f>
        <v>1539537001.5</v>
      </c>
      <c r="AM4" s="26">
        <f>股权价值增加表!AM5</f>
        <v>913852280.34000003</v>
      </c>
      <c r="AN4" s="26">
        <f>股权价值增加表!AN5</f>
        <v>385272873.02999997</v>
      </c>
      <c r="AO4" s="26">
        <f>股权价值增加表!AO5</f>
        <v>1212670645.51</v>
      </c>
      <c r="AP4" s="26">
        <f>股权价值增加表!AP5</f>
        <v>897299345.59000003</v>
      </c>
      <c r="AQ4" s="26">
        <f>股权价值增加表!AQ5</f>
        <v>580463331.17999995</v>
      </c>
      <c r="AR4" s="26">
        <f>股权价值增加表!AR5</f>
        <v>292928793.81</v>
      </c>
      <c r="AS4" s="26">
        <f>股权价值增加表!AS5</f>
        <v>1447665821.4400001</v>
      </c>
      <c r="AT4" s="26">
        <f>股权价值增加表!AT5</f>
        <v>1038589737.84</v>
      </c>
      <c r="AU4" s="26">
        <f>股权价值增加表!AU5</f>
        <v>639585374.01999998</v>
      </c>
      <c r="AV4" s="26">
        <f>股权价值增加表!AV5</f>
        <v>294623899.29000002</v>
      </c>
      <c r="AW4" s="26">
        <f>股权价值增加表!AW5</f>
        <v>1232007100.49</v>
      </c>
      <c r="AX4" s="26">
        <f>股权价值增加表!AX5</f>
        <v>821974717.88</v>
      </c>
      <c r="AY4" s="26">
        <f>股权价值增加表!AY5</f>
        <v>518568112.83999997</v>
      </c>
      <c r="AZ4" s="26">
        <f>股权价值增加表!AZ5</f>
        <v>204774076</v>
      </c>
      <c r="BA4" s="26">
        <f>股权价值增加表!BA5</f>
        <v>914092649.19000006</v>
      </c>
      <c r="BB4" s="26">
        <f>股权价值增加表!BB5</f>
        <v>632616397.76999998</v>
      </c>
      <c r="BC4" s="26">
        <f>股权价值增加表!BC5</f>
        <v>433922447.14999998</v>
      </c>
      <c r="BD4" s="26">
        <f>股权价值增加表!BD5</f>
        <v>192465803.43000001</v>
      </c>
      <c r="BE4" s="26">
        <f>股权价值增加表!BE5</f>
        <v>851118025.92999995</v>
      </c>
      <c r="BF4" s="26">
        <f>股权价值增加表!BF5</f>
        <v>529052950.43000001</v>
      </c>
      <c r="BG4" s="26">
        <f>股权价值增加表!BG5</f>
        <v>349747987.5</v>
      </c>
      <c r="BH4" s="26">
        <f>股权价值增加表!BH5</f>
        <v>139734767.99000001</v>
      </c>
      <c r="BI4" s="26">
        <f>股权价值增加表!BI5</f>
        <v>498281218.69999999</v>
      </c>
      <c r="BJ4" s="26">
        <f>股权价值增加表!BJ5</f>
        <v>354609679.56999999</v>
      </c>
      <c r="BK4" s="26">
        <f>股权价值增加表!BK5</f>
        <v>197952959.43000001</v>
      </c>
      <c r="BL4" s="26">
        <f>股权价值增加表!BL5</f>
        <v>79725639.400000006</v>
      </c>
      <c r="BM4" s="26">
        <f>股权价值增加表!BM5</f>
        <v>257169236.63999999</v>
      </c>
      <c r="BN4" s="26">
        <f>股权价值增加表!BN5</f>
        <v>188066429.68000001</v>
      </c>
      <c r="BO4" s="26">
        <f>股权价值增加表!BO5</f>
        <v>116288685.59</v>
      </c>
      <c r="BP4" s="26">
        <f>股权价值增加表!BP5</f>
        <v>48795219.490000002</v>
      </c>
      <c r="BQ4" s="26">
        <f>股权价值增加表!BQ5</f>
        <v>228096073.81999999</v>
      </c>
      <c r="BR4" s="26">
        <f>股权价值增加表!BR5</f>
        <v>116264848.81</v>
      </c>
      <c r="BS4" s="26">
        <f>股权价值增加表!BS5</f>
        <v>245698330.44999999</v>
      </c>
      <c r="BT4" s="26">
        <f>股权价值增加表!BT5</f>
        <v>121763071.65000001</v>
      </c>
      <c r="BU4" s="26">
        <f>股权价值增加表!BU5</f>
        <v>215152248.36000001</v>
      </c>
      <c r="BV4" s="26">
        <f>股权价值增加表!BV5</f>
        <v>98777194.159999996</v>
      </c>
      <c r="BW4" s="26">
        <f>股权价值增加表!BW5</f>
        <v>121967726.47</v>
      </c>
      <c r="BX4" s="26">
        <f>股权价值增加表!BX5</f>
        <v>68453618.700000003</v>
      </c>
      <c r="BY4" s="26">
        <f>股权价值增加表!BY5</f>
        <v>147121164.18000001</v>
      </c>
      <c r="BZ4" s="26">
        <f>股权价值增加表!BZ5</f>
        <v>0</v>
      </c>
      <c r="CA4" s="26">
        <f>股权价值增加表!CA5</f>
        <v>113422664.66</v>
      </c>
      <c r="CB4" s="26">
        <f>股权价值增加表!CB5</f>
        <v>0</v>
      </c>
      <c r="CC4" s="26">
        <f>股权价值增加表!CC5</f>
        <v>91668806.090000004</v>
      </c>
      <c r="CD4" s="26">
        <f>股权价值增加表!CD5</f>
        <v>0</v>
      </c>
      <c r="CE4" s="26">
        <f>股权价值增加表!CE5</f>
        <v>103241992.44</v>
      </c>
      <c r="CF4" s="26">
        <f>股权价值增加表!CF5</f>
        <v>91356905.969999999</v>
      </c>
      <c r="CG4" s="26">
        <f>股权价值增加表!CG5</f>
        <v>79129800</v>
      </c>
      <c r="CH4" s="26">
        <f>股权价值增加表!CH5</f>
        <v>43869100</v>
      </c>
      <c r="CI4" s="26">
        <f>股权价值增加表!CI5</f>
        <v>0</v>
      </c>
      <c r="CJ4" s="26">
        <f>股权价值增加表!CJ5</f>
        <v>0</v>
      </c>
    </row>
    <row r="5" spans="1:89" s="66" customFormat="1">
      <c r="A5" s="46" t="s">
        <v>353</v>
      </c>
      <c r="E5" s="66">
        <f t="shared" ref="E5:AJ5" si="2">E4/E2</f>
        <v>0.79150747675703403</v>
      </c>
      <c r="F5" s="66">
        <f t="shared" si="2"/>
        <v>0.78773428397736367</v>
      </c>
      <c r="G5" s="66">
        <f t="shared" si="2"/>
        <v>0.77872857937756879</v>
      </c>
      <c r="H5" s="66">
        <f t="shared" si="2"/>
        <v>0.76946338608837339</v>
      </c>
      <c r="I5" s="66">
        <f t="shared" si="2"/>
        <v>0.79816830447805642</v>
      </c>
      <c r="J5" s="66">
        <f t="shared" si="2"/>
        <v>0.80221166815413381</v>
      </c>
      <c r="K5" s="66">
        <f t="shared" si="2"/>
        <v>0.80108558519000739</v>
      </c>
      <c r="L5" s="66">
        <f t="shared" si="2"/>
        <v>0.80493873811522709</v>
      </c>
      <c r="M5" s="66">
        <f t="shared" si="2"/>
        <v>0.83663069534833678</v>
      </c>
      <c r="N5" s="66">
        <f t="shared" si="2"/>
        <v>0.8301517415744728</v>
      </c>
      <c r="O5" s="66">
        <f t="shared" si="2"/>
        <v>0.83502421539895111</v>
      </c>
      <c r="P5" s="66">
        <f t="shared" si="2"/>
        <v>0.82703172443821638</v>
      </c>
      <c r="Q5" s="66">
        <f t="shared" si="2"/>
        <v>0.8134707086854942</v>
      </c>
      <c r="R5" s="66">
        <f t="shared" si="2"/>
        <v>0.79588236788545064</v>
      </c>
      <c r="S5" s="66">
        <f t="shared" si="2"/>
        <v>0.79588934564663405</v>
      </c>
      <c r="T5" s="66">
        <f t="shared" si="2"/>
        <v>0.80501991922611327</v>
      </c>
      <c r="U5" s="66">
        <f t="shared" si="2"/>
        <v>0.8185515562358241</v>
      </c>
      <c r="V5" s="66">
        <f t="shared" si="2"/>
        <v>0.8301555040843186</v>
      </c>
      <c r="W5" s="66">
        <f t="shared" si="2"/>
        <v>0.83484349820371695</v>
      </c>
      <c r="X5" s="66">
        <f t="shared" si="2"/>
        <v>0.85511837927662837</v>
      </c>
      <c r="Y5" s="66">
        <f t="shared" si="2"/>
        <v>0.85633490573191129</v>
      </c>
      <c r="Z5" s="66">
        <f t="shared" si="2"/>
        <v>0.85904492168930746</v>
      </c>
      <c r="AA5" s="66">
        <f t="shared" si="2"/>
        <v>0.87180361960552211</v>
      </c>
      <c r="AB5" s="66">
        <f t="shared" si="2"/>
        <v>0.90861028583461279</v>
      </c>
      <c r="AC5" s="66">
        <f t="shared" si="2"/>
        <v>0.88132084562917457</v>
      </c>
      <c r="AD5" s="66">
        <f t="shared" si="2"/>
        <v>0.87216956385458366</v>
      </c>
      <c r="AE5" s="66">
        <f t="shared" si="2"/>
        <v>0.86032371984218747</v>
      </c>
      <c r="AF5" s="66">
        <f t="shared" si="2"/>
        <v>0.87084169304228365</v>
      </c>
      <c r="AG5" s="66">
        <f t="shared" si="2"/>
        <v>0.84064286025185697</v>
      </c>
      <c r="AH5" s="66">
        <f t="shared" si="2"/>
        <v>0.82812544833275459</v>
      </c>
      <c r="AI5" s="66">
        <f t="shared" si="2"/>
        <v>0.83297677052860952</v>
      </c>
      <c r="AJ5" s="66">
        <f t="shared" si="2"/>
        <v>0.87124509127922567</v>
      </c>
      <c r="AK5" s="66">
        <f t="shared" ref="AK5:BP5" si="3">AK4/AK2</f>
        <v>0.96028934922360909</v>
      </c>
      <c r="AL5" s="66">
        <f t="shared" si="3"/>
        <v>0.97301444238151213</v>
      </c>
      <c r="AM5" s="66">
        <f t="shared" si="3"/>
        <v>1.0413485845553883</v>
      </c>
      <c r="AN5" s="66">
        <f t="shared" si="3"/>
        <v>1.1039763222331618</v>
      </c>
      <c r="AO5" s="66">
        <f t="shared" si="3"/>
        <v>0.88113967813269789</v>
      </c>
      <c r="AP5" s="66">
        <f t="shared" si="3"/>
        <v>0.863572194138155</v>
      </c>
      <c r="AQ5" s="66">
        <f t="shared" si="3"/>
        <v>0.84337419994963814</v>
      </c>
      <c r="AR5" s="66">
        <f t="shared" si="3"/>
        <v>0.84725239217879311</v>
      </c>
      <c r="AS5" s="66">
        <f t="shared" si="3"/>
        <v>0.84090751538891606</v>
      </c>
      <c r="AT5" s="66">
        <f t="shared" si="3"/>
        <v>0.84228003437494592</v>
      </c>
      <c r="AU5" s="66">
        <f t="shared" si="3"/>
        <v>0.83410389281342823</v>
      </c>
      <c r="AV5" s="66">
        <f t="shared" si="3"/>
        <v>0.833023044762771</v>
      </c>
      <c r="AW5" s="66">
        <f t="shared" si="3"/>
        <v>0.81526100648343369</v>
      </c>
      <c r="AX5" s="66">
        <f t="shared" si="3"/>
        <v>0.80478780325312405</v>
      </c>
      <c r="AY5" s="66">
        <f t="shared" si="3"/>
        <v>0.80939934862025154</v>
      </c>
      <c r="AZ5" s="66">
        <f t="shared" si="3"/>
        <v>0.81054076599477154</v>
      </c>
      <c r="BA5" s="66">
        <f t="shared" si="3"/>
        <v>0.82912940648495226</v>
      </c>
      <c r="BB5" s="66">
        <f t="shared" si="3"/>
        <v>0.83538106990731942</v>
      </c>
      <c r="BC5" s="66">
        <f t="shared" si="3"/>
        <v>0.82644448030628814</v>
      </c>
      <c r="BD5" s="66">
        <f t="shared" si="3"/>
        <v>0.8162893920916624</v>
      </c>
      <c r="BE5" s="66">
        <f t="shared" si="3"/>
        <v>0.79475947495711297</v>
      </c>
      <c r="BF5" s="66">
        <f t="shared" si="3"/>
        <v>0.8034799979329279</v>
      </c>
      <c r="BG5" s="66">
        <f t="shared" si="3"/>
        <v>0.7937373927295045</v>
      </c>
      <c r="BH5" s="66">
        <f t="shared" si="3"/>
        <v>0.79787322113753667</v>
      </c>
      <c r="BI5" s="66">
        <f t="shared" si="3"/>
        <v>0.78373191033463374</v>
      </c>
      <c r="BJ5" s="66">
        <f t="shared" si="3"/>
        <v>0.79838063071380549</v>
      </c>
      <c r="BK5" s="66">
        <f t="shared" si="3"/>
        <v>0.76269778710228897</v>
      </c>
      <c r="BL5" s="66">
        <f t="shared" si="3"/>
        <v>0.7320582090206732</v>
      </c>
      <c r="BM5" s="66">
        <f t="shared" si="3"/>
        <v>0.78989522167456239</v>
      </c>
      <c r="BN5" s="66">
        <f t="shared" si="3"/>
        <v>0.7763642792300971</v>
      </c>
      <c r="BO5" s="66">
        <f t="shared" si="3"/>
        <v>0.77250624595531558</v>
      </c>
      <c r="BP5" s="66">
        <f t="shared" si="3"/>
        <v>0.75460925371706988</v>
      </c>
      <c r="BQ5" s="66">
        <f t="shared" ref="BQ5:CK5" si="4">BQ4/BQ2</f>
        <v>0.8177356439390967</v>
      </c>
      <c r="BR5" s="66">
        <f t="shared" si="4"/>
        <v>0.76569063026405404</v>
      </c>
      <c r="BS5" s="66">
        <f t="shared" si="4"/>
        <v>0.7735758111299198</v>
      </c>
      <c r="BT5" s="66">
        <f t="shared" si="4"/>
        <v>0.78129476363459505</v>
      </c>
      <c r="BU5" s="66">
        <f t="shared" si="4"/>
        <v>0.79964814951157315</v>
      </c>
      <c r="BV5" s="66">
        <f t="shared" si="4"/>
        <v>0.79744536212607475</v>
      </c>
      <c r="BW5" s="66">
        <f t="shared" si="4"/>
        <v>0.707633883458894</v>
      </c>
      <c r="BX5" s="66">
        <f t="shared" si="4"/>
        <v>0.70714890629784288</v>
      </c>
      <c r="BY5" s="66">
        <f t="shared" si="4"/>
        <v>0.67171105603205417</v>
      </c>
      <c r="BZ5" s="66">
        <f t="shared" si="4"/>
        <v>0</v>
      </c>
      <c r="CA5" s="66">
        <f t="shared" si="4"/>
        <v>0.73762830851265371</v>
      </c>
      <c r="CB5" s="66">
        <f t="shared" si="4"/>
        <v>0</v>
      </c>
      <c r="CC5" s="66">
        <f t="shared" si="4"/>
        <v>0.60999653703376988</v>
      </c>
      <c r="CD5" s="66">
        <f t="shared" si="4"/>
        <v>0</v>
      </c>
      <c r="CE5" s="66">
        <f t="shared" si="4"/>
        <v>0.59988543428484475</v>
      </c>
      <c r="CF5" s="66">
        <f t="shared" si="4"/>
        <v>0.6786870098871064</v>
      </c>
      <c r="CG5" s="66">
        <f t="shared" si="4"/>
        <v>0.71345698870439567</v>
      </c>
      <c r="CH5" s="66">
        <f t="shared" si="4"/>
        <v>0.73977622448377334</v>
      </c>
      <c r="CI5" s="66" t="e">
        <f t="shared" si="4"/>
        <v>#DIV/0!</v>
      </c>
      <c r="CJ5" s="66" t="e">
        <f t="shared" si="4"/>
        <v>#DIV/0!</v>
      </c>
      <c r="CK5" s="66" t="e">
        <f t="shared" si="4"/>
        <v>#DIV/0!</v>
      </c>
    </row>
    <row r="6" spans="1:89" s="66" customFormat="1">
      <c r="A6" s="46" t="s">
        <v>354</v>
      </c>
      <c r="E6" s="66">
        <f>(E4-I4)/I4</f>
        <v>0.29420503065799097</v>
      </c>
      <c r="F6" s="66">
        <f t="shared" ref="F6:BQ6" si="5">(F4-J4)/J4</f>
        <v>0.27930350416484384</v>
      </c>
      <c r="G6" s="66">
        <f t="shared" si="5"/>
        <v>0.21341357981641318</v>
      </c>
      <c r="H6" s="66">
        <f t="shared" si="5"/>
        <v>0.13183760415662854</v>
      </c>
      <c r="I6" s="66">
        <f t="shared" si="5"/>
        <v>-2.7240903215947593E-2</v>
      </c>
      <c r="J6" s="66">
        <f t="shared" si="5"/>
        <v>-3.9268415413282708E-2</v>
      </c>
      <c r="K6" s="66">
        <f t="shared" si="5"/>
        <v>-7.1892685623046182E-2</v>
      </c>
      <c r="L6" s="66">
        <f t="shared" si="5"/>
        <v>-2.2197452550092877E-2</v>
      </c>
      <c r="M6" s="66">
        <f t="shared" si="5"/>
        <v>0.16170091896058775</v>
      </c>
      <c r="N6" s="66">
        <f t="shared" si="5"/>
        <v>0.24488677758319807</v>
      </c>
      <c r="O6" s="66">
        <f t="shared" si="5"/>
        <v>1.1686736527905293</v>
      </c>
      <c r="P6" s="66">
        <f t="shared" si="5"/>
        <v>1.1249788415506192</v>
      </c>
      <c r="Q6" s="66">
        <f t="shared" si="5"/>
        <v>1.0499500079694408</v>
      </c>
      <c r="R6" s="66">
        <f t="shared" si="5"/>
        <v>0.79130906868664108</v>
      </c>
      <c r="S6" s="66">
        <f t="shared" si="5"/>
        <v>5.2643588346667394E-2</v>
      </c>
      <c r="T6" s="66">
        <f t="shared" si="5"/>
        <v>6.7519920941053038E-2</v>
      </c>
      <c r="U6" s="66">
        <f t="shared" si="5"/>
        <v>-3.131711573287419E-3</v>
      </c>
      <c r="V6" s="66">
        <f t="shared" si="5"/>
        <v>2.1263021707801186E-2</v>
      </c>
      <c r="W6" s="66">
        <f t="shared" si="5"/>
        <v>-3.6493554896082456E-2</v>
      </c>
      <c r="X6" s="66">
        <f t="shared" si="5"/>
        <v>-4.2472953435058912E-3</v>
      </c>
      <c r="Y6" s="66">
        <f t="shared" si="5"/>
        <v>-8.7602196135442512E-2</v>
      </c>
      <c r="Z6" s="66">
        <f t="shared" si="5"/>
        <v>-2.7601779920969231E-2</v>
      </c>
      <c r="AA6" s="66">
        <f t="shared" si="5"/>
        <v>7.4889491395652014E-2</v>
      </c>
      <c r="AB6" s="66">
        <f t="shared" si="5"/>
        <v>9.0320271471972351E-3</v>
      </c>
      <c r="AC6" s="66">
        <f t="shared" si="5"/>
        <v>0.4006905785650457</v>
      </c>
      <c r="AD6" s="66">
        <f t="shared" si="5"/>
        <v>0.51389675448444017</v>
      </c>
      <c r="AE6" s="66">
        <f t="shared" si="5"/>
        <v>0.46944998709930125</v>
      </c>
      <c r="AF6" s="66">
        <f t="shared" si="5"/>
        <v>0.55163131626158901</v>
      </c>
      <c r="AG6" s="66">
        <f t="shared" si="5"/>
        <v>0.38046523562059781</v>
      </c>
      <c r="AH6" s="66">
        <f t="shared" si="5"/>
        <v>0.25432842412264689</v>
      </c>
      <c r="AI6" s="66">
        <f t="shared" si="5"/>
        <v>0.35130041151788538</v>
      </c>
      <c r="AJ6" s="66">
        <f t="shared" si="5"/>
        <v>0.48117600308071706</v>
      </c>
      <c r="AK6" s="66">
        <f t="shared" si="5"/>
        <v>0.73457114017579661</v>
      </c>
      <c r="AL6" s="66">
        <f t="shared" si="5"/>
        <v>0.71574515134379191</v>
      </c>
      <c r="AM6" s="66">
        <f t="shared" si="5"/>
        <v>0.57434971556647252</v>
      </c>
      <c r="AN6" s="66">
        <f t="shared" si="5"/>
        <v>0.31524411792681722</v>
      </c>
      <c r="AO6" s="66">
        <f t="shared" si="5"/>
        <v>-0.16232694897517802</v>
      </c>
      <c r="AP6" s="66">
        <f t="shared" si="5"/>
        <v>-0.13604062037416981</v>
      </c>
      <c r="AQ6" s="66">
        <f t="shared" si="5"/>
        <v>-9.2438078232463264E-2</v>
      </c>
      <c r="AR6" s="66">
        <f t="shared" si="5"/>
        <v>-5.753455453155607E-3</v>
      </c>
      <c r="AS6" s="66">
        <f t="shared" si="5"/>
        <v>0.17504665424755034</v>
      </c>
      <c r="AT6" s="66">
        <f t="shared" si="5"/>
        <v>0.26353002744255166</v>
      </c>
      <c r="AU6" s="66">
        <f t="shared" si="5"/>
        <v>0.23336811150464801</v>
      </c>
      <c r="AV6" s="66">
        <f t="shared" si="5"/>
        <v>0.43877538136223854</v>
      </c>
      <c r="AW6" s="66">
        <f t="shared" si="5"/>
        <v>0.34779237266781626</v>
      </c>
      <c r="AX6" s="66">
        <f t="shared" si="5"/>
        <v>0.29932565892616164</v>
      </c>
      <c r="AY6" s="66">
        <f t="shared" si="5"/>
        <v>0.19507095391342905</v>
      </c>
      <c r="AZ6" s="66">
        <f t="shared" si="5"/>
        <v>6.3950438730673131E-2</v>
      </c>
      <c r="BA6" s="66">
        <f t="shared" si="5"/>
        <v>7.3990470582724385E-2</v>
      </c>
      <c r="BB6" s="66">
        <f t="shared" si="5"/>
        <v>0.19575251826084022</v>
      </c>
      <c r="BC6" s="66">
        <f t="shared" si="5"/>
        <v>0.24067174839712258</v>
      </c>
      <c r="BD6" s="66">
        <f t="shared" si="5"/>
        <v>0.37736517688835786</v>
      </c>
      <c r="BE6" s="66">
        <f t="shared" si="5"/>
        <v>0.70810777927881785</v>
      </c>
      <c r="BF6" s="66">
        <f t="shared" si="5"/>
        <v>0.49193036995360667</v>
      </c>
      <c r="BG6" s="66">
        <f t="shared" si="5"/>
        <v>0.76682373684682215</v>
      </c>
      <c r="BH6" s="66">
        <f t="shared" si="5"/>
        <v>0.75269548217633986</v>
      </c>
      <c r="BI6" s="66">
        <f t="shared" si="5"/>
        <v>0.93756152644930146</v>
      </c>
      <c r="BJ6" s="66">
        <f t="shared" si="5"/>
        <v>0.88555544002923714</v>
      </c>
      <c r="BK6" s="66">
        <f t="shared" si="5"/>
        <v>0.70225468131890678</v>
      </c>
      <c r="BL6" s="66">
        <f t="shared" si="5"/>
        <v>0.63388217602625652</v>
      </c>
      <c r="BM6" s="66">
        <f t="shared" si="5"/>
        <v>0.12746016331233664</v>
      </c>
      <c r="BN6" s="66">
        <f t="shared" si="5"/>
        <v>0.61756912433041677</v>
      </c>
      <c r="BO6" s="66">
        <f t="shared" si="5"/>
        <v>-0.52670136025338221</v>
      </c>
      <c r="BP6" s="66">
        <f t="shared" si="5"/>
        <v>-0.59926093495523269</v>
      </c>
      <c r="BQ6" s="66">
        <f t="shared" si="5"/>
        <v>6.0161237257172102E-2</v>
      </c>
      <c r="BR6" s="66">
        <f t="shared" ref="BR6:CJ6" si="6">(BR4-BV4)/BV4</f>
        <v>0.17704141931459785</v>
      </c>
      <c r="BS6" s="66">
        <f t="shared" si="6"/>
        <v>1.014453639179981</v>
      </c>
      <c r="BT6" s="66">
        <f t="shared" si="6"/>
        <v>0.77876749195145178</v>
      </c>
      <c r="BU6" s="66">
        <f t="shared" si="6"/>
        <v>0.46241534696371245</v>
      </c>
      <c r="BV6" s="66" t="e">
        <f t="shared" si="6"/>
        <v>#DIV/0!</v>
      </c>
      <c r="BW6" s="66">
        <f t="shared" si="6"/>
        <v>7.5338221294791452E-2</v>
      </c>
      <c r="BX6" s="66" t="e">
        <f t="shared" si="6"/>
        <v>#DIV/0!</v>
      </c>
      <c r="BY6" s="66">
        <f t="shared" si="6"/>
        <v>0.6049206971841341</v>
      </c>
      <c r="BZ6" s="66" t="e">
        <f t="shared" si="6"/>
        <v>#DIV/0!</v>
      </c>
      <c r="CA6" s="66">
        <f t="shared" si="6"/>
        <v>9.8609799940819504E-2</v>
      </c>
      <c r="CB6" s="66">
        <f t="shared" si="6"/>
        <v>-1</v>
      </c>
      <c r="CC6" s="66">
        <f t="shared" si="6"/>
        <v>0.15846123824399916</v>
      </c>
      <c r="CD6" s="66">
        <f t="shared" si="6"/>
        <v>-1</v>
      </c>
      <c r="CE6" s="66" t="e">
        <f t="shared" si="6"/>
        <v>#DIV/0!</v>
      </c>
      <c r="CF6" s="66" t="e">
        <f t="shared" si="6"/>
        <v>#DIV/0!</v>
      </c>
      <c r="CG6" s="66" t="e">
        <f t="shared" si="6"/>
        <v>#DIV/0!</v>
      </c>
      <c r="CH6" s="66" t="e">
        <f t="shared" si="6"/>
        <v>#DIV/0!</v>
      </c>
      <c r="CI6" s="66" t="e">
        <f t="shared" si="6"/>
        <v>#DIV/0!</v>
      </c>
      <c r="CJ6" s="66" t="e">
        <f t="shared" si="6"/>
        <v>#DIV/0!</v>
      </c>
    </row>
    <row r="7" spans="1:89" s="27" customFormat="1">
      <c r="A7" s="128" t="s">
        <v>355</v>
      </c>
      <c r="E7" s="27">
        <f>股权价值增加表!E6</f>
        <v>2921501584.0200005</v>
      </c>
      <c r="F7" s="27">
        <f>股权价值增加表!F6</f>
        <v>2144151952.3899994</v>
      </c>
      <c r="G7" s="27">
        <f>股权价值增加表!G6</f>
        <v>1372849623.9400005</v>
      </c>
      <c r="H7" s="27">
        <f>股权价值增加表!H6</f>
        <v>669172235.0999999</v>
      </c>
      <c r="I7" s="27">
        <f>股权价值增加表!I6</f>
        <v>2167017754.7800007</v>
      </c>
      <c r="J7" s="27">
        <f>股权价值增加表!J6</f>
        <v>1533534517.8599997</v>
      </c>
      <c r="K7" s="27">
        <f>股权价值增加表!K6</f>
        <v>988694793</v>
      </c>
      <c r="L7" s="27">
        <f>股权价值增加表!L6</f>
        <v>478200520.51999998</v>
      </c>
      <c r="M7" s="27">
        <f>股权价值增加表!M6</f>
        <v>1720279223</v>
      </c>
      <c r="N7" s="27">
        <f>股权价值增加表!N6</f>
        <v>1324595907.3199997</v>
      </c>
      <c r="O7" s="27">
        <f>股权价值增加表!O6</f>
        <v>847613460</v>
      </c>
      <c r="P7" s="27">
        <f>股权价值增加表!P6</f>
        <v>422080186.50999999</v>
      </c>
      <c r="Q7" s="27">
        <f>股权价值增加表!Q6</f>
        <v>1738893827</v>
      </c>
      <c r="R7" s="27">
        <f>股权价值增加表!R6</f>
        <v>1333771945.29</v>
      </c>
      <c r="S7" s="27">
        <f>股权价值增加表!S6</f>
        <v>507335781</v>
      </c>
      <c r="T7" s="27">
        <f>股权价值增加表!T6</f>
        <v>230027462.44000006</v>
      </c>
      <c r="U7" s="27">
        <f>股权价值增加表!U6</f>
        <v>820034047</v>
      </c>
      <c r="V7" s="27">
        <f>股权价值增加表!V6</f>
        <v>593979479</v>
      </c>
      <c r="W7" s="27">
        <f>股权价值增加表!W6</f>
        <v>371784916</v>
      </c>
      <c r="X7" s="27">
        <f>股权价值增加表!X6</f>
        <v>150732581</v>
      </c>
      <c r="Y7" s="27">
        <f>股权价值增加表!Y6</f>
        <v>622579060</v>
      </c>
      <c r="Z7" s="27">
        <f>股权价值增加表!Z6</f>
        <v>466451679</v>
      </c>
      <c r="AA7" s="27">
        <f>股权价值增加表!AA6</f>
        <v>286816169</v>
      </c>
      <c r="AB7" s="27">
        <f>股权价值增加表!AB6</f>
        <v>89864519.480000019</v>
      </c>
      <c r="AC7" s="27">
        <f>股权价值增加表!AC6</f>
        <v>547700407</v>
      </c>
      <c r="AD7" s="27">
        <f>股权价值增加表!AD6</f>
        <v>428480435.50999975</v>
      </c>
      <c r="AE7" s="27">
        <f>股权价值增加表!AE6</f>
        <v>294607285</v>
      </c>
      <c r="AF7" s="27">
        <f>股权价值增加表!AF6</f>
        <v>131324805.18000007</v>
      </c>
      <c r="AG7" s="27">
        <f>股权价值增加表!AG6</f>
        <v>550453266</v>
      </c>
      <c r="AH7" s="27">
        <f>股权价值增加表!AH6</f>
        <v>400789968.33000016</v>
      </c>
      <c r="AI7" s="27">
        <f>股权价值增加表!AI6</f>
        <v>247612118.19000006</v>
      </c>
      <c r="AJ7" s="27">
        <f>股权价值增加表!AJ6</f>
        <v>84333194.190000057</v>
      </c>
      <c r="AK7" s="27">
        <f>股权价值增加表!AK6</f>
        <v>86984099.850000143</v>
      </c>
      <c r="AL7" s="27">
        <f>股权价值增加表!AL6</f>
        <v>42697479.75999999</v>
      </c>
      <c r="AM7" s="27">
        <f>股权价值增加表!AM6</f>
        <v>-36286118.639999986</v>
      </c>
      <c r="AN7" s="27">
        <f>股权价值增加表!AN6</f>
        <v>-36286336.569999993</v>
      </c>
      <c r="AO7" s="27">
        <f>股权价值增加表!AO6</f>
        <v>163581809.80999994</v>
      </c>
      <c r="AP7" s="27">
        <f>股权价值增加表!AP6</f>
        <v>141756047.43999994</v>
      </c>
      <c r="AQ7" s="27">
        <f>股权价值增加表!AQ6</f>
        <v>107799756.80000007</v>
      </c>
      <c r="AR7" s="27">
        <f>股权价值增加表!AR6</f>
        <v>52810913.170000017</v>
      </c>
      <c r="AS7" s="27">
        <f>股权价值增加表!AS6</f>
        <v>273885948.46000004</v>
      </c>
      <c r="AT7" s="27">
        <f>股权价值增加表!AT6</f>
        <v>194479663.61000001</v>
      </c>
      <c r="AU7" s="27">
        <f>股权价值增加表!AU6</f>
        <v>127208042.88</v>
      </c>
      <c r="AV7" s="27">
        <f>股权价值增加表!AV6</f>
        <v>59056471.430000007</v>
      </c>
      <c r="AW7" s="27">
        <f>股权价值增加表!AW6</f>
        <v>279174092.6400001</v>
      </c>
      <c r="AX7" s="27">
        <f>股权价值增加表!AX6</f>
        <v>199381115.99000001</v>
      </c>
      <c r="AY7" s="27">
        <f>股权价值增加表!AY6</f>
        <v>122114528.82999998</v>
      </c>
      <c r="AZ7" s="27">
        <f>股权价值增加表!AZ6</f>
        <v>47864760.430000007</v>
      </c>
      <c r="BA7" s="27">
        <f>股权价值增加表!BA6</f>
        <v>188380188.02999997</v>
      </c>
      <c r="BB7" s="27">
        <f>股权价值增加表!BB6</f>
        <v>124662430.49000001</v>
      </c>
      <c r="BC7" s="27">
        <f>股权价值增加表!BC6</f>
        <v>91124857.890000045</v>
      </c>
      <c r="BD7" s="27">
        <f>股权价值增加表!BD6</f>
        <v>43315532.569999993</v>
      </c>
      <c r="BE7" s="27">
        <f>股权价值增加表!BE6</f>
        <v>219794687.60000002</v>
      </c>
      <c r="BF7" s="27">
        <f>股权价值增加表!BF6</f>
        <v>129398973.44</v>
      </c>
      <c r="BG7" s="27">
        <f>股权价值增加表!BG6</f>
        <v>90886397</v>
      </c>
      <c r="BH7" s="27">
        <f>股权价值增加表!BH6</f>
        <v>35399281.23999998</v>
      </c>
      <c r="BI7" s="27">
        <f>股权价值增加表!BI6</f>
        <v>137498965.99000007</v>
      </c>
      <c r="BJ7" s="27">
        <f>股权价值增加表!BJ6</f>
        <v>89551496.100000024</v>
      </c>
      <c r="BK7" s="27">
        <f>股权价值增加表!BK6</f>
        <v>61590155.519999981</v>
      </c>
      <c r="BL7" s="27">
        <f>股权价值增加表!BL6</f>
        <v>29180508.25</v>
      </c>
      <c r="BM7" s="27">
        <f>股权价值增加表!BM6</f>
        <v>68404623.770000041</v>
      </c>
      <c r="BN7" s="27">
        <f>股权价值增加表!BN6</f>
        <v>54173501.639999986</v>
      </c>
      <c r="BO7" s="27">
        <f>股权价值增加表!BO6</f>
        <v>34245612.609999985</v>
      </c>
      <c r="BP7" s="27">
        <f>股权价值增加表!BP6</f>
        <v>15867676.239999995</v>
      </c>
      <c r="BQ7" s="27">
        <f>股权价值增加表!BQ6</f>
        <v>50840127.030000031</v>
      </c>
      <c r="BR7" s="27">
        <f>股权价值增加表!BR6</f>
        <v>35578264.079999983</v>
      </c>
      <c r="BS7" s="27">
        <f>股权价值增加表!BS6</f>
        <v>71915440.449999988</v>
      </c>
      <c r="BT7" s="27">
        <f>股权价值增加表!BT6</f>
        <v>34084730.379999995</v>
      </c>
      <c r="BU7" s="27">
        <f>股权价值增加表!BU6</f>
        <v>53906397.610000014</v>
      </c>
      <c r="BV7" s="27">
        <f>股权价值增加表!BV6</f>
        <v>25089842.820000008</v>
      </c>
      <c r="BW7" s="27">
        <f>股权价值增加表!BW6</f>
        <v>50392203.319999993</v>
      </c>
      <c r="BX7" s="27">
        <f>股权价值增加表!BX6</f>
        <v>28348650.36999999</v>
      </c>
      <c r="BY7" s="27">
        <f>股权价值增加表!BY6</f>
        <v>71903314.959999979</v>
      </c>
      <c r="BZ7" s="27">
        <f>股权价值增加表!BZ6</f>
        <v>104071345.44</v>
      </c>
      <c r="CA7" s="27">
        <f>股权价值增加表!CA6</f>
        <v>40344026.979999989</v>
      </c>
      <c r="CB7" s="27">
        <f>股权价值增加表!CB6</f>
        <v>65350000</v>
      </c>
      <c r="CC7" s="27">
        <f>股权价值增加表!CC6</f>
        <v>58608778.329999983</v>
      </c>
      <c r="CD7" s="27">
        <f>股权价值增加表!CD6</f>
        <v>72860000</v>
      </c>
      <c r="CE7" s="27">
        <f>股权价值增加表!CE6</f>
        <v>68860856.770000011</v>
      </c>
      <c r="CF7" s="27">
        <f>股权价值增加表!CF6</f>
        <v>43251396</v>
      </c>
      <c r="CG7" s="27">
        <f>股权价值增加表!CG6</f>
        <v>31780600</v>
      </c>
      <c r="CH7" s="27">
        <f>股权价值增加表!CH6</f>
        <v>15431400</v>
      </c>
      <c r="CI7" s="27">
        <f>股权价值增加表!CI6</f>
        <v>0</v>
      </c>
      <c r="CJ7" s="27">
        <f>股权价值增加表!CJ6</f>
        <v>0</v>
      </c>
      <c r="CK7" s="27">
        <f>股权价值增加表!CK6</f>
        <v>0</v>
      </c>
    </row>
    <row r="8" spans="1:89" s="66" customFormat="1">
      <c r="A8" s="46" t="s">
        <v>356</v>
      </c>
      <c r="E8" s="66">
        <f>E7/E2</f>
        <v>0.20849252324296599</v>
      </c>
      <c r="F8" s="66">
        <f t="shared" ref="F8:BQ8" si="7">F7/F2</f>
        <v>0.21226571602263636</v>
      </c>
      <c r="G8" s="66">
        <f t="shared" si="7"/>
        <v>0.22127142062243121</v>
      </c>
      <c r="H8" s="66">
        <f t="shared" si="7"/>
        <v>0.23053661391162658</v>
      </c>
      <c r="I8" s="66">
        <f t="shared" si="7"/>
        <v>0.20183169552194355</v>
      </c>
      <c r="J8" s="66">
        <f t="shared" si="7"/>
        <v>0.19778833184586617</v>
      </c>
      <c r="K8" s="66">
        <f t="shared" si="7"/>
        <v>0.19891441480999256</v>
      </c>
      <c r="L8" s="66">
        <f t="shared" si="7"/>
        <v>0.19506126188477291</v>
      </c>
      <c r="M8" s="66">
        <f t="shared" si="7"/>
        <v>0.16336930465166327</v>
      </c>
      <c r="N8" s="66">
        <f t="shared" si="7"/>
        <v>0.16984825842552717</v>
      </c>
      <c r="O8" s="66">
        <f t="shared" si="7"/>
        <v>0.16497578460104889</v>
      </c>
      <c r="P8" s="66">
        <f t="shared" si="7"/>
        <v>0.17296827556178365</v>
      </c>
      <c r="Q8" s="66">
        <f t="shared" si="7"/>
        <v>0.1865292913145058</v>
      </c>
      <c r="R8" s="66">
        <f t="shared" si="7"/>
        <v>0.20411763211454934</v>
      </c>
      <c r="S8" s="66">
        <f t="shared" si="7"/>
        <v>0.20411065435336595</v>
      </c>
      <c r="T8" s="66">
        <f t="shared" si="7"/>
        <v>0.19498008077388676</v>
      </c>
      <c r="U8" s="66">
        <f t="shared" si="7"/>
        <v>0.18144844376417585</v>
      </c>
      <c r="V8" s="66">
        <f t="shared" si="7"/>
        <v>0.16984449591568135</v>
      </c>
      <c r="W8" s="66">
        <f t="shared" si="7"/>
        <v>0.16515650179628311</v>
      </c>
      <c r="X8" s="66">
        <f t="shared" si="7"/>
        <v>0.14488162072337163</v>
      </c>
      <c r="Y8" s="66">
        <f t="shared" si="7"/>
        <v>0.14366509426808874</v>
      </c>
      <c r="Z8" s="66">
        <f t="shared" si="7"/>
        <v>0.14095507831069259</v>
      </c>
      <c r="AA8" s="66">
        <f t="shared" si="7"/>
        <v>0.12819638039447787</v>
      </c>
      <c r="AB8" s="66">
        <f t="shared" si="7"/>
        <v>9.1389714165387173E-2</v>
      </c>
      <c r="AC8" s="66">
        <f t="shared" si="7"/>
        <v>0.11867915437082545</v>
      </c>
      <c r="AD8" s="66">
        <f t="shared" si="7"/>
        <v>0.12783043614541634</v>
      </c>
      <c r="AE8" s="66">
        <f t="shared" si="7"/>
        <v>0.13967628015781255</v>
      </c>
      <c r="AF8" s="66">
        <f t="shared" si="7"/>
        <v>0.12915830695771632</v>
      </c>
      <c r="AG8" s="66">
        <f t="shared" si="7"/>
        <v>0.15935713974814306</v>
      </c>
      <c r="AH8" s="66">
        <f t="shared" si="7"/>
        <v>0.17187455166724538</v>
      </c>
      <c r="AI8" s="66">
        <f t="shared" si="7"/>
        <v>0.16702322947139051</v>
      </c>
      <c r="AJ8" s="66">
        <f t="shared" si="7"/>
        <v>0.12875490872077433</v>
      </c>
      <c r="AK8" s="66">
        <f t="shared" si="7"/>
        <v>3.9710650776390896E-2</v>
      </c>
      <c r="AL8" s="66">
        <f t="shared" si="7"/>
        <v>2.6985557618487865E-2</v>
      </c>
      <c r="AM8" s="66">
        <f t="shared" si="7"/>
        <v>-4.1348584555388271E-2</v>
      </c>
      <c r="AN8" s="66">
        <f t="shared" si="7"/>
        <v>-0.10397632223316171</v>
      </c>
      <c r="AO8" s="66">
        <f t="shared" si="7"/>
        <v>0.11886032186730207</v>
      </c>
      <c r="AP8" s="66">
        <f t="shared" si="7"/>
        <v>0.13642780586184505</v>
      </c>
      <c r="AQ8" s="66">
        <f t="shared" si="7"/>
        <v>0.15662580005036184</v>
      </c>
      <c r="AR8" s="66">
        <f t="shared" si="7"/>
        <v>0.15274760782120686</v>
      </c>
      <c r="AS8" s="66">
        <f t="shared" si="7"/>
        <v>0.15909248461108391</v>
      </c>
      <c r="AT8" s="66">
        <f t="shared" si="7"/>
        <v>0.15771996562505408</v>
      </c>
      <c r="AU8" s="66">
        <f t="shared" si="7"/>
        <v>0.16589610718657175</v>
      </c>
      <c r="AV8" s="66">
        <f t="shared" si="7"/>
        <v>0.16697695523722902</v>
      </c>
      <c r="AW8" s="66">
        <f t="shared" si="7"/>
        <v>0.18473899351656636</v>
      </c>
      <c r="AX8" s="66">
        <f t="shared" si="7"/>
        <v>0.19521219674687598</v>
      </c>
      <c r="AY8" s="66">
        <f t="shared" si="7"/>
        <v>0.19060065137974849</v>
      </c>
      <c r="AZ8" s="66">
        <f t="shared" si="7"/>
        <v>0.18945923400522846</v>
      </c>
      <c r="BA8" s="66">
        <f t="shared" si="7"/>
        <v>0.17087059351504769</v>
      </c>
      <c r="BB8" s="66">
        <f t="shared" si="7"/>
        <v>0.16461893009268058</v>
      </c>
      <c r="BC8" s="66">
        <f t="shared" si="7"/>
        <v>0.17355551969371183</v>
      </c>
      <c r="BD8" s="66">
        <f t="shared" si="7"/>
        <v>0.18371060790833754</v>
      </c>
      <c r="BE8" s="66">
        <f t="shared" si="7"/>
        <v>0.20524052504288701</v>
      </c>
      <c r="BF8" s="66">
        <f t="shared" si="7"/>
        <v>0.1965200020670721</v>
      </c>
      <c r="BG8" s="66">
        <f t="shared" si="7"/>
        <v>0.20626260727049547</v>
      </c>
      <c r="BH8" s="66">
        <f t="shared" si="7"/>
        <v>0.20212677886246336</v>
      </c>
      <c r="BI8" s="66">
        <f t="shared" si="7"/>
        <v>0.21626808966536629</v>
      </c>
      <c r="BJ8" s="66">
        <f t="shared" si="7"/>
        <v>0.20161936928619445</v>
      </c>
      <c r="BK8" s="66">
        <f t="shared" si="7"/>
        <v>0.23730221289771103</v>
      </c>
      <c r="BL8" s="66">
        <f t="shared" si="7"/>
        <v>0.26794179097932674</v>
      </c>
      <c r="BM8" s="66">
        <f t="shared" si="7"/>
        <v>0.21010477832543767</v>
      </c>
      <c r="BN8" s="66">
        <f t="shared" si="7"/>
        <v>0.22363572076990296</v>
      </c>
      <c r="BO8" s="66">
        <f t="shared" si="7"/>
        <v>0.22749375404468447</v>
      </c>
      <c r="BP8" s="66">
        <f t="shared" si="7"/>
        <v>0.24539074628293012</v>
      </c>
      <c r="BQ8" s="66">
        <f t="shared" si="7"/>
        <v>0.18226435606090327</v>
      </c>
      <c r="BR8" s="66">
        <f t="shared" ref="BR8:CJ8" si="8">BR7/BR2</f>
        <v>0.23430936973594593</v>
      </c>
      <c r="BS8" s="66">
        <f t="shared" si="8"/>
        <v>0.22642418887008023</v>
      </c>
      <c r="BT8" s="66">
        <f t="shared" si="8"/>
        <v>0.21870523636540501</v>
      </c>
      <c r="BU8" s="66">
        <f t="shared" si="8"/>
        <v>0.20035185048842685</v>
      </c>
      <c r="BV8" s="66">
        <f t="shared" si="8"/>
        <v>0.20255463787392525</v>
      </c>
      <c r="BW8" s="66">
        <f t="shared" si="8"/>
        <v>0.29236611654110606</v>
      </c>
      <c r="BX8" s="66">
        <f t="shared" si="8"/>
        <v>0.29285109370215706</v>
      </c>
      <c r="BY8" s="66">
        <f t="shared" si="8"/>
        <v>0.32828894396794583</v>
      </c>
      <c r="BZ8" s="66">
        <f t="shared" si="8"/>
        <v>1</v>
      </c>
      <c r="CA8" s="66">
        <f t="shared" si="8"/>
        <v>0.26237169148734629</v>
      </c>
      <c r="CB8" s="66">
        <f t="shared" si="8"/>
        <v>1</v>
      </c>
      <c r="CC8" s="66">
        <f t="shared" si="8"/>
        <v>0.39000346296623012</v>
      </c>
      <c r="CD8" s="66">
        <f t="shared" si="8"/>
        <v>1</v>
      </c>
      <c r="CE8" s="66">
        <f t="shared" si="8"/>
        <v>0.4001145657151553</v>
      </c>
      <c r="CF8" s="66">
        <f t="shared" si="8"/>
        <v>0.32131299011289355</v>
      </c>
      <c r="CG8" s="66">
        <f t="shared" si="8"/>
        <v>0.28654301129560439</v>
      </c>
      <c r="CH8" s="66">
        <f t="shared" si="8"/>
        <v>0.26022377551622666</v>
      </c>
      <c r="CI8" s="66" t="e">
        <f t="shared" si="8"/>
        <v>#DIV/0!</v>
      </c>
      <c r="CJ8" s="66" t="e">
        <f t="shared" si="8"/>
        <v>#DIV/0!</v>
      </c>
    </row>
    <row r="9" spans="1:89" s="66" customFormat="1">
      <c r="A9" s="46" t="s">
        <v>357</v>
      </c>
      <c r="E9" s="66">
        <f>(E7-I7)/I7</f>
        <v>0.34816688860797834</v>
      </c>
      <c r="F9" s="66">
        <f t="shared" ref="F9:BQ9" si="9">(F7-J7)/J7</f>
        <v>0.39817651798415182</v>
      </c>
      <c r="G9" s="66">
        <f t="shared" si="9"/>
        <v>0.38854744018056192</v>
      </c>
      <c r="H9" s="66">
        <f t="shared" si="9"/>
        <v>0.39935488646548395</v>
      </c>
      <c r="I9" s="66">
        <f t="shared" si="9"/>
        <v>0.25968954679399781</v>
      </c>
      <c r="J9" s="66">
        <f t="shared" si="9"/>
        <v>0.15773762351624418</v>
      </c>
      <c r="K9" s="66">
        <f t="shared" si="9"/>
        <v>0.16644536649996097</v>
      </c>
      <c r="L9" s="66">
        <f t="shared" si="9"/>
        <v>0.13296130878361043</v>
      </c>
      <c r="M9" s="66">
        <f t="shared" si="9"/>
        <v>-1.0704853689724439E-2</v>
      </c>
      <c r="N9" s="66">
        <f t="shared" si="9"/>
        <v>-6.8797653170048758E-3</v>
      </c>
      <c r="O9" s="66">
        <f t="shared" si="9"/>
        <v>0.6707149224312251</v>
      </c>
      <c r="P9" s="66">
        <f t="shared" si="9"/>
        <v>0.83491215367423621</v>
      </c>
      <c r="Q9" s="66">
        <f t="shared" si="9"/>
        <v>1.1205141827483169</v>
      </c>
      <c r="R9" s="66">
        <f t="shared" si="9"/>
        <v>1.245484890379521</v>
      </c>
      <c r="S9" s="66">
        <f t="shared" si="9"/>
        <v>0.36459484816753568</v>
      </c>
      <c r="T9" s="66">
        <f t="shared" si="9"/>
        <v>0.52606331633105952</v>
      </c>
      <c r="U9" s="66">
        <f t="shared" si="9"/>
        <v>0.3171564861176025</v>
      </c>
      <c r="V9" s="66">
        <f t="shared" si="9"/>
        <v>0.27339980911506162</v>
      </c>
      <c r="W9" s="66">
        <f t="shared" si="9"/>
        <v>0.29624810657030987</v>
      </c>
      <c r="X9" s="66">
        <f t="shared" si="9"/>
        <v>0.67733140812650305</v>
      </c>
      <c r="Y9" s="66">
        <f t="shared" si="9"/>
        <v>0.1367146199692344</v>
      </c>
      <c r="Z9" s="66">
        <f t="shared" si="9"/>
        <v>8.861838334533266E-2</v>
      </c>
      <c r="AA9" s="66">
        <f t="shared" si="9"/>
        <v>-2.6445768304745078E-2</v>
      </c>
      <c r="AB9" s="66">
        <f t="shared" si="9"/>
        <v>-0.31570795512068411</v>
      </c>
      <c r="AC9" s="66">
        <f t="shared" si="9"/>
        <v>-5.0010766944927161E-3</v>
      </c>
      <c r="AD9" s="66">
        <f t="shared" si="9"/>
        <v>6.9089721220766606E-2</v>
      </c>
      <c r="AE9" s="66">
        <f t="shared" si="9"/>
        <v>0.18979348488081335</v>
      </c>
      <c r="AF9" s="66">
        <f t="shared" si="9"/>
        <v>0.5572136978961022</v>
      </c>
      <c r="AG9" s="66">
        <f t="shared" si="9"/>
        <v>5.3282055795166006</v>
      </c>
      <c r="AH9" s="66">
        <f t="shared" si="9"/>
        <v>8.386735952164317</v>
      </c>
      <c r="AI9" s="66">
        <f t="shared" si="9"/>
        <v>-7.823879970370955</v>
      </c>
      <c r="AJ9" s="66">
        <f t="shared" si="9"/>
        <v>-3.3241032896035909</v>
      </c>
      <c r="AK9" s="66">
        <f t="shared" si="9"/>
        <v>-0.46825322478683873</v>
      </c>
      <c r="AL9" s="66">
        <f t="shared" si="9"/>
        <v>-0.69879606174775544</v>
      </c>
      <c r="AM9" s="66">
        <f t="shared" si="9"/>
        <v>-1.3366066836989372</v>
      </c>
      <c r="AN9" s="66">
        <f t="shared" si="9"/>
        <v>-1.6870992071883535</v>
      </c>
      <c r="AO9" s="66">
        <f t="shared" si="9"/>
        <v>-0.40273748715556901</v>
      </c>
      <c r="AP9" s="66">
        <f t="shared" si="9"/>
        <v>-0.27110092228321331</v>
      </c>
      <c r="AQ9" s="66">
        <f t="shared" si="9"/>
        <v>-0.15257121830188419</v>
      </c>
      <c r="AR9" s="66">
        <f t="shared" si="9"/>
        <v>-0.1057556963490934</v>
      </c>
      <c r="AS9" s="66">
        <f t="shared" si="9"/>
        <v>-1.8942102148494205E-2</v>
      </c>
      <c r="AT9" s="66">
        <f t="shared" si="9"/>
        <v>-2.4583333058712683E-2</v>
      </c>
      <c r="AU9" s="66">
        <f t="shared" si="9"/>
        <v>4.1710958546880818E-2</v>
      </c>
      <c r="AV9" s="66">
        <f t="shared" si="9"/>
        <v>0.2338194299826771</v>
      </c>
      <c r="AW9" s="66">
        <f t="shared" si="9"/>
        <v>0.48197162111092595</v>
      </c>
      <c r="AX9" s="66">
        <f t="shared" si="9"/>
        <v>0.59936811119685074</v>
      </c>
      <c r="AY9" s="66">
        <f t="shared" si="9"/>
        <v>0.34007922379872063</v>
      </c>
      <c r="AZ9" s="66">
        <f t="shared" si="9"/>
        <v>0.10502532440639492</v>
      </c>
      <c r="BA9" s="66">
        <f t="shared" si="9"/>
        <v>-0.1429265643907221</v>
      </c>
      <c r="BB9" s="66">
        <f t="shared" si="9"/>
        <v>-3.6604177174529434E-2</v>
      </c>
      <c r="BC9" s="66">
        <f t="shared" si="9"/>
        <v>2.6237247582830826E-3</v>
      </c>
      <c r="BD9" s="66">
        <f t="shared" si="9"/>
        <v>0.22362745944838336</v>
      </c>
      <c r="BE9" s="66">
        <f t="shared" si="9"/>
        <v>0.59851883988702215</v>
      </c>
      <c r="BF9" s="66">
        <f t="shared" si="9"/>
        <v>0.44496718732094931</v>
      </c>
      <c r="BG9" s="66">
        <f t="shared" si="9"/>
        <v>0.47566435305536353</v>
      </c>
      <c r="BH9" s="66">
        <f t="shared" si="9"/>
        <v>0.21311393676633372</v>
      </c>
      <c r="BI9" s="66">
        <f t="shared" si="9"/>
        <v>1.0100829214750022</v>
      </c>
      <c r="BJ9" s="66">
        <f t="shared" si="9"/>
        <v>0.6530498008989335</v>
      </c>
      <c r="BK9" s="66">
        <f t="shared" si="9"/>
        <v>0.79848309975962228</v>
      </c>
      <c r="BL9" s="66">
        <f t="shared" si="9"/>
        <v>0.83899065046716692</v>
      </c>
      <c r="BM9" s="66">
        <f t="shared" si="9"/>
        <v>0.34548491056356823</v>
      </c>
      <c r="BN9" s="66">
        <f t="shared" si="9"/>
        <v>0.52265724708174155</v>
      </c>
      <c r="BO9" s="66">
        <f t="shared" si="9"/>
        <v>-0.52380723255377082</v>
      </c>
      <c r="BP9" s="66">
        <f t="shared" si="9"/>
        <v>-0.53446378882578105</v>
      </c>
      <c r="BQ9" s="66">
        <f t="shared" si="9"/>
        <v>-5.6881385437471128E-2</v>
      </c>
      <c r="BR9" s="66">
        <f t="shared" ref="BR9:CK9" si="10">(BR7-BV7)/BV7</f>
        <v>0.41803455427147124</v>
      </c>
      <c r="BS9" s="66">
        <f t="shared" si="10"/>
        <v>0.4271144286611836</v>
      </c>
      <c r="BT9" s="66">
        <f t="shared" si="10"/>
        <v>0.20234049717125943</v>
      </c>
      <c r="BU9" s="66">
        <f t="shared" si="10"/>
        <v>-0.25029329120655563</v>
      </c>
      <c r="BV9" s="66">
        <f t="shared" si="10"/>
        <v>-0.75891689769241044</v>
      </c>
      <c r="BW9" s="66">
        <f t="shared" si="10"/>
        <v>0.24906230468716603</v>
      </c>
      <c r="BX9" s="66">
        <f t="shared" si="10"/>
        <v>-0.56620274873756715</v>
      </c>
      <c r="BY9" s="66">
        <f t="shared" si="10"/>
        <v>0.22683524565457358</v>
      </c>
      <c r="BZ9" s="66">
        <f t="shared" si="10"/>
        <v>0.42837421685424099</v>
      </c>
      <c r="CA9" s="66">
        <f t="shared" si="10"/>
        <v>-0.41412249465974832</v>
      </c>
      <c r="CB9" s="66">
        <f t="shared" si="10"/>
        <v>0.51093388985641064</v>
      </c>
      <c r="CC9" s="66">
        <f t="shared" si="10"/>
        <v>0.84416840242160263</v>
      </c>
      <c r="CD9" s="66">
        <f t="shared" si="10"/>
        <v>3.721541791412315</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c r="A10" s="128" t="s">
        <v>358</v>
      </c>
      <c r="E10" s="27">
        <f>股权价值增加表!E8</f>
        <v>65156739.600000001</v>
      </c>
      <c r="F10" s="27">
        <f>股权价值增加表!F8</f>
        <v>49255247.539999999</v>
      </c>
      <c r="G10" s="27">
        <f>股权价值增加表!G8</f>
        <v>33034417.109999999</v>
      </c>
      <c r="H10" s="27">
        <f>股权价值增加表!H8</f>
        <v>19904288.920000002</v>
      </c>
      <c r="I10" s="27">
        <f>股权价值增加表!I8</f>
        <v>47959849.380000003</v>
      </c>
      <c r="J10" s="27">
        <f>股权价值增加表!J8</f>
        <v>15324387.130000001</v>
      </c>
      <c r="K10" s="27">
        <f>股权价值增加表!K8</f>
        <v>9734324</v>
      </c>
      <c r="L10" s="27">
        <f>股权价值增加表!L8</f>
        <v>1024711.2</v>
      </c>
      <c r="M10" s="27">
        <f>股权价值增加表!M8</f>
        <v>9182659</v>
      </c>
      <c r="N10" s="27">
        <f>股权价值增加表!N8</f>
        <v>8178970.7599999998</v>
      </c>
      <c r="O10" s="27">
        <f>股权价值增加表!O8</f>
        <v>6064144</v>
      </c>
      <c r="P10" s="27">
        <f>股权价值增加表!P8</f>
        <v>2022576.5</v>
      </c>
      <c r="Q10" s="27">
        <f>股权价值增加表!Q8</f>
        <v>13782574</v>
      </c>
      <c r="R10" s="27">
        <f>股权价值增加表!R8</f>
        <v>10905591.289999999</v>
      </c>
      <c r="S10" s="27">
        <f>股权价值增加表!S8</f>
        <v>3068340</v>
      </c>
      <c r="T10" s="27">
        <f>股权价值增加表!T8</f>
        <v>1405154.3</v>
      </c>
      <c r="U10" s="27">
        <f>股权价值增加表!U8</f>
        <v>9525591</v>
      </c>
      <c r="V10" s="27">
        <f>股权价值增加表!V8</f>
        <v>7967561</v>
      </c>
      <c r="W10" s="27">
        <f>股权价值增加表!W8</f>
        <v>6490541</v>
      </c>
      <c r="X10" s="27">
        <f>股权价值增加表!X8</f>
        <v>1848052.64</v>
      </c>
      <c r="Y10" s="27">
        <f>股权价值增加表!Y8</f>
        <v>9837982</v>
      </c>
      <c r="Z10" s="27">
        <f>股权价值增加表!Z8</f>
        <v>7816185</v>
      </c>
      <c r="AA10" s="27">
        <f>股权价值增加表!AA8</f>
        <v>7659550</v>
      </c>
      <c r="AB10" s="27">
        <f>股权价值增加表!AB8</f>
        <v>3678557.94</v>
      </c>
      <c r="AC10" s="27">
        <f>股权价值增加表!AC8</f>
        <v>13350824</v>
      </c>
      <c r="AD10" s="27">
        <f>股权价值增加表!AD8</f>
        <v>7846345.9199999999</v>
      </c>
      <c r="AE10" s="27">
        <f>股权价值增加表!AE8</f>
        <v>4281035</v>
      </c>
      <c r="AF10" s="27">
        <f>股权价值增加表!AF8</f>
        <v>1516125.03</v>
      </c>
      <c r="AG10" s="27">
        <f>股权价值增加表!AG8</f>
        <v>11092932</v>
      </c>
      <c r="AH10" s="27">
        <f>股权价值增加表!AH8</f>
        <v>8025654.8499999996</v>
      </c>
      <c r="AI10" s="27">
        <f>股权价值增加表!AI8</f>
        <v>5507566.4199999999</v>
      </c>
      <c r="AJ10" s="27">
        <f>股权价值增加表!AJ8</f>
        <v>3005033.98</v>
      </c>
      <c r="AK10" s="27">
        <f>股权价值增加表!AK8</f>
        <v>3752842.66</v>
      </c>
      <c r="AL10" s="27">
        <f>股权价值增加表!AL8</f>
        <v>1455302.17</v>
      </c>
      <c r="AM10" s="27">
        <f>股权价值增加表!AM8</f>
        <v>848400.73</v>
      </c>
      <c r="AN10" s="27">
        <f>股权价值增加表!AN8</f>
        <v>160894.04999999999</v>
      </c>
      <c r="AO10" s="27">
        <f>股权价值增加表!AO8</f>
        <v>2887569.08</v>
      </c>
      <c r="AP10" s="27">
        <f>股权价值增加表!AP8</f>
        <v>1803886.05</v>
      </c>
      <c r="AQ10" s="27">
        <f>股权价值增加表!AQ8</f>
        <v>1185554.17</v>
      </c>
      <c r="AR10" s="27">
        <f>股权价值增加表!AR8</f>
        <v>612105.35</v>
      </c>
      <c r="AS10" s="27">
        <f>股权价值增加表!AS8</f>
        <v>1680085.07</v>
      </c>
      <c r="AT10" s="27">
        <f>股权价值增加表!AT8</f>
        <v>1031388.32</v>
      </c>
      <c r="AU10" s="27">
        <f>股权价值增加表!AU8</f>
        <v>572323.92000000004</v>
      </c>
      <c r="AV10" s="27">
        <f>股权价值增加表!AV8</f>
        <v>101181.65</v>
      </c>
      <c r="AW10" s="27">
        <f>股权价值增加表!AW8</f>
        <v>3153744.26</v>
      </c>
      <c r="AX10" s="27">
        <f>股权价值增加表!AX8</f>
        <v>1582886.49</v>
      </c>
      <c r="AY10" s="27">
        <f>股权价值增加表!AY8</f>
        <v>630549.80000000005</v>
      </c>
      <c r="AZ10" s="27">
        <f>股权价值增加表!AZ8</f>
        <v>48932.53</v>
      </c>
      <c r="BA10" s="27">
        <f>股权价值增加表!BA8</f>
        <v>2560740.37</v>
      </c>
      <c r="BB10" s="27">
        <f>股权价值增加表!BB8</f>
        <v>859332.92</v>
      </c>
      <c r="BC10" s="27">
        <f>股权价值增加表!BC8</f>
        <v>642444.77</v>
      </c>
      <c r="BD10" s="27">
        <f>股权价值增加表!BD8</f>
        <v>275558.09000000003</v>
      </c>
      <c r="BE10" s="27">
        <f>股权价值增加表!BE8</f>
        <v>1267446.1100000001</v>
      </c>
      <c r="BF10" s="27">
        <f>股权价值增加表!BF8</f>
        <v>864179.98</v>
      </c>
      <c r="BG10" s="27">
        <f>股权价值增加表!BG8</f>
        <v>864179.98</v>
      </c>
      <c r="BH10" s="27">
        <f>股权价值增加表!BH8</f>
        <v>400912.64000000001</v>
      </c>
      <c r="BI10" s="27">
        <f>股权价值增加表!BI8</f>
        <v>754846.31</v>
      </c>
      <c r="BJ10" s="27">
        <f>股权价值增加表!BJ8</f>
        <v>566455.49</v>
      </c>
      <c r="BK10" s="27">
        <f>股权价值增加表!BK8</f>
        <v>376457.17</v>
      </c>
      <c r="BL10" s="27">
        <f>股权价值增加表!BL8</f>
        <v>147571.66</v>
      </c>
      <c r="BM10" s="27">
        <f>股权价值增加表!BM8</f>
        <v>200319.17</v>
      </c>
      <c r="BN10" s="27">
        <f>股权价值增加表!BN8</f>
        <v>157341.18</v>
      </c>
      <c r="BO10" s="27">
        <f>股权价值增加表!BO8</f>
        <v>133383.46</v>
      </c>
      <c r="BP10" s="27">
        <f>股权价值增加表!BP8</f>
        <v>54782.67</v>
      </c>
      <c r="BQ10" s="27">
        <f>股权价值增加表!BQ8</f>
        <v>209617.88</v>
      </c>
      <c r="BR10" s="27">
        <f>股权价值增加表!BR8</f>
        <v>193282.44</v>
      </c>
      <c r="BS10" s="27">
        <f>股权价值增加表!BS8</f>
        <v>24377.45</v>
      </c>
      <c r="BT10" s="27">
        <f>股权价值增加表!BT8</f>
        <v>36551.49</v>
      </c>
      <c r="BU10" s="27">
        <f>股权价值增加表!BU8</f>
        <v>101077.69</v>
      </c>
      <c r="BV10" s="27">
        <f>股权价值增加表!BV8</f>
        <v>36464.04</v>
      </c>
      <c r="BW10" s="27">
        <f>股权价值增加表!BW8</f>
        <v>79334.22</v>
      </c>
      <c r="BX10" s="27">
        <f>股权价值增加表!BX8</f>
        <v>6859.07</v>
      </c>
      <c r="BY10" s="27">
        <f>股权价值增加表!BY8</f>
        <v>442342.3</v>
      </c>
      <c r="BZ10" s="27">
        <f>股权价值增加表!BZ8</f>
        <v>0</v>
      </c>
      <c r="CA10" s="27">
        <f>股权价值增加表!CA8</f>
        <v>44021.57</v>
      </c>
      <c r="CB10" s="27">
        <f>股权价值增加表!CB8</f>
        <v>0</v>
      </c>
      <c r="CC10" s="27">
        <f>股权价值增加表!CC8</f>
        <v>31867.919999999998</v>
      </c>
      <c r="CD10" s="27">
        <f>股权价值增加表!CD8</f>
        <v>0</v>
      </c>
      <c r="CE10" s="27">
        <f>股权价值增加表!CE8</f>
        <v>58096.52</v>
      </c>
      <c r="CF10" s="27">
        <f>股权价值增加表!CF8</f>
        <v>314948.40000000002</v>
      </c>
      <c r="CG10" s="27">
        <f>股权价值增加表!CG8</f>
        <v>0</v>
      </c>
      <c r="CH10" s="27">
        <f>股权价值增加表!CH8</f>
        <v>0</v>
      </c>
      <c r="CI10" s="27">
        <f>股权价值增加表!CI8</f>
        <v>0</v>
      </c>
      <c r="CJ10" s="27">
        <f>股权价值增加表!CJ8</f>
        <v>0</v>
      </c>
    </row>
    <row r="11" spans="1:89" s="57" customFormat="1">
      <c r="A11" s="20" t="s">
        <v>359</v>
      </c>
      <c r="E11" s="57">
        <f>E10/E2</f>
        <v>4.6499009686642983E-3</v>
      </c>
      <c r="F11" s="57">
        <f t="shared" ref="F11:BQ11" si="11">F10/F2</f>
        <v>4.8761471290765142E-3</v>
      </c>
      <c r="G11" s="57">
        <f t="shared" si="11"/>
        <v>5.3243795066101928E-3</v>
      </c>
      <c r="H11" s="57">
        <f t="shared" si="11"/>
        <v>6.8572291694824804E-3</v>
      </c>
      <c r="I11" s="57">
        <f t="shared" si="11"/>
        <v>4.4668843603107196E-3</v>
      </c>
      <c r="J11" s="57">
        <f t="shared" si="11"/>
        <v>1.9764699990141776E-3</v>
      </c>
      <c r="K11" s="57">
        <f t="shared" si="11"/>
        <v>1.9584379079771951E-3</v>
      </c>
      <c r="L11" s="57">
        <f t="shared" si="11"/>
        <v>4.1798670466127228E-4</v>
      </c>
      <c r="M11" s="57">
        <f t="shared" si="11"/>
        <v>8.720471628246466E-4</v>
      </c>
      <c r="N11" s="57">
        <f t="shared" si="11"/>
        <v>1.048760555292662E-3</v>
      </c>
      <c r="O11" s="57">
        <f t="shared" si="11"/>
        <v>1.1802985223166973E-3</v>
      </c>
      <c r="P11" s="57">
        <f t="shared" si="11"/>
        <v>8.2885096381679927E-4</v>
      </c>
      <c r="Q11" s="57">
        <f t="shared" si="11"/>
        <v>1.4784420536733168E-3</v>
      </c>
      <c r="R11" s="57">
        <f t="shared" si="11"/>
        <v>1.6689685810116904E-3</v>
      </c>
      <c r="S11" s="57">
        <f t="shared" si="11"/>
        <v>1.2344504539856355E-3</v>
      </c>
      <c r="T11" s="57">
        <f t="shared" si="11"/>
        <v>1.1910625627374297E-3</v>
      </c>
      <c r="U11" s="57">
        <f t="shared" si="11"/>
        <v>2.1077218308278847E-3</v>
      </c>
      <c r="V11" s="57">
        <f t="shared" si="11"/>
        <v>2.2782712695743521E-3</v>
      </c>
      <c r="W11" s="57">
        <f t="shared" si="11"/>
        <v>2.8832666420639539E-3</v>
      </c>
      <c r="X11" s="57">
        <f t="shared" si="11"/>
        <v>1.7763171033693482E-3</v>
      </c>
      <c r="Y11" s="57">
        <f t="shared" si="11"/>
        <v>2.2701929798887876E-3</v>
      </c>
      <c r="Z11" s="57">
        <f t="shared" si="11"/>
        <v>2.3619401930931E-3</v>
      </c>
      <c r="AA11" s="57">
        <f t="shared" si="11"/>
        <v>3.4235398543745383E-3</v>
      </c>
      <c r="AB11" s="57">
        <f t="shared" si="11"/>
        <v>3.7409910009281828E-3</v>
      </c>
      <c r="AC11" s="57">
        <f t="shared" si="11"/>
        <v>2.8929401589320369E-3</v>
      </c>
      <c r="AD11" s="57">
        <f t="shared" si="11"/>
        <v>2.3408345818813942E-3</v>
      </c>
      <c r="AE11" s="57">
        <f t="shared" si="11"/>
        <v>2.0296817983486088E-3</v>
      </c>
      <c r="AF11" s="57">
        <f t="shared" si="11"/>
        <v>1.4911131354249216E-3</v>
      </c>
      <c r="AG11" s="57">
        <f t="shared" si="11"/>
        <v>3.211422338877808E-3</v>
      </c>
      <c r="AH11" s="57">
        <f t="shared" si="11"/>
        <v>3.4417174534768697E-3</v>
      </c>
      <c r="AI11" s="57">
        <f t="shared" si="11"/>
        <v>3.7150505262861363E-3</v>
      </c>
      <c r="AJ11" s="57">
        <f t="shared" si="11"/>
        <v>4.5879072827008371E-3</v>
      </c>
      <c r="AK11" s="57">
        <f t="shared" si="11"/>
        <v>1.7132766166114627E-3</v>
      </c>
      <c r="AL11" s="57">
        <f t="shared" si="11"/>
        <v>9.1977654844247955E-4</v>
      </c>
      <c r="AM11" s="57">
        <f t="shared" si="11"/>
        <v>9.6676554660733325E-4</v>
      </c>
      <c r="AN11" s="57">
        <f t="shared" si="11"/>
        <v>4.610322553759643E-4</v>
      </c>
      <c r="AO11" s="57">
        <f t="shared" si="11"/>
        <v>2.0981390942031749E-3</v>
      </c>
      <c r="AP11" s="57">
        <f t="shared" si="11"/>
        <v>1.7360826594043938E-3</v>
      </c>
      <c r="AQ11" s="57">
        <f t="shared" si="11"/>
        <v>1.7225305129750768E-3</v>
      </c>
      <c r="AR11" s="57">
        <f t="shared" si="11"/>
        <v>1.7704224815445002E-3</v>
      </c>
      <c r="AS11" s="57">
        <f t="shared" si="11"/>
        <v>9.7591318447402332E-4</v>
      </c>
      <c r="AT11" s="57">
        <f t="shared" si="11"/>
        <v>8.3643979713320452E-4</v>
      </c>
      <c r="AU11" s="57">
        <f t="shared" si="11"/>
        <v>7.4638606355515791E-4</v>
      </c>
      <c r="AV11" s="57">
        <f t="shared" si="11"/>
        <v>2.8608217581886387E-4</v>
      </c>
      <c r="AW11" s="57">
        <f t="shared" si="11"/>
        <v>2.0869398549540428E-3</v>
      </c>
      <c r="AX11" s="57">
        <f t="shared" si="11"/>
        <v>1.5497894440983559E-3</v>
      </c>
      <c r="AY11" s="57">
        <f t="shared" si="11"/>
        <v>9.8418430434826874E-4</v>
      </c>
      <c r="AZ11" s="57">
        <f t="shared" si="11"/>
        <v>1.9368570047051335E-4</v>
      </c>
      <c r="BA11" s="57">
        <f t="shared" si="11"/>
        <v>2.3227242282514403E-3</v>
      </c>
      <c r="BB11" s="57">
        <f t="shared" si="11"/>
        <v>1.1347642214882593E-3</v>
      </c>
      <c r="BC11" s="57">
        <f t="shared" si="11"/>
        <v>1.2235940720637661E-3</v>
      </c>
      <c r="BD11" s="57">
        <f t="shared" si="11"/>
        <v>1.1687018772342525E-3</v>
      </c>
      <c r="BE11" s="57">
        <f t="shared" si="11"/>
        <v>1.1835195287038624E-3</v>
      </c>
      <c r="BF11" s="57">
        <f t="shared" si="11"/>
        <v>1.3124420305750636E-3</v>
      </c>
      <c r="BG11" s="57">
        <f t="shared" si="11"/>
        <v>1.9612177587561824E-3</v>
      </c>
      <c r="BH11" s="57">
        <f t="shared" si="11"/>
        <v>2.2891758727823942E-3</v>
      </c>
      <c r="BI11" s="57">
        <f t="shared" si="11"/>
        <v>1.1872756153418896E-3</v>
      </c>
      <c r="BJ11" s="57">
        <f t="shared" si="11"/>
        <v>1.2753376950282152E-3</v>
      </c>
      <c r="BK11" s="57">
        <f t="shared" si="11"/>
        <v>1.4504610152055971E-3</v>
      </c>
      <c r="BL11" s="57">
        <f t="shared" si="11"/>
        <v>1.3550351672915867E-3</v>
      </c>
      <c r="BM11" s="57">
        <f t="shared" si="11"/>
        <v>6.1528026159021212E-4</v>
      </c>
      <c r="BN11" s="57">
        <f t="shared" si="11"/>
        <v>6.4952619141949645E-4</v>
      </c>
      <c r="BO11" s="57">
        <f t="shared" si="11"/>
        <v>8.8606690697681811E-4</v>
      </c>
      <c r="BP11" s="57">
        <f t="shared" si="11"/>
        <v>8.4720409411828863E-4</v>
      </c>
      <c r="BQ11" s="57">
        <f t="shared" si="11"/>
        <v>7.5149041021292011E-4</v>
      </c>
      <c r="BR11" s="57">
        <f t="shared" ref="BR11:CJ11" si="12">BR10/BR2</f>
        <v>1.2729088354505745E-3</v>
      </c>
      <c r="BS11" s="57">
        <f t="shared" si="12"/>
        <v>7.6751867310171474E-5</v>
      </c>
      <c r="BT11" s="57">
        <f t="shared" si="12"/>
        <v>2.3453324027607395E-4</v>
      </c>
      <c r="BU11" s="57">
        <f t="shared" si="12"/>
        <v>3.756715924723346E-4</v>
      </c>
      <c r="BV11" s="57">
        <f t="shared" si="12"/>
        <v>2.9438049774200707E-4</v>
      </c>
      <c r="BW11" s="57">
        <f t="shared" si="12"/>
        <v>4.6028227150393528E-4</v>
      </c>
      <c r="BX11" s="57">
        <f t="shared" si="12"/>
        <v>7.0856500223564448E-5</v>
      </c>
      <c r="BY11" s="57">
        <f t="shared" si="12"/>
        <v>2.0196021090284422E-3</v>
      </c>
      <c r="BZ11" s="57">
        <f t="shared" si="12"/>
        <v>0</v>
      </c>
      <c r="CA11" s="57">
        <f t="shared" si="12"/>
        <v>2.8628807403272818E-4</v>
      </c>
      <c r="CB11" s="57">
        <f t="shared" si="12"/>
        <v>0</v>
      </c>
      <c r="CC11" s="57">
        <f t="shared" si="12"/>
        <v>2.1206036896983017E-4</v>
      </c>
      <c r="CD11" s="57">
        <f t="shared" si="12"/>
        <v>0</v>
      </c>
      <c r="CE11" s="57">
        <f t="shared" si="12"/>
        <v>3.3756861241216634E-4</v>
      </c>
      <c r="CF11" s="57">
        <f t="shared" si="12"/>
        <v>2.339739788636456E-3</v>
      </c>
      <c r="CG11" s="57">
        <f t="shared" si="12"/>
        <v>0</v>
      </c>
      <c r="CH11" s="57">
        <f t="shared" si="12"/>
        <v>0</v>
      </c>
      <c r="CI11" s="57" t="e">
        <f t="shared" si="12"/>
        <v>#DIV/0!</v>
      </c>
      <c r="CJ11" s="57" t="e">
        <f t="shared" si="12"/>
        <v>#DIV/0!</v>
      </c>
    </row>
    <row r="12" spans="1:89" s="27" customFormat="1">
      <c r="A12" s="128" t="s">
        <v>360</v>
      </c>
      <c r="E12" s="27">
        <f>股权价值增加表!E9</f>
        <v>398025370.25</v>
      </c>
      <c r="F12" s="27">
        <f>股权价值增加表!F9</f>
        <v>273316220.35000002</v>
      </c>
      <c r="G12" s="27">
        <f>股权价值增加表!G9</f>
        <v>173711947.25</v>
      </c>
      <c r="H12" s="27">
        <f>股权价值增加表!H9</f>
        <v>80605156.439999998</v>
      </c>
      <c r="I12" s="27">
        <f>股权价值增加表!I9</f>
        <v>343407135.30000001</v>
      </c>
      <c r="J12" s="27">
        <f>股权价值增加表!J9</f>
        <v>256512247.34999999</v>
      </c>
      <c r="K12" s="27">
        <f>股权价值增加表!K9</f>
        <v>173621530</v>
      </c>
      <c r="L12" s="27">
        <f>股权价值增加表!L9</f>
        <v>85390934.840000004</v>
      </c>
      <c r="M12" s="27">
        <f>股权价值增加表!M9</f>
        <v>332022916</v>
      </c>
      <c r="N12" s="27">
        <f>股权价值增加表!N9</f>
        <v>244475744.61000001</v>
      </c>
      <c r="O12" s="27">
        <f>股权价值增加表!O9</f>
        <v>154791214</v>
      </c>
      <c r="P12" s="27">
        <f>股权价值增加表!P9</f>
        <v>66753841.109999999</v>
      </c>
      <c r="Q12" s="27">
        <f>股权价值增加表!Q9</f>
        <v>287637540</v>
      </c>
      <c r="R12" s="27">
        <f>股权价值增加表!R9</f>
        <v>200395263.5</v>
      </c>
      <c r="S12" s="27">
        <f>股权价值增加表!S9</f>
        <v>53177659</v>
      </c>
      <c r="T12" s="27">
        <f>股权价值增加表!T9</f>
        <v>25467368.559999999</v>
      </c>
      <c r="U12" s="27">
        <f>股权价值增加表!U9</f>
        <v>96877866</v>
      </c>
      <c r="V12" s="27">
        <f>股权价值增加表!V9</f>
        <v>75918576</v>
      </c>
      <c r="W12" s="27">
        <f>股权价值增加表!W9</f>
        <v>51780772</v>
      </c>
      <c r="X12" s="27">
        <f>股权价值增加表!X9</f>
        <v>27560417.57</v>
      </c>
      <c r="Y12" s="27">
        <f>股权价值增加表!Y9</f>
        <v>98707212</v>
      </c>
      <c r="Z12" s="27">
        <f>股权价值增加表!Z9</f>
        <v>69230853</v>
      </c>
      <c r="AA12" s="27">
        <f>股权价值增加表!AA9</f>
        <v>45057825</v>
      </c>
      <c r="AB12" s="27">
        <f>股权价值增加表!AB9</f>
        <v>20113835.460000001</v>
      </c>
      <c r="AC12" s="27">
        <f>股权价值增加表!AC9</f>
        <v>93659879</v>
      </c>
      <c r="AD12" s="27">
        <f>股权价值增加表!AD9</f>
        <v>62598690.799999997</v>
      </c>
      <c r="AE12" s="27">
        <f>股权价值增加表!AE9</f>
        <v>41739477</v>
      </c>
      <c r="AF12" s="27">
        <f>股权价值增加表!AF9</f>
        <v>22645175.800000001</v>
      </c>
      <c r="AG12" s="27">
        <f>股权价值增加表!AG9</f>
        <v>86971650</v>
      </c>
      <c r="AH12" s="27">
        <f>股权价值增加表!AH9</f>
        <v>61703094.93</v>
      </c>
      <c r="AI12" s="27">
        <f>股权价值增加表!AI9</f>
        <v>38557115.880000003</v>
      </c>
      <c r="AJ12" s="27">
        <f>股权价值增加表!AJ9</f>
        <v>17764411.579999998</v>
      </c>
      <c r="AK12" s="27">
        <f>股权价值增加表!AK9</f>
        <v>73770678.5</v>
      </c>
      <c r="AL12" s="27">
        <f>股权价值增加表!AL9</f>
        <v>49435345.270000003</v>
      </c>
      <c r="AM12" s="27">
        <f>股权价值增加表!AM9</f>
        <v>29413643.030000001</v>
      </c>
      <c r="AN12" s="27">
        <f>股权价值增加表!AN9</f>
        <v>14822606.59</v>
      </c>
      <c r="AO12" s="27">
        <f>股权价值增加表!AO9</f>
        <v>64211958.119999997</v>
      </c>
      <c r="AP12" s="27">
        <f>股权价值增加表!AP9</f>
        <v>40379895.560000002</v>
      </c>
      <c r="AQ12" s="27">
        <f>股权价值增加表!AQ9</f>
        <v>29289183.469999999</v>
      </c>
      <c r="AR12" s="27">
        <f>股权价值增加表!AR9</f>
        <v>11179076.84</v>
      </c>
      <c r="AS12" s="27">
        <f>股权价值增加表!AS9</f>
        <v>48053677.729999997</v>
      </c>
      <c r="AT12" s="27">
        <f>股权价值增加表!AT9</f>
        <v>33041118.129999999</v>
      </c>
      <c r="AU12" s="27">
        <f>股权价值增加表!AU9</f>
        <v>21164648.870000001</v>
      </c>
      <c r="AV12" s="27">
        <f>股权价值增加表!AV9</f>
        <v>10201946.49</v>
      </c>
      <c r="AW12" s="27">
        <f>股权价值增加表!AW9</f>
        <v>41181831.719999999</v>
      </c>
      <c r="AX12" s="27">
        <f>股权价值增加表!AX9</f>
        <v>27224355.969999999</v>
      </c>
      <c r="AY12" s="27">
        <f>股权价值增加表!AY9</f>
        <v>16354365.289999999</v>
      </c>
      <c r="AZ12" s="27">
        <f>股权价值增加表!AZ9</f>
        <v>7752813.7000000002</v>
      </c>
      <c r="BA12" s="27">
        <f>股权价值增加表!BA9</f>
        <v>24062441.050000001</v>
      </c>
      <c r="BB12" s="27">
        <f>股权价值增加表!BB9</f>
        <v>11378157.359999999</v>
      </c>
      <c r="BC12" s="27">
        <f>股权价值增加表!BC9</f>
        <v>7832364.9400000004</v>
      </c>
      <c r="BD12" s="27">
        <f>股权价值增加表!BD9</f>
        <v>4141825.6</v>
      </c>
      <c r="BE12" s="27">
        <f>股权价值增加表!BE9</f>
        <v>16881011.260000002</v>
      </c>
      <c r="BF12" s="27">
        <f>股权价值增加表!BF9</f>
        <v>12219897.84</v>
      </c>
      <c r="BG12" s="27">
        <f>股权价值增加表!BG9</f>
        <v>7614422.1600000001</v>
      </c>
      <c r="BH12" s="27">
        <f>股权价值增加表!BH9</f>
        <v>3893644.69</v>
      </c>
      <c r="BI12" s="27">
        <f>股权价值增加表!BI9</f>
        <v>12418773.960000001</v>
      </c>
      <c r="BJ12" s="27">
        <f>股权价值增加表!BJ9</f>
        <v>8298227.1299999999</v>
      </c>
      <c r="BK12" s="27">
        <f>股权价值增加表!BK9</f>
        <v>4888035.96</v>
      </c>
      <c r="BL12" s="27">
        <f>股权价值增加表!BL9</f>
        <v>2374450.71</v>
      </c>
      <c r="BM12" s="27">
        <f>股权价值增加表!BM9</f>
        <v>9197767.4100000001</v>
      </c>
      <c r="BN12" s="27">
        <f>股权价值增加表!BN9</f>
        <v>6317396.4199999999</v>
      </c>
      <c r="BO12" s="27">
        <f>股权价值增加表!BO9</f>
        <v>4100756.43</v>
      </c>
      <c r="BP12" s="27">
        <f>股权价值增加表!BP9</f>
        <v>2137968.48</v>
      </c>
      <c r="BQ12" s="27">
        <f>股权价值增加表!BQ9</f>
        <v>7353414.1299999999</v>
      </c>
      <c r="BR12" s="27">
        <f>股权价值增加表!BR9</f>
        <v>4035417.79</v>
      </c>
      <c r="BS12" s="27">
        <f>股权价值增加表!BS9</f>
        <v>7688042.0199999996</v>
      </c>
      <c r="BT12" s="27">
        <f>股权价值增加表!BT9</f>
        <v>3413102.5</v>
      </c>
      <c r="BU12" s="27">
        <f>股权价值增加表!BU9</f>
        <v>7751140.0800000001</v>
      </c>
      <c r="BV12" s="27">
        <f>股权价值增加表!BV9</f>
        <v>3251387.2</v>
      </c>
      <c r="BW12" s="27">
        <f>股权价值增加表!BW9</f>
        <v>4768727.04</v>
      </c>
      <c r="BX12" s="27">
        <f>股权价值增加表!BX9</f>
        <v>2441731.0299999998</v>
      </c>
      <c r="BY12" s="27">
        <f>股权价值增加表!BY9</f>
        <v>4131141.73</v>
      </c>
      <c r="BZ12" s="27">
        <f>股权价值增加表!BZ9</f>
        <v>0</v>
      </c>
      <c r="CA12" s="27">
        <f>股权价值增加表!CA9</f>
        <v>2704778.42</v>
      </c>
      <c r="CB12" s="27">
        <f>股权价值增加表!CB9</f>
        <v>0</v>
      </c>
      <c r="CC12" s="27">
        <f>股权价值增加表!CC9</f>
        <v>2682027</v>
      </c>
      <c r="CD12" s="27">
        <f>股权价值增加表!CD9</f>
        <v>0</v>
      </c>
      <c r="CE12" s="27">
        <f>股权价值增加表!CE9</f>
        <v>1543813.86</v>
      </c>
      <c r="CF12" s="27">
        <f>股权价值增加表!CF9</f>
        <v>1223702.47</v>
      </c>
      <c r="CG12" s="27">
        <f>股权价值增加表!CG9</f>
        <v>0</v>
      </c>
      <c r="CH12" s="27">
        <f>股权价值增加表!CH9</f>
        <v>0</v>
      </c>
      <c r="CI12" s="27">
        <f>股权价值增加表!CI9</f>
        <v>0</v>
      </c>
      <c r="CJ12" s="27">
        <f>股权价值增加表!CJ9</f>
        <v>0</v>
      </c>
    </row>
    <row r="13" spans="1:89" s="57" customFormat="1">
      <c r="A13" s="20" t="s">
        <v>361</v>
      </c>
      <c r="E13" s="57">
        <f>E12/E2</f>
        <v>2.8405020970055431E-2</v>
      </c>
      <c r="F13" s="57">
        <f t="shared" ref="F13:BQ13" si="13">F12/F2</f>
        <v>2.7057626745401929E-2</v>
      </c>
      <c r="G13" s="57">
        <f t="shared" si="13"/>
        <v>2.7998324562877413E-2</v>
      </c>
      <c r="H13" s="57">
        <f t="shared" si="13"/>
        <v>2.7769292948500193E-2</v>
      </c>
      <c r="I13" s="57">
        <f t="shared" si="13"/>
        <v>3.1984253114238553E-2</v>
      </c>
      <c r="J13" s="57">
        <f t="shared" si="13"/>
        <v>3.3083787101310255E-2</v>
      </c>
      <c r="K13" s="57">
        <f t="shared" si="13"/>
        <v>3.4930724105032854E-2</v>
      </c>
      <c r="L13" s="57">
        <f t="shared" si="13"/>
        <v>3.4831546158290289E-2</v>
      </c>
      <c r="M13" s="57">
        <f t="shared" si="13"/>
        <v>3.153113296383607E-2</v>
      </c>
      <c r="N13" s="57">
        <f t="shared" si="13"/>
        <v>3.1348261926390682E-2</v>
      </c>
      <c r="O13" s="57">
        <f t="shared" si="13"/>
        <v>3.0127886335121274E-2</v>
      </c>
      <c r="P13" s="57">
        <f t="shared" si="13"/>
        <v>2.7355694848870724E-2</v>
      </c>
      <c r="Q13" s="57">
        <f t="shared" si="13"/>
        <v>3.085457298115293E-2</v>
      </c>
      <c r="R13" s="57">
        <f t="shared" si="13"/>
        <v>3.0668066468962529E-2</v>
      </c>
      <c r="S13" s="57">
        <f t="shared" si="13"/>
        <v>2.1394364801307322E-2</v>
      </c>
      <c r="T13" s="57">
        <f t="shared" si="13"/>
        <v>2.158711627844162E-2</v>
      </c>
      <c r="U13" s="57">
        <f t="shared" si="13"/>
        <v>2.1436107543586377E-2</v>
      </c>
      <c r="V13" s="57">
        <f t="shared" si="13"/>
        <v>2.1708413720057735E-2</v>
      </c>
      <c r="W13" s="57">
        <f t="shared" si="13"/>
        <v>2.3002361838238013E-2</v>
      </c>
      <c r="X13" s="57">
        <f t="shared" si="13"/>
        <v>2.6490609653625503E-2</v>
      </c>
      <c r="Y13" s="57">
        <f t="shared" si="13"/>
        <v>2.2777478119678844E-2</v>
      </c>
      <c r="Z13" s="57">
        <f t="shared" si="13"/>
        <v>2.0920581370939918E-2</v>
      </c>
      <c r="AA13" s="57">
        <f t="shared" si="13"/>
        <v>2.0139206564215056E-2</v>
      </c>
      <c r="AB13" s="57">
        <f t="shared" si="13"/>
        <v>2.0455210622565369E-2</v>
      </c>
      <c r="AC13" s="57">
        <f t="shared" si="13"/>
        <v>2.029480916232701E-2</v>
      </c>
      <c r="AD13" s="57">
        <f t="shared" si="13"/>
        <v>1.8675340304795111E-2</v>
      </c>
      <c r="AE13" s="57">
        <f t="shared" si="13"/>
        <v>1.9789106311789179E-2</v>
      </c>
      <c r="AF13" s="57">
        <f t="shared" si="13"/>
        <v>2.2271592659733715E-2</v>
      </c>
      <c r="AG13" s="57">
        <f t="shared" si="13"/>
        <v>2.5178437915157337E-2</v>
      </c>
      <c r="AH13" s="57">
        <f t="shared" si="13"/>
        <v>2.6460721613778489E-2</v>
      </c>
      <c r="AI13" s="57">
        <f t="shared" si="13"/>
        <v>2.6008153641489729E-2</v>
      </c>
      <c r="AJ13" s="57">
        <f t="shared" si="13"/>
        <v>2.7121647809379205E-2</v>
      </c>
      <c r="AK13" s="57">
        <f t="shared" si="13"/>
        <v>3.3678357958553999E-2</v>
      </c>
      <c r="AL13" s="57">
        <f t="shared" si="13"/>
        <v>3.1244007039103683E-2</v>
      </c>
      <c r="AM13" s="57">
        <f t="shared" si="13"/>
        <v>3.3517293981596329E-2</v>
      </c>
      <c r="AN13" s="57">
        <f t="shared" si="13"/>
        <v>4.2473290632800476E-2</v>
      </c>
      <c r="AO13" s="57">
        <f t="shared" si="13"/>
        <v>4.6657107038599051E-2</v>
      </c>
      <c r="AP13" s="57">
        <f t="shared" si="13"/>
        <v>3.8862120182301139E-2</v>
      </c>
      <c r="AQ13" s="57">
        <f t="shared" si="13"/>
        <v>4.2555214686816244E-2</v>
      </c>
      <c r="AR13" s="57">
        <f t="shared" si="13"/>
        <v>3.2333795090092661E-2</v>
      </c>
      <c r="AS13" s="57">
        <f t="shared" si="13"/>
        <v>2.7913001845301055E-2</v>
      </c>
      <c r="AT13" s="57">
        <f t="shared" si="13"/>
        <v>2.6795830057210118E-2</v>
      </c>
      <c r="AU13" s="57">
        <f t="shared" si="13"/>
        <v>2.7601500487008161E-2</v>
      </c>
      <c r="AV13" s="57">
        <f t="shared" si="13"/>
        <v>2.8845102342636448E-2</v>
      </c>
      <c r="AW13" s="57">
        <f t="shared" si="13"/>
        <v>2.725141889484679E-2</v>
      </c>
      <c r="AX13" s="57">
        <f t="shared" si="13"/>
        <v>2.665511378815423E-2</v>
      </c>
      <c r="AY13" s="57">
        <f t="shared" si="13"/>
        <v>2.5526468529521569E-2</v>
      </c>
      <c r="AZ13" s="57">
        <f t="shared" si="13"/>
        <v>3.0687339324206055E-2</v>
      </c>
      <c r="BA13" s="57">
        <f t="shared" si="13"/>
        <v>2.1825881089892384E-2</v>
      </c>
      <c r="BB13" s="57">
        <f t="shared" si="13"/>
        <v>1.5025056736557126E-2</v>
      </c>
      <c r="BC13" s="57">
        <f t="shared" si="13"/>
        <v>1.491744622782761E-2</v>
      </c>
      <c r="BD13" s="57">
        <f t="shared" si="13"/>
        <v>1.7566384474129879E-2</v>
      </c>
      <c r="BE13" s="57">
        <f t="shared" si="13"/>
        <v>1.5763199975799995E-2</v>
      </c>
      <c r="BF13" s="57">
        <f t="shared" si="13"/>
        <v>1.8558527049596121E-2</v>
      </c>
      <c r="BG13" s="57">
        <f t="shared" si="13"/>
        <v>1.7280590048913899E-2</v>
      </c>
      <c r="BH13" s="57">
        <f t="shared" si="13"/>
        <v>2.2232368332251347E-2</v>
      </c>
      <c r="BI13" s="57">
        <f t="shared" si="13"/>
        <v>1.9533125220087297E-2</v>
      </c>
      <c r="BJ13" s="57">
        <f t="shared" si="13"/>
        <v>1.8682918689330384E-2</v>
      </c>
      <c r="BK13" s="57">
        <f t="shared" si="13"/>
        <v>1.8833233010020944E-2</v>
      </c>
      <c r="BL13" s="57">
        <f t="shared" si="13"/>
        <v>2.1802724283581799E-2</v>
      </c>
      <c r="BM13" s="57">
        <f t="shared" si="13"/>
        <v>2.82509394286664E-2</v>
      </c>
      <c r="BN13" s="57">
        <f t="shared" si="13"/>
        <v>2.6079087727508856E-2</v>
      </c>
      <c r="BO13" s="57">
        <f t="shared" si="13"/>
        <v>2.7241342863615917E-2</v>
      </c>
      <c r="BP13" s="57">
        <f t="shared" si="13"/>
        <v>3.3063296282416582E-2</v>
      </c>
      <c r="BQ13" s="57">
        <f t="shared" si="13"/>
        <v>2.6362351346264846E-2</v>
      </c>
      <c r="BR13" s="57">
        <f t="shared" ref="BR13:CJ13" si="14">BR12/BR2</f>
        <v>2.6576231962021128E-2</v>
      </c>
      <c r="BS13" s="57">
        <f t="shared" si="14"/>
        <v>2.4205631884961824E-2</v>
      </c>
      <c r="BT13" s="57">
        <f t="shared" si="14"/>
        <v>2.1900228656051197E-2</v>
      </c>
      <c r="BU13" s="57">
        <f t="shared" si="14"/>
        <v>2.8808366488487606E-2</v>
      </c>
      <c r="BV13" s="57">
        <f t="shared" si="14"/>
        <v>2.6249010869009326E-2</v>
      </c>
      <c r="BW13" s="57">
        <f t="shared" si="14"/>
        <v>2.766726028381495E-2</v>
      </c>
      <c r="BX13" s="57">
        <f t="shared" si="14"/>
        <v>2.5223902842962564E-2</v>
      </c>
      <c r="BY13" s="57">
        <f t="shared" si="14"/>
        <v>1.8861552581797867E-2</v>
      </c>
      <c r="BZ13" s="57">
        <f t="shared" si="14"/>
        <v>0</v>
      </c>
      <c r="CA13" s="57">
        <f t="shared" si="14"/>
        <v>1.7590145116293796E-2</v>
      </c>
      <c r="CB13" s="57">
        <f t="shared" si="14"/>
        <v>0</v>
      </c>
      <c r="CC13" s="57">
        <f t="shared" si="14"/>
        <v>1.7847152723084743E-2</v>
      </c>
      <c r="CD13" s="57">
        <f t="shared" si="14"/>
        <v>0</v>
      </c>
      <c r="CE13" s="57">
        <f t="shared" si="14"/>
        <v>8.970298092602972E-3</v>
      </c>
      <c r="CF13" s="57">
        <f t="shared" si="14"/>
        <v>9.0908395105728703E-3</v>
      </c>
      <c r="CG13" s="57">
        <f t="shared" si="14"/>
        <v>0</v>
      </c>
      <c r="CH13" s="57">
        <f t="shared" si="14"/>
        <v>0</v>
      </c>
      <c r="CI13" s="57" t="e">
        <f t="shared" si="14"/>
        <v>#DIV/0!</v>
      </c>
      <c r="CJ13" s="57" t="e">
        <f t="shared" si="14"/>
        <v>#DIV/0!</v>
      </c>
    </row>
    <row r="14" spans="1:89" s="26" customFormat="1">
      <c r="A14" s="128" t="s">
        <v>362</v>
      </c>
      <c r="E14" s="26">
        <f>股权价值增加表!E10</f>
        <v>1562874219</v>
      </c>
      <c r="F14" s="26">
        <f>股权价值增加表!F10</f>
        <v>1064956415.03</v>
      </c>
      <c r="G14" s="26">
        <f>股权价值增加表!G10</f>
        <v>710539906.90999997</v>
      </c>
      <c r="H14" s="26">
        <f>股权价值增加表!H10</f>
        <v>338444437.02999997</v>
      </c>
      <c r="I14" s="26">
        <f>股权价值增加表!I10</f>
        <v>1457430157.79</v>
      </c>
      <c r="J14" s="26">
        <f>股权价值增加表!J10</f>
        <v>1050004447.4</v>
      </c>
      <c r="K14" s="26">
        <f>股权价值增加表!K10</f>
        <v>686214715</v>
      </c>
      <c r="L14" s="26">
        <f>股权价值增加表!L10</f>
        <v>344790741.86000001</v>
      </c>
      <c r="M14" s="26">
        <f>股权价值增加表!M10</f>
        <v>1270483375</v>
      </c>
      <c r="N14" s="26">
        <f>股权价值增加表!N10</f>
        <v>945132807.03999996</v>
      </c>
      <c r="O14" s="26">
        <f>股权价值增加表!O10</f>
        <v>595302499</v>
      </c>
      <c r="P14" s="26">
        <f>股权价值增加表!P10</f>
        <v>277005885.17000002</v>
      </c>
      <c r="Q14" s="26">
        <f>股权价值增加表!Q10</f>
        <v>1000762138</v>
      </c>
      <c r="R14" s="26">
        <f>股权价值增加表!R10</f>
        <v>664100659.88</v>
      </c>
      <c r="S14" s="26">
        <f>股权价值增加表!S10</f>
        <v>245167916</v>
      </c>
      <c r="T14" s="26">
        <f>股权价值增加表!T10</f>
        <v>122007833.5</v>
      </c>
      <c r="U14" s="26">
        <f>股权价值增加表!U10</f>
        <v>449367489</v>
      </c>
      <c r="V14" s="26">
        <f>股权价值增加表!V10</f>
        <v>312895143</v>
      </c>
      <c r="W14" s="26">
        <f>股权价值增加表!W10</f>
        <v>206921248</v>
      </c>
      <c r="X14" s="26">
        <f>股权价值增加表!X10</f>
        <v>101151456.55</v>
      </c>
      <c r="Y14" s="26">
        <f>股权价值增加表!Y10</f>
        <v>365825658</v>
      </c>
      <c r="Z14" s="26">
        <f>股权价值增加表!Z10</f>
        <v>246442408</v>
      </c>
      <c r="AA14" s="26">
        <f>股权价值增加表!AA10</f>
        <v>155189388</v>
      </c>
      <c r="AB14" s="26">
        <f>股权价值增加表!AB10</f>
        <v>71109449.299999997</v>
      </c>
      <c r="AC14" s="26">
        <f>股权价值增加表!AC10</f>
        <v>341945229</v>
      </c>
      <c r="AD14" s="26">
        <f>股权价值增加表!AD10</f>
        <v>224713126.91</v>
      </c>
      <c r="AE14" s="26">
        <f>股权价值增加表!AE10</f>
        <v>149947985</v>
      </c>
      <c r="AF14" s="26">
        <f>股权价值增加表!AF10</f>
        <v>76118123.650000006</v>
      </c>
      <c r="AG14" s="26">
        <f>股权价值增加表!AG10</f>
        <v>251656351</v>
      </c>
      <c r="AH14" s="26">
        <f>股权价值增加表!AH10</f>
        <v>163472934.34</v>
      </c>
      <c r="AI14" s="26">
        <f>股权价值增加表!AI10</f>
        <v>93120197.189999998</v>
      </c>
      <c r="AJ14" s="26">
        <f>股权价值增加表!AJ10</f>
        <v>46937760.280000001</v>
      </c>
      <c r="AK14" s="26">
        <f>股权价值增加表!AK10</f>
        <v>171257795.52000001</v>
      </c>
      <c r="AL14" s="26">
        <f>股权价值增加表!AL10</f>
        <v>113597076.61</v>
      </c>
      <c r="AM14" s="26">
        <f>股权价值增加表!AM10</f>
        <v>75147130.980000004</v>
      </c>
      <c r="AN14" s="26">
        <f>股权价值增加表!AN10</f>
        <v>36983690.899999999</v>
      </c>
      <c r="AO14" s="26">
        <f>股权价值增加表!AO10</f>
        <v>152712783.55000001</v>
      </c>
      <c r="AP14" s="26">
        <f>股权价值增加表!AP10</f>
        <v>95517675.510000005</v>
      </c>
      <c r="AQ14" s="26">
        <f>股权价值增加表!AQ10</f>
        <v>60268837.270000003</v>
      </c>
      <c r="AR14" s="26">
        <f>股权价值增加表!AR10</f>
        <v>25338261.489999998</v>
      </c>
      <c r="AS14" s="26">
        <f>股权价值增加表!AS10</f>
        <v>106168683.48</v>
      </c>
      <c r="AT14" s="26">
        <f>股权价值增加表!AT10</f>
        <v>72546733.530000001</v>
      </c>
      <c r="AU14" s="26">
        <f>股权价值增加表!AU10</f>
        <v>47344720.609999999</v>
      </c>
      <c r="AV14" s="26">
        <f>股权价值增加表!AV10</f>
        <v>25314712.530000001</v>
      </c>
      <c r="AW14" s="26">
        <f>股权价值增加表!AW10</f>
        <v>94168880.849999994</v>
      </c>
      <c r="AX14" s="26">
        <f>股权价值增加表!AX10</f>
        <v>67691591.859999999</v>
      </c>
      <c r="AY14" s="26">
        <f>股权价值增加表!AY10</f>
        <v>47102197.759999998</v>
      </c>
      <c r="AZ14" s="26">
        <f>股权价值增加表!AZ10</f>
        <v>20615957.359999999</v>
      </c>
      <c r="BA14" s="26">
        <f>股权价值增加表!BA10</f>
        <v>85834784.439999998</v>
      </c>
      <c r="BB14" s="26">
        <f>股权价值增加表!BB10</f>
        <v>56282692.990000002</v>
      </c>
      <c r="BC14" s="26">
        <f>股权价值增加表!BC10</f>
        <v>37982710.600000001</v>
      </c>
      <c r="BD14" s="26">
        <f>股权价值增加表!BD10</f>
        <v>20861189.629999999</v>
      </c>
      <c r="BE14" s="26">
        <f>股权价值增加表!BE10</f>
        <v>86140722.579999998</v>
      </c>
      <c r="BF14" s="26">
        <f>股权价值增加表!BF10</f>
        <v>50381620.039999999</v>
      </c>
      <c r="BG14" s="26">
        <f>股权价值增加表!BG10</f>
        <v>33819568.909999996</v>
      </c>
      <c r="BH14" s="26">
        <f>股权价值增加表!BH10</f>
        <v>13088330.289999999</v>
      </c>
      <c r="BI14" s="26">
        <f>股权价值增加表!BI10</f>
        <v>54098751.759999998</v>
      </c>
      <c r="BJ14" s="26">
        <f>股权价值增加表!BJ10</f>
        <v>39723544.799999997</v>
      </c>
      <c r="BK14" s="26">
        <f>股权价值增加表!BK10</f>
        <v>26418556.5</v>
      </c>
      <c r="BL14" s="26">
        <f>股权价值增加表!BL10</f>
        <v>10832004.970000001</v>
      </c>
      <c r="BM14" s="26">
        <f>股权价值增加表!BM10</f>
        <v>78203773.230000004</v>
      </c>
      <c r="BN14" s="26">
        <f>股权价值增加表!BN10</f>
        <v>37516027.640000001</v>
      </c>
      <c r="BO14" s="26">
        <f>股权价值增加表!BO10</f>
        <v>13403329.66</v>
      </c>
      <c r="BP14" s="26">
        <f>股权价值增加表!BP10</f>
        <v>4717840.59</v>
      </c>
      <c r="BQ14" s="26">
        <f>股权价值增加表!BQ10</f>
        <v>28611507.640000001</v>
      </c>
      <c r="BR14" s="26">
        <f>股权价值增加表!BR10</f>
        <v>12194349.32</v>
      </c>
      <c r="BS14" s="26">
        <f>股权价值增加表!BS10</f>
        <v>29767355.739999998</v>
      </c>
      <c r="BT14" s="26">
        <f>股权价值增加表!BT10</f>
        <v>13743013.779999999</v>
      </c>
      <c r="BU14" s="26">
        <f>股权价值增加表!BU10</f>
        <v>26806334.98</v>
      </c>
      <c r="BV14" s="26">
        <f>股权价值增加表!BV10</f>
        <v>10862457.800000001</v>
      </c>
      <c r="BW14" s="26">
        <f>股权价值增加表!BW10</f>
        <v>20761182.789999999</v>
      </c>
      <c r="BX14" s="26">
        <f>股权价值增加表!BX10</f>
        <v>11064116.699999999</v>
      </c>
      <c r="BY14" s="26">
        <f>股权价值增加表!BY10</f>
        <v>23902868</v>
      </c>
      <c r="BZ14" s="26">
        <f>股权价值增加表!BZ10</f>
        <v>0</v>
      </c>
      <c r="CA14" s="26">
        <f>股权价值增加表!CA10</f>
        <v>23248459.800000001</v>
      </c>
      <c r="CB14" s="26">
        <f>股权价值增加表!CB10</f>
        <v>0</v>
      </c>
      <c r="CC14" s="26">
        <f>股权价值增加表!CC10</f>
        <v>21439682.940000001</v>
      </c>
      <c r="CD14" s="26">
        <f>股权价值增加表!CD10</f>
        <v>0</v>
      </c>
      <c r="CE14" s="26">
        <f>股权价值增加表!CE10</f>
        <v>21577844.440000001</v>
      </c>
      <c r="CF14" s="26">
        <f>股权价值增加表!CF10</f>
        <v>15392056.970000001</v>
      </c>
      <c r="CG14" s="26">
        <f>股权价值增加表!CG10</f>
        <v>0</v>
      </c>
      <c r="CH14" s="26">
        <f>股权价值增加表!CH10</f>
        <v>0</v>
      </c>
      <c r="CI14" s="26">
        <f>股权价值增加表!CI10</f>
        <v>0</v>
      </c>
      <c r="CJ14" s="26">
        <f>股权价值增加表!CJ10</f>
        <v>0</v>
      </c>
      <c r="CK14" s="26">
        <f>股权价值增加表!CK10</f>
        <v>0</v>
      </c>
    </row>
    <row r="15" spans="1:89" s="57" customFormat="1">
      <c r="A15" s="20" t="s">
        <v>363</v>
      </c>
      <c r="E15" s="57">
        <f>E14/E2</f>
        <v>0.11153428470243099</v>
      </c>
      <c r="F15" s="57">
        <f t="shared" ref="F15:BQ15" si="15">F14/F2</f>
        <v>0.10542803914492622</v>
      </c>
      <c r="G15" s="57">
        <f t="shared" si="15"/>
        <v>0.11452250258822012</v>
      </c>
      <c r="H15" s="57">
        <f t="shared" si="15"/>
        <v>0.11659753710263125</v>
      </c>
      <c r="I15" s="57">
        <f t="shared" si="15"/>
        <v>0.13574212726348087</v>
      </c>
      <c r="J15" s="57">
        <f t="shared" si="15"/>
        <v>0.13542481480742649</v>
      </c>
      <c r="K15" s="57">
        <f t="shared" si="15"/>
        <v>0.13805878157207088</v>
      </c>
      <c r="L15" s="57">
        <f t="shared" si="15"/>
        <v>0.14064250101665407</v>
      </c>
      <c r="M15" s="57">
        <f t="shared" si="15"/>
        <v>0.12065366062102835</v>
      </c>
      <c r="N15" s="57">
        <f t="shared" si="15"/>
        <v>0.12119104427958401</v>
      </c>
      <c r="O15" s="57">
        <f t="shared" si="15"/>
        <v>0.11586708031688185</v>
      </c>
      <c r="P15" s="57">
        <f t="shared" si="15"/>
        <v>0.11351689041481504</v>
      </c>
      <c r="Q15" s="57">
        <f t="shared" si="15"/>
        <v>0.10735069012096139</v>
      </c>
      <c r="R15" s="57">
        <f t="shared" si="15"/>
        <v>0.10163255769406804</v>
      </c>
      <c r="S15" s="57">
        <f t="shared" si="15"/>
        <v>9.8635628779376511E-2</v>
      </c>
      <c r="T15" s="57">
        <f t="shared" si="15"/>
        <v>0.10341850915771429</v>
      </c>
      <c r="U15" s="57">
        <f t="shared" si="15"/>
        <v>9.9431275878799477E-2</v>
      </c>
      <c r="V15" s="57">
        <f t="shared" si="15"/>
        <v>8.9470292688848999E-2</v>
      </c>
      <c r="W15" s="57">
        <f t="shared" si="15"/>
        <v>9.1919784790303702E-2</v>
      </c>
      <c r="X15" s="57">
        <f t="shared" si="15"/>
        <v>9.7225078123579042E-2</v>
      </c>
      <c r="Y15" s="57">
        <f t="shared" si="15"/>
        <v>8.4417194568438575E-2</v>
      </c>
      <c r="Z15" s="57">
        <f t="shared" si="15"/>
        <v>7.4471398609148656E-2</v>
      </c>
      <c r="AA15" s="57">
        <f t="shared" si="15"/>
        <v>6.9364003733116658E-2</v>
      </c>
      <c r="AB15" s="57">
        <f t="shared" si="15"/>
        <v>7.2316329999754972E-2</v>
      </c>
      <c r="AC15" s="57">
        <f t="shared" si="15"/>
        <v>7.4094833781743488E-2</v>
      </c>
      <c r="AD15" s="57">
        <f t="shared" si="15"/>
        <v>6.7039646714126835E-2</v>
      </c>
      <c r="AE15" s="57">
        <f t="shared" si="15"/>
        <v>7.1091849483489442E-2</v>
      </c>
      <c r="AF15" s="57">
        <f t="shared" si="15"/>
        <v>7.4862383888229453E-2</v>
      </c>
      <c r="AG15" s="57">
        <f t="shared" si="15"/>
        <v>7.2854933873377617E-2</v>
      </c>
      <c r="AH15" s="57">
        <f t="shared" si="15"/>
        <v>7.0103644101896109E-2</v>
      </c>
      <c r="AI15" s="57">
        <f t="shared" si="15"/>
        <v>6.2812903412716045E-2</v>
      </c>
      <c r="AJ15" s="57">
        <f t="shared" si="15"/>
        <v>7.1661782747055022E-2</v>
      </c>
      <c r="AK15" s="57">
        <f t="shared" si="15"/>
        <v>7.8183926974663864E-2</v>
      </c>
      <c r="AL15" s="57">
        <f t="shared" si="15"/>
        <v>7.1795348891358926E-2</v>
      </c>
      <c r="AM15" s="57">
        <f t="shared" si="15"/>
        <v>8.563129967822232E-2</v>
      </c>
      <c r="AN15" s="57">
        <f t="shared" si="15"/>
        <v>0.10597454926241541</v>
      </c>
      <c r="AO15" s="57">
        <f t="shared" si="15"/>
        <v>0.11096276919229324</v>
      </c>
      <c r="AP15" s="57">
        <f t="shared" si="15"/>
        <v>9.1927414217503792E-2</v>
      </c>
      <c r="AQ15" s="57">
        <f t="shared" si="15"/>
        <v>8.7566569125310023E-2</v>
      </c>
      <c r="AR15" s="57">
        <f t="shared" si="15"/>
        <v>7.328710292296782E-2</v>
      </c>
      <c r="AS15" s="57">
        <f t="shared" si="15"/>
        <v>6.1670340291983802E-2</v>
      </c>
      <c r="AT15" s="57">
        <f t="shared" si="15"/>
        <v>5.8834266298953095E-2</v>
      </c>
      <c r="AU15" s="57">
        <f t="shared" si="15"/>
        <v>6.1743775528754152E-2</v>
      </c>
      <c r="AV15" s="57">
        <f t="shared" si="15"/>
        <v>7.1575113084353298E-2</v>
      </c>
      <c r="AW15" s="57">
        <f t="shared" si="15"/>
        <v>6.2314751717465998E-2</v>
      </c>
      <c r="AX15" s="57">
        <f t="shared" si="15"/>
        <v>6.6276208168813286E-2</v>
      </c>
      <c r="AY15" s="57">
        <f t="shared" si="15"/>
        <v>7.3518766853466894E-2</v>
      </c>
      <c r="AZ15" s="57">
        <f t="shared" si="15"/>
        <v>8.1602486978331903E-2</v>
      </c>
      <c r="BA15" s="57">
        <f t="shared" si="15"/>
        <v>7.7856597951602449E-2</v>
      </c>
      <c r="BB15" s="57">
        <f t="shared" si="15"/>
        <v>7.4322285120951792E-2</v>
      </c>
      <c r="BC15" s="57">
        <f t="shared" si="15"/>
        <v>7.234150187116252E-2</v>
      </c>
      <c r="BD15" s="57">
        <f t="shared" si="15"/>
        <v>8.8476848863049948E-2</v>
      </c>
      <c r="BE15" s="57">
        <f t="shared" si="15"/>
        <v>8.0436735404941007E-2</v>
      </c>
      <c r="BF15" s="57">
        <f t="shared" si="15"/>
        <v>7.6515259829276441E-2</v>
      </c>
      <c r="BG15" s="57">
        <f t="shared" si="15"/>
        <v>7.6751996892789012E-2</v>
      </c>
      <c r="BH15" s="57">
        <f t="shared" si="15"/>
        <v>7.4733213487294878E-2</v>
      </c>
      <c r="BI15" s="57">
        <f t="shared" si="15"/>
        <v>8.5090339495840051E-2</v>
      </c>
      <c r="BJ15" s="57">
        <f t="shared" si="15"/>
        <v>8.9434977607123267E-2</v>
      </c>
      <c r="BK15" s="57">
        <f t="shared" si="15"/>
        <v>0.10178870090655048</v>
      </c>
      <c r="BL15" s="57">
        <f t="shared" si="15"/>
        <v>9.9461832079596108E-2</v>
      </c>
      <c r="BM15" s="57">
        <f t="shared" si="15"/>
        <v>0.24020286251333822</v>
      </c>
      <c r="BN15" s="57">
        <f t="shared" si="15"/>
        <v>0.15487136012452532</v>
      </c>
      <c r="BO15" s="57">
        <f t="shared" si="15"/>
        <v>8.9038377434704788E-2</v>
      </c>
      <c r="BP15" s="57">
        <f t="shared" si="15"/>
        <v>7.296055236529074E-2</v>
      </c>
      <c r="BQ15" s="57">
        <f t="shared" si="15"/>
        <v>0.1025736621951987</v>
      </c>
      <c r="BR15" s="57">
        <f t="shared" ref="BR15:CK15" si="16">BR14/BR2</f>
        <v>8.030887333582247E-2</v>
      </c>
      <c r="BS15" s="57">
        <f t="shared" si="16"/>
        <v>9.3721867460753727E-2</v>
      </c>
      <c r="BT15" s="57">
        <f t="shared" si="16"/>
        <v>8.8182275277482139E-2</v>
      </c>
      <c r="BU15" s="57">
        <f t="shared" si="16"/>
        <v>9.9630082071359635E-2</v>
      </c>
      <c r="BV15" s="57">
        <f t="shared" si="16"/>
        <v>8.7694499399011944E-2</v>
      </c>
      <c r="BW15" s="57">
        <f t="shared" si="16"/>
        <v>0.12045249040942999</v>
      </c>
      <c r="BX15" s="57">
        <f t="shared" si="16"/>
        <v>0.11429604704822856</v>
      </c>
      <c r="BY15" s="57">
        <f t="shared" si="16"/>
        <v>0.10913331739837782</v>
      </c>
      <c r="BZ15" s="57">
        <f t="shared" si="16"/>
        <v>0</v>
      </c>
      <c r="CA15" s="57">
        <f t="shared" si="16"/>
        <v>0.15119308058229874</v>
      </c>
      <c r="CB15" s="57">
        <f t="shared" si="16"/>
        <v>0</v>
      </c>
      <c r="CC15" s="57">
        <f t="shared" si="16"/>
        <v>0.14266720497768834</v>
      </c>
      <c r="CD15" s="57">
        <f t="shared" si="16"/>
        <v>0</v>
      </c>
      <c r="CE15" s="57">
        <f t="shared" si="16"/>
        <v>0.1253776130903603</v>
      </c>
      <c r="CF15" s="57">
        <f t="shared" si="16"/>
        <v>0.11434701088072867</v>
      </c>
      <c r="CG15" s="57">
        <f t="shared" si="16"/>
        <v>0</v>
      </c>
      <c r="CH15" s="57">
        <f t="shared" si="16"/>
        <v>0</v>
      </c>
      <c r="CI15" s="57" t="e">
        <f t="shared" si="16"/>
        <v>#DIV/0!</v>
      </c>
      <c r="CJ15" s="57" t="e">
        <f t="shared" si="16"/>
        <v>#DIV/0!</v>
      </c>
      <c r="CK15" s="57" t="e">
        <f t="shared" si="16"/>
        <v>#DIV/0!</v>
      </c>
    </row>
    <row r="16" spans="1:89" s="26" customFormat="1">
      <c r="A16" s="128" t="s">
        <v>364</v>
      </c>
      <c r="E16" s="26">
        <f>股权价值增加表!E11</f>
        <v>267174076.71000001</v>
      </c>
      <c r="F16" s="26">
        <f>股权价值增加表!F11</f>
        <v>60451257.850000001</v>
      </c>
      <c r="G16" s="26">
        <f>股权价值增加表!G11</f>
        <v>46510416.07</v>
      </c>
      <c r="H16" s="26">
        <f>股权价值增加表!H11</f>
        <v>22389232.280000001</v>
      </c>
      <c r="I16" s="26">
        <f>股权价值增加表!I11</f>
        <v>107634337.56999999</v>
      </c>
      <c r="J16" s="26">
        <f>股权价值增加表!J11</f>
        <v>76854225.980000004</v>
      </c>
      <c r="K16" s="26">
        <f>股权价值增加表!K11</f>
        <v>57711133</v>
      </c>
      <c r="L16" s="26">
        <f>股权价值增加表!L11</f>
        <v>27341201.59</v>
      </c>
      <c r="M16" s="26">
        <f>股权价值增加表!M11</f>
        <v>88309940</v>
      </c>
      <c r="N16" s="26">
        <f>股权价值增加表!N11</f>
        <v>63119179.299999997</v>
      </c>
      <c r="O16" s="26">
        <f>股权价值增加表!O11</f>
        <v>21000286</v>
      </c>
      <c r="P16" s="26">
        <f>股权价值增加表!P11</f>
        <v>24490081.23</v>
      </c>
      <c r="Q16" s="26">
        <f>股权价值增加表!Q11</f>
        <v>85312190</v>
      </c>
      <c r="R16" s="26">
        <f>股权价值增加表!R11</f>
        <v>56484847.57</v>
      </c>
      <c r="S16" s="26">
        <f>股权价值增加表!S11</f>
        <v>15221293</v>
      </c>
      <c r="T16" s="26">
        <f>股权价值增加表!T11</f>
        <v>0</v>
      </c>
      <c r="U16" s="26">
        <f>股权价值增加表!U11</f>
        <v>46695092</v>
      </c>
      <c r="V16" s="26">
        <f>股权价值增加表!V11</f>
        <v>17468143</v>
      </c>
      <c r="W16" s="26">
        <f>股权价值增加表!W11</f>
        <v>17468143</v>
      </c>
      <c r="X16" s="26">
        <f>股权价值增加表!X11</f>
        <v>0</v>
      </c>
      <c r="Y16" s="26">
        <f>股权价值增加表!Y11</f>
        <v>36436326</v>
      </c>
      <c r="Z16" s="26">
        <f>股权价值增加表!Z11</f>
        <v>6798938</v>
      </c>
      <c r="AA16" s="26">
        <f>股权价值增加表!AA11</f>
        <v>7043964</v>
      </c>
      <c r="AB16" s="26">
        <f>股权价值增加表!AB11</f>
        <v>0</v>
      </c>
      <c r="AC16" s="26">
        <f>股权价值增加表!AC11</f>
        <v>14277515</v>
      </c>
      <c r="AD16" s="26">
        <f>股权价值增加表!AD11</f>
        <v>9820711.9000000004</v>
      </c>
      <c r="AE16" s="26">
        <f>股权价值增加表!AE11</f>
        <v>9797469</v>
      </c>
      <c r="AF16" s="26">
        <f>股权价值增加表!AF11</f>
        <v>98702.080000000002</v>
      </c>
      <c r="AG16" s="26">
        <f>股权价值增加表!AG11</f>
        <v>-3949798</v>
      </c>
      <c r="AH16" s="26">
        <f>股权价值增加表!AH11</f>
        <v>4495546.58</v>
      </c>
      <c r="AI16" s="26">
        <f>股权价值增加表!AI11</f>
        <v>4501415.66</v>
      </c>
      <c r="AJ16" s="26">
        <f>股权价值增加表!AJ11</f>
        <v>0</v>
      </c>
      <c r="AK16" s="26">
        <f>股权价值增加表!AK11</f>
        <v>71243239.799999997</v>
      </c>
      <c r="AL16" s="26">
        <f>股权价值增加表!AL11</f>
        <v>3716771.52</v>
      </c>
      <c r="AM16" s="26">
        <f>股权价值增加表!AM11</f>
        <v>3704924.07</v>
      </c>
      <c r="AN16" s="26">
        <f>股权价值增加表!AN11</f>
        <v>0</v>
      </c>
      <c r="AO16" s="26">
        <f>股权价值增加表!AO11</f>
        <v>44197810.490000002</v>
      </c>
      <c r="AP16" s="26">
        <f>股权价值增加表!AP11</f>
        <v>3177666.9</v>
      </c>
      <c r="AQ16" s="26">
        <f>股权价值增加表!AQ11</f>
        <v>3235741.98</v>
      </c>
      <c r="AR16" s="26">
        <f>股权价值增加表!AR11</f>
        <v>28062.55</v>
      </c>
      <c r="AS16" s="26">
        <f>股权价值增加表!AS11</f>
        <v>1299879.78</v>
      </c>
      <c r="AT16" s="26">
        <f>股权价值增加表!AT11</f>
        <v>-2827292.48</v>
      </c>
      <c r="AU16" s="26">
        <f>股权价值增加表!AU11</f>
        <v>-2576429.0099999998</v>
      </c>
      <c r="AV16" s="26">
        <f>股权价值增加表!AV11</f>
        <v>1276562.72</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614281.69999999995</v>
      </c>
      <c r="BT16" s="26">
        <f>股权价值增加表!BT11</f>
        <v>-41318.22</v>
      </c>
      <c r="BU16" s="26">
        <f>股权价值增加表!BU11</f>
        <v>579755.56000000006</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c r="A17" s="20" t="s">
        <v>668</v>
      </c>
      <c r="E17" s="57">
        <f>E16/E2</f>
        <v>1.9066837992854673E-2</v>
      </c>
      <c r="F17" s="57">
        <f t="shared" ref="F17:BQ17" si="17">F16/F2</f>
        <v>5.9845243326604059E-3</v>
      </c>
      <c r="G17" s="57">
        <f t="shared" si="17"/>
        <v>7.4963970256359518E-3</v>
      </c>
      <c r="H17" s="57">
        <f t="shared" si="17"/>
        <v>7.7133173302397348E-3</v>
      </c>
      <c r="I17" s="57">
        <f t="shared" si="17"/>
        <v>1.0024846727820091E-2</v>
      </c>
      <c r="J17" s="57">
        <f t="shared" si="17"/>
        <v>9.9123097490506924E-3</v>
      </c>
      <c r="K17" s="57">
        <f t="shared" si="17"/>
        <v>1.1610839189194203E-2</v>
      </c>
      <c r="L17" s="57">
        <f t="shared" si="17"/>
        <v>1.1152663066514388E-2</v>
      </c>
      <c r="M17" s="57">
        <f t="shared" si="17"/>
        <v>8.3865068523414372E-3</v>
      </c>
      <c r="N17" s="57">
        <f t="shared" si="17"/>
        <v>8.0935496011340542E-3</v>
      </c>
      <c r="O17" s="57">
        <f t="shared" si="17"/>
        <v>4.0874040151467417E-3</v>
      </c>
      <c r="P17" s="57">
        <f t="shared" si="17"/>
        <v>1.0036024561462673E-2</v>
      </c>
      <c r="Q17" s="57">
        <f t="shared" si="17"/>
        <v>9.1513478822582931E-3</v>
      </c>
      <c r="R17" s="57">
        <f t="shared" si="17"/>
        <v>8.644321375220412E-3</v>
      </c>
      <c r="S17" s="57">
        <f t="shared" si="17"/>
        <v>6.1238102863758175E-3</v>
      </c>
      <c r="T17" s="57">
        <f t="shared" si="17"/>
        <v>0</v>
      </c>
      <c r="U17" s="57">
        <f t="shared" si="17"/>
        <v>1.0332195115338933E-2</v>
      </c>
      <c r="V17" s="57">
        <f t="shared" si="17"/>
        <v>4.9948997352786293E-3</v>
      </c>
      <c r="W17" s="57">
        <f t="shared" si="17"/>
        <v>7.7598021506532283E-3</v>
      </c>
      <c r="X17" s="57">
        <f t="shared" si="17"/>
        <v>0</v>
      </c>
      <c r="Y17" s="57">
        <f t="shared" si="17"/>
        <v>8.4079734541229398E-3</v>
      </c>
      <c r="Z17" s="57">
        <f t="shared" si="17"/>
        <v>2.0545425847197855E-3</v>
      </c>
      <c r="AA17" s="57">
        <f t="shared" si="17"/>
        <v>3.1483953348146417E-3</v>
      </c>
      <c r="AB17" s="57">
        <f t="shared" si="17"/>
        <v>0</v>
      </c>
      <c r="AC17" s="57">
        <f t="shared" si="17"/>
        <v>3.0937413685668044E-3</v>
      </c>
      <c r="AD17" s="57">
        <f t="shared" si="17"/>
        <v>2.9298557912947757E-3</v>
      </c>
      <c r="AE17" s="57">
        <f t="shared" si="17"/>
        <v>4.6450787015721072E-3</v>
      </c>
      <c r="AF17" s="57">
        <f t="shared" si="17"/>
        <v>9.7073767050571982E-5</v>
      </c>
      <c r="AG17" s="57">
        <f t="shared" si="17"/>
        <v>-1.1434731170492064E-3</v>
      </c>
      <c r="AH17" s="57">
        <f t="shared" si="17"/>
        <v>1.9278677461820144E-3</v>
      </c>
      <c r="AI17" s="57">
        <f t="shared" si="17"/>
        <v>3.0363658540709265E-3</v>
      </c>
      <c r="AJ17" s="57">
        <f t="shared" si="17"/>
        <v>0</v>
      </c>
      <c r="AK17" s="57">
        <f t="shared" si="17"/>
        <v>3.2524512189643223E-2</v>
      </c>
      <c r="AL17" s="57">
        <f t="shared" si="17"/>
        <v>2.3490649230701751E-3</v>
      </c>
      <c r="AM17" s="57">
        <f t="shared" si="17"/>
        <v>4.2218173759376847E-3</v>
      </c>
      <c r="AN17" s="57">
        <f t="shared" si="17"/>
        <v>0</v>
      </c>
      <c r="AO17" s="57">
        <f t="shared" si="17"/>
        <v>3.2114609728142743E-2</v>
      </c>
      <c r="AP17" s="57">
        <f t="shared" si="17"/>
        <v>3.0582266559760333E-3</v>
      </c>
      <c r="AQ17" s="57">
        <f t="shared" si="17"/>
        <v>4.7013155819479692E-3</v>
      </c>
      <c r="AR17" s="57">
        <f t="shared" si="17"/>
        <v>8.1166696892073578E-5</v>
      </c>
      <c r="AS17" s="57">
        <f t="shared" si="17"/>
        <v>7.5506284662906549E-4</v>
      </c>
      <c r="AT17" s="57">
        <f t="shared" si="17"/>
        <v>-2.2928899838689609E-3</v>
      </c>
      <c r="AU17" s="57">
        <f t="shared" si="17"/>
        <v>-3.3600040809114045E-3</v>
      </c>
      <c r="AV17" s="57">
        <f t="shared" si="17"/>
        <v>3.6093683044983657E-3</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1.9340524759343801E-3</v>
      </c>
      <c r="BT17" s="57">
        <f t="shared" si="18"/>
        <v>-2.6511904217966722E-4</v>
      </c>
      <c r="BU17" s="57">
        <f t="shared" si="18"/>
        <v>2.1547553616420214E-3</v>
      </c>
      <c r="BV17" s="57">
        <f t="shared" si="18"/>
        <v>0</v>
      </c>
      <c r="BW17" s="57">
        <f t="shared" si="18"/>
        <v>0</v>
      </c>
      <c r="BX17" s="57">
        <f t="shared" si="18"/>
        <v>0</v>
      </c>
      <c r="BY17" s="57">
        <f t="shared" si="18"/>
        <v>0</v>
      </c>
      <c r="BZ17" s="57">
        <f t="shared" si="18"/>
        <v>0</v>
      </c>
      <c r="CA17" s="57">
        <f t="shared" si="18"/>
        <v>0</v>
      </c>
      <c r="CB17" s="57">
        <f t="shared" si="18"/>
        <v>0</v>
      </c>
      <c r="CC17" s="57">
        <f t="shared" si="18"/>
        <v>0</v>
      </c>
      <c r="CD17" s="57">
        <f t="shared" si="18"/>
        <v>0</v>
      </c>
      <c r="CE17" s="57">
        <f t="shared" si="18"/>
        <v>0</v>
      </c>
      <c r="CF17" s="57">
        <f t="shared" si="18"/>
        <v>0</v>
      </c>
      <c r="CG17" s="57">
        <f t="shared" si="18"/>
        <v>0</v>
      </c>
      <c r="CH17" s="57">
        <f t="shared" si="18"/>
        <v>0</v>
      </c>
      <c r="CI17" s="57" t="e">
        <f t="shared" si="18"/>
        <v>#DIV/0!</v>
      </c>
      <c r="CJ17" s="57" t="e">
        <f t="shared" si="18"/>
        <v>#DIV/0!</v>
      </c>
      <c r="CK17" s="57" t="e">
        <f t="shared" si="18"/>
        <v>#DIV/0!</v>
      </c>
    </row>
    <row r="18" spans="1:89" s="26" customFormat="1">
      <c r="A18" s="128" t="s">
        <v>365</v>
      </c>
      <c r="E18" s="26">
        <f>股权价值增加表!E12</f>
        <v>14281536.07</v>
      </c>
      <c r="F18" s="26">
        <f>股权价值增加表!F12</f>
        <v>0</v>
      </c>
      <c r="G18" s="26">
        <f>股权价值增加表!G12</f>
        <v>0</v>
      </c>
      <c r="H18" s="26">
        <f>股权价值增加表!H12</f>
        <v>0</v>
      </c>
      <c r="I18" s="26">
        <f>股权价值增加表!I12</f>
        <v>5506595.5700000003</v>
      </c>
      <c r="J18" s="26">
        <f>股权价值增加表!J12</f>
        <v>0</v>
      </c>
      <c r="K18" s="26">
        <f>股权价值增加表!K12</f>
        <v>0</v>
      </c>
      <c r="L18" s="26">
        <f>股权价值增加表!L12</f>
        <v>0</v>
      </c>
      <c r="M18" s="26">
        <f>股权价值增加表!M12</f>
        <v>6992242</v>
      </c>
      <c r="N18" s="26">
        <f>股权价值增加表!N12</f>
        <v>0</v>
      </c>
      <c r="O18" s="26">
        <f>股权价值增加表!O12</f>
        <v>0</v>
      </c>
      <c r="P18" s="26">
        <f>股权价值增加表!P12</f>
        <v>0</v>
      </c>
      <c r="Q18" s="26">
        <f>股权价值增加表!Q12</f>
        <v>5019431</v>
      </c>
      <c r="R18" s="26">
        <f>股权价值增加表!R12</f>
        <v>0</v>
      </c>
      <c r="S18" s="26">
        <f>股权价值增加表!S12</f>
        <v>0</v>
      </c>
      <c r="T18" s="26">
        <f>股权价值增加表!T12</f>
        <v>0</v>
      </c>
      <c r="U18" s="26">
        <f>股权价值增加表!U12</f>
        <v>3366418</v>
      </c>
      <c r="V18" s="26">
        <f>股权价值增加表!V12</f>
        <v>0</v>
      </c>
      <c r="W18" s="26">
        <f>股权价值增加表!W12</f>
        <v>0</v>
      </c>
      <c r="X18" s="26">
        <f>股权价值增加表!X12</f>
        <v>0</v>
      </c>
      <c r="Y18" s="26">
        <f>股权价值增加表!Y12</f>
        <v>3588935</v>
      </c>
      <c r="Z18" s="26">
        <f>股权价值增加表!Z12</f>
        <v>0</v>
      </c>
      <c r="AA18" s="26">
        <f>股权价值增加表!AA12</f>
        <v>0</v>
      </c>
      <c r="AB18" s="26">
        <f>股权价值增加表!AB12</f>
        <v>0</v>
      </c>
      <c r="AC18" s="26">
        <f>股权价值增加表!AC12</f>
        <v>8251055</v>
      </c>
      <c r="AD18" s="26">
        <f>股权价值增加表!AD12</f>
        <v>0</v>
      </c>
      <c r="AE18" s="26">
        <f>股权价值增加表!AE12</f>
        <v>0</v>
      </c>
      <c r="AF18" s="26">
        <f>股权价值增加表!AF12</f>
        <v>0</v>
      </c>
      <c r="AG18" s="26">
        <f>股权价值增加表!AG12</f>
        <v>3762003</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c r="A19" s="20" t="s">
        <v>366</v>
      </c>
      <c r="E19" s="57">
        <f>E18/E2</f>
        <v>1.0191996839250552E-3</v>
      </c>
      <c r="F19" s="57">
        <f t="shared" ref="F19:BQ19" si="19">F18/F2</f>
        <v>0</v>
      </c>
      <c r="G19" s="57">
        <f t="shared" si="19"/>
        <v>0</v>
      </c>
      <c r="H19" s="57">
        <f t="shared" si="19"/>
        <v>0</v>
      </c>
      <c r="I19" s="57">
        <f t="shared" si="19"/>
        <v>5.1287328772234959E-4</v>
      </c>
      <c r="J19" s="57">
        <f t="shared" si="19"/>
        <v>0</v>
      </c>
      <c r="K19" s="57">
        <f t="shared" si="19"/>
        <v>0</v>
      </c>
      <c r="L19" s="57">
        <f t="shared" si="19"/>
        <v>0</v>
      </c>
      <c r="M19" s="57">
        <f t="shared" si="19"/>
        <v>6.640304075195793E-4</v>
      </c>
      <c r="N19" s="57">
        <f t="shared" si="19"/>
        <v>0</v>
      </c>
      <c r="O19" s="57">
        <f t="shared" si="19"/>
        <v>0</v>
      </c>
      <c r="P19" s="57">
        <f t="shared" si="19"/>
        <v>0</v>
      </c>
      <c r="Q19" s="57">
        <f t="shared" si="19"/>
        <v>5.3842902464456286E-4</v>
      </c>
      <c r="R19" s="57">
        <f t="shared" si="19"/>
        <v>0</v>
      </c>
      <c r="S19" s="57">
        <f t="shared" si="19"/>
        <v>0</v>
      </c>
      <c r="T19" s="57">
        <f t="shared" si="19"/>
        <v>0</v>
      </c>
      <c r="U19" s="57">
        <f t="shared" si="19"/>
        <v>7.4488530006085142E-4</v>
      </c>
      <c r="V19" s="57">
        <f t="shared" si="19"/>
        <v>0</v>
      </c>
      <c r="W19" s="57">
        <f t="shared" si="19"/>
        <v>0</v>
      </c>
      <c r="X19" s="57">
        <f t="shared" si="19"/>
        <v>0</v>
      </c>
      <c r="Y19" s="57">
        <f t="shared" si="19"/>
        <v>8.2817543702328042E-4</v>
      </c>
      <c r="Z19" s="57">
        <f t="shared" si="19"/>
        <v>0</v>
      </c>
      <c r="AA19" s="57">
        <f t="shared" si="19"/>
        <v>0</v>
      </c>
      <c r="AB19" s="57">
        <f t="shared" si="19"/>
        <v>0</v>
      </c>
      <c r="AC19" s="57">
        <f t="shared" si="19"/>
        <v>1.7878902727694543E-3</v>
      </c>
      <c r="AD19" s="57">
        <f t="shared" si="19"/>
        <v>0</v>
      </c>
      <c r="AE19" s="57">
        <f t="shared" si="19"/>
        <v>0</v>
      </c>
      <c r="AF19" s="57">
        <f t="shared" si="19"/>
        <v>0</v>
      </c>
      <c r="AG19" s="57">
        <f t="shared" si="19"/>
        <v>1.0891061509369507E-3</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f t="shared" si="20"/>
        <v>0</v>
      </c>
      <c r="BX19" s="57">
        <f t="shared" si="20"/>
        <v>0</v>
      </c>
      <c r="BY19" s="57">
        <f t="shared" si="20"/>
        <v>0</v>
      </c>
      <c r="BZ19" s="57">
        <f t="shared" si="20"/>
        <v>0</v>
      </c>
      <c r="CA19" s="57">
        <f t="shared" si="20"/>
        <v>0</v>
      </c>
      <c r="CB19" s="57">
        <f t="shared" si="20"/>
        <v>0</v>
      </c>
      <c r="CC19" s="57">
        <f t="shared" si="20"/>
        <v>0</v>
      </c>
      <c r="CD19" s="57">
        <f t="shared" si="20"/>
        <v>0</v>
      </c>
      <c r="CE19" s="57">
        <f t="shared" si="20"/>
        <v>0</v>
      </c>
      <c r="CF19" s="57">
        <f t="shared" si="20"/>
        <v>0</v>
      </c>
      <c r="CG19" s="57">
        <f t="shared" si="20"/>
        <v>0</v>
      </c>
      <c r="CH19" s="57">
        <f t="shared" si="20"/>
        <v>0</v>
      </c>
      <c r="CI19" s="57" t="e">
        <f t="shared" si="20"/>
        <v>#DIV/0!</v>
      </c>
      <c r="CJ19" s="57" t="e">
        <f t="shared" si="20"/>
        <v>#DIV/0!</v>
      </c>
      <c r="CK19" s="57" t="e">
        <f t="shared" si="20"/>
        <v>#DIV/0!</v>
      </c>
    </row>
    <row r="20" spans="1:89" s="26" customFormat="1">
      <c r="A20" s="128" t="s">
        <v>367</v>
      </c>
      <c r="E20" s="26">
        <f>股权价值增加表!E13-股权价值增加表!E14</f>
        <v>8038741.5099999998</v>
      </c>
      <c r="F20" s="26">
        <f>股权价值增加表!F13-股权价值增加表!F14</f>
        <v>369967136.13</v>
      </c>
      <c r="G20" s="26">
        <f>股权价值增加表!G13-股权价值增加表!G14</f>
        <v>233849127.80000001</v>
      </c>
      <c r="H20" s="26">
        <f>股权价值增加表!H13-股权价值增加表!H14</f>
        <v>123999714.83999999</v>
      </c>
      <c r="I20" s="26">
        <f>股权价值增加表!I13-股权价值增加表!I14</f>
        <v>337378195.54000002</v>
      </c>
      <c r="J20" s="26">
        <f>股权价值增加表!J13-股权价值增加表!J14</f>
        <v>302213324.5</v>
      </c>
      <c r="K20" s="26">
        <f>股权价值增加表!K13-股权价值增加表!K14</f>
        <v>243078511</v>
      </c>
      <c r="L20" s="26">
        <f>股权价值增加表!L13-股权价值增加表!L14</f>
        <v>123363745.62</v>
      </c>
      <c r="M20" s="26">
        <f>股权价值增加表!M13-股权价值增加表!M14</f>
        <v>588956347</v>
      </c>
      <c r="N20" s="26">
        <f>股权价值增加表!N13-股权价值增加表!N14</f>
        <v>328653653.66000003</v>
      </c>
      <c r="O20" s="26">
        <f>股权价值增加表!O13-股权价值增加表!O14</f>
        <v>252281457</v>
      </c>
      <c r="P20" s="26">
        <f>股权价值增加表!P13-股权价值增加表!P14</f>
        <v>127936583.00999999</v>
      </c>
      <c r="Q20" s="26">
        <f>股权价值增加表!Q13-股权价值增加表!Q14</f>
        <v>618796676</v>
      </c>
      <c r="R20" s="26">
        <f>股权价值增加表!R13-股权价值增加表!R14</f>
        <v>157779152.78999999</v>
      </c>
      <c r="S20" s="26">
        <f>股权价值增加表!S13-股权价值增加表!S14</f>
        <v>15270944</v>
      </c>
      <c r="T20" s="26">
        <f>股权价值增加表!T13-股权价值增加表!T14</f>
        <v>8839151.3300000001</v>
      </c>
      <c r="U20" s="26">
        <f>股权价值增加表!U13-股权价值增加表!U14</f>
        <v>193994555</v>
      </c>
      <c r="V20" s="26">
        <f>股权价值增加表!V13-股权价值增加表!V14</f>
        <v>154344677</v>
      </c>
      <c r="W20" s="26">
        <f>股权价值增加表!W13-股权价值增加表!W14</f>
        <v>8852742</v>
      </c>
      <c r="X20" s="26">
        <f>股权价值增加表!X13-股权价值增加表!X14</f>
        <v>4522455.8499999996</v>
      </c>
      <c r="Y20" s="26">
        <f>股权价值增加表!Y13-股权价值增加表!Y14</f>
        <v>210927339</v>
      </c>
      <c r="Z20" s="26">
        <f>股权价值增加表!Z13-股权价值增加表!Z14</f>
        <v>135044185</v>
      </c>
      <c r="AA20" s="26">
        <f>股权价值增加表!AA13-股权价值增加表!AA14</f>
        <v>45095768</v>
      </c>
      <c r="AB20" s="26">
        <f>股权价值增加表!AB13-股权价值增加表!AB14</f>
        <v>23249416.170000002</v>
      </c>
      <c r="AC20" s="26">
        <f>股权价值增加表!AC13-股权价值增加表!AC14</f>
        <v>334473290</v>
      </c>
      <c r="AD20" s="26">
        <f>股权价值增加表!AD13-股权价值增加表!AD14</f>
        <v>76304247.789999992</v>
      </c>
      <c r="AE20" s="26">
        <f>股权价值增加表!AE13-股权价值增加表!AE14</f>
        <v>39858702</v>
      </c>
      <c r="AF20" s="26">
        <f>股权价值增加表!AF13-股权价值增加表!AF14</f>
        <v>5162269.8599999994</v>
      </c>
      <c r="AG20" s="26">
        <f>股权价值增加表!AG13-股权价值增加表!AG14</f>
        <v>90918135</v>
      </c>
      <c r="AH20" s="26">
        <f>股权价值增加表!AH13-股权价值增加表!AH14</f>
        <v>71984426.269999996</v>
      </c>
      <c r="AI20" s="26">
        <f>股权价值增加表!AI13-股权价值增加表!AI14</f>
        <v>31035568.809999999</v>
      </c>
      <c r="AJ20" s="26">
        <f>股权价值增加表!AJ13-股权价值增加表!AJ14</f>
        <v>16417203.310000001</v>
      </c>
      <c r="AK20" s="26">
        <f>股权价值增加表!AK13-股权价值增加表!AK14</f>
        <v>12775148.309999999</v>
      </c>
      <c r="AL20" s="26">
        <f>股权价值增加表!AL13-股权价值增加表!AL14</f>
        <v>3565432.7699999996</v>
      </c>
      <c r="AM20" s="26">
        <f>股权价值增加表!AM13-股权价值增加表!AM14</f>
        <v>3609260.22</v>
      </c>
      <c r="AN20" s="26">
        <f>股权价值增加表!AN13-股权价值增加表!AN14</f>
        <v>-818771.18</v>
      </c>
      <c r="AO20" s="26">
        <f>股权价值增加表!AO13-股权价值增加表!AO14</f>
        <v>-681045.98</v>
      </c>
      <c r="AP20" s="26">
        <f>股权价值增加表!AP13-股权价值增加表!AP14</f>
        <v>679479.16999999993</v>
      </c>
      <c r="AQ20" s="26">
        <f>股权价值增加表!AQ13-股权价值增加表!AQ14</f>
        <v>653952.40999999992</v>
      </c>
      <c r="AR20" s="26">
        <f>股权价值增加表!AR13-股权价值增加表!AR14</f>
        <v>313117.63</v>
      </c>
      <c r="AS20" s="26">
        <f>股权价值增加表!AS13-股权价值增加表!AS14</f>
        <v>-2137936.7299999995</v>
      </c>
      <c r="AT20" s="26">
        <f>股权价值增加表!AT13-股权价值增加表!AT14</f>
        <v>144124.18999999994</v>
      </c>
      <c r="AU20" s="26">
        <f>股权价值增加表!AU13-股权价值增加表!AU14</f>
        <v>220404.57000000007</v>
      </c>
      <c r="AV20" s="26">
        <f>股权价值增加表!AV13-股权价值增加表!AV14</f>
        <v>312188.97000000003</v>
      </c>
      <c r="AW20" s="26">
        <f>股权价值增加表!AW13-股权价值增加表!AW14</f>
        <v>413804.93000000005</v>
      </c>
      <c r="AX20" s="26">
        <f>股权价值增加表!AX13-股权价值增加表!AX14</f>
        <v>49774.479999999981</v>
      </c>
      <c r="AY20" s="26">
        <f>股权价值增加表!AY13-股权价值增加表!AY14</f>
        <v>229604.69</v>
      </c>
      <c r="AZ20" s="26">
        <f>股权价值增加表!AZ13-股权价值增加表!AZ14</f>
        <v>851144.46999999986</v>
      </c>
      <c r="BA20" s="26">
        <f>股权价值增加表!BA13-股权价值增加表!BA14</f>
        <v>433812.18000000005</v>
      </c>
      <c r="BB20" s="26">
        <f>股权价值增加表!BB13-股权价值增加表!BB14</f>
        <v>390499.49999999994</v>
      </c>
      <c r="BC20" s="26">
        <f>股权价值增加表!BC13-股权价值增加表!BC14</f>
        <v>227713.35</v>
      </c>
      <c r="BD20" s="26">
        <f>股权价值增加表!BD13-股权价值增加表!BD14</f>
        <v>201390</v>
      </c>
      <c r="BE20" s="26">
        <f>股权价值增加表!BE13-股权价值增加表!BE14</f>
        <v>362001.01</v>
      </c>
      <c r="BF20" s="26">
        <f>股权价值增加表!BF13-股权价值增加表!BF14</f>
        <v>203419.11000000004</v>
      </c>
      <c r="BG20" s="26">
        <f>股权价值增加表!BG13-股权价值增加表!BG14</f>
        <v>96701.81</v>
      </c>
      <c r="BH20" s="26">
        <f>股权价值增加表!BH13-股权价值增加表!BH14</f>
        <v>-10843.159999999974</v>
      </c>
      <c r="BI20" s="26">
        <f>股权价值增加表!BI13-股权价值增加表!BI14</f>
        <v>606707.87999999989</v>
      </c>
      <c r="BJ20" s="26">
        <f>股权价值增加表!BJ13-股权价值增加表!BJ14</f>
        <v>698737.52</v>
      </c>
      <c r="BK20" s="26">
        <f>股权价值增加表!BK13-股权价值增加表!BK14</f>
        <v>637354.52</v>
      </c>
      <c r="BL20" s="26">
        <f>股权价值增加表!BL13-股权价值增加表!BL14</f>
        <v>516303.18999999994</v>
      </c>
      <c r="BM20" s="26">
        <f>股权价值增加表!BM13-股权价值增加表!BM14</f>
        <v>3493965.5200000005</v>
      </c>
      <c r="BN20" s="26">
        <f>股权价值增加表!BN13-股权价值增加表!BN14</f>
        <v>4062863.08</v>
      </c>
      <c r="BO20" s="26">
        <f>股权价值增加表!BO13-股权价值增加表!BO14</f>
        <v>2678306.75</v>
      </c>
      <c r="BP20" s="26">
        <f>股权价值增加表!BP13-股权价值增加表!BP14</f>
        <v>833994.81</v>
      </c>
      <c r="BQ20" s="26">
        <f>股权价值增加表!BQ13-股权价值增加表!BQ14</f>
        <v>4743567.9799999995</v>
      </c>
      <c r="BR20" s="26">
        <f>股权价值增加表!BR13-股权价值增加表!BR14</f>
        <v>4111644.7500000005</v>
      </c>
      <c r="BS20" s="26">
        <f>股权价值增加表!BS13-股权价值增加表!BS14</f>
        <v>6480793.1100000003</v>
      </c>
      <c r="BT20" s="26">
        <f>股权价值增加表!BT13-股权价值增加表!BT14</f>
        <v>3370697.7800000003</v>
      </c>
      <c r="BU20" s="26">
        <f>股权价值增加表!BU13-股权价值增加表!BU14</f>
        <v>6772533.6200000001</v>
      </c>
      <c r="BV20" s="26">
        <f>股权价值增加表!BV13-股权价值增加表!BV14</f>
        <v>651842.56000000006</v>
      </c>
      <c r="BW20" s="26">
        <f>股权价值增加表!BW13-股权价值增加表!BW14</f>
        <v>2968033.0300000003</v>
      </c>
      <c r="BX20" s="26">
        <f>股权价值增加表!BX13-股权价值增加表!BX14</f>
        <v>240080.35000000009</v>
      </c>
      <c r="BY20" s="26">
        <f>股权价值增加表!BY13-股权价值增加表!BY14</f>
        <v>1948963.6300000001</v>
      </c>
      <c r="BZ20" s="26">
        <f>股权价值增加表!BZ13-股权价值增加表!BZ14</f>
        <v>0</v>
      </c>
      <c r="CA20" s="26">
        <f>股权价值增加表!CA13-股权价值增加表!CA14</f>
        <v>1688326.91</v>
      </c>
      <c r="CB20" s="26">
        <f>股权价值增加表!CB13-股权价值增加表!CB14</f>
        <v>0</v>
      </c>
      <c r="CC20" s="26">
        <f>股权价值增加表!CC13-股权价值增加表!CC14</f>
        <v>3091777.1</v>
      </c>
      <c r="CD20" s="26">
        <f>股权价值增加表!CD13-股权价值增加表!CD14</f>
        <v>0</v>
      </c>
      <c r="CE20" s="26">
        <f>股权价值增加表!CE13-股权价值增加表!CE14</f>
        <v>-7854829.6799999997</v>
      </c>
      <c r="CF20" s="26">
        <f>股权价值增加表!CF13-股权价值增加表!CF14</f>
        <v>-188268.06</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c r="A21" s="20" t="s">
        <v>368</v>
      </c>
      <c r="E21" s="57">
        <f>E20/E2</f>
        <v>5.7368358459407786E-4</v>
      </c>
      <c r="F21" s="57">
        <f t="shared" ref="F21:BQ21" si="21">F20/F2</f>
        <v>3.6625827273082452E-2</v>
      </c>
      <c r="G21" s="57">
        <f t="shared" si="21"/>
        <v>3.7691039001868071E-2</v>
      </c>
      <c r="H21" s="57">
        <f t="shared" si="21"/>
        <v>4.271915791746643E-2</v>
      </c>
      <c r="I21" s="57">
        <f t="shared" si="21"/>
        <v>3.1422729734341751E-2</v>
      </c>
      <c r="J21" s="57">
        <f t="shared" si="21"/>
        <v>3.8978104906214693E-2</v>
      </c>
      <c r="K21" s="57">
        <f t="shared" si="21"/>
        <v>4.8904697496924457E-2</v>
      </c>
      <c r="L21" s="57">
        <f t="shared" si="21"/>
        <v>5.0320915304112285E-2</v>
      </c>
      <c r="M21" s="57">
        <f t="shared" si="21"/>
        <v>5.5931262549215655E-2</v>
      </c>
      <c r="N21" s="57">
        <f t="shared" si="21"/>
        <v>4.2142098122798996E-2</v>
      </c>
      <c r="O21" s="57">
        <f t="shared" si="21"/>
        <v>4.9102961754371829E-2</v>
      </c>
      <c r="P21" s="57">
        <f t="shared" si="21"/>
        <v>5.2428355681610285E-2</v>
      </c>
      <c r="Q21" s="57">
        <f t="shared" si="21"/>
        <v>6.6377661275148034E-2</v>
      </c>
      <c r="R21" s="57">
        <f t="shared" si="21"/>
        <v>2.41461871935926E-2</v>
      </c>
      <c r="S21" s="57">
        <f t="shared" si="21"/>
        <v>6.1437858104347026E-3</v>
      </c>
      <c r="T21" s="57">
        <f t="shared" si="21"/>
        <v>7.4924029592577553E-3</v>
      </c>
      <c r="U21" s="57">
        <f t="shared" si="21"/>
        <v>4.2925059309731103E-2</v>
      </c>
      <c r="V21" s="57">
        <f t="shared" si="21"/>
        <v>4.4133837597331638E-2</v>
      </c>
      <c r="W21" s="57">
        <f t="shared" si="21"/>
        <v>3.9326175891036706E-3</v>
      </c>
      <c r="X21" s="57">
        <f t="shared" si="21"/>
        <v>4.346908470955548E-3</v>
      </c>
      <c r="Y21" s="57">
        <f t="shared" si="21"/>
        <v>4.8673169382137768E-2</v>
      </c>
      <c r="Z21" s="57">
        <f t="shared" si="21"/>
        <v>4.0808436391283003E-2</v>
      </c>
      <c r="AA21" s="57">
        <f t="shared" si="21"/>
        <v>2.0156165703158535E-2</v>
      </c>
      <c r="AB21" s="57">
        <f t="shared" si="21"/>
        <v>2.3644008898988333E-2</v>
      </c>
      <c r="AC21" s="57">
        <f t="shared" si="21"/>
        <v>7.2475767243364242E-2</v>
      </c>
      <c r="AD21" s="57">
        <f t="shared" si="21"/>
        <v>2.2764178866495722E-2</v>
      </c>
      <c r="AE21" s="57">
        <f t="shared" si="21"/>
        <v>1.8897411947157938E-2</v>
      </c>
      <c r="AF21" s="57">
        <f t="shared" si="21"/>
        <v>5.0771066004062807E-3</v>
      </c>
      <c r="AG21" s="57">
        <f t="shared" si="21"/>
        <v>2.6320951913173928E-2</v>
      </c>
      <c r="AH21" s="57">
        <f t="shared" si="21"/>
        <v>3.0869762144328683E-2</v>
      </c>
      <c r="AI21" s="57">
        <f t="shared" si="21"/>
        <v>2.0934601137534731E-2</v>
      </c>
      <c r="AJ21" s="57">
        <f t="shared" si="21"/>
        <v>2.5064810291273075E-2</v>
      </c>
      <c r="AK21" s="57">
        <f t="shared" si="21"/>
        <v>5.8322090362473234E-3</v>
      </c>
      <c r="AL21" s="57">
        <f t="shared" si="21"/>
        <v>2.2534161732846924E-3</v>
      </c>
      <c r="AM21" s="57">
        <f t="shared" si="21"/>
        <v>4.1128069626206057E-3</v>
      </c>
      <c r="AN21" s="57">
        <f t="shared" si="21"/>
        <v>-2.3461397345162218E-3</v>
      </c>
      <c r="AO21" s="57">
        <f t="shared" si="21"/>
        <v>-4.9485541505656842E-4</v>
      </c>
      <c r="AP21" s="57">
        <f t="shared" si="21"/>
        <v>6.539393131087687E-4</v>
      </c>
      <c r="AQ21" s="57">
        <f t="shared" si="21"/>
        <v>9.5014889134807548E-4</v>
      </c>
      <c r="AR21" s="57">
        <f t="shared" si="21"/>
        <v>9.0564555843194745E-4</v>
      </c>
      <c r="AS21" s="57">
        <f t="shared" si="21"/>
        <v>-1.2418660695427044E-3</v>
      </c>
      <c r="AT21" s="57">
        <f t="shared" si="21"/>
        <v>1.1688246406124453E-4</v>
      </c>
      <c r="AU21" s="57">
        <f t="shared" si="21"/>
        <v>2.8743670086664783E-4</v>
      </c>
      <c r="AV21" s="57">
        <f t="shared" si="21"/>
        <v>8.8268673029398147E-4</v>
      </c>
      <c r="AW21" s="57">
        <f t="shared" si="21"/>
        <v>2.7382879821506771E-4</v>
      </c>
      <c r="AX21" s="57">
        <f t="shared" si="21"/>
        <v>4.8733730546581836E-5</v>
      </c>
      <c r="AY21" s="57">
        <f t="shared" si="21"/>
        <v>3.5837507537509313E-4</v>
      </c>
      <c r="AZ21" s="57">
        <f t="shared" si="21"/>
        <v>3.3690167435355134E-3</v>
      </c>
      <c r="BA21" s="57">
        <f t="shared" si="21"/>
        <v>3.9349012996447389E-4</v>
      </c>
      <c r="BB21" s="57">
        <f t="shared" si="21"/>
        <v>5.1566145180270109E-4</v>
      </c>
      <c r="BC21" s="57">
        <f t="shared" si="21"/>
        <v>4.337006357601473E-4</v>
      </c>
      <c r="BD21" s="57">
        <f t="shared" si="21"/>
        <v>8.5413885346718034E-4</v>
      </c>
      <c r="BE21" s="57">
        <f t="shared" si="21"/>
        <v>3.3803035992238141E-4</v>
      </c>
      <c r="BF21" s="57">
        <f t="shared" si="21"/>
        <v>3.0893540230609402E-4</v>
      </c>
      <c r="BG21" s="57">
        <f t="shared" si="21"/>
        <v>2.1946042660681193E-4</v>
      </c>
      <c r="BH21" s="57">
        <f t="shared" si="21"/>
        <v>-6.1913488825693019E-5</v>
      </c>
      <c r="BI21" s="57">
        <f t="shared" si="21"/>
        <v>9.5427302487545202E-4</v>
      </c>
      <c r="BJ21" s="57">
        <f t="shared" si="21"/>
        <v>1.5731620823138839E-3</v>
      </c>
      <c r="BK21" s="57">
        <f t="shared" si="21"/>
        <v>2.4556787804707668E-3</v>
      </c>
      <c r="BL21" s="57">
        <f t="shared" si="21"/>
        <v>4.7408084955799087E-3</v>
      </c>
      <c r="BM21" s="57">
        <f t="shared" si="21"/>
        <v>1.0731713890052468E-2</v>
      </c>
      <c r="BN21" s="57">
        <f t="shared" si="21"/>
        <v>1.6772061723518823E-2</v>
      </c>
      <c r="BO21" s="57">
        <f t="shared" si="21"/>
        <v>1.7792003430617518E-2</v>
      </c>
      <c r="BP21" s="57">
        <f t="shared" si="21"/>
        <v>1.2897579061141128E-2</v>
      </c>
      <c r="BQ21" s="57">
        <f t="shared" si="21"/>
        <v>1.7005924528781E-2</v>
      </c>
      <c r="BR21" s="57">
        <f t="shared" ref="BR21:CK21" si="22">BR20/BR2</f>
        <v>2.7078243271913213E-2</v>
      </c>
      <c r="BS21" s="57">
        <f t="shared" si="22"/>
        <v>2.0404635137940743E-2</v>
      </c>
      <c r="BT21" s="57">
        <f t="shared" si="22"/>
        <v>2.1628138068646975E-2</v>
      </c>
      <c r="BU21" s="57">
        <f t="shared" si="22"/>
        <v>2.5171217210225371E-2</v>
      </c>
      <c r="BV21" s="57">
        <f t="shared" si="22"/>
        <v>5.2624376580934018E-3</v>
      </c>
      <c r="BW21" s="57">
        <f t="shared" si="22"/>
        <v>1.7219971217302038E-2</v>
      </c>
      <c r="BX21" s="57">
        <f t="shared" si="22"/>
        <v>2.4801107691638132E-3</v>
      </c>
      <c r="BY21" s="57">
        <f t="shared" si="22"/>
        <v>8.8983826723506403E-3</v>
      </c>
      <c r="BZ21" s="57">
        <f t="shared" si="22"/>
        <v>0</v>
      </c>
      <c r="CA21" s="57">
        <f t="shared" si="22"/>
        <v>1.0979796027300415E-2</v>
      </c>
      <c r="CB21" s="57">
        <f t="shared" si="22"/>
        <v>0</v>
      </c>
      <c r="CC21" s="57">
        <f t="shared" si="22"/>
        <v>2.0573774272009956E-2</v>
      </c>
      <c r="CD21" s="57">
        <f t="shared" si="22"/>
        <v>0</v>
      </c>
      <c r="CE21" s="57">
        <f t="shared" si="22"/>
        <v>-4.564032330699843E-2</v>
      </c>
      <c r="CF21" s="57">
        <f t="shared" si="22"/>
        <v>-1.3986363191919552E-3</v>
      </c>
      <c r="CG21" s="57">
        <f t="shared" si="22"/>
        <v>0</v>
      </c>
      <c r="CH21" s="57">
        <f t="shared" si="22"/>
        <v>0</v>
      </c>
      <c r="CI21" s="57" t="e">
        <f t="shared" si="22"/>
        <v>#DIV/0!</v>
      </c>
      <c r="CJ21" s="57" t="e">
        <f t="shared" si="22"/>
        <v>#DIV/0!</v>
      </c>
      <c r="CK21" s="57" t="e">
        <f t="shared" si="22"/>
        <v>#DIV/0!</v>
      </c>
    </row>
    <row r="22" spans="1:89" s="66" customFormat="1">
      <c r="A22" s="46" t="s">
        <v>369</v>
      </c>
      <c r="E22" s="66">
        <f>E11+E13+E15+E17+E19+E21</f>
        <v>0.16524892790252452</v>
      </c>
      <c r="F22" s="66">
        <f t="shared" ref="F22:BQ22" si="23">F11+F13+F15+F17+F19+F21</f>
        <v>0.17997216462514753</v>
      </c>
      <c r="G22" s="66">
        <f t="shared" si="23"/>
        <v>0.19303264268521175</v>
      </c>
      <c r="H22" s="66">
        <f t="shared" si="23"/>
        <v>0.2016565344683201</v>
      </c>
      <c r="I22" s="66">
        <f t="shared" si="23"/>
        <v>0.21415371448791432</v>
      </c>
      <c r="J22" s="66">
        <f t="shared" si="23"/>
        <v>0.21937548656301631</v>
      </c>
      <c r="K22" s="66">
        <f t="shared" si="23"/>
        <v>0.23546348027119957</v>
      </c>
      <c r="L22" s="66">
        <f t="shared" si="23"/>
        <v>0.23736561225023228</v>
      </c>
      <c r="M22" s="66">
        <f t="shared" si="23"/>
        <v>0.21803864055676572</v>
      </c>
      <c r="N22" s="66">
        <f t="shared" si="23"/>
        <v>0.20382371448520042</v>
      </c>
      <c r="O22" s="66">
        <f t="shared" si="23"/>
        <v>0.20036563094383841</v>
      </c>
      <c r="P22" s="66">
        <f t="shared" si="23"/>
        <v>0.2041658164705755</v>
      </c>
      <c r="Q22" s="66">
        <f t="shared" si="23"/>
        <v>0.21575114333783857</v>
      </c>
      <c r="R22" s="66">
        <f t="shared" si="23"/>
        <v>0.16676010131285526</v>
      </c>
      <c r="S22" s="66">
        <f t="shared" si="23"/>
        <v>0.13353204013147998</v>
      </c>
      <c r="T22" s="66">
        <f t="shared" si="23"/>
        <v>0.1336890909581511</v>
      </c>
      <c r="U22" s="66">
        <f t="shared" si="23"/>
        <v>0.17697724497834461</v>
      </c>
      <c r="V22" s="66">
        <f t="shared" si="23"/>
        <v>0.16258571501109137</v>
      </c>
      <c r="W22" s="66">
        <f t="shared" si="23"/>
        <v>0.12949783301036258</v>
      </c>
      <c r="X22" s="66">
        <f t="shared" si="23"/>
        <v>0.12983891335152942</v>
      </c>
      <c r="Y22" s="66">
        <f t="shared" si="23"/>
        <v>0.16737418394129019</v>
      </c>
      <c r="Z22" s="66">
        <f t="shared" si="23"/>
        <v>0.14061689914918446</v>
      </c>
      <c r="AA22" s="66">
        <f t="shared" si="23"/>
        <v>0.11623131118967944</v>
      </c>
      <c r="AB22" s="66">
        <f t="shared" si="23"/>
        <v>0.12015654052223686</v>
      </c>
      <c r="AC22" s="66">
        <f t="shared" si="23"/>
        <v>0.17463998198770303</v>
      </c>
      <c r="AD22" s="66">
        <f t="shared" si="23"/>
        <v>0.11374985625859384</v>
      </c>
      <c r="AE22" s="66">
        <f t="shared" si="23"/>
        <v>0.11645312824235726</v>
      </c>
      <c r="AF22" s="66">
        <f t="shared" si="23"/>
        <v>0.10379927005084495</v>
      </c>
      <c r="AG22" s="66">
        <f t="shared" si="23"/>
        <v>0.12751137907447443</v>
      </c>
      <c r="AH22" s="66">
        <f t="shared" si="23"/>
        <v>0.13280371305966215</v>
      </c>
      <c r="AI22" s="66">
        <f t="shared" si="23"/>
        <v>0.11650707457209757</v>
      </c>
      <c r="AJ22" s="66">
        <f t="shared" si="23"/>
        <v>0.12843614813040813</v>
      </c>
      <c r="AK22" s="66">
        <f t="shared" si="23"/>
        <v>0.15193228277571985</v>
      </c>
      <c r="AL22" s="66">
        <f t="shared" si="23"/>
        <v>0.10856161357525995</v>
      </c>
      <c r="AM22" s="66">
        <f t="shared" si="23"/>
        <v>0.12844998354498427</v>
      </c>
      <c r="AN22" s="66">
        <f t="shared" si="23"/>
        <v>0.14656273241607562</v>
      </c>
      <c r="AO22" s="66">
        <f t="shared" si="23"/>
        <v>0.19133776963818167</v>
      </c>
      <c r="AP22" s="66">
        <f t="shared" si="23"/>
        <v>0.13623778302829412</v>
      </c>
      <c r="AQ22" s="66">
        <f t="shared" si="23"/>
        <v>0.13749577879839739</v>
      </c>
      <c r="AR22" s="66">
        <f t="shared" si="23"/>
        <v>0.10837813274992901</v>
      </c>
      <c r="AS22" s="66">
        <f t="shared" si="23"/>
        <v>9.0072452098845235E-2</v>
      </c>
      <c r="AT22" s="66">
        <f t="shared" si="23"/>
        <v>8.4290528633488696E-2</v>
      </c>
      <c r="AU22" s="66">
        <f t="shared" si="23"/>
        <v>8.7019094699272714E-2</v>
      </c>
      <c r="AV22" s="66">
        <f t="shared" si="23"/>
        <v>0.10519835263760097</v>
      </c>
      <c r="AW22" s="66">
        <f t="shared" si="23"/>
        <v>9.19269392654819E-2</v>
      </c>
      <c r="AX22" s="66">
        <f t="shared" si="23"/>
        <v>9.4529845131612444E-2</v>
      </c>
      <c r="AY22" s="66">
        <f t="shared" si="23"/>
        <v>0.10038779476271181</v>
      </c>
      <c r="AZ22" s="66">
        <f t="shared" si="23"/>
        <v>0.11585252874654399</v>
      </c>
      <c r="BA22" s="66">
        <f t="shared" si="23"/>
        <v>0.10239869339971075</v>
      </c>
      <c r="BB22" s="66">
        <f t="shared" si="23"/>
        <v>9.0997767530799883E-2</v>
      </c>
      <c r="BC22" s="66">
        <f t="shared" si="23"/>
        <v>8.8916242806814039E-2</v>
      </c>
      <c r="BD22" s="66">
        <f t="shared" si="23"/>
        <v>0.10806607406788125</v>
      </c>
      <c r="BE22" s="66">
        <f t="shared" si="23"/>
        <v>9.7721485269367248E-2</v>
      </c>
      <c r="BF22" s="66">
        <f t="shared" si="23"/>
        <v>9.6695164311753706E-2</v>
      </c>
      <c r="BG22" s="66">
        <f t="shared" si="23"/>
        <v>9.6213265127065906E-2</v>
      </c>
      <c r="BH22" s="66">
        <f t="shared" si="23"/>
        <v>9.9192844203502911E-2</v>
      </c>
      <c r="BI22" s="66">
        <f t="shared" si="23"/>
        <v>0.10676501335614469</v>
      </c>
      <c r="BJ22" s="66">
        <f t="shared" si="23"/>
        <v>0.11096639607379576</v>
      </c>
      <c r="BK22" s="66">
        <f t="shared" si="23"/>
        <v>0.12452807371224778</v>
      </c>
      <c r="BL22" s="66">
        <f t="shared" si="23"/>
        <v>0.1273604000260494</v>
      </c>
      <c r="BM22" s="66">
        <f t="shared" si="23"/>
        <v>0.27980079609364727</v>
      </c>
      <c r="BN22" s="66">
        <f t="shared" si="23"/>
        <v>0.19837203576697252</v>
      </c>
      <c r="BO22" s="66">
        <f t="shared" si="23"/>
        <v>0.13495779063591504</v>
      </c>
      <c r="BP22" s="66">
        <f t="shared" si="23"/>
        <v>0.11976863180296674</v>
      </c>
      <c r="BQ22" s="66">
        <f t="shared" si="23"/>
        <v>0.14669342848045747</v>
      </c>
      <c r="BR22" s="66">
        <f t="shared" ref="BR22:CJ22" si="24">BR11+BR13+BR15+BR17+BR19+BR21</f>
        <v>0.13523625740520739</v>
      </c>
      <c r="BS22" s="66">
        <f t="shared" si="24"/>
        <v>0.14034293882690085</v>
      </c>
      <c r="BT22" s="66">
        <f t="shared" si="24"/>
        <v>0.13168005620027673</v>
      </c>
      <c r="BU22" s="66">
        <f t="shared" si="24"/>
        <v>0.15614009272418697</v>
      </c>
      <c r="BV22" s="66">
        <f t="shared" si="24"/>
        <v>0.11950032842385669</v>
      </c>
      <c r="BW22" s="66">
        <f t="shared" si="24"/>
        <v>0.1658000041820509</v>
      </c>
      <c r="BX22" s="66">
        <f t="shared" si="24"/>
        <v>0.14207091716057851</v>
      </c>
      <c r="BY22" s="66">
        <f t="shared" si="24"/>
        <v>0.13891285476155477</v>
      </c>
      <c r="BZ22" s="66">
        <f t="shared" si="24"/>
        <v>0</v>
      </c>
      <c r="CA22" s="66">
        <f t="shared" si="24"/>
        <v>0.1800493097999257</v>
      </c>
      <c r="CB22" s="66">
        <f t="shared" si="24"/>
        <v>0</v>
      </c>
      <c r="CC22" s="66">
        <f t="shared" si="24"/>
        <v>0.18130019234175287</v>
      </c>
      <c r="CD22" s="66">
        <f t="shared" si="24"/>
        <v>0</v>
      </c>
      <c r="CE22" s="66">
        <f t="shared" si="24"/>
        <v>8.9045156488376992E-2</v>
      </c>
      <c r="CF22" s="66">
        <f t="shared" si="24"/>
        <v>0.12437895386074604</v>
      </c>
      <c r="CG22" s="66">
        <f t="shared" si="24"/>
        <v>0</v>
      </c>
      <c r="CH22" s="66">
        <f t="shared" si="24"/>
        <v>0</v>
      </c>
      <c r="CI22" s="66" t="e">
        <f t="shared" si="24"/>
        <v>#DIV/0!</v>
      </c>
      <c r="CJ22" s="66" t="e">
        <f t="shared" si="24"/>
        <v>#DIV/0!</v>
      </c>
    </row>
    <row r="23" spans="1:89" s="27" customFormat="1">
      <c r="A23" s="128" t="s">
        <v>370</v>
      </c>
      <c r="E23" s="27">
        <f>股权价值增加表!E17</f>
        <v>406746924.21593702</v>
      </c>
      <c r="F23" s="27">
        <f>股权价值增加表!F17</f>
        <v>902402234.2797358</v>
      </c>
      <c r="G23" s="27">
        <f>股权价值增加表!G17</f>
        <v>544473266.12570262</v>
      </c>
      <c r="H23" s="27">
        <f>股权价值增加表!H17</f>
        <v>286526652.02170008</v>
      </c>
      <c r="I23" s="27">
        <f>股权价值增加表!I17</f>
        <v>465865913.45171851</v>
      </c>
      <c r="J23" s="27">
        <f>股权价值增加表!J17</f>
        <v>378604029.75899744</v>
      </c>
      <c r="K23" s="27">
        <f>股权价值增加表!K17</f>
        <v>272812751.17651552</v>
      </c>
      <c r="L23" s="27">
        <f>股权价值增加表!L17</f>
        <v>132277579.43007907</v>
      </c>
      <c r="M23" s="27">
        <f>股权价值增加表!M17</f>
        <v>555565197.56197929</v>
      </c>
      <c r="N23" s="27">
        <f>股权价值增加表!N17</f>
        <v>365270948.87189913</v>
      </c>
      <c r="O23" s="27">
        <f>股权价值增加表!O17</f>
        <v>301106264.83988869</v>
      </c>
      <c r="P23" s="27">
        <f>股权价值增加表!P17</f>
        <v>167322476.57173875</v>
      </c>
      <c r="Q23" s="27">
        <f>股权价值增加表!Q17</f>
        <v>845888729.21588802</v>
      </c>
      <c r="R23" s="27">
        <f>股权价值增加表!R17</f>
        <v>488915451.77126336</v>
      </c>
      <c r="S23" s="27">
        <f>股权价值增加表!S17</f>
        <v>185818857.5159927</v>
      </c>
      <c r="T23" s="27">
        <f>股权价值增加表!T17</f>
        <v>83704395.46624209</v>
      </c>
      <c r="U23" s="27">
        <f>股权价值增加表!U17</f>
        <v>359042060.08823431</v>
      </c>
      <c r="V23" s="27">
        <f>股权价值增加表!V17</f>
        <v>291138682.70713544</v>
      </c>
      <c r="W23" s="27">
        <f>股权价值增加表!W17</f>
        <v>118742575.60274661</v>
      </c>
      <c r="X23" s="27">
        <f>股权价值增加表!X17</f>
        <v>21950597.72742334</v>
      </c>
      <c r="Y23" s="27">
        <f>股权价值增加表!Y17</f>
        <v>290956842.01437891</v>
      </c>
      <c r="Z23" s="27">
        <f>股权价值增加表!Z17</f>
        <v>261056755.62083575</v>
      </c>
      <c r="AA23" s="27">
        <f>股权价值增加表!AA17</f>
        <v>144783733.78154743</v>
      </c>
      <c r="AB23" s="27">
        <f>股权价值增加表!AB17</f>
        <v>15905132.22664981</v>
      </c>
      <c r="AC23" s="27">
        <f>股权价值增加表!AC17</f>
        <v>384571284.28996211</v>
      </c>
      <c r="AD23" s="27">
        <f>股权价值增加表!AD17</f>
        <v>183276416.66834313</v>
      </c>
      <c r="AE23" s="27">
        <f>股权价值增加表!AE17</f>
        <v>126851729.96085526</v>
      </c>
      <c r="AF23" s="27">
        <f>股权价值增加表!AF17</f>
        <v>36492960.108880259</v>
      </c>
      <c r="AG23" s="27">
        <f>股权价值增加表!AG17</f>
        <v>230409965.00977856</v>
      </c>
      <c r="AH23" s="27">
        <f>股权价值增加表!AH17</f>
        <v>196127074.88418639</v>
      </c>
      <c r="AI23" s="27">
        <f>股权价值增加表!AI17</f>
        <v>114784786.39112578</v>
      </c>
      <c r="AJ23" s="27">
        <f>股权价值增加表!AJ17</f>
        <v>28077474.613805059</v>
      </c>
      <c r="AK23" s="27">
        <f>股权价值增加表!AK17</f>
        <v>-187398164.35087103</v>
      </c>
      <c r="AL23" s="27">
        <f>股权价值增加表!AL17</f>
        <v>-108780236.59110314</v>
      </c>
      <c r="AM23" s="27">
        <f>股权价值增加表!AM17</f>
        <v>-125445333.00908056</v>
      </c>
      <c r="AN23" s="27">
        <f>股权价值增加表!AN17</f>
        <v>-79348977.804041222</v>
      </c>
      <c r="AO23" s="27">
        <f>股权价值增加表!AO17</f>
        <v>-68163972.814109012</v>
      </c>
      <c r="AP23" s="27">
        <f>股权价值增加表!AP17</f>
        <v>1625786.3575294116</v>
      </c>
      <c r="AQ23" s="27">
        <f>股权价值增加表!AQ17</f>
        <v>13701082.613251144</v>
      </c>
      <c r="AR23" s="27">
        <f>股权价值增加表!AR17</f>
        <v>15164840.880997898</v>
      </c>
      <c r="AS23" s="27">
        <f>股权价值增加表!AS17</f>
        <v>105821004.68961146</v>
      </c>
      <c r="AT23" s="27">
        <f>股权价值增加表!AT17</f>
        <v>84368102.442169949</v>
      </c>
      <c r="AU23" s="27">
        <f>股权价值增加表!AU17</f>
        <v>55394636.749334246</v>
      </c>
      <c r="AV23" s="27">
        <f>股权价值增加表!AV17</f>
        <v>21318171.182774231</v>
      </c>
      <c r="AW23" s="27">
        <f>股权价值增加表!AW17</f>
        <v>124377465.60086913</v>
      </c>
      <c r="AX23" s="27">
        <f>股权价值增加表!AX17</f>
        <v>93650462.214866966</v>
      </c>
      <c r="AY23" s="27">
        <f>股权价值增加表!AY17</f>
        <v>53051492.241214298</v>
      </c>
      <c r="AZ23" s="27">
        <f>股权价值增加表!AZ17</f>
        <v>18688042.072993647</v>
      </c>
      <c r="BA23" s="27">
        <f>股权价值增加表!BA17</f>
        <v>74266289.460566685</v>
      </c>
      <c r="BB23" s="27">
        <f>股权价值增加表!BB17</f>
        <v>55542401.90799544</v>
      </c>
      <c r="BC23" s="27">
        <f>股权价值增加表!BC17</f>
        <v>43938819.182859212</v>
      </c>
      <c r="BD23" s="27">
        <f>股权价值增加表!BD17</f>
        <v>17197203.011238184</v>
      </c>
      <c r="BE23" s="27">
        <f>股权价值增加表!BE17</f>
        <v>111239509.55934747</v>
      </c>
      <c r="BF23" s="27">
        <f>股权价值增加表!BF17</f>
        <v>58026336.445437618</v>
      </c>
      <c r="BG23" s="27">
        <f>股权价值增加表!BG17</f>
        <v>42192781.825825959</v>
      </c>
      <c r="BH23" s="27">
        <f>股权价值增加表!BH17</f>
        <v>15242783.316045642</v>
      </c>
      <c r="BI23" s="27">
        <f>股权价值增加表!BI17</f>
        <v>58945243.950656727</v>
      </c>
      <c r="BJ23" s="27">
        <f>股权价值增加表!BJ17</f>
        <v>35834360.362321883</v>
      </c>
      <c r="BK23" s="27">
        <f>股权价值增加表!BK17</f>
        <v>26385693.197464626</v>
      </c>
      <c r="BL23" s="27">
        <f>股权价值增加表!BL17</f>
        <v>14469200.470061118</v>
      </c>
      <c r="BM23" s="27">
        <f>股权价值增加表!BM17</f>
        <v>-17578958.691503592</v>
      </c>
      <c r="BN23" s="27">
        <f>股权价值增加表!BN17</f>
        <v>6544641.885231805</v>
      </c>
      <c r="BO23" s="27">
        <f>股权价值增加表!BO17</f>
        <v>16247141.115334857</v>
      </c>
      <c r="BP23" s="27">
        <f>股权价值增加表!BP17</f>
        <v>8255540.7192892861</v>
      </c>
      <c r="BQ23" s="27">
        <f>股权价值增加表!BQ17</f>
        <v>18948426.630417634</v>
      </c>
      <c r="BR23" s="27">
        <f>股权价值增加表!BR17</f>
        <v>19574648.414641917</v>
      </c>
      <c r="BS23" s="27">
        <f>股权价值增加表!BS17</f>
        <v>34496217.437620215</v>
      </c>
      <c r="BT23" s="27">
        <f>股权价值增加表!BT17</f>
        <v>17330390.898583587</v>
      </c>
      <c r="BU23" s="27">
        <f>股权价值增加表!BU17</f>
        <v>22795480.073587801</v>
      </c>
      <c r="BV23" s="27">
        <f>股权价值增加表!BV17</f>
        <v>10417314.950530024</v>
      </c>
      <c r="BW23" s="27">
        <f>股权价值增加表!BW17</f>
        <v>25023335.192204256</v>
      </c>
      <c r="BX23" s="27">
        <f>股权价值增加表!BX17</f>
        <v>13663113.940776685</v>
      </c>
      <c r="BY23" s="27">
        <f>股权价值增加表!BY17</f>
        <v>40327222.896910556</v>
      </c>
      <c r="BZ23" s="27">
        <f>股权价值增加表!BZ17</f>
        <v>102088102.5561194</v>
      </c>
      <c r="CA23" s="27">
        <f>股权价值增加表!CA17</f>
        <v>14531749.316197362</v>
      </c>
      <c r="CB23" s="27">
        <f>股权价值增加表!CB17</f>
        <v>64552337.00506103</v>
      </c>
      <c r="CC23" s="27">
        <f>股权价值增加表!CC17</f>
        <v>33805960.573324539</v>
      </c>
      <c r="CD23" s="27">
        <f>股权价值增加表!CD17</f>
        <v>71470000</v>
      </c>
      <c r="CE23" s="27">
        <f>股权价值增加表!CE17</f>
        <v>34343555.175703384</v>
      </c>
      <c r="CF23" s="27">
        <f>股权价值增加表!CF17</f>
        <v>23362974.873189084</v>
      </c>
      <c r="CG23" s="27">
        <f>股权价值增加表!CG17</f>
        <v>31780600</v>
      </c>
      <c r="CH23" s="27">
        <f>股权价值增加表!CH17</f>
        <v>15431400</v>
      </c>
      <c r="CI23" s="27" t="e">
        <f>股权价值增加表!CI17</f>
        <v>#DIV/0!</v>
      </c>
      <c r="CJ23" s="27" t="e">
        <f>股权价值增加表!CJ17</f>
        <v>#DIV/0!</v>
      </c>
    </row>
    <row r="24" spans="1:89" s="57" customFormat="1">
      <c r="A24" s="20" t="s">
        <v>371</v>
      </c>
      <c r="E24" s="57">
        <f>E23/E2</f>
        <v>2.9027433363361686E-2</v>
      </c>
      <c r="F24" s="57">
        <f t="shared" ref="F24:BQ24" si="25">F23/F2</f>
        <v>8.9335579125492004E-2</v>
      </c>
      <c r="G24" s="57">
        <f t="shared" si="25"/>
        <v>8.7756423562843633E-2</v>
      </c>
      <c r="H24" s="57">
        <f t="shared" si="25"/>
        <v>9.8711334224209898E-2</v>
      </c>
      <c r="I24" s="57">
        <f t="shared" si="25"/>
        <v>4.338981856075521E-2</v>
      </c>
      <c r="J24" s="57">
        <f t="shared" si="25"/>
        <v>4.8830631853433816E-2</v>
      </c>
      <c r="K24" s="57">
        <f t="shared" si="25"/>
        <v>5.4886896479266374E-2</v>
      </c>
      <c r="L24" s="57">
        <f t="shared" si="25"/>
        <v>5.3956929061132981E-2</v>
      </c>
      <c r="M24" s="57">
        <f t="shared" si="25"/>
        <v>5.2760214040185778E-2</v>
      </c>
      <c r="N24" s="57">
        <f t="shared" si="25"/>
        <v>4.6837404657890047E-2</v>
      </c>
      <c r="O24" s="57">
        <f t="shared" si="25"/>
        <v>5.8606009265416641E-2</v>
      </c>
      <c r="P24" s="57">
        <f t="shared" si="25"/>
        <v>6.856867761229278E-2</v>
      </c>
      <c r="Q24" s="57">
        <f t="shared" si="25"/>
        <v>9.0737584285856168E-2</v>
      </c>
      <c r="R24" s="57">
        <f t="shared" si="25"/>
        <v>7.4822584679622176E-2</v>
      </c>
      <c r="S24" s="57">
        <f t="shared" si="25"/>
        <v>7.4758394773626557E-2</v>
      </c>
      <c r="T24" s="57">
        <f t="shared" si="25"/>
        <v>7.0951049131337096E-2</v>
      </c>
      <c r="U24" s="57">
        <f t="shared" si="25"/>
        <v>7.9445022175882687E-2</v>
      </c>
      <c r="V24" s="57">
        <f t="shared" si="25"/>
        <v>8.3249177040927561E-2</v>
      </c>
      <c r="W24" s="57">
        <f t="shared" si="25"/>
        <v>5.2748531629051625E-2</v>
      </c>
      <c r="X24" s="57">
        <f t="shared" si="25"/>
        <v>2.1098545208323952E-2</v>
      </c>
      <c r="Y24" s="57">
        <f t="shared" si="25"/>
        <v>6.7140616865496813E-2</v>
      </c>
      <c r="Z24" s="57">
        <f t="shared" si="25"/>
        <v>7.888764707838096E-2</v>
      </c>
      <c r="AA24" s="57">
        <f t="shared" si="25"/>
        <v>6.4713055318691148E-2</v>
      </c>
      <c r="AB24" s="57">
        <f t="shared" si="25"/>
        <v>1.617507661941836E-2</v>
      </c>
      <c r="AC24" s="57">
        <f t="shared" si="25"/>
        <v>8.3331314403852566E-2</v>
      </c>
      <c r="AD24" s="57">
        <f t="shared" si="25"/>
        <v>5.4677652318005525E-2</v>
      </c>
      <c r="AE24" s="57">
        <f t="shared" si="25"/>
        <v>6.0141682418055634E-2</v>
      </c>
      <c r="AF24" s="57">
        <f t="shared" si="25"/>
        <v>3.5890926600485602E-2</v>
      </c>
      <c r="AG24" s="57">
        <f t="shared" si="25"/>
        <v>6.6704069648354194E-2</v>
      </c>
      <c r="AH24" s="57">
        <f t="shared" si="25"/>
        <v>8.4107027942806362E-2</v>
      </c>
      <c r="AI24" s="57">
        <f t="shared" si="25"/>
        <v>7.742644365458122E-2</v>
      </c>
      <c r="AJ24" s="57">
        <f t="shared" si="25"/>
        <v>4.2867019513877211E-2</v>
      </c>
      <c r="AK24" s="57">
        <f t="shared" si="25"/>
        <v>-8.5552452385056585E-2</v>
      </c>
      <c r="AL24" s="57">
        <f t="shared" si="25"/>
        <v>-6.8751021343231536E-2</v>
      </c>
      <c r="AM24" s="57">
        <f t="shared" si="25"/>
        <v>-0.1429468665542788</v>
      </c>
      <c r="AN24" s="57">
        <f t="shared" si="25"/>
        <v>-0.22736973927111948</v>
      </c>
      <c r="AO24" s="57">
        <f t="shared" si="25"/>
        <v>-4.9528683891255865E-2</v>
      </c>
      <c r="AP24" s="57">
        <f t="shared" si="25"/>
        <v>1.5646772717173812E-3</v>
      </c>
      <c r="AQ24" s="57">
        <f t="shared" si="25"/>
        <v>1.9906752014644258E-2</v>
      </c>
      <c r="AR24" s="57">
        <f t="shared" si="25"/>
        <v>4.3862016930196382E-2</v>
      </c>
      <c r="AS24" s="57">
        <f t="shared" si="25"/>
        <v>6.1468383663976771E-2</v>
      </c>
      <c r="AT24" s="57">
        <f t="shared" si="25"/>
        <v>6.8421211606548002E-2</v>
      </c>
      <c r="AU24" s="57">
        <f t="shared" si="25"/>
        <v>7.2241930523196496E-2</v>
      </c>
      <c r="AV24" s="57">
        <f t="shared" si="25"/>
        <v>6.027524552571592E-2</v>
      </c>
      <c r="AW24" s="57">
        <f t="shared" si="25"/>
        <v>8.2304799825661606E-2</v>
      </c>
      <c r="AX24" s="57">
        <f t="shared" si="25"/>
        <v>9.1692296758141362E-2</v>
      </c>
      <c r="AY24" s="57">
        <f t="shared" si="25"/>
        <v>8.2804634917110542E-2</v>
      </c>
      <c r="AZ24" s="57">
        <f t="shared" si="25"/>
        <v>7.3971374856975497E-2</v>
      </c>
      <c r="BA24" s="57">
        <f t="shared" si="25"/>
        <v>6.7363373457650769E-2</v>
      </c>
      <c r="BB24" s="57">
        <f t="shared" si="25"/>
        <v>7.3344717738399276E-2</v>
      </c>
      <c r="BC24" s="57">
        <f t="shared" si="25"/>
        <v>8.3685448455947775E-2</v>
      </c>
      <c r="BD24" s="57">
        <f t="shared" si="25"/>
        <v>7.2937083583401965E-2</v>
      </c>
      <c r="BE24" s="57">
        <f t="shared" si="25"/>
        <v>0.1038735539824472</v>
      </c>
      <c r="BF24" s="57">
        <f t="shared" si="25"/>
        <v>8.8125395859415728E-2</v>
      </c>
      <c r="BG24" s="57">
        <f t="shared" si="25"/>
        <v>9.5754628576485867E-2</v>
      </c>
      <c r="BH24" s="57">
        <f t="shared" si="25"/>
        <v>8.7034950559657334E-2</v>
      </c>
      <c r="BI24" s="57">
        <f t="shared" si="25"/>
        <v>9.2713244876289791E-2</v>
      </c>
      <c r="BJ24" s="57">
        <f t="shared" si="25"/>
        <v>8.0678731787547919E-2</v>
      </c>
      <c r="BK24" s="57">
        <f t="shared" si="25"/>
        <v>0.10166208108640344</v>
      </c>
      <c r="BL24" s="57">
        <f t="shared" si="25"/>
        <v>0.13285935442838259</v>
      </c>
      <c r="BM24" s="57">
        <f t="shared" si="25"/>
        <v>-5.3993765560190081E-2</v>
      </c>
      <c r="BN24" s="57">
        <f t="shared" si="25"/>
        <v>2.7017188493941177E-2</v>
      </c>
      <c r="BO24" s="57">
        <f t="shared" si="25"/>
        <v>0.10792982934526252</v>
      </c>
      <c r="BP24" s="57">
        <f t="shared" si="25"/>
        <v>0.12767044571836539</v>
      </c>
      <c r="BQ24" s="57">
        <f t="shared" si="25"/>
        <v>6.7931041480726581E-2</v>
      </c>
      <c r="BR24" s="57">
        <f t="shared" ref="BR24:CJ24" si="26">BR23/BR2</f>
        <v>0.12891364015187451</v>
      </c>
      <c r="BS24" s="57">
        <f t="shared" si="26"/>
        <v>0.10861058492479936</v>
      </c>
      <c r="BT24" s="57">
        <f t="shared" si="26"/>
        <v>0.11120073990679423</v>
      </c>
      <c r="BU24" s="57">
        <f t="shared" si="26"/>
        <v>8.4723090727697681E-2</v>
      </c>
      <c r="BV24" s="57">
        <f t="shared" si="26"/>
        <v>8.4100784232144343E-2</v>
      </c>
      <c r="BW24" s="57">
        <f t="shared" si="26"/>
        <v>0.14518069961325816</v>
      </c>
      <c r="BX24" s="57">
        <f t="shared" si="26"/>
        <v>0.14114456274673237</v>
      </c>
      <c r="BY24" s="57">
        <f t="shared" si="26"/>
        <v>0.1841219897212196</v>
      </c>
      <c r="BZ24" s="57">
        <f t="shared" si="26"/>
        <v>0.98094342995667339</v>
      </c>
      <c r="CA24" s="57">
        <f t="shared" si="26"/>
        <v>9.4505182892399273E-2</v>
      </c>
      <c r="CB24" s="57">
        <f t="shared" si="26"/>
        <v>0.98779398630544801</v>
      </c>
      <c r="CC24" s="57">
        <f t="shared" si="26"/>
        <v>0.22495677385153262</v>
      </c>
      <c r="CD24" s="57">
        <f t="shared" si="26"/>
        <v>0.98092231677189134</v>
      </c>
      <c r="CE24" s="57">
        <f t="shared" si="26"/>
        <v>0.19955250789484233</v>
      </c>
      <c r="CF24" s="57">
        <f t="shared" si="26"/>
        <v>0.17356265944425897</v>
      </c>
      <c r="CG24" s="57">
        <f t="shared" si="26"/>
        <v>0.28654301129560439</v>
      </c>
      <c r="CH24" s="57">
        <f t="shared" si="26"/>
        <v>0.26022377551622666</v>
      </c>
      <c r="CI24" s="57" t="e">
        <f t="shared" si="26"/>
        <v>#DIV/0!</v>
      </c>
      <c r="CJ24" s="57" t="e">
        <f t="shared" si="26"/>
        <v>#DIV/0!</v>
      </c>
    </row>
    <row r="25" spans="1:89" s="16" customFormat="1" ht="369.6" customHeight="1" thickBot="1">
      <c r="A25" s="283" t="s">
        <v>669</v>
      </c>
      <c r="B25" s="284"/>
      <c r="C25" s="284"/>
      <c r="D25" s="284"/>
      <c r="E25" s="284"/>
      <c r="F25" s="284"/>
      <c r="G25" s="284"/>
      <c r="H25" s="284"/>
      <c r="I25" s="284"/>
      <c r="J25" s="284"/>
      <c r="K25" s="284"/>
      <c r="L25" s="284"/>
      <c r="M25" s="284"/>
      <c r="N25" s="284"/>
      <c r="O25" s="284"/>
      <c r="P25" s="284"/>
      <c r="Q25" s="284"/>
      <c r="R25" s="284"/>
      <c r="S25" s="284"/>
      <c r="T25" s="284"/>
      <c r="U25" s="284"/>
      <c r="V25" s="284"/>
      <c r="W25" s="284"/>
      <c r="X25" s="284"/>
      <c r="Y25" s="284"/>
      <c r="Z25" s="284"/>
      <c r="AA25" s="284"/>
      <c r="AB25" s="284"/>
      <c r="AC25" s="284"/>
      <c r="AD25" s="284"/>
      <c r="AE25" s="284"/>
      <c r="AF25" s="284"/>
      <c r="AG25" s="284"/>
    </row>
    <row r="26" spans="1:89" s="63" customFormat="1" ht="14.25" thickBot="1">
      <c r="A26" s="150" t="s">
        <v>599</v>
      </c>
      <c r="B26" s="151"/>
      <c r="C26" s="151"/>
      <c r="D26" s="151"/>
      <c r="E26" s="152">
        <f>POWER(E2/Y2,1/6)-1</f>
        <v>0.21603310694040889</v>
      </c>
    </row>
    <row r="27" spans="1:89" s="26" customFormat="1">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37072</v>
      </c>
      <c r="BS27" s="1">
        <v>36891</v>
      </c>
      <c r="BT27" s="1">
        <v>36707</v>
      </c>
      <c r="BU27" s="1">
        <v>36525</v>
      </c>
      <c r="BV27" s="1">
        <v>36341</v>
      </c>
      <c r="BW27" s="1">
        <v>36160</v>
      </c>
      <c r="BX27" s="1">
        <v>35976</v>
      </c>
      <c r="BY27" s="1">
        <v>35795</v>
      </c>
      <c r="BZ27" s="1">
        <v>35611</v>
      </c>
      <c r="CA27" s="1">
        <v>35430</v>
      </c>
      <c r="CB27" s="1">
        <v>35246</v>
      </c>
      <c r="CC27" s="1">
        <v>35064</v>
      </c>
      <c r="CD27" s="1">
        <v>34880</v>
      </c>
      <c r="CE27" s="1">
        <v>34699</v>
      </c>
      <c r="CF27" s="1">
        <v>34334</v>
      </c>
      <c r="CG27" s="1">
        <v>33969</v>
      </c>
      <c r="CH27" s="1">
        <v>33603</v>
      </c>
      <c r="CI27" s="1">
        <v>25569</v>
      </c>
      <c r="CJ27" s="1"/>
      <c r="CK27" s="1"/>
    </row>
    <row r="28" spans="1:89" s="26" customFormat="1">
      <c r="A28" s="17" t="s">
        <v>373</v>
      </c>
      <c r="E28" s="26">
        <f>股权价值增加表!E15</f>
        <v>622028383.90000033</v>
      </c>
      <c r="F28" s="26">
        <f>股权价值增加表!F15</f>
        <v>1066139947.7499995</v>
      </c>
      <c r="G28" s="26">
        <f>股权价值增加表!G15</f>
        <v>642902064.40000057</v>
      </c>
      <c r="H28" s="26">
        <f>股权价值增加表!H15</f>
        <v>331828835.26999998</v>
      </c>
      <c r="I28" s="26">
        <f>股权价值增加表!I15</f>
        <v>542457874.71000075</v>
      </c>
      <c r="J28" s="26">
        <f>股权价值增加表!J15</f>
        <v>437052534.49999952</v>
      </c>
      <c r="K28" s="26">
        <f>股权价值增加表!K15</f>
        <v>304491602</v>
      </c>
      <c r="L28" s="26">
        <f>股权价值增加表!L15</f>
        <v>143016676.64999998</v>
      </c>
      <c r="M28" s="26">
        <f>股权价值增加表!M15</f>
        <v>602244438</v>
      </c>
      <c r="N28" s="26">
        <f>股权价值增加表!N15</f>
        <v>392342859.26999992</v>
      </c>
      <c r="O28" s="26">
        <f>股权价值增加表!O15</f>
        <v>322736774</v>
      </c>
      <c r="P28" s="26">
        <f>股权价值增加表!P15</f>
        <v>179744385.50999993</v>
      </c>
      <c r="Q28" s="26">
        <f>股权价值增加表!Q15</f>
        <v>965176630</v>
      </c>
      <c r="R28" s="26">
        <f>股权价值增加表!R15</f>
        <v>559664735.83999991</v>
      </c>
      <c r="S28" s="26">
        <f>股权价值增加表!S15</f>
        <v>205971517</v>
      </c>
      <c r="T28" s="26">
        <f>股权价值增加表!T15</f>
        <v>89986257.410000056</v>
      </c>
      <c r="U28" s="26">
        <f>股权价值增加表!U15</f>
        <v>408196146</v>
      </c>
      <c r="V28" s="26">
        <f>股权价值增加表!V15</f>
        <v>334074733</v>
      </c>
      <c r="W28" s="26">
        <f>股权价值增加表!W15</f>
        <v>97976954</v>
      </c>
      <c r="X28" s="26">
        <f>股权价值增加表!X15</f>
        <v>24695110.090000007</v>
      </c>
      <c r="Y28" s="26">
        <f>股权价值增加表!Y15</f>
        <v>319110286</v>
      </c>
      <c r="Z28" s="26">
        <f>股权价值增加表!Z15</f>
        <v>271207480</v>
      </c>
      <c r="AA28" s="26">
        <f>股权价值增加表!AA15</f>
        <v>116961210</v>
      </c>
      <c r="AB28" s="26">
        <f>股权价值增加表!AB15</f>
        <v>18212092.950000018</v>
      </c>
      <c r="AC28" s="26">
        <f>股权价值增加表!AC15</f>
        <v>410689195</v>
      </c>
      <c r="AD28" s="26">
        <f>股权价值增加表!AD15</f>
        <v>199805807.76999977</v>
      </c>
      <c r="AE28" s="26">
        <f>股权价值增加表!AE15</f>
        <v>128700021</v>
      </c>
      <c r="AF28" s="26">
        <f>股权价值增加表!AF15</f>
        <v>36108948.480000064</v>
      </c>
      <c r="AG28" s="26">
        <f>股权价值增加表!AG15</f>
        <v>291838263</v>
      </c>
      <c r="AH28" s="26">
        <f>股权价值增加表!AH15</f>
        <v>235077163.90000015</v>
      </c>
      <c r="AI28" s="26">
        <f>股权价值增加表!AI15</f>
        <v>136961391.85000005</v>
      </c>
      <c r="AJ28" s="26">
        <f>股权价值增加表!AJ15</f>
        <v>33043191.660000052</v>
      </c>
      <c r="AK28" s="26">
        <f>股权价值增加表!AK15</f>
        <v>-220265308.31999987</v>
      </c>
      <c r="AL28" s="26">
        <f>股权价值增加表!AL15</f>
        <v>-121941583.04000004</v>
      </c>
      <c r="AM28" s="26">
        <f>股权价值增加表!AM15</f>
        <v>-141790957.22999999</v>
      </c>
      <c r="AN28" s="26">
        <f>股权价值增加表!AN15</f>
        <v>-89072299.289999992</v>
      </c>
      <c r="AO28" s="26">
        <f>股权价值增加表!AO15</f>
        <v>-101109357.41000007</v>
      </c>
      <c r="AP28" s="26">
        <f>股权价值增加表!AP15</f>
        <v>1556402.5899999272</v>
      </c>
      <c r="AQ28" s="26">
        <f>股权价值增加表!AQ15</f>
        <v>14474392.320000071</v>
      </c>
      <c r="AR28" s="26">
        <f>股权价值增加表!AR15</f>
        <v>15966524.570000019</v>
      </c>
      <c r="AS28" s="26">
        <f>股权价值增加表!AS15</f>
        <v>114545685.67000003</v>
      </c>
      <c r="AT28" s="26">
        <f>股权价值增加表!AT15</f>
        <v>90831840.300000027</v>
      </c>
      <c r="AU28" s="26">
        <f>股权价值增加表!AU15</f>
        <v>60923183.05999998</v>
      </c>
      <c r="AV28" s="26">
        <f>股权价值增加表!AV15</f>
        <v>22474257.010000009</v>
      </c>
      <c r="AW28" s="26">
        <f>股权价值增加表!AW15</f>
        <v>141083440.74000013</v>
      </c>
      <c r="AX28" s="26">
        <f>股权价值增加表!AX15</f>
        <v>102932056.15000001</v>
      </c>
      <c r="AY28" s="26">
        <f>股权价值增加表!AY15</f>
        <v>58257020.669999987</v>
      </c>
      <c r="AZ28" s="26">
        <f>股权价值增加表!AZ15</f>
        <v>20298201.310000006</v>
      </c>
      <c r="BA28" s="26">
        <f>股权价值增加表!BA15</f>
        <v>76356034.349999979</v>
      </c>
      <c r="BB28" s="26">
        <f>股权价值增加表!BB15</f>
        <v>56532746.720000014</v>
      </c>
      <c r="BC28" s="26">
        <f>股权价值增加表!BC15</f>
        <v>44895050.930000044</v>
      </c>
      <c r="BD28" s="26">
        <f>股权价值增加表!BD15</f>
        <v>18238349.249999993</v>
      </c>
      <c r="BE28" s="26">
        <f>股权价值增加表!BE15</f>
        <v>115867508.66000001</v>
      </c>
      <c r="BF28" s="26">
        <f>股权价值增加表!BF15</f>
        <v>66136694.689999998</v>
      </c>
      <c r="BG28" s="26">
        <f>股权价值增加表!BG15</f>
        <v>48684927.759999998</v>
      </c>
      <c r="BH28" s="26">
        <f>股权价值增加表!BH15</f>
        <v>18005550.459999982</v>
      </c>
      <c r="BI28" s="26">
        <f>股权价值增加表!BI15</f>
        <v>70833301.840000063</v>
      </c>
      <c r="BJ28" s="26">
        <f>股权价值增加表!BJ15</f>
        <v>41662006.200000033</v>
      </c>
      <c r="BK28" s="26">
        <f>股权价值增加表!BK15</f>
        <v>30544460.409999982</v>
      </c>
      <c r="BL28" s="26">
        <f>股权价值增加表!BL15</f>
        <v>16342784.1</v>
      </c>
      <c r="BM28" s="26">
        <f>股权价值增加表!BM15</f>
        <v>-15703270.519999962</v>
      </c>
      <c r="BN28" s="26">
        <f>股权价值增加表!BN15</f>
        <v>14245599.479999986</v>
      </c>
      <c r="BO28" s="26">
        <f>股权价值增加表!BO15</f>
        <v>19286449.809999984</v>
      </c>
      <c r="BP28" s="26">
        <f>股权价值增加表!BP15</f>
        <v>9791079.3099999949</v>
      </c>
      <c r="BQ28" s="26">
        <f>股权价值增加表!BQ15</f>
        <v>19409155.360000033</v>
      </c>
      <c r="BR28" s="26">
        <f>股权价值增加表!BR15</f>
        <v>23266859.279999983</v>
      </c>
      <c r="BS28" s="26">
        <f>股权价值增加表!BS15</f>
        <v>40302176.649999984</v>
      </c>
      <c r="BT28" s="26">
        <f>股权价值增加表!BT15</f>
        <v>20304078.609999992</v>
      </c>
      <c r="BU28" s="26">
        <f>股权价值增加表!BU15</f>
        <v>25440622.920000013</v>
      </c>
      <c r="BV28" s="26">
        <f>股权价值增加表!BV15</f>
        <v>11591376.340000007</v>
      </c>
      <c r="BW28" s="26">
        <f>股权价值增加表!BW15</f>
        <v>27750992.299999997</v>
      </c>
      <c r="BX28" s="26">
        <f>股权价值增加表!BX15</f>
        <v>15076023.919999992</v>
      </c>
      <c r="BY28" s="26">
        <f>股权价值增加表!BY15</f>
        <v>45375926.55999998</v>
      </c>
      <c r="BZ28" s="26">
        <f>股权价值增加表!BZ15</f>
        <v>104071345.44</v>
      </c>
      <c r="CA28" s="26">
        <f>股权价值增加表!CA15</f>
        <v>16035094.09999999</v>
      </c>
      <c r="CB28" s="26">
        <f>股权价值增加表!CB15</f>
        <v>65350000</v>
      </c>
      <c r="CC28" s="26">
        <f>股权价值增加表!CC15</f>
        <v>37546977.569999985</v>
      </c>
      <c r="CD28" s="26">
        <f>股权价值增加表!CD15</f>
        <v>72860000</v>
      </c>
      <c r="CE28" s="26">
        <f>股权价值增加表!CE15</f>
        <v>37826272.270000011</v>
      </c>
      <c r="CF28" s="26">
        <f>股权价值增加表!CF15</f>
        <v>26132420.100000001</v>
      </c>
      <c r="CG28" s="26">
        <f>股权价值增加表!CG15</f>
        <v>31780600</v>
      </c>
      <c r="CH28" s="26">
        <f>股权价值增加表!CH15</f>
        <v>15431400</v>
      </c>
      <c r="CI28" s="26">
        <f>股权价值增加表!CI15</f>
        <v>0</v>
      </c>
      <c r="CJ28" s="26">
        <f>股权价值增加表!CJ15</f>
        <v>0</v>
      </c>
      <c r="CK28" s="26">
        <f>股权价值增加表!CK15</f>
        <v>0</v>
      </c>
    </row>
    <row r="29" spans="1:89" s="59" customFormat="1">
      <c r="A29" s="145" t="s">
        <v>378</v>
      </c>
      <c r="E29" s="59">
        <f t="shared" ref="E29:AJ29" si="27">E28/E34</f>
        <v>1.2351237669721618</v>
      </c>
      <c r="F29" s="59">
        <f t="shared" si="27"/>
        <v>1.0042407158602817</v>
      </c>
      <c r="G29" s="59">
        <f t="shared" si="27"/>
        <v>0.99019345004621195</v>
      </c>
      <c r="H29" s="59">
        <f t="shared" si="27"/>
        <v>0.96019657883412746</v>
      </c>
      <c r="I29" s="59">
        <f t="shared" si="27"/>
        <v>0.69730654304520656</v>
      </c>
      <c r="J29" s="59">
        <f t="shared" si="27"/>
        <v>0.85034520467148944</v>
      </c>
      <c r="K29" s="59">
        <f t="shared" si="27"/>
        <v>0.8033496811719264</v>
      </c>
      <c r="L29" s="59">
        <f t="shared" si="27"/>
        <v>0.84227855063940493</v>
      </c>
      <c r="M29" s="59">
        <f t="shared" si="27"/>
        <v>0.83677568522734813</v>
      </c>
      <c r="N29" s="59">
        <f t="shared" si="27"/>
        <v>0.97278511202186091</v>
      </c>
      <c r="O29" s="59">
        <f t="shared" si="27"/>
        <v>1.0361906111106141</v>
      </c>
      <c r="P29" s="59">
        <f t="shared" si="27"/>
        <v>1.0110334212307348</v>
      </c>
      <c r="Q29" s="59">
        <f t="shared" si="27"/>
        <v>1.0516134438702431</v>
      </c>
      <c r="R29" s="59">
        <f t="shared" si="27"/>
        <v>0.96594159909016075</v>
      </c>
      <c r="S29" s="59">
        <f t="shared" si="27"/>
        <v>0.99571116419082206</v>
      </c>
      <c r="T29" s="59">
        <f t="shared" si="27"/>
        <v>1.0070318774817433</v>
      </c>
      <c r="U29" s="59">
        <f t="shared" si="27"/>
        <v>0.95871149255307708</v>
      </c>
      <c r="V29" s="59">
        <f t="shared" si="27"/>
        <v>0.98715620911217583</v>
      </c>
      <c r="W29" s="59">
        <f t="shared" si="27"/>
        <v>1.0432846133661138</v>
      </c>
      <c r="X29" s="59">
        <f t="shared" si="27"/>
        <v>1.2627056306377271</v>
      </c>
      <c r="Y29" s="59">
        <f t="shared" si="27"/>
        <v>0.9923313698057683</v>
      </c>
      <c r="Z29" s="59">
        <f t="shared" si="27"/>
        <v>1.0231343266830997</v>
      </c>
      <c r="AA29" s="59">
        <f t="shared" si="27"/>
        <v>1.016532342120259</v>
      </c>
      <c r="AB29" s="59">
        <f t="shared" si="27"/>
        <v>1.0361005408241426</v>
      </c>
      <c r="AC29" s="59">
        <f t="shared" si="27"/>
        <v>0.87543749765081025</v>
      </c>
      <c r="AD29" s="59">
        <f t="shared" si="27"/>
        <v>1.0031203689976029</v>
      </c>
      <c r="AE29" s="59">
        <f t="shared" si="27"/>
        <v>1.0125099238937245</v>
      </c>
      <c r="AF29" s="59">
        <f t="shared" si="27"/>
        <v>1.0174043986072416</v>
      </c>
      <c r="AG29" s="59">
        <f t="shared" si="27"/>
        <v>0.98181994658691418</v>
      </c>
      <c r="AH29" s="59">
        <f t="shared" si="27"/>
        <v>0.89009732168228672</v>
      </c>
      <c r="AI29" s="59">
        <f t="shared" si="27"/>
        <v>0.87905140557948813</v>
      </c>
      <c r="AJ29" s="59">
        <f t="shared" si="27"/>
        <v>0.76988240169860966</v>
      </c>
      <c r="AK29" s="59">
        <f t="shared" ref="AK29:BP29" si="28">AK28/AK34</f>
        <v>1.0014866594772294</v>
      </c>
      <c r="AL29" s="59">
        <f t="shared" si="28"/>
        <v>1</v>
      </c>
      <c r="AM29" s="59">
        <f t="shared" si="28"/>
        <v>1</v>
      </c>
      <c r="AN29" s="59">
        <f t="shared" si="28"/>
        <v>1</v>
      </c>
      <c r="AO29" s="59">
        <f t="shared" si="28"/>
        <v>6.527626002658109</v>
      </c>
      <c r="AP29" s="59">
        <f t="shared" si="28"/>
        <v>3.728170734041502E-2</v>
      </c>
      <c r="AQ29" s="59">
        <f t="shared" si="28"/>
        <v>0.2700251148562885</v>
      </c>
      <c r="AR29" s="59">
        <f t="shared" si="28"/>
        <v>1</v>
      </c>
      <c r="AS29" s="59">
        <f t="shared" si="28"/>
        <v>1.0021719237916575</v>
      </c>
      <c r="AT29" s="59">
        <f t="shared" si="28"/>
        <v>1</v>
      </c>
      <c r="AU29" s="59">
        <f t="shared" si="28"/>
        <v>1</v>
      </c>
      <c r="AV29" s="59">
        <f t="shared" si="28"/>
        <v>1</v>
      </c>
      <c r="AW29" s="59">
        <f t="shared" si="28"/>
        <v>0.99758463779898465</v>
      </c>
      <c r="AX29" s="59">
        <f t="shared" si="28"/>
        <v>0.99589572219128775</v>
      </c>
      <c r="AY29" s="59">
        <f t="shared" si="28"/>
        <v>0.99277106415109317</v>
      </c>
      <c r="AZ29" s="59">
        <f t="shared" si="28"/>
        <v>1</v>
      </c>
      <c r="BA29" s="59">
        <f t="shared" si="28"/>
        <v>1.0219802747723552</v>
      </c>
      <c r="BB29" s="59">
        <f t="shared" si="28"/>
        <v>1.0048137830800252</v>
      </c>
      <c r="BC29" s="59">
        <f t="shared" si="28"/>
        <v>1.0060691853087627</v>
      </c>
      <c r="BD29" s="59">
        <f t="shared" si="28"/>
        <v>1</v>
      </c>
      <c r="BE29" s="59">
        <f t="shared" si="28"/>
        <v>0.99469971680369995</v>
      </c>
      <c r="BF29" s="59">
        <f t="shared" si="28"/>
        <v>0.99585616550018685</v>
      </c>
      <c r="BG29" s="59">
        <f t="shared" si="28"/>
        <v>0.99437910166592902</v>
      </c>
      <c r="BH29" s="59">
        <f t="shared" si="28"/>
        <v>1</v>
      </c>
      <c r="BI29" s="59">
        <f t="shared" si="28"/>
        <v>1.0046416039910631</v>
      </c>
      <c r="BJ29" s="59">
        <f t="shared" si="28"/>
        <v>0.99158787921161906</v>
      </c>
      <c r="BK29" s="59">
        <f t="shared" si="28"/>
        <v>1</v>
      </c>
      <c r="BL29" s="59">
        <f t="shared" si="28"/>
        <v>1</v>
      </c>
      <c r="BM29" s="59">
        <f t="shared" si="28"/>
        <v>1.0271461031455915</v>
      </c>
      <c r="BN29" s="59">
        <f t="shared" si="28"/>
        <v>0.94919126164375456</v>
      </c>
      <c r="BO29" s="59">
        <f t="shared" si="28"/>
        <v>0.98604605889800612</v>
      </c>
      <c r="BP29" s="59">
        <f t="shared" si="28"/>
        <v>1</v>
      </c>
      <c r="BQ29" s="59">
        <f t="shared" ref="BQ29:CK29" si="29">BQ28/BQ34</f>
        <v>0.98006961849039553</v>
      </c>
      <c r="BR29" s="59">
        <f t="shared" si="29"/>
        <v>0.99876929175313423</v>
      </c>
      <c r="BS29" s="59">
        <f t="shared" si="29"/>
        <v>0.97164819750356324</v>
      </c>
      <c r="BT29" s="59">
        <f t="shared" si="29"/>
        <v>0.96815620127425839</v>
      </c>
      <c r="BU29" s="59">
        <f t="shared" si="29"/>
        <v>0.90539927509401852</v>
      </c>
      <c r="BV29" s="59">
        <f t="shared" si="29"/>
        <v>0.9573713848695995</v>
      </c>
      <c r="BW29" s="59">
        <f t="shared" si="29"/>
        <v>0.90501972862025426</v>
      </c>
      <c r="BX29" s="59">
        <f t="shared" si="29"/>
        <v>0.88531661838165543</v>
      </c>
      <c r="BY29" s="59">
        <f t="shared" si="29"/>
        <v>0.98190718141726707</v>
      </c>
      <c r="BZ29" s="59">
        <f t="shared" si="29"/>
        <v>0.99594621388079851</v>
      </c>
      <c r="CA29" s="59">
        <f t="shared" si="29"/>
        <v>0.90280022675911498</v>
      </c>
      <c r="CB29" s="59">
        <f t="shared" si="29"/>
        <v>0.97275974992557313</v>
      </c>
      <c r="CC29" s="59">
        <f t="shared" si="29"/>
        <v>1.0015317558044392</v>
      </c>
      <c r="CD29" s="59">
        <f t="shared" si="29"/>
        <v>1</v>
      </c>
      <c r="CE29" s="59">
        <f t="shared" si="29"/>
        <v>0.95714706582393494</v>
      </c>
      <c r="CF29" s="59">
        <f t="shared" si="29"/>
        <v>1.0033835259515498</v>
      </c>
      <c r="CG29" s="59">
        <f t="shared" si="29"/>
        <v>1</v>
      </c>
      <c r="CH29" s="59">
        <f t="shared" si="29"/>
        <v>1</v>
      </c>
      <c r="CI29" s="59" t="e">
        <f t="shared" si="29"/>
        <v>#DIV/0!</v>
      </c>
      <c r="CJ29" s="59" t="e">
        <f t="shared" si="29"/>
        <v>#DIV/0!</v>
      </c>
      <c r="CK29" s="59" t="e">
        <f t="shared" si="29"/>
        <v>#DIV/0!</v>
      </c>
    </row>
    <row r="30" spans="1:89" s="26" customFormat="1">
      <c r="A30" s="17" t="s">
        <v>374</v>
      </c>
      <c r="E30" s="26">
        <f>股权价值增加表!E20</f>
        <v>-37943077</v>
      </c>
      <c r="F30" s="26">
        <f>股权价值增加表!F20</f>
        <v>-3844618.37</v>
      </c>
      <c r="G30" s="26">
        <f>股权价值增加表!G20</f>
        <v>-2772610.98</v>
      </c>
      <c r="H30" s="26">
        <f>股权价值增加表!H20</f>
        <v>-1746050.1</v>
      </c>
      <c r="I30" s="26">
        <f>股权价值增加表!I20</f>
        <v>-4938097.84</v>
      </c>
      <c r="J30" s="26">
        <f>股权价值增加表!J20</f>
        <v>-3227840.85</v>
      </c>
      <c r="K30" s="26">
        <f>股权价值增加表!K20</f>
        <v>-1571239</v>
      </c>
      <c r="L30" s="26">
        <f>股权价值增加表!L20</f>
        <v>-420128.33</v>
      </c>
      <c r="M30" s="26">
        <f>股权价值增加表!M20</f>
        <v>-3239448</v>
      </c>
      <c r="N30" s="26">
        <f>股权价值增加表!N20</f>
        <v>-2899293.4</v>
      </c>
      <c r="O30" s="26">
        <f>股权价值增加表!O20</f>
        <v>0</v>
      </c>
      <c r="P30" s="26">
        <f>股权价值增加表!P20</f>
        <v>-743748.4</v>
      </c>
      <c r="Q30" s="26">
        <f>股权价值增加表!Q20</f>
        <v>-92478262</v>
      </c>
      <c r="R30" s="26">
        <f>股权价值增加表!R20</f>
        <v>1293484.7</v>
      </c>
      <c r="S30" s="26">
        <f>股权价值增加表!S20</f>
        <v>2183865</v>
      </c>
      <c r="T30" s="26">
        <f>股权价值增加表!T20</f>
        <v>507062.12</v>
      </c>
      <c r="U30" s="26">
        <f>股权价值增加表!U20</f>
        <v>6502509</v>
      </c>
      <c r="V30" s="26">
        <f>股权价值增加表!V20</f>
        <v>6174133</v>
      </c>
      <c r="W30" s="26">
        <f>股权价值增加表!W20</f>
        <v>1197865</v>
      </c>
      <c r="X30" s="26">
        <f>股权价值增加表!X20</f>
        <v>-2182383.89</v>
      </c>
      <c r="Y30" s="26">
        <f>股权价值增加表!Y20</f>
        <v>-9114825</v>
      </c>
      <c r="Z30" s="26">
        <f>股权价值增加表!Z20</f>
        <v>-4055554</v>
      </c>
      <c r="AA30" s="26">
        <f>股权价值增加表!AA20</f>
        <v>-1201119</v>
      </c>
      <c r="AB30" s="26">
        <f>股权价值增加表!AB20</f>
        <v>-2248296.36</v>
      </c>
      <c r="AC30" s="26">
        <f>股权价值增加表!AC20</f>
        <v>-15589317</v>
      </c>
      <c r="AD30" s="26">
        <f>股权价值增加表!AD20</f>
        <v>-4874316.8</v>
      </c>
      <c r="AE30" s="26">
        <f>股权价值增加表!AE20</f>
        <v>0</v>
      </c>
      <c r="AF30" s="26">
        <f>股权价值增加表!AF20</f>
        <v>-811070.4</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-416989.71</v>
      </c>
      <c r="AP30" s="26">
        <f>股权价值增加表!AP20</f>
        <v>0</v>
      </c>
      <c r="AQ30" s="26">
        <f>股权价值增加表!AQ20</f>
        <v>0</v>
      </c>
      <c r="AR30" s="26">
        <f>股权价值增加表!AR20</f>
        <v>0</v>
      </c>
      <c r="AS30" s="26">
        <f>股权价值增加表!AS20</f>
        <v>-884549.53</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c r="A31" s="145" t="s">
        <v>379</v>
      </c>
      <c r="E31" s="59">
        <f>E30/E34</f>
        <v>-7.534125034765117E-2</v>
      </c>
      <c r="F31" s="59">
        <f t="shared" ref="F31:BQ31" si="30">F30/F34</f>
        <v>-3.6214029051688272E-3</v>
      </c>
      <c r="G31" s="59">
        <f t="shared" si="30"/>
        <v>-4.2703568458508845E-3</v>
      </c>
      <c r="H31" s="59">
        <f t="shared" si="30"/>
        <v>-5.0524582383831189E-3</v>
      </c>
      <c r="I31" s="59">
        <f t="shared" si="30"/>
        <v>-6.3477149002035115E-3</v>
      </c>
      <c r="J31" s="59">
        <f t="shared" si="30"/>
        <v>-6.2802038006262786E-3</v>
      </c>
      <c r="K31" s="59">
        <f t="shared" si="30"/>
        <v>-4.1454488117373314E-3</v>
      </c>
      <c r="L31" s="59">
        <f t="shared" si="30"/>
        <v>-2.4742924333289889E-3</v>
      </c>
      <c r="M31" s="59">
        <f t="shared" si="30"/>
        <v>-4.5009819085425279E-3</v>
      </c>
      <c r="N31" s="59">
        <f t="shared" si="30"/>
        <v>-7.1885836284899095E-3</v>
      </c>
      <c r="O31" s="59">
        <f t="shared" si="30"/>
        <v>0</v>
      </c>
      <c r="P31" s="59">
        <f t="shared" si="30"/>
        <v>-4.1834657992421724E-3</v>
      </c>
      <c r="Q31" s="59">
        <f t="shared" si="30"/>
        <v>-0.10076019306948475</v>
      </c>
      <c r="R31" s="59">
        <f t="shared" si="30"/>
        <v>2.232462757621111E-3</v>
      </c>
      <c r="S31" s="59">
        <f t="shared" si="30"/>
        <v>1.0557278954184669E-2</v>
      </c>
      <c r="T31" s="59">
        <f t="shared" si="30"/>
        <v>5.6745077904165357E-3</v>
      </c>
      <c r="U31" s="59">
        <f t="shared" si="30"/>
        <v>1.5272143477635423E-2</v>
      </c>
      <c r="V31" s="59">
        <f t="shared" si="30"/>
        <v>1.8243923065065761E-2</v>
      </c>
      <c r="W31" s="59">
        <f t="shared" si="30"/>
        <v>1.2755184483381673E-2</v>
      </c>
      <c r="X31" s="59">
        <f t="shared" si="30"/>
        <v>-0.11158923430885848</v>
      </c>
      <c r="Y31" s="59">
        <f t="shared" si="30"/>
        <v>-2.8344203163008862E-2</v>
      </c>
      <c r="Z31" s="59">
        <f t="shared" si="30"/>
        <v>-1.5299638900508759E-2</v>
      </c>
      <c r="AA31" s="59">
        <f t="shared" si="30"/>
        <v>-1.0439155940975159E-2</v>
      </c>
      <c r="AB31" s="59">
        <f t="shared" si="30"/>
        <v>-0.12790737895552795</v>
      </c>
      <c r="AC31" s="59">
        <f t="shared" si="30"/>
        <v>-3.3230659171749666E-2</v>
      </c>
      <c r="AD31" s="59">
        <f t="shared" si="30"/>
        <v>-2.4471393107129504E-2</v>
      </c>
      <c r="AE31" s="59">
        <f t="shared" si="30"/>
        <v>0</v>
      </c>
      <c r="AF31" s="59">
        <f t="shared" si="30"/>
        <v>-2.2852689631690251E-2</v>
      </c>
      <c r="AG31" s="59">
        <f t="shared" si="30"/>
        <v>0</v>
      </c>
      <c r="AH31" s="59">
        <f t="shared" si="30"/>
        <v>0</v>
      </c>
      <c r="AI31" s="59">
        <f t="shared" si="30"/>
        <v>0</v>
      </c>
      <c r="AJ31" s="59">
        <f t="shared" si="30"/>
        <v>0</v>
      </c>
      <c r="AK31" s="59">
        <f t="shared" si="30"/>
        <v>0</v>
      </c>
      <c r="AL31" s="59">
        <f t="shared" si="30"/>
        <v>0</v>
      </c>
      <c r="AM31" s="59">
        <f t="shared" si="30"/>
        <v>0</v>
      </c>
      <c r="AN31" s="59">
        <f t="shared" si="30"/>
        <v>0</v>
      </c>
      <c r="AO31" s="59">
        <f t="shared" si="30"/>
        <v>2.692087996167656E-2</v>
      </c>
      <c r="AP31" s="59">
        <f t="shared" si="30"/>
        <v>0</v>
      </c>
      <c r="AQ31" s="59">
        <f t="shared" si="30"/>
        <v>0</v>
      </c>
      <c r="AR31" s="59">
        <f t="shared" si="30"/>
        <v>0</v>
      </c>
      <c r="AS31" s="59">
        <f t="shared" si="30"/>
        <v>-7.7390143416049819E-3</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f t="shared" si="31"/>
        <v>0</v>
      </c>
      <c r="CE31" s="59">
        <f t="shared" si="31"/>
        <v>0</v>
      </c>
      <c r="CF31" s="59">
        <f t="shared" si="31"/>
        <v>0</v>
      </c>
      <c r="CG31" s="59">
        <f t="shared" si="31"/>
        <v>0</v>
      </c>
      <c r="CH31" s="59">
        <f t="shared" si="31"/>
        <v>0</v>
      </c>
      <c r="CI31" s="59" t="e">
        <f t="shared" si="31"/>
        <v>#DIV/0!</v>
      </c>
      <c r="CJ31" s="59" t="e">
        <f t="shared" si="31"/>
        <v>#DIV/0!</v>
      </c>
      <c r="CK31" s="59" t="e">
        <f t="shared" si="31"/>
        <v>#DIV/0!</v>
      </c>
    </row>
    <row r="32" spans="1:89" s="26" customFormat="1">
      <c r="A32" s="17" t="s">
        <v>375</v>
      </c>
      <c r="E32" s="26">
        <f>股权价值增加表!E27</f>
        <v>-80469069.780000001</v>
      </c>
      <c r="F32" s="26">
        <f>股权价值增加表!F27</f>
        <v>-657486.06999999995</v>
      </c>
      <c r="G32" s="26">
        <f>股权价值增加表!G27</f>
        <v>9139701.3800000008</v>
      </c>
      <c r="H32" s="26">
        <f>股权价值增加表!H27</f>
        <v>15501486.41</v>
      </c>
      <c r="I32" s="26">
        <f>股权价值增加表!I27</f>
        <v>240413371.92999998</v>
      </c>
      <c r="J32" s="26">
        <f>股权价值增加表!J27</f>
        <v>80146023.300000012</v>
      </c>
      <c r="K32" s="26">
        <f>股权价值增加表!K27</f>
        <v>76107113</v>
      </c>
      <c r="L32" s="26">
        <f>股权价值增加表!L27</f>
        <v>27200814.490000002</v>
      </c>
      <c r="M32" s="26">
        <f>股权价值增加表!M27</f>
        <v>120715299</v>
      </c>
      <c r="N32" s="26">
        <f>股权价值增加表!N27</f>
        <v>13875578.74</v>
      </c>
      <c r="O32" s="26">
        <f>股权价值增加表!O27</f>
        <v>-11272097</v>
      </c>
      <c r="P32" s="26">
        <f>股权价值增加表!P27</f>
        <v>-1217804.48</v>
      </c>
      <c r="Q32" s="26">
        <f>股权价值增加表!Q27</f>
        <v>45107158</v>
      </c>
      <c r="R32" s="26">
        <f>股权价值增加表!R27</f>
        <v>18439888.380000003</v>
      </c>
      <c r="S32" s="26">
        <f>股权价值增加表!S27</f>
        <v>-1296682</v>
      </c>
      <c r="T32" s="26">
        <f>股权价值增加表!T27</f>
        <v>-1135415.95</v>
      </c>
      <c r="U32" s="26">
        <f>股权价值增加表!U27</f>
        <v>11077138</v>
      </c>
      <c r="V32" s="26">
        <f>股权价值增加表!V27</f>
        <v>-1827520</v>
      </c>
      <c r="W32" s="26">
        <f>股权价值增加表!W27</f>
        <v>-5262810</v>
      </c>
      <c r="X32" s="26">
        <f>股权价值增加表!X27</f>
        <v>-2955428.37</v>
      </c>
      <c r="Y32" s="26">
        <f>股权价值增加表!Y27</f>
        <v>11580875</v>
      </c>
      <c r="Z32" s="26">
        <f>股权价值增加表!Z27</f>
        <v>-2076781</v>
      </c>
      <c r="AA32" s="26">
        <f>股权价值增加表!AA27</f>
        <v>-701076</v>
      </c>
      <c r="AB32" s="26">
        <f>股权价值增加表!AB27</f>
        <v>1613737.86</v>
      </c>
      <c r="AC32" s="26">
        <f>股权价值增加表!AC27</f>
        <v>74024641</v>
      </c>
      <c r="AD32" s="26">
        <f>股权价值增加表!AD27</f>
        <v>4252788.3499999996</v>
      </c>
      <c r="AE32" s="26">
        <f>股权价值增加表!AE27</f>
        <v>-1590135</v>
      </c>
      <c r="AF32" s="26">
        <f>股权价值增加表!AF27</f>
        <v>193366.63</v>
      </c>
      <c r="AG32" s="26">
        <f>股权价值增加表!AG27</f>
        <v>5403878</v>
      </c>
      <c r="AH32" s="26">
        <f>股权价值增加表!AH27</f>
        <v>29025601.240000002</v>
      </c>
      <c r="AI32" s="26">
        <f>股权价值增加表!AI27</f>
        <v>18844504.120000001</v>
      </c>
      <c r="AJ32" s="26">
        <f>股权价值增加表!AJ27</f>
        <v>9876599.1899999995</v>
      </c>
      <c r="AK32" s="26">
        <f>股权价值增加表!AK27</f>
        <v>326973.41000000003</v>
      </c>
      <c r="AL32" s="26">
        <f>股权价值增加表!AL27</f>
        <v>0</v>
      </c>
      <c r="AM32" s="26">
        <f>股权价值增加表!AM27</f>
        <v>0</v>
      </c>
      <c r="AN32" s="26">
        <f>股权价值增加表!AN27</f>
        <v>0</v>
      </c>
      <c r="AO32" s="26">
        <f>股权价值增加表!AO27</f>
        <v>86036893.929999992</v>
      </c>
      <c r="AP32" s="26">
        <f>股权价值增加表!AP27</f>
        <v>40190682</v>
      </c>
      <c r="AQ32" s="26">
        <f>股权价值增加表!AQ27</f>
        <v>39129482</v>
      </c>
      <c r="AR32" s="26">
        <f>股权价值增加表!AR27</f>
        <v>0</v>
      </c>
      <c r="AS32" s="26">
        <f>股权价值增加表!AS27</f>
        <v>636304.20000000007</v>
      </c>
      <c r="AT32" s="26">
        <f>股权价值增加表!AT27</f>
        <v>0</v>
      </c>
      <c r="AU32" s="26">
        <f>股权价值增加表!AU27</f>
        <v>0</v>
      </c>
      <c r="AV32" s="26">
        <f>股权价值增加表!AV27</f>
        <v>0</v>
      </c>
      <c r="AW32" s="26">
        <f>股权价值增加表!AW27</f>
        <v>341592.68</v>
      </c>
      <c r="AX32" s="26">
        <f>股权价值增加表!AX27</f>
        <v>424202.8</v>
      </c>
      <c r="AY32" s="26">
        <f>股权价值增加表!AY27</f>
        <v>424202.8</v>
      </c>
      <c r="AZ32" s="26">
        <f>股权价值增加表!AZ27</f>
        <v>0</v>
      </c>
      <c r="BA32" s="26">
        <f>股权价值增加表!BA27</f>
        <v>-1642229.95</v>
      </c>
      <c r="BB32" s="26">
        <f>股权价值增加表!BB27</f>
        <v>-270832.65000000002</v>
      </c>
      <c r="BC32" s="26">
        <f>股权价值增加表!BC27</f>
        <v>-270832.65000000002</v>
      </c>
      <c r="BD32" s="26">
        <f>股权价值增加表!BD27</f>
        <v>0</v>
      </c>
      <c r="BE32" s="26">
        <f>股权价值增加表!BE27</f>
        <v>617403.02</v>
      </c>
      <c r="BF32" s="26">
        <f>股权价值增加表!BF27</f>
        <v>275199.90000000002</v>
      </c>
      <c r="BG32" s="26">
        <f>股权价值增加表!BG27</f>
        <v>275199.90000000002</v>
      </c>
      <c r="BH32" s="26">
        <f>股权价值增加表!BH27</f>
        <v>0</v>
      </c>
      <c r="BI32" s="26">
        <f>股权价值增加表!BI27</f>
        <v>-327261.12</v>
      </c>
      <c r="BJ32" s="26">
        <f>股权价值增加表!BJ27</f>
        <v>353439</v>
      </c>
      <c r="BK32" s="26">
        <f>股权价值增加表!BK27</f>
        <v>0</v>
      </c>
      <c r="BL32" s="26">
        <f>股权价值增加表!BL27</f>
        <v>0</v>
      </c>
      <c r="BM32" s="26">
        <f>股权价值增加表!BM27</f>
        <v>415016.52</v>
      </c>
      <c r="BN32" s="26">
        <f>股权价值增加表!BN27</f>
        <v>762544.88</v>
      </c>
      <c r="BO32" s="26">
        <f>股权价值增加表!BO27</f>
        <v>272930.44</v>
      </c>
      <c r="BP32" s="26">
        <f>股权价值增加表!BP27</f>
        <v>0</v>
      </c>
      <c r="BQ32" s="26">
        <f>股权价值增加表!BQ27</f>
        <v>394698.36</v>
      </c>
      <c r="BR32" s="26">
        <f>股权价值增加表!BR27</f>
        <v>28670</v>
      </c>
      <c r="BS32" s="26">
        <f>股权价值增加表!BS27</f>
        <v>1175980.52</v>
      </c>
      <c r="BT32" s="26">
        <f>股权价值增加表!BT27</f>
        <v>667825.07999999996</v>
      </c>
      <c r="BU32" s="26">
        <f>股权价值增加表!BU27</f>
        <v>2658165.7799999998</v>
      </c>
      <c r="BV32" s="26">
        <f>股权价值增加表!BV27</f>
        <v>516126.06</v>
      </c>
      <c r="BW32" s="26">
        <f>股权价值增加表!BW27</f>
        <v>2912419.14</v>
      </c>
      <c r="BX32" s="26">
        <f>股权价值增加表!BX27</f>
        <v>1952939.06</v>
      </c>
      <c r="BY32" s="26">
        <f>股权价值增加表!BY27</f>
        <v>836105.92</v>
      </c>
      <c r="BZ32" s="26">
        <f>股权价值增加表!BZ27</f>
        <v>423600.16</v>
      </c>
      <c r="CA32" s="26">
        <f>股权价值增加表!CA27</f>
        <v>1726414.62</v>
      </c>
      <c r="CB32" s="26">
        <f>股权价值增加表!CB27</f>
        <v>1830000</v>
      </c>
      <c r="CC32" s="26">
        <f>股权价值增加表!CC27</f>
        <v>-57424.84</v>
      </c>
      <c r="CD32" s="26">
        <f>股权价值增加表!CD27</f>
        <v>0</v>
      </c>
      <c r="CE32" s="26">
        <f>股权价值增加表!CE27</f>
        <v>1693539.91</v>
      </c>
      <c r="CF32" s="26">
        <f>股权价值增加表!CF27</f>
        <v>-88121.56</v>
      </c>
      <c r="CG32" s="26">
        <f>股权价值增加表!CG27</f>
        <v>0</v>
      </c>
      <c r="CH32" s="26">
        <f>股权价值增加表!CH27</f>
        <v>0</v>
      </c>
      <c r="CI32" s="26">
        <f>股权价值增加表!CI27</f>
        <v>0</v>
      </c>
      <c r="CJ32" s="26">
        <f>股权价值增加表!CJ27</f>
        <v>0</v>
      </c>
      <c r="CK32" s="26">
        <f>股权价值增加表!CK27</f>
        <v>0</v>
      </c>
    </row>
    <row r="33" spans="1:89" s="59" customFormat="1">
      <c r="A33" s="145" t="s">
        <v>380</v>
      </c>
      <c r="E33" s="59">
        <f>E32/E34</f>
        <v>-0.15978251662451073</v>
      </c>
      <c r="F33" s="59">
        <f t="shared" ref="F33:BQ33" si="32">F32/F34</f>
        <v>-6.1931295511289839E-4</v>
      </c>
      <c r="G33" s="59">
        <f t="shared" si="32"/>
        <v>1.407690679963901E-2</v>
      </c>
      <c r="H33" s="59">
        <f t="shared" si="32"/>
        <v>4.4855879404255616E-2</v>
      </c>
      <c r="I33" s="59">
        <f t="shared" si="32"/>
        <v>0.30904117185499702</v>
      </c>
      <c r="J33" s="59">
        <f t="shared" si="32"/>
        <v>0.15593499912913683</v>
      </c>
      <c r="K33" s="59">
        <f t="shared" si="32"/>
        <v>0.20079576763981088</v>
      </c>
      <c r="L33" s="59">
        <f t="shared" si="32"/>
        <v>0.16019574179392407</v>
      </c>
      <c r="M33" s="59">
        <f t="shared" si="32"/>
        <v>0.16772529668119443</v>
      </c>
      <c r="N33" s="59">
        <f t="shared" si="32"/>
        <v>3.4403471606628926E-2</v>
      </c>
      <c r="O33" s="59">
        <f t="shared" si="32"/>
        <v>-3.6190611110613995E-2</v>
      </c>
      <c r="P33" s="59">
        <f t="shared" si="32"/>
        <v>-6.8499554314925557E-3</v>
      </c>
      <c r="Q33" s="59">
        <f t="shared" si="32"/>
        <v>4.9146749199241585E-2</v>
      </c>
      <c r="R33" s="59">
        <f t="shared" si="32"/>
        <v>3.1825938152218028E-2</v>
      </c>
      <c r="S33" s="59">
        <f t="shared" si="32"/>
        <v>-6.2684431450067126E-3</v>
      </c>
      <c r="T33" s="59">
        <f t="shared" si="32"/>
        <v>-1.2706385272159932E-2</v>
      </c>
      <c r="U33" s="59">
        <f t="shared" si="32"/>
        <v>2.601636396928747E-2</v>
      </c>
      <c r="V33" s="59">
        <f t="shared" si="32"/>
        <v>-5.4001321772415619E-3</v>
      </c>
      <c r="W33" s="59">
        <f t="shared" si="32"/>
        <v>-5.6039797849495476E-2</v>
      </c>
      <c r="X33" s="59">
        <f t="shared" si="32"/>
        <v>-0.15111639632886847</v>
      </c>
      <c r="Y33" s="59">
        <f t="shared" si="32"/>
        <v>3.6012833357240565E-2</v>
      </c>
      <c r="Z33" s="59">
        <f t="shared" si="32"/>
        <v>-7.8346877825908566E-3</v>
      </c>
      <c r="AA33" s="59">
        <f t="shared" si="32"/>
        <v>-6.093186179283735E-3</v>
      </c>
      <c r="AB33" s="59">
        <f t="shared" si="32"/>
        <v>9.1806838131385279E-2</v>
      </c>
      <c r="AC33" s="59">
        <f t="shared" si="32"/>
        <v>0.15779316152093939</v>
      </c>
      <c r="AD33" s="59">
        <f t="shared" si="32"/>
        <v>2.135102410952662E-2</v>
      </c>
      <c r="AE33" s="59">
        <f t="shared" si="32"/>
        <v>-1.2509923893724521E-2</v>
      </c>
      <c r="AF33" s="59">
        <f t="shared" si="32"/>
        <v>5.448291024448537E-3</v>
      </c>
      <c r="AG33" s="59">
        <f t="shared" si="32"/>
        <v>1.8180053413085866E-2</v>
      </c>
      <c r="AH33" s="59">
        <f t="shared" si="32"/>
        <v>0.10990267831771322</v>
      </c>
      <c r="AI33" s="59">
        <f t="shared" si="32"/>
        <v>0.12094859442051187</v>
      </c>
      <c r="AJ33" s="59">
        <f t="shared" si="32"/>
        <v>0.23011759830139031</v>
      </c>
      <c r="AK33" s="59">
        <f t="shared" si="32"/>
        <v>-1.4866594772293769E-3</v>
      </c>
      <c r="AL33" s="59">
        <f t="shared" si="32"/>
        <v>0</v>
      </c>
      <c r="AM33" s="59">
        <f t="shared" si="32"/>
        <v>0</v>
      </c>
      <c r="AN33" s="59">
        <f t="shared" si="32"/>
        <v>0</v>
      </c>
      <c r="AO33" s="59">
        <f t="shared" si="32"/>
        <v>-5.5545468826197855</v>
      </c>
      <c r="AP33" s="59">
        <f t="shared" si="32"/>
        <v>0.96271829265958497</v>
      </c>
      <c r="AQ33" s="59">
        <f t="shared" si="32"/>
        <v>0.72997488514371156</v>
      </c>
      <c r="AR33" s="59">
        <f t="shared" si="32"/>
        <v>0</v>
      </c>
      <c r="AS33" s="59">
        <f t="shared" si="32"/>
        <v>5.5670905499474801E-3</v>
      </c>
      <c r="AT33" s="59">
        <f t="shared" si="32"/>
        <v>0</v>
      </c>
      <c r="AU33" s="59">
        <f t="shared" si="32"/>
        <v>0</v>
      </c>
      <c r="AV33" s="59">
        <f t="shared" si="32"/>
        <v>0</v>
      </c>
      <c r="AW33" s="59">
        <f t="shared" si="32"/>
        <v>2.4153622010153432E-3</v>
      </c>
      <c r="AX33" s="59">
        <f t="shared" si="32"/>
        <v>4.1042778087122317E-3</v>
      </c>
      <c r="AY33" s="59">
        <f t="shared" si="32"/>
        <v>7.2289358489069028E-3</v>
      </c>
      <c r="AZ33" s="59">
        <f t="shared" si="32"/>
        <v>0</v>
      </c>
      <c r="BA33" s="59">
        <f t="shared" si="32"/>
        <v>-2.1980274772355195E-2</v>
      </c>
      <c r="BB33" s="59">
        <f t="shared" si="32"/>
        <v>-4.8137830800252393E-3</v>
      </c>
      <c r="BC33" s="59">
        <f t="shared" si="32"/>
        <v>-6.0691853087627857E-3</v>
      </c>
      <c r="BD33" s="59">
        <f t="shared" si="32"/>
        <v>0</v>
      </c>
      <c r="BE33" s="59">
        <f t="shared" si="32"/>
        <v>5.3002831963000546E-3</v>
      </c>
      <c r="BF33" s="59">
        <f t="shared" si="32"/>
        <v>4.1438344998132063E-3</v>
      </c>
      <c r="BG33" s="59">
        <f t="shared" si="32"/>
        <v>5.6208983340710521E-3</v>
      </c>
      <c r="BH33" s="59">
        <f t="shared" si="32"/>
        <v>0</v>
      </c>
      <c r="BI33" s="59">
        <f t="shared" si="32"/>
        <v>-4.641603991062962E-3</v>
      </c>
      <c r="BJ33" s="59">
        <f t="shared" si="32"/>
        <v>8.4121207883809286E-3</v>
      </c>
      <c r="BK33" s="59">
        <f t="shared" si="32"/>
        <v>0</v>
      </c>
      <c r="BL33" s="59">
        <f t="shared" si="32"/>
        <v>0</v>
      </c>
      <c r="BM33" s="59">
        <f t="shared" si="32"/>
        <v>-2.7146103145591446E-2</v>
      </c>
      <c r="BN33" s="59">
        <f t="shared" si="32"/>
        <v>5.0808738356245442E-2</v>
      </c>
      <c r="BO33" s="59">
        <f t="shared" si="32"/>
        <v>1.3953941101993772E-2</v>
      </c>
      <c r="BP33" s="59">
        <f t="shared" si="32"/>
        <v>0</v>
      </c>
      <c r="BQ33" s="59">
        <f t="shared" si="32"/>
        <v>1.9930381509604453E-2</v>
      </c>
      <c r="BR33" s="59">
        <f t="shared" ref="BR33:CJ33" si="33">BR32/BR34</f>
        <v>1.2307082468658132E-3</v>
      </c>
      <c r="BS33" s="59">
        <f t="shared" si="33"/>
        <v>2.8351802496436714E-2</v>
      </c>
      <c r="BT33" s="59">
        <f t="shared" si="33"/>
        <v>3.184379872574173E-2</v>
      </c>
      <c r="BU33" s="59">
        <f t="shared" si="33"/>
        <v>9.4600724905981384E-2</v>
      </c>
      <c r="BV33" s="59">
        <f t="shared" si="33"/>
        <v>4.2628615130400442E-2</v>
      </c>
      <c r="BW33" s="59">
        <f t="shared" si="33"/>
        <v>9.4980271379745754E-2</v>
      </c>
      <c r="BX33" s="59">
        <f t="shared" si="33"/>
        <v>0.11468338161834449</v>
      </c>
      <c r="BY33" s="59">
        <f t="shared" si="33"/>
        <v>1.80928185827329E-2</v>
      </c>
      <c r="BZ33" s="59">
        <f t="shared" si="33"/>
        <v>4.0537861192015395E-3</v>
      </c>
      <c r="CA33" s="59">
        <f t="shared" si="33"/>
        <v>9.7199773240884968E-2</v>
      </c>
      <c r="CB33" s="59">
        <f t="shared" si="33"/>
        <v>2.7240250074426913E-2</v>
      </c>
      <c r="CC33" s="59">
        <f t="shared" si="33"/>
        <v>-1.5317558044390151E-3</v>
      </c>
      <c r="CD33" s="59">
        <f t="shared" si="33"/>
        <v>0</v>
      </c>
      <c r="CE33" s="59">
        <f t="shared" si="33"/>
        <v>4.2852934176065199E-2</v>
      </c>
      <c r="CF33" s="59">
        <f t="shared" si="33"/>
        <v>-3.3835259515497778E-3</v>
      </c>
      <c r="CG33" s="59">
        <f t="shared" si="33"/>
        <v>0</v>
      </c>
      <c r="CH33" s="59">
        <f t="shared" si="33"/>
        <v>0</v>
      </c>
      <c r="CI33" s="59" t="e">
        <f t="shared" si="33"/>
        <v>#DIV/0!</v>
      </c>
      <c r="CJ33" s="59" t="e">
        <f t="shared" si="33"/>
        <v>#DIV/0!</v>
      </c>
    </row>
    <row r="34" spans="1:89" s="58" customFormat="1">
      <c r="A34" s="145" t="s">
        <v>376</v>
      </c>
      <c r="E34" s="58">
        <f>股权价值增加表!E31</f>
        <v>503616237.12000036</v>
      </c>
      <c r="F34" s="58">
        <f>股权价值增加表!F31</f>
        <v>1061637843.3099995</v>
      </c>
      <c r="G34" s="58">
        <f>股权价值增加表!G31</f>
        <v>649269154.80000055</v>
      </c>
      <c r="H34" s="58">
        <f>股权价值增加表!H31</f>
        <v>345584271.57999998</v>
      </c>
      <c r="I34" s="58">
        <f>股权价值增加表!I31</f>
        <v>777933148.80000067</v>
      </c>
      <c r="J34" s="58">
        <f>股权价值增加表!J31</f>
        <v>513970716.94999951</v>
      </c>
      <c r="K34" s="58">
        <f>股权价值增加表!K31</f>
        <v>379027476</v>
      </c>
      <c r="L34" s="58">
        <f>股权价值增加表!L31</f>
        <v>169797362.80999997</v>
      </c>
      <c r="M34" s="58">
        <f>股权价值增加表!M31</f>
        <v>719720289</v>
      </c>
      <c r="N34" s="58">
        <f>股权价值增加表!N31</f>
        <v>403319144.60999995</v>
      </c>
      <c r="O34" s="58">
        <f>股权价值增加表!O31</f>
        <v>311464677</v>
      </c>
      <c r="P34" s="58">
        <f>股权价值增加表!P31</f>
        <v>177782832.62999994</v>
      </c>
      <c r="Q34" s="58">
        <f>股权价值增加表!Q31</f>
        <v>917805526</v>
      </c>
      <c r="R34" s="58">
        <f>股权价值增加表!R31</f>
        <v>579398108.91999996</v>
      </c>
      <c r="S34" s="58">
        <f>股权价值增加表!S31</f>
        <v>206858700</v>
      </c>
      <c r="T34" s="58">
        <f>股权价值增加表!T31</f>
        <v>89357903.580000058</v>
      </c>
      <c r="U34" s="58">
        <f>股权价值增加表!U31</f>
        <v>425775793</v>
      </c>
      <c r="V34" s="58">
        <f>股权价值增加表!V31</f>
        <v>338421346</v>
      </c>
      <c r="W34" s="58">
        <f>股权价值增加表!W31</f>
        <v>93912009</v>
      </c>
      <c r="X34" s="58">
        <f>股权价值增加表!X31</f>
        <v>19557297.830000006</v>
      </c>
      <c r="Y34" s="58">
        <f>股权价值增加表!Y31</f>
        <v>321576336</v>
      </c>
      <c r="Z34" s="58">
        <f>股权价值增加表!Z31</f>
        <v>265075145</v>
      </c>
      <c r="AA34" s="58">
        <f>股权价值增加表!AA31</f>
        <v>115059015</v>
      </c>
      <c r="AB34" s="58">
        <f>股权价值增加表!AB31</f>
        <v>17577534.450000018</v>
      </c>
      <c r="AC34" s="58">
        <f>股权价值增加表!AC31</f>
        <v>469124519</v>
      </c>
      <c r="AD34" s="58">
        <f>股权价值增加表!AD31</f>
        <v>199184279.31999975</v>
      </c>
      <c r="AE34" s="58">
        <f>股权价值增加表!AE31</f>
        <v>127109886</v>
      </c>
      <c r="AF34" s="58">
        <f>股权价值增加表!AF31</f>
        <v>35491244.710000068</v>
      </c>
      <c r="AG34" s="58">
        <f>股权价值增加表!AG31</f>
        <v>297242141</v>
      </c>
      <c r="AH34" s="58">
        <f>股权价值增加表!AH31</f>
        <v>264102765.14000016</v>
      </c>
      <c r="AI34" s="58">
        <f>股权价值增加表!AI31</f>
        <v>155805895.97000006</v>
      </c>
      <c r="AJ34" s="58">
        <f>股权价值增加表!AJ31</f>
        <v>42919790.850000054</v>
      </c>
      <c r="AK34" s="58">
        <f>股权价值增加表!AK31</f>
        <v>-219938334.90999988</v>
      </c>
      <c r="AL34" s="58">
        <f>股权价值增加表!AL31</f>
        <v>-121941583.04000004</v>
      </c>
      <c r="AM34" s="58">
        <f>股权价值增加表!AM31</f>
        <v>-141790957.22999999</v>
      </c>
      <c r="AN34" s="58">
        <f>股权价值增加表!AN31</f>
        <v>-89072299.289999992</v>
      </c>
      <c r="AO34" s="58">
        <f>股权价值增加表!AO31</f>
        <v>-15489453.190000072</v>
      </c>
      <c r="AP34" s="58">
        <f>股权价值增加表!AP31</f>
        <v>41747084.589999929</v>
      </c>
      <c r="AQ34" s="58">
        <f>股权价值增加表!AQ31</f>
        <v>53603874.320000067</v>
      </c>
      <c r="AR34" s="58">
        <f>股权价值增加表!AR31</f>
        <v>15966524.570000019</v>
      </c>
      <c r="AS34" s="58">
        <f>股权价值增加表!AS31</f>
        <v>114297440.34000003</v>
      </c>
      <c r="AT34" s="58">
        <f>股权价值增加表!AT31</f>
        <v>90831840.300000027</v>
      </c>
      <c r="AU34" s="58">
        <f>股权价值增加表!AU31</f>
        <v>60923183.05999998</v>
      </c>
      <c r="AV34" s="58">
        <f>股权价值增加表!AV31</f>
        <v>22474257.010000009</v>
      </c>
      <c r="AW34" s="58">
        <f>股权价值增加表!AW31</f>
        <v>141425033.42000014</v>
      </c>
      <c r="AX34" s="58">
        <f>股权价值增加表!AX31</f>
        <v>103356258.95</v>
      </c>
      <c r="AY34" s="58">
        <f>股权价值增加表!AY31</f>
        <v>58681223.469999984</v>
      </c>
      <c r="AZ34" s="58">
        <f>股权价值增加表!AZ31</f>
        <v>20298201.310000006</v>
      </c>
      <c r="BA34" s="58">
        <f>股权价值增加表!BA31</f>
        <v>74713804.399999976</v>
      </c>
      <c r="BB34" s="58">
        <f>股权价值增加表!BB31</f>
        <v>56261914.070000015</v>
      </c>
      <c r="BC34" s="58">
        <f>股权价值增加表!BC31</f>
        <v>44624218.280000046</v>
      </c>
      <c r="BD34" s="58">
        <f>股权价值增加表!BD31</f>
        <v>18238349.249999993</v>
      </c>
      <c r="BE34" s="58">
        <f>股权价值增加表!BE31</f>
        <v>116484911.68000001</v>
      </c>
      <c r="BF34" s="58">
        <f>股权价值增加表!BF31</f>
        <v>66411894.589999996</v>
      </c>
      <c r="BG34" s="58">
        <f>股权价值增加表!BG31</f>
        <v>48960127.659999996</v>
      </c>
      <c r="BH34" s="58">
        <f>股权价值增加表!BH31</f>
        <v>18005550.459999982</v>
      </c>
      <c r="BI34" s="58">
        <f>股权价值增加表!BI31</f>
        <v>70506040.720000058</v>
      </c>
      <c r="BJ34" s="58">
        <f>股权价值增加表!BJ31</f>
        <v>42015445.200000033</v>
      </c>
      <c r="BK34" s="58">
        <f>股权价值增加表!BK31</f>
        <v>30544460.409999982</v>
      </c>
      <c r="BL34" s="58">
        <f>股权价值增加表!BL31</f>
        <v>16342784.1</v>
      </c>
      <c r="BM34" s="58">
        <f>股权价值增加表!BM31</f>
        <v>-15288253.999999963</v>
      </c>
      <c r="BN34" s="58">
        <f>股权价值增加表!BN31</f>
        <v>15008144.359999986</v>
      </c>
      <c r="BO34" s="58">
        <f>股权价值增加表!BO31</f>
        <v>19559380.249999985</v>
      </c>
      <c r="BP34" s="58">
        <f>股权价值增加表!BP31</f>
        <v>9791079.3099999949</v>
      </c>
      <c r="BQ34" s="58">
        <f>股权价值增加表!BQ31</f>
        <v>19803853.720000032</v>
      </c>
      <c r="BR34" s="58">
        <f>股权价值增加表!BR31</f>
        <v>23295529.279999983</v>
      </c>
      <c r="BS34" s="58">
        <f>股权价值增加表!BS31</f>
        <v>41478157.169999987</v>
      </c>
      <c r="BT34" s="58">
        <f>股权价值增加表!BT31</f>
        <v>20971903.68999999</v>
      </c>
      <c r="BU34" s="58">
        <f>股权价值增加表!BU31</f>
        <v>28098788.700000014</v>
      </c>
      <c r="BV34" s="58">
        <f>股权价值增加表!BV31</f>
        <v>12107502.400000008</v>
      </c>
      <c r="BW34" s="58">
        <f>股权价值增加表!BW31</f>
        <v>30663411.439999998</v>
      </c>
      <c r="BX34" s="58">
        <f>股权价值增加表!BX31</f>
        <v>17028962.979999993</v>
      </c>
      <c r="BY34" s="58">
        <f>股权价值增加表!BY31</f>
        <v>46212032.479999982</v>
      </c>
      <c r="BZ34" s="58">
        <f>股权价值增加表!BZ31</f>
        <v>104494945.59999999</v>
      </c>
      <c r="CA34" s="58">
        <f>股权价值增加表!CA31</f>
        <v>17761508.719999991</v>
      </c>
      <c r="CB34" s="58">
        <f>股权价值增加表!CB31</f>
        <v>67180000</v>
      </c>
      <c r="CC34" s="58">
        <f>股权价值增加表!CC31</f>
        <v>37489552.729999982</v>
      </c>
      <c r="CD34" s="58">
        <f>股权价值增加表!CD31</f>
        <v>72860000</v>
      </c>
      <c r="CE34" s="58">
        <f>股权价值增加表!CE31</f>
        <v>39519812.180000007</v>
      </c>
      <c r="CF34" s="58">
        <f>股权价值增加表!CF31</f>
        <v>26044298.540000003</v>
      </c>
      <c r="CG34" s="58">
        <f>股权价值增加表!CG31</f>
        <v>31780600</v>
      </c>
      <c r="CH34" s="58">
        <f>股权价值增加表!CH31</f>
        <v>15431400</v>
      </c>
      <c r="CI34" s="58">
        <f>股权价值增加表!CI31</f>
        <v>0</v>
      </c>
      <c r="CJ34" s="58">
        <f>股权价值增加表!CJ31</f>
        <v>0</v>
      </c>
      <c r="CK34" s="58">
        <f>股权价值增加表!CK31</f>
        <v>0</v>
      </c>
    </row>
    <row r="35" spans="1:89" s="16" customFormat="1" ht="37.5" customHeight="1">
      <c r="A35" s="283" t="s">
        <v>676</v>
      </c>
      <c r="B35" s="284"/>
      <c r="C35" s="284"/>
      <c r="D35" s="284"/>
      <c r="E35" s="284"/>
      <c r="F35" s="284"/>
      <c r="G35" s="284"/>
      <c r="H35" s="284"/>
      <c r="I35" s="284"/>
      <c r="J35" s="284"/>
      <c r="K35" s="284"/>
      <c r="L35" s="284"/>
      <c r="M35" s="284"/>
      <c r="N35" s="284"/>
      <c r="O35" s="284"/>
      <c r="P35" s="284"/>
      <c r="Q35" s="284"/>
      <c r="R35" s="284"/>
      <c r="S35" s="284"/>
      <c r="T35" s="284"/>
      <c r="U35" s="284"/>
      <c r="V35" s="284"/>
      <c r="W35" s="284"/>
      <c r="X35" s="284"/>
      <c r="Y35" s="284"/>
      <c r="Z35" s="284"/>
      <c r="AA35" s="284"/>
      <c r="AB35" s="284"/>
      <c r="AC35" s="284"/>
      <c r="AD35" s="284"/>
      <c r="AE35" s="284"/>
      <c r="AF35" s="284"/>
      <c r="AG35" s="284"/>
    </row>
    <row r="38" spans="1:89">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37072</v>
      </c>
      <c r="BS38" s="1">
        <v>36891</v>
      </c>
      <c r="BT38" s="1">
        <v>36707</v>
      </c>
      <c r="BU38" s="1">
        <v>36525</v>
      </c>
      <c r="BV38" s="1">
        <v>36341</v>
      </c>
      <c r="BW38" s="1">
        <v>36160</v>
      </c>
      <c r="BX38" s="1">
        <v>35976</v>
      </c>
      <c r="BY38" s="1">
        <v>35795</v>
      </c>
      <c r="BZ38" s="1">
        <v>35611</v>
      </c>
      <c r="CA38" s="1">
        <v>35430</v>
      </c>
      <c r="CB38" s="1">
        <v>35246</v>
      </c>
      <c r="CC38" s="1">
        <v>35064</v>
      </c>
      <c r="CD38" s="1">
        <v>34880</v>
      </c>
      <c r="CE38" s="1">
        <v>34699</v>
      </c>
      <c r="CF38" s="1">
        <v>34334</v>
      </c>
      <c r="CG38" s="1">
        <v>33969</v>
      </c>
      <c r="CH38" s="1">
        <v>33603</v>
      </c>
      <c r="CI38" s="1">
        <v>25569</v>
      </c>
      <c r="CJ38" s="1"/>
      <c r="CK38" s="1"/>
    </row>
    <row r="39" spans="1:89">
      <c r="A39" s="17" t="s">
        <v>376</v>
      </c>
      <c r="E39" s="26">
        <f>股权价值增加表!E31</f>
        <v>503616237.12000036</v>
      </c>
      <c r="F39" s="26">
        <f>股权价值增加表!F31</f>
        <v>1061637843.3099995</v>
      </c>
      <c r="G39" s="26">
        <f>股权价值增加表!G31</f>
        <v>649269154.80000055</v>
      </c>
      <c r="H39" s="26">
        <f>股权价值增加表!H31</f>
        <v>345584271.57999998</v>
      </c>
      <c r="I39" s="26">
        <f>股权价值增加表!I31</f>
        <v>777933148.80000067</v>
      </c>
      <c r="J39" s="26">
        <f>股权价值增加表!J31</f>
        <v>513970716.94999951</v>
      </c>
      <c r="K39" s="26">
        <f>股权价值增加表!K31</f>
        <v>379027476</v>
      </c>
      <c r="L39" s="26">
        <f>股权价值增加表!L31</f>
        <v>169797362.80999997</v>
      </c>
      <c r="M39" s="26">
        <f>股权价值增加表!M31</f>
        <v>719720289</v>
      </c>
      <c r="N39" s="26">
        <f>股权价值增加表!N31</f>
        <v>403319144.60999995</v>
      </c>
      <c r="O39" s="26">
        <f>股权价值增加表!O31</f>
        <v>311464677</v>
      </c>
      <c r="P39" s="26">
        <f>股权价值增加表!P31</f>
        <v>177782832.62999994</v>
      </c>
      <c r="Q39" s="26">
        <f>股权价值增加表!Q31</f>
        <v>917805526</v>
      </c>
      <c r="R39" s="26">
        <f>股权价值增加表!R31</f>
        <v>579398108.91999996</v>
      </c>
      <c r="S39" s="26">
        <f>股权价值增加表!S31</f>
        <v>206858700</v>
      </c>
      <c r="T39" s="26">
        <f>股权价值增加表!T31</f>
        <v>89357903.580000058</v>
      </c>
      <c r="U39" s="26">
        <f>股权价值增加表!U31</f>
        <v>425775793</v>
      </c>
      <c r="V39" s="26">
        <f>股权价值增加表!V31</f>
        <v>338421346</v>
      </c>
      <c r="W39" s="26">
        <f>股权价值增加表!W31</f>
        <v>93912009</v>
      </c>
      <c r="X39" s="26">
        <f>股权价值增加表!X31</f>
        <v>19557297.830000006</v>
      </c>
      <c r="Y39" s="26">
        <f>股权价值增加表!Y31</f>
        <v>321576336</v>
      </c>
      <c r="Z39" s="26">
        <f>股权价值增加表!Z31</f>
        <v>265075145</v>
      </c>
      <c r="AA39" s="26">
        <f>股权价值增加表!AA31</f>
        <v>115059015</v>
      </c>
      <c r="AB39" s="26">
        <f>股权价值增加表!AB31</f>
        <v>17577534.450000018</v>
      </c>
      <c r="AC39" s="26">
        <f>股权价值增加表!AC31</f>
        <v>469124519</v>
      </c>
      <c r="AD39" s="26">
        <f>股权价值增加表!AD31</f>
        <v>199184279.31999975</v>
      </c>
      <c r="AE39" s="26">
        <f>股权价值增加表!AE31</f>
        <v>127109886</v>
      </c>
      <c r="AF39" s="26">
        <f>股权价值增加表!AF31</f>
        <v>35491244.710000068</v>
      </c>
      <c r="AG39" s="26">
        <f>股权价值增加表!AG31</f>
        <v>297242141</v>
      </c>
      <c r="AH39" s="26">
        <f>股权价值增加表!AH31</f>
        <v>264102765.14000016</v>
      </c>
      <c r="AI39" s="26">
        <f>股权价值增加表!AI31</f>
        <v>155805895.97000006</v>
      </c>
      <c r="AJ39" s="26">
        <f>股权价值增加表!AJ31</f>
        <v>42919790.850000054</v>
      </c>
      <c r="AK39" s="26">
        <f>股权价值增加表!AK31</f>
        <v>-219938334.90999988</v>
      </c>
      <c r="AL39" s="26">
        <f>股权价值增加表!AL31</f>
        <v>-121941583.04000004</v>
      </c>
      <c r="AM39" s="26">
        <f>股权价值增加表!AM31</f>
        <v>-141790957.22999999</v>
      </c>
      <c r="AN39" s="26">
        <f>股权价值增加表!AN31</f>
        <v>-89072299.289999992</v>
      </c>
      <c r="AO39" s="26">
        <f>股权价值增加表!AO31</f>
        <v>-15489453.190000072</v>
      </c>
      <c r="AP39" s="26">
        <f>股权价值增加表!AP31</f>
        <v>41747084.589999929</v>
      </c>
      <c r="AQ39" s="26">
        <f>股权价值增加表!AQ31</f>
        <v>53603874.320000067</v>
      </c>
      <c r="AR39" s="26">
        <f>股权价值增加表!AR31</f>
        <v>15966524.570000019</v>
      </c>
      <c r="AS39" s="26">
        <f>股权价值增加表!AS31</f>
        <v>114297440.34000003</v>
      </c>
      <c r="AT39" s="26">
        <f>股权价值增加表!AT31</f>
        <v>90831840.300000027</v>
      </c>
      <c r="AU39" s="26">
        <f>股权价值增加表!AU31</f>
        <v>60923183.05999998</v>
      </c>
      <c r="AV39" s="26">
        <f>股权价值增加表!AV31</f>
        <v>22474257.010000009</v>
      </c>
      <c r="AW39" s="26">
        <f>股权价值增加表!AW31</f>
        <v>141425033.42000014</v>
      </c>
      <c r="AX39" s="26">
        <f>股权价值增加表!AX31</f>
        <v>103356258.95</v>
      </c>
      <c r="AY39" s="26">
        <f>股权价值增加表!AY31</f>
        <v>58681223.469999984</v>
      </c>
      <c r="AZ39" s="26">
        <f>股权价值增加表!AZ31</f>
        <v>20298201.310000006</v>
      </c>
      <c r="BA39" s="26">
        <f>股权价值增加表!BA31</f>
        <v>74713804.399999976</v>
      </c>
      <c r="BB39" s="26">
        <f>股权价值增加表!BB31</f>
        <v>56261914.070000015</v>
      </c>
      <c r="BC39" s="26">
        <f>股权价值增加表!BC31</f>
        <v>44624218.280000046</v>
      </c>
      <c r="BD39" s="26">
        <f>股权价值增加表!BD31</f>
        <v>18238349.249999993</v>
      </c>
      <c r="BE39" s="26">
        <f>股权价值增加表!BE31</f>
        <v>116484911.68000001</v>
      </c>
      <c r="BF39" s="26">
        <f>股权价值增加表!BF31</f>
        <v>66411894.589999996</v>
      </c>
      <c r="BG39" s="26">
        <f>股权价值增加表!BG31</f>
        <v>48960127.659999996</v>
      </c>
      <c r="BH39" s="26">
        <f>股权价值增加表!BH31</f>
        <v>18005550.459999982</v>
      </c>
      <c r="BI39" s="26">
        <f>股权价值增加表!BI31</f>
        <v>70506040.720000058</v>
      </c>
      <c r="BJ39" s="26">
        <f>股权价值增加表!BJ31</f>
        <v>42015445.200000033</v>
      </c>
      <c r="BK39" s="26">
        <f>股权价值增加表!BK31</f>
        <v>30544460.409999982</v>
      </c>
      <c r="BL39" s="26">
        <f>股权价值增加表!BL31</f>
        <v>16342784.1</v>
      </c>
      <c r="BM39" s="26">
        <f>股权价值增加表!BM31</f>
        <v>-15288253.999999963</v>
      </c>
      <c r="BN39" s="26">
        <f>股权价值增加表!BN31</f>
        <v>15008144.359999986</v>
      </c>
      <c r="BO39" s="26">
        <f>股权价值增加表!BO31</f>
        <v>19559380.249999985</v>
      </c>
      <c r="BP39" s="26">
        <f>股权价值增加表!BP31</f>
        <v>9791079.3099999949</v>
      </c>
      <c r="BQ39" s="26">
        <f>股权价值增加表!BQ31</f>
        <v>19803853.720000032</v>
      </c>
      <c r="BR39" s="26">
        <f>股权价值增加表!BR31</f>
        <v>23295529.279999983</v>
      </c>
      <c r="BS39" s="26">
        <f>股权价值增加表!BS31</f>
        <v>41478157.169999987</v>
      </c>
      <c r="BT39" s="26">
        <f>股权价值增加表!BT31</f>
        <v>20971903.68999999</v>
      </c>
      <c r="BU39" s="26">
        <f>股权价值增加表!BU31</f>
        <v>28098788.700000014</v>
      </c>
      <c r="BV39" s="26">
        <f>股权价值增加表!BV31</f>
        <v>12107502.400000008</v>
      </c>
      <c r="BW39" s="26">
        <f>股权价值增加表!BW31</f>
        <v>30663411.439999998</v>
      </c>
      <c r="BX39" s="26">
        <f>股权价值增加表!BX31</f>
        <v>17028962.979999993</v>
      </c>
      <c r="BY39" s="26">
        <f>股权价值增加表!BY31</f>
        <v>46212032.479999982</v>
      </c>
      <c r="BZ39" s="26">
        <f>股权价值增加表!BZ31</f>
        <v>104494945.59999999</v>
      </c>
      <c r="CA39" s="26">
        <f>股权价值增加表!CA31</f>
        <v>17761508.719999991</v>
      </c>
      <c r="CB39" s="26">
        <f>股权价值增加表!CB31</f>
        <v>67180000</v>
      </c>
      <c r="CC39" s="26">
        <f>股权价值增加表!CC31</f>
        <v>37489552.729999982</v>
      </c>
      <c r="CD39" s="26">
        <f>股权价值增加表!CD31</f>
        <v>72860000</v>
      </c>
      <c r="CE39" s="26">
        <f>股权价值增加表!CE31</f>
        <v>39519812.180000007</v>
      </c>
      <c r="CF39" s="26">
        <f>股权价值增加表!CF31</f>
        <v>26044298.540000003</v>
      </c>
      <c r="CG39" s="26">
        <f>股权价值增加表!CG31</f>
        <v>31780600</v>
      </c>
      <c r="CH39" s="26">
        <f>股权价值增加表!CH31</f>
        <v>15431400</v>
      </c>
      <c r="CI39" s="26">
        <f>股权价值增加表!CI31</f>
        <v>0</v>
      </c>
      <c r="CJ39" s="26">
        <f>股权价值增加表!CJ31</f>
        <v>0</v>
      </c>
      <c r="CK39" s="26"/>
    </row>
    <row r="40" spans="1:89">
      <c r="A40" s="17" t="s">
        <v>382</v>
      </c>
      <c r="E40" s="26">
        <f>股权价值增加表!E38</f>
        <v>246413831.93000036</v>
      </c>
      <c r="F40" s="26">
        <f>股权价值增加表!F38</f>
        <v>889313709.54999948</v>
      </c>
      <c r="G40" s="26">
        <f>股权价值增加表!G38</f>
        <v>539470845.55000055</v>
      </c>
      <c r="H40" s="26">
        <f>股权价值增加表!H38</f>
        <v>278688047.31999999</v>
      </c>
      <c r="I40" s="26">
        <f>股权价值增加表!I38</f>
        <v>877477299.59000063</v>
      </c>
      <c r="J40" s="26">
        <f>股权价值增加表!J38</f>
        <v>513955482.32999951</v>
      </c>
      <c r="K40" s="26">
        <f>股权价值增加表!K38</f>
        <v>374424914</v>
      </c>
      <c r="L40" s="26">
        <f>股权价值增加表!L38</f>
        <v>126360187.56999996</v>
      </c>
      <c r="M40" s="26">
        <f>股权价值增加表!M38</f>
        <v>675733022</v>
      </c>
      <c r="N40" s="26">
        <f>股权价值增加表!N38</f>
        <v>373077902.74999994</v>
      </c>
      <c r="O40" s="26">
        <f>股权价值增加表!O38</f>
        <v>266451326</v>
      </c>
      <c r="P40" s="26">
        <f>股权价值增加表!P38</f>
        <v>144777537.94999993</v>
      </c>
      <c r="Q40" s="26">
        <f>股权价值增加表!Q38</f>
        <v>711430928</v>
      </c>
      <c r="R40" s="26">
        <f>股权价值增加表!R38</f>
        <v>440558269.01999998</v>
      </c>
      <c r="S40" s="26">
        <f>股权价值增加表!S38</f>
        <v>154127177</v>
      </c>
      <c r="T40" s="26">
        <f>股权价值增加表!T38</f>
        <v>62142703.180000059</v>
      </c>
      <c r="U40" s="26">
        <f>股权价值增加表!U38</f>
        <v>282887216</v>
      </c>
      <c r="V40" s="26">
        <f>股权价值增加表!V38</f>
        <v>227361243</v>
      </c>
      <c r="W40" s="26">
        <f>股权价值增加表!W38</f>
        <v>18420857</v>
      </c>
      <c r="X40" s="26">
        <f>股权价值增加表!X38</f>
        <v>-18961126.499999993</v>
      </c>
      <c r="Y40" s="26">
        <f>股权价值增加表!Y38</f>
        <v>137854535</v>
      </c>
      <c r="Z40" s="26">
        <f>股权价值增加表!Z38</f>
        <v>135784055</v>
      </c>
      <c r="AA40" s="26">
        <f>股权价值增加表!AA38</f>
        <v>30229519</v>
      </c>
      <c r="AB40" s="26">
        <f>股权价值增加表!AB38</f>
        <v>-25391989.089999981</v>
      </c>
      <c r="AC40" s="26">
        <f>股权价值增加表!AC38</f>
        <v>331383914</v>
      </c>
      <c r="AD40" s="26">
        <f>股权价值增加表!AD38</f>
        <v>63821740.169999748</v>
      </c>
      <c r="AE40" s="26">
        <f>股权价值增加表!AE38</f>
        <v>68996163</v>
      </c>
      <c r="AF40" s="26">
        <f>股权价值增加表!AF38</f>
        <v>-7294879.3499999344</v>
      </c>
      <c r="AG40" s="26">
        <f>股权价值增加表!AG38</f>
        <v>174568965</v>
      </c>
      <c r="AH40" s="26">
        <f>股权价值增加表!AH38</f>
        <v>176141786.66000015</v>
      </c>
      <c r="AI40" s="26">
        <f>股权价值增加表!AI38</f>
        <v>96259079.810000062</v>
      </c>
      <c r="AJ40" s="26">
        <f>股权价值增加表!AJ38</f>
        <v>15809317.280000053</v>
      </c>
      <c r="AK40" s="26">
        <f>股权价值增加表!AK38</f>
        <v>-354272941.12999988</v>
      </c>
      <c r="AL40" s="26">
        <f>股权价值增加表!AL38</f>
        <v>-224156138.14000005</v>
      </c>
      <c r="AM40" s="26">
        <f>股权价值增加表!AM38</f>
        <v>-212534641.68000001</v>
      </c>
      <c r="AN40" s="26">
        <f>股权价值增加表!AN38</f>
        <v>-124009536.06</v>
      </c>
      <c r="AO40" s="26">
        <f>股权价值增加表!AO38</f>
        <v>-70109535.700000077</v>
      </c>
      <c r="AP40" s="26">
        <f>股权价值增加表!AP38</f>
        <v>38291998.569999926</v>
      </c>
      <c r="AQ40" s="26">
        <f>股权价值增加表!AQ38</f>
        <v>50955820.460000068</v>
      </c>
      <c r="AR40" s="26">
        <f>股权价值增加表!AR38</f>
        <v>13599045.12000002</v>
      </c>
      <c r="AS40" s="26">
        <f>股权价值增加表!AS38</f>
        <v>98152916.64000003</v>
      </c>
      <c r="AT40" s="26">
        <f>股权价值增加表!AT38</f>
        <v>76084757.360000029</v>
      </c>
      <c r="AU40" s="26">
        <f>股权价值增加表!AU38</f>
        <v>50767446.679999977</v>
      </c>
      <c r="AV40" s="26">
        <f>股权价值增加表!AV38</f>
        <v>17871549.590000011</v>
      </c>
      <c r="AW40" s="26">
        <f>股权价值增加表!AW38</f>
        <v>105210170.22000013</v>
      </c>
      <c r="AX40" s="26">
        <f>股权价值增加表!AX38</f>
        <v>79677521.670000002</v>
      </c>
      <c r="AY40" s="26">
        <f>股权价值增加表!AY38</f>
        <v>46495833.589999981</v>
      </c>
      <c r="AZ40" s="26">
        <f>股权价值增加表!AZ38</f>
        <v>14454796.770000007</v>
      </c>
      <c r="BA40" s="26">
        <f>股权价值增加表!BA38</f>
        <v>52601928.039999977</v>
      </c>
      <c r="BB40" s="26">
        <f>股权价值增加表!BB38</f>
        <v>38220350.550000012</v>
      </c>
      <c r="BC40" s="26">
        <f>股权价值增加表!BC38</f>
        <v>31435206.700000048</v>
      </c>
      <c r="BD40" s="26">
        <f>股权价值增加表!BD38</f>
        <v>11728833.019999992</v>
      </c>
      <c r="BE40" s="26">
        <f>股权价值增加表!BE38</f>
        <v>95359429.060000002</v>
      </c>
      <c r="BF40" s="26">
        <f>股权价值增加表!BF38</f>
        <v>52537996.709999993</v>
      </c>
      <c r="BG40" s="26">
        <f>股权价值增加表!BG38</f>
        <v>39687387.939999998</v>
      </c>
      <c r="BH40" s="26">
        <f>股权价值增加表!BH38</f>
        <v>12750576.119999982</v>
      </c>
      <c r="BI40" s="26">
        <f>股权价值增加表!BI38</f>
        <v>52145571.760000058</v>
      </c>
      <c r="BJ40" s="26">
        <f>股权价值增加表!BJ38</f>
        <v>29386989.160000034</v>
      </c>
      <c r="BK40" s="26">
        <f>股权价值增加表!BK38</f>
        <v>22001998.799999982</v>
      </c>
      <c r="BL40" s="26">
        <f>股权价值增加表!BL38</f>
        <v>11903604.92</v>
      </c>
      <c r="BM40" s="26">
        <f>股权价值增加表!BM38</f>
        <v>-27672255.289999962</v>
      </c>
      <c r="BN40" s="26">
        <f>股权价值增加表!BN38</f>
        <v>7065186.7899999861</v>
      </c>
      <c r="BO40" s="26">
        <f>股权价值增加表!BO38</f>
        <v>16365078.989999985</v>
      </c>
      <c r="BP40" s="26">
        <f>股权价值增加表!BP38</f>
        <v>8932622.9999999944</v>
      </c>
      <c r="BQ40" s="26">
        <f>股权价值增加表!BQ38</f>
        <v>15181176.040000033</v>
      </c>
      <c r="BR40" s="26">
        <f>股权价值增加表!BR38</f>
        <v>18129770.689999983</v>
      </c>
      <c r="BS40" s="26">
        <f>股权价值增加表!BS38</f>
        <v>35636975.11999999</v>
      </c>
      <c r="BT40" s="26">
        <f>股权价值增加表!BT38</f>
        <v>17528969.139999989</v>
      </c>
      <c r="BU40" s="26">
        <f>股权价值增加表!BU38</f>
        <v>23516953.300000012</v>
      </c>
      <c r="BV40" s="26">
        <f>股权价值增加表!BV38</f>
        <v>11236912.030000009</v>
      </c>
      <c r="BW40" s="26">
        <f>股权价值增加表!BW38</f>
        <v>29016253.889999997</v>
      </c>
      <c r="BX40" s="26">
        <f>股权价值增加表!BX38</f>
        <v>16372871.119999994</v>
      </c>
      <c r="BY40" s="26">
        <f>股权价值增加表!BY38</f>
        <v>45265182.999999985</v>
      </c>
      <c r="BZ40" s="26">
        <f>股权价值增加表!BZ38</f>
        <v>104494945.59999999</v>
      </c>
      <c r="CA40" s="26">
        <f>股权价值增加表!CA38</f>
        <v>18298681.00999999</v>
      </c>
      <c r="CB40" s="26">
        <f>股权价值增加表!CB38</f>
        <v>67180000</v>
      </c>
      <c r="CC40" s="26">
        <f>股权价值增加表!CC38</f>
        <v>29571783.179999981</v>
      </c>
      <c r="CD40" s="26">
        <f>股权价值增加表!CD38</f>
        <v>72860000</v>
      </c>
      <c r="CE40" s="26">
        <f>股权价值增加表!CE38</f>
        <v>33629673.570000008</v>
      </c>
      <c r="CF40" s="26">
        <f>股权价值增加表!CF38</f>
        <v>21406720.230000004</v>
      </c>
      <c r="CG40" s="26">
        <f>股权价值增加表!CG38</f>
        <v>31780600</v>
      </c>
      <c r="CH40" s="26">
        <f>股权价值增加表!CH38</f>
        <v>15431400</v>
      </c>
      <c r="CI40" s="26">
        <f>股权价值增加表!CI38</f>
        <v>0</v>
      </c>
      <c r="CJ40" s="26">
        <f>股权价值增加表!CJ38</f>
        <v>0</v>
      </c>
      <c r="CK40" s="26"/>
    </row>
    <row r="41" spans="1:89" s="59" customFormat="1">
      <c r="A41" s="59" t="s">
        <v>383</v>
      </c>
      <c r="E41" s="59">
        <f>1-E40/E39</f>
        <v>0.51071110546563747</v>
      </c>
      <c r="F41" s="59">
        <f t="shared" ref="F41:BQ41" si="34">1-F40/F39</f>
        <v>0.16231913250447416</v>
      </c>
      <c r="G41" s="59">
        <f t="shared" si="34"/>
        <v>0.1691106198997272</v>
      </c>
      <c r="H41" s="59">
        <f t="shared" si="34"/>
        <v>0.19357427337231714</v>
      </c>
      <c r="I41" s="59">
        <f t="shared" si="34"/>
        <v>-0.12795977513434353</v>
      </c>
      <c r="J41" s="59">
        <f t="shared" si="34"/>
        <v>2.9641027197824243E-5</v>
      </c>
      <c r="K41" s="59">
        <f t="shared" si="34"/>
        <v>1.2143082735247446E-2</v>
      </c>
      <c r="L41" s="59">
        <f t="shared" si="34"/>
        <v>0.25581772603032349</v>
      </c>
      <c r="M41" s="59">
        <f t="shared" si="34"/>
        <v>6.1117169645331426E-2</v>
      </c>
      <c r="N41" s="59">
        <f t="shared" si="34"/>
        <v>7.4980923331181226E-2</v>
      </c>
      <c r="O41" s="59">
        <f t="shared" si="34"/>
        <v>0.14452152787778239</v>
      </c>
      <c r="P41" s="59">
        <f t="shared" si="34"/>
        <v>0.18564950390170876</v>
      </c>
      <c r="Q41" s="59">
        <f t="shared" si="34"/>
        <v>0.22485656509328966</v>
      </c>
      <c r="R41" s="59">
        <f t="shared" si="34"/>
        <v>0.23962770634304953</v>
      </c>
      <c r="S41" s="59">
        <f t="shared" si="34"/>
        <v>0.25491566465418181</v>
      </c>
      <c r="T41" s="59">
        <f t="shared" si="34"/>
        <v>0.30456399836680215</v>
      </c>
      <c r="U41" s="59">
        <f t="shared" si="34"/>
        <v>0.33559582143741085</v>
      </c>
      <c r="V41" s="59">
        <f t="shared" si="34"/>
        <v>0.32817109296645841</v>
      </c>
      <c r="W41" s="59">
        <f t="shared" si="34"/>
        <v>0.80384982499948432</v>
      </c>
      <c r="X41" s="59">
        <f t="shared" si="34"/>
        <v>1.9695166819474665</v>
      </c>
      <c r="Y41" s="59">
        <f t="shared" si="34"/>
        <v>0.5713162954876132</v>
      </c>
      <c r="Z41" s="59">
        <f t="shared" si="34"/>
        <v>0.48775259558945072</v>
      </c>
      <c r="AA41" s="59">
        <f t="shared" si="34"/>
        <v>0.73726944385887538</v>
      </c>
      <c r="AB41" s="59">
        <f t="shared" si="34"/>
        <v>2.4445705774167865</v>
      </c>
      <c r="AC41" s="59">
        <f t="shared" si="34"/>
        <v>0.29361203565657157</v>
      </c>
      <c r="AD41" s="59">
        <f t="shared" si="34"/>
        <v>0.6795844512032656</v>
      </c>
      <c r="AE41" s="59">
        <f t="shared" si="34"/>
        <v>0.45719278671998809</v>
      </c>
      <c r="AF41" s="59">
        <f t="shared" si="34"/>
        <v>1.2055402511128193</v>
      </c>
      <c r="AG41" s="59">
        <f t="shared" si="34"/>
        <v>0.41270452294313142</v>
      </c>
      <c r="AH41" s="59">
        <f t="shared" si="34"/>
        <v>0.33305587858336938</v>
      </c>
      <c r="AI41" s="59">
        <f t="shared" si="34"/>
        <v>0.38218589732615482</v>
      </c>
      <c r="AJ41" s="59">
        <f t="shared" si="34"/>
        <v>0.63165437279850978</v>
      </c>
      <c r="AK41" s="59">
        <f t="shared" si="34"/>
        <v>-0.61078304641603531</v>
      </c>
      <c r="AL41" s="59">
        <f t="shared" si="34"/>
        <v>-0.83822558762806088</v>
      </c>
      <c r="AM41" s="59">
        <f t="shared" si="34"/>
        <v>-0.49892945101743158</v>
      </c>
      <c r="AN41" s="59">
        <f t="shared" si="34"/>
        <v>-0.39223458974885084</v>
      </c>
      <c r="AO41" s="59">
        <f t="shared" si="34"/>
        <v>-3.5262757077352811</v>
      </c>
      <c r="AP41" s="59">
        <f t="shared" si="34"/>
        <v>8.2762330685664964E-2</v>
      </c>
      <c r="AQ41" s="59">
        <f t="shared" si="34"/>
        <v>4.9400419159851383E-2</v>
      </c>
      <c r="AR41" s="59">
        <f t="shared" si="34"/>
        <v>0.14827769434860782</v>
      </c>
      <c r="AS41" s="59">
        <f t="shared" si="34"/>
        <v>0.14125008969557817</v>
      </c>
      <c r="AT41" s="59">
        <f t="shared" si="34"/>
        <v>0.16235587533284834</v>
      </c>
      <c r="AU41" s="59">
        <f t="shared" si="34"/>
        <v>0.16669740269476996</v>
      </c>
      <c r="AV41" s="59">
        <f t="shared" si="34"/>
        <v>0.20479909159853449</v>
      </c>
      <c r="AW41" s="59">
        <f t="shared" si="34"/>
        <v>0.2560710952243519</v>
      </c>
      <c r="AX41" s="59">
        <f t="shared" si="34"/>
        <v>0.22909824253076838</v>
      </c>
      <c r="AY41" s="59">
        <f t="shared" si="34"/>
        <v>0.20765398468949148</v>
      </c>
      <c r="AZ41" s="59">
        <f t="shared" si="34"/>
        <v>0.28787794794020583</v>
      </c>
      <c r="BA41" s="59">
        <f t="shared" si="34"/>
        <v>0.29595436261842945</v>
      </c>
      <c r="BB41" s="59">
        <f t="shared" si="34"/>
        <v>0.32067098708289643</v>
      </c>
      <c r="BC41" s="59">
        <f t="shared" si="34"/>
        <v>0.295557257658699</v>
      </c>
      <c r="BD41" s="59">
        <f t="shared" si="34"/>
        <v>0.35691367353325598</v>
      </c>
      <c r="BE41" s="59">
        <f t="shared" si="34"/>
        <v>0.18135810308235112</v>
      </c>
      <c r="BF41" s="59">
        <f t="shared" si="34"/>
        <v>0.20890682257526005</v>
      </c>
      <c r="BG41" s="59">
        <f t="shared" si="34"/>
        <v>0.18939369979575738</v>
      </c>
      <c r="BH41" s="59">
        <f t="shared" si="34"/>
        <v>0.29185302341487007</v>
      </c>
      <c r="BI41" s="59">
        <f t="shared" si="34"/>
        <v>0.26040987087779821</v>
      </c>
      <c r="BJ41" s="59">
        <f t="shared" si="34"/>
        <v>0.30056699339698989</v>
      </c>
      <c r="BK41" s="59">
        <f t="shared" si="34"/>
        <v>0.27967302402249261</v>
      </c>
      <c r="BL41" s="59">
        <f t="shared" si="34"/>
        <v>0.2716293106998825</v>
      </c>
      <c r="BM41" s="59">
        <f t="shared" si="34"/>
        <v>-0.81003372196720624</v>
      </c>
      <c r="BN41" s="59">
        <f t="shared" si="34"/>
        <v>0.5292431482182256</v>
      </c>
      <c r="BO41" s="59">
        <f t="shared" si="34"/>
        <v>0.16331300987923691</v>
      </c>
      <c r="BP41" s="59">
        <f t="shared" si="34"/>
        <v>8.7677393147375215E-2</v>
      </c>
      <c r="BQ41" s="59">
        <f t="shared" si="34"/>
        <v>0.23342313800932235</v>
      </c>
      <c r="BR41" s="59">
        <f t="shared" ref="BR41:CK41" si="35">1-BR40/BR39</f>
        <v>0.22174892563763215</v>
      </c>
      <c r="BS41" s="59">
        <f t="shared" si="35"/>
        <v>0.14082549584012771</v>
      </c>
      <c r="BT41" s="59">
        <f t="shared" si="35"/>
        <v>0.16416890907436754</v>
      </c>
      <c r="BU41" s="59">
        <f t="shared" si="35"/>
        <v>0.16306166962990831</v>
      </c>
      <c r="BV41" s="59">
        <f t="shared" si="35"/>
        <v>7.1905033857354361E-2</v>
      </c>
      <c r="BW41" s="59">
        <f t="shared" si="35"/>
        <v>5.3717361266962804E-2</v>
      </c>
      <c r="BX41" s="59">
        <f t="shared" si="35"/>
        <v>3.8527998491191706E-2</v>
      </c>
      <c r="BY41" s="59">
        <f t="shared" si="35"/>
        <v>2.0489241203787811E-2</v>
      </c>
      <c r="BZ41" s="59">
        <f t="shared" si="35"/>
        <v>0</v>
      </c>
      <c r="CA41" s="59">
        <f t="shared" si="35"/>
        <v>-3.0243618291002861E-2</v>
      </c>
      <c r="CB41" s="59">
        <f t="shared" si="35"/>
        <v>0</v>
      </c>
      <c r="CC41" s="59">
        <f t="shared" si="35"/>
        <v>0.21119936017972341</v>
      </c>
      <c r="CD41" s="59">
        <f t="shared" si="35"/>
        <v>0</v>
      </c>
      <c r="CE41" s="59">
        <f t="shared" si="35"/>
        <v>0.14904267720636721</v>
      </c>
      <c r="CF41" s="59">
        <f t="shared" si="35"/>
        <v>0.17806501115310891</v>
      </c>
      <c r="CG41" s="59">
        <f t="shared" si="35"/>
        <v>0</v>
      </c>
      <c r="CH41" s="59">
        <f t="shared" si="35"/>
        <v>0</v>
      </c>
      <c r="CI41" s="59" t="e">
        <f t="shared" si="35"/>
        <v>#DIV/0!</v>
      </c>
      <c r="CJ41" s="59" t="e">
        <f t="shared" si="35"/>
        <v>#DIV/0!</v>
      </c>
      <c r="CK41" s="59" t="e">
        <f t="shared" si="35"/>
        <v>#DIV/0!</v>
      </c>
    </row>
    <row r="42" spans="1:89" s="60" customFormat="1">
      <c r="A42" s="21" t="s">
        <v>428</v>
      </c>
      <c r="E42" s="149">
        <f>E39/(E39-E40)</f>
        <v>1.9580541509632077</v>
      </c>
      <c r="F42" s="29">
        <f t="shared" ref="F42:BQ42" si="36">F39/(F39-F40)</f>
        <v>6.1607032059047997</v>
      </c>
      <c r="G42" s="29">
        <f t="shared" si="36"/>
        <v>5.9132891866456543</v>
      </c>
      <c r="H42" s="29">
        <f t="shared" si="36"/>
        <v>5.1659757393309125</v>
      </c>
      <c r="I42" s="29">
        <f t="shared" si="36"/>
        <v>-7.8149559027445186</v>
      </c>
      <c r="J42" s="29">
        <f t="shared" si="36"/>
        <v>33737.022449515556</v>
      </c>
      <c r="K42" s="29">
        <f t="shared" si="36"/>
        <v>82.351411235742177</v>
      </c>
      <c r="L42" s="29">
        <f t="shared" si="36"/>
        <v>3.9090332617586654</v>
      </c>
      <c r="M42" s="29">
        <f t="shared" si="36"/>
        <v>16.362014239257011</v>
      </c>
      <c r="N42" s="29">
        <f t="shared" si="36"/>
        <v>13.336725603966311</v>
      </c>
      <c r="O42" s="29">
        <f t="shared" si="36"/>
        <v>6.9193843622084481</v>
      </c>
      <c r="P42" s="29">
        <f t="shared" si="36"/>
        <v>5.3864943292789258</v>
      </c>
      <c r="Q42" s="29">
        <f t="shared" si="36"/>
        <v>4.4472795338891462</v>
      </c>
      <c r="R42" s="29">
        <f t="shared" si="36"/>
        <v>4.1731401400153878</v>
      </c>
      <c r="S42" s="29">
        <f t="shared" si="36"/>
        <v>3.9228660245599203</v>
      </c>
      <c r="T42" s="29">
        <f t="shared" si="36"/>
        <v>3.283382163888092</v>
      </c>
      <c r="U42" s="29">
        <f t="shared" si="36"/>
        <v>2.9797748843142302</v>
      </c>
      <c r="V42" s="29">
        <f t="shared" si="36"/>
        <v>3.0471909971126174</v>
      </c>
      <c r="W42" s="29">
        <f t="shared" si="36"/>
        <v>1.2440134573651758</v>
      </c>
      <c r="X42" s="29">
        <f t="shared" si="36"/>
        <v>0.50773878138020934</v>
      </c>
      <c r="Y42" s="29">
        <f t="shared" si="36"/>
        <v>1.7503439126421365</v>
      </c>
      <c r="Z42" s="29">
        <f t="shared" si="36"/>
        <v>2.0502197405869191</v>
      </c>
      <c r="AA42" s="29">
        <f t="shared" si="36"/>
        <v>1.3563562254336627</v>
      </c>
      <c r="AB42" s="29">
        <f t="shared" si="36"/>
        <v>0.40906980114958047</v>
      </c>
      <c r="AC42" s="29">
        <f t="shared" si="36"/>
        <v>3.4058549329008683</v>
      </c>
      <c r="AD42" s="29">
        <f t="shared" si="36"/>
        <v>1.4714874630068562</v>
      </c>
      <c r="AE42" s="29">
        <f t="shared" si="36"/>
        <v>2.1872611052642421</v>
      </c>
      <c r="AF42" s="29">
        <f t="shared" si="36"/>
        <v>0.82950361804752049</v>
      </c>
      <c r="AG42" s="29">
        <f t="shared" si="36"/>
        <v>2.4230410485174039</v>
      </c>
      <c r="AH42" s="29">
        <f t="shared" si="36"/>
        <v>3.0024991729719117</v>
      </c>
      <c r="AI42" s="29">
        <f t="shared" si="36"/>
        <v>2.6165277342680358</v>
      </c>
      <c r="AJ42" s="29">
        <f t="shared" si="36"/>
        <v>1.5831442685491994</v>
      </c>
      <c r="AK42" s="29">
        <f t="shared" si="36"/>
        <v>-1.6372425624251024</v>
      </c>
      <c r="AL42" s="29">
        <f t="shared" si="36"/>
        <v>-1.1929962706456081</v>
      </c>
      <c r="AM42" s="29">
        <f t="shared" si="36"/>
        <v>-2.0042913842042611</v>
      </c>
      <c r="AN42" s="29">
        <f t="shared" si="36"/>
        <v>-2.549494680314409</v>
      </c>
      <c r="AO42" s="29">
        <f t="shared" si="36"/>
        <v>-0.28358531291424205</v>
      </c>
      <c r="AP42" s="29">
        <f t="shared" si="36"/>
        <v>12.082791672434219</v>
      </c>
      <c r="AQ42" s="29">
        <f t="shared" si="36"/>
        <v>20.242743219731974</v>
      </c>
      <c r="AR42" s="29">
        <f t="shared" si="36"/>
        <v>6.7441027080509715</v>
      </c>
      <c r="AS42" s="29">
        <f t="shared" si="36"/>
        <v>7.079641522035117</v>
      </c>
      <c r="AT42" s="29">
        <f t="shared" si="36"/>
        <v>6.1593089744974368</v>
      </c>
      <c r="AU42" s="29">
        <f t="shared" si="36"/>
        <v>5.998893707006598</v>
      </c>
      <c r="AV42" s="29">
        <f t="shared" si="36"/>
        <v>4.882834158074731</v>
      </c>
      <c r="AW42" s="29">
        <f t="shared" si="36"/>
        <v>3.9051654741581387</v>
      </c>
      <c r="AX42" s="29">
        <f t="shared" si="36"/>
        <v>4.3649396387914141</v>
      </c>
      <c r="AY42" s="29">
        <f t="shared" si="36"/>
        <v>4.8157033995534304</v>
      </c>
      <c r="AZ42" s="29">
        <f t="shared" si="36"/>
        <v>3.4736943456596641</v>
      </c>
      <c r="BA42" s="29">
        <f t="shared" si="36"/>
        <v>3.3788993382377965</v>
      </c>
      <c r="BB42" s="29">
        <f t="shared" si="36"/>
        <v>3.1184611027548019</v>
      </c>
      <c r="BC42" s="29">
        <f t="shared" si="36"/>
        <v>3.3834391614053048</v>
      </c>
      <c r="BD42" s="29">
        <f t="shared" si="36"/>
        <v>2.8017979532712514</v>
      </c>
      <c r="BE42" s="29">
        <f t="shared" si="36"/>
        <v>5.5139526881019476</v>
      </c>
      <c r="BF42" s="29">
        <f t="shared" si="36"/>
        <v>4.7868230806092678</v>
      </c>
      <c r="BG42" s="29">
        <f t="shared" si="36"/>
        <v>5.2800066796224066</v>
      </c>
      <c r="BH42" s="29">
        <f t="shared" si="36"/>
        <v>3.4263821847700942</v>
      </c>
      <c r="BI42" s="29">
        <f t="shared" si="36"/>
        <v>3.8401002105994166</v>
      </c>
      <c r="BJ42" s="29">
        <f t="shared" si="36"/>
        <v>3.3270452909617947</v>
      </c>
      <c r="BK42" s="29">
        <f t="shared" si="36"/>
        <v>3.5756040594017939</v>
      </c>
      <c r="BL42" s="29">
        <f t="shared" si="36"/>
        <v>3.6814878240621054</v>
      </c>
      <c r="BM42" s="29">
        <f t="shared" si="36"/>
        <v>-1.2345165057714529</v>
      </c>
      <c r="BN42" s="29">
        <f t="shared" si="36"/>
        <v>1.8894906875349184</v>
      </c>
      <c r="BO42" s="29">
        <f t="shared" si="36"/>
        <v>6.1232108865022914</v>
      </c>
      <c r="BP42" s="29">
        <f t="shared" si="36"/>
        <v>11.405448589457032</v>
      </c>
      <c r="BQ42" s="29">
        <f t="shared" si="36"/>
        <v>4.2840654466741954</v>
      </c>
      <c r="BR42" s="29">
        <f t="shared" ref="BR42:CK42" si="37">BR39/(BR39-BR40)</f>
        <v>4.5096047122867935</v>
      </c>
      <c r="BS42" s="29">
        <f t="shared" si="37"/>
        <v>7.100986891856933</v>
      </c>
      <c r="BT42" s="29">
        <f t="shared" si="37"/>
        <v>6.091287355433459</v>
      </c>
      <c r="BU42" s="29">
        <f t="shared" si="37"/>
        <v>6.1326490907988536</v>
      </c>
      <c r="BV42" s="29">
        <f t="shared" si="37"/>
        <v>13.907232169361142</v>
      </c>
      <c r="BW42" s="29">
        <f t="shared" si="37"/>
        <v>18.615955371117952</v>
      </c>
      <c r="BX42" s="29">
        <f t="shared" si="37"/>
        <v>25.955150518099718</v>
      </c>
      <c r="BY42" s="29">
        <f t="shared" si="37"/>
        <v>48.80610219060388</v>
      </c>
      <c r="BZ42" s="29" t="e">
        <f t="shared" si="37"/>
        <v>#DIV/0!</v>
      </c>
      <c r="CA42" s="29">
        <f t="shared" si="37"/>
        <v>-33.064826780249632</v>
      </c>
      <c r="CB42" s="29" t="e">
        <f t="shared" si="37"/>
        <v>#DIV/0!</v>
      </c>
      <c r="CC42" s="29">
        <f t="shared" si="37"/>
        <v>4.7348628288884687</v>
      </c>
      <c r="CD42" s="29" t="e">
        <f t="shared" si="37"/>
        <v>#DIV/0!</v>
      </c>
      <c r="CE42" s="29">
        <f t="shared" si="37"/>
        <v>6.709487636318971</v>
      </c>
      <c r="CF42" s="29">
        <f t="shared" si="37"/>
        <v>5.6159264165611491</v>
      </c>
      <c r="CG42" s="29" t="e">
        <f t="shared" si="37"/>
        <v>#DIV/0!</v>
      </c>
      <c r="CH42" s="29" t="e">
        <f t="shared" si="37"/>
        <v>#DIV/0!</v>
      </c>
      <c r="CI42" s="29" t="e">
        <f t="shared" si="37"/>
        <v>#DIV/0!</v>
      </c>
      <c r="CJ42" s="29" t="e">
        <f t="shared" si="37"/>
        <v>#DIV/0!</v>
      </c>
      <c r="CK42" s="29" t="e">
        <f t="shared" si="37"/>
        <v>#DIV/0!</v>
      </c>
    </row>
    <row r="43" spans="1:89" s="16" customFormat="1" ht="106.15" customHeight="1">
      <c r="A43" s="283" t="s">
        <v>698</v>
      </c>
      <c r="B43" s="284"/>
      <c r="C43" s="284"/>
      <c r="D43" s="284"/>
      <c r="E43" s="284"/>
      <c r="F43" s="284"/>
      <c r="G43" s="284"/>
      <c r="H43" s="284"/>
      <c r="I43" s="284"/>
      <c r="J43" s="284"/>
      <c r="K43" s="284"/>
      <c r="L43" s="284"/>
      <c r="M43" s="284"/>
      <c r="N43" s="284"/>
      <c r="O43" s="284"/>
      <c r="P43" s="284"/>
      <c r="Q43" s="284"/>
      <c r="R43" s="284"/>
      <c r="S43" s="284"/>
      <c r="T43" s="284"/>
      <c r="U43" s="284"/>
      <c r="V43" s="284"/>
      <c r="W43" s="284"/>
      <c r="X43" s="284"/>
      <c r="Y43" s="284"/>
      <c r="Z43" s="284"/>
      <c r="AA43" s="284"/>
      <c r="AB43" s="284"/>
      <c r="AC43" s="284"/>
      <c r="AD43" s="284"/>
      <c r="AE43" s="284"/>
      <c r="AF43" s="284"/>
      <c r="AG43" s="284"/>
    </row>
    <row r="45" spans="1:89">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37072</v>
      </c>
      <c r="BS46" s="1">
        <v>36891</v>
      </c>
      <c r="BT46" s="1">
        <v>36707</v>
      </c>
      <c r="BU46" s="1">
        <v>36525</v>
      </c>
      <c r="BV46" s="1">
        <v>36341</v>
      </c>
      <c r="BW46" s="1">
        <v>36160</v>
      </c>
      <c r="BX46" s="1">
        <v>35976</v>
      </c>
      <c r="BY46" s="1">
        <v>35795</v>
      </c>
      <c r="BZ46" s="1">
        <v>35611</v>
      </c>
      <c r="CA46" s="1">
        <v>35430</v>
      </c>
      <c r="CB46" s="1">
        <v>35246</v>
      </c>
      <c r="CC46" s="1">
        <v>35064</v>
      </c>
      <c r="CD46" s="1">
        <v>34880</v>
      </c>
      <c r="CE46" s="1">
        <v>34699</v>
      </c>
      <c r="CF46" s="1">
        <v>34334</v>
      </c>
      <c r="CG46" s="1">
        <v>33969</v>
      </c>
      <c r="CH46" s="1">
        <v>33603</v>
      </c>
      <c r="CI46" s="1">
        <v>25569</v>
      </c>
      <c r="CJ46" s="1"/>
      <c r="CK46" s="1"/>
    </row>
    <row r="47" spans="1:89" s="26" customFormat="1">
      <c r="A47" s="17" t="s">
        <v>424</v>
      </c>
      <c r="E47" s="26">
        <f>股权价值增加表!E42</f>
        <v>161131020.41000038</v>
      </c>
      <c r="F47" s="26">
        <f>股权价值增加表!F42</f>
        <v>752732959.83999944</v>
      </c>
      <c r="G47" s="26">
        <f>股权价值增加表!G42</f>
        <v>456877446.07000053</v>
      </c>
      <c r="H47" s="26">
        <f>股权价值增加表!H42</f>
        <v>240640790.28</v>
      </c>
      <c r="I47" s="26">
        <f>股权价值增加表!I42</f>
        <v>753582504.31000066</v>
      </c>
      <c r="J47" s="26">
        <f>股权价值增加表!J42</f>
        <v>445222487.8399995</v>
      </c>
      <c r="K47" s="26">
        <f>股权价值增加表!K42</f>
        <v>335470306</v>
      </c>
      <c r="L47" s="26">
        <f>股权价值增加表!L42</f>
        <v>116871823.19999996</v>
      </c>
      <c r="M47" s="26">
        <f>股权价值增加表!M42</f>
        <v>623357770</v>
      </c>
      <c r="N47" s="26">
        <f>股权价值增加表!N42</f>
        <v>347335286.77999997</v>
      </c>
      <c r="O47" s="26">
        <f>股权价值增加表!O42</f>
        <v>248593188</v>
      </c>
      <c r="P47" s="26">
        <f>股权价值增加表!P42</f>
        <v>134772143.96999994</v>
      </c>
      <c r="Q47" s="26">
        <f>股权价值增加表!Q42</f>
        <v>623503911</v>
      </c>
      <c r="R47" s="26">
        <f>股权价值增加表!R42</f>
        <v>384865672.84999996</v>
      </c>
      <c r="S47" s="26">
        <f>股权价值增加表!S42</f>
        <v>139047070</v>
      </c>
      <c r="T47" s="26">
        <f>股权价值增加表!T42</f>
        <v>57804575.410000056</v>
      </c>
      <c r="U47" s="26">
        <f>股权价值增加表!U42</f>
        <v>248822557</v>
      </c>
      <c r="V47" s="26">
        <f>股权价值增加表!V42</f>
        <v>198140255</v>
      </c>
      <c r="W47" s="26">
        <f>股权价值增加表!W42</f>
        <v>22325046</v>
      </c>
      <c r="X47" s="26">
        <f>股权价值增加表!X42</f>
        <v>-16853865.349999994</v>
      </c>
      <c r="Y47" s="26">
        <f>股权价值增加表!Y42</f>
        <v>125692345</v>
      </c>
      <c r="Z47" s="26">
        <f>股权价值增加表!Z42</f>
        <v>130701944</v>
      </c>
      <c r="AA47" s="26">
        <f>股权价值增加表!AA42</f>
        <v>37420463</v>
      </c>
      <c r="AB47" s="26">
        <f>股权价值增加表!AB42</f>
        <v>-22175537.159999982</v>
      </c>
      <c r="AC47" s="26">
        <f>股权价值增加表!AC42</f>
        <v>310309448</v>
      </c>
      <c r="AD47" s="26">
        <f>股权价值增加表!AD42</f>
        <v>58541941.169999748</v>
      </c>
      <c r="AE47" s="26">
        <f>股权价值增加表!AE42</f>
        <v>68005293</v>
      </c>
      <c r="AF47" s="26">
        <f>股权价值增加表!AF42</f>
        <v>-7372458.9699999345</v>
      </c>
      <c r="AG47" s="26">
        <f>股权价值增加表!AG42</f>
        <v>137824385</v>
      </c>
      <c r="AH47" s="26">
        <f>股权价值增加表!AH42</f>
        <v>146956738.84000015</v>
      </c>
      <c r="AI47" s="26">
        <f>股权价值增加表!AI42</f>
        <v>80672938.300000057</v>
      </c>
      <c r="AJ47" s="26">
        <f>股权价值增加表!AJ42</f>
        <v>13433499.680000054</v>
      </c>
      <c r="AK47" s="26">
        <f>股权价值增加表!AK42</f>
        <v>-301409692.48999989</v>
      </c>
      <c r="AL47" s="26">
        <f>股权价值增加表!AL42</f>
        <v>-199962614.33000004</v>
      </c>
      <c r="AM47" s="26">
        <f>股权价值增加表!AM42</f>
        <v>-188033704.14000002</v>
      </c>
      <c r="AN47" s="26">
        <f>股权价值增加表!AN42</f>
        <v>-110472391.56</v>
      </c>
      <c r="AO47" s="26">
        <f>股权价值增加表!AO42</f>
        <v>-47265105.90000008</v>
      </c>
      <c r="AP47" s="26">
        <f>股权价值增加表!AP42</f>
        <v>39999039.629999928</v>
      </c>
      <c r="AQ47" s="26">
        <f>股权价值增加表!AQ42</f>
        <v>48233451.900000066</v>
      </c>
      <c r="AR47" s="26">
        <f>股权价值增加表!AR42</f>
        <v>12916233.240000019</v>
      </c>
      <c r="AS47" s="26">
        <f>股权价值增加表!AS42</f>
        <v>90676835.110000029</v>
      </c>
      <c r="AT47" s="26">
        <f>股权价值增加表!AT42</f>
        <v>70670445.320000023</v>
      </c>
      <c r="AU47" s="26">
        <f>股权价值增加表!AU42</f>
        <v>46160494.679999977</v>
      </c>
      <c r="AV47" s="26">
        <f>股权价值增加表!AV42</f>
        <v>16952229.090000011</v>
      </c>
      <c r="AW47" s="26">
        <f>股权价值增加表!AW42</f>
        <v>92752021.490000129</v>
      </c>
      <c r="AX47" s="26">
        <f>股权价值增加表!AX42</f>
        <v>72492836.650000006</v>
      </c>
      <c r="AY47" s="26">
        <f>股权价值增加表!AY42</f>
        <v>42341220.449999981</v>
      </c>
      <c r="AZ47" s="26">
        <f>股权价值增加表!AZ42</f>
        <v>13308166.870000007</v>
      </c>
      <c r="BA47" s="26">
        <f>股权价值增加表!BA42</f>
        <v>51162295.779999979</v>
      </c>
      <c r="BB47" s="26">
        <f>股权价值增加表!BB42</f>
        <v>37550803.640000015</v>
      </c>
      <c r="BC47" s="26">
        <f>股权价值增加表!BC42</f>
        <v>30765659.790000048</v>
      </c>
      <c r="BD47" s="26">
        <f>股权价值增加表!BD42</f>
        <v>11059286.109999992</v>
      </c>
      <c r="BE47" s="26">
        <f>股权价值增加表!BE42</f>
        <v>91550567.049999997</v>
      </c>
      <c r="BF47" s="26">
        <f>股权价值增加表!BF42</f>
        <v>46095249.959999993</v>
      </c>
      <c r="BG47" s="26">
        <f>股权价值增加表!BG42</f>
        <v>34395065.939999998</v>
      </c>
      <c r="BH47" s="26">
        <f>股权价值增加表!BH42</f>
        <v>10794130.919999983</v>
      </c>
      <c r="BI47" s="26">
        <f>股权价值增加表!BI42</f>
        <v>43393903.270000055</v>
      </c>
      <c r="BJ47" s="26">
        <f>股权价值增加表!BJ42</f>
        <v>25276362.220000032</v>
      </c>
      <c r="BK47" s="26">
        <f>股权价值增加表!BK42</f>
        <v>19006326.589999981</v>
      </c>
      <c r="BL47" s="26">
        <f>股权价值增加表!BL42</f>
        <v>10538941.52</v>
      </c>
      <c r="BM47" s="26">
        <f>股权价值增加表!BM42</f>
        <v>-30977587.249999963</v>
      </c>
      <c r="BN47" s="26">
        <f>股权价值增加表!BN42</f>
        <v>3245852.689999986</v>
      </c>
      <c r="BO47" s="26">
        <f>股权价值增加表!BO42</f>
        <v>13786142.619999986</v>
      </c>
      <c r="BP47" s="26">
        <f>股权价值增加表!BP42</f>
        <v>7531716.4299999941</v>
      </c>
      <c r="BQ47" s="26">
        <f>股权价值增加表!BQ42</f>
        <v>14820809.820000032</v>
      </c>
      <c r="BR47" s="26">
        <f>股权价值增加表!BR42</f>
        <v>15252762.859999983</v>
      </c>
      <c r="BS47" s="26">
        <f>股权价值增加表!BS42</f>
        <v>30503088.039999992</v>
      </c>
      <c r="BT47" s="26">
        <f>股权价值增加表!BT42</f>
        <v>14961717.44999999</v>
      </c>
      <c r="BU47" s="26">
        <f>股权价值增加表!BU42</f>
        <v>21071820.530000012</v>
      </c>
      <c r="BV47" s="26">
        <f>股权价值增加表!BV42</f>
        <v>10098753.440000009</v>
      </c>
      <c r="BW47" s="26">
        <f>股权价值增加表!BW42</f>
        <v>26164233.669999998</v>
      </c>
      <c r="BX47" s="26">
        <f>股权价值增加表!BX42</f>
        <v>14838421.909999993</v>
      </c>
      <c r="BY47" s="26">
        <f>股权价值增加表!BY42</f>
        <v>40228801.099999987</v>
      </c>
      <c r="BZ47" s="26">
        <f>股权价值增加表!BZ42</f>
        <v>102503630.34999999</v>
      </c>
      <c r="CA47" s="26">
        <f>股权价值增加表!CA42</f>
        <v>16583117.229999991</v>
      </c>
      <c r="CB47" s="26">
        <f>股权价值增加表!CB42</f>
        <v>66360000</v>
      </c>
      <c r="CC47" s="26">
        <f>股权价值增加表!CC42</f>
        <v>26625379.749999981</v>
      </c>
      <c r="CD47" s="26">
        <f>股权价值增加表!CD42</f>
        <v>71470000</v>
      </c>
      <c r="CE47" s="26">
        <f>股权价值增加表!CE42</f>
        <v>30533343.110000007</v>
      </c>
      <c r="CF47" s="26">
        <f>股权价值增加表!CF42</f>
        <v>19138092.260000005</v>
      </c>
      <c r="CG47" s="26">
        <f>股权价值增加表!CG42</f>
        <v>31780600</v>
      </c>
      <c r="CH47" s="26">
        <f>股权价值增加表!CH42</f>
        <v>15431400</v>
      </c>
      <c r="CI47" s="26">
        <f>股权价值增加表!CI42</f>
        <v>0</v>
      </c>
      <c r="CJ47" s="26">
        <f>股权价值增加表!CJ42</f>
        <v>-3630000</v>
      </c>
    </row>
    <row r="48" spans="1:89" s="63" customFormat="1">
      <c r="A48" s="63" t="s">
        <v>427</v>
      </c>
      <c r="E48" s="63">
        <f>股权价值增加表!E43</f>
        <v>1.1499091152902433E-2</v>
      </c>
      <c r="F48" s="63">
        <f>股权价值增加表!F43</f>
        <v>7.451869281753852E-2</v>
      </c>
      <c r="G48" s="63">
        <f>股权价值增加表!G43</f>
        <v>7.3638015248985111E-2</v>
      </c>
      <c r="H48" s="63">
        <f>股权价值增加表!H43</f>
        <v>8.2903190016362163E-2</v>
      </c>
      <c r="I48" s="63">
        <f>股权价值增加表!I43</f>
        <v>7.0187165852732436E-2</v>
      </c>
      <c r="J48" s="63">
        <f>股权价值增加表!J43</f>
        <v>5.7422778649302716E-2</v>
      </c>
      <c r="K48" s="63">
        <f>股权价值增加表!K43</f>
        <v>6.7492900818907353E-2</v>
      </c>
      <c r="L48" s="63">
        <f>股权价值增加表!L43</f>
        <v>4.7672815762258493E-2</v>
      </c>
      <c r="M48" s="63">
        <f>股权价值增加表!M43</f>
        <v>5.9198253441971285E-2</v>
      </c>
      <c r="N48" s="63">
        <f>股权价值增加表!N43</f>
        <v>4.4537578006468972E-2</v>
      </c>
      <c r="O48" s="63">
        <f>股权价值增加表!O43</f>
        <v>4.8385093172984832E-2</v>
      </c>
      <c r="P48" s="63">
        <f>股权价值增加表!P43</f>
        <v>5.5229565569060494E-2</v>
      </c>
      <c r="Q48" s="63">
        <f>股权价值增加表!Q43</f>
        <v>6.6882601366927905E-2</v>
      </c>
      <c r="R48" s="63">
        <f>股权价值增加表!R43</f>
        <v>5.8899027005125733E-2</v>
      </c>
      <c r="S48" s="63">
        <f>股权价值增加表!S43</f>
        <v>5.5941231638890226E-2</v>
      </c>
      <c r="T48" s="63">
        <f>股权价值增加表!T43</f>
        <v>4.8997370413899503E-2</v>
      </c>
      <c r="U48" s="63">
        <f>股权价值增加表!U43</f>
        <v>5.5056818562891865E-2</v>
      </c>
      <c r="V48" s="63">
        <f>股权价值增加表!V43</f>
        <v>5.6656892907708624E-2</v>
      </c>
      <c r="W48" s="63">
        <f>股权价值增加表!W43</f>
        <v>9.9173644252988011E-3</v>
      </c>
      <c r="X48" s="63">
        <f>股权价值增加表!X43</f>
        <v>-1.6199651801633214E-2</v>
      </c>
      <c r="Y48" s="63">
        <f>股权价值增加表!Y43</f>
        <v>2.9004513247204513E-2</v>
      </c>
      <c r="Z48" s="63">
        <f>股权价值增加表!Z43</f>
        <v>3.9496272778728185E-2</v>
      </c>
      <c r="AA48" s="63">
        <f>股权价值增加表!AA43</f>
        <v>1.6725583937652708E-2</v>
      </c>
      <c r="AB48" s="63">
        <f>股权价值增加表!AB43</f>
        <v>-2.2551903846404674E-2</v>
      </c>
      <c r="AC48" s="63">
        <f>股权价值增加表!AC43</f>
        <v>6.7239794623555268E-2</v>
      </c>
      <c r="AD48" s="63">
        <f>股权价值增加表!AD43</f>
        <v>1.7465072503609621E-2</v>
      </c>
      <c r="AE48" s="63">
        <f>股权价值增加表!AE43</f>
        <v>3.2241994142412772E-2</v>
      </c>
      <c r="AF48" s="63">
        <f>股权价值增加表!AF43</f>
        <v>-7.2508336667644032E-3</v>
      </c>
      <c r="AG48" s="63">
        <f>股权价值增加表!AG43</f>
        <v>3.9900389620264098E-2</v>
      </c>
      <c r="AH48" s="63">
        <f>股权价值增加表!AH43</f>
        <v>6.3020847821741388E-2</v>
      </c>
      <c r="AI48" s="63">
        <f>股权价值增加表!AI43</f>
        <v>5.4416782119981078E-2</v>
      </c>
      <c r="AJ48" s="63">
        <f>股权价值增加表!AJ43</f>
        <v>2.0509468919227197E-2</v>
      </c>
      <c r="AK48" s="63">
        <f>股权价值增加表!AK43</f>
        <v>-0.1376018727529516</v>
      </c>
      <c r="AL48" s="63">
        <f>股权价值增加表!AL43</f>
        <v>-0.12637988660869115</v>
      </c>
      <c r="AM48" s="63">
        <f>股权价值增加表!AM43</f>
        <v>-0.21426726820886718</v>
      </c>
      <c r="AN48" s="63">
        <f>股权价值增加表!AN43</f>
        <v>-0.31655201567543018</v>
      </c>
      <c r="AO48" s="63">
        <f>股权价值增加表!AO43</f>
        <v>-3.4343339928145825E-2</v>
      </c>
      <c r="AP48" s="63">
        <f>股权价值增加表!AP43</f>
        <v>3.8495579637345727E-2</v>
      </c>
      <c r="AQ48" s="63">
        <f>股权价值增加表!AQ43</f>
        <v>7.0079963232608608E-2</v>
      </c>
      <c r="AR48" s="63">
        <f>股权价值增加表!AR43</f>
        <v>3.7358258190307261E-2</v>
      </c>
      <c r="AS48" s="63">
        <f>股权价值增加表!AS43</f>
        <v>5.2671570321273106E-2</v>
      </c>
      <c r="AT48" s="63">
        <f>股权价值增加表!AT43</f>
        <v>5.731262590483286E-2</v>
      </c>
      <c r="AU48" s="63">
        <f>股权价值增加表!AU43</f>
        <v>6.0199388339323624E-2</v>
      </c>
      <c r="AV48" s="63">
        <f>股权价值增加表!AV43</f>
        <v>4.7930929996170664E-2</v>
      </c>
      <c r="AW48" s="63">
        <f>股权价值增加表!AW43</f>
        <v>6.1377167682910072E-2</v>
      </c>
      <c r="AX48" s="63">
        <f>股权价值增加表!AX43</f>
        <v>7.0977062298962723E-2</v>
      </c>
      <c r="AY48" s="63">
        <f>股权价值增加表!AY43</f>
        <v>6.6087666023904729E-2</v>
      </c>
      <c r="AZ48" s="63">
        <f>股权价值增加表!AZ43</f>
        <v>5.2676647256833659E-2</v>
      </c>
      <c r="BA48" s="63">
        <f>股权价值增加表!BA43</f>
        <v>4.6406853804227079E-2</v>
      </c>
      <c r="BB48" s="63">
        <f>股权价值增加表!BB43</f>
        <v>4.9586496068139814E-2</v>
      </c>
      <c r="BC48" s="63">
        <f>股权价值增加表!BC43</f>
        <v>5.8595976961840053E-2</v>
      </c>
      <c r="BD48" s="63">
        <f>股权价值增加表!BD43</f>
        <v>4.6904841144847838E-2</v>
      </c>
      <c r="BE48" s="63">
        <f>股权价值增加表!BE43</f>
        <v>8.5488355767321222E-2</v>
      </c>
      <c r="BF48" s="63">
        <f>股权价值增加表!BF43</f>
        <v>7.000549058931857E-2</v>
      </c>
      <c r="BG48" s="63">
        <f>股权价值增加表!BG43</f>
        <v>7.8058061626373146E-2</v>
      </c>
      <c r="BH48" s="63">
        <f>股权价值增加表!BH43</f>
        <v>6.1633537096057602E-2</v>
      </c>
      <c r="BI48" s="63">
        <f>股权价值增加表!BI43</f>
        <v>6.825299736442475E-2</v>
      </c>
      <c r="BJ48" s="63">
        <f>股权价值增加表!BJ43</f>
        <v>5.6908085633265028E-2</v>
      </c>
      <c r="BK48" s="63">
        <f>股权价值增加表!BK43</f>
        <v>7.3229939440549133E-2</v>
      </c>
      <c r="BL48" s="63">
        <f>股权价值增加表!BL43</f>
        <v>9.6770859564969641E-2</v>
      </c>
      <c r="BM48" s="63">
        <f>股权价值增加表!BM43</f>
        <v>-9.5147648558116499E-2</v>
      </c>
      <c r="BN48" s="63">
        <f>股权价值增加表!BN43</f>
        <v>1.3399329632868004E-2</v>
      </c>
      <c r="BO48" s="63">
        <f>股权价值增加表!BO43</f>
        <v>9.158140559890017E-2</v>
      </c>
      <c r="BP48" s="63">
        <f>股权价值增加表!BP43</f>
        <v>0.11647663385581564</v>
      </c>
      <c r="BQ48" s="63">
        <f>股权价值增加表!BQ43</f>
        <v>5.3133332191507225E-2</v>
      </c>
      <c r="BR48" s="63">
        <f>股权价值增加表!BR43</f>
        <v>0.1004508045817631</v>
      </c>
      <c r="BS48" s="63">
        <f>股权价值增加表!BS43</f>
        <v>9.6038304490279253E-2</v>
      </c>
      <c r="BT48" s="63">
        <f>股权价值增加表!BT43</f>
        <v>9.6002107537711226E-2</v>
      </c>
      <c r="BU48" s="63">
        <f>股权价值增加表!BU43</f>
        <v>7.8316831090979006E-2</v>
      </c>
      <c r="BV48" s="63">
        <f>股权价值增加表!BV43</f>
        <v>8.1528982094167535E-2</v>
      </c>
      <c r="BW48" s="63">
        <f>股权价值增加表!BW43</f>
        <v>0.15179997869503656</v>
      </c>
      <c r="BX48" s="63">
        <f>股权价值增加表!BX43</f>
        <v>0.15328588939655929</v>
      </c>
      <c r="BY48" s="63">
        <f>股权价值增加表!BY43</f>
        <v>0.18367262535200835</v>
      </c>
      <c r="BZ48" s="63">
        <f>股权价值增加表!BZ43</f>
        <v>0.98493615045167415</v>
      </c>
      <c r="CA48" s="63">
        <f>股权价值增加表!CA43</f>
        <v>0.10784596490392431</v>
      </c>
      <c r="CB48" s="63">
        <f>股权价值增加表!CB43</f>
        <v>1.0154552410099464</v>
      </c>
      <c r="CC48" s="63">
        <f>股权价值增加表!CC43</f>
        <v>0.1771746588339258</v>
      </c>
      <c r="CD48" s="63">
        <f>股权价值增加表!CD43</f>
        <v>0.98092231677189134</v>
      </c>
      <c r="CE48" s="63">
        <f>股权价值增加表!CE43</f>
        <v>0.17741335050614532</v>
      </c>
      <c r="CF48" s="63">
        <f>股权价值增加表!CF43</f>
        <v>0.14217616580785106</v>
      </c>
      <c r="CG48" s="63">
        <f>股权价值增加表!CG43</f>
        <v>0.28654301129560439</v>
      </c>
      <c r="CH48" s="63">
        <f>股权价值增加表!CH43</f>
        <v>0.26022377551622666</v>
      </c>
      <c r="CI48" s="63" t="e">
        <f>股权价值增加表!CI43</f>
        <v>#DIV/0!</v>
      </c>
      <c r="CJ48" s="63" t="e">
        <f>股权价值增加表!CJ43</f>
        <v>#DIV/0!</v>
      </c>
    </row>
    <row r="49" spans="1:88" s="59" customFormat="1">
      <c r="A49" s="59" t="s">
        <v>425</v>
      </c>
      <c r="E49" s="59">
        <f>(E47-I47)/I47</f>
        <v>-0.78617998760794483</v>
      </c>
      <c r="F49" s="59">
        <f t="shared" ref="F49:BQ49" si="38">(F47-J47)/J47</f>
        <v>0.69068944269165178</v>
      </c>
      <c r="G49" s="59">
        <f t="shared" si="38"/>
        <v>0.3619013006474574</v>
      </c>
      <c r="H49" s="59">
        <f t="shared" si="38"/>
        <v>1.0590145998509595</v>
      </c>
      <c r="I49" s="59">
        <f t="shared" si="38"/>
        <v>0.20890849617547988</v>
      </c>
      <c r="J49" s="59">
        <f t="shared" si="38"/>
        <v>0.28182337005684271</v>
      </c>
      <c r="K49" s="59">
        <f t="shared" si="38"/>
        <v>0.34947505480319113</v>
      </c>
      <c r="L49" s="59">
        <f t="shared" si="38"/>
        <v>-0.13281914379862178</v>
      </c>
      <c r="M49" s="59">
        <f t="shared" si="38"/>
        <v>-2.343866612891222E-4</v>
      </c>
      <c r="N49" s="59">
        <f t="shared" si="38"/>
        <v>-9.7515545598236109E-2</v>
      </c>
      <c r="O49" s="59">
        <f t="shared" si="38"/>
        <v>0.78783478141610608</v>
      </c>
      <c r="P49" s="59">
        <f t="shared" si="38"/>
        <v>1.3315134314901425</v>
      </c>
      <c r="Q49" s="59">
        <f t="shared" si="38"/>
        <v>1.505817472971311</v>
      </c>
      <c r="R49" s="59">
        <f t="shared" si="38"/>
        <v>0.94239011577935017</v>
      </c>
      <c r="S49" s="59">
        <f t="shared" si="38"/>
        <v>5.2282993728210014</v>
      </c>
      <c r="T49" s="59">
        <f t="shared" si="38"/>
        <v>-4.4297518230736355</v>
      </c>
      <c r="U49" s="59">
        <f t="shared" si="38"/>
        <v>0.97961583897571491</v>
      </c>
      <c r="V49" s="59">
        <f t="shared" si="38"/>
        <v>0.51597022152937522</v>
      </c>
      <c r="W49" s="59">
        <f t="shared" si="38"/>
        <v>-0.40340005948082469</v>
      </c>
      <c r="X49" s="59">
        <f t="shared" si="38"/>
        <v>-0.23997938681725228</v>
      </c>
      <c r="Y49" s="59">
        <f t="shared" si="38"/>
        <v>-0.5949451561655319</v>
      </c>
      <c r="Z49" s="59">
        <f t="shared" si="38"/>
        <v>1.232620603072506</v>
      </c>
      <c r="AA49" s="59">
        <f t="shared" si="38"/>
        <v>-0.44974190464851022</v>
      </c>
      <c r="AB49" s="59">
        <f t="shared" si="38"/>
        <v>2.0078888536696975</v>
      </c>
      <c r="AC49" s="59">
        <f t="shared" si="38"/>
        <v>1.2514843654118246</v>
      </c>
      <c r="AD49" s="59">
        <f t="shared" si="38"/>
        <v>-0.60163826693420597</v>
      </c>
      <c r="AE49" s="59">
        <f t="shared" si="38"/>
        <v>-0.15702471692418879</v>
      </c>
      <c r="AF49" s="59">
        <f t="shared" si="38"/>
        <v>-1.5488114896058049</v>
      </c>
      <c r="AG49" s="59">
        <f t="shared" si="38"/>
        <v>-1.4572659354827242</v>
      </c>
      <c r="AH49" s="59">
        <f t="shared" si="38"/>
        <v>-1.7349210717833292</v>
      </c>
      <c r="AI49" s="59">
        <f t="shared" si="38"/>
        <v>-1.4290344577796288</v>
      </c>
      <c r="AJ49" s="59">
        <f t="shared" si="38"/>
        <v>-1.1216005147557977</v>
      </c>
      <c r="AK49" s="59">
        <f t="shared" si="38"/>
        <v>5.377002373118545</v>
      </c>
      <c r="AL49" s="59">
        <f t="shared" si="38"/>
        <v>-5.9991853849417138</v>
      </c>
      <c r="AM49" s="59">
        <f t="shared" si="38"/>
        <v>-4.8984086092332895</v>
      </c>
      <c r="AN49" s="59">
        <f t="shared" si="38"/>
        <v>-9.5529882828284887</v>
      </c>
      <c r="AO49" s="59">
        <f t="shared" si="38"/>
        <v>-1.5212478561108005</v>
      </c>
      <c r="AP49" s="59">
        <f t="shared" si="38"/>
        <v>-0.43400611883961004</v>
      </c>
      <c r="AQ49" s="59">
        <f t="shared" si="38"/>
        <v>4.4907604096761151E-2</v>
      </c>
      <c r="AR49" s="59">
        <f t="shared" si="38"/>
        <v>-0.2380805396489595</v>
      </c>
      <c r="AS49" s="59">
        <f t="shared" si="38"/>
        <v>-2.2373489511749688E-2</v>
      </c>
      <c r="AT49" s="59">
        <f t="shared" si="38"/>
        <v>-2.5138915984190324E-2</v>
      </c>
      <c r="AU49" s="59">
        <f t="shared" si="38"/>
        <v>9.020227072835825E-2</v>
      </c>
      <c r="AV49" s="59">
        <f t="shared" si="38"/>
        <v>0.27382150040623909</v>
      </c>
      <c r="AW49" s="59">
        <f t="shared" si="38"/>
        <v>0.81289795690243682</v>
      </c>
      <c r="AX49" s="59">
        <f t="shared" si="38"/>
        <v>0.93052690283248429</v>
      </c>
      <c r="AY49" s="59">
        <f t="shared" si="38"/>
        <v>0.3762493877593488</v>
      </c>
      <c r="AZ49" s="59">
        <f t="shared" si="38"/>
        <v>0.20334773308437504</v>
      </c>
      <c r="BA49" s="59">
        <f t="shared" si="38"/>
        <v>-0.44115806784617856</v>
      </c>
      <c r="BB49" s="59">
        <f t="shared" si="38"/>
        <v>-0.18536500675046949</v>
      </c>
      <c r="BC49" s="59">
        <f t="shared" si="38"/>
        <v>-0.10552112783651056</v>
      </c>
      <c r="BD49" s="59">
        <f t="shared" si="38"/>
        <v>2.4564755788603055E-2</v>
      </c>
      <c r="BE49" s="59">
        <f t="shared" si="38"/>
        <v>1.1097564439033207</v>
      </c>
      <c r="BF49" s="59">
        <f t="shared" si="38"/>
        <v>0.82365047465283292</v>
      </c>
      <c r="BG49" s="59">
        <f t="shared" si="38"/>
        <v>0.8096640493432683</v>
      </c>
      <c r="BH49" s="59">
        <f t="shared" si="38"/>
        <v>2.421394971361257E-2</v>
      </c>
      <c r="BI49" s="59">
        <f t="shared" si="38"/>
        <v>-2.4008161100409815</v>
      </c>
      <c r="BJ49" s="59">
        <f t="shared" si="38"/>
        <v>6.7872795330092881</v>
      </c>
      <c r="BK49" s="59">
        <f t="shared" si="38"/>
        <v>0.37865442958836881</v>
      </c>
      <c r="BL49" s="59">
        <f t="shared" si="38"/>
        <v>0.39927486887607211</v>
      </c>
      <c r="BM49" s="59">
        <f t="shared" si="38"/>
        <v>-3.0901413368247304</v>
      </c>
      <c r="BN49" s="59">
        <f t="shared" si="38"/>
        <v>-0.78719575464507086</v>
      </c>
      <c r="BO49" s="59">
        <f t="shared" si="38"/>
        <v>-0.54804108351516301</v>
      </c>
      <c r="BP49" s="59">
        <f t="shared" si="38"/>
        <v>-0.49660081102520759</v>
      </c>
      <c r="BQ49" s="59">
        <f t="shared" si="38"/>
        <v>-0.29665261722879605</v>
      </c>
      <c r="BR49" s="59">
        <f t="shared" ref="BR49:CJ49" si="39">(BR47-BV47)/BV47</f>
        <v>0.51036095203448884</v>
      </c>
      <c r="BS49" s="59">
        <f t="shared" si="39"/>
        <v>0.16583150971377156</v>
      </c>
      <c r="BT49" s="59">
        <f t="shared" si="39"/>
        <v>8.3092084015285485E-3</v>
      </c>
      <c r="BU49" s="59">
        <f t="shared" si="39"/>
        <v>-0.47620063353068659</v>
      </c>
      <c r="BV49" s="59">
        <f t="shared" si="39"/>
        <v>-0.90147906561438185</v>
      </c>
      <c r="BW49" s="59">
        <f t="shared" si="39"/>
        <v>0.57776329426575557</v>
      </c>
      <c r="BX49" s="59">
        <f t="shared" si="39"/>
        <v>-0.77639508875828822</v>
      </c>
      <c r="BY49" s="59">
        <f t="shared" si="39"/>
        <v>0.51091933627726061</v>
      </c>
      <c r="BZ49" s="59">
        <f t="shared" si="39"/>
        <v>0.4342189778928221</v>
      </c>
      <c r="CA49" s="59">
        <f t="shared" si="39"/>
        <v>-0.4568849807812615</v>
      </c>
      <c r="CB49" s="59">
        <f t="shared" si="39"/>
        <v>2.4674302484525685</v>
      </c>
      <c r="CC49" s="59">
        <f t="shared" si="39"/>
        <v>-0.16221280435234131</v>
      </c>
      <c r="CD49" s="59">
        <f t="shared" si="39"/>
        <v>3.6314657127674743</v>
      </c>
      <c r="CE49" s="59" t="e">
        <f t="shared" si="39"/>
        <v>#DIV/0!</v>
      </c>
      <c r="CF49" s="59">
        <f t="shared" si="39"/>
        <v>-6.2722017245179078</v>
      </c>
      <c r="CG49" s="59" t="e">
        <f t="shared" si="39"/>
        <v>#DIV/0!</v>
      </c>
      <c r="CH49" s="59" t="e">
        <f t="shared" si="39"/>
        <v>#DIV/0!</v>
      </c>
      <c r="CI49" s="59" t="e">
        <f t="shared" si="39"/>
        <v>#DIV/0!</v>
      </c>
      <c r="CJ49" s="59" t="e">
        <f t="shared" si="39"/>
        <v>#DIV/0!</v>
      </c>
    </row>
    <row r="50" spans="1:88" s="26" customFormat="1">
      <c r="A50" s="17" t="s">
        <v>426</v>
      </c>
      <c r="E50" s="26">
        <f>股权价值增加表!E47</f>
        <v>-996852751.32279968</v>
      </c>
      <c r="F50" s="26">
        <f>股权价值增加表!F47</f>
        <v>-401477164.30240059</v>
      </c>
      <c r="G50" s="26">
        <f>股权价值增加表!G47</f>
        <v>-680389510.94199955</v>
      </c>
      <c r="H50" s="26">
        <f>股权价值增加表!H47</f>
        <v>-879327234.26880002</v>
      </c>
      <c r="I50" s="26">
        <f>股权价值增加表!I47</f>
        <v>-347134257.01639938</v>
      </c>
      <c r="J50" s="26">
        <f>股权价值增加表!J47</f>
        <v>-643536798.74000049</v>
      </c>
      <c r="K50" s="26">
        <f>股权价值增加表!K47</f>
        <v>-744508806</v>
      </c>
      <c r="L50" s="26">
        <f>股权价值增加表!L47</f>
        <v>-952344684.17840004</v>
      </c>
      <c r="M50" s="26">
        <f>股权价值增加表!M47</f>
        <v>-436508964</v>
      </c>
      <c r="N50" s="26">
        <f>股权价值增加表!N47</f>
        <v>-356286880.40800011</v>
      </c>
      <c r="O50" s="26">
        <f>股权价值增加表!O47</f>
        <v>-447129610.15999997</v>
      </c>
      <c r="P50" s="26">
        <f>股权价值增加表!P47</f>
        <v>-560041893.97880018</v>
      </c>
      <c r="Q50" s="26">
        <f>股权价值增加表!Q47</f>
        <v>-61385339.960000038</v>
      </c>
      <c r="R50" s="26">
        <f>股权价值增加表!R47</f>
        <v>-281609653.46520001</v>
      </c>
      <c r="S50" s="26">
        <f>股权价值增加表!S47</f>
        <v>-129516388.39999998</v>
      </c>
      <c r="T50" s="26">
        <f>股权价值增加表!T47</f>
        <v>-209152718.17399997</v>
      </c>
      <c r="U50" s="26">
        <f>股权价值增加表!U47</f>
        <v>-14035399.960000008</v>
      </c>
      <c r="V50" s="26">
        <f>股权价值增加表!V47</f>
        <v>-59718618.439999998</v>
      </c>
      <c r="W50" s="26">
        <f>股权价值增加表!W47</f>
        <v>-221450049.92000002</v>
      </c>
      <c r="X50" s="26">
        <f>股权价值增加表!X47</f>
        <v>-260828418.0284</v>
      </c>
      <c r="Y50" s="26">
        <f>股权价值增加表!Y47</f>
        <v>-118796614.28</v>
      </c>
      <c r="Z50" s="26">
        <f>股权价值增加表!Z47</f>
        <v>-112601479.03999999</v>
      </c>
      <c r="AA50" s="26">
        <f>股权价值增加表!AA47</f>
        <v>-199085965.48000002</v>
      </c>
      <c r="AB50" s="26">
        <f>股权价值增加表!AB47</f>
        <v>-254783939.82959998</v>
      </c>
      <c r="AC50" s="26">
        <f>股权价值增加表!AC47</f>
        <v>76796656.560000002</v>
      </c>
      <c r="AD50" s="26">
        <f>股权价值增加表!AD47</f>
        <v>-162088681.74920022</v>
      </c>
      <c r="AE50" s="26">
        <f>股权价值增加表!AE47</f>
        <v>-150129508.84</v>
      </c>
      <c r="AF50" s="26">
        <f>股权价值增加表!AF47</f>
        <v>-221028581.58839995</v>
      </c>
      <c r="AG50" s="26">
        <f>股权价值增加表!AG47</f>
        <v>-61429993.400000006</v>
      </c>
      <c r="AH50" s="26">
        <f>股权价值增加表!AH47</f>
        <v>-52466084.851199836</v>
      </c>
      <c r="AI50" s="26">
        <f>股权价值增加表!AI47</f>
        <v>-113835637.54239996</v>
      </c>
      <c r="AJ50" s="26">
        <f>股权价值增加表!AJ47</f>
        <v>-175559492.53119993</v>
      </c>
      <c r="AK50" s="26">
        <f>股权价值增加表!AK47</f>
        <v>-469304433.26839989</v>
      </c>
      <c r="AL50" s="26">
        <f>股权价值增加表!AL47</f>
        <v>-355377100.84520006</v>
      </c>
      <c r="AM50" s="26">
        <f>股权价值增加表!AM47</f>
        <v>-345104645.81440002</v>
      </c>
      <c r="AN50" s="26">
        <f>股权价值增加表!AN47</f>
        <v>-274168433.18000001</v>
      </c>
      <c r="AO50" s="26">
        <f>股权价值增加表!AO47</f>
        <v>-206994276.77200007</v>
      </c>
      <c r="AP50" s="26">
        <f>股权价值增加表!AP47</f>
        <v>-132112283.82520008</v>
      </c>
      <c r="AQ50" s="26">
        <f>股权价值增加表!AQ47</f>
        <v>-125347504.70959994</v>
      </c>
      <c r="AR50" s="26">
        <f>股权价值增加表!AR47</f>
        <v>-167128685.40959999</v>
      </c>
      <c r="AS50" s="26">
        <f>股权价值增加表!AS47</f>
        <v>-91449544.394799963</v>
      </c>
      <c r="AT50" s="26">
        <f>股权价值增加表!AT47</f>
        <v>-100926584.28959998</v>
      </c>
      <c r="AU50" s="26">
        <f>股权价值增加表!AU47</f>
        <v>-68317803.340800017</v>
      </c>
      <c r="AV50" s="26">
        <f>股权价值增加表!AV47</f>
        <v>-88363249.017999977</v>
      </c>
      <c r="AW50" s="26">
        <f>股权价值增加表!AW47</f>
        <v>23338046.54200013</v>
      </c>
      <c r="AX50" s="26">
        <f>股权价值增加表!AX47</f>
        <v>4500146.9780000001</v>
      </c>
      <c r="AY50" s="26">
        <f>股权价值增加表!AY47</f>
        <v>-23205293.839600019</v>
      </c>
      <c r="AZ50" s="26">
        <f>股权价值增加表!AZ47</f>
        <v>-50858648.137199998</v>
      </c>
      <c r="BA50" s="26">
        <f>股权价值增加表!BA47</f>
        <v>-11904967.131200023</v>
      </c>
      <c r="BB50" s="26">
        <f>股权价值增加表!BB47</f>
        <v>-23696098.439199984</v>
      </c>
      <c r="BC50" s="26">
        <f>股权价值增加表!BC47</f>
        <v>-29904013.258799952</v>
      </c>
      <c r="BD50" s="26">
        <f>股权价值增加表!BD47</f>
        <v>-50133618.274800003</v>
      </c>
      <c r="BE50" s="26">
        <f>股权价值增加表!BE47</f>
        <v>31282095.284399994</v>
      </c>
      <c r="BF50" s="26">
        <f>股权价值增加表!BF47</f>
        <v>-14120159.39760001</v>
      </c>
      <c r="BG50" s="26">
        <f>股权价值增加表!BG47</f>
        <v>-24831669.197600007</v>
      </c>
      <c r="BH50" s="26">
        <f>股权价值增加表!BH47</f>
        <v>-46516463.712800011</v>
      </c>
      <c r="BI50" s="26">
        <f>股权价值增加表!BI47</f>
        <v>-13029769.542799942</v>
      </c>
      <c r="BJ50" s="26">
        <f>股权价值增加表!BJ47</f>
        <v>-29219168.344799962</v>
      </c>
      <c r="BK50" s="26">
        <f>股权价值增加表!BK47</f>
        <v>-34955482.708400019</v>
      </c>
      <c r="BL50" s="26">
        <f>股权价值增加表!BL47</f>
        <v>-42683477.120800003</v>
      </c>
      <c r="BM50" s="26">
        <f>股权价值增加表!BM47</f>
        <v>-83791340.19479996</v>
      </c>
      <c r="BN50" s="26">
        <f>股权价值增加表!BN47</f>
        <v>-53033449.148400024</v>
      </c>
      <c r="BO50" s="26">
        <f>股权价值增加表!BO47</f>
        <v>-43291676.428000018</v>
      </c>
      <c r="BP50" s="26">
        <f>股权价值增加表!BP47</f>
        <v>-50858591.822000004</v>
      </c>
      <c r="BQ50" s="26">
        <f>股权价值增加表!BQ47</f>
        <v>-40309910.268799976</v>
      </c>
      <c r="BR50" s="26">
        <f>股权价值增加表!BR47</f>
        <v>-41970760.220800012</v>
      </c>
      <c r="BS50" s="26">
        <f>股权价值增加表!BS47</f>
        <v>3170725.2583999932</v>
      </c>
      <c r="BT50" s="26">
        <f>股权价值增加表!BT47</f>
        <v>-13148204.502800012</v>
      </c>
      <c r="BU50" s="26">
        <f>股权价值增加表!BU47</f>
        <v>-5820854.6499999873</v>
      </c>
      <c r="BV50" s="26">
        <f>股权价值增加表!BV47</f>
        <v>-17363168.917599995</v>
      </c>
      <c r="BW50" s="26">
        <f>股权价值增加表!BW47</f>
        <v>-473182.97239999846</v>
      </c>
      <c r="BX50" s="26">
        <f>股权价值增加表!BX47</f>
        <v>-12576679.006800007</v>
      </c>
      <c r="BY50" s="26">
        <f>股权价值增加表!BY47</f>
        <v>24673423.823999986</v>
      </c>
      <c r="BZ50" s="26">
        <f>股权价值增加表!BZ47</f>
        <v>87702337.077199996</v>
      </c>
      <c r="CA50" s="26">
        <f>股权价值增加表!CA47</f>
        <v>3263247.9363999926</v>
      </c>
      <c r="CB50" s="26">
        <f>股权价值增加表!CB47</f>
        <v>53159200</v>
      </c>
      <c r="CC50" s="26">
        <f>股权价值增加表!CC47</f>
        <v>14786078.392399982</v>
      </c>
      <c r="CD50" s="26">
        <f>股权价值增加表!CD47</f>
        <v>56908400</v>
      </c>
      <c r="CE50" s="26">
        <f>股权价值增加表!CE47</f>
        <v>20766218.380400006</v>
      </c>
      <c r="CF50" s="26">
        <f>股权价值增加表!CF47</f>
        <v>9822504.2856000047</v>
      </c>
      <c r="CG50" s="26">
        <f>股权价值增加表!CG47</f>
        <v>31780600</v>
      </c>
      <c r="CH50" s="26">
        <f>股权价值增加表!CH47</f>
        <v>15431400</v>
      </c>
      <c r="CI50" s="26">
        <f>股权价值增加表!CI47</f>
        <v>0</v>
      </c>
      <c r="CJ50" s="26">
        <f>股权价值增加表!CJ47</f>
        <v>-3630000</v>
      </c>
    </row>
    <row r="51" spans="1:88" s="16" customFormat="1" ht="73.150000000000006" customHeight="1">
      <c r="A51" s="283" t="s">
        <v>683</v>
      </c>
      <c r="B51" s="284"/>
      <c r="C51" s="284"/>
      <c r="D51" s="284"/>
      <c r="E51" s="284"/>
      <c r="F51" s="284"/>
      <c r="G51" s="284"/>
      <c r="H51" s="284"/>
      <c r="I51" s="284"/>
      <c r="J51" s="284"/>
      <c r="K51" s="284"/>
      <c r="L51" s="284"/>
      <c r="M51" s="284"/>
      <c r="N51" s="284"/>
      <c r="O51" s="284"/>
      <c r="P51" s="284"/>
      <c r="Q51" s="284"/>
      <c r="R51" s="284"/>
      <c r="S51" s="284"/>
      <c r="T51" s="284"/>
      <c r="U51" s="284"/>
      <c r="V51" s="284"/>
      <c r="W51" s="284"/>
      <c r="X51" s="284"/>
      <c r="Y51" s="284"/>
      <c r="Z51" s="284"/>
      <c r="AA51" s="284"/>
      <c r="AB51" s="284"/>
      <c r="AC51" s="284"/>
      <c r="AD51" s="284"/>
      <c r="AE51" s="284"/>
      <c r="AF51" s="284"/>
      <c r="AG51" s="284"/>
    </row>
    <row r="53" spans="1:88">
      <c r="A53" s="20" t="s">
        <v>670</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c r="A54" s="17" t="s">
        <v>671</v>
      </c>
      <c r="E54" s="192">
        <f>E39</f>
        <v>503616237.12000036</v>
      </c>
      <c r="F54" s="192">
        <f t="shared" ref="F54:AC54" si="41">F39</f>
        <v>1061637843.3099995</v>
      </c>
      <c r="G54" s="192">
        <f t="shared" si="41"/>
        <v>649269154.80000055</v>
      </c>
      <c r="H54" s="192">
        <f t="shared" si="41"/>
        <v>345584271.57999998</v>
      </c>
      <c r="I54" s="192">
        <f t="shared" si="41"/>
        <v>777933148.80000067</v>
      </c>
      <c r="J54" s="192">
        <f t="shared" si="41"/>
        <v>513970716.94999951</v>
      </c>
      <c r="K54" s="192">
        <f t="shared" si="41"/>
        <v>379027476</v>
      </c>
      <c r="L54" s="192">
        <f t="shared" si="41"/>
        <v>169797362.80999997</v>
      </c>
      <c r="M54" s="192">
        <f t="shared" si="41"/>
        <v>719720289</v>
      </c>
      <c r="N54" s="192">
        <f t="shared" si="41"/>
        <v>403319144.60999995</v>
      </c>
      <c r="O54" s="192">
        <f t="shared" si="41"/>
        <v>311464677</v>
      </c>
      <c r="P54" s="192">
        <f t="shared" si="41"/>
        <v>177782832.62999994</v>
      </c>
      <c r="Q54" s="192">
        <f t="shared" si="41"/>
        <v>917805526</v>
      </c>
      <c r="R54" s="192">
        <f t="shared" si="41"/>
        <v>579398108.91999996</v>
      </c>
      <c r="S54" s="192">
        <f t="shared" si="41"/>
        <v>206858700</v>
      </c>
      <c r="T54" s="192">
        <f t="shared" si="41"/>
        <v>89357903.580000058</v>
      </c>
      <c r="U54" s="192">
        <f t="shared" si="41"/>
        <v>425775793</v>
      </c>
      <c r="V54" s="192">
        <f t="shared" si="41"/>
        <v>338421346</v>
      </c>
      <c r="W54" s="192">
        <f t="shared" si="41"/>
        <v>93912009</v>
      </c>
      <c r="X54" s="192">
        <f t="shared" si="41"/>
        <v>19557297.830000006</v>
      </c>
      <c r="Y54" s="192">
        <f t="shared" si="41"/>
        <v>321576336</v>
      </c>
      <c r="Z54" s="192">
        <f t="shared" si="41"/>
        <v>265075145</v>
      </c>
      <c r="AA54" s="192">
        <f t="shared" si="41"/>
        <v>115059015</v>
      </c>
      <c r="AB54" s="192">
        <f t="shared" si="41"/>
        <v>17577534.450000018</v>
      </c>
      <c r="AC54" s="192">
        <f t="shared" si="41"/>
        <v>469124519</v>
      </c>
    </row>
    <row r="55" spans="1:88" s="63" customFormat="1">
      <c r="A55" s="63" t="s">
        <v>672</v>
      </c>
      <c r="E55" s="63">
        <f>E54/E2</f>
        <v>3.5940497379021073E-2</v>
      </c>
      <c r="F55" s="63">
        <f t="shared" ref="F55:AC55" si="42">F54/F2</f>
        <v>0.10509950878982094</v>
      </c>
      <c r="G55" s="63">
        <f t="shared" si="42"/>
        <v>0.10464708278581289</v>
      </c>
      <c r="H55" s="63">
        <f t="shared" si="42"/>
        <v>0.11905728243381683</v>
      </c>
      <c r="I55" s="63">
        <f t="shared" si="42"/>
        <v>7.2455136132914905E-2</v>
      </c>
      <c r="J55" s="63">
        <f t="shared" si="42"/>
        <v>6.6289613659967717E-2</v>
      </c>
      <c r="K55" s="63">
        <f t="shared" si="42"/>
        <v>7.6256119804859232E-2</v>
      </c>
      <c r="L55" s="63">
        <f t="shared" si="42"/>
        <v>6.9261505233012347E-2</v>
      </c>
      <c r="M55" s="63">
        <f t="shared" si="42"/>
        <v>6.8349487446913215E-2</v>
      </c>
      <c r="N55" s="63">
        <f t="shared" si="42"/>
        <v>5.1716190517515068E-2</v>
      </c>
      <c r="O55" s="63">
        <f t="shared" si="42"/>
        <v>6.0622125400872306E-2</v>
      </c>
      <c r="P55" s="63">
        <f t="shared" si="42"/>
        <v>7.2855326943359708E-2</v>
      </c>
      <c r="Q55" s="63">
        <f t="shared" si="42"/>
        <v>9.845202258534283E-2</v>
      </c>
      <c r="R55" s="63">
        <f t="shared" si="42"/>
        <v>8.8669858788103295E-2</v>
      </c>
      <c r="S55" s="63">
        <f t="shared" si="42"/>
        <v>8.3223116123336521E-2</v>
      </c>
      <c r="T55" s="63">
        <f t="shared" si="42"/>
        <v>7.5743178979588932E-2</v>
      </c>
      <c r="U55" s="63">
        <f t="shared" si="42"/>
        <v>9.4211155396463533E-2</v>
      </c>
      <c r="V55" s="63">
        <f t="shared" si="42"/>
        <v>9.6769341283045221E-2</v>
      </c>
      <c r="W55" s="63">
        <f t="shared" si="42"/>
        <v>4.1718149972230327E-2</v>
      </c>
      <c r="X55" s="63">
        <f t="shared" si="42"/>
        <v>1.8798145615114756E-2</v>
      </c>
      <c r="Y55" s="63">
        <f t="shared" si="42"/>
        <v>7.4206309839310342E-2</v>
      </c>
      <c r="Z55" s="63">
        <f t="shared" si="42"/>
        <v>8.0101947326666589E-2</v>
      </c>
      <c r="AA55" s="63">
        <f t="shared" si="42"/>
        <v>5.1427188732703334E-2</v>
      </c>
      <c r="AB55" s="63">
        <f t="shared" si="42"/>
        <v>1.7875863114977929E-2</v>
      </c>
      <c r="AC55" s="63">
        <f t="shared" si="42"/>
        <v>0.10165283884760785</v>
      </c>
    </row>
    <row r="56" spans="1:88">
      <c r="A56" s="17" t="s">
        <v>673</v>
      </c>
      <c r="E56" s="192">
        <f>E23</f>
        <v>406746924.21593702</v>
      </c>
      <c r="F56" s="192">
        <f t="shared" ref="F56:AC56" si="43">F23</f>
        <v>902402234.2797358</v>
      </c>
      <c r="G56" s="192">
        <f t="shared" si="43"/>
        <v>544473266.12570262</v>
      </c>
      <c r="H56" s="192">
        <f t="shared" si="43"/>
        <v>286526652.02170008</v>
      </c>
      <c r="I56" s="192">
        <f t="shared" si="43"/>
        <v>465865913.45171851</v>
      </c>
      <c r="J56" s="192">
        <f t="shared" si="43"/>
        <v>378604029.75899744</v>
      </c>
      <c r="K56" s="192">
        <f t="shared" si="43"/>
        <v>272812751.17651552</v>
      </c>
      <c r="L56" s="192">
        <f t="shared" si="43"/>
        <v>132277579.43007907</v>
      </c>
      <c r="M56" s="192">
        <f t="shared" si="43"/>
        <v>555565197.56197929</v>
      </c>
      <c r="N56" s="192">
        <f t="shared" si="43"/>
        <v>365270948.87189913</v>
      </c>
      <c r="O56" s="192">
        <f t="shared" si="43"/>
        <v>301106264.83988869</v>
      </c>
      <c r="P56" s="192">
        <f t="shared" si="43"/>
        <v>167322476.57173875</v>
      </c>
      <c r="Q56" s="192">
        <f t="shared" si="43"/>
        <v>845888729.21588802</v>
      </c>
      <c r="R56" s="192">
        <f t="shared" si="43"/>
        <v>488915451.77126336</v>
      </c>
      <c r="S56" s="192">
        <f t="shared" si="43"/>
        <v>185818857.5159927</v>
      </c>
      <c r="T56" s="192">
        <f t="shared" si="43"/>
        <v>83704395.46624209</v>
      </c>
      <c r="U56" s="192">
        <f t="shared" si="43"/>
        <v>359042060.08823431</v>
      </c>
      <c r="V56" s="192">
        <f t="shared" si="43"/>
        <v>291138682.70713544</v>
      </c>
      <c r="W56" s="192">
        <f t="shared" si="43"/>
        <v>118742575.60274661</v>
      </c>
      <c r="X56" s="192">
        <f t="shared" si="43"/>
        <v>21950597.72742334</v>
      </c>
      <c r="Y56" s="192">
        <f t="shared" si="43"/>
        <v>290956842.01437891</v>
      </c>
      <c r="Z56" s="192">
        <f t="shared" si="43"/>
        <v>261056755.62083575</v>
      </c>
      <c r="AA56" s="192">
        <f t="shared" si="43"/>
        <v>144783733.78154743</v>
      </c>
      <c r="AB56" s="192">
        <f t="shared" si="43"/>
        <v>15905132.22664981</v>
      </c>
      <c r="AC56" s="192">
        <f t="shared" si="43"/>
        <v>384571284.28996211</v>
      </c>
    </row>
    <row r="57" spans="1:88" s="63" customFormat="1">
      <c r="A57" s="63" t="s">
        <v>674</v>
      </c>
      <c r="E57" s="63">
        <f>E56/E2</f>
        <v>2.9027433363361686E-2</v>
      </c>
      <c r="F57" s="63">
        <f t="shared" ref="F57:AC57" si="44">F56/F2</f>
        <v>8.9335579125492004E-2</v>
      </c>
      <c r="G57" s="63">
        <f t="shared" si="44"/>
        <v>8.7756423562843633E-2</v>
      </c>
      <c r="H57" s="63">
        <f t="shared" si="44"/>
        <v>9.8711334224209898E-2</v>
      </c>
      <c r="I57" s="63">
        <f t="shared" si="44"/>
        <v>4.338981856075521E-2</v>
      </c>
      <c r="J57" s="63">
        <f t="shared" si="44"/>
        <v>4.8830631853433816E-2</v>
      </c>
      <c r="K57" s="63">
        <f t="shared" si="44"/>
        <v>5.4886896479266374E-2</v>
      </c>
      <c r="L57" s="63">
        <f t="shared" si="44"/>
        <v>5.3956929061132981E-2</v>
      </c>
      <c r="M57" s="63">
        <f t="shared" si="44"/>
        <v>5.2760214040185778E-2</v>
      </c>
      <c r="N57" s="63">
        <f t="shared" si="44"/>
        <v>4.6837404657890047E-2</v>
      </c>
      <c r="O57" s="63">
        <f t="shared" si="44"/>
        <v>5.8606009265416641E-2</v>
      </c>
      <c r="P57" s="63">
        <f t="shared" si="44"/>
        <v>6.856867761229278E-2</v>
      </c>
      <c r="Q57" s="63">
        <f t="shared" si="44"/>
        <v>9.0737584285856168E-2</v>
      </c>
      <c r="R57" s="63">
        <f t="shared" si="44"/>
        <v>7.4822584679622176E-2</v>
      </c>
      <c r="S57" s="63">
        <f t="shared" si="44"/>
        <v>7.4758394773626557E-2</v>
      </c>
      <c r="T57" s="63">
        <f t="shared" si="44"/>
        <v>7.0951049131337096E-2</v>
      </c>
      <c r="U57" s="63">
        <f t="shared" si="44"/>
        <v>7.9445022175882687E-2</v>
      </c>
      <c r="V57" s="63">
        <f t="shared" si="44"/>
        <v>8.3249177040927561E-2</v>
      </c>
      <c r="W57" s="63">
        <f t="shared" si="44"/>
        <v>5.2748531629051625E-2</v>
      </c>
      <c r="X57" s="63">
        <f t="shared" si="44"/>
        <v>2.1098545208323952E-2</v>
      </c>
      <c r="Y57" s="63">
        <f t="shared" si="44"/>
        <v>6.7140616865496813E-2</v>
      </c>
      <c r="Z57" s="63">
        <f t="shared" si="44"/>
        <v>7.888764707838096E-2</v>
      </c>
      <c r="AA57" s="63">
        <f t="shared" si="44"/>
        <v>6.4713055318691148E-2</v>
      </c>
      <c r="AB57" s="63">
        <f t="shared" si="44"/>
        <v>1.617507661941836E-2</v>
      </c>
      <c r="AC57" s="63">
        <f t="shared" si="44"/>
        <v>8.3331314403852566E-2</v>
      </c>
    </row>
    <row r="58" spans="1:88" ht="93" customHeight="1">
      <c r="A58" s="279" t="s">
        <v>675</v>
      </c>
      <c r="B58" s="285"/>
      <c r="C58" s="285"/>
      <c r="D58" s="285"/>
      <c r="E58" s="285"/>
      <c r="F58" s="285"/>
      <c r="G58" s="285"/>
      <c r="H58" s="285"/>
      <c r="I58" s="285"/>
      <c r="J58" s="285"/>
      <c r="K58" s="285"/>
      <c r="L58" s="285"/>
      <c r="M58" s="285"/>
      <c r="N58" s="285"/>
      <c r="O58" s="285"/>
      <c r="P58" s="285"/>
      <c r="Q58" s="285"/>
      <c r="R58" s="285"/>
      <c r="S58" s="285"/>
      <c r="T58" s="285"/>
      <c r="U58" s="285"/>
      <c r="V58" s="285"/>
      <c r="W58" s="285"/>
      <c r="X58" s="285"/>
      <c r="Y58" s="285"/>
      <c r="Z58" s="285"/>
      <c r="AA58" s="285"/>
      <c r="AB58" s="285"/>
      <c r="AC58" s="285"/>
    </row>
    <row r="60" spans="1:88" s="224" customFormat="1">
      <c r="A60" s="226" t="s">
        <v>677</v>
      </c>
      <c r="B60" s="222"/>
      <c r="C60" s="222"/>
      <c r="D60" s="222"/>
      <c r="E60" s="227">
        <f>E53</f>
        <v>43100</v>
      </c>
      <c r="F60" s="227">
        <f t="shared" ref="F60:AC60" si="45">F53</f>
        <v>43008</v>
      </c>
      <c r="G60" s="227">
        <f t="shared" si="45"/>
        <v>42916</v>
      </c>
      <c r="H60" s="227">
        <f t="shared" si="45"/>
        <v>42825</v>
      </c>
      <c r="I60" s="227">
        <f t="shared" si="45"/>
        <v>42735</v>
      </c>
      <c r="J60" s="227">
        <f t="shared" si="45"/>
        <v>42643</v>
      </c>
      <c r="K60" s="227">
        <f t="shared" si="45"/>
        <v>42551</v>
      </c>
      <c r="L60" s="227">
        <f t="shared" si="45"/>
        <v>42460</v>
      </c>
      <c r="M60" s="227">
        <f t="shared" si="45"/>
        <v>42369</v>
      </c>
      <c r="N60" s="227">
        <f t="shared" si="45"/>
        <v>42277</v>
      </c>
      <c r="O60" s="227">
        <f t="shared" si="45"/>
        <v>42185</v>
      </c>
      <c r="P60" s="227">
        <f t="shared" si="45"/>
        <v>42094</v>
      </c>
      <c r="Q60" s="227">
        <f t="shared" si="45"/>
        <v>42004</v>
      </c>
      <c r="R60" s="227">
        <f t="shared" si="45"/>
        <v>41912</v>
      </c>
      <c r="S60" s="227">
        <f t="shared" si="45"/>
        <v>41820</v>
      </c>
      <c r="T60" s="227">
        <f t="shared" si="45"/>
        <v>41729</v>
      </c>
      <c r="U60" s="227">
        <f t="shared" si="45"/>
        <v>41639</v>
      </c>
      <c r="V60" s="227">
        <f t="shared" si="45"/>
        <v>41547</v>
      </c>
      <c r="W60" s="227">
        <f t="shared" si="45"/>
        <v>41455</v>
      </c>
      <c r="X60" s="227">
        <f t="shared" si="45"/>
        <v>41364</v>
      </c>
      <c r="Y60" s="227">
        <f t="shared" si="45"/>
        <v>41274</v>
      </c>
      <c r="Z60" s="227">
        <f t="shared" si="45"/>
        <v>41182</v>
      </c>
      <c r="AA60" s="227">
        <f t="shared" si="45"/>
        <v>41090</v>
      </c>
      <c r="AB60" s="227">
        <f t="shared" si="45"/>
        <v>40999</v>
      </c>
      <c r="AC60" s="227">
        <f t="shared" si="45"/>
        <v>40908</v>
      </c>
    </row>
    <row r="61" spans="1:88" s="192" customFormat="1">
      <c r="A61" s="89" t="s">
        <v>678</v>
      </c>
      <c r="B61" s="89"/>
      <c r="C61" s="89"/>
      <c r="D61" s="89"/>
      <c r="E61" s="89">
        <f>股权价值增加表!E38</f>
        <v>246413831.93000036</v>
      </c>
      <c r="F61" s="89">
        <f>股权价值增加表!F38</f>
        <v>889313709.54999948</v>
      </c>
      <c r="G61" s="89">
        <f>股权价值增加表!G38</f>
        <v>539470845.55000055</v>
      </c>
      <c r="H61" s="89">
        <f>股权价值增加表!H38</f>
        <v>278688047.31999999</v>
      </c>
      <c r="I61" s="89">
        <f>股权价值增加表!I38</f>
        <v>877477299.59000063</v>
      </c>
      <c r="J61" s="89">
        <f>股权价值增加表!J38</f>
        <v>513955482.32999951</v>
      </c>
      <c r="K61" s="89">
        <f>股权价值增加表!K38</f>
        <v>374424914</v>
      </c>
      <c r="L61" s="89">
        <f>股权价值增加表!L38</f>
        <v>126360187.56999996</v>
      </c>
      <c r="M61" s="89">
        <f>股权价值增加表!M38</f>
        <v>675733022</v>
      </c>
      <c r="N61" s="89">
        <f>股权价值增加表!N38</f>
        <v>373077902.74999994</v>
      </c>
      <c r="O61" s="89">
        <f>股权价值增加表!O38</f>
        <v>266451326</v>
      </c>
      <c r="P61" s="89">
        <f>股权价值增加表!P38</f>
        <v>144777537.94999993</v>
      </c>
      <c r="Q61" s="89">
        <f>股权价值增加表!Q38</f>
        <v>711430928</v>
      </c>
      <c r="R61" s="89">
        <f>股权价值增加表!R38</f>
        <v>440558269.01999998</v>
      </c>
      <c r="S61" s="89">
        <f>股权价值增加表!S38</f>
        <v>154127177</v>
      </c>
      <c r="T61" s="89">
        <f>股权价值增加表!T38</f>
        <v>62142703.180000059</v>
      </c>
      <c r="U61" s="89">
        <f>股权价值增加表!U38</f>
        <v>282887216</v>
      </c>
      <c r="V61" s="89">
        <f>股权价值增加表!V38</f>
        <v>227361243</v>
      </c>
      <c r="W61" s="89">
        <f>股权价值增加表!W38</f>
        <v>18420857</v>
      </c>
      <c r="X61" s="89">
        <f>股权价值增加表!X38</f>
        <v>-18961126.499999993</v>
      </c>
      <c r="Y61" s="89">
        <f>股权价值增加表!Y38</f>
        <v>137854535</v>
      </c>
      <c r="Z61" s="89">
        <f>股权价值增加表!Z38</f>
        <v>135784055</v>
      </c>
      <c r="AA61" s="89">
        <f>股权价值增加表!AA38</f>
        <v>30229519</v>
      </c>
      <c r="AB61" s="89">
        <f>股权价值增加表!AB38</f>
        <v>-25391989.089999981</v>
      </c>
      <c r="AC61" s="89">
        <f>股权价值增加表!AC38</f>
        <v>331383914</v>
      </c>
    </row>
    <row r="62" spans="1:88" s="192" customFormat="1">
      <c r="A62" s="89" t="s">
        <v>679</v>
      </c>
      <c r="B62" s="89"/>
      <c r="C62" s="89"/>
      <c r="D62" s="89"/>
      <c r="E62" s="89">
        <f>股权价值增加表!E40</f>
        <v>85282811.519999996</v>
      </c>
      <c r="F62" s="89">
        <f>股权价值增加表!F40</f>
        <v>136580749.71000001</v>
      </c>
      <c r="G62" s="89">
        <f>股权价值增加表!G40</f>
        <v>82593399.480000004</v>
      </c>
      <c r="H62" s="89">
        <f>股权价值增加表!H40</f>
        <v>38047257.039999999</v>
      </c>
      <c r="I62" s="89">
        <f>股权价值增加表!I40</f>
        <v>123894795.28</v>
      </c>
      <c r="J62" s="89">
        <f>股权价值增加表!J40</f>
        <v>68732994.489999995</v>
      </c>
      <c r="K62" s="89">
        <f>股权价值增加表!K40</f>
        <v>38954608</v>
      </c>
      <c r="L62" s="89">
        <f>股权价值增加表!L40</f>
        <v>9488364.3699999992</v>
      </c>
      <c r="M62" s="89">
        <f>股权价值增加表!M40</f>
        <v>52375252</v>
      </c>
      <c r="N62" s="89">
        <f>股权价值增加表!N40</f>
        <v>25742615.969999999</v>
      </c>
      <c r="O62" s="89">
        <f>股权价值增加表!O40</f>
        <v>17858138</v>
      </c>
      <c r="P62" s="89">
        <f>股权价值增加表!P40</f>
        <v>10005393.98</v>
      </c>
      <c r="Q62" s="89">
        <f>股权价值增加表!Q40</f>
        <v>87927017</v>
      </c>
      <c r="R62" s="89">
        <f>股权价值增加表!R40</f>
        <v>55692596.170000002</v>
      </c>
      <c r="S62" s="89">
        <f>股权价值增加表!S40</f>
        <v>15080107</v>
      </c>
      <c r="T62" s="89">
        <f>股权价值增加表!T40</f>
        <v>4338127.7699999996</v>
      </c>
      <c r="U62" s="89">
        <f>股权价值增加表!U40</f>
        <v>34064659</v>
      </c>
      <c r="V62" s="89">
        <f>股权价值增加表!V40</f>
        <v>29220988</v>
      </c>
      <c r="W62" s="89">
        <f>股权价值增加表!W40</f>
        <v>-3904189</v>
      </c>
      <c r="X62" s="89">
        <f>股权价值增加表!X40</f>
        <v>-2107261.15</v>
      </c>
      <c r="Y62" s="89">
        <f>股权价值增加表!Y40</f>
        <v>12162190</v>
      </c>
      <c r="Z62" s="89">
        <f>股权价值增加表!Z40</f>
        <v>5082111</v>
      </c>
      <c r="AA62" s="89">
        <f>股权价值增加表!AA40</f>
        <v>-7190944</v>
      </c>
      <c r="AB62" s="89">
        <f>股权价值增加表!AB40</f>
        <v>-3216451.93</v>
      </c>
      <c r="AC62" s="89">
        <f>股权价值增加表!AC40</f>
        <v>21074466</v>
      </c>
    </row>
    <row r="63" spans="1:88">
      <c r="A63" s="183" t="s">
        <v>680</v>
      </c>
      <c r="B63" s="64"/>
      <c r="C63" s="64"/>
      <c r="D63" s="64"/>
      <c r="E63" s="64">
        <f>股权价值增加表!E42</f>
        <v>161131020.41000038</v>
      </c>
      <c r="F63" s="64">
        <f>股权价值增加表!F42</f>
        <v>752732959.83999944</v>
      </c>
      <c r="G63" s="64">
        <f>股权价值增加表!G42</f>
        <v>456877446.07000053</v>
      </c>
      <c r="H63" s="64">
        <f>股权价值增加表!H42</f>
        <v>240640790.28</v>
      </c>
      <c r="I63" s="64">
        <f>股权价值增加表!I42</f>
        <v>753582504.31000066</v>
      </c>
      <c r="J63" s="64">
        <f>股权价值增加表!J42</f>
        <v>445222487.8399995</v>
      </c>
      <c r="K63" s="64">
        <f>股权价值增加表!K42</f>
        <v>335470306</v>
      </c>
      <c r="L63" s="64">
        <f>股权价值增加表!L42</f>
        <v>116871823.19999996</v>
      </c>
      <c r="M63" s="64">
        <f>股权价值增加表!M42</f>
        <v>623357770</v>
      </c>
      <c r="N63" s="64">
        <f>股权价值增加表!N42</f>
        <v>347335286.77999997</v>
      </c>
      <c r="O63" s="64">
        <f>股权价值增加表!O42</f>
        <v>248593188</v>
      </c>
      <c r="P63" s="64">
        <f>股权价值增加表!P42</f>
        <v>134772143.96999994</v>
      </c>
      <c r="Q63" s="64">
        <f>股权价值增加表!Q42</f>
        <v>623503911</v>
      </c>
      <c r="R63" s="64">
        <f>股权价值增加表!R42</f>
        <v>384865672.84999996</v>
      </c>
      <c r="S63" s="64">
        <f>股权价值增加表!S42</f>
        <v>139047070</v>
      </c>
      <c r="T63" s="64">
        <f>股权价值增加表!T42</f>
        <v>57804575.410000056</v>
      </c>
      <c r="U63" s="64">
        <f>股权价值增加表!U42</f>
        <v>248822557</v>
      </c>
      <c r="V63" s="64">
        <f>股权价值增加表!V42</f>
        <v>198140255</v>
      </c>
      <c r="W63" s="64">
        <f>股权价值增加表!W42</f>
        <v>22325046</v>
      </c>
      <c r="X63" s="64">
        <f>股权价值增加表!X42</f>
        <v>-16853865.349999994</v>
      </c>
      <c r="Y63" s="64">
        <f>股权价值增加表!Y42</f>
        <v>125692345</v>
      </c>
      <c r="Z63" s="64">
        <f>股权价值增加表!Z42</f>
        <v>130701944</v>
      </c>
      <c r="AA63" s="64">
        <f>股权价值增加表!AA42</f>
        <v>37420463</v>
      </c>
      <c r="AB63" s="64">
        <f>股权价值增加表!AB42</f>
        <v>-22175537.159999982</v>
      </c>
      <c r="AC63" s="64">
        <f>股权价值增加表!AC42</f>
        <v>310309448</v>
      </c>
    </row>
    <row r="64" spans="1:88" s="63" customFormat="1">
      <c r="A64" s="213" t="s">
        <v>681</v>
      </c>
      <c r="B64" s="213"/>
      <c r="C64" s="213"/>
      <c r="D64" s="213"/>
      <c r="E64" s="213">
        <f>1-E63/E61</f>
        <v>0.34609587802776653</v>
      </c>
      <c r="F64" s="213">
        <f t="shared" ref="F64:AC64" si="46">1-F63/F61</f>
        <v>0.15357994399873931</v>
      </c>
      <c r="G64" s="213">
        <f t="shared" si="46"/>
        <v>0.15310076561374608</v>
      </c>
      <c r="H64" s="213">
        <f t="shared" si="46"/>
        <v>0.13652274435836398</v>
      </c>
      <c r="I64" s="213">
        <f t="shared" si="46"/>
        <v>0.14119430250547738</v>
      </c>
      <c r="J64" s="213">
        <f t="shared" si="46"/>
        <v>0.1337333618437172</v>
      </c>
      <c r="K64" s="213">
        <f t="shared" si="46"/>
        <v>0.10403850423265371</v>
      </c>
      <c r="L64" s="213">
        <f t="shared" si="46"/>
        <v>7.5089824987349951E-2</v>
      </c>
      <c r="M64" s="213">
        <f t="shared" si="46"/>
        <v>7.7508794590180563E-2</v>
      </c>
      <c r="N64" s="213">
        <f t="shared" si="46"/>
        <v>6.9000645120625426E-2</v>
      </c>
      <c r="O64" s="213">
        <f t="shared" si="46"/>
        <v>6.7022139720933516E-2</v>
      </c>
      <c r="P64" s="213">
        <f t="shared" si="46"/>
        <v>6.9108745193991572E-2</v>
      </c>
      <c r="Q64" s="213">
        <f t="shared" si="46"/>
        <v>0.12359178317870378</v>
      </c>
      <c r="R64" s="213">
        <f t="shared" si="46"/>
        <v>0.12641368937163622</v>
      </c>
      <c r="S64" s="213">
        <f t="shared" si="46"/>
        <v>9.7841972412172296E-2</v>
      </c>
      <c r="T64" s="213">
        <f t="shared" si="46"/>
        <v>6.9809125577211528E-2</v>
      </c>
      <c r="U64" s="213">
        <f t="shared" si="46"/>
        <v>0.12041780990202111</v>
      </c>
      <c r="V64" s="213">
        <f t="shared" si="46"/>
        <v>0.12852229172585938</v>
      </c>
      <c r="W64" s="213">
        <f t="shared" si="46"/>
        <v>-0.21194393941606515</v>
      </c>
      <c r="X64" s="213">
        <f t="shared" si="46"/>
        <v>0.11113586262925879</v>
      </c>
      <c r="Y64" s="213">
        <f t="shared" si="46"/>
        <v>8.8224808853767489E-2</v>
      </c>
      <c r="Z64" s="213">
        <f t="shared" si="46"/>
        <v>3.7427892398706142E-2</v>
      </c>
      <c r="AA64" s="213">
        <f t="shared" si="46"/>
        <v>-0.23787821433744938</v>
      </c>
      <c r="AB64" s="213">
        <f t="shared" si="46"/>
        <v>0.12667191682382695</v>
      </c>
      <c r="AC64" s="213">
        <f t="shared" si="46"/>
        <v>6.3595319838005149E-2</v>
      </c>
    </row>
    <row r="65" spans="1:29" ht="42.6" customHeight="1">
      <c r="A65" s="281" t="s">
        <v>682</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9" customHeight="1">
      <c r="A68" s="279" t="s">
        <v>734</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c r="A69" s="286" t="s">
        <v>702</v>
      </c>
      <c r="B69" s="286"/>
      <c r="C69" s="286"/>
      <c r="D69" s="286"/>
      <c r="E69" s="286"/>
      <c r="F69" s="256"/>
      <c r="G69" s="256"/>
      <c r="H69" s="256"/>
      <c r="I69" s="256" t="s">
        <v>706</v>
      </c>
      <c r="J69" s="256"/>
      <c r="K69" s="256"/>
      <c r="L69" s="256"/>
      <c r="M69" s="256" t="s">
        <v>707</v>
      </c>
    </row>
    <row r="70" spans="1:29" ht="54">
      <c r="A70" s="287" t="s">
        <v>703</v>
      </c>
      <c r="B70" s="65"/>
      <c r="C70" s="65"/>
      <c r="D70" s="65"/>
      <c r="E70" s="65" t="s">
        <v>704</v>
      </c>
      <c r="F70" s="65"/>
      <c r="G70" s="65"/>
      <c r="H70" s="65"/>
      <c r="I70" s="257" t="s">
        <v>708</v>
      </c>
      <c r="J70" s="258"/>
      <c r="K70" s="258"/>
      <c r="L70" s="258"/>
      <c r="M70" s="257" t="s">
        <v>709</v>
      </c>
    </row>
    <row r="71" spans="1:29" ht="54.6" customHeight="1">
      <c r="A71" s="287"/>
      <c r="B71" s="65"/>
      <c r="C71" s="65"/>
      <c r="D71" s="65"/>
      <c r="E71" s="65" t="s">
        <v>705</v>
      </c>
      <c r="F71" s="65"/>
      <c r="G71" s="65"/>
      <c r="H71" s="65"/>
      <c r="I71" s="257" t="s">
        <v>710</v>
      </c>
      <c r="J71" s="258"/>
      <c r="K71" s="258"/>
      <c r="L71" s="258"/>
      <c r="M71" s="257" t="s">
        <v>711</v>
      </c>
    </row>
    <row r="72" spans="1:29" ht="54">
      <c r="A72" s="287" t="s">
        <v>719</v>
      </c>
      <c r="B72" s="65"/>
      <c r="C72" s="65"/>
      <c r="D72" s="65"/>
      <c r="E72" s="65" t="s">
        <v>712</v>
      </c>
      <c r="F72" s="65"/>
      <c r="G72" s="65"/>
      <c r="H72" s="65"/>
      <c r="I72" s="257" t="s">
        <v>720</v>
      </c>
      <c r="J72" s="258"/>
      <c r="K72" s="258"/>
      <c r="L72" s="258"/>
      <c r="M72" s="257" t="s">
        <v>721</v>
      </c>
    </row>
    <row r="73" spans="1:29" ht="40.5">
      <c r="A73" s="287"/>
      <c r="B73" s="65"/>
      <c r="C73" s="65"/>
      <c r="D73" s="65"/>
      <c r="E73" s="65" t="s">
        <v>713</v>
      </c>
      <c r="F73" s="65"/>
      <c r="G73" s="65"/>
      <c r="H73" s="65"/>
      <c r="I73" s="257" t="s">
        <v>722</v>
      </c>
      <c r="J73" s="258"/>
      <c r="K73" s="258"/>
      <c r="L73" s="258"/>
      <c r="M73" s="257" t="s">
        <v>723</v>
      </c>
    </row>
    <row r="74" spans="1:29" ht="54">
      <c r="A74" s="287"/>
      <c r="B74" s="65"/>
      <c r="C74" s="65"/>
      <c r="D74" s="65"/>
      <c r="E74" s="65" t="s">
        <v>714</v>
      </c>
      <c r="F74" s="65"/>
      <c r="G74" s="65"/>
      <c r="H74" s="65"/>
      <c r="I74" s="257" t="s">
        <v>724</v>
      </c>
      <c r="J74" s="258"/>
      <c r="K74" s="258"/>
      <c r="L74" s="258"/>
      <c r="M74" s="257" t="s">
        <v>725</v>
      </c>
    </row>
    <row r="75" spans="1:29" ht="67.5">
      <c r="A75" s="287"/>
      <c r="B75" s="65"/>
      <c r="C75" s="65"/>
      <c r="D75" s="65"/>
      <c r="E75" s="65" t="s">
        <v>715</v>
      </c>
      <c r="F75" s="65"/>
      <c r="G75" s="65"/>
      <c r="H75" s="65"/>
      <c r="I75" s="257" t="s">
        <v>726</v>
      </c>
      <c r="J75" s="258"/>
      <c r="K75" s="258"/>
      <c r="L75" s="258"/>
      <c r="M75" s="257" t="s">
        <v>727</v>
      </c>
    </row>
    <row r="76" spans="1:29">
      <c r="A76" s="287"/>
      <c r="B76" s="65"/>
      <c r="C76" s="65"/>
      <c r="D76" s="65"/>
      <c r="E76" s="65" t="s">
        <v>716</v>
      </c>
      <c r="F76" s="65"/>
      <c r="G76" s="65"/>
      <c r="H76" s="65"/>
      <c r="I76" s="257" t="s">
        <v>728</v>
      </c>
      <c r="J76" s="258"/>
      <c r="K76" s="258"/>
      <c r="L76" s="258"/>
      <c r="M76" s="257" t="s">
        <v>729</v>
      </c>
    </row>
    <row r="77" spans="1:29" ht="40.5">
      <c r="A77" s="287"/>
      <c r="B77" s="65"/>
      <c r="C77" s="65"/>
      <c r="D77" s="65"/>
      <c r="E77" s="65" t="s">
        <v>717</v>
      </c>
      <c r="F77" s="65"/>
      <c r="G77" s="65"/>
      <c r="H77" s="65"/>
      <c r="I77" s="257" t="s">
        <v>730</v>
      </c>
      <c r="J77" s="258"/>
      <c r="K77" s="258"/>
      <c r="L77" s="258"/>
      <c r="M77" s="257" t="s">
        <v>731</v>
      </c>
    </row>
    <row r="78" spans="1:29" ht="54">
      <c r="A78" s="287"/>
      <c r="B78" s="65"/>
      <c r="C78" s="65"/>
      <c r="D78" s="65"/>
      <c r="E78" s="65" t="s">
        <v>718</v>
      </c>
      <c r="F78" s="65"/>
      <c r="G78" s="65"/>
      <c r="H78" s="65"/>
      <c r="I78" s="257" t="s">
        <v>732</v>
      </c>
      <c r="J78" s="258"/>
      <c r="K78" s="258"/>
      <c r="L78" s="258"/>
      <c r="M78" s="257" t="s">
        <v>733</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东权益回报率分析表"/>
  <dimension ref="A1:CK102"/>
  <sheetViews>
    <sheetView topLeftCell="A16" workbookViewId="0">
      <selection activeCell="A77" sqref="A77:AG77"/>
    </sheetView>
  </sheetViews>
  <sheetFormatPr defaultRowHeight="13.5"/>
  <cols>
    <col min="1" max="1" width="48.875" style="17" bestFit="1" customWidth="1"/>
    <col min="2" max="4" width="11.625" hidden="1" customWidth="1"/>
    <col min="5" max="5" width="20.5" bestFit="1" customWidth="1"/>
    <col min="6" max="8" width="20.5" hidden="1" customWidth="1"/>
    <col min="9" max="9" width="20.5" bestFit="1" customWidth="1"/>
    <col min="10" max="12" width="20.5" hidden="1" customWidth="1"/>
    <col min="13" max="13" width="20.5" bestFit="1" customWidth="1"/>
    <col min="14" max="16" width="20.5" hidden="1" customWidth="1"/>
    <col min="17" max="17" width="20.5" bestFit="1" customWidth="1"/>
    <col min="18" max="18" width="20.5" hidden="1" customWidth="1"/>
    <col min="19" max="20" width="19.375" hidden="1" customWidth="1"/>
    <col min="21" max="21" width="19.375" bestFit="1" customWidth="1"/>
    <col min="22" max="24" width="19.375" hidden="1" customWidth="1"/>
    <col min="25" max="25" width="19.375" bestFit="1" customWidth="1"/>
    <col min="26" max="28" width="19.375" hidden="1" customWidth="1"/>
    <col min="29" max="29" width="19.375" bestFit="1" customWidth="1"/>
    <col min="30" max="32" width="19.375" hidden="1" customWidth="1"/>
    <col min="33" max="33" width="19.375" bestFit="1" customWidth="1"/>
    <col min="34" max="36" width="19.375" hidden="1" customWidth="1"/>
    <col min="37" max="37" width="19.375" bestFit="1" customWidth="1"/>
    <col min="38" max="40" width="19.375" hidden="1" customWidth="1"/>
    <col min="41" max="41" width="19.375" bestFit="1" customWidth="1"/>
    <col min="42" max="44" width="19.375" hidden="1" customWidth="1"/>
    <col min="45" max="45" width="19.375" bestFit="1" customWidth="1"/>
    <col min="46" max="48" width="19.375" hidden="1" customWidth="1"/>
    <col min="49" max="49" width="19.375" bestFit="1" customWidth="1"/>
    <col min="50" max="51" width="19.375" hidden="1" customWidth="1"/>
    <col min="52" max="52" width="18.375" hidden="1" customWidth="1"/>
    <col min="53" max="53" width="19.375" bestFit="1" customWidth="1"/>
    <col min="54" max="54" width="18.375" hidden="1" customWidth="1"/>
    <col min="55" max="56" width="19.375" hidden="1" customWidth="1"/>
    <col min="57" max="57" width="19.375" bestFit="1" customWidth="1"/>
    <col min="58" max="59" width="19.375" hidden="1" customWidth="1"/>
    <col min="60" max="60" width="18.375" hidden="1" customWidth="1"/>
    <col min="61" max="61" width="18.375" bestFit="1" customWidth="1"/>
    <col min="62" max="64" width="18.375" hidden="1" customWidth="1"/>
    <col min="65" max="65" width="18.375" bestFit="1" customWidth="1"/>
    <col min="66" max="68" width="18.375" hidden="1" customWidth="1"/>
    <col min="69" max="69" width="18.375" bestFit="1" customWidth="1"/>
    <col min="70" max="70" width="18.375" hidden="1" customWidth="1"/>
    <col min="71" max="71" width="18.375" bestFit="1" customWidth="1"/>
    <col min="72" max="72" width="18.375" hidden="1" customWidth="1"/>
    <col min="73" max="73" width="18.375" bestFit="1" customWidth="1"/>
    <col min="74" max="74" width="18.375" hidden="1" customWidth="1"/>
    <col min="75" max="75" width="18.375" bestFit="1" customWidth="1"/>
    <col min="76" max="76" width="18.375" hidden="1" customWidth="1"/>
    <col min="77" max="77" width="18.375" bestFit="1" customWidth="1"/>
    <col min="78" max="78" width="17.25" hidden="1" customWidth="1"/>
    <col min="79" max="79" width="18.375" bestFit="1" customWidth="1"/>
    <col min="80" max="80" width="17.25" hidden="1" customWidth="1"/>
    <col min="81" max="81" width="17.25" bestFit="1" customWidth="1"/>
    <col min="82" max="82" width="17.25" hidden="1" customWidth="1"/>
    <col min="83" max="85" width="17.25" bestFit="1" customWidth="1"/>
    <col min="86" max="86" width="16.125" bestFit="1" customWidth="1"/>
    <col min="87" max="87" width="9.625" hidden="1" customWidth="1"/>
    <col min="88" max="89" width="16.125" bestFit="1" customWidth="1"/>
  </cols>
  <sheetData>
    <row r="1" spans="1:89" s="26" customFormat="1" ht="14.45">
      <c r="A1" s="17">
        <v>50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34334</v>
      </c>
      <c r="CG1" s="1">
        <v>33969</v>
      </c>
      <c r="CH1" s="1">
        <v>33603</v>
      </c>
      <c r="CI1" s="1">
        <v>25569</v>
      </c>
      <c r="CJ1" s="1"/>
      <c r="CK1" s="1"/>
    </row>
    <row r="2" spans="1:89" s="26" customFormat="1">
      <c r="A2" s="17" t="s">
        <v>424</v>
      </c>
      <c r="E2" s="26">
        <f>股权价值增加表!E42</f>
        <v>161131020.41000038</v>
      </c>
      <c r="F2" s="26">
        <f>股权价值增加表!F42</f>
        <v>752732959.83999944</v>
      </c>
      <c r="G2" s="26">
        <f>股权价值增加表!G42</f>
        <v>456877446.07000053</v>
      </c>
      <c r="H2" s="26">
        <f>股权价值增加表!H42</f>
        <v>240640790.28</v>
      </c>
      <c r="I2" s="26">
        <f>股权价值增加表!I42</f>
        <v>753582504.31000066</v>
      </c>
      <c r="J2" s="26">
        <f>股权价值增加表!J42</f>
        <v>445222487.8399995</v>
      </c>
      <c r="K2" s="26">
        <f>股权价值增加表!K42</f>
        <v>335470306</v>
      </c>
      <c r="L2" s="26">
        <f>股权价值增加表!L42</f>
        <v>116871823.19999996</v>
      </c>
      <c r="M2" s="26">
        <f>股权价值增加表!M42</f>
        <v>623357770</v>
      </c>
      <c r="N2" s="26">
        <f>股权价值增加表!N42</f>
        <v>347335286.77999997</v>
      </c>
      <c r="O2" s="26">
        <f>股权价值增加表!O42</f>
        <v>248593188</v>
      </c>
      <c r="P2" s="26">
        <f>股权价值增加表!P42</f>
        <v>134772143.96999994</v>
      </c>
      <c r="Q2" s="26">
        <f>股权价值增加表!Q42</f>
        <v>623503911</v>
      </c>
      <c r="R2" s="26">
        <f>股权价值增加表!R42</f>
        <v>384865672.84999996</v>
      </c>
      <c r="S2" s="26">
        <f>股权价值增加表!S42</f>
        <v>139047070</v>
      </c>
      <c r="T2" s="26">
        <f>股权价值增加表!T42</f>
        <v>57804575.410000056</v>
      </c>
      <c r="U2" s="26">
        <f>股权价值增加表!U42</f>
        <v>248822557</v>
      </c>
      <c r="V2" s="26">
        <f>股权价值增加表!V42</f>
        <v>198140255</v>
      </c>
      <c r="W2" s="26">
        <f>股权价值增加表!W42</f>
        <v>22325046</v>
      </c>
      <c r="X2" s="26">
        <f>股权价值增加表!X42</f>
        <v>-16853865.349999994</v>
      </c>
      <c r="Y2" s="26">
        <f>股权价值增加表!Y42</f>
        <v>125692345</v>
      </c>
      <c r="Z2" s="26">
        <f>股权价值增加表!Z42</f>
        <v>130701944</v>
      </c>
      <c r="AA2" s="26">
        <f>股权价值增加表!AA42</f>
        <v>37420463</v>
      </c>
      <c r="AB2" s="26">
        <f>股权价值增加表!AB42</f>
        <v>-22175537.159999982</v>
      </c>
      <c r="AC2" s="26">
        <f>股权价值增加表!AC42</f>
        <v>310309448</v>
      </c>
      <c r="AD2" s="26">
        <f>股权价值增加表!AD42</f>
        <v>58541941.169999748</v>
      </c>
      <c r="AE2" s="26">
        <f>股权价值增加表!AE42</f>
        <v>68005293</v>
      </c>
      <c r="AF2" s="26">
        <f>股权价值增加表!AF42</f>
        <v>-7372458.9699999345</v>
      </c>
      <c r="AG2" s="26">
        <f>股权价值增加表!AG42</f>
        <v>137824385</v>
      </c>
      <c r="AH2" s="26">
        <f>股权价值增加表!AH42</f>
        <v>146956738.84000015</v>
      </c>
      <c r="AI2" s="26">
        <f>股权价值增加表!AI42</f>
        <v>80672938.300000057</v>
      </c>
      <c r="AJ2" s="26">
        <f>股权价值增加表!AJ42</f>
        <v>13433499.680000054</v>
      </c>
      <c r="AK2" s="26">
        <f>股权价值增加表!AK42</f>
        <v>-301409692.48999989</v>
      </c>
      <c r="AL2" s="26">
        <f>股权价值增加表!AL42</f>
        <v>-199962614.33000004</v>
      </c>
      <c r="AM2" s="26">
        <f>股权价值增加表!AM42</f>
        <v>-188033704.14000002</v>
      </c>
      <c r="AN2" s="26">
        <f>股权价值增加表!AN42</f>
        <v>-110472391.56</v>
      </c>
      <c r="AO2" s="26">
        <f>股权价值增加表!AO42</f>
        <v>-47265105.90000008</v>
      </c>
      <c r="AP2" s="26">
        <f>股权价值增加表!AP42</f>
        <v>39999039.629999928</v>
      </c>
      <c r="AQ2" s="26">
        <f>股权价值增加表!AQ42</f>
        <v>48233451.900000066</v>
      </c>
      <c r="AR2" s="26">
        <f>股权价值增加表!AR42</f>
        <v>12916233.240000019</v>
      </c>
      <c r="AS2" s="26">
        <f>股权价值增加表!AS42</f>
        <v>90676835.110000029</v>
      </c>
      <c r="AT2" s="26">
        <f>股权价值增加表!AT42</f>
        <v>70670445.320000023</v>
      </c>
      <c r="AU2" s="26">
        <f>股权价值增加表!AU42</f>
        <v>46160494.679999977</v>
      </c>
      <c r="AV2" s="26">
        <f>股权价值增加表!AV42</f>
        <v>16952229.090000011</v>
      </c>
      <c r="AW2" s="26">
        <f>股权价值增加表!AW42</f>
        <v>92752021.490000129</v>
      </c>
      <c r="AX2" s="26">
        <f>股权价值增加表!AX42</f>
        <v>72492836.650000006</v>
      </c>
      <c r="AY2" s="26">
        <f>股权价值增加表!AY42</f>
        <v>42341220.449999981</v>
      </c>
      <c r="AZ2" s="26">
        <f>股权价值增加表!AZ42</f>
        <v>13308166.870000007</v>
      </c>
      <c r="BA2" s="26">
        <f>股权价值增加表!BA42</f>
        <v>51162295.779999979</v>
      </c>
      <c r="BB2" s="26">
        <f>股权价值增加表!BB42</f>
        <v>37550803.640000015</v>
      </c>
      <c r="BC2" s="26">
        <f>股权价值增加表!BC42</f>
        <v>30765659.790000048</v>
      </c>
      <c r="BD2" s="26">
        <f>股权价值增加表!BD42</f>
        <v>11059286.109999992</v>
      </c>
      <c r="BE2" s="26">
        <f>股权价值增加表!BE42</f>
        <v>91550567.049999997</v>
      </c>
      <c r="BF2" s="26">
        <f>股权价值增加表!BF42</f>
        <v>46095249.959999993</v>
      </c>
      <c r="BG2" s="26">
        <f>股权价值增加表!BG42</f>
        <v>34395065.939999998</v>
      </c>
      <c r="BH2" s="26">
        <f>股权价值增加表!BH42</f>
        <v>10794130.919999983</v>
      </c>
      <c r="BI2" s="26">
        <f>股权价值增加表!BI42</f>
        <v>43393903.270000055</v>
      </c>
      <c r="BJ2" s="26">
        <f>股权价值增加表!BJ42</f>
        <v>25276362.220000032</v>
      </c>
      <c r="BK2" s="26">
        <f>股权价值增加表!BK42</f>
        <v>19006326.589999981</v>
      </c>
      <c r="BL2" s="26">
        <f>股权价值增加表!BL42</f>
        <v>10538941.52</v>
      </c>
      <c r="BM2" s="26">
        <f>股权价值增加表!BM42</f>
        <v>-30977587.249999963</v>
      </c>
      <c r="BN2" s="26">
        <f>股权价值增加表!BN42</f>
        <v>3245852.689999986</v>
      </c>
      <c r="BO2" s="26">
        <f>股权价值增加表!BO42</f>
        <v>13786142.619999986</v>
      </c>
      <c r="BP2" s="26">
        <f>股权价值增加表!BP42</f>
        <v>7531716.4299999941</v>
      </c>
      <c r="BQ2" s="26">
        <f>股权价值增加表!BQ42</f>
        <v>14820809.820000032</v>
      </c>
      <c r="BR2" s="26">
        <f>股权价值增加表!BR42</f>
        <v>15252762.859999983</v>
      </c>
      <c r="BS2" s="26">
        <f>股权价值增加表!BS42</f>
        <v>30503088.039999992</v>
      </c>
      <c r="BT2" s="26">
        <f>股权价值增加表!BT42</f>
        <v>14961717.44999999</v>
      </c>
      <c r="BU2" s="26">
        <f>股权价值增加表!BU42</f>
        <v>21071820.530000012</v>
      </c>
      <c r="BV2" s="26">
        <f>股权价值增加表!BV42</f>
        <v>10098753.440000009</v>
      </c>
      <c r="BW2" s="26">
        <f>股权价值增加表!BW42</f>
        <v>26164233.669999998</v>
      </c>
      <c r="BX2" s="26">
        <f>股权价值增加表!BX42</f>
        <v>14838421.909999993</v>
      </c>
      <c r="BY2" s="26">
        <f>股权价值增加表!BY42</f>
        <v>40228801.099999987</v>
      </c>
      <c r="BZ2" s="26">
        <f>股权价值增加表!BZ42</f>
        <v>102503630.34999999</v>
      </c>
      <c r="CA2" s="26">
        <f>股权价值增加表!CA42</f>
        <v>16583117.229999991</v>
      </c>
      <c r="CB2" s="26">
        <f>股权价值增加表!CB42</f>
        <v>66360000</v>
      </c>
      <c r="CC2" s="26">
        <f>股权价值增加表!CC42</f>
        <v>26625379.749999981</v>
      </c>
      <c r="CD2" s="26">
        <f>股权价值增加表!CD42</f>
        <v>71470000</v>
      </c>
      <c r="CE2" s="26">
        <f>股权价值增加表!CE42</f>
        <v>30533343.110000007</v>
      </c>
      <c r="CF2" s="26">
        <f>股权价值增加表!CF42</f>
        <v>19138092.260000005</v>
      </c>
      <c r="CG2" s="26">
        <f>股权价值增加表!CG42</f>
        <v>31780600</v>
      </c>
      <c r="CH2" s="26">
        <f>股权价值增加表!CH42</f>
        <v>15431400</v>
      </c>
      <c r="CI2" s="26">
        <f>股权价值增加表!CI42</f>
        <v>0</v>
      </c>
      <c r="CJ2" s="26">
        <f>股权价值增加表!CJ42</f>
        <v>-3630000</v>
      </c>
      <c r="CK2" s="26">
        <f>股权价值增加表!CK42</f>
        <v>0</v>
      </c>
    </row>
    <row r="3" spans="1:89" s="26" customFormat="1">
      <c r="A3" s="17" t="s">
        <v>429</v>
      </c>
      <c r="E3" s="26">
        <f>资产资本表!E107</f>
        <v>14474797146.66</v>
      </c>
      <c r="F3" s="26">
        <f>资产资本表!F107</f>
        <v>14427626551.780001</v>
      </c>
      <c r="G3" s="26">
        <f>资产资本表!G107</f>
        <v>14215836962.65</v>
      </c>
      <c r="H3" s="26">
        <f>资产资本表!H107</f>
        <v>13999600306.860001</v>
      </c>
      <c r="I3" s="26">
        <f>资产资本表!I107</f>
        <v>13758959516.58</v>
      </c>
      <c r="J3" s="26">
        <f>资产资本表!J107</f>
        <v>13609491082.25</v>
      </c>
      <c r="K3" s="26">
        <f>资产资本表!K107</f>
        <v>13499738900</v>
      </c>
      <c r="L3" s="26">
        <f>资产资本表!L107</f>
        <v>13365206342.23</v>
      </c>
      <c r="M3" s="26">
        <f>资产资本表!M107</f>
        <v>13248334175</v>
      </c>
      <c r="N3" s="26">
        <f>资产资本表!N107</f>
        <v>8795277089.8500004</v>
      </c>
      <c r="O3" s="26">
        <f>资产资本表!O107</f>
        <v>8696534977</v>
      </c>
      <c r="P3" s="26">
        <f>资产资本表!P107</f>
        <v>8685175474.3599987</v>
      </c>
      <c r="Q3" s="26">
        <f>资产资本表!Q107</f>
        <v>8561115637</v>
      </c>
      <c r="R3" s="26">
        <f>资产资本表!R107</f>
        <v>8330941578.9399996</v>
      </c>
      <c r="S3" s="26">
        <f>资产资本表!S107</f>
        <v>3357043230</v>
      </c>
      <c r="T3" s="26">
        <f>资产资本表!T107</f>
        <v>3336966169.8000002</v>
      </c>
      <c r="U3" s="26">
        <f>资产资本表!U107</f>
        <v>3285724462</v>
      </c>
      <c r="V3" s="26">
        <f>资产资本表!V107</f>
        <v>3223235918</v>
      </c>
      <c r="W3" s="26">
        <f>资产资本表!W107</f>
        <v>3047188699</v>
      </c>
      <c r="X3" s="26">
        <f>资产资本表!X107</f>
        <v>3049681908.48</v>
      </c>
      <c r="Y3" s="26">
        <f>资产资本表!Y107</f>
        <v>3056111991</v>
      </c>
      <c r="Z3" s="26">
        <f>资产资本表!Z107</f>
        <v>3041292788</v>
      </c>
      <c r="AA3" s="26">
        <f>资产资本表!AA107</f>
        <v>2956330356</v>
      </c>
      <c r="AB3" s="26">
        <f>资产资本表!AB107</f>
        <v>2907605033.3699999</v>
      </c>
      <c r="AC3" s="26">
        <f>资产资本表!AC107</f>
        <v>2918909893</v>
      </c>
      <c r="AD3" s="26">
        <f>资产资本表!AD107</f>
        <v>2757882786.4899998</v>
      </c>
      <c r="AE3" s="26">
        <f>资产资本表!AE107</f>
        <v>2726685023</v>
      </c>
      <c r="AF3" s="26">
        <f>资产资本表!AF107</f>
        <v>2670701532.7299995</v>
      </c>
      <c r="AG3" s="26">
        <f>资产资本表!AG107</f>
        <v>2490679730</v>
      </c>
      <c r="AH3" s="26">
        <f>资产资本表!AH107</f>
        <v>2492785296.1399999</v>
      </c>
      <c r="AI3" s="26">
        <f>资产资本表!AI107</f>
        <v>2431357198.0299997</v>
      </c>
      <c r="AJ3" s="26">
        <f>资产资本表!AJ107</f>
        <v>2362412402.6400003</v>
      </c>
      <c r="AK3" s="26">
        <f>资产资本表!AK107</f>
        <v>2098684259.73</v>
      </c>
      <c r="AL3" s="26">
        <f>资产资本表!AL107</f>
        <v>1942681081.4400001</v>
      </c>
      <c r="AM3" s="26">
        <f>资产资本表!AM107</f>
        <v>1963386770.9299998</v>
      </c>
      <c r="AN3" s="26">
        <f>资产资本表!AN107</f>
        <v>2046200520.25</v>
      </c>
      <c r="AO3" s="26">
        <f>资产资本表!AO107</f>
        <v>1996614635.9000001</v>
      </c>
      <c r="AP3" s="26">
        <f>资产资本表!AP107</f>
        <v>2151391543.1900001</v>
      </c>
      <c r="AQ3" s="26">
        <f>资产资本表!AQ107</f>
        <v>2169761957.6199999</v>
      </c>
      <c r="AR3" s="26">
        <f>资产资本表!AR107</f>
        <v>2250561483.1199999</v>
      </c>
      <c r="AS3" s="26">
        <f>资产资本表!AS107</f>
        <v>2276579743.8099999</v>
      </c>
      <c r="AT3" s="26">
        <f>资产资本表!AT107</f>
        <v>2144962870.1200001</v>
      </c>
      <c r="AU3" s="26">
        <f>资产资本表!AU107</f>
        <v>1430978725.26</v>
      </c>
      <c r="AV3" s="26">
        <f>资产资本表!AV107</f>
        <v>1316443476.3499999</v>
      </c>
      <c r="AW3" s="26">
        <f>资产资本表!AW107</f>
        <v>867674686.85000002</v>
      </c>
      <c r="AX3" s="26">
        <f>资产资本表!AX107</f>
        <v>849908620.89999998</v>
      </c>
      <c r="AY3" s="26">
        <f>资产资本表!AY107</f>
        <v>819331428.62</v>
      </c>
      <c r="AZ3" s="26">
        <f>资产资本表!AZ107</f>
        <v>802085187.58999991</v>
      </c>
      <c r="BA3" s="26">
        <f>资产资本表!BA107</f>
        <v>788340786.3900001</v>
      </c>
      <c r="BB3" s="26">
        <f>资产资本表!BB107</f>
        <v>765586275.99000001</v>
      </c>
      <c r="BC3" s="26">
        <f>资产资本表!BC107</f>
        <v>758370913.11000001</v>
      </c>
      <c r="BD3" s="26">
        <f>资产资本表!BD107</f>
        <v>764911304.80999994</v>
      </c>
      <c r="BE3" s="26">
        <f>资产资本表!BE107</f>
        <v>753355897.07000005</v>
      </c>
      <c r="BF3" s="26">
        <f>资产资本表!BF107</f>
        <v>752692616.97000003</v>
      </c>
      <c r="BG3" s="26">
        <f>资产资本表!BG107</f>
        <v>740334189.22000003</v>
      </c>
      <c r="BH3" s="26">
        <f>资产资本表!BH107</f>
        <v>716382432.90999997</v>
      </c>
      <c r="BI3" s="26">
        <f>资产资本表!BI107</f>
        <v>705295910.15999997</v>
      </c>
      <c r="BJ3" s="26">
        <f>资产资本表!BJ107</f>
        <v>681194132.05999994</v>
      </c>
      <c r="BK3" s="26">
        <f>资产资本表!BK107</f>
        <v>674522616.23000002</v>
      </c>
      <c r="BL3" s="26">
        <f>资产资本表!BL107</f>
        <v>665280233.00999999</v>
      </c>
      <c r="BM3" s="26">
        <f>资产资本表!BM107</f>
        <v>660171911.80999994</v>
      </c>
      <c r="BN3" s="26">
        <f>资产资本表!BN107</f>
        <v>703491272.98000002</v>
      </c>
      <c r="BO3" s="26">
        <f>资产资本表!BO107</f>
        <v>713472738.10000002</v>
      </c>
      <c r="BP3" s="26">
        <f>资产资本表!BP107</f>
        <v>729878853.14999998</v>
      </c>
      <c r="BQ3" s="26">
        <f>资产资本表!BQ107</f>
        <v>689134001.11000001</v>
      </c>
      <c r="BR3" s="26">
        <f>资产资本表!BR107</f>
        <v>715294038.50999999</v>
      </c>
      <c r="BS3" s="26">
        <f>资产资本表!BS107</f>
        <v>341654534.76999998</v>
      </c>
      <c r="BT3" s="26">
        <f>资产资本表!BT107</f>
        <v>351374024.41000003</v>
      </c>
      <c r="BU3" s="26">
        <f>资产资本表!BU107</f>
        <v>336158439.75</v>
      </c>
      <c r="BV3" s="26">
        <f>资产资本表!BV107</f>
        <v>343274029.47000003</v>
      </c>
      <c r="BW3" s="26">
        <f>资产资本表!BW107</f>
        <v>332967708.02999997</v>
      </c>
      <c r="BX3" s="26">
        <f>资产资本表!BX107</f>
        <v>342688761.45999998</v>
      </c>
      <c r="BY3" s="26">
        <f>资产资本表!BY107</f>
        <v>194442215.94999999</v>
      </c>
      <c r="BZ3" s="26">
        <f>资产资本表!BZ107</f>
        <v>185016165.91</v>
      </c>
      <c r="CA3" s="26">
        <f>资产资本表!CA107</f>
        <v>166498366.16999999</v>
      </c>
      <c r="CB3" s="26">
        <f>资产资本表!CB107</f>
        <v>165010000</v>
      </c>
      <c r="CC3" s="26">
        <f>资产资本表!CC107</f>
        <v>147991266.97</v>
      </c>
      <c r="CD3" s="26">
        <f>资产资本表!CD107</f>
        <v>182020000</v>
      </c>
      <c r="CE3" s="26">
        <f>资产资本表!CE107</f>
        <v>122089059.12</v>
      </c>
      <c r="CF3" s="26">
        <f>资产资本表!CF107</f>
        <v>116444849.68000001</v>
      </c>
      <c r="CG3" s="26">
        <f>资产资本表!CG107</f>
        <v>76513100</v>
      </c>
      <c r="CH3" s="26">
        <f>资产资本表!CH107</f>
        <v>34011300</v>
      </c>
      <c r="CI3" s="26">
        <f>资产资本表!CI107</f>
        <v>0</v>
      </c>
      <c r="CJ3" s="26">
        <f>资产资本表!CJ107</f>
        <v>92660000</v>
      </c>
      <c r="CK3" s="26">
        <f>资产资本表!CK107</f>
        <v>75420000</v>
      </c>
    </row>
    <row r="4" spans="1:89" s="59" customFormat="1">
      <c r="A4" s="145" t="s">
        <v>430</v>
      </c>
      <c r="E4" s="59">
        <f>E2/E3</f>
        <v>1.1131832714296843E-2</v>
      </c>
      <c r="F4" s="59">
        <f t="shared" ref="F4:BQ4" si="0">F2/F3</f>
        <v>5.2173027707535957E-2</v>
      </c>
      <c r="G4" s="59">
        <f t="shared" si="0"/>
        <v>3.2138624498183131E-2</v>
      </c>
      <c r="H4" s="59">
        <f t="shared" si="0"/>
        <v>1.7189118618056734E-2</v>
      </c>
      <c r="I4" s="59">
        <f t="shared" si="0"/>
        <v>5.4770311912169585E-2</v>
      </c>
      <c r="J4" s="59">
        <f t="shared" si="0"/>
        <v>3.2714117313370747E-2</v>
      </c>
      <c r="K4" s="59">
        <f t="shared" si="0"/>
        <v>2.4850132916274404E-2</v>
      </c>
      <c r="L4" s="59">
        <f t="shared" si="0"/>
        <v>8.7444832655310702E-3</v>
      </c>
      <c r="M4" s="59">
        <f t="shared" si="0"/>
        <v>4.7051784908648711E-2</v>
      </c>
      <c r="N4" s="59">
        <f t="shared" si="0"/>
        <v>3.9491113609238619E-2</v>
      </c>
      <c r="O4" s="59">
        <f t="shared" si="0"/>
        <v>2.858531457154628E-2</v>
      </c>
      <c r="P4" s="59">
        <f t="shared" si="0"/>
        <v>1.5517492348642635E-2</v>
      </c>
      <c r="Q4" s="59">
        <f t="shared" si="0"/>
        <v>7.2829749934144011E-2</v>
      </c>
      <c r="R4" s="59">
        <f t="shared" si="0"/>
        <v>4.6197139807451264E-2</v>
      </c>
      <c r="S4" s="59">
        <f t="shared" si="0"/>
        <v>4.1419505342503438E-2</v>
      </c>
      <c r="T4" s="59">
        <f t="shared" si="0"/>
        <v>1.7322493686972126E-2</v>
      </c>
      <c r="U4" s="59">
        <f t="shared" si="0"/>
        <v>7.5728369763709058E-2</v>
      </c>
      <c r="V4" s="59">
        <f t="shared" si="0"/>
        <v>6.1472464331107646E-2</v>
      </c>
      <c r="W4" s="59">
        <f t="shared" si="0"/>
        <v>7.326440271758175E-3</v>
      </c>
      <c r="X4" s="59">
        <f t="shared" si="0"/>
        <v>-5.5264338563100089E-3</v>
      </c>
      <c r="Y4" s="59">
        <f t="shared" si="0"/>
        <v>4.1128186849877783E-2</v>
      </c>
      <c r="Z4" s="59">
        <f t="shared" si="0"/>
        <v>4.2975784678051854E-2</v>
      </c>
      <c r="AA4" s="59">
        <f t="shared" si="0"/>
        <v>1.2657740676394151E-2</v>
      </c>
      <c r="AB4" s="59">
        <f t="shared" si="0"/>
        <v>-7.6267364052186558E-3</v>
      </c>
      <c r="AC4" s="59">
        <f t="shared" si="0"/>
        <v>0.10631004702960181</v>
      </c>
      <c r="AD4" s="59">
        <f t="shared" si="0"/>
        <v>2.1227131717409566E-2</v>
      </c>
      <c r="AE4" s="59">
        <f t="shared" si="0"/>
        <v>2.4940648599440375E-2</v>
      </c>
      <c r="AF4" s="59">
        <f t="shared" si="0"/>
        <v>-2.7604952779818055E-3</v>
      </c>
      <c r="AG4" s="59">
        <f t="shared" si="0"/>
        <v>5.5336052781061497E-2</v>
      </c>
      <c r="AH4" s="59">
        <f t="shared" si="0"/>
        <v>5.8952826409702459E-2</v>
      </c>
      <c r="AI4" s="59">
        <f t="shared" si="0"/>
        <v>3.3180208307263565E-2</v>
      </c>
      <c r="AJ4" s="59">
        <f t="shared" si="0"/>
        <v>5.6863482705170748E-3</v>
      </c>
      <c r="AK4" s="59">
        <f t="shared" si="0"/>
        <v>-0.14361840810145346</v>
      </c>
      <c r="AL4" s="59">
        <f t="shared" si="0"/>
        <v>-0.10293126146149476</v>
      </c>
      <c r="AM4" s="59">
        <f t="shared" si="0"/>
        <v>-9.5770077971409504E-2</v>
      </c>
      <c r="AN4" s="59">
        <f t="shared" si="0"/>
        <v>-5.3989035026979049E-2</v>
      </c>
      <c r="AO4" s="59">
        <f t="shared" si="0"/>
        <v>-2.3672623174323632E-2</v>
      </c>
      <c r="AP4" s="59">
        <f t="shared" si="0"/>
        <v>1.8592171079510195E-2</v>
      </c>
      <c r="AQ4" s="59">
        <f t="shared" si="0"/>
        <v>2.2229835734103788E-2</v>
      </c>
      <c r="AR4" s="59">
        <f t="shared" si="0"/>
        <v>5.7391159214606208E-3</v>
      </c>
      <c r="AS4" s="59">
        <f t="shared" si="0"/>
        <v>3.9830291627846348E-2</v>
      </c>
      <c r="AT4" s="59">
        <f t="shared" si="0"/>
        <v>3.294716486912725E-2</v>
      </c>
      <c r="AU4" s="59">
        <f t="shared" si="0"/>
        <v>3.2257988092459514E-2</v>
      </c>
      <c r="AV4" s="59">
        <f t="shared" si="0"/>
        <v>1.2877293552323366E-2</v>
      </c>
      <c r="AW4" s="59">
        <f t="shared" si="0"/>
        <v>0.10689723106562715</v>
      </c>
      <c r="AX4" s="59">
        <f t="shared" si="0"/>
        <v>8.5294859785319782E-2</v>
      </c>
      <c r="AY4" s="59">
        <f t="shared" si="0"/>
        <v>5.1677769179824216E-2</v>
      </c>
      <c r="AZ4" s="59">
        <f t="shared" si="0"/>
        <v>1.6591961896200373E-2</v>
      </c>
      <c r="BA4" s="59">
        <f t="shared" si="0"/>
        <v>6.4898704549189057E-2</v>
      </c>
      <c r="BB4" s="59">
        <f t="shared" si="0"/>
        <v>4.9048428397494549E-2</v>
      </c>
      <c r="BC4" s="59">
        <f t="shared" si="0"/>
        <v>4.0568090439852558E-2</v>
      </c>
      <c r="BD4" s="59">
        <f t="shared" si="0"/>
        <v>1.4458259461529415E-2</v>
      </c>
      <c r="BE4" s="59">
        <f t="shared" si="0"/>
        <v>0.12152366153376422</v>
      </c>
      <c r="BF4" s="59">
        <f t="shared" si="0"/>
        <v>6.1240470440056413E-2</v>
      </c>
      <c r="BG4" s="59">
        <f t="shared" si="0"/>
        <v>4.6458837699009804E-2</v>
      </c>
      <c r="BH4" s="59">
        <f t="shared" si="0"/>
        <v>1.5067553898765219E-2</v>
      </c>
      <c r="BI4" s="59">
        <f t="shared" si="0"/>
        <v>6.1525811570573165E-2</v>
      </c>
      <c r="BJ4" s="59">
        <f t="shared" si="0"/>
        <v>3.7105960005206967E-2</v>
      </c>
      <c r="BK4" s="59">
        <f t="shared" si="0"/>
        <v>2.817744895824096E-2</v>
      </c>
      <c r="BL4" s="59">
        <f t="shared" si="0"/>
        <v>1.5841356765279972E-2</v>
      </c>
      <c r="BM4" s="59">
        <f t="shared" si="0"/>
        <v>-4.6923515974904781E-2</v>
      </c>
      <c r="BN4" s="59">
        <f t="shared" si="0"/>
        <v>4.6139203351457415E-3</v>
      </c>
      <c r="BO4" s="59">
        <f t="shared" si="0"/>
        <v>1.9322591997996883E-2</v>
      </c>
      <c r="BP4" s="59">
        <f t="shared" si="0"/>
        <v>1.0319132274479151E-2</v>
      </c>
      <c r="BQ4" s="59">
        <f t="shared" si="0"/>
        <v>2.1506426610975366E-2</v>
      </c>
      <c r="BR4" s="59">
        <f t="shared" ref="BR4:CJ4" si="1">BR2/BR3</f>
        <v>2.1323766225945898E-2</v>
      </c>
      <c r="BS4" s="59">
        <f t="shared" si="1"/>
        <v>8.9280501019939659E-2</v>
      </c>
      <c r="BT4" s="59">
        <f t="shared" si="1"/>
        <v>4.2580601896006806E-2</v>
      </c>
      <c r="BU4" s="59">
        <f t="shared" si="1"/>
        <v>6.2684193042040121E-2</v>
      </c>
      <c r="BV4" s="59">
        <f t="shared" si="1"/>
        <v>2.9418926493192738E-2</v>
      </c>
      <c r="BW4" s="59">
        <f t="shared" si="1"/>
        <v>7.8578892304002751E-2</v>
      </c>
      <c r="BX4" s="59">
        <f t="shared" si="1"/>
        <v>4.3299995736020051E-2</v>
      </c>
      <c r="BY4" s="59">
        <f t="shared" si="1"/>
        <v>0.20689334825491115</v>
      </c>
      <c r="BZ4" s="59">
        <f t="shared" si="1"/>
        <v>0.55402526501312466</v>
      </c>
      <c r="CA4" s="59">
        <f t="shared" si="1"/>
        <v>9.9599279028769055E-2</v>
      </c>
      <c r="CB4" s="59">
        <f t="shared" si="1"/>
        <v>0.40215744500333311</v>
      </c>
      <c r="CC4" s="59">
        <f t="shared" si="1"/>
        <v>0.17991183057712004</v>
      </c>
      <c r="CD4" s="59">
        <f t="shared" si="1"/>
        <v>0.39264915943302936</v>
      </c>
      <c r="CE4" s="59">
        <f t="shared" si="1"/>
        <v>0.25009073974424784</v>
      </c>
      <c r="CF4" s="59">
        <f t="shared" si="1"/>
        <v>0.16435327378233602</v>
      </c>
      <c r="CG4" s="59">
        <f t="shared" si="1"/>
        <v>0.41536155246617901</v>
      </c>
      <c r="CH4" s="59">
        <f t="shared" si="1"/>
        <v>0.4537139127290048</v>
      </c>
      <c r="CI4" s="59" t="e">
        <f t="shared" si="1"/>
        <v>#DIV/0!</v>
      </c>
      <c r="CJ4" s="59">
        <f t="shared" si="1"/>
        <v>-3.9175480250377724E-2</v>
      </c>
    </row>
    <row r="5" spans="1:89" s="26" customFormat="1">
      <c r="A5" s="20" t="s">
        <v>426</v>
      </c>
      <c r="E5" s="26">
        <f>股权价值增加表!E47</f>
        <v>-996852751.32279968</v>
      </c>
      <c r="F5" s="26">
        <f>股权价值增加表!F47</f>
        <v>-401477164.30240059</v>
      </c>
      <c r="G5" s="26">
        <f>股权价值增加表!G47</f>
        <v>-680389510.94199955</v>
      </c>
      <c r="H5" s="26">
        <f>股权价值增加表!H47</f>
        <v>-879327234.26880002</v>
      </c>
      <c r="I5" s="26">
        <f>股权价值增加表!I47</f>
        <v>-347134257.01639938</v>
      </c>
      <c r="J5" s="26">
        <f>股权价值增加表!J47</f>
        <v>-643536798.74000049</v>
      </c>
      <c r="K5" s="26">
        <f>股权价值增加表!K47</f>
        <v>-744508806</v>
      </c>
      <c r="L5" s="26">
        <f>股权价值增加表!L47</f>
        <v>-952344684.17840004</v>
      </c>
      <c r="M5" s="26">
        <f>股权价值增加表!M47</f>
        <v>-436508964</v>
      </c>
      <c r="N5" s="26">
        <f>股权价值增加表!N47</f>
        <v>-356286880.40800011</v>
      </c>
      <c r="O5" s="26">
        <f>股权价值增加表!O47</f>
        <v>-447129610.15999997</v>
      </c>
      <c r="P5" s="26">
        <f>股权价值增加表!P47</f>
        <v>-560041893.97880018</v>
      </c>
      <c r="Q5" s="26">
        <f>股权价值增加表!Q47</f>
        <v>-61385339.960000038</v>
      </c>
      <c r="R5" s="26">
        <f>股权价值增加表!R47</f>
        <v>-281609653.46520001</v>
      </c>
      <c r="S5" s="26">
        <f>股权价值增加表!S47</f>
        <v>-129516388.39999998</v>
      </c>
      <c r="T5" s="26">
        <f>股权价值增加表!T47</f>
        <v>-209152718.17399997</v>
      </c>
      <c r="U5" s="26">
        <f>股权价值增加表!U47</f>
        <v>-14035399.960000008</v>
      </c>
      <c r="V5" s="26">
        <f>股权价值增加表!V47</f>
        <v>-59718618.439999998</v>
      </c>
      <c r="W5" s="26">
        <f>股权价值增加表!W47</f>
        <v>-221450049.92000002</v>
      </c>
      <c r="X5" s="26">
        <f>股权价值增加表!X47</f>
        <v>-260828418.0284</v>
      </c>
      <c r="Y5" s="26">
        <f>股权价值增加表!Y47</f>
        <v>-118796614.28</v>
      </c>
      <c r="Z5" s="26">
        <f>股权价值增加表!Z47</f>
        <v>-112601479.03999999</v>
      </c>
      <c r="AA5" s="26">
        <f>股权价值增加表!AA47</f>
        <v>-199085965.48000002</v>
      </c>
      <c r="AB5" s="26">
        <f>股权价值增加表!AB47</f>
        <v>-254783939.82959998</v>
      </c>
      <c r="AC5" s="26">
        <f>股权价值增加表!AC47</f>
        <v>76796656.560000002</v>
      </c>
      <c r="AD5" s="26">
        <f>股权价值增加表!AD47</f>
        <v>-162088681.74920022</v>
      </c>
      <c r="AE5" s="26">
        <f>股权价值增加表!AE47</f>
        <v>-150129508.84</v>
      </c>
      <c r="AF5" s="26">
        <f>股权价值增加表!AF47</f>
        <v>-221028581.58839995</v>
      </c>
      <c r="AG5" s="26">
        <f>股权价值增加表!AG47</f>
        <v>-61429993.400000006</v>
      </c>
      <c r="AH5" s="26">
        <f>股权价值增加表!AH47</f>
        <v>-52466084.851199836</v>
      </c>
      <c r="AI5" s="26">
        <f>股权价值增加表!AI47</f>
        <v>-113835637.54239996</v>
      </c>
      <c r="AJ5" s="26">
        <f>股权价值增加表!AJ47</f>
        <v>-175559492.53119993</v>
      </c>
      <c r="AK5" s="26">
        <f>股权价值增加表!AK47</f>
        <v>-469304433.26839989</v>
      </c>
      <c r="AL5" s="26">
        <f>股权价值增加表!AL47</f>
        <v>-355377100.84520006</v>
      </c>
      <c r="AM5" s="26">
        <f>股权价值增加表!AM47</f>
        <v>-345104645.81440002</v>
      </c>
      <c r="AN5" s="26">
        <f>股权价值增加表!AN47</f>
        <v>-274168433.18000001</v>
      </c>
      <c r="AO5" s="26">
        <f>股权价值增加表!AO47</f>
        <v>-206994276.77200007</v>
      </c>
      <c r="AP5" s="26">
        <f>股权价值增加表!AP47</f>
        <v>-132112283.82520008</v>
      </c>
      <c r="AQ5" s="26">
        <f>股权价值增加表!AQ47</f>
        <v>-125347504.70959994</v>
      </c>
      <c r="AR5" s="26">
        <f>股权价值增加表!AR47</f>
        <v>-167128685.40959999</v>
      </c>
      <c r="AS5" s="26">
        <f>股权价值增加表!AS47</f>
        <v>-91449544.394799963</v>
      </c>
      <c r="AT5" s="26">
        <f>股权价值增加表!AT47</f>
        <v>-100926584.28959998</v>
      </c>
      <c r="AU5" s="26">
        <f>股权价值增加表!AU47</f>
        <v>-68317803.340800017</v>
      </c>
      <c r="AV5" s="26">
        <f>股权价值增加表!AV47</f>
        <v>-88363249.017999977</v>
      </c>
      <c r="AW5" s="26">
        <f>股权价值增加表!AW47</f>
        <v>23338046.54200013</v>
      </c>
      <c r="AX5" s="26">
        <f>股权价值增加表!AX47</f>
        <v>4500146.9780000001</v>
      </c>
      <c r="AY5" s="26">
        <f>股权价值增加表!AY47</f>
        <v>-23205293.839600019</v>
      </c>
      <c r="AZ5" s="26">
        <f>股权价值增加表!AZ47</f>
        <v>-50858648.137199998</v>
      </c>
      <c r="BA5" s="26">
        <f>股权价值增加表!BA47</f>
        <v>-11904967.131200023</v>
      </c>
      <c r="BB5" s="26">
        <f>股权价值增加表!BB47</f>
        <v>-23696098.439199984</v>
      </c>
      <c r="BC5" s="26">
        <f>股权价值增加表!BC47</f>
        <v>-29904013.258799952</v>
      </c>
      <c r="BD5" s="26">
        <f>股权价值增加表!BD47</f>
        <v>-50133618.274800003</v>
      </c>
      <c r="BE5" s="26">
        <f>股权价值增加表!BE47</f>
        <v>31282095.284399994</v>
      </c>
      <c r="BF5" s="26">
        <f>股权价值增加表!BF47</f>
        <v>-14120159.39760001</v>
      </c>
      <c r="BG5" s="26">
        <f>股权价值增加表!BG47</f>
        <v>-24831669.197600007</v>
      </c>
      <c r="BH5" s="26">
        <f>股权价值增加表!BH47</f>
        <v>-46516463.712800011</v>
      </c>
      <c r="BI5" s="26">
        <f>股权价值增加表!BI47</f>
        <v>-13029769.542799942</v>
      </c>
      <c r="BJ5" s="26">
        <f>股权价值增加表!BJ47</f>
        <v>-29219168.344799962</v>
      </c>
      <c r="BK5" s="26">
        <f>股权价值增加表!BK47</f>
        <v>-34955482.708400019</v>
      </c>
      <c r="BL5" s="26">
        <f>股权价值增加表!BL47</f>
        <v>-42683477.120800003</v>
      </c>
      <c r="BM5" s="26">
        <f>股权价值增加表!BM47</f>
        <v>-83791340.19479996</v>
      </c>
      <c r="BN5" s="26">
        <f>股权价值增加表!BN47</f>
        <v>-53033449.148400024</v>
      </c>
      <c r="BO5" s="26">
        <f>股权价值增加表!BO47</f>
        <v>-43291676.428000018</v>
      </c>
      <c r="BP5" s="26">
        <f>股权价值增加表!BP47</f>
        <v>-50858591.822000004</v>
      </c>
      <c r="BQ5" s="26">
        <f>股权价值增加表!BQ47</f>
        <v>-40309910.268799976</v>
      </c>
      <c r="BR5" s="26">
        <f>股权价值增加表!BR47</f>
        <v>-41970760.220800012</v>
      </c>
      <c r="BS5" s="26">
        <f>股权价值增加表!BS47</f>
        <v>3170725.2583999932</v>
      </c>
      <c r="BT5" s="26">
        <f>股权价值增加表!BT47</f>
        <v>-13148204.502800012</v>
      </c>
      <c r="BU5" s="26">
        <f>股权价值增加表!BU47</f>
        <v>-5820854.6499999873</v>
      </c>
      <c r="BV5" s="26">
        <f>股权价值增加表!BV47</f>
        <v>-17363168.917599995</v>
      </c>
      <c r="BW5" s="26">
        <f>股权价值增加表!BW47</f>
        <v>-473182.97239999846</v>
      </c>
      <c r="BX5" s="26">
        <f>股权价值增加表!BX47</f>
        <v>-12576679.006800007</v>
      </c>
      <c r="BY5" s="26">
        <f>股权价值增加表!BY47</f>
        <v>24673423.823999986</v>
      </c>
      <c r="BZ5" s="26">
        <f>股权价值增加表!BZ47</f>
        <v>87702337.077199996</v>
      </c>
      <c r="CA5" s="26">
        <f>股权价值增加表!CA47</f>
        <v>3263247.9363999926</v>
      </c>
      <c r="CB5" s="26">
        <f>股权价值增加表!CB47</f>
        <v>53159200</v>
      </c>
      <c r="CC5" s="26">
        <f>股权价值增加表!CC47</f>
        <v>14786078.392399982</v>
      </c>
      <c r="CD5" s="26">
        <f>股权价值增加表!CD47</f>
        <v>56908400</v>
      </c>
      <c r="CE5" s="26">
        <f>股权价值增加表!CE47</f>
        <v>20766218.380400006</v>
      </c>
      <c r="CF5" s="26">
        <f>股权价值增加表!CF47</f>
        <v>9822504.2856000047</v>
      </c>
      <c r="CG5" s="26">
        <f>股权价值增加表!CG47</f>
        <v>31780600</v>
      </c>
      <c r="CH5" s="26">
        <f>股权价值增加表!CH47</f>
        <v>15431400</v>
      </c>
      <c r="CI5" s="26">
        <f>股权价值增加表!CI47</f>
        <v>0</v>
      </c>
      <c r="CJ5" s="26">
        <f>股权价值增加表!CJ47</f>
        <v>-3630000</v>
      </c>
      <c r="CK5" s="26">
        <f>股权价值增加表!CK47</f>
        <v>0</v>
      </c>
    </row>
    <row r="6" spans="1:89" s="157" customFormat="1">
      <c r="A6" s="157" t="s">
        <v>437</v>
      </c>
      <c r="E6" s="157">
        <f>股权价值增加表!E31/股权价值增加表!E4</f>
        <v>3.5940497379021073E-2</v>
      </c>
      <c r="F6" s="157">
        <f>股权价值增加表!F31/股权价值增加表!F4</f>
        <v>0.10509950878982094</v>
      </c>
      <c r="G6" s="157">
        <f>股权价值增加表!G31/股权价值增加表!G4</f>
        <v>0.10464708278581289</v>
      </c>
      <c r="H6" s="157">
        <f>股权价值增加表!H31/股权价值增加表!H4</f>
        <v>0.11905728243381683</v>
      </c>
      <c r="I6" s="157">
        <f>股权价值增加表!I31/股权价值增加表!I4</f>
        <v>7.2455136132914905E-2</v>
      </c>
      <c r="J6" s="157">
        <f>股权价值增加表!J31/股权价值增加表!J4</f>
        <v>6.6289613659967717E-2</v>
      </c>
      <c r="K6" s="157">
        <f>股权价值增加表!K31/股权价值增加表!K4</f>
        <v>7.6256119804859232E-2</v>
      </c>
      <c r="L6" s="157">
        <f>股权价值增加表!L31/股权价值增加表!L4</f>
        <v>6.9261505233012347E-2</v>
      </c>
      <c r="M6" s="157">
        <f>股权价值增加表!M31/股权价值增加表!M4</f>
        <v>6.8349487446913215E-2</v>
      </c>
      <c r="N6" s="157">
        <f>股权价值增加表!N31/股权价值增加表!N4</f>
        <v>5.1716190517515068E-2</v>
      </c>
      <c r="O6" s="157">
        <f>股权价值增加表!O31/股权价值增加表!O4</f>
        <v>6.0622125400872306E-2</v>
      </c>
      <c r="P6" s="157">
        <f>股权价值增加表!P31/股权价值增加表!P4</f>
        <v>7.2855326943359708E-2</v>
      </c>
      <c r="Q6" s="157">
        <f>股权价值增加表!Q31/股权价值增加表!Q4</f>
        <v>9.845202258534283E-2</v>
      </c>
      <c r="R6" s="157">
        <f>股权价值增加表!R31/股权价值增加表!R4</f>
        <v>8.8669858788103295E-2</v>
      </c>
      <c r="S6" s="157">
        <f>股权价值增加表!S31/股权价值增加表!S4</f>
        <v>8.3223116123336521E-2</v>
      </c>
      <c r="T6" s="157">
        <f>股权价值增加表!T31/股权价值增加表!T4</f>
        <v>7.5743178979588932E-2</v>
      </c>
      <c r="U6" s="157">
        <f>股权价值增加表!U31/股权价值增加表!U4</f>
        <v>9.4211155396463533E-2</v>
      </c>
      <c r="V6" s="157">
        <f>股权价值增加表!V31/股权价值增加表!V4</f>
        <v>9.6769341283045221E-2</v>
      </c>
      <c r="W6" s="157">
        <f>股权价值增加表!W31/股权价值增加表!W4</f>
        <v>4.1718149972230327E-2</v>
      </c>
      <c r="X6" s="157">
        <f>股权价值增加表!X31/股权价值增加表!X4</f>
        <v>1.8798145615114756E-2</v>
      </c>
      <c r="Y6" s="157">
        <f>股权价值增加表!Y31/股权价值增加表!Y4</f>
        <v>7.4206309839310342E-2</v>
      </c>
      <c r="Z6" s="157">
        <f>股权价值增加表!Z31/股权价值增加表!Z4</f>
        <v>8.0101947326666589E-2</v>
      </c>
      <c r="AA6" s="157">
        <f>股权价值增加表!AA31/股权价值增加表!AA4</f>
        <v>5.1427188732703334E-2</v>
      </c>
      <c r="AB6" s="157">
        <f>股权价值增加表!AB31/股权价值增加表!AB4</f>
        <v>1.7875863114977929E-2</v>
      </c>
      <c r="AC6" s="157">
        <f>股权价值增加表!AC31/股权价值增加表!AC4</f>
        <v>0.10165283884760785</v>
      </c>
      <c r="AD6" s="157">
        <f>股权价值增加表!AD31/股权价值增加表!AD4</f>
        <v>5.942351432797631E-2</v>
      </c>
      <c r="AE6" s="157">
        <f>股权价值增加表!AE31/股权价值增加表!AE4</f>
        <v>6.0264076795533472E-2</v>
      </c>
      <c r="AF6" s="157">
        <f>股权价值增加表!AF31/股权价值增加表!AF4</f>
        <v>3.490573675158002E-2</v>
      </c>
      <c r="AG6" s="157">
        <f>股权价值增加表!AG31/股权价值增加表!AG4</f>
        <v>8.6052096205337519E-2</v>
      </c>
      <c r="AH6" s="157">
        <f>股权价值增加表!AH31/股权价值增加表!AH4</f>
        <v>0.11325768591878098</v>
      </c>
      <c r="AI6" s="157">
        <f>股权价值增加表!AI31/股权价值增加表!AI4</f>
        <v>0.10509664916974923</v>
      </c>
      <c r="AJ6" s="157">
        <f>股权价值增加表!AJ31/股权价值增加表!AJ4</f>
        <v>6.5527385821012238E-2</v>
      </c>
      <c r="AK6" s="157">
        <f>股权价值增加表!AK31/股权价值增加表!AK4</f>
        <v>-0.1004079415090009</v>
      </c>
      <c r="AL6" s="157">
        <f>股权价值增加表!AL31/股权价值增加表!AL4</f>
        <v>-7.7069223610202714E-2</v>
      </c>
      <c r="AM6" s="157">
        <f>股权价值增加表!AM31/股权价值增加表!AM4</f>
        <v>-0.16157295417513132</v>
      </c>
      <c r="AN6" s="157">
        <f>股权价值增加表!AN31/股权价值增加表!AN4</f>
        <v>-0.25523133411826976</v>
      </c>
      <c r="AO6" s="157">
        <f>股权价值增加表!AO31/股权价值增加表!AO4</f>
        <v>-1.1254805126867901E-2</v>
      </c>
      <c r="AP6" s="157">
        <f>股权价值增加表!AP31/股权价值增加表!AP4</f>
        <v>4.0177920128262684E-2</v>
      </c>
      <c r="AQ6" s="157">
        <f>股权价值增加表!AQ31/股权价值增加表!AQ4</f>
        <v>7.7882825995105126E-2</v>
      </c>
      <c r="AR6" s="157">
        <f>股权价值增加表!AR31/股权价值增加表!AR4</f>
        <v>4.6180766188141743E-2</v>
      </c>
      <c r="AS6" s="157">
        <f>股权价值增加表!AS31/股权价值增加表!AS4</f>
        <v>6.6392101787702398E-2</v>
      </c>
      <c r="AT6" s="157">
        <f>股权价值增加表!AT31/股权价值增加表!AT4</f>
        <v>7.3663201919687879E-2</v>
      </c>
      <c r="AU6" s="157">
        <f>股权价值增加表!AU31/股权价值增加表!AU4</f>
        <v>7.945188588903232E-2</v>
      </c>
      <c r="AV6" s="157">
        <f>股权价值增加表!AV31/股权价值增加表!AV4</f>
        <v>6.3543976060216015E-2</v>
      </c>
      <c r="AW6" s="157">
        <f>股权价值增加表!AW31/股权价值增加表!AW4</f>
        <v>9.3585755343524826E-2</v>
      </c>
      <c r="AX6" s="157">
        <f>股权价值增加表!AX31/股权价值增加表!AX4</f>
        <v>0.10119515209344306</v>
      </c>
      <c r="AY6" s="157">
        <f>股权价值增加表!AY31/股权价值增加表!AY4</f>
        <v>9.1591717417287624E-2</v>
      </c>
      <c r="AZ6" s="157">
        <f>股权价值增加表!AZ31/股权价值增加表!AZ4</f>
        <v>8.0344738745755498E-2</v>
      </c>
      <c r="BA6" s="157">
        <f>股权价值增加表!BA31/股权价值增加表!BA4</f>
        <v>6.7769292700579006E-2</v>
      </c>
      <c r="BB6" s="157">
        <f>股权价值增加表!BB31/股权价值增加表!BB4</f>
        <v>7.4294846191954228E-2</v>
      </c>
      <c r="BC6" s="157">
        <f>股权价值增加表!BC31/股权价值增加表!BC4</f>
        <v>8.4990852922481736E-2</v>
      </c>
      <c r="BD6" s="157">
        <f>股权价值增加表!BD31/股权价值增加表!BD4</f>
        <v>7.735281154739064E-2</v>
      </c>
      <c r="BE6" s="157">
        <f>股权价值增加表!BE31/股权价值增加表!BE4</f>
        <v>0.10877162088779037</v>
      </c>
      <c r="BF6" s="157">
        <f>股权价值增加表!BF31/股权价值增加表!BF4</f>
        <v>0.10086065843603166</v>
      </c>
      <c r="BG6" s="157">
        <f>股权价值增加表!BG31/股权价值增加表!BG4</f>
        <v>0.11111281684373407</v>
      </c>
      <c r="BH6" s="157">
        <f>股权价值增加表!BH31/股权价值增加表!BH4</f>
        <v>0.10281010768130906</v>
      </c>
      <c r="BI6" s="157">
        <f>股权价值增加表!BI31/股权价值增加表!BI4</f>
        <v>0.11089688294450084</v>
      </c>
      <c r="BJ6" s="157">
        <f>股权价值增加表!BJ31/股权价值增加表!BJ4</f>
        <v>9.4595042298826218E-2</v>
      </c>
      <c r="BK6" s="157">
        <f>股权价值增加表!BK31/股权价值增加表!BK4</f>
        <v>0.11768549674640477</v>
      </c>
      <c r="BL6" s="157">
        <f>股权价值增加表!BL31/股权价值增加表!BL4</f>
        <v>0.15006300794443719</v>
      </c>
      <c r="BM6" s="157">
        <f>股权价值增加表!BM31/股权价值增加表!BM4</f>
        <v>-4.6957866890011489E-2</v>
      </c>
      <c r="BN6" s="157">
        <f>股权价值增加表!BN31/股权价值增加表!BN4</f>
        <v>6.1955699368879701E-2</v>
      </c>
      <c r="BO6" s="157">
        <f>股权价值增加表!BO31/股权价值增加表!BO4</f>
        <v>0.12993304837422084</v>
      </c>
      <c r="BP6" s="157">
        <f>股权价值增加表!BP31/股权价值增加表!BP4</f>
        <v>0.15141727260224563</v>
      </c>
      <c r="BQ6" s="157">
        <f>股权价值增加表!BQ31/股权价值增加表!BQ4</f>
        <v>7.0997789672519768E-2</v>
      </c>
      <c r="BR6" s="157">
        <f>股权价值增加表!BR31/股权价值增加表!BR4</f>
        <v>0.15341841217965552</v>
      </c>
      <c r="BS6" s="157">
        <f>股权价值增加表!BS31/股权价值增加表!BS4</f>
        <v>0.13059306922513539</v>
      </c>
      <c r="BT6" s="157">
        <f>股权价值增加表!BT31/股权价值增加表!BT4</f>
        <v>0.13456656697643379</v>
      </c>
      <c r="BU6" s="157">
        <f>股权价值增加表!BU31/股权价值增加表!BU4</f>
        <v>0.1044336954818877</v>
      </c>
      <c r="BV6" s="157">
        <f>股权价值增加表!BV31/股权价值增加表!BV4</f>
        <v>9.7745959661204515E-2</v>
      </c>
      <c r="BW6" s="157">
        <f>股权价值增加表!BW31/股权价值增加表!BW4</f>
        <v>0.17790336464722228</v>
      </c>
      <c r="BX6" s="157">
        <f>股权价值增加表!BX31/股权价值增加表!BX4</f>
        <v>0.17591491546221866</v>
      </c>
      <c r="BY6" s="157">
        <f>股权价值增加表!BY31/股权价值增加表!BY4</f>
        <v>0.210990263104159</v>
      </c>
      <c r="BZ6" s="157">
        <f>股权价值增加表!BZ31/股权价值增加表!BZ4</f>
        <v>1.0040702861888551</v>
      </c>
      <c r="CA6" s="157">
        <f>股权价值增加表!CA31/股权价值增加表!CA4</f>
        <v>0.11550946782144082</v>
      </c>
      <c r="CB6" s="157">
        <f>股权价值增加表!CB31/股权价值增加表!CB4</f>
        <v>1.0280030604437644</v>
      </c>
      <c r="CC6" s="157">
        <f>股权价值增加表!CC31/股权价值增加表!CC4</f>
        <v>0.24946869404836275</v>
      </c>
      <c r="CD6" s="157">
        <f>股权价值增加表!CD31/股权价值增加表!CD4</f>
        <v>1</v>
      </c>
      <c r="CE6" s="157">
        <f>股权价值增加表!CE31/股权价值增加表!CE4</f>
        <v>0.22962904078234003</v>
      </c>
      <c r="CF6" s="157">
        <f>股权价值增加表!CF31/股权价值增加表!CF4</f>
        <v>0.19348211186710063</v>
      </c>
      <c r="CG6" s="157">
        <f>股权价值增加表!CG31/股权价值增加表!CG4</f>
        <v>0.28654301129560439</v>
      </c>
      <c r="CH6" s="157">
        <f>股权价值增加表!CH31/股权价值增加表!CH4</f>
        <v>0.26022377551622666</v>
      </c>
      <c r="CI6" s="157" t="e">
        <f>股权价值增加表!CI31/股权价值增加表!CI4</f>
        <v>#DIV/0!</v>
      </c>
      <c r="CJ6" s="157" t="e">
        <f>股权价值增加表!CJ31/股权价值增加表!CJ4</f>
        <v>#DIV/0!</v>
      </c>
    </row>
    <row r="7" spans="1:89" s="61" customFormat="1">
      <c r="A7" s="242" t="s">
        <v>431</v>
      </c>
      <c r="E7" s="61">
        <f>股权价值增加表!E4/资产资本表!E70</f>
        <v>0.64728785419193924</v>
      </c>
      <c r="F7" s="61">
        <f>股权价值增加表!F4/资产资本表!F70</f>
        <v>0.50563828214050444</v>
      </c>
      <c r="G7" s="61">
        <f>股权价值增加表!G4/资产资本表!G70</f>
        <v>0.32340024705481502</v>
      </c>
      <c r="H7" s="61">
        <f>股权价值增加表!H4/资产资本表!H70</f>
        <v>0.16296104088632615</v>
      </c>
      <c r="I7" s="61">
        <f>股权价值增加表!I4/资产资本表!I70</f>
        <v>0.69132390639793673</v>
      </c>
      <c r="J7" s="61">
        <f>股权价值增加表!J4/资产资本表!J70</f>
        <v>0.48971013373256927</v>
      </c>
      <c r="K7" s="61">
        <f>股权价值增加表!K4/资产资本表!K70</f>
        <v>0.31453481188760313</v>
      </c>
      <c r="L7" s="61">
        <f>股权价值增加表!L4/资产资本表!L70</f>
        <v>0.15268652293494597</v>
      </c>
      <c r="M7" s="61">
        <f>股权价值增加表!M4/资产资本表!M70</f>
        <v>0.66582432441708361</v>
      </c>
      <c r="N7" s="61">
        <f>股权价值增加表!N4/资产资本表!N70</f>
        <v>0.61486727789640372</v>
      </c>
      <c r="O7" s="61">
        <f>股权价值增加表!O4/资产资本表!O70</f>
        <v>0.3719754716748247</v>
      </c>
      <c r="P7" s="61">
        <f>股权价值增加表!P4/资产资本表!P70</f>
        <v>0.1909124522757967</v>
      </c>
      <c r="Q7" s="61">
        <f>股权价值增加表!Q4/资产资本表!Q70</f>
        <v>0.79917953543950515</v>
      </c>
      <c r="R7" s="61">
        <f>股权价值增加表!R4/资产资本表!R70</f>
        <v>0.46294809495616024</v>
      </c>
      <c r="S7" s="61">
        <f>股权价值增加表!S4/资产资本表!S70</f>
        <v>0.42669140127135785</v>
      </c>
      <c r="T7" s="61">
        <f>股权价值增加表!T4/资产资本表!T70</f>
        <v>0.19372554896238872</v>
      </c>
      <c r="U7" s="61">
        <f>股权价值增加表!U4/资产资本表!U70</f>
        <v>0.74110590267543952</v>
      </c>
      <c r="V7" s="61">
        <f>股权价值增加表!V4/资产资本表!V70</f>
        <v>0.55168061458975581</v>
      </c>
      <c r="W7" s="61">
        <f>股权价值增加表!W4/资产资本表!W70</f>
        <v>0.36544609335127087</v>
      </c>
      <c r="X7" s="61">
        <f>股权价值增加表!X4/资产资本表!X70</f>
        <v>0.16308110710627913</v>
      </c>
      <c r="Y7" s="61">
        <f>股权价值增加表!Y4/资产资本表!Y70</f>
        <v>0.678024374582615</v>
      </c>
      <c r="Z7" s="61">
        <f>股权价值增加表!Z4/资产资本表!Z70</f>
        <v>0.49385302551418803</v>
      </c>
      <c r="AA7" s="61">
        <f>股权价值增加表!AA4/资产资本表!AA70</f>
        <v>0.33402964615059083</v>
      </c>
      <c r="AB7" s="61">
        <f>股权价值增加表!AB4/资产资本表!AB70</f>
        <v>0.14992185407309427</v>
      </c>
      <c r="AC7" s="61">
        <f>股权价值增加表!AC4/资产资本表!AC70</f>
        <v>0.69177503796841389</v>
      </c>
      <c r="AD7" s="61">
        <f>股权价值增加表!AD4/资产资本表!AD70</f>
        <v>0.50882161671491999</v>
      </c>
      <c r="AE7" s="61">
        <f>股权价值增加表!AE4/资产资本表!AE70</f>
        <v>0.30541995055455534</v>
      </c>
      <c r="AF7" s="61">
        <f>股权价值增加表!AF4/资产资本表!AF70</f>
        <v>0.15342852308131269</v>
      </c>
      <c r="AG7" s="61">
        <f>股权价值增加表!AG4/资产资本表!AG70</f>
        <v>0.54096203647335783</v>
      </c>
      <c r="AH7" s="61">
        <f>股权价值增加表!AH4/资产资本表!AH70</f>
        <v>0.35312701053366946</v>
      </c>
      <c r="AI7" s="61">
        <f>股权价值增加表!AI4/资产资本表!AI70</f>
        <v>0.22086983147515304</v>
      </c>
      <c r="AJ7" s="61">
        <f>股权价值增加表!AJ4/资产资本表!AJ70</f>
        <v>0.10513438120477567</v>
      </c>
      <c r="AK7" s="61">
        <f>股权价值增加表!AK4/资产资本表!AK70</f>
        <v>0.38691711022170155</v>
      </c>
      <c r="AL7" s="61">
        <f>股权价值增加表!AL4/资产资本表!AL70</f>
        <v>0.32616441510646305</v>
      </c>
      <c r="AM7" s="61">
        <f>股权价值增加表!AM4/资产资本表!AM70</f>
        <v>0.18369183582928347</v>
      </c>
      <c r="AN7" s="61">
        <f>股权价值增加表!AN4/资产资本表!AN70</f>
        <v>7.8360396899184032E-2</v>
      </c>
      <c r="AO7" s="61">
        <f>股权价值增加表!AO4/资产资本表!AO70</f>
        <v>0.32194895712008026</v>
      </c>
      <c r="AP7" s="61">
        <f>股权价值增加表!AP4/资产资本表!AP70</f>
        <v>0.23366604621554213</v>
      </c>
      <c r="AQ7" s="61">
        <f>股权价值增加表!AQ4/资产资本表!AQ70</f>
        <v>0.1533736155784827</v>
      </c>
      <c r="AR7" s="61">
        <f>股权价值增加表!AR4/资产资本表!AR70</f>
        <v>7.7186690219948867E-2</v>
      </c>
      <c r="AS7" s="61">
        <f>股权价值增加表!AS4/资产资本表!AS70</f>
        <v>0.41590096874922344</v>
      </c>
      <c r="AT7" s="61">
        <f>股权价值增加表!AT4/资产资本表!AT70</f>
        <v>0.29980243460109757</v>
      </c>
      <c r="AU7" s="61">
        <f>股权价值增加表!AU4/资产资本表!AU70</f>
        <v>0.23601568457071254</v>
      </c>
      <c r="AV7" s="61">
        <f>股权价值增加表!AV4/资产资本表!AV70</f>
        <v>0.20787077304426729</v>
      </c>
      <c r="AW7" s="61">
        <f>股权价值增加表!AW4/资产资本表!AW70</f>
        <v>1.2137910356833377</v>
      </c>
      <c r="AX7" s="61">
        <f>股权价值增加表!AX4/资产资本表!AX70</f>
        <v>0.81297269963442198</v>
      </c>
      <c r="AY7" s="61">
        <f>股权价值增加表!AY4/资产资本表!AY70</f>
        <v>0.51379107422381098</v>
      </c>
      <c r="AZ7" s="61">
        <f>股权价值增加表!AZ4/资产资本表!AZ70</f>
        <v>0.21286476758069459</v>
      </c>
      <c r="BA7" s="61">
        <f>股权价值增加表!BA4/资产资本表!BA70</f>
        <v>0.98395679604405972</v>
      </c>
      <c r="BB7" s="61">
        <f>股权价值增加表!BB4/资产资本表!BB70</f>
        <v>0.63722003943825678</v>
      </c>
      <c r="BC7" s="61">
        <f>股权价值增加表!BC4/资产资本表!BC70</f>
        <v>0.43528740324452658</v>
      </c>
      <c r="BD7" s="61">
        <f>股权价值增加表!BD4/资产资本表!BD70</f>
        <v>0.19358054254592336</v>
      </c>
      <c r="BE7" s="61">
        <f>股权价值增加表!BE4/资产资本表!BE70</f>
        <v>0.86208567522915314</v>
      </c>
      <c r="BF7" s="61">
        <f>股权价值增加表!BF4/资产资本表!BF70</f>
        <v>0.57435387879843447</v>
      </c>
      <c r="BG7" s="61">
        <f>股权价值增加表!BG4/资产资本表!BG70</f>
        <v>0.38852166909196362</v>
      </c>
      <c r="BH7" s="61">
        <f>股权价值增加表!BH4/资产资本表!BH70</f>
        <v>0.15958411873690609</v>
      </c>
      <c r="BI7" s="61">
        <f>股权价值增加表!BI4/资产资本表!BI70</f>
        <v>0.61768040514454203</v>
      </c>
      <c r="BJ7" s="61">
        <f>股权价值增加表!BJ4/资产资本表!BJ70</f>
        <v>0.44939971861273525</v>
      </c>
      <c r="BK7" s="61">
        <f>股权价值增加表!BK4/资产资本表!BK70</f>
        <v>0.25908011648281959</v>
      </c>
      <c r="BL7" s="61">
        <f>股权价值增加表!BL4/资产资本表!BL70</f>
        <v>0.11077052465794424</v>
      </c>
      <c r="BM7" s="61">
        <f>股权价值增加表!BM4/资产资本表!BM70</f>
        <v>0.34463422912180514</v>
      </c>
      <c r="BN7" s="61">
        <f>股权价值增加表!BN4/资产资本表!BN70</f>
        <v>0.24765394390928314</v>
      </c>
      <c r="BO7" s="61">
        <f>股权价值增加表!BO4/资产资本表!BO70</f>
        <v>0.16540544527380951</v>
      </c>
      <c r="BP7" s="61">
        <f>股权价值增加表!BP4/资产资本表!BP70</f>
        <v>7.5547090204903633E-2</v>
      </c>
      <c r="BQ7" s="61">
        <f>股权价值增加表!BQ4/资产资本表!BQ70</f>
        <v>0.34165005534211929</v>
      </c>
      <c r="BR7" s="61">
        <f>股权价值增加表!BR4/资产资本表!BR70</f>
        <v>0.17523633300046462</v>
      </c>
      <c r="BS7" s="61">
        <f>股权价值增加表!BS4/资产资本表!BS70</f>
        <v>0.59054888434347219</v>
      </c>
      <c r="BT7" s="61">
        <f>股权价值增加表!BT4/资产资本表!BT70</f>
        <v>0.29672107142916121</v>
      </c>
      <c r="BU7" s="61">
        <f>股权价值增加表!BU4/资产资本表!BU70</f>
        <v>0.54371554772419817</v>
      </c>
      <c r="BV7" s="61">
        <f>股权价值增加表!BV4/资产资本表!BV70</f>
        <v>0.25472931709488383</v>
      </c>
      <c r="BW7" s="61">
        <f>股权价值增加表!BW4/资产资本表!BW70</f>
        <v>0.38024442938224862</v>
      </c>
      <c r="BX7" s="61">
        <f>股权价值增加表!BX4/资产资本表!BX70</f>
        <v>0.19621822555545212</v>
      </c>
      <c r="BY7" s="61">
        <f>股权价值增加表!BY4/资产资本表!BY70</f>
        <v>0.56944512808607428</v>
      </c>
      <c r="BZ7" s="61">
        <f>股权价值增加表!BZ4/资产资本表!BZ70</f>
        <v>0.84469525073874097</v>
      </c>
      <c r="CA7" s="61">
        <f>股权价值增加表!CA4/资产资本表!CA70</f>
        <v>0.42877674035757402</v>
      </c>
      <c r="CB7" s="61">
        <f>股权价值增加表!CB4/资产资本表!CB70</f>
        <v>0.52001273175777829</v>
      </c>
      <c r="CC7" s="61">
        <f>股权价值增加表!CC4/资产资本表!CC70</f>
        <v>0.63174299930219957</v>
      </c>
      <c r="CD7" s="61">
        <f>股权价值增加表!CD4/资产资本表!CD70</f>
        <v>0.56665111214807906</v>
      </c>
      <c r="CE7" s="61">
        <f>股权价值增加表!CE4/资产资本表!CE70</f>
        <v>0.78570165057957708</v>
      </c>
      <c r="CF7" s="61">
        <f>股权价值增加表!CF4/资产资本表!CF70</f>
        <v>0.48872579863039467</v>
      </c>
      <c r="CG7" s="61">
        <f>股权价值增加表!CG4/资产资本表!CG70</f>
        <v>3.0559385453002474</v>
      </c>
      <c r="CH7" s="61">
        <f>股权价值增加表!CH4/资产资本表!CH70</f>
        <v>1.6526853820792446</v>
      </c>
      <c r="CI7" s="61" t="e">
        <f>股权价值增加表!CI4/资产资本表!CI70</f>
        <v>#DIV/0!</v>
      </c>
      <c r="CJ7" s="61" t="e">
        <f>股权价值增加表!CJ4/资产资本表!CJ70</f>
        <v>#DIV/0!</v>
      </c>
    </row>
    <row r="8" spans="1:89" s="63" customFormat="1">
      <c r="A8" s="20" t="s">
        <v>438</v>
      </c>
      <c r="E8" s="63">
        <f>股权价值增加表!E31/资产资本表!E70</f>
        <v>2.3263847427057567E-2</v>
      </c>
      <c r="F8" s="63">
        <f>股权价值增加表!F31/资产资本表!F70</f>
        <v>5.3142335078295903E-2</v>
      </c>
      <c r="G8" s="63">
        <f>股权价值增加表!G31/资产资本表!G70</f>
        <v>3.3842892426497573E-2</v>
      </c>
      <c r="H8" s="63">
        <f>股权价值增加表!H31/资产资本表!H70</f>
        <v>1.9401698670512106E-2</v>
      </c>
      <c r="I8" s="63">
        <f>股权价值增加表!I31/资产资本表!I70</f>
        <v>5.0089967750001026E-2</v>
      </c>
      <c r="J8" s="63">
        <f>股权价值增加表!J31/资产资本表!J70</f>
        <v>3.2462695570503144E-2</v>
      </c>
      <c r="K8" s="63">
        <f>股权价值增加表!K31/资产资本表!K70</f>
        <v>2.398520429809993E-2</v>
      </c>
      <c r="L8" s="63">
        <f>股权价值增加表!L31/资产资本表!L70</f>
        <v>1.057529840726922E-2</v>
      </c>
      <c r="M8" s="63">
        <f>股权价值增加表!M31/资产资本表!M70</f>
        <v>4.5508751303594927E-2</v>
      </c>
      <c r="N8" s="63">
        <f>股权价值增加表!N31/资产资本表!N70</f>
        <v>3.1798593286676294E-2</v>
      </c>
      <c r="O8" s="63">
        <f>股权价值增加表!O31/资产资本表!O70</f>
        <v>2.2549943689919846E-2</v>
      </c>
      <c r="P8" s="63">
        <f>股权价值增加表!P31/资产资本表!P70</f>
        <v>1.3908989128111724E-2</v>
      </c>
      <c r="Q8" s="63">
        <f>股权价值增加表!Q31/资产资本表!Q70</f>
        <v>7.8680841672833957E-2</v>
      </c>
      <c r="R8" s="63">
        <f>股权价值增加表!R31/资产资本表!R70</f>
        <v>4.1049542205984162E-2</v>
      </c>
      <c r="S8" s="63">
        <f>股权价值增加表!S31/资产资本表!S70</f>
        <v>3.5510588036835392E-2</v>
      </c>
      <c r="T8" s="63">
        <f>股权价值增加表!T31/资产资本表!T70</f>
        <v>1.4673388927977328E-2</v>
      </c>
      <c r="U8" s="63">
        <f>股权价值增加表!U31/资产资本表!U70</f>
        <v>6.9820443362192203E-2</v>
      </c>
      <c r="V8" s="63">
        <f>股权价值增加表!V31/资产资本表!V70</f>
        <v>5.3385769672476213E-2</v>
      </c>
      <c r="W8" s="63">
        <f>股权价值增加表!W31/资产资本表!W70</f>
        <v>1.5245734929194002E-2</v>
      </c>
      <c r="X8" s="63">
        <f>股权价值增加表!X31/资产资本表!X70</f>
        <v>3.0656223984579611E-3</v>
      </c>
      <c r="Y8" s="63">
        <f>股权价值增加表!Y31/资产资本表!Y70</f>
        <v>5.0313686818882146E-2</v>
      </c>
      <c r="Z8" s="63">
        <f>股权价值增加表!Z31/资产资本表!Z70</f>
        <v>3.9558589036852422E-2</v>
      </c>
      <c r="AA8" s="63">
        <f>股权价值增加表!AA31/资产资本表!AA70</f>
        <v>1.7178205654904546E-2</v>
      </c>
      <c r="AB8" s="63">
        <f>股权价值增加表!AB31/资产资本表!AB70</f>
        <v>2.6799825413543294E-3</v>
      </c>
      <c r="AC8" s="63">
        <f>股权价值增加表!AC31/资产资本表!AC70</f>
        <v>7.0320896453400977E-2</v>
      </c>
      <c r="AD8" s="63">
        <f>股权价值增加表!AD31/资产资本表!AD70</f>
        <v>3.0235968631243122E-2</v>
      </c>
      <c r="AE8" s="63">
        <f>股权价值增加表!AE31/资产资本表!AE70</f>
        <v>1.840585135510776E-2</v>
      </c>
      <c r="AF8" s="63">
        <f>股权价值增加表!AF31/资产资本表!AF70</f>
        <v>5.3555356368600203E-3</v>
      </c>
      <c r="AG8" s="63">
        <f>股权价值增加表!AG31/资产资本表!AG70</f>
        <v>4.6550917206040696E-2</v>
      </c>
      <c r="AH8" s="63">
        <f>股权价值增加表!AH31/资产资本表!AH70</f>
        <v>3.9994348048460394E-2</v>
      </c>
      <c r="AI8" s="63">
        <f>股权价值增加表!AI31/资产资本表!AI70</f>
        <v>2.3212679190725793E-2</v>
      </c>
      <c r="AJ8" s="63">
        <f>股权价值增加表!AJ31/资产资本表!AJ70</f>
        <v>6.8891811602587128E-3</v>
      </c>
      <c r="AK8" s="63">
        <f>股权价值增加表!AK31/资产资本表!AK70</f>
        <v>-3.8849550571972258E-2</v>
      </c>
      <c r="AL8" s="63">
        <f>股权价值增加表!AL31/资产资本表!AL70</f>
        <v>-2.5137238241530982E-2</v>
      </c>
      <c r="AM8" s="63">
        <f>股权价值增加表!AM31/资产资本表!AM70</f>
        <v>-2.9679632572790566E-2</v>
      </c>
      <c r="AN8" s="63">
        <f>股权价值增加表!AN31/资产资本表!AN70</f>
        <v>-2.0000028642615873E-2</v>
      </c>
      <c r="AO8" s="63">
        <f>股权价值增加表!AO31/资产资本表!AO70</f>
        <v>-3.6234727731848529E-3</v>
      </c>
      <c r="AP8" s="63">
        <f>股权价值增加表!AP31/资产资本表!AP70</f>
        <v>9.388215741534988E-3</v>
      </c>
      <c r="AQ8" s="63">
        <f>股权价值增加表!AQ31/资产资本表!AQ70</f>
        <v>1.1945170614339111E-2</v>
      </c>
      <c r="AR8" s="63">
        <f>股权价值增加表!AR31/资产资本表!AR70</f>
        <v>3.5645404938839859E-3</v>
      </c>
      <c r="AS8" s="63">
        <f>股权价值增加表!AS31/资产资本表!AS70</f>
        <v>2.7612539450802481E-2</v>
      </c>
      <c r="AT8" s="63">
        <f>股权价值增加表!AT31/资产资本表!AT70</f>
        <v>2.2084407276034671E-2</v>
      </c>
      <c r="AU8" s="63">
        <f>股权价值增加表!AU31/资产资本表!AU70</f>
        <v>1.8751891238534098E-2</v>
      </c>
      <c r="AV8" s="63">
        <f>股权价值增加表!AV31/资产资本表!AV70</f>
        <v>1.3208935425943518E-2</v>
      </c>
      <c r="AW8" s="63">
        <f>股权价值增加表!AW31/资产资本表!AW70</f>
        <v>0.11359355090362447</v>
      </c>
      <c r="AX8" s="63">
        <f>股权价值增加表!AX31/资产资本表!AX70</f>
        <v>8.226889598732233E-2</v>
      </c>
      <c r="AY8" s="63">
        <f>股权价值增加表!AY31/资产资本表!AY70</f>
        <v>4.7059006881831948E-2</v>
      </c>
      <c r="AZ8" s="63">
        <f>股权价值增加表!AZ31/资产资本表!AZ70</f>
        <v>1.7102564139446871E-2</v>
      </c>
      <c r="BA8" s="63">
        <f>股权价值增加表!BA31/资产资本表!BA70</f>
        <v>6.6682056115833804E-2</v>
      </c>
      <c r="BB8" s="63">
        <f>股权价值增加表!BB31/资产资本表!BB70</f>
        <v>4.7342164820496295E-2</v>
      </c>
      <c r="BC8" s="63">
        <f>股权价值增加表!BC31/资产资本表!BC70</f>
        <v>3.6995447668164559E-2</v>
      </c>
      <c r="BD8" s="63">
        <f>股权价值增加表!BD31/资产资本表!BD70</f>
        <v>1.4973999226796444E-2</v>
      </c>
      <c r="BE8" s="63">
        <f>股权价值增加表!BE31/资产资本表!BE70</f>
        <v>9.3770456238820216E-2</v>
      </c>
      <c r="BF8" s="63">
        <f>股权价值增加表!BF31/资产资本表!BF70</f>
        <v>5.792971039089883E-2</v>
      </c>
      <c r="BG8" s="63">
        <f>股权价值增加表!BG31/资产资本表!BG70</f>
        <v>4.3169737057637214E-2</v>
      </c>
      <c r="BH8" s="63">
        <f>股权价值增加表!BH31/资产资本表!BH70</f>
        <v>1.6406860431568127E-2</v>
      </c>
      <c r="BI8" s="63">
        <f>股权价值增加表!BI31/资产资本表!BI70</f>
        <v>6.8498831586426126E-2</v>
      </c>
      <c r="BJ8" s="63">
        <f>股权价值增加表!BJ31/资产资本表!BJ70</f>
        <v>4.2510985391252289E-2</v>
      </c>
      <c r="BK8" s="63">
        <f>股权价值增加表!BK31/资产资本表!BK70</f>
        <v>3.048997220539703E-2</v>
      </c>
      <c r="BL8" s="63">
        <f>股权价值增加表!BL31/资产资本表!BL70</f>
        <v>1.662255812175456E-2</v>
      </c>
      <c r="BM8" s="63">
        <f>股权价值增加表!BM31/资产资本表!BM70</f>
        <v>-1.6183288256843446E-2</v>
      </c>
      <c r="BN8" s="63">
        <f>股权价值增加表!BN31/资产资本表!BN70</f>
        <v>1.5343573296360944E-2</v>
      </c>
      <c r="BO8" s="63">
        <f>股权价值增加表!BO31/资产资本表!BO70</f>
        <v>2.1491633722121432E-2</v>
      </c>
      <c r="BP8" s="63">
        <f>股权价值增加表!BP31/资产资本表!BP70</f>
        <v>1.1439134351862335E-2</v>
      </c>
      <c r="BQ8" s="63">
        <f>股权价值增加表!BQ31/资产资本表!BQ70</f>
        <v>2.4256398770784525E-2</v>
      </c>
      <c r="BR8" s="63">
        <f>股权价值增加表!BR31/资产资本表!BR70</f>
        <v>2.6884479965116653E-2</v>
      </c>
      <c r="BS8" s="63">
        <f>股权价值增加表!BS31/资产资本表!BS70</f>
        <v>7.7121591333893541E-2</v>
      </c>
      <c r="BT8" s="63">
        <f>股权价值增加表!BT31/资产资本表!BT70</f>
        <v>3.9928735931791415E-2</v>
      </c>
      <c r="BU8" s="63">
        <f>股权价值增加表!BU31/资产资本表!BU70</f>
        <v>5.6782223939796685E-2</v>
      </c>
      <c r="BV8" s="63">
        <f>股权价值增加表!BV31/资产资本表!BV70</f>
        <v>2.4898761553282689E-2</v>
      </c>
      <c r="BW8" s="63">
        <f>股权价值增加表!BW31/资产资本表!BW70</f>
        <v>6.7646763375465144E-2</v>
      </c>
      <c r="BX8" s="63">
        <f>股权价值增加表!BX31/资产资本表!BX70</f>
        <v>3.4517712560733917E-2</v>
      </c>
      <c r="BY8" s="63">
        <f>股权价值增加表!BY31/资产资本表!BY70</f>
        <v>0.12014737739826234</v>
      </c>
      <c r="BZ8" s="63">
        <f>股权价值增加表!BZ31/资产资本表!BZ70</f>
        <v>0.84813340215161437</v>
      </c>
      <c r="CA8" s="63">
        <f>股权价值增加表!CA31/资产资本表!CA70</f>
        <v>4.9527773092915485E-2</v>
      </c>
      <c r="CB8" s="63">
        <f>股权价值增加表!CB31/资产资本表!CB70</f>
        <v>0.53457467971671835</v>
      </c>
      <c r="CC8" s="63">
        <f>股权价值增加表!CC31/资产资本表!CC70</f>
        <v>0.15760010101011546</v>
      </c>
      <c r="CD8" s="63">
        <f>股权价值增加表!CD31/资产资本表!CD70</f>
        <v>0.56665111214807906</v>
      </c>
      <c r="CE8" s="63">
        <f>股权价值增加表!CE31/资产资本表!CE70</f>
        <v>0.18041991636368959</v>
      </c>
      <c r="CF8" s="63">
        <f>股权价值增加表!CF31/资产资本表!CF70</f>
        <v>9.4559699642944126E-2</v>
      </c>
      <c r="CG8" s="63">
        <f>股权价值增加表!CG31/资产资本表!CG70</f>
        <v>0.87565783310464163</v>
      </c>
      <c r="CH8" s="63">
        <f>股权价值增加表!CH31/资产资本表!CH70</f>
        <v>0.43006802986513865</v>
      </c>
      <c r="CI8" s="63" t="e">
        <f>股权价值增加表!CI31/资产资本表!CI70</f>
        <v>#DIV/0!</v>
      </c>
      <c r="CJ8" s="63" t="e">
        <f>股权价值增加表!CJ31/资产资本表!CJ70</f>
        <v>#DIV/0!</v>
      </c>
    </row>
    <row r="9" spans="1:89" s="157" customFormat="1">
      <c r="A9" s="157" t="s">
        <v>432</v>
      </c>
      <c r="E9" s="157">
        <f>股权价值增加表!E38/股权价值增加表!E31</f>
        <v>0.48928889453436253</v>
      </c>
      <c r="F9" s="157">
        <f>股权价值增加表!F38/股权价值增加表!F31</f>
        <v>0.83768086749552584</v>
      </c>
      <c r="G9" s="157">
        <f>股权价值增加表!G38/股权价值增加表!G31</f>
        <v>0.8308893801002728</v>
      </c>
      <c r="H9" s="157">
        <f>股权价值增加表!H38/股权价值增加表!H31</f>
        <v>0.80642572662768286</v>
      </c>
      <c r="I9" s="157">
        <f>股权价值增加表!I38/股权价值增加表!I31</f>
        <v>1.1279597751343435</v>
      </c>
      <c r="J9" s="157">
        <f>股权价值增加表!J38/股权价值增加表!J31</f>
        <v>0.99997035897280218</v>
      </c>
      <c r="K9" s="157">
        <f>股权价值增加表!K38/股权价值增加表!K31</f>
        <v>0.98785691726475255</v>
      </c>
      <c r="L9" s="157">
        <f>股权价值增加表!L38/股权价值增加表!L31</f>
        <v>0.74418227396967651</v>
      </c>
      <c r="M9" s="157">
        <f>股权价值增加表!M38/股权价值增加表!M31</f>
        <v>0.93888283035466857</v>
      </c>
      <c r="N9" s="157">
        <f>股权价值增加表!N38/股权价值增加表!N31</f>
        <v>0.92501907666881877</v>
      </c>
      <c r="O9" s="157">
        <f>股权价值增加表!O38/股权价值增加表!O31</f>
        <v>0.85547847212221761</v>
      </c>
      <c r="P9" s="157">
        <f>股权价值增加表!P38/股权价值增加表!P31</f>
        <v>0.81435049609829124</v>
      </c>
      <c r="Q9" s="157">
        <f>股权价值增加表!Q38/股权价值增加表!Q31</f>
        <v>0.77514343490671034</v>
      </c>
      <c r="R9" s="157">
        <f>股权价值增加表!R38/股权价值增加表!R31</f>
        <v>0.76037229365695047</v>
      </c>
      <c r="S9" s="157">
        <f>股权价值增加表!S38/股权价值增加表!S31</f>
        <v>0.74508433534581819</v>
      </c>
      <c r="T9" s="157">
        <f>股权价值增加表!T38/股权价值增加表!T31</f>
        <v>0.69543600163319785</v>
      </c>
      <c r="U9" s="157">
        <f>股权价值增加表!U38/股权价值增加表!U31</f>
        <v>0.66440417856258915</v>
      </c>
      <c r="V9" s="157">
        <f>股权价值增加表!V38/股权价值增加表!V31</f>
        <v>0.67182890703354159</v>
      </c>
      <c r="W9" s="157">
        <f>股权价值增加表!W38/股权价值增加表!W31</f>
        <v>0.19615017500051565</v>
      </c>
      <c r="X9" s="157">
        <f>股权价值增加表!X38/股权价值增加表!X31</f>
        <v>-0.96951668194746654</v>
      </c>
      <c r="Y9" s="157">
        <f>股权价值增加表!Y38/股权价值增加表!Y31</f>
        <v>0.42868370451238674</v>
      </c>
      <c r="Z9" s="157">
        <f>股权价值增加表!Z38/股权价值增加表!Z31</f>
        <v>0.51224740441054928</v>
      </c>
      <c r="AA9" s="157">
        <f>股权价值增加表!AA38/股权价值增加表!AA31</f>
        <v>0.26273055614112462</v>
      </c>
      <c r="AB9" s="157">
        <f>股权价值增加表!AB38/股权价值增加表!AB31</f>
        <v>-1.4445705774167865</v>
      </c>
      <c r="AC9" s="157">
        <f>股权价值增加表!AC38/股权价值增加表!AC31</f>
        <v>0.70638796434342843</v>
      </c>
      <c r="AD9" s="157">
        <f>股权价值增加表!AD38/股权价值增加表!AD31</f>
        <v>0.32041554879673434</v>
      </c>
      <c r="AE9" s="157">
        <f>股权价值增加表!AE38/股权价值增加表!AE31</f>
        <v>0.54280721328001191</v>
      </c>
      <c r="AF9" s="157">
        <f>股权价值增加表!AF38/股权价值增加表!AF31</f>
        <v>-0.20554025111281932</v>
      </c>
      <c r="AG9" s="157">
        <f>股权价值增加表!AG38/股权价值增加表!AG31</f>
        <v>0.58729547705686858</v>
      </c>
      <c r="AH9" s="157">
        <f>股权价值增加表!AH38/股权价值增加表!AH31</f>
        <v>0.66694412141663062</v>
      </c>
      <c r="AI9" s="157">
        <f>股权价值增加表!AI38/股权价值增加表!AI31</f>
        <v>0.61781410267384518</v>
      </c>
      <c r="AJ9" s="157">
        <f>股权价值增加表!AJ38/股权价值增加表!AJ31</f>
        <v>0.36834562720149028</v>
      </c>
      <c r="AK9" s="157">
        <f>股权价值增加表!AK38/股权价值增加表!AK31</f>
        <v>1.6107830464160353</v>
      </c>
      <c r="AL9" s="157">
        <f>股权价值增加表!AL38/股权价值增加表!AL31</f>
        <v>1.8382255876280609</v>
      </c>
      <c r="AM9" s="157">
        <f>股权价值增加表!AM38/股权价值增加表!AM31</f>
        <v>1.4989294510174316</v>
      </c>
      <c r="AN9" s="157">
        <f>股权价值增加表!AN38/股权价值增加表!AN31</f>
        <v>1.3922345897488508</v>
      </c>
      <c r="AO9" s="157">
        <f>股权价值增加表!AO38/股权价值增加表!AO31</f>
        <v>4.5262757077352811</v>
      </c>
      <c r="AP9" s="157">
        <f>股权价值增加表!AP38/股权价值增加表!AP31</f>
        <v>0.91723766931433504</v>
      </c>
      <c r="AQ9" s="157">
        <f>股权价值增加表!AQ38/股权价值增加表!AQ31</f>
        <v>0.95059958084014862</v>
      </c>
      <c r="AR9" s="157">
        <f>股权价值增加表!AR38/股权价值增加表!AR31</f>
        <v>0.85172230565139218</v>
      </c>
      <c r="AS9" s="157">
        <f>股权价值增加表!AS38/股权价值增加表!AS31</f>
        <v>0.85874991030442183</v>
      </c>
      <c r="AT9" s="157">
        <f>股权价值增加表!AT38/股权价值增加表!AT31</f>
        <v>0.83764412466715166</v>
      </c>
      <c r="AU9" s="157">
        <f>股权价值增加表!AU38/股权价值增加表!AU31</f>
        <v>0.83330259730523004</v>
      </c>
      <c r="AV9" s="157">
        <f>股权价值增加表!AV38/股权价值增加表!AV31</f>
        <v>0.79520090840146551</v>
      </c>
      <c r="AW9" s="157">
        <f>股权价值增加表!AW38/股权价值增加表!AW31</f>
        <v>0.7439289047756481</v>
      </c>
      <c r="AX9" s="157">
        <f>股权价值增加表!AX38/股权价值增加表!AX31</f>
        <v>0.77090175746923162</v>
      </c>
      <c r="AY9" s="157">
        <f>股权价值增加表!AY38/股权价值增加表!AY31</f>
        <v>0.79234601531050852</v>
      </c>
      <c r="AZ9" s="157">
        <f>股权价值增加表!AZ38/股权价值增加表!AZ31</f>
        <v>0.71212205205979417</v>
      </c>
      <c r="BA9" s="157">
        <f>股权价值增加表!BA38/股权价值增加表!BA31</f>
        <v>0.70404563738157055</v>
      </c>
      <c r="BB9" s="157">
        <f>股权价值增加表!BB38/股权价值增加表!BB31</f>
        <v>0.67932901291710357</v>
      </c>
      <c r="BC9" s="157">
        <f>股权价值增加表!BC38/股权价值增加表!BC31</f>
        <v>0.704442742341301</v>
      </c>
      <c r="BD9" s="157">
        <f>股权价值增加表!BD38/股权价值增加表!BD31</f>
        <v>0.64308632646674402</v>
      </c>
      <c r="BE9" s="157">
        <f>股权价值增加表!BE38/股权价值增加表!BE31</f>
        <v>0.81864189691764888</v>
      </c>
      <c r="BF9" s="157">
        <f>股权价值增加表!BF38/股权价值增加表!BF31</f>
        <v>0.79109317742473995</v>
      </c>
      <c r="BG9" s="157">
        <f>股权价值增加表!BG38/股权价值增加表!BG31</f>
        <v>0.81060630020424262</v>
      </c>
      <c r="BH9" s="157">
        <f>股权价值增加表!BH38/股权价值增加表!BH31</f>
        <v>0.70814697658512993</v>
      </c>
      <c r="BI9" s="157">
        <f>股权价值增加表!BI38/股权价值增加表!BI31</f>
        <v>0.73959012912220179</v>
      </c>
      <c r="BJ9" s="157">
        <f>股权价值增加表!BJ38/股权价值增加表!BJ31</f>
        <v>0.69943300660301011</v>
      </c>
      <c r="BK9" s="157">
        <f>股权价值增加表!BK38/股权价值增加表!BK31</f>
        <v>0.72032697597750739</v>
      </c>
      <c r="BL9" s="157">
        <f>股权价值增加表!BL38/股权价值增加表!BL31</f>
        <v>0.7283706893001175</v>
      </c>
      <c r="BM9" s="157">
        <f>股权价值增加表!BM38/股权价值增加表!BM31</f>
        <v>1.8100337219672062</v>
      </c>
      <c r="BN9" s="157">
        <f>股权价值增加表!BN38/股权价值增加表!BN31</f>
        <v>0.47075685178177434</v>
      </c>
      <c r="BO9" s="157">
        <f>股权价值增加表!BO38/股权价值增加表!BO31</f>
        <v>0.83668699012076309</v>
      </c>
      <c r="BP9" s="157">
        <f>股权价值增加表!BP38/股权价值增加表!BP31</f>
        <v>0.91232260685262478</v>
      </c>
      <c r="BQ9" s="157">
        <f>股权价值增加表!BQ38/股权价值增加表!BQ31</f>
        <v>0.76657686199067765</v>
      </c>
      <c r="BR9" s="157">
        <f>股权价值增加表!BR38/股权价值增加表!BR31</f>
        <v>0.77825107436236785</v>
      </c>
      <c r="BS9" s="157">
        <f>股权价值增加表!BS38/股权价值增加表!BS31</f>
        <v>0.85917450415987229</v>
      </c>
      <c r="BT9" s="157">
        <f>股权价值增加表!BT38/股权价值增加表!BT31</f>
        <v>0.83583109092563246</v>
      </c>
      <c r="BU9" s="157">
        <f>股权价值增加表!BU38/股权价值增加表!BU31</f>
        <v>0.83693833037009169</v>
      </c>
      <c r="BV9" s="157">
        <f>股权价值增加表!BV38/股权价值增加表!BV31</f>
        <v>0.92809496614264564</v>
      </c>
      <c r="BW9" s="157">
        <f>股权价值增加表!BW38/股权价值增加表!BW31</f>
        <v>0.9462826387330372</v>
      </c>
      <c r="BX9" s="157">
        <f>股权价值增加表!BX38/股权价值增加表!BX31</f>
        <v>0.96147200150880829</v>
      </c>
      <c r="BY9" s="157">
        <f>股权价值增加表!BY38/股权价值增加表!BY31</f>
        <v>0.97951075879621219</v>
      </c>
      <c r="BZ9" s="157">
        <f>股权价值增加表!BZ38/股权价值增加表!BZ31</f>
        <v>1</v>
      </c>
      <c r="CA9" s="157">
        <f>股权价值增加表!CA38/股权价值增加表!CA31</f>
        <v>1.0302436182910029</v>
      </c>
      <c r="CB9" s="157">
        <f>股权价值增加表!CB38/股权价值增加表!CB31</f>
        <v>1</v>
      </c>
      <c r="CC9" s="157">
        <f>股权价值增加表!CC38/股权价值增加表!CC31</f>
        <v>0.78880063982027659</v>
      </c>
      <c r="CD9" s="157">
        <f>股权价值增加表!CD38/股权价值增加表!CD31</f>
        <v>1</v>
      </c>
      <c r="CE9" s="157">
        <f>股权价值增加表!CE38/股权价值增加表!CE31</f>
        <v>0.85095732279363279</v>
      </c>
      <c r="CF9" s="157">
        <f>股权价值增加表!CF38/股权价值增加表!CF31</f>
        <v>0.82193498884689109</v>
      </c>
      <c r="CG9" s="157">
        <f>股权价值增加表!CG38/股权价值增加表!CG31</f>
        <v>1</v>
      </c>
      <c r="CH9" s="157">
        <f>股权价值增加表!CH38/股权价值增加表!CH31</f>
        <v>1</v>
      </c>
      <c r="CI9" s="157" t="e">
        <f>股权价值增加表!CI38/股权价值增加表!CI31</f>
        <v>#DIV/0!</v>
      </c>
      <c r="CJ9" s="157" t="e">
        <f>股权价值增加表!CJ38/股权价值增加表!CJ31</f>
        <v>#DIV/0!</v>
      </c>
    </row>
    <row r="10" spans="1:89" s="61" customFormat="1">
      <c r="A10" s="242" t="s">
        <v>433</v>
      </c>
      <c r="E10" s="61">
        <f>资产资本表!E70/资产资本表!E107</f>
        <v>1.4955663902250393</v>
      </c>
      <c r="F10" s="61">
        <f>资产资本表!F70/资产资本表!F107</f>
        <v>1.384652726632664</v>
      </c>
      <c r="G10" s="61">
        <f>资产资本表!G70/资产资本表!G107</f>
        <v>1.349537209884667</v>
      </c>
      <c r="H10" s="61">
        <f>资产资本表!H70/资产资本表!H107</f>
        <v>1.272326511170597</v>
      </c>
      <c r="I10" s="61">
        <f>资产资本表!I70/资产资本表!I107</f>
        <v>1.128771233226973</v>
      </c>
      <c r="J10" s="61">
        <f>资产资本表!J70/资产资本表!J107</f>
        <v>1.1633540651178012</v>
      </c>
      <c r="K10" s="61">
        <f>资产资本表!K70/资产资本表!K107</f>
        <v>1.1705821642224503</v>
      </c>
      <c r="L10" s="61">
        <f>资产资本表!L70/资产资本表!L107</f>
        <v>1.2013308830210725</v>
      </c>
      <c r="M10" s="61">
        <f>资产资本表!M70/资产资本表!M107</f>
        <v>1.1937339686708197</v>
      </c>
      <c r="N10" s="61">
        <f>资产资本表!N70/资产资本表!N107</f>
        <v>1.4420868054921405</v>
      </c>
      <c r="O10" s="61">
        <f>资产资本表!O70/资产资本表!O107</f>
        <v>1.5882435160129409</v>
      </c>
      <c r="P10" s="61">
        <f>资产资本表!P70/资产资本表!P107</f>
        <v>1.4716876879153535</v>
      </c>
      <c r="Q10" s="61">
        <f>资产资本表!Q70/资产资本表!Q107</f>
        <v>1.3625464229902213</v>
      </c>
      <c r="R10" s="61">
        <f>资产资本表!R70/资产资本表!R107</f>
        <v>1.6942389674704565</v>
      </c>
      <c r="S10" s="61">
        <f>资产资本表!S70/资产资本表!S107</f>
        <v>1.7352377738072797</v>
      </c>
      <c r="T10" s="61">
        <f>资产资本表!T70/资产资本表!T107</f>
        <v>1.8249490266588435</v>
      </c>
      <c r="U10" s="61">
        <f>资产资本表!U70/资产资本表!U107</f>
        <v>1.8559540647812238</v>
      </c>
      <c r="V10" s="61">
        <f>资产资本表!V70/资产资本表!V107</f>
        <v>1.9667091852008829</v>
      </c>
      <c r="W10" s="61">
        <f>资产资本表!W70/资产资本表!W107</f>
        <v>2.0214984730093999</v>
      </c>
      <c r="X10" s="61">
        <f>资产资本表!X70/资产资本表!X107</f>
        <v>2.0918745947965602</v>
      </c>
      <c r="Y10" s="61">
        <f>资产资本表!Y70/资产资本表!Y107</f>
        <v>2.0913594137983931</v>
      </c>
      <c r="Z10" s="61">
        <f>资产资本表!Z70/资产资本表!Z107</f>
        <v>2.2032814734047896</v>
      </c>
      <c r="AA10" s="61">
        <f>资产资本表!AA70/资产资本表!AA107</f>
        <v>2.2656347188690167</v>
      </c>
      <c r="AB10" s="61">
        <f>资产资本表!AB70/资产资本表!AB107</f>
        <v>2.2557479997646492</v>
      </c>
      <c r="AC10" s="61">
        <f>资产资本表!AC70/资产资本表!AC107</f>
        <v>2.2855095753378913</v>
      </c>
      <c r="AD10" s="61">
        <f>资产资本表!AD70/资产资本表!AD107</f>
        <v>2.388665672435708</v>
      </c>
      <c r="AE10" s="61">
        <f>资产资本表!AE70/资产资本表!AE107</f>
        <v>2.5327273849921315</v>
      </c>
      <c r="AF10" s="61">
        <f>资产资本表!AF70/资产资本表!AF107</f>
        <v>2.4813781946782494</v>
      </c>
      <c r="AG10" s="61">
        <f>资产资本表!AG70/资产资本表!AG107</f>
        <v>2.5636825779282351</v>
      </c>
      <c r="AH10" s="61">
        <f>资产资本表!AH70/资产资本表!AH107</f>
        <v>2.6490457102684766</v>
      </c>
      <c r="AI10" s="61">
        <f>资产资本表!AI70/资产资本表!AI107</f>
        <v>2.7606404793456352</v>
      </c>
      <c r="AJ10" s="61">
        <f>资产资本表!AJ70/资产资本表!AJ107</f>
        <v>2.6371466281619296</v>
      </c>
      <c r="AK10" s="61">
        <f>资产资本表!AK70/资产资本表!AK107</f>
        <v>2.6975395974515646</v>
      </c>
      <c r="AL10" s="61">
        <f>资产资本表!AL70/资产资本表!AL107</f>
        <v>2.49708172692154</v>
      </c>
      <c r="AM10" s="61">
        <f>资产资本表!AM70/资产资本表!AM107</f>
        <v>2.4332355548759717</v>
      </c>
      <c r="AN10" s="61">
        <f>资产资本表!AN70/资产资本表!AN107</f>
        <v>2.1765259769388918</v>
      </c>
      <c r="AO10" s="61">
        <f>资产资本表!AO70/资产资本表!AO107</f>
        <v>2.1410008210087565</v>
      </c>
      <c r="AP10" s="61">
        <f>资产资本表!AP70/资产资本表!AP107</f>
        <v>2.0669198381743774</v>
      </c>
      <c r="AQ10" s="61">
        <f>资产资本表!AQ70/资产资本表!AQ107</f>
        <v>2.0681961845816055</v>
      </c>
      <c r="AR10" s="61">
        <f>资产资本表!AR70/资产资本表!AR107</f>
        <v>1.9902881577668794</v>
      </c>
      <c r="AS10" s="61">
        <f>资产资本表!AS70/资产资本表!AS107</f>
        <v>1.8182235891823268</v>
      </c>
      <c r="AT10" s="61">
        <f>资产资本表!AT70/资产资本表!AT107</f>
        <v>1.9174876999105823</v>
      </c>
      <c r="AU10" s="61">
        <f>资产资本表!AU70/资产资本表!AU107</f>
        <v>2.2704102219756574</v>
      </c>
      <c r="AV10" s="61">
        <f>资产资本表!AV70/资产资本表!AV107</f>
        <v>1.2924546377543378</v>
      </c>
      <c r="AW10" s="61">
        <f>资产资本表!AW70/资产资本表!AW107</f>
        <v>1.4348803448904026</v>
      </c>
      <c r="AX10" s="61">
        <f>资产资本表!AX70/资产资本表!AX107</f>
        <v>1.4781852949904581</v>
      </c>
      <c r="AY10" s="61">
        <f>资产资本表!AY70/资产资本表!AY107</f>
        <v>1.5219373951518904</v>
      </c>
      <c r="AZ10" s="61">
        <f>资产资本表!AZ70/资产资本表!AZ107</f>
        <v>1.4797073512429457</v>
      </c>
      <c r="BA10" s="61">
        <f>资产资本表!BA70/资产资本表!BA107</f>
        <v>1.4212741990311062</v>
      </c>
      <c r="BB10" s="61">
        <f>资产资本表!BB70/资产资本表!BB107</f>
        <v>1.5522878220658214</v>
      </c>
      <c r="BC10" s="61">
        <f>资产资本表!BC70/资产资本表!BC107</f>
        <v>1.5905256118189781</v>
      </c>
      <c r="BD10" s="61">
        <f>资产资本表!BD70/资产资本表!BD107</f>
        <v>1.592343069360892</v>
      </c>
      <c r="BE10" s="61">
        <f>资产资本表!BE70/资产资本表!BE107</f>
        <v>1.6489346854008562</v>
      </c>
      <c r="BF10" s="61">
        <f>资产资本表!BF70/资产资本表!BF107</f>
        <v>1.5230945231068911</v>
      </c>
      <c r="BG10" s="61">
        <f>资产资本表!BG70/资产资本表!BG107</f>
        <v>1.5319173405660158</v>
      </c>
      <c r="BH10" s="61">
        <f>资产资本表!BH70/资产资本表!BH107</f>
        <v>1.531919667114273</v>
      </c>
      <c r="BI10" s="61">
        <f>资产资本表!BI70/资产资本表!BI107</f>
        <v>1.4593914527400245</v>
      </c>
      <c r="BJ10" s="61">
        <f>资产资本表!BJ70/资产资本表!BJ107</f>
        <v>1.4508980587386302</v>
      </c>
      <c r="BK10" s="61">
        <f>资产资本表!BK70/资产资本表!BK107</f>
        <v>1.4851793875632016</v>
      </c>
      <c r="BL10" s="61">
        <f>资产资本表!BL70/资产资本表!BL107</f>
        <v>1.4778268863208834</v>
      </c>
      <c r="BM10" s="61">
        <f>资产资本表!BM70/资产资本表!BM107</f>
        <v>1.4309816909052115</v>
      </c>
      <c r="BN10" s="61">
        <f>资产资本表!BN70/资产资本表!BN107</f>
        <v>1.3904064439727715</v>
      </c>
      <c r="BO10" s="61">
        <f>资产资本表!BO70/资产资本表!BO107</f>
        <v>1.2755816884799345</v>
      </c>
      <c r="BP10" s="61">
        <f>资产资本表!BP70/资产资本表!BP107</f>
        <v>1.172699194127899</v>
      </c>
      <c r="BQ10" s="61">
        <f>资产资本表!BQ70/资产资本表!BQ107</f>
        <v>1.1847308786606796</v>
      </c>
      <c r="BR10" s="61">
        <f>资产资本表!BR70/资产资本表!BR107</f>
        <v>1.2113965611051098</v>
      </c>
      <c r="BS10" s="61">
        <f>资产资本表!BS70/资产资本表!BS107</f>
        <v>1.5741868535772927</v>
      </c>
      <c r="BT10" s="61">
        <f>资产资本表!BT70/资产资本表!BT107</f>
        <v>1.4947984551844178</v>
      </c>
      <c r="BU10" s="61">
        <f>资产资本表!BU70/资产资本表!BU107</f>
        <v>1.4720792158840925</v>
      </c>
      <c r="BV10" s="61">
        <f>资产资本表!BV70/资产资本表!BV107</f>
        <v>1.416562920710251</v>
      </c>
      <c r="BW10" s="61">
        <f>资产资本表!BW70/资产资本表!BW107</f>
        <v>1.3613548142607252</v>
      </c>
      <c r="BX10" s="61">
        <f>资产资本表!BX70/资产资本表!BX107</f>
        <v>1.4396148953008037</v>
      </c>
      <c r="BY10" s="61">
        <f>资产资本表!BY70/资产资本表!BY107</f>
        <v>1.9781089717106777</v>
      </c>
      <c r="BZ10" s="61">
        <f>资产资本表!BZ70/资产资本表!BZ107</f>
        <v>0.66591905152727415</v>
      </c>
      <c r="CA10" s="61">
        <f>资产资本表!CA70/资产资本表!CA107</f>
        <v>2.153877878680448</v>
      </c>
      <c r="CB10" s="61">
        <f>资产资本表!CB70/资产资本表!CB107</f>
        <v>0.76159020665414212</v>
      </c>
      <c r="CC10" s="61">
        <f>资产资本表!CC70/资产资本表!CC107</f>
        <v>1.6073767395897847</v>
      </c>
      <c r="CD10" s="61">
        <f>资产资本表!CD70/资产资本表!CD107</f>
        <v>0.70640588946269645</v>
      </c>
      <c r="CE10" s="61">
        <f>资产资本表!CE70/资产资本表!CE107</f>
        <v>1.7941289247278458</v>
      </c>
      <c r="CF10" s="61">
        <f>资产资本表!CF70/资产资本表!CF107</f>
        <v>2.365300351255518</v>
      </c>
      <c r="CG10" s="61">
        <f>资产资本表!CG70/资产资本表!CG107</f>
        <v>0.47434230216786405</v>
      </c>
      <c r="CH10" s="61">
        <f>资产资本表!CH70/资产资本表!CH107</f>
        <v>1.0549817266614332</v>
      </c>
      <c r="CI10" s="61" t="e">
        <f>资产资本表!CI70/资产资本表!CI107</f>
        <v>#DIV/0!</v>
      </c>
      <c r="CJ10" s="61">
        <f>资产资本表!CJ70/资产资本表!CJ107</f>
        <v>0</v>
      </c>
    </row>
    <row r="11" spans="1:89" s="28" customFormat="1">
      <c r="A11" s="20" t="s">
        <v>439</v>
      </c>
      <c r="E11" s="28">
        <f>E9*E10</f>
        <v>0.73176402577595656</v>
      </c>
      <c r="F11" s="28">
        <f t="shared" ref="F11:BQ11" si="2">F9*F10</f>
        <v>1.1598970972256952</v>
      </c>
      <c r="G11" s="28">
        <f t="shared" si="2"/>
        <v>1.1213161357433228</v>
      </c>
      <c r="H11" s="28">
        <f t="shared" si="2"/>
        <v>1.0260368312784134</v>
      </c>
      <c r="I11" s="28">
        <f t="shared" si="2"/>
        <v>1.2732085464088121</v>
      </c>
      <c r="J11" s="28">
        <f t="shared" si="2"/>
        <v>1.1633195821083162</v>
      </c>
      <c r="K11" s="28">
        <f t="shared" si="2"/>
        <v>1.156367688153892</v>
      </c>
      <c r="L11" s="28">
        <f t="shared" si="2"/>
        <v>0.89400914831662115</v>
      </c>
      <c r="M11" s="28">
        <f t="shared" si="2"/>
        <v>1.1207763271961704</v>
      </c>
      <c r="N11" s="28">
        <f t="shared" si="2"/>
        <v>1.3339578052926262</v>
      </c>
      <c r="O11" s="28">
        <f t="shared" si="2"/>
        <v>1.3587081364367695</v>
      </c>
      <c r="P11" s="28">
        <f t="shared" si="2"/>
        <v>1.1984695987556153</v>
      </c>
      <c r="Q11" s="28">
        <f t="shared" si="2"/>
        <v>1.0561689145364916</v>
      </c>
      <c r="R11" s="28">
        <f t="shared" si="2"/>
        <v>1.2882523696984944</v>
      </c>
      <c r="S11" s="28">
        <f t="shared" si="2"/>
        <v>1.2928984833641541</v>
      </c>
      <c r="T11" s="28">
        <f t="shared" si="2"/>
        <v>1.2691352542840224</v>
      </c>
      <c r="U11" s="28">
        <f t="shared" si="2"/>
        <v>1.2331036358608674</v>
      </c>
      <c r="V11" s="28">
        <f t="shared" si="2"/>
        <v>1.3212920823463363</v>
      </c>
      <c r="W11" s="28">
        <f t="shared" si="2"/>
        <v>0.39651727924406893</v>
      </c>
      <c r="X11" s="28">
        <f t="shared" si="2"/>
        <v>-2.028107316197362</v>
      </c>
      <c r="Y11" s="28">
        <f t="shared" si="2"/>
        <v>0.89653170097394874</v>
      </c>
      <c r="Z11" s="28">
        <f t="shared" si="2"/>
        <v>1.1286252159374541</v>
      </c>
      <c r="AA11" s="28">
        <f t="shared" si="2"/>
        <v>0.59525146970109732</v>
      </c>
      <c r="AB11" s="28">
        <f t="shared" si="2"/>
        <v>-3.2585871905267805</v>
      </c>
      <c r="AC11" s="28">
        <f t="shared" si="2"/>
        <v>1.6144564564103467</v>
      </c>
      <c r="AD11" s="28">
        <f t="shared" si="2"/>
        <v>0.76536562232540784</v>
      </c>
      <c r="AE11" s="28">
        <f t="shared" si="2"/>
        <v>1.3747826938455507</v>
      </c>
      <c r="AF11" s="28">
        <f t="shared" si="2"/>
        <v>-0.51002309724004169</v>
      </c>
      <c r="AG11" s="28">
        <f t="shared" si="2"/>
        <v>1.5056391826267455</v>
      </c>
      <c r="AH11" s="28">
        <f t="shared" si="2"/>
        <v>1.7667654638275034</v>
      </c>
      <c r="AI11" s="28">
        <f t="shared" si="2"/>
        <v>1.7055626205520173</v>
      </c>
      <c r="AJ11" s="28">
        <f t="shared" si="2"/>
        <v>0.97138142877260125</v>
      </c>
      <c r="AK11" s="28">
        <f t="shared" si="2"/>
        <v>4.3451510506109168</v>
      </c>
      <c r="AL11" s="28">
        <f t="shared" si="2"/>
        <v>4.5901995248256409</v>
      </c>
      <c r="AM11" s="28">
        <f t="shared" si="2"/>
        <v>3.6472484344663356</v>
      </c>
      <c r="AN11" s="28">
        <f t="shared" si="2"/>
        <v>3.030234750581235</v>
      </c>
      <c r="AO11" s="28">
        <f t="shared" si="2"/>
        <v>9.6907600063732282</v>
      </c>
      <c r="AP11" s="28">
        <f t="shared" si="2"/>
        <v>1.8958567350266284</v>
      </c>
      <c r="AQ11" s="28">
        <f t="shared" si="2"/>
        <v>1.9660264261584688</v>
      </c>
      <c r="AR11" s="28">
        <f t="shared" si="2"/>
        <v>1.6951728186438684</v>
      </c>
      <c r="AS11" s="28">
        <f t="shared" si="2"/>
        <v>1.5613993441237071</v>
      </c>
      <c r="AT11" s="28">
        <f t="shared" si="2"/>
        <v>1.6061723059516297</v>
      </c>
      <c r="AU11" s="28">
        <f t="shared" si="2"/>
        <v>1.8919387349206593</v>
      </c>
      <c r="AV11" s="28">
        <f t="shared" si="2"/>
        <v>1.0277611020099364</v>
      </c>
      <c r="AW11" s="28">
        <f t="shared" si="2"/>
        <v>1.0674489634584214</v>
      </c>
      <c r="AX11" s="28">
        <f t="shared" si="2"/>
        <v>1.1395356417733187</v>
      </c>
      <c r="AY11" s="28">
        <f t="shared" si="2"/>
        <v>1.2059010306006552</v>
      </c>
      <c r="AZ11" s="28">
        <f t="shared" si="2"/>
        <v>1.0537322354150891</v>
      </c>
      <c r="BA11" s="28">
        <f t="shared" si="2"/>
        <v>1.0006418993508364</v>
      </c>
      <c r="BB11" s="28">
        <f t="shared" si="2"/>
        <v>1.0545141539272149</v>
      </c>
      <c r="BC11" s="28">
        <f t="shared" si="2"/>
        <v>1.1204342237538365</v>
      </c>
      <c r="BD11" s="28">
        <f t="shared" si="2"/>
        <v>1.0240140549500758</v>
      </c>
      <c r="BE11" s="28">
        <f t="shared" si="2"/>
        <v>1.3498870187498635</v>
      </c>
      <c r="BF11" s="28">
        <f t="shared" si="2"/>
        <v>1.2049096858028494</v>
      </c>
      <c r="BG11" s="28">
        <f t="shared" si="2"/>
        <v>1.2417818476549407</v>
      </c>
      <c r="BH11" s="28">
        <f t="shared" si="2"/>
        <v>1.0848242806382711</v>
      </c>
      <c r="BI11" s="28">
        <f t="shared" si="2"/>
        <v>1.0793515129718323</v>
      </c>
      <c r="BJ11" s="28">
        <f t="shared" si="2"/>
        <v>1.014805991498031</v>
      </c>
      <c r="BK11" s="28">
        <f t="shared" si="2"/>
        <v>1.0698147770275275</v>
      </c>
      <c r="BL11" s="28">
        <f t="shared" si="2"/>
        <v>1.0764057878557882</v>
      </c>
      <c r="BM11" s="28">
        <f t="shared" si="2"/>
        <v>2.5901251160560865</v>
      </c>
      <c r="BN11" s="28">
        <f t="shared" si="2"/>
        <v>0.65454336026171389</v>
      </c>
      <c r="BO11" s="28">
        <f t="shared" si="2"/>
        <v>1.0672626035874373</v>
      </c>
      <c r="BP11" s="28">
        <f t="shared" si="2"/>
        <v>1.0698799858407371</v>
      </c>
      <c r="BQ11" s="28">
        <f t="shared" si="2"/>
        <v>0.90818727926716203</v>
      </c>
      <c r="BR11" s="28">
        <f t="shared" ref="BR11:CJ11" si="3">BR9*BR10</f>
        <v>0.94277067515892954</v>
      </c>
      <c r="BS11" s="28">
        <f t="shared" si="3"/>
        <v>1.3525012093772599</v>
      </c>
      <c r="BT11" s="28">
        <f t="shared" si="3"/>
        <v>1.2493990235107419</v>
      </c>
      <c r="BU11" s="28">
        <f t="shared" si="3"/>
        <v>1.2320395211145461</v>
      </c>
      <c r="BV11" s="28">
        <f t="shared" si="3"/>
        <v>1.3147049159355078</v>
      </c>
      <c r="BW11" s="28">
        <f t="shared" si="3"/>
        <v>1.2882264258905629</v>
      </c>
      <c r="BX11" s="28">
        <f t="shared" si="3"/>
        <v>1.3841494147867572</v>
      </c>
      <c r="BY11" s="28">
        <f t="shared" si="3"/>
        <v>1.9375790198619209</v>
      </c>
      <c r="BZ11" s="28">
        <f t="shared" si="3"/>
        <v>0.66591905152727415</v>
      </c>
      <c r="CA11" s="28">
        <f t="shared" si="3"/>
        <v>2.2190189390886945</v>
      </c>
      <c r="CB11" s="28">
        <f t="shared" si="3"/>
        <v>0.76159020665414212</v>
      </c>
      <c r="CC11" s="28">
        <f t="shared" si="3"/>
        <v>1.2678998006206523</v>
      </c>
      <c r="CD11" s="28">
        <f t="shared" si="3"/>
        <v>0.70640588946269645</v>
      </c>
      <c r="CE11" s="28">
        <f t="shared" si="3"/>
        <v>1.5267271465330268</v>
      </c>
      <c r="CF11" s="28">
        <f t="shared" si="3"/>
        <v>1.9441231178287517</v>
      </c>
      <c r="CG11" s="28">
        <f t="shared" si="3"/>
        <v>0.47434230216786405</v>
      </c>
      <c r="CH11" s="28">
        <f t="shared" si="3"/>
        <v>1.0549817266614332</v>
      </c>
      <c r="CI11" s="28" t="e">
        <f t="shared" si="3"/>
        <v>#DIV/0!</v>
      </c>
      <c r="CJ11" s="28" t="e">
        <f t="shared" si="3"/>
        <v>#DIV/0!</v>
      </c>
    </row>
    <row r="12" spans="1:89" s="157" customFormat="1">
      <c r="A12" s="157" t="s">
        <v>434</v>
      </c>
      <c r="E12" s="157">
        <f>E2/股权价值增加表!E38</f>
        <v>0.65390412197223347</v>
      </c>
      <c r="F12" s="157">
        <f>F2/股权价值增加表!F38</f>
        <v>0.84642005600126069</v>
      </c>
      <c r="G12" s="157">
        <f>G2/股权价值增加表!G38</f>
        <v>0.84689923438625392</v>
      </c>
      <c r="H12" s="157">
        <f>H2/股权价值增加表!H38</f>
        <v>0.86347725564163602</v>
      </c>
      <c r="I12" s="157">
        <f>I2/股权价值增加表!I38</f>
        <v>0.85880569749452262</v>
      </c>
      <c r="J12" s="157">
        <f>J2/股权价值增加表!J38</f>
        <v>0.8662666381562828</v>
      </c>
      <c r="K12" s="157">
        <f>K2/股权价值增加表!K38</f>
        <v>0.89596149576734629</v>
      </c>
      <c r="L12" s="157">
        <f>L2/股权价值增加表!L38</f>
        <v>0.92491017501265005</v>
      </c>
      <c r="M12" s="157">
        <f>M2/股权价值增加表!M38</f>
        <v>0.92249120540981944</v>
      </c>
      <c r="N12" s="157">
        <f>N2/股权价值增加表!N38</f>
        <v>0.93099935487937457</v>
      </c>
      <c r="O12" s="157">
        <f>O2/股权价值增加表!O38</f>
        <v>0.93297786027906648</v>
      </c>
      <c r="P12" s="157">
        <f>P2/股权价值增加表!P38</f>
        <v>0.93089125480600843</v>
      </c>
      <c r="Q12" s="157">
        <f>Q2/股权价值增加表!Q38</f>
        <v>0.87640821682129622</v>
      </c>
      <c r="R12" s="157">
        <f>R2/股权价值增加表!R38</f>
        <v>0.87358631062836378</v>
      </c>
      <c r="S12" s="157">
        <f>S2/股权价值增加表!S38</f>
        <v>0.9021580275878277</v>
      </c>
      <c r="T12" s="157">
        <f>T2/股权价值增加表!T38</f>
        <v>0.93019087442278847</v>
      </c>
      <c r="U12" s="157">
        <f>U2/股权价值增加表!U38</f>
        <v>0.87958219009797889</v>
      </c>
      <c r="V12" s="157">
        <f>V2/股权价值增加表!V38</f>
        <v>0.87147770827414062</v>
      </c>
      <c r="W12" s="157">
        <f>W2/股权价值增加表!W38</f>
        <v>1.2119439394160652</v>
      </c>
      <c r="X12" s="157">
        <f>X2/股权价值增加表!X38</f>
        <v>0.88886413737074121</v>
      </c>
      <c r="Y12" s="157">
        <f>Y2/股权价值增加表!Y38</f>
        <v>0.91177519114623251</v>
      </c>
      <c r="Z12" s="157">
        <f>Z2/股权价值增加表!Z38</f>
        <v>0.96257210760129386</v>
      </c>
      <c r="AA12" s="157">
        <f>AA2/股权价值增加表!AA38</f>
        <v>1.2378782143374494</v>
      </c>
      <c r="AB12" s="157">
        <f>AB2/股权价值增加表!AB38</f>
        <v>0.87332808317617305</v>
      </c>
      <c r="AC12" s="157">
        <f>AC2/股权价值增加表!AC38</f>
        <v>0.93640468016199485</v>
      </c>
      <c r="AD12" s="157">
        <f>AD2/股权价值增加表!AD38</f>
        <v>0.91727271951632183</v>
      </c>
      <c r="AE12" s="157">
        <f>AE2/股权价值增加表!AE38</f>
        <v>0.98563876660793437</v>
      </c>
      <c r="AF12" s="157">
        <f>AF2/股权价值增加表!AF38</f>
        <v>1.0106348050841993</v>
      </c>
      <c r="AG12" s="157">
        <f>AG2/股权价值增加表!AG38</f>
        <v>0.78951252875904943</v>
      </c>
      <c r="AH12" s="157">
        <f>AH2/股权价值增加表!AH38</f>
        <v>0.83430934604782458</v>
      </c>
      <c r="AI12" s="157">
        <f>AI2/股权价值增加表!AI38</f>
        <v>0.83808133694229636</v>
      </c>
      <c r="AJ12" s="157">
        <f>AJ2/股权价值增加表!AJ38</f>
        <v>0.8497204175283658</v>
      </c>
      <c r="AK12" s="157">
        <f>AK2/股权价值增加表!AK38</f>
        <v>0.85078383781898292</v>
      </c>
      <c r="AL12" s="157">
        <f>AL2/股权价值增加表!AL38</f>
        <v>0.89206843046658135</v>
      </c>
      <c r="AM12" s="157">
        <f>AM2/股权价值增加表!AM38</f>
        <v>0.8847202632647081</v>
      </c>
      <c r="AN12" s="157">
        <f>AN2/股权价值增加表!AN38</f>
        <v>0.890837874811093</v>
      </c>
      <c r="AO12" s="157">
        <f>AO2/股权价值增加表!AO38</f>
        <v>0.67416087452423434</v>
      </c>
      <c r="AP12" s="157">
        <f>AP2/股权价值增加表!AP38</f>
        <v>1.0445795759884258</v>
      </c>
      <c r="AQ12" s="157">
        <f>AQ2/股权价值增加表!AQ38</f>
        <v>0.94657394316441157</v>
      </c>
      <c r="AR12" s="157">
        <f>AR2/股权价值增加表!AR38</f>
        <v>0.94978971876519525</v>
      </c>
      <c r="AS12" s="157">
        <f>AS2/股权价值增加表!AS38</f>
        <v>0.92383230385888204</v>
      </c>
      <c r="AT12" s="157">
        <f>AT2/股权价值增加表!AT38</f>
        <v>0.92883841352898278</v>
      </c>
      <c r="AU12" s="157">
        <f>AU2/股权价值增加表!AU38</f>
        <v>0.90925381713524456</v>
      </c>
      <c r="AV12" s="157">
        <f>AV2/股权价值增加表!AV38</f>
        <v>0.94855955297158989</v>
      </c>
      <c r="AW12" s="157">
        <f>AW2/股权价值增加表!AW38</f>
        <v>0.88158798047803422</v>
      </c>
      <c r="AX12" s="157">
        <f>AX2/股权价值增加表!AX38</f>
        <v>0.90982795562145158</v>
      </c>
      <c r="AY12" s="157">
        <f>AY2/股权价值增加表!AY38</f>
        <v>0.91064547467552992</v>
      </c>
      <c r="AZ12" s="157">
        <f>AZ2/股权价值增加表!AZ38</f>
        <v>0.92067478234078282</v>
      </c>
      <c r="BA12" s="157">
        <f>BA2/股权价值增加表!BA38</f>
        <v>0.97263156858232913</v>
      </c>
      <c r="BB12" s="157">
        <f>BB2/股权价值增加表!BB38</f>
        <v>0.98248192650341881</v>
      </c>
      <c r="BC12" s="157">
        <f>BC2/股权价值增加表!BC38</f>
        <v>0.9787007314318058</v>
      </c>
      <c r="BD12" s="157">
        <f>BD2/股权价值增加表!BD38</f>
        <v>0.94291444776660305</v>
      </c>
      <c r="BE12" s="157">
        <f>BE2/股权价值增加表!BE38</f>
        <v>0.96005783541758127</v>
      </c>
      <c r="BF12" s="157">
        <f>BF2/股权价值增加表!BF38</f>
        <v>0.87736976753105433</v>
      </c>
      <c r="BG12" s="157">
        <f>BG2/股权价值增加表!BG38</f>
        <v>0.86664977780848129</v>
      </c>
      <c r="BH12" s="157">
        <f>BH2/股权价值增加表!BH38</f>
        <v>0.8465602509575072</v>
      </c>
      <c r="BI12" s="157">
        <f>BI2/股权价值增加表!BI38</f>
        <v>0.83216851988353779</v>
      </c>
      <c r="BJ12" s="157">
        <f>BJ2/股权价值增加表!BJ38</f>
        <v>0.86012085424541684</v>
      </c>
      <c r="BK12" s="157">
        <f>BK2/股权价值增加表!BK38</f>
        <v>0.86384545162324056</v>
      </c>
      <c r="BL12" s="157">
        <f>BL2/股权价值增加表!BL38</f>
        <v>0.88535713263574944</v>
      </c>
      <c r="BM12" s="157">
        <f>BM2/股权价值增加表!BM38</f>
        <v>1.1194457020347908</v>
      </c>
      <c r="BN12" s="157">
        <f>BN2/股权价值增加表!BN38</f>
        <v>0.45941498596953478</v>
      </c>
      <c r="BO12" s="157">
        <f>BO2/股权价值增加表!BO38</f>
        <v>0.84241222596139753</v>
      </c>
      <c r="BP12" s="157">
        <f>BP2/股权价值增加表!BP38</f>
        <v>0.84316963001796885</v>
      </c>
      <c r="BQ12" s="157">
        <f>BQ2/股权价值增加表!BQ38</f>
        <v>0.97626229884624938</v>
      </c>
      <c r="BR12" s="157">
        <f>BR2/股权价值增加表!BR38</f>
        <v>0.84131030230917925</v>
      </c>
      <c r="BS12" s="157">
        <f>BS2/股权价值增加表!BS38</f>
        <v>0.8559393140772269</v>
      </c>
      <c r="BT12" s="157">
        <f>BT2/股权价值增加表!BT38</f>
        <v>0.853542346415472</v>
      </c>
      <c r="BU12" s="157">
        <f>BU2/股权价值增加表!BU38</f>
        <v>0.89602680505386734</v>
      </c>
      <c r="BV12" s="157">
        <f>BV2/股权价值增加表!BV38</f>
        <v>0.89871251221319748</v>
      </c>
      <c r="BW12" s="157">
        <f>BW2/股权价值增加表!BW38</f>
        <v>0.90170956489380238</v>
      </c>
      <c r="BX12" s="157">
        <f>BX2/股权价值增加表!BX38</f>
        <v>0.90628099380043237</v>
      </c>
      <c r="BY12" s="157">
        <f>BY2/股权价值增加表!BY38</f>
        <v>0.8887360755837439</v>
      </c>
      <c r="BZ12" s="157">
        <f>BZ2/股权价值增加表!BZ38</f>
        <v>0.98094342995667339</v>
      </c>
      <c r="CA12" s="157">
        <f>CA2/股权价值增加表!CA38</f>
        <v>0.90624658798836555</v>
      </c>
      <c r="CB12" s="157">
        <f>CB2/股权价值增加表!CB38</f>
        <v>0.98779398630544801</v>
      </c>
      <c r="CC12" s="157">
        <f>CC2/股权价值增加表!CC38</f>
        <v>0.90036436382393359</v>
      </c>
      <c r="CD12" s="157">
        <f>CD2/股权价值增加表!CD38</f>
        <v>0.98092231677189134</v>
      </c>
      <c r="CE12" s="157">
        <f>CE2/股权价值增加表!CE38</f>
        <v>0.90792861983762629</v>
      </c>
      <c r="CF12" s="157">
        <f>CF2/股权价值增加表!CF38</f>
        <v>0.89402262721121206</v>
      </c>
      <c r="CG12" s="157">
        <f>CG2/股权价值增加表!CG38</f>
        <v>1</v>
      </c>
      <c r="CH12" s="157">
        <f>CH2/股权价值增加表!CH38</f>
        <v>1</v>
      </c>
      <c r="CI12" s="157" t="e">
        <f>CI2/股权价值增加表!CI38</f>
        <v>#DIV/0!</v>
      </c>
      <c r="CJ12" s="157" t="e">
        <f>CJ2/股权价值增加表!CJ38</f>
        <v>#DIV/0!</v>
      </c>
    </row>
    <row r="13" spans="1:89" s="63" customFormat="1">
      <c r="A13" s="17" t="s">
        <v>435</v>
      </c>
      <c r="E13" s="63">
        <f>1-E2/股权价值增加表!E38</f>
        <v>0.34609587802776653</v>
      </c>
      <c r="F13" s="63">
        <f>1-F2/股权价值增加表!F38</f>
        <v>0.15357994399873931</v>
      </c>
      <c r="G13" s="63">
        <f>1-G2/股权价值增加表!G38</f>
        <v>0.15310076561374608</v>
      </c>
      <c r="H13" s="63">
        <f>1-H2/股权价值增加表!H38</f>
        <v>0.13652274435836398</v>
      </c>
      <c r="I13" s="63">
        <f>1-I2/股权价值增加表!I38</f>
        <v>0.14119430250547738</v>
      </c>
      <c r="J13" s="63">
        <f>1-J2/股权价值增加表!J38</f>
        <v>0.1337333618437172</v>
      </c>
      <c r="K13" s="63">
        <f>1-K2/股权价值增加表!K38</f>
        <v>0.10403850423265371</v>
      </c>
      <c r="L13" s="63">
        <f>1-L2/股权价值增加表!L38</f>
        <v>7.5089824987349951E-2</v>
      </c>
      <c r="M13" s="63">
        <f>1-M2/股权价值增加表!M38</f>
        <v>7.7508794590180563E-2</v>
      </c>
      <c r="N13" s="63">
        <f>1-N2/股权价值增加表!N38</f>
        <v>6.9000645120625426E-2</v>
      </c>
      <c r="O13" s="63">
        <f>1-O2/股权价值增加表!O38</f>
        <v>6.7022139720933516E-2</v>
      </c>
      <c r="P13" s="63">
        <f>1-P2/股权价值增加表!P38</f>
        <v>6.9108745193991572E-2</v>
      </c>
      <c r="Q13" s="63">
        <f>1-Q2/股权价值增加表!Q38</f>
        <v>0.12359178317870378</v>
      </c>
      <c r="R13" s="63">
        <f>1-R2/股权价值增加表!R38</f>
        <v>0.12641368937163622</v>
      </c>
      <c r="S13" s="63">
        <f>1-S2/股权价值增加表!S38</f>
        <v>9.7841972412172296E-2</v>
      </c>
      <c r="T13" s="63">
        <f>1-T2/股权价值增加表!T38</f>
        <v>6.9809125577211528E-2</v>
      </c>
      <c r="U13" s="63">
        <f>1-U2/股权价值增加表!U38</f>
        <v>0.12041780990202111</v>
      </c>
      <c r="V13" s="63">
        <f>1-V2/股权价值增加表!V38</f>
        <v>0.12852229172585938</v>
      </c>
      <c r="W13" s="63">
        <f>1-W2/股权价值增加表!W38</f>
        <v>-0.21194393941606515</v>
      </c>
      <c r="X13" s="63">
        <f>1-X2/股权价值增加表!X38</f>
        <v>0.11113586262925879</v>
      </c>
      <c r="Y13" s="63">
        <f>1-Y2/股权价值增加表!Y38</f>
        <v>8.8224808853767489E-2</v>
      </c>
      <c r="Z13" s="63">
        <f>1-Z2/股权价值增加表!Z38</f>
        <v>3.7427892398706142E-2</v>
      </c>
      <c r="AA13" s="63">
        <f>1-AA2/股权价值增加表!AA38</f>
        <v>-0.23787821433744938</v>
      </c>
      <c r="AB13" s="63">
        <f>1-AB2/股权价值增加表!AB38</f>
        <v>0.12667191682382695</v>
      </c>
      <c r="AC13" s="63">
        <f>1-AC2/股权价值增加表!AC38</f>
        <v>6.3595319838005149E-2</v>
      </c>
      <c r="AD13" s="63">
        <f>1-AD2/股权价值增加表!AD38</f>
        <v>8.2727280483678167E-2</v>
      </c>
      <c r="AE13" s="63">
        <f>1-AE2/股权价值增加表!AE38</f>
        <v>1.4361233392065631E-2</v>
      </c>
      <c r="AF13" s="63">
        <f>1-AF2/股权价值增加表!AF38</f>
        <v>-1.0634805084199339E-2</v>
      </c>
      <c r="AG13" s="63">
        <f>1-AG2/股权价值增加表!AG38</f>
        <v>0.21048747124095057</v>
      </c>
      <c r="AH13" s="63">
        <f>1-AH2/股权价值增加表!AH38</f>
        <v>0.16569065395217542</v>
      </c>
      <c r="AI13" s="63">
        <f>1-AI2/股权价值增加表!AI38</f>
        <v>0.16191866305770364</v>
      </c>
      <c r="AJ13" s="63">
        <f>1-AJ2/股权价值增加表!AJ38</f>
        <v>0.1502795824716342</v>
      </c>
      <c r="AK13" s="63">
        <f>1-AK2/股权价值增加表!AK38</f>
        <v>0.14921616218101708</v>
      </c>
      <c r="AL13" s="63">
        <f>1-AL2/股权价值增加表!AL38</f>
        <v>0.10793156953341865</v>
      </c>
      <c r="AM13" s="63">
        <f>1-AM2/股权价值增加表!AM38</f>
        <v>0.1152797367352919</v>
      </c>
      <c r="AN13" s="63">
        <f>1-AN2/股权价值增加表!AN38</f>
        <v>0.109162125188907</v>
      </c>
      <c r="AO13" s="63">
        <f>1-AO2/股权价值增加表!AO38</f>
        <v>0.32583912547576566</v>
      </c>
      <c r="AP13" s="63">
        <f>1-AP2/股权价值增加表!AP38</f>
        <v>-4.4579575988425768E-2</v>
      </c>
      <c r="AQ13" s="63">
        <f>1-AQ2/股权价值增加表!AQ38</f>
        <v>5.3426056835588431E-2</v>
      </c>
      <c r="AR13" s="63">
        <f>1-AR2/股权价值增加表!AR38</f>
        <v>5.0210281234804754E-2</v>
      </c>
      <c r="AS13" s="63">
        <f>1-AS2/股权价值增加表!AS38</f>
        <v>7.6167696141117958E-2</v>
      </c>
      <c r="AT13" s="63">
        <f>1-AT2/股权价值增加表!AT38</f>
        <v>7.1161586471017224E-2</v>
      </c>
      <c r="AU13" s="63">
        <f>1-AU2/股权价值增加表!AU38</f>
        <v>9.0746182864755442E-2</v>
      </c>
      <c r="AV13" s="63">
        <f>1-AV2/股权价值增加表!AV38</f>
        <v>5.1440447028410108E-2</v>
      </c>
      <c r="AW13" s="63">
        <f>1-AW2/股权价值增加表!AW38</f>
        <v>0.11841201952196578</v>
      </c>
      <c r="AX13" s="63">
        <f>1-AX2/股权价值增加表!AX38</f>
        <v>9.0172044378548422E-2</v>
      </c>
      <c r="AY13" s="63">
        <f>1-AY2/股权价值增加表!AY38</f>
        <v>8.935452532447008E-2</v>
      </c>
      <c r="AZ13" s="63">
        <f>1-AZ2/股权价值增加表!AZ38</f>
        <v>7.9325217659217184E-2</v>
      </c>
      <c r="BA13" s="63">
        <f>1-BA2/股权价值增加表!BA38</f>
        <v>2.7368431417670869E-2</v>
      </c>
      <c r="BB13" s="63">
        <f>1-BB2/股权价值增加表!BB38</f>
        <v>1.7518073496581188E-2</v>
      </c>
      <c r="BC13" s="63">
        <f>1-BC2/股权价值增加表!BC38</f>
        <v>2.1299268568194196E-2</v>
      </c>
      <c r="BD13" s="63">
        <f>1-BD2/股权价值增加表!BD38</f>
        <v>5.7085552233396952E-2</v>
      </c>
      <c r="BE13" s="63">
        <f>1-BE2/股权价值增加表!BE38</f>
        <v>3.9942164582418727E-2</v>
      </c>
      <c r="BF13" s="63">
        <f>1-BF2/股权价值增加表!BF38</f>
        <v>0.12263023246894567</v>
      </c>
      <c r="BG13" s="63">
        <f>1-BG2/股权价值增加表!BG38</f>
        <v>0.13335022219151871</v>
      </c>
      <c r="BH13" s="63">
        <f>1-BH2/股权价值增加表!BH38</f>
        <v>0.1534397490424928</v>
      </c>
      <c r="BI13" s="63">
        <f>1-BI2/股权价值增加表!BI38</f>
        <v>0.16783148011646221</v>
      </c>
      <c r="BJ13" s="63">
        <f>1-BJ2/股权价值增加表!BJ38</f>
        <v>0.13987914575458316</v>
      </c>
      <c r="BK13" s="63">
        <f>1-BK2/股权价值增加表!BK38</f>
        <v>0.13615454837675944</v>
      </c>
      <c r="BL13" s="63">
        <f>1-BL2/股权价值增加表!BL38</f>
        <v>0.11464286736425056</v>
      </c>
      <c r="BM13" s="63">
        <f>1-BM2/股权价值增加表!BM38</f>
        <v>-0.11944570203479077</v>
      </c>
      <c r="BN13" s="63">
        <f>1-BN2/股权价值增加表!BN38</f>
        <v>0.54058501403046522</v>
      </c>
      <c r="BO13" s="63">
        <f>1-BO2/股权价值增加表!BO38</f>
        <v>0.15758777403860247</v>
      </c>
      <c r="BP13" s="63">
        <f>1-BP2/股权价值增加表!BP38</f>
        <v>0.15683036998203115</v>
      </c>
      <c r="BQ13" s="63">
        <f>1-BQ2/股权价值增加表!BQ38</f>
        <v>2.3737701153750623E-2</v>
      </c>
      <c r="BR13" s="63">
        <f>1-BR2/股权价值增加表!BR38</f>
        <v>0.15868969769082075</v>
      </c>
      <c r="BS13" s="63">
        <f>1-BS2/股权价值增加表!BS38</f>
        <v>0.1440606859227731</v>
      </c>
      <c r="BT13" s="63">
        <f>1-BT2/股权价值增加表!BT38</f>
        <v>0.146457653584528</v>
      </c>
      <c r="BU13" s="63">
        <f>1-BU2/股权价值增加表!BU38</f>
        <v>0.10397319494613266</v>
      </c>
      <c r="BV13" s="63">
        <f>1-BV2/股权价值增加表!BV38</f>
        <v>0.10128748778680252</v>
      </c>
      <c r="BW13" s="63">
        <f>1-BW2/股权价值增加表!BW38</f>
        <v>9.8290435106197616E-2</v>
      </c>
      <c r="BX13" s="63">
        <f>1-BX2/股权价值增加表!BX38</f>
        <v>9.3719006199567634E-2</v>
      </c>
      <c r="BY13" s="63">
        <f>1-BY2/股权价值增加表!BY38</f>
        <v>0.1112639244162561</v>
      </c>
      <c r="BZ13" s="63">
        <f>1-BZ2/股权价值增加表!BZ38</f>
        <v>1.9056570043326615E-2</v>
      </c>
      <c r="CA13" s="63">
        <f>1-CA2/股权价值增加表!CA38</f>
        <v>9.3753412011634452E-2</v>
      </c>
      <c r="CB13" s="63">
        <f>1-CB2/股权价值增加表!CB38</f>
        <v>1.2206013694551987E-2</v>
      </c>
      <c r="CC13" s="63">
        <f>1-CC2/股权价值增加表!CC38</f>
        <v>9.9635636176066411E-2</v>
      </c>
      <c r="CD13" s="63">
        <f>1-CD2/股权价值增加表!CD38</f>
        <v>1.9077683228108655E-2</v>
      </c>
      <c r="CE13" s="63">
        <f>1-CE2/股权价值增加表!CE38</f>
        <v>9.2071380162373706E-2</v>
      </c>
      <c r="CF13" s="63">
        <f>1-CF2/股权价值增加表!CF38</f>
        <v>0.10597737278878794</v>
      </c>
      <c r="CG13" s="63">
        <f>1-CG2/股权价值增加表!CG38</f>
        <v>0</v>
      </c>
      <c r="CH13" s="63">
        <f>1-CH2/股权价值增加表!CH38</f>
        <v>0</v>
      </c>
      <c r="CI13" s="63" t="e">
        <f>1-CI2/股权价值增加表!CI38</f>
        <v>#DIV/0!</v>
      </c>
      <c r="CJ13" s="63" t="e">
        <f>1-CJ2/股权价值增加表!CJ38</f>
        <v>#DIV/0!</v>
      </c>
    </row>
    <row r="14" spans="1:89" s="59" customFormat="1">
      <c r="A14" s="145" t="s">
        <v>436</v>
      </c>
      <c r="E14" s="59">
        <f>E6*E7*E9*E10*E12</f>
        <v>1.1131832714296843E-2</v>
      </c>
      <c r="F14" s="59">
        <f t="shared" ref="F14:BQ14" si="4">F6*F7*F9*F10*F12</f>
        <v>5.2173027707535964E-2</v>
      </c>
      <c r="G14" s="59">
        <f t="shared" si="4"/>
        <v>3.2138624498183117E-2</v>
      </c>
      <c r="H14" s="59">
        <f t="shared" si="4"/>
        <v>1.7189118618056734E-2</v>
      </c>
      <c r="I14" s="59">
        <f t="shared" si="4"/>
        <v>5.4770311912169585E-2</v>
      </c>
      <c r="J14" s="59">
        <f t="shared" si="4"/>
        <v>3.2714117313370747E-2</v>
      </c>
      <c r="K14" s="59">
        <f t="shared" si="4"/>
        <v>2.4850132916274397E-2</v>
      </c>
      <c r="L14" s="59">
        <f t="shared" si="4"/>
        <v>8.7444832655310702E-3</v>
      </c>
      <c r="M14" s="59">
        <f t="shared" si="4"/>
        <v>4.7051784908648718E-2</v>
      </c>
      <c r="N14" s="59">
        <f t="shared" si="4"/>
        <v>3.9491113609238619E-2</v>
      </c>
      <c r="O14" s="59">
        <f t="shared" si="4"/>
        <v>2.858531457154628E-2</v>
      </c>
      <c r="P14" s="59">
        <f t="shared" si="4"/>
        <v>1.5517492348642638E-2</v>
      </c>
      <c r="Q14" s="59">
        <f t="shared" si="4"/>
        <v>7.2829749934144011E-2</v>
      </c>
      <c r="R14" s="59">
        <f t="shared" si="4"/>
        <v>4.6197139807451264E-2</v>
      </c>
      <c r="S14" s="59">
        <f t="shared" si="4"/>
        <v>4.1419505342503431E-2</v>
      </c>
      <c r="T14" s="59">
        <f t="shared" si="4"/>
        <v>1.7322493686972119E-2</v>
      </c>
      <c r="U14" s="59">
        <f t="shared" si="4"/>
        <v>7.5728369763709072E-2</v>
      </c>
      <c r="V14" s="59">
        <f t="shared" si="4"/>
        <v>6.147246433110766E-2</v>
      </c>
      <c r="W14" s="59">
        <f t="shared" si="4"/>
        <v>7.326440271758175E-3</v>
      </c>
      <c r="X14" s="59">
        <f t="shared" si="4"/>
        <v>-5.5264338563100097E-3</v>
      </c>
      <c r="Y14" s="59">
        <f t="shared" si="4"/>
        <v>4.1128186849877776E-2</v>
      </c>
      <c r="Z14" s="59">
        <f t="shared" si="4"/>
        <v>4.2975784678051854E-2</v>
      </c>
      <c r="AA14" s="59">
        <f t="shared" si="4"/>
        <v>1.2657740676394151E-2</v>
      </c>
      <c r="AB14" s="59">
        <f t="shared" si="4"/>
        <v>-7.6267364052186575E-3</v>
      </c>
      <c r="AC14" s="59">
        <f t="shared" si="4"/>
        <v>0.10631004702960181</v>
      </c>
      <c r="AD14" s="59">
        <f t="shared" si="4"/>
        <v>2.1227131717409566E-2</v>
      </c>
      <c r="AE14" s="59">
        <f t="shared" si="4"/>
        <v>2.4940648599440372E-2</v>
      </c>
      <c r="AF14" s="59">
        <f t="shared" si="4"/>
        <v>-2.7604952779818051E-3</v>
      </c>
      <c r="AG14" s="59">
        <f t="shared" si="4"/>
        <v>5.533605278106149E-2</v>
      </c>
      <c r="AH14" s="59">
        <f t="shared" si="4"/>
        <v>5.895282640970248E-2</v>
      </c>
      <c r="AI14" s="59">
        <f t="shared" si="4"/>
        <v>3.3180208307263565E-2</v>
      </c>
      <c r="AJ14" s="59">
        <f t="shared" si="4"/>
        <v>5.6863482705170748E-3</v>
      </c>
      <c r="AK14" s="59">
        <f t="shared" si="4"/>
        <v>-0.14361840810145346</v>
      </c>
      <c r="AL14" s="59">
        <f t="shared" si="4"/>
        <v>-0.10293126146149476</v>
      </c>
      <c r="AM14" s="59">
        <f t="shared" si="4"/>
        <v>-9.5770077971409517E-2</v>
      </c>
      <c r="AN14" s="59">
        <f t="shared" si="4"/>
        <v>-5.3989035026979035E-2</v>
      </c>
      <c r="AO14" s="59">
        <f t="shared" si="4"/>
        <v>-2.3672623174323632E-2</v>
      </c>
      <c r="AP14" s="59">
        <f t="shared" si="4"/>
        <v>1.8592171079510198E-2</v>
      </c>
      <c r="AQ14" s="59">
        <f t="shared" si="4"/>
        <v>2.2229835734103795E-2</v>
      </c>
      <c r="AR14" s="59">
        <f t="shared" si="4"/>
        <v>5.73911592146062E-3</v>
      </c>
      <c r="AS14" s="59">
        <f t="shared" si="4"/>
        <v>3.9830291627846348E-2</v>
      </c>
      <c r="AT14" s="59">
        <f t="shared" si="4"/>
        <v>3.294716486912725E-2</v>
      </c>
      <c r="AU14" s="59">
        <f t="shared" si="4"/>
        <v>3.2257988092459514E-2</v>
      </c>
      <c r="AV14" s="59">
        <f t="shared" si="4"/>
        <v>1.2877293552323367E-2</v>
      </c>
      <c r="AW14" s="59">
        <f t="shared" si="4"/>
        <v>0.10689723106562715</v>
      </c>
      <c r="AX14" s="59">
        <f t="shared" si="4"/>
        <v>8.5294859785319782E-2</v>
      </c>
      <c r="AY14" s="59">
        <f t="shared" si="4"/>
        <v>5.1677769179824209E-2</v>
      </c>
      <c r="AZ14" s="59">
        <f t="shared" si="4"/>
        <v>1.659196189620037E-2</v>
      </c>
      <c r="BA14" s="59">
        <f t="shared" si="4"/>
        <v>6.4898704549189043E-2</v>
      </c>
      <c r="BB14" s="59">
        <f t="shared" si="4"/>
        <v>4.9048428397494542E-2</v>
      </c>
      <c r="BC14" s="59">
        <f t="shared" si="4"/>
        <v>4.0568090439852558E-2</v>
      </c>
      <c r="BD14" s="59">
        <f t="shared" si="4"/>
        <v>1.4458259461529416E-2</v>
      </c>
      <c r="BE14" s="59">
        <f t="shared" si="4"/>
        <v>0.1215236615337642</v>
      </c>
      <c r="BF14" s="59">
        <f t="shared" si="4"/>
        <v>6.1240470440056406E-2</v>
      </c>
      <c r="BG14" s="59">
        <f t="shared" si="4"/>
        <v>4.6458837699009804E-2</v>
      </c>
      <c r="BH14" s="59">
        <f t="shared" si="4"/>
        <v>1.5067553898765219E-2</v>
      </c>
      <c r="BI14" s="59">
        <f t="shared" si="4"/>
        <v>6.1525811570573158E-2</v>
      </c>
      <c r="BJ14" s="59">
        <f t="shared" si="4"/>
        <v>3.710596000520696E-2</v>
      </c>
      <c r="BK14" s="59">
        <f t="shared" si="4"/>
        <v>2.8177448958240956E-2</v>
      </c>
      <c r="BL14" s="59">
        <f t="shared" si="4"/>
        <v>1.5841356765279972E-2</v>
      </c>
      <c r="BM14" s="59">
        <f t="shared" si="4"/>
        <v>-4.6923515974904774E-2</v>
      </c>
      <c r="BN14" s="59">
        <f t="shared" si="4"/>
        <v>4.6139203351457415E-3</v>
      </c>
      <c r="BO14" s="59">
        <f t="shared" si="4"/>
        <v>1.9322591997996887E-2</v>
      </c>
      <c r="BP14" s="59">
        <f t="shared" si="4"/>
        <v>1.0319132274479153E-2</v>
      </c>
      <c r="BQ14" s="59">
        <f t="shared" si="4"/>
        <v>2.150642661097537E-2</v>
      </c>
      <c r="BR14" s="59">
        <f t="shared" ref="BR14:CJ14" si="5">BR6*BR7*BR9*BR10*BR12</f>
        <v>2.1323766225945898E-2</v>
      </c>
      <c r="BS14" s="59">
        <f t="shared" si="5"/>
        <v>8.9280501019939659E-2</v>
      </c>
      <c r="BT14" s="59">
        <f t="shared" si="5"/>
        <v>4.2580601896006806E-2</v>
      </c>
      <c r="BU14" s="59">
        <f t="shared" si="5"/>
        <v>6.2684193042040121E-2</v>
      </c>
      <c r="BV14" s="59">
        <f t="shared" si="5"/>
        <v>2.9418926493192738E-2</v>
      </c>
      <c r="BW14" s="59">
        <f t="shared" si="5"/>
        <v>7.8578892304002765E-2</v>
      </c>
      <c r="BX14" s="59">
        <f t="shared" si="5"/>
        <v>4.3299995736020044E-2</v>
      </c>
      <c r="BY14" s="59">
        <f t="shared" si="5"/>
        <v>0.20689334825491115</v>
      </c>
      <c r="BZ14" s="59">
        <f t="shared" si="5"/>
        <v>0.55402526501312466</v>
      </c>
      <c r="CA14" s="59">
        <f t="shared" si="5"/>
        <v>9.9599279028769055E-2</v>
      </c>
      <c r="CB14" s="59">
        <f t="shared" si="5"/>
        <v>0.40215744500333311</v>
      </c>
      <c r="CC14" s="59">
        <f t="shared" si="5"/>
        <v>0.17991183057712007</v>
      </c>
      <c r="CD14" s="59">
        <f t="shared" si="5"/>
        <v>0.39264915943302942</v>
      </c>
      <c r="CE14" s="59">
        <f t="shared" si="5"/>
        <v>0.25009073974424778</v>
      </c>
      <c r="CF14" s="59">
        <f t="shared" si="5"/>
        <v>0.164353273782336</v>
      </c>
      <c r="CG14" s="59">
        <f t="shared" si="5"/>
        <v>0.41536155246617901</v>
      </c>
      <c r="CH14" s="59">
        <f t="shared" si="5"/>
        <v>0.4537139127290048</v>
      </c>
      <c r="CI14" s="59" t="e">
        <f t="shared" si="5"/>
        <v>#DIV/0!</v>
      </c>
      <c r="CJ14" s="59" t="e">
        <f t="shared" si="5"/>
        <v>#DIV/0!</v>
      </c>
    </row>
    <row r="15" spans="1:89" s="16" customFormat="1" ht="195" customHeight="1">
      <c r="A15" s="279" t="s">
        <v>697</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row r="18" spans="1:89" s="249" customFormat="1">
      <c r="A18" s="248"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37346</v>
      </c>
      <c r="BQ18" s="1">
        <v>37256</v>
      </c>
      <c r="BR18" s="1">
        <v>37072</v>
      </c>
      <c r="BS18" s="1">
        <v>36891</v>
      </c>
      <c r="BT18" s="1">
        <v>36707</v>
      </c>
      <c r="BU18" s="1">
        <v>36525</v>
      </c>
      <c r="BV18" s="1">
        <v>36341</v>
      </c>
      <c r="BW18" s="1">
        <v>36160</v>
      </c>
      <c r="BX18" s="1">
        <v>35976</v>
      </c>
      <c r="BY18" s="1">
        <v>35795</v>
      </c>
      <c r="BZ18" s="1">
        <v>35611</v>
      </c>
      <c r="CA18" s="1">
        <v>35430</v>
      </c>
      <c r="CB18" s="1">
        <v>35246</v>
      </c>
      <c r="CC18" s="1">
        <v>35064</v>
      </c>
      <c r="CD18" s="1">
        <v>34880</v>
      </c>
      <c r="CE18" s="1">
        <v>34699</v>
      </c>
      <c r="CF18" s="1">
        <v>34334</v>
      </c>
      <c r="CG18" s="1">
        <v>33969</v>
      </c>
      <c r="CH18" s="1">
        <v>33603</v>
      </c>
      <c r="CI18" s="1">
        <v>25569</v>
      </c>
      <c r="CJ18" s="1"/>
      <c r="CK18" s="1"/>
    </row>
    <row r="19" spans="1:89" s="116" customFormat="1">
      <c r="A19" s="158" t="s">
        <v>446</v>
      </c>
      <c r="B19" s="76">
        <v>43373</v>
      </c>
      <c r="C19" s="76">
        <v>43281</v>
      </c>
      <c r="D19" s="76">
        <v>43190</v>
      </c>
      <c r="E19" s="76">
        <f>股权价值增加表!E4</f>
        <v>14012500489.6</v>
      </c>
      <c r="F19" s="76">
        <f>股权价值增加表!F4</f>
        <v>10101263607.549999</v>
      </c>
      <c r="G19" s="76">
        <f>股权价值增加表!G4</f>
        <v>6204369367.1700001</v>
      </c>
      <c r="H19" s="76">
        <f>股权价值增加表!H4</f>
        <v>2902672264.27</v>
      </c>
      <c r="I19" s="76">
        <f>股权价值增加表!I4</f>
        <v>10736756430.530001</v>
      </c>
      <c r="J19" s="76">
        <f>股权价值增加表!J4</f>
        <v>7753412466.4899998</v>
      </c>
      <c r="K19" s="76">
        <f>股权价值增加表!K4</f>
        <v>4970453217</v>
      </c>
      <c r="L19" s="76">
        <f>股权价值增加表!L4</f>
        <v>2451540177.1700001</v>
      </c>
      <c r="M19" s="76">
        <f>股权价值增加表!M4</f>
        <v>10530002724</v>
      </c>
      <c r="N19" s="76">
        <f>股权价值增加表!N4</f>
        <v>7798701732.9399996</v>
      </c>
      <c r="O19" s="76">
        <f>股权价值增加表!O4</f>
        <v>5137805297</v>
      </c>
      <c r="P19" s="76">
        <f>股权价值增加表!P4</f>
        <v>2440217347.02</v>
      </c>
      <c r="Q19" s="76">
        <f>股权价值增加表!Q4</f>
        <v>9322363339</v>
      </c>
      <c r="R19" s="76">
        <f>股权价值增加表!R4</f>
        <v>6534329893.3699999</v>
      </c>
      <c r="S19" s="76">
        <f>股权价值增加表!S4</f>
        <v>2485591860</v>
      </c>
      <c r="T19" s="76">
        <f>股权价值增加表!T4</f>
        <v>1179748523.6800001</v>
      </c>
      <c r="U19" s="76">
        <f>股权价值增加表!U4</f>
        <v>4519377681</v>
      </c>
      <c r="V19" s="76">
        <f>股权价值增加表!V4</f>
        <v>3497195925</v>
      </c>
      <c r="W19" s="76">
        <f>股权价值增加表!W4</f>
        <v>2251106750</v>
      </c>
      <c r="X19" s="76">
        <f>股权价值增加表!X4</f>
        <v>1040384420.38</v>
      </c>
      <c r="Y19" s="76">
        <f>股权价值增加表!Y4</f>
        <v>4333544367</v>
      </c>
      <c r="Z19" s="76">
        <f>股权价值增加表!Z4</f>
        <v>3309222233</v>
      </c>
      <c r="AA19" s="76">
        <f>股权价值增加表!AA4</f>
        <v>2237318777</v>
      </c>
      <c r="AB19" s="76">
        <f>股权价值增加表!AB4</f>
        <v>983311090.32000005</v>
      </c>
      <c r="AC19" s="76">
        <f>股权价值增加表!AC4</f>
        <v>4614967219</v>
      </c>
      <c r="AD19" s="76">
        <f>股权价值增加表!AD4</f>
        <v>3351943781.3899999</v>
      </c>
      <c r="AE19" s="76">
        <f>股权价值增加表!AE4</f>
        <v>2109214855</v>
      </c>
      <c r="AF19" s="76">
        <f>股权价值增加表!AF4</f>
        <v>1016773975.08</v>
      </c>
      <c r="AG19" s="76">
        <f>股权价值增加表!AG4</f>
        <v>3454211508</v>
      </c>
      <c r="AH19" s="76">
        <f>股权价值增加表!AH4</f>
        <v>2331874989.3000002</v>
      </c>
      <c r="AI19" s="76">
        <f>股权价值增加表!AI4</f>
        <v>1482501080.6800001</v>
      </c>
      <c r="AJ19" s="76">
        <f>股权价值增加表!AJ4</f>
        <v>654990128.36000001</v>
      </c>
      <c r="AK19" s="76">
        <f>股权价值增加表!AK4</f>
        <v>2190447604.0900002</v>
      </c>
      <c r="AL19" s="76">
        <f>股权价值增加表!AL4</f>
        <v>1582234481.26</v>
      </c>
      <c r="AM19" s="76">
        <f>股权价值增加表!AM4</f>
        <v>877566161.70000005</v>
      </c>
      <c r="AN19" s="76">
        <f>股权价值增加表!AN4</f>
        <v>348986536.45999998</v>
      </c>
      <c r="AO19" s="76">
        <f>股权价值增加表!AO4</f>
        <v>1376252455.3199999</v>
      </c>
      <c r="AP19" s="76">
        <f>股权价值增加表!AP4</f>
        <v>1039055393.03</v>
      </c>
      <c r="AQ19" s="76">
        <f>股权价值增加表!AQ4</f>
        <v>688263087.98000002</v>
      </c>
      <c r="AR19" s="76">
        <f>股权价值增加表!AR4</f>
        <v>345739706.98000002</v>
      </c>
      <c r="AS19" s="76">
        <f>股权价值增加表!AS4</f>
        <v>1721551769.9000001</v>
      </c>
      <c r="AT19" s="76">
        <f>股权价值增加表!AT4</f>
        <v>1233069401.45</v>
      </c>
      <c r="AU19" s="76">
        <f>股权价值增加表!AU4</f>
        <v>766793416.89999998</v>
      </c>
      <c r="AV19" s="76">
        <f>股权价值增加表!AV4</f>
        <v>353680370.72000003</v>
      </c>
      <c r="AW19" s="76">
        <f>股权价值增加表!AW4</f>
        <v>1511181193.1300001</v>
      </c>
      <c r="AX19" s="76">
        <f>股权价值增加表!AX4</f>
        <v>1021355833.87</v>
      </c>
      <c r="AY19" s="76">
        <f>股权价值增加表!AY4</f>
        <v>640682641.66999996</v>
      </c>
      <c r="AZ19" s="76">
        <f>股权价值增加表!AZ4</f>
        <v>252638836.43000001</v>
      </c>
      <c r="BA19" s="76">
        <f>股权价值增加表!BA4</f>
        <v>1102472837.22</v>
      </c>
      <c r="BB19" s="76">
        <f>股权价值增加表!BB4</f>
        <v>757278828.25999999</v>
      </c>
      <c r="BC19" s="76">
        <f>股权价值增加表!BC4</f>
        <v>525047305.04000002</v>
      </c>
      <c r="BD19" s="76">
        <f>股权价值增加表!BD4</f>
        <v>235781336</v>
      </c>
      <c r="BE19" s="76">
        <f>股权价值增加表!BE4</f>
        <v>1070912713.53</v>
      </c>
      <c r="BF19" s="76">
        <f>股权价值增加表!BF4</f>
        <v>658451923.87</v>
      </c>
      <c r="BG19" s="76">
        <f>股权价值增加表!BG4</f>
        <v>440634384.5</v>
      </c>
      <c r="BH19" s="76">
        <f>股权价值增加表!BH4</f>
        <v>175134049.22999999</v>
      </c>
      <c r="BI19" s="76">
        <f>股权价值增加表!BI4</f>
        <v>635780184.69000006</v>
      </c>
      <c r="BJ19" s="76">
        <f>股权价值增加表!BJ4</f>
        <v>444161175.67000002</v>
      </c>
      <c r="BK19" s="76">
        <f>股权价值增加表!BK4</f>
        <v>259543114.94999999</v>
      </c>
      <c r="BL19" s="76">
        <f>股权价值增加表!BL4</f>
        <v>108906147.65000001</v>
      </c>
      <c r="BM19" s="76">
        <f>股权价值增加表!BM4</f>
        <v>325573860.41000003</v>
      </c>
      <c r="BN19" s="76">
        <f>股权价值增加表!BN4</f>
        <v>242239931.31999999</v>
      </c>
      <c r="BO19" s="76">
        <f>股权价值增加表!BO4</f>
        <v>150534298.19999999</v>
      </c>
      <c r="BP19" s="76">
        <f>股权价值增加表!BP4</f>
        <v>64662895.729999997</v>
      </c>
      <c r="BQ19" s="76">
        <f>股权价值增加表!BQ4</f>
        <v>278936200.85000002</v>
      </c>
      <c r="BR19" s="76">
        <f>股权价值增加表!BR4</f>
        <v>151843112.88999999</v>
      </c>
      <c r="BS19" s="76">
        <f>股权价值增加表!BS4</f>
        <v>317613770.89999998</v>
      </c>
      <c r="BT19" s="76">
        <f>股权价值增加表!BT4</f>
        <v>155847802.03</v>
      </c>
      <c r="BU19" s="76">
        <f>股权价值增加表!BU4</f>
        <v>269058645.97000003</v>
      </c>
      <c r="BV19" s="76">
        <f>股权价值增加表!BV4</f>
        <v>123867036.98</v>
      </c>
      <c r="BW19" s="76">
        <f>股权价值增加表!BW4</f>
        <v>172359929.78999999</v>
      </c>
      <c r="BX19" s="76">
        <f>股权价值增加表!BX4</f>
        <v>96802269.069999993</v>
      </c>
      <c r="BY19" s="76">
        <f>股权价值增加表!BY4</f>
        <v>219024479.13999999</v>
      </c>
      <c r="BZ19" s="76">
        <f>股权价值增加表!BZ4</f>
        <v>104071345.44</v>
      </c>
      <c r="CA19" s="76">
        <f>股权价值增加表!CA4</f>
        <v>153766691.63999999</v>
      </c>
      <c r="CB19" s="76">
        <f>股权价值增加表!CB4</f>
        <v>65350000</v>
      </c>
      <c r="CC19" s="76">
        <f>股权价值增加表!CC4</f>
        <v>150277584.41999999</v>
      </c>
      <c r="CD19" s="76">
        <f>股权价值增加表!CD4</f>
        <v>72860000</v>
      </c>
      <c r="CE19" s="76">
        <f>股权价值增加表!CE4</f>
        <v>172102849.21000001</v>
      </c>
      <c r="CF19" s="76">
        <f>股权价值增加表!CF4</f>
        <v>134608301.97</v>
      </c>
      <c r="CG19" s="76">
        <f>股权价值增加表!CG4</f>
        <v>110910400</v>
      </c>
      <c r="CH19" s="76">
        <f>股权价值增加表!CH4</f>
        <v>59300500</v>
      </c>
      <c r="CI19" s="76">
        <f>股权价值增加表!CI4</f>
        <v>0</v>
      </c>
      <c r="CJ19" s="76">
        <f>股权价值增加表!CJ4</f>
        <v>0</v>
      </c>
      <c r="CK19" s="76">
        <f>股权价值增加表!CK4</f>
        <v>0</v>
      </c>
    </row>
    <row r="20" spans="1:89" s="76" customFormat="1">
      <c r="A20" s="158" t="s">
        <v>447</v>
      </c>
      <c r="E20" s="76">
        <f>股权价值增加表!E15</f>
        <v>622028383.90000033</v>
      </c>
      <c r="F20" s="76">
        <f>股权价值增加表!F15</f>
        <v>1066139947.7499995</v>
      </c>
      <c r="G20" s="76">
        <f>股权价值增加表!G15</f>
        <v>642902064.40000057</v>
      </c>
      <c r="H20" s="76">
        <f>股权价值增加表!H15</f>
        <v>331828835.26999998</v>
      </c>
      <c r="I20" s="76">
        <f>股权价值增加表!I15</f>
        <v>542457874.71000075</v>
      </c>
      <c r="J20" s="76">
        <f>股权价值增加表!J15</f>
        <v>437052534.49999952</v>
      </c>
      <c r="K20" s="76">
        <f>股权价值增加表!K15</f>
        <v>304491602</v>
      </c>
      <c r="L20" s="76">
        <f>股权价值增加表!L15</f>
        <v>143016676.64999998</v>
      </c>
      <c r="M20" s="76">
        <f>股权价值增加表!M15</f>
        <v>602244438</v>
      </c>
      <c r="N20" s="76">
        <f>股权价值增加表!N15</f>
        <v>392342859.26999992</v>
      </c>
      <c r="O20" s="76">
        <f>股权价值增加表!O15</f>
        <v>322736774</v>
      </c>
      <c r="P20" s="76">
        <f>股权价值增加表!P15</f>
        <v>179744385.50999993</v>
      </c>
      <c r="Q20" s="76">
        <f>股权价值增加表!Q15</f>
        <v>965176630</v>
      </c>
      <c r="R20" s="76">
        <f>股权价值增加表!R15</f>
        <v>559664735.83999991</v>
      </c>
      <c r="S20" s="76">
        <f>股权价值增加表!S15</f>
        <v>205971517</v>
      </c>
      <c r="T20" s="76">
        <f>股权价值增加表!T15</f>
        <v>89986257.410000056</v>
      </c>
      <c r="U20" s="76">
        <f>股权价值增加表!U15</f>
        <v>408196146</v>
      </c>
      <c r="V20" s="76">
        <f>股权价值增加表!V15</f>
        <v>334074733</v>
      </c>
      <c r="W20" s="76">
        <f>股权价值增加表!W15</f>
        <v>97976954</v>
      </c>
      <c r="X20" s="76">
        <f>股权价值增加表!X15</f>
        <v>24695110.090000007</v>
      </c>
      <c r="Y20" s="76">
        <f>股权价值增加表!Y15</f>
        <v>319110286</v>
      </c>
      <c r="Z20" s="76">
        <f>股权价值增加表!Z15</f>
        <v>271207480</v>
      </c>
      <c r="AA20" s="76">
        <f>股权价值增加表!AA15</f>
        <v>116961210</v>
      </c>
      <c r="AB20" s="76">
        <f>股权价值增加表!AB15</f>
        <v>18212092.950000018</v>
      </c>
      <c r="AC20" s="76">
        <f>股权价值增加表!AC15</f>
        <v>410689195</v>
      </c>
      <c r="AD20" s="76">
        <f>股权价值增加表!AD15</f>
        <v>199805807.76999977</v>
      </c>
      <c r="AE20" s="76">
        <f>股权价值增加表!AE15</f>
        <v>128700021</v>
      </c>
      <c r="AF20" s="76">
        <f>股权价值增加表!AF15</f>
        <v>36108948.480000064</v>
      </c>
      <c r="AG20" s="76">
        <f>股权价值增加表!AG15</f>
        <v>291838263</v>
      </c>
      <c r="AH20" s="76">
        <f>股权价值增加表!AH15</f>
        <v>235077163.90000015</v>
      </c>
      <c r="AI20" s="76">
        <f>股权价值增加表!AI15</f>
        <v>136961391.85000005</v>
      </c>
      <c r="AJ20" s="76">
        <f>股权价值增加表!AJ15</f>
        <v>33043191.660000052</v>
      </c>
      <c r="AK20" s="76">
        <f>股权价值增加表!AK15</f>
        <v>-220265308.31999987</v>
      </c>
      <c r="AL20" s="76">
        <f>股权价值增加表!AL15</f>
        <v>-121941583.04000004</v>
      </c>
      <c r="AM20" s="76">
        <f>股权价值增加表!AM15</f>
        <v>-141790957.22999999</v>
      </c>
      <c r="AN20" s="76">
        <f>股权价值增加表!AN15</f>
        <v>-89072299.289999992</v>
      </c>
      <c r="AO20" s="76">
        <f>股权价值增加表!AO15</f>
        <v>-101109357.41000007</v>
      </c>
      <c r="AP20" s="76">
        <f>股权价值增加表!AP15</f>
        <v>1556402.5899999272</v>
      </c>
      <c r="AQ20" s="76">
        <f>股权价值增加表!AQ15</f>
        <v>14474392.320000071</v>
      </c>
      <c r="AR20" s="76">
        <f>股权价值增加表!AR15</f>
        <v>15966524.570000019</v>
      </c>
      <c r="AS20" s="76">
        <f>股权价值增加表!AS15</f>
        <v>114545685.67000003</v>
      </c>
      <c r="AT20" s="76">
        <f>股权价值增加表!AT15</f>
        <v>90831840.300000027</v>
      </c>
      <c r="AU20" s="76">
        <f>股权价值增加表!AU15</f>
        <v>60923183.05999998</v>
      </c>
      <c r="AV20" s="76">
        <f>股权价值增加表!AV15</f>
        <v>22474257.010000009</v>
      </c>
      <c r="AW20" s="76">
        <f>股权价值增加表!AW15</f>
        <v>141083440.74000013</v>
      </c>
      <c r="AX20" s="76">
        <f>股权价值增加表!AX15</f>
        <v>102932056.15000001</v>
      </c>
      <c r="AY20" s="76">
        <f>股权价值增加表!AY15</f>
        <v>58257020.669999987</v>
      </c>
      <c r="AZ20" s="76">
        <f>股权价值增加表!AZ15</f>
        <v>20298201.310000006</v>
      </c>
      <c r="BA20" s="76">
        <f>股权价值增加表!BA15</f>
        <v>76356034.349999979</v>
      </c>
      <c r="BB20" s="76">
        <f>股权价值增加表!BB15</f>
        <v>56532746.720000014</v>
      </c>
      <c r="BC20" s="76">
        <f>股权价值增加表!BC15</f>
        <v>44895050.930000044</v>
      </c>
      <c r="BD20" s="76">
        <f>股权价值增加表!BD15</f>
        <v>18238349.249999993</v>
      </c>
      <c r="BE20" s="76">
        <f>股权价值增加表!BE15</f>
        <v>115867508.66000001</v>
      </c>
      <c r="BF20" s="76">
        <f>股权价值增加表!BF15</f>
        <v>66136694.689999998</v>
      </c>
      <c r="BG20" s="76">
        <f>股权价值增加表!BG15</f>
        <v>48684927.759999998</v>
      </c>
      <c r="BH20" s="76">
        <f>股权价值增加表!BH15</f>
        <v>18005550.459999982</v>
      </c>
      <c r="BI20" s="76">
        <f>股权价值增加表!BI15</f>
        <v>70833301.840000063</v>
      </c>
      <c r="BJ20" s="76">
        <f>股权价值增加表!BJ15</f>
        <v>41662006.200000033</v>
      </c>
      <c r="BK20" s="76">
        <f>股权价值增加表!BK15</f>
        <v>30544460.409999982</v>
      </c>
      <c r="BL20" s="76">
        <f>股权价值增加表!BL15</f>
        <v>16342784.1</v>
      </c>
      <c r="BM20" s="76">
        <f>股权价值增加表!BM15</f>
        <v>-15703270.519999962</v>
      </c>
      <c r="BN20" s="76">
        <f>股权价值增加表!BN15</f>
        <v>14245599.479999986</v>
      </c>
      <c r="BO20" s="76">
        <f>股权价值增加表!BO15</f>
        <v>19286449.809999984</v>
      </c>
      <c r="BP20" s="76">
        <f>股权价值增加表!BP15</f>
        <v>9791079.3099999949</v>
      </c>
      <c r="BQ20" s="76">
        <f>股权价值增加表!BQ15</f>
        <v>19409155.360000033</v>
      </c>
      <c r="BR20" s="76">
        <f>股权价值增加表!BR15</f>
        <v>23266859.279999983</v>
      </c>
      <c r="BS20" s="76">
        <f>股权价值增加表!BS15</f>
        <v>40302176.649999984</v>
      </c>
      <c r="BT20" s="76">
        <f>股权价值增加表!BT15</f>
        <v>20304078.609999992</v>
      </c>
      <c r="BU20" s="76">
        <f>股权价值增加表!BU15</f>
        <v>25440622.920000013</v>
      </c>
      <c r="BV20" s="76">
        <f>股权价值增加表!BV15</f>
        <v>11591376.340000007</v>
      </c>
      <c r="BW20" s="76">
        <f>股权价值增加表!BW15</f>
        <v>27750992.299999997</v>
      </c>
      <c r="BX20" s="76">
        <f>股权价值增加表!BX15</f>
        <v>15076023.919999992</v>
      </c>
      <c r="BY20" s="76">
        <f>股权价值增加表!BY15</f>
        <v>45375926.55999998</v>
      </c>
      <c r="BZ20" s="76">
        <f>股权价值增加表!BZ15</f>
        <v>104071345.44</v>
      </c>
      <c r="CA20" s="76">
        <f>股权价值增加表!CA15</f>
        <v>16035094.09999999</v>
      </c>
      <c r="CB20" s="76">
        <f>股权价值增加表!CB15</f>
        <v>65350000</v>
      </c>
      <c r="CC20" s="76">
        <f>股权价值增加表!CC15</f>
        <v>37546977.569999985</v>
      </c>
      <c r="CD20" s="76">
        <f>股权价值增加表!CD15</f>
        <v>72860000</v>
      </c>
      <c r="CE20" s="76">
        <f>股权价值增加表!CE15</f>
        <v>37826272.270000011</v>
      </c>
      <c r="CF20" s="76">
        <f>股权价值增加表!CF15</f>
        <v>26132420.100000001</v>
      </c>
      <c r="CG20" s="76">
        <f>股权价值增加表!CG15</f>
        <v>31780600</v>
      </c>
      <c r="CH20" s="76">
        <f>股权价值增加表!CH15</f>
        <v>15431400</v>
      </c>
      <c r="CI20" s="76">
        <f>股权价值增加表!CI15</f>
        <v>0</v>
      </c>
      <c r="CJ20" s="76">
        <f>股权价值增加表!CJ15</f>
        <v>0</v>
      </c>
      <c r="CK20" s="76">
        <f>股权价值增加表!CK15</f>
        <v>0</v>
      </c>
    </row>
    <row r="21" spans="1:89" s="243" customFormat="1">
      <c r="A21" s="233" t="s">
        <v>448</v>
      </c>
      <c r="E21" s="243">
        <f>E20/E19</f>
        <v>4.4390962509629622E-2</v>
      </c>
      <c r="F21" s="243">
        <f t="shared" ref="F21:BQ21" si="6">F20/F19</f>
        <v>0.10554520594365376</v>
      </c>
      <c r="G21" s="243">
        <f t="shared" si="6"/>
        <v>0.10362085594095562</v>
      </c>
      <c r="H21" s="243">
        <f t="shared" si="6"/>
        <v>0.11431839527823938</v>
      </c>
      <c r="I21" s="243">
        <f t="shared" si="6"/>
        <v>5.0523440502712728E-2</v>
      </c>
      <c r="J21" s="243">
        <f t="shared" si="6"/>
        <v>5.6369055095279216E-2</v>
      </c>
      <c r="K21" s="243">
        <f t="shared" si="6"/>
        <v>6.1260329532641891E-2</v>
      </c>
      <c r="L21" s="243">
        <f t="shared" si="6"/>
        <v>5.8337480242765201E-2</v>
      </c>
      <c r="M21" s="243">
        <f t="shared" si="6"/>
        <v>5.7193189193328837E-2</v>
      </c>
      <c r="N21" s="243">
        <f t="shared" si="6"/>
        <v>5.0308740185924801E-2</v>
      </c>
      <c r="O21" s="243">
        <f t="shared" si="6"/>
        <v>6.2816077165954151E-2</v>
      </c>
      <c r="P21" s="243">
        <f t="shared" si="6"/>
        <v>7.3659170454428685E-2</v>
      </c>
      <c r="Q21" s="243">
        <f t="shared" si="6"/>
        <v>0.10353347052696334</v>
      </c>
      <c r="R21" s="243">
        <f t="shared" si="6"/>
        <v>8.5649905188879244E-2</v>
      </c>
      <c r="S21" s="243">
        <f t="shared" si="6"/>
        <v>8.2866185842755374E-2</v>
      </c>
      <c r="T21" s="243">
        <f t="shared" si="6"/>
        <v>7.6275795734251167E-2</v>
      </c>
      <c r="U21" s="243">
        <f t="shared" si="6"/>
        <v>9.0321317405293436E-2</v>
      </c>
      <c r="V21" s="243">
        <f t="shared" si="6"/>
        <v>9.5526456099253296E-2</v>
      </c>
      <c r="W21" s="243">
        <f t="shared" si="6"/>
        <v>4.352390396412787E-2</v>
      </c>
      <c r="X21" s="243">
        <f t="shared" si="6"/>
        <v>2.3736524313753303E-2</v>
      </c>
      <c r="Y21" s="243">
        <f t="shared" si="6"/>
        <v>7.3637249091074095E-2</v>
      </c>
      <c r="Z21" s="243">
        <f t="shared" si="6"/>
        <v>8.1955051944074139E-2</v>
      </c>
      <c r="AA21" s="243">
        <f t="shared" si="6"/>
        <v>5.2277400611115507E-2</v>
      </c>
      <c r="AB21" s="243">
        <f t="shared" si="6"/>
        <v>1.8521191441126975E-2</v>
      </c>
      <c r="AC21" s="243">
        <f t="shared" si="6"/>
        <v>8.8990706869850902E-2</v>
      </c>
      <c r="AD21" s="243">
        <f t="shared" si="6"/>
        <v>5.9608937619813944E-2</v>
      </c>
      <c r="AE21" s="243">
        <f t="shared" si="6"/>
        <v>6.1017975809771169E-2</v>
      </c>
      <c r="AF21" s="243">
        <f t="shared" si="6"/>
        <v>3.5513250107683962E-2</v>
      </c>
      <c r="AG21" s="243">
        <f t="shared" si="6"/>
        <v>8.4487664500016477E-2</v>
      </c>
      <c r="AH21" s="243">
        <f t="shared" si="6"/>
        <v>0.10081036289624058</v>
      </c>
      <c r="AI21" s="243">
        <f t="shared" si="6"/>
        <v>9.2385357174362401E-2</v>
      </c>
      <c r="AJ21" s="243">
        <f t="shared" si="6"/>
        <v>5.0448381172912324E-2</v>
      </c>
      <c r="AK21" s="243">
        <f t="shared" si="6"/>
        <v>-0.10055721392683434</v>
      </c>
      <c r="AL21" s="243">
        <f t="shared" si="6"/>
        <v>-7.7069223610202714E-2</v>
      </c>
      <c r="AM21" s="243">
        <f t="shared" si="6"/>
        <v>-0.16157295417513132</v>
      </c>
      <c r="AN21" s="243">
        <f t="shared" si="6"/>
        <v>-0.25523133411826976</v>
      </c>
      <c r="AO21" s="243">
        <f t="shared" si="6"/>
        <v>-7.3467158600992719E-2</v>
      </c>
      <c r="AP21" s="243">
        <f t="shared" si="6"/>
        <v>1.4979014597684592E-3</v>
      </c>
      <c r="AQ21" s="243">
        <f t="shared" si="6"/>
        <v>2.1030319034660589E-2</v>
      </c>
      <c r="AR21" s="243">
        <f t="shared" si="6"/>
        <v>4.6180766188141743E-2</v>
      </c>
      <c r="AS21" s="243">
        <f t="shared" si="6"/>
        <v>6.6536300373153265E-2</v>
      </c>
      <c r="AT21" s="243">
        <f t="shared" si="6"/>
        <v>7.3663201919687879E-2</v>
      </c>
      <c r="AU21" s="243">
        <f t="shared" si="6"/>
        <v>7.945188588903232E-2</v>
      </c>
      <c r="AV21" s="243">
        <f t="shared" si="6"/>
        <v>6.3543976060216015E-2</v>
      </c>
      <c r="AW21" s="243">
        <f t="shared" si="6"/>
        <v>9.3359711847514612E-2</v>
      </c>
      <c r="AX21" s="243">
        <f t="shared" si="6"/>
        <v>0.10077981907635668</v>
      </c>
      <c r="AY21" s="243">
        <f t="shared" si="6"/>
        <v>9.0929606767786858E-2</v>
      </c>
      <c r="AZ21" s="243">
        <f t="shared" si="6"/>
        <v>8.0344738745755498E-2</v>
      </c>
      <c r="BA21" s="243">
        <f t="shared" si="6"/>
        <v>6.9258880375265897E-2</v>
      </c>
      <c r="BB21" s="243">
        <f t="shared" si="6"/>
        <v>7.4652485465486126E-2</v>
      </c>
      <c r="BC21" s="243">
        <f t="shared" si="6"/>
        <v>8.5506678158418073E-2</v>
      </c>
      <c r="BD21" s="243">
        <f t="shared" si="6"/>
        <v>7.735281154739064E-2</v>
      </c>
      <c r="BE21" s="243">
        <f t="shared" si="6"/>
        <v>0.10819510049336449</v>
      </c>
      <c r="BF21" s="243">
        <f t="shared" si="6"/>
        <v>0.10044270855993057</v>
      </c>
      <c r="BG21" s="243">
        <f t="shared" si="6"/>
        <v>0.11048826299664319</v>
      </c>
      <c r="BH21" s="243">
        <f t="shared" si="6"/>
        <v>0.10281010768130906</v>
      </c>
      <c r="BI21" s="243">
        <f t="shared" si="6"/>
        <v>0.11141162235897248</v>
      </c>
      <c r="BJ21" s="243">
        <f t="shared" si="6"/>
        <v>9.3799297377026483E-2</v>
      </c>
      <c r="BK21" s="243">
        <f t="shared" si="6"/>
        <v>0.11768549674640477</v>
      </c>
      <c r="BL21" s="243">
        <f t="shared" si="6"/>
        <v>0.15006300794443719</v>
      </c>
      <c r="BM21" s="243">
        <f t="shared" si="6"/>
        <v>-4.8232589988104695E-2</v>
      </c>
      <c r="BN21" s="243">
        <f t="shared" si="6"/>
        <v>5.8807808449968094E-2</v>
      </c>
      <c r="BO21" s="243">
        <f t="shared" si="6"/>
        <v>0.12811997027000446</v>
      </c>
      <c r="BP21" s="243">
        <f t="shared" si="6"/>
        <v>0.15141727260224563</v>
      </c>
      <c r="BQ21" s="243">
        <f t="shared" si="6"/>
        <v>6.9582776638007798E-2</v>
      </c>
      <c r="BR21" s="243">
        <f t="shared" ref="BR21:CK21" si="7">BR20/BR19</f>
        <v>0.15322959887456497</v>
      </c>
      <c r="BS21" s="243">
        <f t="shared" si="7"/>
        <v>0.12689052031906084</v>
      </c>
      <c r="BT21" s="243">
        <f t="shared" si="7"/>
        <v>0.13028145630242222</v>
      </c>
      <c r="BU21" s="243">
        <f t="shared" si="7"/>
        <v>9.4554192184690605E-2</v>
      </c>
      <c r="BV21" s="243">
        <f t="shared" si="7"/>
        <v>9.3579184766255374E-2</v>
      </c>
      <c r="BW21" s="243">
        <f t="shared" si="7"/>
        <v>0.16100605479365923</v>
      </c>
      <c r="BX21" s="243">
        <f t="shared" si="7"/>
        <v>0.15574039807990622</v>
      </c>
      <c r="BY21" s="243">
        <f t="shared" si="7"/>
        <v>0.20717285455109236</v>
      </c>
      <c r="BZ21" s="243">
        <f t="shared" si="7"/>
        <v>1</v>
      </c>
      <c r="CA21" s="243">
        <f t="shared" si="7"/>
        <v>0.10428197374202147</v>
      </c>
      <c r="CB21" s="243">
        <f t="shared" si="7"/>
        <v>1</v>
      </c>
      <c r="CC21" s="243">
        <f t="shared" si="7"/>
        <v>0.24985081916849719</v>
      </c>
      <c r="CD21" s="243">
        <f t="shared" si="7"/>
        <v>1</v>
      </c>
      <c r="CE21" s="243">
        <f t="shared" si="7"/>
        <v>0.21978876261278144</v>
      </c>
      <c r="CF21" s="243">
        <f t="shared" si="7"/>
        <v>0.19413676361376361</v>
      </c>
      <c r="CG21" s="243">
        <f t="shared" si="7"/>
        <v>0.28654301129560439</v>
      </c>
      <c r="CH21" s="243">
        <f t="shared" si="7"/>
        <v>0.26022377551622666</v>
      </c>
      <c r="CI21" s="243" t="e">
        <f t="shared" si="7"/>
        <v>#DIV/0!</v>
      </c>
      <c r="CJ21" s="243" t="e">
        <f t="shared" si="7"/>
        <v>#DIV/0!</v>
      </c>
      <c r="CK21" s="243" t="e">
        <f t="shared" si="7"/>
        <v>#DIV/0!</v>
      </c>
    </row>
    <row r="22" spans="1:89" s="26" customFormat="1">
      <c r="A22" s="26" t="s">
        <v>684</v>
      </c>
      <c r="E22" s="26">
        <f>资产资本表!E69</f>
        <v>17011761885.129997</v>
      </c>
      <c r="F22" s="192">
        <f>资产资本表!F69</f>
        <v>16473724998.529999</v>
      </c>
      <c r="G22" s="192">
        <f>资产资本表!G69</f>
        <v>16336333711.42</v>
      </c>
      <c r="H22" s="192">
        <f>资产资本表!H69</f>
        <v>15412442268.810001</v>
      </c>
      <c r="I22" s="192">
        <f>资产资本表!I69</f>
        <v>10703138908.780003</v>
      </c>
      <c r="J22" s="192">
        <f>资产资本表!J69</f>
        <v>10405556585.549999</v>
      </c>
      <c r="K22" s="192">
        <f>资产资本表!K69</f>
        <v>10759567352</v>
      </c>
      <c r="L22" s="192">
        <f>资产资本表!L69</f>
        <v>10176843881.180004</v>
      </c>
      <c r="M22" s="192">
        <f>资产资本表!M69</f>
        <v>8137054630</v>
      </c>
      <c r="N22" s="192">
        <f>资产资本表!N69</f>
        <v>9719632645.1299992</v>
      </c>
      <c r="O22" s="192">
        <f>资产资本表!O69</f>
        <v>10296962315</v>
      </c>
      <c r="P22" s="192">
        <f>资产资本表!P69</f>
        <v>9930544414.6300011</v>
      </c>
      <c r="Q22" s="192">
        <f>资产资本表!Q69</f>
        <v>10483662263</v>
      </c>
      <c r="R22" s="192">
        <f>资产资本表!R69</f>
        <v>10705006499.74</v>
      </c>
      <c r="S22" s="192">
        <f>资产资本表!S69</f>
        <v>4966556950</v>
      </c>
      <c r="T22" s="192">
        <f>资产资本表!T69</f>
        <v>5078836346.1199999</v>
      </c>
      <c r="U22" s="192">
        <f>资产资本表!U69</f>
        <v>4918833192</v>
      </c>
      <c r="V22" s="192">
        <f>资产资本表!V69</f>
        <v>5733973938</v>
      </c>
      <c r="W22" s="192">
        <f>资产资本表!W69</f>
        <v>5512744575</v>
      </c>
      <c r="X22" s="192">
        <f>资产资本表!X69</f>
        <v>5698816176.4200001</v>
      </c>
      <c r="Y22" s="192">
        <f>资产资本表!Y69</f>
        <v>5717767750</v>
      </c>
      <c r="Z22" s="192">
        <f>资产资本表!Z69</f>
        <v>5994356131</v>
      </c>
      <c r="AA22" s="192">
        <f>资产资本表!AA69</f>
        <v>5942043692</v>
      </c>
      <c r="AB22" s="192">
        <f>资产资本表!AB69</f>
        <v>5614517437.6200027</v>
      </c>
      <c r="AC22" s="192">
        <f>资产资本表!AC69</f>
        <v>5777986546</v>
      </c>
      <c r="AD22" s="192">
        <f>资产资本表!AD69</f>
        <v>5569306992.5999994</v>
      </c>
      <c r="AE22" s="192">
        <f>资产资本表!AE69</f>
        <v>5670940864</v>
      </c>
      <c r="AF22" s="192">
        <f>资产资本表!AF69</f>
        <v>5559809921.8199997</v>
      </c>
      <c r="AG22" s="192">
        <f>资产资本表!AG69</f>
        <v>5315237440</v>
      </c>
      <c r="AH22" s="192">
        <f>资产资本表!AH69</f>
        <v>5526344491.8900003</v>
      </c>
      <c r="AI22" s="192">
        <f>资产资本表!AI69</f>
        <v>5147207291.289999</v>
      </c>
      <c r="AJ22" s="192">
        <f>资产资本表!AJ69</f>
        <v>5102615380.8699999</v>
      </c>
      <c r="AK22" s="192">
        <f>资产资本表!AK69</f>
        <v>4429209330.2599993</v>
      </c>
      <c r="AL22" s="192">
        <f>资产资本表!AL69</f>
        <v>3937891120.0099998</v>
      </c>
      <c r="AM22" s="192">
        <f>资产资本表!AM69</f>
        <v>3922273092.48</v>
      </c>
      <c r="AN22" s="192">
        <f>资产资本表!AN69</f>
        <v>3925722484.77</v>
      </c>
      <c r="AO22" s="192">
        <f>资产资本表!AO69</f>
        <v>3947925087.98</v>
      </c>
      <c r="AP22" s="192">
        <f>资产资本表!AP69</f>
        <v>3893569350.8999996</v>
      </c>
      <c r="AQ22" s="192">
        <f>资产资本表!AQ69</f>
        <v>3752222394.6499991</v>
      </c>
      <c r="AR22" s="192">
        <f>资产资本表!AR69</f>
        <v>3568642658.75</v>
      </c>
      <c r="AS22" s="192">
        <f>资产资本表!AS69</f>
        <v>3199734219.46</v>
      </c>
      <c r="AT22" s="192">
        <f>资产资本表!AT69</f>
        <v>2717626645.1800003</v>
      </c>
      <c r="AU22" s="192">
        <f>资产资本表!AU69</f>
        <v>1599502419.72</v>
      </c>
      <c r="AV22" s="192">
        <f>资产资本表!AV69</f>
        <v>1354421036.9400001</v>
      </c>
      <c r="AW22" s="192">
        <f>资产资本表!AW69</f>
        <v>956158547.37000012</v>
      </c>
      <c r="AX22" s="192">
        <f>资产资本表!AX69</f>
        <v>926027246.78999996</v>
      </c>
      <c r="AY22" s="192">
        <f>资产资本表!AY69</f>
        <v>1003447233.6299999</v>
      </c>
      <c r="AZ22" s="192">
        <f>资产资本表!AZ69</f>
        <v>960328910.05999994</v>
      </c>
      <c r="BA22" s="192">
        <f>资产资本表!BA69</f>
        <v>1021543401.0599997</v>
      </c>
      <c r="BB22" s="192">
        <f>资产资本表!BB69</f>
        <v>998945536.05999994</v>
      </c>
      <c r="BC22" s="192">
        <f>资产资本表!BC69</f>
        <v>1028822790.6</v>
      </c>
      <c r="BD22" s="192">
        <f>资产资本表!BD69</f>
        <v>1073460638.6600001</v>
      </c>
      <c r="BE22" s="192">
        <f>资产资本表!BE69</f>
        <v>1027242713.8500003</v>
      </c>
      <c r="BF22" s="192">
        <f>资产资本表!BF69</f>
        <v>1051346536.77</v>
      </c>
      <c r="BG22" s="192">
        <f>资产资本表!BG69</f>
        <v>1001264566.6900001</v>
      </c>
      <c r="BH22" s="192">
        <f>资产资本表!BH69</f>
        <v>928070262.98000002</v>
      </c>
      <c r="BI22" s="192">
        <f>资产资本表!BI69</f>
        <v>943338503.93000007</v>
      </c>
      <c r="BJ22" s="192">
        <f>资产资本表!BJ69</f>
        <v>861623450.69000006</v>
      </c>
      <c r="BK22" s="192">
        <f>资产资本表!BK69</f>
        <v>838896602.19999993</v>
      </c>
      <c r="BL22" s="192">
        <f>资产资本表!BL69</f>
        <v>775115846.59000003</v>
      </c>
      <c r="BM22" s="192">
        <f>资产资本表!BM69</f>
        <v>751712025.92999995</v>
      </c>
      <c r="BN22" s="192">
        <f>资产资本表!BN69</f>
        <v>842040665.56000006</v>
      </c>
      <c r="BO22" s="192">
        <f>资产资本表!BO69</f>
        <v>517342378.16000003</v>
      </c>
      <c r="BP22" s="192">
        <f>资产资本表!BP69</f>
        <v>479809787.54000008</v>
      </c>
      <c r="BQ22" s="192">
        <f>资产资本表!BQ69</f>
        <v>456132416.98000002</v>
      </c>
      <c r="BR22" s="192">
        <f>资产资本表!BR69</f>
        <v>490767180</v>
      </c>
      <c r="BS22" s="192">
        <f>资产资本表!BS69</f>
        <v>477353292.06000006</v>
      </c>
      <c r="BT22" s="192">
        <f>资产资本表!BT69</f>
        <v>463989478.57999992</v>
      </c>
      <c r="BU22" s="192">
        <f>资产资本表!BU69</f>
        <v>438404295.38999999</v>
      </c>
      <c r="BV22" s="192">
        <f>资产资本表!BV69</f>
        <v>410850989.37</v>
      </c>
      <c r="BW22" s="192">
        <f>资产资本表!BW69</f>
        <v>376406451.50999999</v>
      </c>
      <c r="BX22" s="192">
        <f>资产资本表!BX69</f>
        <v>349143660.62</v>
      </c>
      <c r="BY22" s="192">
        <f>资产资本表!BY69</f>
        <v>335654855.95000005</v>
      </c>
      <c r="BZ22" s="192">
        <f>资产资本表!BZ69</f>
        <v>93907953.310000002</v>
      </c>
      <c r="CA22" s="192">
        <f>资产资本表!CA69</f>
        <v>303402953.37</v>
      </c>
      <c r="CB22" s="192">
        <f>资产资本表!CB69</f>
        <v>96510000</v>
      </c>
      <c r="CC22" s="192">
        <f>资产资本表!CC69</f>
        <v>186166931.95999998</v>
      </c>
      <c r="CD22" s="192">
        <f>资产资本表!CD69</f>
        <v>102190000</v>
      </c>
      <c r="CE22" s="192">
        <f>资产资本表!CE69</f>
        <v>169557425.72</v>
      </c>
      <c r="CF22" s="192">
        <f>资产资本表!CF69</f>
        <v>233026727.04000002</v>
      </c>
      <c r="CG22" s="192">
        <f>资产资本表!CG69</f>
        <v>36293400</v>
      </c>
      <c r="CH22" s="192">
        <f>资产资本表!CH69</f>
        <v>35881300</v>
      </c>
      <c r="CI22" s="192">
        <f>资产资本表!CI69</f>
        <v>0</v>
      </c>
      <c r="CJ22" s="192">
        <f>资产资本表!CJ69</f>
        <v>0</v>
      </c>
      <c r="CK22" s="192">
        <f>资产资本表!CK69</f>
        <v>0</v>
      </c>
    </row>
    <row r="23" spans="1:89" s="245" customFormat="1">
      <c r="A23" s="244" t="s">
        <v>685</v>
      </c>
      <c r="E23" s="245">
        <f>E19/E22</f>
        <v>0.82369484032387874</v>
      </c>
      <c r="F23" s="245">
        <f t="shared" ref="F23:BQ23" si="8">F19/F22</f>
        <v>0.61317422795702647</v>
      </c>
      <c r="G23" s="245">
        <f t="shared" si="8"/>
        <v>0.3797895829486394</v>
      </c>
      <c r="H23" s="245">
        <f t="shared" si="8"/>
        <v>0.18833305024889582</v>
      </c>
      <c r="I23" s="245">
        <f t="shared" si="8"/>
        <v>1.0031409030599818</v>
      </c>
      <c r="J23" s="245">
        <f t="shared" si="8"/>
        <v>0.7451223202473396</v>
      </c>
      <c r="K23" s="245">
        <f t="shared" si="8"/>
        <v>0.4619566060968136</v>
      </c>
      <c r="L23" s="245">
        <f t="shared" si="8"/>
        <v>0.24089395551243772</v>
      </c>
      <c r="M23" s="245">
        <f t="shared" si="8"/>
        <v>1.2940803770909426</v>
      </c>
      <c r="N23" s="245">
        <f t="shared" si="8"/>
        <v>0.80236589361713395</v>
      </c>
      <c r="O23" s="245">
        <f t="shared" si="8"/>
        <v>0.49896320291621848</v>
      </c>
      <c r="P23" s="245">
        <f t="shared" si="8"/>
        <v>0.24572845607789562</v>
      </c>
      <c r="Q23" s="245">
        <f t="shared" si="8"/>
        <v>0.88922774361984425</v>
      </c>
      <c r="R23" s="245">
        <f t="shared" si="8"/>
        <v>0.61039943259527252</v>
      </c>
      <c r="S23" s="245">
        <f t="shared" si="8"/>
        <v>0.50046579250440293</v>
      </c>
      <c r="T23" s="245">
        <f t="shared" si="8"/>
        <v>0.23228717038328558</v>
      </c>
      <c r="U23" s="245">
        <f t="shared" si="8"/>
        <v>0.91879059618251024</v>
      </c>
      <c r="V23" s="245">
        <f t="shared" si="8"/>
        <v>0.60990788636542281</v>
      </c>
      <c r="W23" s="245">
        <f t="shared" si="8"/>
        <v>0.40834591905611733</v>
      </c>
      <c r="X23" s="245">
        <f t="shared" si="8"/>
        <v>0.1825614984187067</v>
      </c>
      <c r="Y23" s="245">
        <f t="shared" si="8"/>
        <v>0.75790842798747815</v>
      </c>
      <c r="Z23" s="245">
        <f t="shared" si="8"/>
        <v>0.55205632776575519</v>
      </c>
      <c r="AA23" s="245">
        <f t="shared" si="8"/>
        <v>0.37652344765020618</v>
      </c>
      <c r="AB23" s="245">
        <f t="shared" si="8"/>
        <v>0.17513724042093745</v>
      </c>
      <c r="AC23" s="245">
        <f t="shared" si="8"/>
        <v>0.79871546641015667</v>
      </c>
      <c r="AD23" s="245">
        <f t="shared" si="8"/>
        <v>0.60186012116835452</v>
      </c>
      <c r="AE23" s="245">
        <f t="shared" si="8"/>
        <v>0.37193384758949233</v>
      </c>
      <c r="AF23" s="245">
        <f t="shared" si="8"/>
        <v>0.18287926914364006</v>
      </c>
      <c r="AG23" s="245">
        <f t="shared" si="8"/>
        <v>0.64986965248348338</v>
      </c>
      <c r="AH23" s="245">
        <f t="shared" si="8"/>
        <v>0.42195613985376124</v>
      </c>
      <c r="AI23" s="245">
        <f t="shared" si="8"/>
        <v>0.28802047339120357</v>
      </c>
      <c r="AJ23" s="245">
        <f t="shared" si="8"/>
        <v>0.12836360953553266</v>
      </c>
      <c r="AK23" s="245">
        <f t="shared" si="8"/>
        <v>0.49454596537694429</v>
      </c>
      <c r="AL23" s="245">
        <f t="shared" si="8"/>
        <v>0.40179741720639095</v>
      </c>
      <c r="AM23" s="245">
        <f t="shared" si="8"/>
        <v>0.2237391790445491</v>
      </c>
      <c r="AN23" s="245">
        <f t="shared" si="8"/>
        <v>8.8897403678917047E-2</v>
      </c>
      <c r="AO23" s="245">
        <f t="shared" si="8"/>
        <v>0.34860146143861481</v>
      </c>
      <c r="AP23" s="245">
        <f t="shared" si="8"/>
        <v>0.26686448843907762</v>
      </c>
      <c r="AQ23" s="245">
        <f t="shared" si="8"/>
        <v>0.18342811688383412</v>
      </c>
      <c r="AR23" s="245">
        <f t="shared" si="8"/>
        <v>9.6882691835865509E-2</v>
      </c>
      <c r="AS23" s="245">
        <f t="shared" si="8"/>
        <v>0.53802961490674561</v>
      </c>
      <c r="AT23" s="245">
        <f t="shared" si="8"/>
        <v>0.45373024423240021</v>
      </c>
      <c r="AU23" s="245">
        <f t="shared" si="8"/>
        <v>0.47939497149009036</v>
      </c>
      <c r="AV23" s="245">
        <f t="shared" si="8"/>
        <v>0.26113029927463233</v>
      </c>
      <c r="AW23" s="245">
        <f t="shared" si="8"/>
        <v>1.5804713530895473</v>
      </c>
      <c r="AX23" s="245">
        <f t="shared" si="8"/>
        <v>1.1029436092841209</v>
      </c>
      <c r="AY23" s="245">
        <f t="shared" si="8"/>
        <v>0.63848164626685122</v>
      </c>
      <c r="AZ23" s="245">
        <f t="shared" si="8"/>
        <v>0.26307532115659782</v>
      </c>
      <c r="BA23" s="245">
        <f t="shared" si="8"/>
        <v>1.0792227095549971</v>
      </c>
      <c r="BB23" s="245">
        <f t="shared" si="8"/>
        <v>0.75807819437967372</v>
      </c>
      <c r="BC23" s="245">
        <f t="shared" si="8"/>
        <v>0.51033794141923827</v>
      </c>
      <c r="BD23" s="245">
        <f t="shared" si="8"/>
        <v>0.21964600052250227</v>
      </c>
      <c r="BE23" s="245">
        <f t="shared" si="8"/>
        <v>1.0425118612098294</v>
      </c>
      <c r="BF23" s="245">
        <f t="shared" si="8"/>
        <v>0.62629390105086502</v>
      </c>
      <c r="BG23" s="245">
        <f t="shared" si="8"/>
        <v>0.44007787667614939</v>
      </c>
      <c r="BH23" s="245">
        <f t="shared" si="8"/>
        <v>0.18870774791086495</v>
      </c>
      <c r="BI23" s="245">
        <f t="shared" si="8"/>
        <v>0.67396823307996534</v>
      </c>
      <c r="BJ23" s="245">
        <f t="shared" si="8"/>
        <v>0.51549336930687017</v>
      </c>
      <c r="BK23" s="245">
        <f t="shared" si="8"/>
        <v>0.30938629894238473</v>
      </c>
      <c r="BL23" s="245">
        <f t="shared" si="8"/>
        <v>0.14050305916091824</v>
      </c>
      <c r="BM23" s="245">
        <f t="shared" si="8"/>
        <v>0.43310982022298755</v>
      </c>
      <c r="BN23" s="245">
        <f t="shared" si="8"/>
        <v>0.28768198642627085</v>
      </c>
      <c r="BO23" s="245">
        <f t="shared" si="8"/>
        <v>0.29097615922244008</v>
      </c>
      <c r="BP23" s="245">
        <f t="shared" si="8"/>
        <v>0.13476777133190362</v>
      </c>
      <c r="BQ23" s="245">
        <f t="shared" si="8"/>
        <v>0.61152461536674885</v>
      </c>
      <c r="BR23" s="245">
        <f t="shared" ref="BR23:CK23" si="9">BR19/BR22</f>
        <v>0.30939948529157957</v>
      </c>
      <c r="BS23" s="245">
        <f t="shared" si="9"/>
        <v>0.66536415728767628</v>
      </c>
      <c r="BT23" s="245">
        <f t="shared" si="9"/>
        <v>0.33588650007099052</v>
      </c>
      <c r="BU23" s="245">
        <f t="shared" si="9"/>
        <v>0.61372265007268734</v>
      </c>
      <c r="BV23" s="245">
        <f t="shared" si="9"/>
        <v>0.30148895873401216</v>
      </c>
      <c r="BW23" s="245">
        <f t="shared" si="9"/>
        <v>0.45790907434917039</v>
      </c>
      <c r="BX23" s="245">
        <f t="shared" si="9"/>
        <v>0.27725627009266357</v>
      </c>
      <c r="BY23" s="245">
        <f t="shared" si="9"/>
        <v>0.65252885592880083</v>
      </c>
      <c r="BZ23" s="245">
        <f t="shared" si="9"/>
        <v>1.108227171094333</v>
      </c>
      <c r="CA23" s="245">
        <f t="shared" si="9"/>
        <v>0.50680683866805165</v>
      </c>
      <c r="CB23" s="245">
        <f t="shared" si="9"/>
        <v>0.67713190342969642</v>
      </c>
      <c r="CC23" s="245">
        <f t="shared" si="9"/>
        <v>0.80721953591784379</v>
      </c>
      <c r="CD23" s="245">
        <f t="shared" si="9"/>
        <v>0.71298561503082492</v>
      </c>
      <c r="CE23" s="245">
        <f t="shared" si="9"/>
        <v>1.0150121616861736</v>
      </c>
      <c r="CF23" s="245">
        <f t="shared" si="9"/>
        <v>0.57765177273804269</v>
      </c>
      <c r="CG23" s="245">
        <f t="shared" si="9"/>
        <v>3.0559385453002474</v>
      </c>
      <c r="CH23" s="245">
        <f t="shared" si="9"/>
        <v>1.6526853820792446</v>
      </c>
      <c r="CI23" s="245" t="e">
        <f t="shared" si="9"/>
        <v>#DIV/0!</v>
      </c>
      <c r="CJ23" s="245" t="e">
        <f t="shared" si="9"/>
        <v>#DIV/0!</v>
      </c>
      <c r="CK23" s="245" t="e">
        <f t="shared" si="9"/>
        <v>#DIV/0!</v>
      </c>
    </row>
    <row r="24" spans="1:89" s="160" customFormat="1" ht="14.25" thickBot="1">
      <c r="A24" s="159" t="s">
        <v>692</v>
      </c>
      <c r="E24" s="160">
        <f>E21*E23</f>
        <v>3.6564606776192658E-2</v>
      </c>
      <c r="F24" s="160">
        <f t="shared" ref="F24:BQ24" si="10">F21*F23</f>
        <v>6.4717600169065248E-2</v>
      </c>
      <c r="G24" s="160">
        <f t="shared" si="10"/>
        <v>3.9354121662596581E-2</v>
      </c>
      <c r="H24" s="160">
        <f t="shared" si="10"/>
        <v>2.1529932082309793E-2</v>
      </c>
      <c r="I24" s="160">
        <f t="shared" si="10"/>
        <v>5.0682129731588511E-2</v>
      </c>
      <c r="J24" s="160">
        <f t="shared" si="10"/>
        <v>4.200184112274457E-2</v>
      </c>
      <c r="K24" s="160">
        <f t="shared" si="10"/>
        <v>2.8299613919271646E-2</v>
      </c>
      <c r="L24" s="160">
        <f t="shared" si="10"/>
        <v>1.4053146370308396E-2</v>
      </c>
      <c r="M24" s="160">
        <f t="shared" si="10"/>
        <v>7.4012583838336601E-2</v>
      </c>
      <c r="N24" s="160">
        <f t="shared" si="10"/>
        <v>4.0366017276031771E-2</v>
      </c>
      <c r="O24" s="160">
        <f t="shared" si="10"/>
        <v>3.1342911057356822E-2</v>
      </c>
      <c r="P24" s="160">
        <f t="shared" si="10"/>
        <v>1.8100154231745307E-2</v>
      </c>
      <c r="Q24" s="160">
        <f t="shared" si="10"/>
        <v>9.206483438582326E-2</v>
      </c>
      <c r="R24" s="160">
        <f t="shared" si="10"/>
        <v>5.2280653529130777E-2</v>
      </c>
      <c r="S24" s="160">
        <f t="shared" si="10"/>
        <v>4.14716913696117E-2</v>
      </c>
      <c r="T24" s="160">
        <f t="shared" si="10"/>
        <v>1.771788875984269E-2</v>
      </c>
      <c r="U24" s="160">
        <f t="shared" si="10"/>
        <v>8.2986377066799288E-2</v>
      </c>
      <c r="V24" s="160">
        <f t="shared" si="10"/>
        <v>5.8262338931474929E-2</v>
      </c>
      <c r="W24" s="160">
        <f t="shared" si="10"/>
        <v>1.7772808565141983E-2</v>
      </c>
      <c r="X24" s="160">
        <f t="shared" si="10"/>
        <v>4.3333754459708666E-3</v>
      </c>
      <c r="Y24" s="160">
        <f t="shared" si="10"/>
        <v>5.5810291699938321E-2</v>
      </c>
      <c r="Z24" s="160">
        <f t="shared" si="10"/>
        <v>4.5243805018097286E-2</v>
      </c>
      <c r="AA24" s="160">
        <f t="shared" si="10"/>
        <v>1.9683667112288205E-2</v>
      </c>
      <c r="AB24" s="160">
        <f t="shared" si="10"/>
        <v>3.2437503583068639E-3</v>
      </c>
      <c r="AC24" s="160">
        <f t="shared" si="10"/>
        <v>7.1078253943722497E-2</v>
      </c>
      <c r="AD24" s="160">
        <f t="shared" si="10"/>
        <v>3.5876242418578105E-2</v>
      </c>
      <c r="AE24" s="160">
        <f t="shared" si="10"/>
        <v>2.2694650515050759E-2</v>
      </c>
      <c r="AF24" s="160">
        <f t="shared" si="10"/>
        <v>6.4946372246085394E-3</v>
      </c>
      <c r="AG24" s="160">
        <f t="shared" si="10"/>
        <v>5.4905969167766841E-2</v>
      </c>
      <c r="AH24" s="160">
        <f t="shared" si="10"/>
        <v>4.2537551584954515E-2</v>
      </c>
      <c r="AI24" s="160">
        <f t="shared" si="10"/>
        <v>2.6608874307775282E-2</v>
      </c>
      <c r="AJ24" s="160">
        <f t="shared" si="10"/>
        <v>6.4757363025794348E-3</v>
      </c>
      <c r="AK24" s="160">
        <f t="shared" si="10"/>
        <v>-4.9730164437062192E-2</v>
      </c>
      <c r="AL24" s="160">
        <f t="shared" si="10"/>
        <v>-3.0966214992681255E-2</v>
      </c>
      <c r="AM24" s="160">
        <f t="shared" si="10"/>
        <v>-3.6150200122946431E-2</v>
      </c>
      <c r="AN24" s="160">
        <f t="shared" si="10"/>
        <v>-2.2689402940620381E-2</v>
      </c>
      <c r="AO24" s="160">
        <f t="shared" si="10"/>
        <v>-2.5610758856048563E-2</v>
      </c>
      <c r="AP24" s="160">
        <f t="shared" si="10"/>
        <v>3.9973670679325748E-4</v>
      </c>
      <c r="AQ24" s="160">
        <f t="shared" si="10"/>
        <v>3.8575518179940439E-3</v>
      </c>
      <c r="AR24" s="160">
        <f t="shared" si="10"/>
        <v>4.4741169393498941E-3</v>
      </c>
      <c r="AS24" s="160">
        <f t="shared" si="10"/>
        <v>3.5798500067087208E-2</v>
      </c>
      <c r="AT24" s="160">
        <f t="shared" si="10"/>
        <v>3.3423222597960593E-2</v>
      </c>
      <c r="AU24" s="160">
        <f t="shared" si="10"/>
        <v>3.8088834570606564E-2</v>
      </c>
      <c r="AV24" s="160">
        <f t="shared" si="10"/>
        <v>1.6593257485704279E-2</v>
      </c>
      <c r="AW24" s="160">
        <f t="shared" si="10"/>
        <v>0.14755235010769166</v>
      </c>
      <c r="AX24" s="160">
        <f t="shared" si="10"/>
        <v>0.11115445739507754</v>
      </c>
      <c r="AY24" s="160">
        <f t="shared" si="10"/>
        <v>5.8056885023493966E-2</v>
      </c>
      <c r="AZ24" s="160">
        <f t="shared" si="10"/>
        <v>2.1136717948782576E-2</v>
      </c>
      <c r="BA24" s="160">
        <f t="shared" si="10"/>
        <v>7.4745756539339875E-2</v>
      </c>
      <c r="BB24" s="160">
        <f t="shared" si="10"/>
        <v>5.6592421387630557E-2</v>
      </c>
      <c r="BC24" s="160">
        <f t="shared" si="10"/>
        <v>4.3637302108964424E-2</v>
      </c>
      <c r="BD24" s="160">
        <f t="shared" si="10"/>
        <v>1.6990235685555185E-2</v>
      </c>
      <c r="BE24" s="160">
        <f t="shared" si="10"/>
        <v>0.11279467558912194</v>
      </c>
      <c r="BF24" s="160">
        <f t="shared" si="10"/>
        <v>6.2906655776114026E-2</v>
      </c>
      <c r="BG24" s="160">
        <f t="shared" si="10"/>
        <v>4.8623440177198704E-2</v>
      </c>
      <c r="BH24" s="160">
        <f t="shared" si="10"/>
        <v>1.940106388301335E-2</v>
      </c>
      <c r="BI24" s="160">
        <f t="shared" si="10"/>
        <v>7.5087894265849039E-2</v>
      </c>
      <c r="BJ24" s="160">
        <f t="shared" si="10"/>
        <v>4.8352915843500453E-2</v>
      </c>
      <c r="BK24" s="160">
        <f t="shared" si="10"/>
        <v>3.641028027756623E-2</v>
      </c>
      <c r="BL24" s="160">
        <f t="shared" si="10"/>
        <v>2.1084311683082602E-2</v>
      </c>
      <c r="BM24" s="160">
        <f t="shared" si="10"/>
        <v>-2.0890008378637092E-2</v>
      </c>
      <c r="BN24" s="160">
        <f t="shared" si="10"/>
        <v>1.6917947152262459E-2</v>
      </c>
      <c r="BO24" s="160">
        <f t="shared" si="10"/>
        <v>3.727985686885911E-2</v>
      </c>
      <c r="BP24" s="160">
        <f t="shared" si="10"/>
        <v>2.0406168369759954E-2</v>
      </c>
      <c r="BQ24" s="160">
        <f t="shared" si="10"/>
        <v>4.2551580719708118E-2</v>
      </c>
      <c r="BR24" s="160">
        <f t="shared" ref="BR24:CK24" si="11">BR21*BR23</f>
        <v>4.7409159023225601E-2</v>
      </c>
      <c r="BS24" s="160">
        <f t="shared" si="11"/>
        <v>8.4428404119886682E-2</v>
      </c>
      <c r="BT24" s="160">
        <f t="shared" si="11"/>
        <v>4.3759782381572292E-2</v>
      </c>
      <c r="BU24" s="160">
        <f t="shared" si="11"/>
        <v>5.8030049403070501E-2</v>
      </c>
      <c r="BV24" s="160">
        <f t="shared" si="11"/>
        <v>2.8213090974356064E-2</v>
      </c>
      <c r="BW24" s="160">
        <f t="shared" si="11"/>
        <v>7.3726133515176304E-2</v>
      </c>
      <c r="BX24" s="160">
        <f t="shared" si="11"/>
        <v>4.3180001874381424E-2</v>
      </c>
      <c r="BY24" s="160">
        <f t="shared" si="11"/>
        <v>0.13518626575972814</v>
      </c>
      <c r="BZ24" s="160">
        <f t="shared" si="11"/>
        <v>1.108227171094333</v>
      </c>
      <c r="CA24" s="160">
        <f t="shared" si="11"/>
        <v>5.2850817442258675E-2</v>
      </c>
      <c r="CB24" s="160">
        <f t="shared" si="11"/>
        <v>0.67713190342969642</v>
      </c>
      <c r="CC24" s="160">
        <f t="shared" si="11"/>
        <v>0.20168446229788742</v>
      </c>
      <c r="CD24" s="160">
        <f t="shared" si="11"/>
        <v>0.71298561503082492</v>
      </c>
      <c r="CE24" s="160">
        <f t="shared" si="11"/>
        <v>0.22308826705392854</v>
      </c>
      <c r="CF24" s="160">
        <f t="shared" si="11"/>
        <v>0.1121434456551169</v>
      </c>
      <c r="CG24" s="160">
        <f t="shared" si="11"/>
        <v>0.87565783310464163</v>
      </c>
      <c r="CH24" s="160">
        <f t="shared" si="11"/>
        <v>0.43006802986513865</v>
      </c>
      <c r="CI24" s="160" t="e">
        <f t="shared" si="11"/>
        <v>#DIV/0!</v>
      </c>
      <c r="CJ24" s="160" t="e">
        <f t="shared" si="11"/>
        <v>#DIV/0!</v>
      </c>
      <c r="CK24" s="160" t="e">
        <f t="shared" si="11"/>
        <v>#DIV/0!</v>
      </c>
    </row>
    <row r="25" spans="1:89" s="247" customFormat="1">
      <c r="A25" s="246"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37072</v>
      </c>
      <c r="BS25" s="1">
        <v>36891</v>
      </c>
      <c r="BT25" s="1">
        <v>36707</v>
      </c>
      <c r="BU25" s="1">
        <v>36525</v>
      </c>
      <c r="BV25" s="1">
        <v>36341</v>
      </c>
      <c r="BW25" s="1">
        <v>36160</v>
      </c>
      <c r="BX25" s="1">
        <v>35976</v>
      </c>
      <c r="BY25" s="1">
        <v>35795</v>
      </c>
      <c r="BZ25" s="1">
        <v>35611</v>
      </c>
      <c r="CA25" s="1">
        <v>35430</v>
      </c>
      <c r="CB25" s="1">
        <v>35246</v>
      </c>
      <c r="CC25" s="1">
        <v>35064</v>
      </c>
      <c r="CD25" s="1">
        <v>34880</v>
      </c>
      <c r="CE25" s="1">
        <v>34699</v>
      </c>
      <c r="CF25" s="1">
        <v>34334</v>
      </c>
      <c r="CG25" s="1">
        <v>33969</v>
      </c>
      <c r="CH25" s="1">
        <v>33603</v>
      </c>
      <c r="CI25" s="1">
        <v>25569</v>
      </c>
      <c r="CJ25" s="1"/>
      <c r="CK25" s="1"/>
    </row>
    <row r="26" spans="1:89" s="76" customFormat="1">
      <c r="A26" s="146" t="s">
        <v>442</v>
      </c>
      <c r="E26" s="76">
        <f>利润表!E14</f>
        <v>-37943077</v>
      </c>
      <c r="F26" s="76">
        <f>利润表!F14</f>
        <v>-3844618.37</v>
      </c>
      <c r="G26" s="76">
        <f>利润表!G14</f>
        <v>-2772610.98</v>
      </c>
      <c r="H26" s="76">
        <f>利润表!H14</f>
        <v>-1746050.1</v>
      </c>
      <c r="I26" s="76">
        <f>利润表!I14</f>
        <v>-4938097.84</v>
      </c>
      <c r="J26" s="76">
        <f>利润表!J14</f>
        <v>-3227840.85</v>
      </c>
      <c r="K26" s="76">
        <f>利润表!K14</f>
        <v>-1571239</v>
      </c>
      <c r="L26" s="76">
        <f>利润表!L14</f>
        <v>-420128.33</v>
      </c>
      <c r="M26" s="76">
        <f>利润表!M14</f>
        <v>-3239448</v>
      </c>
      <c r="N26" s="76">
        <f>利润表!N14</f>
        <v>-2899293.4</v>
      </c>
      <c r="O26" s="76">
        <f>利润表!O14</f>
        <v>0</v>
      </c>
      <c r="P26" s="76">
        <f>利润表!P14</f>
        <v>-743748.4</v>
      </c>
      <c r="Q26" s="76">
        <f>利润表!Q14</f>
        <v>-92478262</v>
      </c>
      <c r="R26" s="76">
        <f>利润表!R14</f>
        <v>1293484.7</v>
      </c>
      <c r="S26" s="76">
        <f>利润表!S14</f>
        <v>2183865</v>
      </c>
      <c r="T26" s="76">
        <f>利润表!T14</f>
        <v>507062.12</v>
      </c>
      <c r="U26" s="76">
        <f>利润表!U14</f>
        <v>6502509</v>
      </c>
      <c r="V26" s="76">
        <f>利润表!V14</f>
        <v>6174133</v>
      </c>
      <c r="W26" s="76">
        <f>利润表!W14</f>
        <v>1197865</v>
      </c>
      <c r="X26" s="76">
        <f>利润表!X14</f>
        <v>-2182383.89</v>
      </c>
      <c r="Y26" s="76">
        <f>利润表!Y14</f>
        <v>-9114825</v>
      </c>
      <c r="Z26" s="76">
        <f>利润表!Z14</f>
        <v>-4055554</v>
      </c>
      <c r="AA26" s="76">
        <f>利润表!AA14</f>
        <v>-1201119</v>
      </c>
      <c r="AB26" s="76">
        <f>利润表!AB14</f>
        <v>-2248296.36</v>
      </c>
      <c r="AC26" s="76">
        <f>利润表!AC14</f>
        <v>-15589317</v>
      </c>
      <c r="AD26" s="76">
        <f>利润表!AD14</f>
        <v>-4874316.8</v>
      </c>
      <c r="AE26" s="76">
        <f>利润表!AE14</f>
        <v>0</v>
      </c>
      <c r="AF26" s="76">
        <f>利润表!AF14</f>
        <v>-811070.4</v>
      </c>
      <c r="AG26" s="76">
        <f>利润表!AG14</f>
        <v>0</v>
      </c>
      <c r="AH26" s="76">
        <f>利润表!AH14</f>
        <v>0</v>
      </c>
      <c r="AI26" s="76">
        <f>利润表!AI14</f>
        <v>0</v>
      </c>
      <c r="AJ26" s="76">
        <f>利润表!AJ14</f>
        <v>0</v>
      </c>
      <c r="AK26" s="76">
        <f>利润表!AK14</f>
        <v>0</v>
      </c>
      <c r="AL26" s="76">
        <f>利润表!AL14</f>
        <v>0</v>
      </c>
      <c r="AM26" s="76">
        <f>利润表!AM14</f>
        <v>0</v>
      </c>
      <c r="AN26" s="76">
        <f>利润表!AN14</f>
        <v>0</v>
      </c>
      <c r="AO26" s="76">
        <f>利润表!AO14</f>
        <v>-416989.71</v>
      </c>
      <c r="AP26" s="76">
        <f>利润表!AP14</f>
        <v>0</v>
      </c>
      <c r="AQ26" s="76">
        <f>利润表!AQ14</f>
        <v>0</v>
      </c>
      <c r="AR26" s="76">
        <f>利润表!AR14</f>
        <v>0</v>
      </c>
      <c r="AS26" s="76">
        <f>利润表!AS14</f>
        <v>-884549.53</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c r="A27" s="146" t="s">
        <v>443</v>
      </c>
      <c r="E27" s="76">
        <f>资产资本表!E19</f>
        <v>313407773.91000003</v>
      </c>
      <c r="F27" s="76">
        <f>资产资本表!F19</f>
        <v>326506232.54000002</v>
      </c>
      <c r="G27" s="76">
        <f>资产资本表!G19</f>
        <v>327578239.93000001</v>
      </c>
      <c r="H27" s="76">
        <f>资产资本表!H19</f>
        <v>328604800.81</v>
      </c>
      <c r="I27" s="76">
        <f>资产资本表!I19</f>
        <v>330350850.91000003</v>
      </c>
      <c r="J27" s="76">
        <f>资产资本表!J19</f>
        <v>331689783.13999999</v>
      </c>
      <c r="K27" s="76">
        <f>资产资本表!K19</f>
        <v>333346386</v>
      </c>
      <c r="L27" s="76">
        <f>资产资本表!L19</f>
        <v>300497495.66000003</v>
      </c>
      <c r="M27" s="76">
        <f>资产资本表!M19</f>
        <v>300917625</v>
      </c>
      <c r="N27" s="76">
        <f>资产资本表!N19</f>
        <v>301257779.44999999</v>
      </c>
      <c r="O27" s="76">
        <f>资产资本表!O19</f>
        <v>302151417</v>
      </c>
      <c r="P27" s="76">
        <f>资产资本表!P19</f>
        <v>303413324.44999999</v>
      </c>
      <c r="Q27" s="76">
        <f>资产资本表!Q19</f>
        <v>304157073</v>
      </c>
      <c r="R27" s="76">
        <f>资产资本表!R19</f>
        <v>126249577.63</v>
      </c>
      <c r="S27" s="76">
        <f>资产资本表!S19</f>
        <v>288160300</v>
      </c>
      <c r="T27" s="76">
        <f>资产资本表!T19</f>
        <v>166483497.47999999</v>
      </c>
      <c r="U27" s="76">
        <f>资产资本表!U19</f>
        <v>165976435</v>
      </c>
      <c r="V27" s="76">
        <f>资产资本表!V19</f>
        <v>165648060</v>
      </c>
      <c r="W27" s="76">
        <f>资产资本表!W19</f>
        <v>160671791</v>
      </c>
      <c r="X27" s="76">
        <f>资产资本表!X19</f>
        <v>155291543</v>
      </c>
      <c r="Y27" s="76">
        <f>资产资本表!Y19</f>
        <v>150583926</v>
      </c>
      <c r="Z27" s="76">
        <f>资产资本表!Z19</f>
        <v>155643198</v>
      </c>
      <c r="AA27" s="76">
        <f>资产资本表!AA19</f>
        <v>159047632</v>
      </c>
      <c r="AB27" s="76">
        <f>资产资本表!AB19</f>
        <v>146890455.28</v>
      </c>
      <c r="AC27" s="76">
        <f>资产资本表!AC19</f>
        <v>149138751</v>
      </c>
      <c r="AD27" s="76">
        <f>资产资本表!AD19</f>
        <v>159853751.75</v>
      </c>
      <c r="AE27" s="76">
        <f>资产资本表!AE19</f>
        <v>176165011</v>
      </c>
      <c r="AF27" s="76">
        <f>资产资本表!AF19</f>
        <v>176997478.69999999</v>
      </c>
      <c r="AG27" s="76">
        <f>资产资本表!AG19</f>
        <v>177808549</v>
      </c>
      <c r="AH27" s="76">
        <f>资产资本表!AH19</f>
        <v>147630480.56</v>
      </c>
      <c r="AI27" s="76">
        <f>资产资本表!AI19</f>
        <v>99630480.560000002</v>
      </c>
      <c r="AJ27" s="76">
        <f>资产资本表!AJ19</f>
        <v>45630480.560000002</v>
      </c>
      <c r="AK27" s="76">
        <f>资产资本表!AK19</f>
        <v>32550000</v>
      </c>
      <c r="AL27" s="76">
        <f>资产资本表!AL19</f>
        <v>34631000</v>
      </c>
      <c r="AM27" s="76">
        <f>资产资本表!AM19</f>
        <v>34631000</v>
      </c>
      <c r="AN27" s="76">
        <f>资产资本表!AN19</f>
        <v>5031000</v>
      </c>
      <c r="AO27" s="76">
        <f>资产资本表!AO19</f>
        <v>5031000</v>
      </c>
      <c r="AP27" s="76">
        <f>资产资本表!AP19</f>
        <v>7583403.1100000003</v>
      </c>
      <c r="AQ27" s="76">
        <f>资产资本表!AQ19</f>
        <v>7583403.1100000003</v>
      </c>
      <c r="AR27" s="76">
        <f>资产资本表!AR19</f>
        <v>8000392.8200000003</v>
      </c>
      <c r="AS27" s="76">
        <f>资产资本表!AS19</f>
        <v>8000392.8200000003</v>
      </c>
      <c r="AT27" s="76">
        <f>资产资本表!AT19</f>
        <v>3235293.87</v>
      </c>
      <c r="AU27" s="76">
        <f>资产资本表!AU19</f>
        <v>7695058.9500000002</v>
      </c>
      <c r="AV27" s="76">
        <f>资产资本表!AV19</f>
        <v>11994707.42</v>
      </c>
      <c r="AW27" s="76">
        <f>资产资本表!AW19</f>
        <v>166494707.41999999</v>
      </c>
      <c r="AX27" s="76">
        <f>资产资本表!AX19</f>
        <v>167151773.53999999</v>
      </c>
      <c r="AY27" s="76">
        <f>资产资本表!AY19</f>
        <v>73901773.540000007</v>
      </c>
      <c r="AZ27" s="76">
        <f>资产资本表!AZ19</f>
        <v>73901773.540000007</v>
      </c>
      <c r="BA27" s="76">
        <f>资产资本表!BA19</f>
        <v>12101773.539999999</v>
      </c>
      <c r="BB27" s="76">
        <f>资产资本表!BB19</f>
        <v>26465786.34</v>
      </c>
      <c r="BC27" s="76">
        <f>资产资本表!BC19</f>
        <v>26465786.34</v>
      </c>
      <c r="BD27" s="76">
        <f>资产资本表!BD19</f>
        <v>24773382.629999999</v>
      </c>
      <c r="BE27" s="76">
        <f>资产资本表!BE19</f>
        <v>24773382.629999999</v>
      </c>
      <c r="BF27" s="76">
        <f>资产资本表!BF19</f>
        <v>16639941.08</v>
      </c>
      <c r="BG27" s="76">
        <f>资产资本表!BG19</f>
        <v>9548115.0800000001</v>
      </c>
      <c r="BH27" s="76">
        <f>资产资本表!BH19</f>
        <v>9548115.0800000001</v>
      </c>
      <c r="BI27" s="76">
        <f>资产资本表!BI19</f>
        <v>5409765.0800000001</v>
      </c>
      <c r="BJ27" s="76">
        <f>资产资本表!BJ19</f>
        <v>6017265.0800000001</v>
      </c>
      <c r="BK27" s="76">
        <f>资产资本表!BK19</f>
        <v>6017265.0800000001</v>
      </c>
      <c r="BL27" s="76">
        <f>资产资本表!BL19</f>
        <v>6017265.0800000001</v>
      </c>
      <c r="BM27" s="76">
        <f>资产资本表!BM19</f>
        <v>6017265.0800000001</v>
      </c>
      <c r="BN27" s="76">
        <f>资产资本表!BN19</f>
        <v>6017265.0800000001</v>
      </c>
      <c r="BO27" s="76">
        <f>资产资本表!BO19</f>
        <v>6017265.0800000001</v>
      </c>
      <c r="BP27" s="76">
        <f>资产资本表!BP19</f>
        <v>7284238.1100000003</v>
      </c>
      <c r="BQ27" s="76">
        <f>资产资本表!BQ19</f>
        <v>6017265.0800000001</v>
      </c>
      <c r="BR27" s="76">
        <f>资产资本表!BR19</f>
        <v>7734238.1100000003</v>
      </c>
      <c r="BS27" s="76">
        <f>资产资本表!BS19</f>
        <v>8184238.1100000003</v>
      </c>
      <c r="BT27" s="76">
        <f>资产资本表!BT19</f>
        <v>8358022.2300000004</v>
      </c>
      <c r="BU27" s="76">
        <f>资产资本表!BU19</f>
        <v>8059218.4000000004</v>
      </c>
      <c r="BV27" s="76">
        <f>资产资本表!BV19</f>
        <v>7564970.96</v>
      </c>
      <c r="BW27" s="76">
        <f>资产资本表!BW19</f>
        <v>7564970.96</v>
      </c>
      <c r="BX27" s="76">
        <f>资产资本表!BX19</f>
        <v>7016490.8799999999</v>
      </c>
      <c r="BY27" s="76">
        <f>资产资本表!BY19</f>
        <v>7016490.8799999999</v>
      </c>
      <c r="BZ27" s="76">
        <f>资产资本表!BZ19</f>
        <v>29297836.41</v>
      </c>
      <c r="CA27" s="76">
        <f>资产资本表!CA19</f>
        <v>29216725.93</v>
      </c>
      <c r="CB27" s="76">
        <f>资产资本表!CB19</f>
        <v>29160000</v>
      </c>
      <c r="CC27" s="76">
        <f>资产资本表!CC19</f>
        <v>29722938.120000001</v>
      </c>
      <c r="CD27" s="76">
        <f>资产资本表!CD19</f>
        <v>26390000</v>
      </c>
      <c r="CE27" s="76">
        <f>资产资本表!CE19</f>
        <v>26590270.449999999</v>
      </c>
      <c r="CF27" s="76">
        <f>资产资本表!CF19</f>
        <v>24565328.440000001</v>
      </c>
      <c r="CG27" s="76">
        <f>资产资本表!CG19</f>
        <v>0</v>
      </c>
      <c r="CH27" s="76">
        <f>资产资本表!CH19</f>
        <v>0</v>
      </c>
      <c r="CI27" s="76">
        <f>资产资本表!CI19</f>
        <v>0</v>
      </c>
      <c r="CJ27" s="76">
        <f>资产资本表!CJ19</f>
        <v>0</v>
      </c>
      <c r="CK27" s="76">
        <f>资产资本表!CK19</f>
        <v>0</v>
      </c>
    </row>
    <row r="28" spans="1:89" s="110" customFormat="1">
      <c r="A28" s="144" t="s">
        <v>444</v>
      </c>
      <c r="E28" s="110">
        <f>E26/E27</f>
        <v>-0.12106616414338195</v>
      </c>
      <c r="F28" s="110">
        <f t="shared" ref="F28:BQ28" si="12">F26/F27</f>
        <v>-1.1775022914850481E-2</v>
      </c>
      <c r="G28" s="110">
        <f t="shared" si="12"/>
        <v>-8.4639656791381419E-3</v>
      </c>
      <c r="H28" s="110">
        <f t="shared" si="12"/>
        <v>-5.3135258392331582E-3</v>
      </c>
      <c r="I28" s="110">
        <f t="shared" si="12"/>
        <v>-1.4948040322576081E-2</v>
      </c>
      <c r="J28" s="110">
        <f t="shared" si="12"/>
        <v>-9.7315052017673681E-3</v>
      </c>
      <c r="K28" s="110">
        <f t="shared" si="12"/>
        <v>-4.7135324274972037E-3</v>
      </c>
      <c r="L28" s="110">
        <f t="shared" si="12"/>
        <v>-1.3981092557102609E-3</v>
      </c>
      <c r="M28" s="110">
        <f t="shared" si="12"/>
        <v>-1.0765231847087721E-2</v>
      </c>
      <c r="N28" s="110">
        <f t="shared" si="12"/>
        <v>-9.6239619281971046E-3</v>
      </c>
      <c r="O28" s="110">
        <f t="shared" si="12"/>
        <v>0</v>
      </c>
      <c r="P28" s="110">
        <f t="shared" si="12"/>
        <v>-2.4512713848285975E-3</v>
      </c>
      <c r="Q28" s="110">
        <f t="shared" si="12"/>
        <v>-0.30404771155856042</v>
      </c>
      <c r="R28" s="110">
        <f t="shared" si="12"/>
        <v>1.0245457642565898E-2</v>
      </c>
      <c r="S28" s="110">
        <f t="shared" si="12"/>
        <v>7.5786463298379413E-3</v>
      </c>
      <c r="T28" s="110">
        <f t="shared" si="12"/>
        <v>3.0457200123448539E-3</v>
      </c>
      <c r="U28" s="110">
        <f t="shared" si="12"/>
        <v>3.9177302488753903E-2</v>
      </c>
      <c r="V28" s="110">
        <f t="shared" si="12"/>
        <v>3.727259468055346E-2</v>
      </c>
      <c r="W28" s="110">
        <f t="shared" si="12"/>
        <v>7.4553535038393891E-3</v>
      </c>
      <c r="X28" s="110">
        <f t="shared" si="12"/>
        <v>-1.4053462589395485E-2</v>
      </c>
      <c r="Y28" s="110">
        <f t="shared" si="12"/>
        <v>-6.0529866912886837E-2</v>
      </c>
      <c r="Z28" s="110">
        <f t="shared" si="12"/>
        <v>-2.6056737795891342E-2</v>
      </c>
      <c r="AA28" s="110">
        <f t="shared" si="12"/>
        <v>-7.551945193374523E-3</v>
      </c>
      <c r="AB28" s="110">
        <f t="shared" si="12"/>
        <v>-1.5305939080346213E-2</v>
      </c>
      <c r="AC28" s="110">
        <f t="shared" si="12"/>
        <v>-0.10452894968927291</v>
      </c>
      <c r="AD28" s="110">
        <f t="shared" si="12"/>
        <v>-3.0492351581607468E-2</v>
      </c>
      <c r="AE28" s="110">
        <f t="shared" si="12"/>
        <v>0</v>
      </c>
      <c r="AF28" s="110">
        <f t="shared" si="12"/>
        <v>-4.5823839184439188E-3</v>
      </c>
      <c r="AG28" s="110">
        <f t="shared" si="12"/>
        <v>0</v>
      </c>
      <c r="AH28" s="110">
        <f t="shared" si="12"/>
        <v>0</v>
      </c>
      <c r="AI28" s="110">
        <f t="shared" si="12"/>
        <v>0</v>
      </c>
      <c r="AJ28" s="110">
        <f t="shared" si="12"/>
        <v>0</v>
      </c>
      <c r="AK28" s="110">
        <f t="shared" si="12"/>
        <v>0</v>
      </c>
      <c r="AL28" s="110">
        <f t="shared" si="12"/>
        <v>0</v>
      </c>
      <c r="AM28" s="110">
        <f t="shared" si="12"/>
        <v>0</v>
      </c>
      <c r="AN28" s="110">
        <f t="shared" si="12"/>
        <v>0</v>
      </c>
      <c r="AO28" s="110">
        <f t="shared" si="12"/>
        <v>-8.2884060822898037E-2</v>
      </c>
      <c r="AP28" s="110">
        <f t="shared" si="12"/>
        <v>0</v>
      </c>
      <c r="AQ28" s="110">
        <f t="shared" si="12"/>
        <v>0</v>
      </c>
      <c r="AR28" s="110">
        <f t="shared" si="12"/>
        <v>0</v>
      </c>
      <c r="AS28" s="110">
        <f t="shared" si="12"/>
        <v>-0.11056326231741206</v>
      </c>
      <c r="AT28" s="110">
        <f t="shared" si="12"/>
        <v>0</v>
      </c>
      <c r="AU28" s="110">
        <f t="shared" si="12"/>
        <v>0</v>
      </c>
      <c r="AV28" s="110">
        <f t="shared" si="12"/>
        <v>0</v>
      </c>
      <c r="AW28" s="110">
        <f t="shared" si="12"/>
        <v>0</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f t="shared" si="12"/>
        <v>0</v>
      </c>
      <c r="BM28" s="110">
        <f t="shared" si="12"/>
        <v>0</v>
      </c>
      <c r="BN28" s="110">
        <f t="shared" si="12"/>
        <v>0</v>
      </c>
      <c r="BO28" s="110">
        <f t="shared" si="12"/>
        <v>0</v>
      </c>
      <c r="BP28" s="110">
        <f t="shared" si="12"/>
        <v>0</v>
      </c>
      <c r="BQ28" s="110">
        <f t="shared" si="12"/>
        <v>0</v>
      </c>
      <c r="BR28" s="110">
        <f t="shared" ref="BR28:CJ28" si="13">BR26/BR27</f>
        <v>0</v>
      </c>
      <c r="BS28" s="110">
        <f t="shared" si="13"/>
        <v>0</v>
      </c>
      <c r="BT28" s="110">
        <f t="shared" si="13"/>
        <v>0</v>
      </c>
      <c r="BU28" s="110">
        <f t="shared" si="13"/>
        <v>0</v>
      </c>
      <c r="BV28" s="110">
        <f t="shared" si="13"/>
        <v>0</v>
      </c>
      <c r="BW28" s="110">
        <f t="shared" si="13"/>
        <v>0</v>
      </c>
      <c r="BX28" s="110">
        <f t="shared" si="13"/>
        <v>0</v>
      </c>
      <c r="BY28" s="110">
        <f t="shared" si="13"/>
        <v>0</v>
      </c>
      <c r="BZ28" s="110">
        <f t="shared" si="13"/>
        <v>0</v>
      </c>
      <c r="CA28" s="110">
        <f t="shared" si="13"/>
        <v>0</v>
      </c>
      <c r="CB28" s="110">
        <f t="shared" si="13"/>
        <v>0</v>
      </c>
      <c r="CC28" s="110">
        <f t="shared" si="13"/>
        <v>0</v>
      </c>
      <c r="CD28" s="110">
        <f t="shared" si="13"/>
        <v>0</v>
      </c>
      <c r="CE28" s="110">
        <f t="shared" si="13"/>
        <v>0</v>
      </c>
      <c r="CF28" s="110">
        <f t="shared" si="13"/>
        <v>0</v>
      </c>
      <c r="CG28" s="110" t="e">
        <f t="shared" si="13"/>
        <v>#DIV/0!</v>
      </c>
      <c r="CH28" s="110" t="e">
        <f t="shared" si="13"/>
        <v>#DIV/0!</v>
      </c>
      <c r="CI28" s="110" t="e">
        <f t="shared" si="13"/>
        <v>#DIV/0!</v>
      </c>
      <c r="CJ28" s="110" t="e">
        <f t="shared" si="13"/>
        <v>#DIV/0!</v>
      </c>
    </row>
    <row r="29" spans="1:89" s="26" customFormat="1" ht="159.6" customHeight="1">
      <c r="A29" s="290" t="s">
        <v>694</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ht="14.45">
      <c r="A30" s="17"/>
    </row>
    <row r="31" spans="1:89" s="116" customFormat="1">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37072</v>
      </c>
      <c r="BS31" s="1">
        <v>36891</v>
      </c>
      <c r="BT31" s="1">
        <v>36707</v>
      </c>
      <c r="BU31" s="1">
        <v>36525</v>
      </c>
      <c r="BV31" s="1">
        <v>36341</v>
      </c>
      <c r="BW31" s="1">
        <v>36160</v>
      </c>
      <c r="BX31" s="1">
        <v>35976</v>
      </c>
      <c r="BY31" s="1">
        <v>35795</v>
      </c>
      <c r="BZ31" s="1">
        <v>35611</v>
      </c>
      <c r="CA31" s="1">
        <v>35430</v>
      </c>
      <c r="CB31" s="1">
        <v>35246</v>
      </c>
      <c r="CC31" s="1">
        <v>35064</v>
      </c>
      <c r="CD31" s="1">
        <v>34880</v>
      </c>
      <c r="CE31" s="1">
        <v>34699</v>
      </c>
      <c r="CF31" s="1">
        <v>34334</v>
      </c>
      <c r="CG31" s="1">
        <v>33969</v>
      </c>
      <c r="CH31" s="1">
        <v>33603</v>
      </c>
      <c r="CI31" s="1">
        <v>25569</v>
      </c>
      <c r="CJ31" s="1"/>
      <c r="CK31" s="1"/>
    </row>
    <row r="32" spans="1:89" s="76" customFormat="1">
      <c r="A32" s="146" t="s">
        <v>449</v>
      </c>
      <c r="E32" s="76">
        <f>股权价值增加表!E29</f>
        <v>-55145819.674369566</v>
      </c>
      <c r="F32" s="76">
        <f>股权价值增加表!F29</f>
        <v>-657486.06999999995</v>
      </c>
      <c r="G32" s="76">
        <f>股权价值增加表!G29</f>
        <v>9139701.3800000008</v>
      </c>
      <c r="H32" s="76">
        <f>股权价值增加表!H29</f>
        <v>15501486.41</v>
      </c>
      <c r="I32" s="76">
        <f>股权价值增加表!I29</f>
        <v>210070738.84347606</v>
      </c>
      <c r="J32" s="76">
        <f>股权价值增加表!J29</f>
        <v>78460775.318387583</v>
      </c>
      <c r="K32" s="76">
        <f>股权价值增加表!K29</f>
        <v>75552202.9340128</v>
      </c>
      <c r="L32" s="76">
        <f>股权价值增加表!L29</f>
        <v>27109616.354456961</v>
      </c>
      <c r="M32" s="76">
        <f>股权价值增加表!M29</f>
        <v>112917974.79859641</v>
      </c>
      <c r="N32" s="76">
        <f>股权价值增加表!N29</f>
        <v>13875578.74</v>
      </c>
      <c r="O32" s="76">
        <f>股权价值增加表!O29</f>
        <v>-11137673.576313732</v>
      </c>
      <c r="P32" s="76">
        <f>股权价值增加表!P29</f>
        <v>-1217804.48</v>
      </c>
      <c r="Q32" s="76">
        <f>股权价值增加表!Q29</f>
        <v>32313623.775655061</v>
      </c>
      <c r="R32" s="76">
        <f>股权价值增加表!R29</f>
        <v>15237858.512480343</v>
      </c>
      <c r="S32" s="76">
        <f>股权价值增加表!S29</f>
        <v>-1299412.1823981893</v>
      </c>
      <c r="T32" s="76">
        <f>股权价值增加表!T29</f>
        <v>-1135415.95</v>
      </c>
      <c r="U32" s="76">
        <f>股权价值增加表!U29</f>
        <v>10309927.594093276</v>
      </c>
      <c r="V32" s="76">
        <f>股权价值增加表!V29</f>
        <v>-1831424.5072226317</v>
      </c>
      <c r="W32" s="76">
        <f>股权价值增加表!W29</f>
        <v>-5256371.1431205403</v>
      </c>
      <c r="X32" s="76">
        <f>股权价值增加表!X29</f>
        <v>-2955428.37</v>
      </c>
      <c r="Y32" s="76">
        <f>股权价值增加表!Y29</f>
        <v>10527505.278186278</v>
      </c>
      <c r="Z32" s="76">
        <f>股权价值增加表!Z29</f>
        <v>-2076781</v>
      </c>
      <c r="AA32" s="76">
        <f>股权价值增加表!AA29</f>
        <v>-701076</v>
      </c>
      <c r="AB32" s="76">
        <f>股权价值增加表!AB29</f>
        <v>1613737.86</v>
      </c>
      <c r="AC32" s="76">
        <f>股权价值增加表!AC29</f>
        <v>69494771.170113623</v>
      </c>
      <c r="AD32" s="76">
        <f>股权价值增加表!AD29</f>
        <v>3806526.2869953951</v>
      </c>
      <c r="AE32" s="76">
        <f>股权价值增加表!AE29</f>
        <v>-1566531.7528320379</v>
      </c>
      <c r="AF32" s="76">
        <f>股权价值增加表!AF29</f>
        <v>193366.63</v>
      </c>
      <c r="AG32" s="76">
        <f>股权价值增加表!AG29</f>
        <v>4138033.7113281852</v>
      </c>
      <c r="AH32" s="76">
        <f>股权价值增加表!AH29</f>
        <v>29018372.118659217</v>
      </c>
      <c r="AI32" s="76">
        <f>股权价值增加表!AI29</f>
        <v>18837439.571489502</v>
      </c>
      <c r="AJ32" s="76">
        <f>股权价值增加表!AJ29</f>
        <v>9876599.1899999995</v>
      </c>
      <c r="AK32" s="76">
        <f>股权价值增加表!AK29</f>
        <v>333483.7454756751</v>
      </c>
      <c r="AL32" s="76">
        <f>股权价值增加表!AL29</f>
        <v>0</v>
      </c>
      <c r="AM32" s="76">
        <f>股权价值增加表!AM29</f>
        <v>0</v>
      </c>
      <c r="AN32" s="76">
        <f>股权价值增加表!AN29</f>
        <v>0</v>
      </c>
      <c r="AO32" s="76">
        <f>股权价值增加表!AO29</f>
        <v>58002707.653197579</v>
      </c>
      <c r="AP32" s="76">
        <f>股权价值增加表!AP29</f>
        <v>41982365.562245652</v>
      </c>
      <c r="AQ32" s="76">
        <f>股权价值增加表!AQ29</f>
        <v>37038948.070720866</v>
      </c>
      <c r="AR32" s="76">
        <f>股权价值增加表!AR29</f>
        <v>0</v>
      </c>
      <c r="AS32" s="76">
        <f>股权价值增加表!AS29</f>
        <v>587838.37504108297</v>
      </c>
      <c r="AT32" s="76">
        <f>股权价值增加表!AT29</f>
        <v>0</v>
      </c>
      <c r="AU32" s="76">
        <f>股权价值增加表!AU29</f>
        <v>0</v>
      </c>
      <c r="AV32" s="76">
        <f>股权价值增加表!AV29</f>
        <v>0</v>
      </c>
      <c r="AW32" s="76">
        <f>股权价值增加表!AW29</f>
        <v>301144.00090727938</v>
      </c>
      <c r="AX32" s="76">
        <f>股权价值增加表!AX29</f>
        <v>385951.56629289547</v>
      </c>
      <c r="AY32" s="76">
        <f>股权价值增加表!AY29</f>
        <v>386298.3601646889</v>
      </c>
      <c r="AZ32" s="76">
        <f>股权价值增加表!AZ29</f>
        <v>0</v>
      </c>
      <c r="BA32" s="76">
        <f>股权价值增加表!BA29</f>
        <v>-1597284.6922413798</v>
      </c>
      <c r="BB32" s="76">
        <f>股权价值增加表!BB29</f>
        <v>-266088.18373202614</v>
      </c>
      <c r="BC32" s="76">
        <f>股权价值增加表!BC29</f>
        <v>-265064.11265061429</v>
      </c>
      <c r="BD32" s="76">
        <f>股权价值增加表!BD29</f>
        <v>0</v>
      </c>
      <c r="BE32" s="76">
        <f>股权价值增加表!BE29</f>
        <v>592742.60696147766</v>
      </c>
      <c r="BF32" s="76">
        <f>股权价值增加表!BF29</f>
        <v>241452.07228756943</v>
      </c>
      <c r="BG32" s="76">
        <f>股权价值增加表!BG29</f>
        <v>238501.9321879163</v>
      </c>
      <c r="BH32" s="76">
        <f>股权价值增加表!BH29</f>
        <v>0</v>
      </c>
      <c r="BI32" s="76">
        <f>股权价值增加表!BI29</f>
        <v>-272336.40184582886</v>
      </c>
      <c r="BJ32" s="76">
        <f>股权价值增加表!BJ29</f>
        <v>304000.25460364588</v>
      </c>
      <c r="BK32" s="76">
        <f>股权价值增加表!BK29</f>
        <v>0</v>
      </c>
      <c r="BL32" s="76">
        <f>股权价值增加表!BL29</f>
        <v>0</v>
      </c>
      <c r="BM32" s="76">
        <f>股权价值增加表!BM29</f>
        <v>464588.45958743582</v>
      </c>
      <c r="BN32" s="76">
        <f>股权价值增加表!BN29</f>
        <v>350324.54534634057</v>
      </c>
      <c r="BO32" s="76">
        <f>股权价值增加表!BO29</f>
        <v>229919.93949302362</v>
      </c>
      <c r="BP32" s="76">
        <f>股权价值增加表!BP29</f>
        <v>0</v>
      </c>
      <c r="BQ32" s="76">
        <f>股权价值增加表!BQ29</f>
        <v>385329.12828444451</v>
      </c>
      <c r="BR32" s="76">
        <f>股权价值增加表!BR29</f>
        <v>24120.366367204169</v>
      </c>
      <c r="BS32" s="76">
        <f>股权价值增加表!BS29</f>
        <v>1006567.9596569806</v>
      </c>
      <c r="BT32" s="76">
        <f>股权价值增加表!BT29</f>
        <v>570016.98577830032</v>
      </c>
      <c r="BU32" s="76">
        <f>股权价值增加表!BU29</f>
        <v>2381787.7911569211</v>
      </c>
      <c r="BV32" s="76">
        <f>股权价值增加表!BV29</f>
        <v>463848.94800129952</v>
      </c>
      <c r="BW32" s="76">
        <f>股权价值增加表!BW29</f>
        <v>2626156.1955177821</v>
      </c>
      <c r="BX32" s="76">
        <f>股权价值增加表!BX29</f>
        <v>1769911.5521284824</v>
      </c>
      <c r="BY32" s="76">
        <f>股权价值增加表!BY29</f>
        <v>743077.49411313573</v>
      </c>
      <c r="BZ32" s="76">
        <f>股权价值增加表!BZ29</f>
        <v>415527.79388059565</v>
      </c>
      <c r="CA32" s="76">
        <f>股权价值增加表!CA29</f>
        <v>1564557.3588282308</v>
      </c>
      <c r="CB32" s="76">
        <f>股权价值增加表!CB29</f>
        <v>1807662.9949389698</v>
      </c>
      <c r="CC32" s="76">
        <f>股权价值增加表!CC29</f>
        <v>-51703.27953429117</v>
      </c>
      <c r="CD32" s="76">
        <f>股权价值增加表!CD29</f>
        <v>0</v>
      </c>
      <c r="CE32" s="76">
        <f>股权价值增加表!CE29</f>
        <v>1537613.3531262379</v>
      </c>
      <c r="CF32" s="76">
        <f>股权价值增加表!CF29</f>
        <v>-78782.668585150444</v>
      </c>
      <c r="CG32" s="76">
        <f>股权价值增加表!CG29</f>
        <v>0</v>
      </c>
      <c r="CH32" s="76">
        <f>股权价值增加表!CH29</f>
        <v>0</v>
      </c>
      <c r="CI32" s="76" t="e">
        <f>股权价值增加表!CI29</f>
        <v>#DIV/0!</v>
      </c>
      <c r="CJ32" s="76" t="e">
        <f>股权价值增加表!CJ29</f>
        <v>#DIV/0!</v>
      </c>
    </row>
    <row r="33" spans="1:89" s="76" customFormat="1">
      <c r="A33" s="147" t="s">
        <v>450</v>
      </c>
    </row>
    <row r="34" spans="1:89" s="76" customFormat="1">
      <c r="A34" s="146" t="s">
        <v>451</v>
      </c>
      <c r="E34" s="76">
        <f>资产资本表!E4</f>
        <v>4290277164.6500001</v>
      </c>
      <c r="F34" s="76">
        <f>资产资本表!F4</f>
        <v>3144083068.9099998</v>
      </c>
      <c r="G34" s="76">
        <f>资产资本表!G4</f>
        <v>2487586006.3899999</v>
      </c>
      <c r="H34" s="76">
        <f>资产资本表!H4</f>
        <v>2037347704.3499999</v>
      </c>
      <c r="I34" s="76">
        <f>资产资本表!I4</f>
        <v>4463195250.29</v>
      </c>
      <c r="J34" s="76">
        <f>资产资本表!J4</f>
        <v>5061012865.3400002</v>
      </c>
      <c r="K34" s="76">
        <f>资产资本表!K4</f>
        <v>4674877450</v>
      </c>
      <c r="L34" s="76">
        <f>资产资本表!L4</f>
        <v>5543566520.8800001</v>
      </c>
      <c r="M34" s="76">
        <f>资产资本表!M4</f>
        <v>7341522190</v>
      </c>
      <c r="N34" s="76">
        <f>资产资本表!N4</f>
        <v>2626737484.3400002</v>
      </c>
      <c r="O34" s="76">
        <f>资产资本表!O4</f>
        <v>3176818634</v>
      </c>
      <c r="P34" s="76">
        <f>资产资本表!P4</f>
        <v>2512286470.3000002</v>
      </c>
      <c r="Q34" s="76">
        <f>资产资本表!Q4</f>
        <v>833571561</v>
      </c>
      <c r="R34" s="76">
        <f>资产资本表!R4</f>
        <v>3201694825.0999999</v>
      </c>
      <c r="S34" s="76">
        <f>资产资本表!S4</f>
        <v>515598597</v>
      </c>
      <c r="T34" s="76">
        <f>资产资本表!T4</f>
        <v>789066231.25</v>
      </c>
      <c r="U34" s="76">
        <f>资产资本表!U4</f>
        <v>955188987</v>
      </c>
      <c r="V34" s="76">
        <f>资产资本表!V4</f>
        <v>375657785</v>
      </c>
      <c r="W34" s="76">
        <f>资产资本表!W4</f>
        <v>425414995</v>
      </c>
      <c r="X34" s="76">
        <f>资产资本表!X4</f>
        <v>476166573.50999999</v>
      </c>
      <c r="Y34" s="76">
        <f>资产资本表!Y4</f>
        <v>472176166</v>
      </c>
      <c r="Z34" s="76">
        <f>资产资本表!Z4</f>
        <v>501448106</v>
      </c>
      <c r="AA34" s="76">
        <f>资产资本表!AA4</f>
        <v>545377287</v>
      </c>
      <c r="AB34" s="76">
        <f>资产资本表!AB4</f>
        <v>742606677.33000004</v>
      </c>
      <c r="AC34" s="76">
        <f>资产资本表!AC4</f>
        <v>706557839</v>
      </c>
      <c r="AD34" s="76">
        <f>资产资本表!AD4</f>
        <v>820115869.16999996</v>
      </c>
      <c r="AE34" s="76">
        <f>资产资本表!AE4</f>
        <v>1038700162</v>
      </c>
      <c r="AF34" s="76">
        <f>资产资本表!AF4</f>
        <v>869834035.5</v>
      </c>
      <c r="AG34" s="76">
        <f>资产资本表!AG4</f>
        <v>871651809</v>
      </c>
      <c r="AH34" s="76">
        <f>资产资本表!AH4</f>
        <v>908677469.99000001</v>
      </c>
      <c r="AI34" s="76">
        <f>资产资本表!AI4</f>
        <v>1444180255.23</v>
      </c>
      <c r="AJ34" s="76">
        <f>资产资本表!AJ4</f>
        <v>1060461646.34</v>
      </c>
      <c r="AK34" s="76">
        <f>资产资本表!AK4</f>
        <v>1187834884.98</v>
      </c>
      <c r="AL34" s="76">
        <f>资产资本表!AL4</f>
        <v>867015615.04999995</v>
      </c>
      <c r="AM34" s="76">
        <f>资产资本表!AM4</f>
        <v>811155532.67999995</v>
      </c>
      <c r="AN34" s="76">
        <f>资产资本表!AN4</f>
        <v>513436785.35000002</v>
      </c>
      <c r="AO34" s="76">
        <f>资产资本表!AO4</f>
        <v>312283728.10000002</v>
      </c>
      <c r="AP34" s="76">
        <f>资产资本表!AP4</f>
        <v>474434951.83999997</v>
      </c>
      <c r="AQ34" s="76">
        <f>资产资本表!AQ4</f>
        <v>634492803.25999999</v>
      </c>
      <c r="AR34" s="76">
        <f>资产资本表!AR4</f>
        <v>727559188.16999996</v>
      </c>
      <c r="AS34" s="76">
        <f>资产资本表!AS4</f>
        <v>716927049.91999996</v>
      </c>
      <c r="AT34" s="76">
        <f>资产资本表!AT4</f>
        <v>1184021307.02</v>
      </c>
      <c r="AU34" s="76">
        <f>资产资本表!AU4</f>
        <v>1637083795.79</v>
      </c>
      <c r="AV34" s="76">
        <f>资产资本表!AV4</f>
        <v>325792804.25999999</v>
      </c>
      <c r="AW34" s="76">
        <f>资产资本表!AW4</f>
        <v>122356099.13</v>
      </c>
      <c r="AX34" s="76">
        <f>资产资本表!AX4</f>
        <v>163143405.16999999</v>
      </c>
      <c r="AY34" s="76">
        <f>资产资本表!AY4</f>
        <v>169622133.06999999</v>
      </c>
      <c r="AZ34" s="76">
        <f>资产资本表!AZ4</f>
        <v>152620664.80000001</v>
      </c>
      <c r="BA34" s="76">
        <f>资产资本表!BA4</f>
        <v>86803245.140000001</v>
      </c>
      <c r="BB34" s="76">
        <f>资产资本表!BB4</f>
        <v>162998930.56</v>
      </c>
      <c r="BC34" s="76">
        <f>资产资本表!BC4</f>
        <v>150919783.62</v>
      </c>
      <c r="BD34" s="76">
        <f>资产资本表!BD4</f>
        <v>119436411.06999999</v>
      </c>
      <c r="BE34" s="76">
        <f>资产资本表!BE4</f>
        <v>189887790.12</v>
      </c>
      <c r="BF34" s="76">
        <f>资产资本表!BF4</f>
        <v>78010392.680000007</v>
      </c>
      <c r="BG34" s="76">
        <f>资产资本表!BG4</f>
        <v>122892968.55</v>
      </c>
      <c r="BH34" s="76">
        <f>资产资本表!BH4</f>
        <v>159401058.13</v>
      </c>
      <c r="BI34" s="76">
        <f>资产资本表!BI4</f>
        <v>80133651.969999999</v>
      </c>
      <c r="BJ34" s="76">
        <f>资产资本表!BJ4</f>
        <v>120208425.98</v>
      </c>
      <c r="BK34" s="76">
        <f>资产资本表!BK4</f>
        <v>156379116.71000001</v>
      </c>
      <c r="BL34" s="76">
        <f>资产资本表!BL4</f>
        <v>201541801.53</v>
      </c>
      <c r="BM34" s="76">
        <f>资产资本表!BM4</f>
        <v>186470525.56</v>
      </c>
      <c r="BN34" s="76">
        <f>资产资本表!BN4</f>
        <v>129512168.59</v>
      </c>
      <c r="BO34" s="76">
        <f>资产资本表!BO4</f>
        <v>235891915.81</v>
      </c>
      <c r="BP34" s="76">
        <f>资产资本表!BP4</f>
        <v>218266046.78999999</v>
      </c>
      <c r="BQ34" s="76">
        <f>资产资本表!BQ4</f>
        <v>208720378.13</v>
      </c>
      <c r="BR34" s="76">
        <f>资产资本表!BR4</f>
        <v>217292639.86000001</v>
      </c>
      <c r="BS34" s="76">
        <f>资产资本表!BS4</f>
        <v>51608106.93</v>
      </c>
      <c r="BT34" s="76">
        <f>资产资本表!BT4</f>
        <v>52122323.579999998</v>
      </c>
      <c r="BU34" s="76">
        <f>资产资本表!BU4</f>
        <v>47519738.609999999</v>
      </c>
      <c r="BV34" s="76">
        <f>资产资本表!BV4</f>
        <v>63053301.460000001</v>
      </c>
      <c r="BW34" s="76">
        <f>资产资本表!BW4</f>
        <v>64515769.850000001</v>
      </c>
      <c r="BX34" s="76">
        <f>资产资本表!BX4</f>
        <v>132379693.95</v>
      </c>
      <c r="BY34" s="76">
        <f>资产资本表!BY4</f>
        <v>27156545.02</v>
      </c>
      <c r="BZ34" s="76">
        <f>资产资本表!BZ4</f>
        <v>0</v>
      </c>
      <c r="CA34" s="76">
        <f>资产资本表!CA4</f>
        <v>25300084.43</v>
      </c>
      <c r="CB34" s="76">
        <f>资产资本表!CB4</f>
        <v>0</v>
      </c>
      <c r="CC34" s="76">
        <f>资产资本表!CC4</f>
        <v>17663466.109999999</v>
      </c>
      <c r="CD34" s="76">
        <f>资产资本表!CD4</f>
        <v>0</v>
      </c>
      <c r="CE34" s="76">
        <f>资产资本表!CE4</f>
        <v>5251851.1100000003</v>
      </c>
      <c r="CF34" s="76">
        <f>资产资本表!CF4</f>
        <v>17082549.34</v>
      </c>
      <c r="CG34" s="76">
        <f>资产资本表!CG4</f>
        <v>0</v>
      </c>
      <c r="CH34" s="76">
        <f>资产资本表!CH4</f>
        <v>0</v>
      </c>
      <c r="CI34" s="76">
        <f>资产资本表!CI4</f>
        <v>0</v>
      </c>
      <c r="CJ34" s="76">
        <f>资产资本表!CJ4</f>
        <v>0</v>
      </c>
    </row>
    <row r="35" spans="1:89" s="76" customFormat="1">
      <c r="A35" s="146" t="s">
        <v>452</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5394376.0800000001</v>
      </c>
      <c r="AE35" s="76">
        <f>利润表!AE12</f>
        <v>0</v>
      </c>
      <c r="AF35" s="76">
        <f>利润表!AF12</f>
        <v>0</v>
      </c>
      <c r="AG35" s="76">
        <f>利润表!AG12</f>
        <v>0</v>
      </c>
      <c r="AH35" s="76">
        <f>利润表!AH12</f>
        <v>43630.23</v>
      </c>
      <c r="AI35" s="76">
        <f>利润表!AI12</f>
        <v>43630.23</v>
      </c>
      <c r="AJ35" s="76">
        <f>利润表!AJ12</f>
        <v>0</v>
      </c>
      <c r="AK35" s="76">
        <f>利润表!AK12</f>
        <v>-43630.23</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c r="A36" s="146" t="s">
        <v>453</v>
      </c>
      <c r="E36" s="76">
        <f>资产资本表!E13</f>
        <v>0</v>
      </c>
      <c r="F36" s="76">
        <f>资产资本表!F13</f>
        <v>0</v>
      </c>
      <c r="G36" s="76">
        <f>资产资本表!G13</f>
        <v>0</v>
      </c>
      <c r="H36" s="76">
        <f>资产资本表!H13</f>
        <v>0</v>
      </c>
      <c r="I36" s="76">
        <f>资产资本表!I13</f>
        <v>0</v>
      </c>
      <c r="J36" s="76">
        <f>资产资本表!J13</f>
        <v>0</v>
      </c>
      <c r="K36" s="76">
        <f>资产资本表!K13</f>
        <v>0</v>
      </c>
      <c r="L36" s="76">
        <f>资产资本表!L13</f>
        <v>0</v>
      </c>
      <c r="M36" s="76">
        <f>资产资本表!M13</f>
        <v>0</v>
      </c>
      <c r="N36" s="76">
        <f>资产资本表!N13</f>
        <v>0</v>
      </c>
      <c r="O36" s="76">
        <f>资产资本表!O13</f>
        <v>0</v>
      </c>
      <c r="P36" s="76">
        <f>资产资本表!P13</f>
        <v>0</v>
      </c>
      <c r="Q36" s="76">
        <f>资产资本表!Q13</f>
        <v>0</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314981.7</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c r="A37" s="146" t="s">
        <v>454</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27904</v>
      </c>
      <c r="T37" s="76">
        <f>资产资本表!T11</f>
        <v>0</v>
      </c>
      <c r="U37" s="76">
        <f>资产资本表!U11</f>
        <v>0</v>
      </c>
      <c r="V37" s="76">
        <f>资产资本表!V11</f>
        <v>30380</v>
      </c>
      <c r="W37" s="76">
        <f>资产资本表!W11</f>
        <v>30380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c r="A38" s="146" t="s">
        <v>455</v>
      </c>
      <c r="E38" s="76">
        <f>资产资本表!E8</f>
        <v>0</v>
      </c>
      <c r="F38" s="76">
        <f>资产资本表!F8</f>
        <v>0</v>
      </c>
      <c r="G38" s="76">
        <f>资产资本表!G8</f>
        <v>0</v>
      </c>
      <c r="H38" s="76">
        <f>资产资本表!H8</f>
        <v>0</v>
      </c>
      <c r="I38" s="76">
        <f>资产资本表!I8</f>
        <v>0</v>
      </c>
      <c r="J38" s="76">
        <f>资产资本表!J8</f>
        <v>0</v>
      </c>
      <c r="K38" s="76">
        <f>资产资本表!K8</f>
        <v>0</v>
      </c>
      <c r="L38" s="76">
        <f>资产资本表!L8</f>
        <v>0</v>
      </c>
      <c r="M38" s="76">
        <f>资产资本表!M8</f>
        <v>0</v>
      </c>
      <c r="N38" s="76">
        <f>资产资本表!N8</f>
        <v>0</v>
      </c>
      <c r="O38" s="76">
        <f>资产资本表!O8</f>
        <v>0</v>
      </c>
      <c r="P38" s="76">
        <f>资产资本表!P8</f>
        <v>0</v>
      </c>
      <c r="Q38" s="76">
        <f>资产资本表!Q8</f>
        <v>0</v>
      </c>
      <c r="R38" s="76">
        <f>资产资本表!R8</f>
        <v>38742614.969999999</v>
      </c>
      <c r="S38" s="76">
        <f>资产资本表!S8</f>
        <v>23886655</v>
      </c>
      <c r="T38" s="76">
        <f>资产资本表!T8</f>
        <v>24028706.170000002</v>
      </c>
      <c r="U38" s="76">
        <f>资产资本表!U8</f>
        <v>26340941</v>
      </c>
      <c r="V38" s="76">
        <f>资产资本表!V8</f>
        <v>17937684</v>
      </c>
      <c r="W38" s="76">
        <f>资产资本表!W8</f>
        <v>14607704</v>
      </c>
      <c r="X38" s="76">
        <f>资产资本表!X8</f>
        <v>16437053.439999999</v>
      </c>
      <c r="Y38" s="76">
        <f>资产资本表!Y8</f>
        <v>17717764</v>
      </c>
      <c r="Z38" s="76">
        <f>资产资本表!Z8</f>
        <v>15851430</v>
      </c>
      <c r="AA38" s="76">
        <f>资产资本表!AA8</f>
        <v>17628680</v>
      </c>
      <c r="AB38" s="76">
        <f>资产资本表!AB8</f>
        <v>19779378.960000001</v>
      </c>
      <c r="AC38" s="76">
        <f>资产资本表!AC8</f>
        <v>17840224</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66779799.990000002</v>
      </c>
      <c r="AQ38" s="76">
        <f>资产资本表!AQ8</f>
        <v>88761799.989999995</v>
      </c>
      <c r="AR38" s="76">
        <f>资产资本表!AR8</f>
        <v>170582550.94</v>
      </c>
      <c r="AS38" s="76">
        <f>资产资本表!AS8</f>
        <v>210139462.05000001</v>
      </c>
      <c r="AT38" s="76">
        <f>资产资本表!AT8</f>
        <v>203478014.44999999</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c r="A39" s="146"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c r="A40" s="146" t="s">
        <v>457</v>
      </c>
      <c r="E40" s="76">
        <f>资产资本表!E10</f>
        <v>32573294.18</v>
      </c>
      <c r="F40" s="76">
        <f>资产资本表!F10</f>
        <v>32938143.780000001</v>
      </c>
      <c r="G40" s="76">
        <f>资产资本表!G10</f>
        <v>33302993.010000002</v>
      </c>
      <c r="H40" s="76">
        <f>资产资本表!H10</f>
        <v>33667842.240000002</v>
      </c>
      <c r="I40" s="76">
        <f>资产资本表!I10</f>
        <v>34032691.469999999</v>
      </c>
      <c r="J40" s="76">
        <f>资产资本表!J10</f>
        <v>34397540.689999998</v>
      </c>
      <c r="K40" s="76">
        <f>资产资本表!K10</f>
        <v>34762390</v>
      </c>
      <c r="L40" s="76">
        <f>资产资本表!L10</f>
        <v>35127239.149999999</v>
      </c>
      <c r="M40" s="76">
        <f>资产资本表!M10</f>
        <v>35492088</v>
      </c>
      <c r="N40" s="76">
        <f>资产资本表!N10</f>
        <v>35925133</v>
      </c>
      <c r="O40" s="76">
        <f>资产资本表!O10</f>
        <v>36282923</v>
      </c>
      <c r="P40" s="76">
        <f>资产资本表!P10</f>
        <v>35621603.619999997</v>
      </c>
      <c r="Q40" s="76">
        <f>资产资本表!Q10</f>
        <v>43526591</v>
      </c>
      <c r="R40" s="76">
        <f>资产资本表!R10</f>
        <v>42912341.32</v>
      </c>
      <c r="S40" s="76">
        <f>资产资本表!S10</f>
        <v>31037815</v>
      </c>
      <c r="T40" s="76">
        <f>资产资本表!T10</f>
        <v>31378382.550000001</v>
      </c>
      <c r="U40" s="76">
        <f>资产资本表!U10</f>
        <v>31814116</v>
      </c>
      <c r="V40" s="76">
        <f>资产资本表!V10</f>
        <v>45919839</v>
      </c>
      <c r="W40" s="76">
        <f>资产资本表!W10</f>
        <v>46417857</v>
      </c>
      <c r="X40" s="76">
        <f>资产资本表!X10</f>
        <v>32840760.190000001</v>
      </c>
      <c r="Y40" s="76">
        <f>资产资本表!Y10</f>
        <v>33182976</v>
      </c>
      <c r="Z40" s="76">
        <f>资产资本表!Z10</f>
        <v>33525190</v>
      </c>
      <c r="AA40" s="76">
        <f>资产资本表!AA10</f>
        <v>33867404</v>
      </c>
      <c r="AB40" s="76">
        <f>资产资本表!AB10</f>
        <v>35030288.939999998</v>
      </c>
      <c r="AC40" s="76">
        <f>资产资本表!AC10</f>
        <v>19673150</v>
      </c>
      <c r="AD40" s="76">
        <f>资产资本表!AD10</f>
        <v>19908470.530000001</v>
      </c>
      <c r="AE40" s="76">
        <f>资产资本表!AE10</f>
        <v>20143791</v>
      </c>
      <c r="AF40" s="76">
        <f>资产资本表!AF10</f>
        <v>20379111.789999999</v>
      </c>
      <c r="AG40" s="76">
        <f>资产资本表!AG10</f>
        <v>20614433</v>
      </c>
      <c r="AH40" s="76">
        <f>资产资本表!AH10</f>
        <v>20849752.920000002</v>
      </c>
      <c r="AI40" s="76">
        <f>资产资本表!AI10</f>
        <v>21085073.550000001</v>
      </c>
      <c r="AJ40" s="76">
        <f>资产资本表!AJ10</f>
        <v>21320394.18</v>
      </c>
      <c r="AK40" s="76">
        <f>资产资本表!AK10</f>
        <v>11374696.23</v>
      </c>
      <c r="AL40" s="76">
        <f>资产资本表!AL10</f>
        <v>11495694.640000001</v>
      </c>
      <c r="AM40" s="76">
        <f>资产资本表!AM10</f>
        <v>9322873.8399999999</v>
      </c>
      <c r="AN40" s="76">
        <f>资产资本表!AN10</f>
        <v>9418316.2300000004</v>
      </c>
      <c r="AO40" s="76">
        <f>资产资本表!AO10</f>
        <v>9513758.6199999992</v>
      </c>
      <c r="AP40" s="76">
        <f>资产资本表!AP10</f>
        <v>4386354.46</v>
      </c>
      <c r="AQ40" s="76">
        <f>资产资本表!AQ10</f>
        <v>4433001.1900000004</v>
      </c>
      <c r="AR40" s="76">
        <f>资产资本表!AR10</f>
        <v>4481077.5</v>
      </c>
      <c r="AS40" s="76">
        <f>资产资本表!AS10</f>
        <v>4529868.5999999996</v>
      </c>
      <c r="AT40" s="76">
        <f>资产资本表!AT10</f>
        <v>4578659.7</v>
      </c>
      <c r="AU40" s="76">
        <f>资产资本表!AU10</f>
        <v>4627450.8</v>
      </c>
      <c r="AV40" s="76">
        <f>资产资本表!AV10</f>
        <v>9234927.7300000004</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c r="A41" s="146"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c r="A42" s="146" t="s">
        <v>459</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c r="A43" s="147" t="s">
        <v>460</v>
      </c>
      <c r="E43" s="76">
        <f>SUM(E34:E42)</f>
        <v>4322850458.8299999</v>
      </c>
      <c r="F43" s="76">
        <f t="shared" ref="F43:BQ43" si="14">SUM(F34:F42)</f>
        <v>3177021212.6900001</v>
      </c>
      <c r="G43" s="76">
        <f t="shared" si="14"/>
        <v>2520888999.4000001</v>
      </c>
      <c r="H43" s="76">
        <f t="shared" si="14"/>
        <v>2071015546.5899999</v>
      </c>
      <c r="I43" s="76">
        <f t="shared" si="14"/>
        <v>4497227941.7600002</v>
      </c>
      <c r="J43" s="76">
        <f t="shared" si="14"/>
        <v>5095410406.0299997</v>
      </c>
      <c r="K43" s="76">
        <f t="shared" si="14"/>
        <v>4709639840</v>
      </c>
      <c r="L43" s="76">
        <f t="shared" si="14"/>
        <v>5578693760.0299997</v>
      </c>
      <c r="M43" s="76">
        <f t="shared" si="14"/>
        <v>7377014278</v>
      </c>
      <c r="N43" s="76">
        <f t="shared" si="14"/>
        <v>2662662617.3400002</v>
      </c>
      <c r="O43" s="76">
        <f t="shared" si="14"/>
        <v>3213101557</v>
      </c>
      <c r="P43" s="76">
        <f t="shared" si="14"/>
        <v>2547908073.9200001</v>
      </c>
      <c r="Q43" s="76">
        <f t="shared" si="14"/>
        <v>877098152</v>
      </c>
      <c r="R43" s="76">
        <f t="shared" si="14"/>
        <v>3283349781.3899999</v>
      </c>
      <c r="S43" s="76">
        <f t="shared" si="14"/>
        <v>570550971</v>
      </c>
      <c r="T43" s="76">
        <f t="shared" si="14"/>
        <v>844473319.96999991</v>
      </c>
      <c r="U43" s="76">
        <f t="shared" si="14"/>
        <v>1013344044</v>
      </c>
      <c r="V43" s="76">
        <f t="shared" si="14"/>
        <v>439545688</v>
      </c>
      <c r="W43" s="76">
        <f t="shared" si="14"/>
        <v>486470936</v>
      </c>
      <c r="X43" s="76">
        <f t="shared" si="14"/>
        <v>525444387.13999999</v>
      </c>
      <c r="Y43" s="76">
        <f t="shared" si="14"/>
        <v>523076906</v>
      </c>
      <c r="Z43" s="76">
        <f t="shared" si="14"/>
        <v>550824726</v>
      </c>
      <c r="AA43" s="76">
        <f t="shared" si="14"/>
        <v>596873371</v>
      </c>
      <c r="AB43" s="76">
        <f t="shared" si="14"/>
        <v>797416345.23000002</v>
      </c>
      <c r="AC43" s="76">
        <f t="shared" si="14"/>
        <v>744071213</v>
      </c>
      <c r="AD43" s="76">
        <f t="shared" si="14"/>
        <v>845418715.77999997</v>
      </c>
      <c r="AE43" s="76">
        <f t="shared" si="14"/>
        <v>1058843953</v>
      </c>
      <c r="AF43" s="76">
        <f t="shared" si="14"/>
        <v>890213147.28999996</v>
      </c>
      <c r="AG43" s="76">
        <f t="shared" si="14"/>
        <v>892266242</v>
      </c>
      <c r="AH43" s="76">
        <f t="shared" si="14"/>
        <v>929570853.13999999</v>
      </c>
      <c r="AI43" s="76">
        <f t="shared" si="14"/>
        <v>1465308959.01</v>
      </c>
      <c r="AJ43" s="76">
        <f t="shared" si="14"/>
        <v>1081782040.52</v>
      </c>
      <c r="AK43" s="76">
        <f t="shared" si="14"/>
        <v>1199480932.6800001</v>
      </c>
      <c r="AL43" s="76">
        <f t="shared" si="14"/>
        <v>878511309.68999994</v>
      </c>
      <c r="AM43" s="76">
        <f t="shared" si="14"/>
        <v>820478406.51999998</v>
      </c>
      <c r="AN43" s="76">
        <f t="shared" si="14"/>
        <v>522855101.58000004</v>
      </c>
      <c r="AO43" s="76">
        <f t="shared" si="14"/>
        <v>321797486.72000003</v>
      </c>
      <c r="AP43" s="76">
        <f t="shared" si="14"/>
        <v>545601106.28999996</v>
      </c>
      <c r="AQ43" s="76">
        <f t="shared" si="14"/>
        <v>727687604.44000006</v>
      </c>
      <c r="AR43" s="76">
        <f t="shared" si="14"/>
        <v>902622816.6099999</v>
      </c>
      <c r="AS43" s="76">
        <f t="shared" si="14"/>
        <v>931596380.57000005</v>
      </c>
      <c r="AT43" s="76">
        <f t="shared" si="14"/>
        <v>1392077981.1700001</v>
      </c>
      <c r="AU43" s="76">
        <f t="shared" si="14"/>
        <v>1641711246.5899999</v>
      </c>
      <c r="AV43" s="76">
        <f t="shared" si="14"/>
        <v>335027731.99000001</v>
      </c>
      <c r="AW43" s="76">
        <f t="shared" si="14"/>
        <v>122356099.13</v>
      </c>
      <c r="AX43" s="76">
        <f t="shared" si="14"/>
        <v>163143405.16999999</v>
      </c>
      <c r="AY43" s="76">
        <f t="shared" si="14"/>
        <v>169622133.06999999</v>
      </c>
      <c r="AZ43" s="76">
        <f t="shared" si="14"/>
        <v>152620664.80000001</v>
      </c>
      <c r="BA43" s="76">
        <f t="shared" si="14"/>
        <v>86803245.140000001</v>
      </c>
      <c r="BB43" s="76">
        <f t="shared" si="14"/>
        <v>162998930.56</v>
      </c>
      <c r="BC43" s="76">
        <f t="shared" si="14"/>
        <v>150919783.62</v>
      </c>
      <c r="BD43" s="76">
        <f t="shared" si="14"/>
        <v>119436411.06999999</v>
      </c>
      <c r="BE43" s="76">
        <f t="shared" si="14"/>
        <v>189887790.12</v>
      </c>
      <c r="BF43" s="76">
        <f t="shared" si="14"/>
        <v>78010392.680000007</v>
      </c>
      <c r="BG43" s="76">
        <f t="shared" si="14"/>
        <v>122892968.55</v>
      </c>
      <c r="BH43" s="76">
        <f t="shared" si="14"/>
        <v>159401058.13</v>
      </c>
      <c r="BI43" s="76">
        <f t="shared" si="14"/>
        <v>80133651.969999999</v>
      </c>
      <c r="BJ43" s="76">
        <f t="shared" si="14"/>
        <v>120208425.98</v>
      </c>
      <c r="BK43" s="76">
        <f t="shared" si="14"/>
        <v>156379116.71000001</v>
      </c>
      <c r="BL43" s="76">
        <f t="shared" si="14"/>
        <v>201541801.53</v>
      </c>
      <c r="BM43" s="76">
        <f t="shared" si="14"/>
        <v>186470525.56</v>
      </c>
      <c r="BN43" s="76">
        <f t="shared" si="14"/>
        <v>129512168.59</v>
      </c>
      <c r="BO43" s="76">
        <f t="shared" si="14"/>
        <v>235891915.81</v>
      </c>
      <c r="BP43" s="76">
        <f t="shared" si="14"/>
        <v>218266046.78999999</v>
      </c>
      <c r="BQ43" s="76">
        <f t="shared" si="14"/>
        <v>208720378.13</v>
      </c>
      <c r="BR43" s="76">
        <f t="shared" ref="BR43:CJ43" si="15">SUM(BR34:BR42)</f>
        <v>217292639.86000001</v>
      </c>
      <c r="BS43" s="76">
        <f t="shared" si="15"/>
        <v>51608106.93</v>
      </c>
      <c r="BT43" s="76">
        <f t="shared" si="15"/>
        <v>52122323.579999998</v>
      </c>
      <c r="BU43" s="76">
        <f t="shared" si="15"/>
        <v>47519738.609999999</v>
      </c>
      <c r="BV43" s="76">
        <f t="shared" si="15"/>
        <v>63053301.460000001</v>
      </c>
      <c r="BW43" s="76">
        <f t="shared" si="15"/>
        <v>64515769.850000001</v>
      </c>
      <c r="BX43" s="76">
        <f t="shared" si="15"/>
        <v>132379693.95</v>
      </c>
      <c r="BY43" s="76">
        <f t="shared" si="15"/>
        <v>27156545.02</v>
      </c>
      <c r="BZ43" s="76">
        <f t="shared" si="15"/>
        <v>0</v>
      </c>
      <c r="CA43" s="76">
        <f t="shared" si="15"/>
        <v>25300084.43</v>
      </c>
      <c r="CB43" s="76">
        <f t="shared" si="15"/>
        <v>0</v>
      </c>
      <c r="CC43" s="76">
        <f t="shared" si="15"/>
        <v>17663466.109999999</v>
      </c>
      <c r="CD43" s="76">
        <f t="shared" si="15"/>
        <v>0</v>
      </c>
      <c r="CE43" s="76">
        <f t="shared" si="15"/>
        <v>5251851.1100000003</v>
      </c>
      <c r="CF43" s="76">
        <f t="shared" si="15"/>
        <v>17082549.34</v>
      </c>
      <c r="CG43" s="76">
        <f t="shared" si="15"/>
        <v>0</v>
      </c>
      <c r="CH43" s="76">
        <f t="shared" si="15"/>
        <v>0</v>
      </c>
      <c r="CI43" s="76">
        <f t="shared" si="15"/>
        <v>0</v>
      </c>
      <c r="CJ43" s="76">
        <f t="shared" si="15"/>
        <v>0</v>
      </c>
    </row>
    <row r="44" spans="1:89" s="110" customFormat="1">
      <c r="A44" s="144" t="s">
        <v>461</v>
      </c>
      <c r="E44" s="110">
        <f>E32/E43</f>
        <v>-1.2756818724026611E-2</v>
      </c>
      <c r="F44" s="110">
        <f t="shared" ref="F44:BQ44" si="16">F32/F43</f>
        <v>-2.0695048159382706E-4</v>
      </c>
      <c r="G44" s="110">
        <f t="shared" si="16"/>
        <v>3.6255866014629572E-3</v>
      </c>
      <c r="H44" s="110">
        <f t="shared" si="16"/>
        <v>7.4849686355680642E-3</v>
      </c>
      <c r="I44" s="110">
        <f t="shared" si="16"/>
        <v>4.6711161089438666E-2</v>
      </c>
      <c r="J44" s="110">
        <f t="shared" si="16"/>
        <v>1.5398323013497734E-2</v>
      </c>
      <c r="K44" s="110">
        <f t="shared" si="16"/>
        <v>1.6042034104674297E-2</v>
      </c>
      <c r="L44" s="110">
        <f t="shared" si="16"/>
        <v>4.859491759287962E-3</v>
      </c>
      <c r="M44" s="110">
        <f t="shared" si="16"/>
        <v>1.5306731225306762E-2</v>
      </c>
      <c r="N44" s="110">
        <f t="shared" si="16"/>
        <v>5.2111666906796113E-3</v>
      </c>
      <c r="O44" s="110">
        <f t="shared" si="16"/>
        <v>-3.4663310134251486E-3</v>
      </c>
      <c r="P44" s="110">
        <f t="shared" si="16"/>
        <v>-4.7796248713415589E-4</v>
      </c>
      <c r="Q44" s="110">
        <f t="shared" si="16"/>
        <v>3.6841513919476439E-2</v>
      </c>
      <c r="R44" s="110">
        <f t="shared" si="16"/>
        <v>4.640948886667026E-3</v>
      </c>
      <c r="S44" s="110">
        <f t="shared" si="16"/>
        <v>-2.2774690578840316E-3</v>
      </c>
      <c r="T44" s="110">
        <f t="shared" si="16"/>
        <v>-1.3445255440874507E-3</v>
      </c>
      <c r="U44" s="110">
        <f t="shared" si="16"/>
        <v>1.0174163113839032E-2</v>
      </c>
      <c r="V44" s="110">
        <f t="shared" si="16"/>
        <v>-4.1666305852206013E-3</v>
      </c>
      <c r="W44" s="110">
        <f t="shared" si="16"/>
        <v>-1.0805108289389236E-2</v>
      </c>
      <c r="X44" s="110">
        <f t="shared" si="16"/>
        <v>-5.6246263968798517E-3</v>
      </c>
      <c r="Y44" s="110">
        <f t="shared" si="16"/>
        <v>2.0126113688885127E-2</v>
      </c>
      <c r="Z44" s="110">
        <f t="shared" si="16"/>
        <v>-3.7703118650487017E-3</v>
      </c>
      <c r="AA44" s="110">
        <f t="shared" si="16"/>
        <v>-1.1745807973061676E-3</v>
      </c>
      <c r="AB44" s="110">
        <f t="shared" si="16"/>
        <v>2.0237080286265603E-3</v>
      </c>
      <c r="AC44" s="110">
        <f t="shared" si="16"/>
        <v>9.3398010776306731E-2</v>
      </c>
      <c r="AD44" s="110">
        <f t="shared" si="16"/>
        <v>4.5025337338119127E-3</v>
      </c>
      <c r="AE44" s="110">
        <f t="shared" si="16"/>
        <v>-1.4794736735225401E-3</v>
      </c>
      <c r="AF44" s="110">
        <f t="shared" si="16"/>
        <v>2.1721385556779246E-4</v>
      </c>
      <c r="AG44" s="110">
        <f t="shared" si="16"/>
        <v>4.6376670062658106E-3</v>
      </c>
      <c r="AH44" s="110">
        <f t="shared" si="16"/>
        <v>3.121695567437165E-2</v>
      </c>
      <c r="AI44" s="110">
        <f t="shared" si="16"/>
        <v>1.2855609361875842E-2</v>
      </c>
      <c r="AJ44" s="110">
        <f t="shared" si="16"/>
        <v>9.1299345155077954E-3</v>
      </c>
      <c r="AK44" s="110">
        <f t="shared" si="16"/>
        <v>2.7802338193952983E-4</v>
      </c>
      <c r="AL44" s="110">
        <f t="shared" si="16"/>
        <v>0</v>
      </c>
      <c r="AM44" s="110">
        <f t="shared" si="16"/>
        <v>0</v>
      </c>
      <c r="AN44" s="110">
        <f t="shared" si="16"/>
        <v>0</v>
      </c>
      <c r="AO44" s="110">
        <f t="shared" si="16"/>
        <v>0.1802459933556487</v>
      </c>
      <c r="AP44" s="110">
        <f t="shared" si="16"/>
        <v>7.6946994935034138E-2</v>
      </c>
      <c r="AQ44" s="110">
        <f t="shared" si="16"/>
        <v>5.0899517656652397E-2</v>
      </c>
      <c r="AR44" s="110">
        <f t="shared" si="16"/>
        <v>0</v>
      </c>
      <c r="AS44" s="110">
        <f t="shared" si="16"/>
        <v>6.3100113665256227E-4</v>
      </c>
      <c r="AT44" s="110">
        <f t="shared" si="16"/>
        <v>0</v>
      </c>
      <c r="AU44" s="110">
        <f t="shared" si="16"/>
        <v>0</v>
      </c>
      <c r="AV44" s="110">
        <f t="shared" si="16"/>
        <v>0</v>
      </c>
      <c r="AW44" s="110">
        <f t="shared" si="16"/>
        <v>2.4612095600344544E-3</v>
      </c>
      <c r="AX44" s="110">
        <f t="shared" si="16"/>
        <v>2.365719692381823E-3</v>
      </c>
      <c r="AY44" s="110">
        <f t="shared" si="16"/>
        <v>2.2774053902816474E-3</v>
      </c>
      <c r="AZ44" s="110">
        <f t="shared" si="16"/>
        <v>0</v>
      </c>
      <c r="BA44" s="110">
        <f t="shared" si="16"/>
        <v>-1.8401209420975107E-2</v>
      </c>
      <c r="BB44" s="110">
        <f t="shared" si="16"/>
        <v>-1.6324535554794878E-3</v>
      </c>
      <c r="BC44" s="110">
        <f t="shared" si="16"/>
        <v>-1.7563244943288388E-3</v>
      </c>
      <c r="BD44" s="110">
        <f t="shared" si="16"/>
        <v>0</v>
      </c>
      <c r="BE44" s="110">
        <f t="shared" si="16"/>
        <v>3.1215414460660828E-3</v>
      </c>
      <c r="BF44" s="110">
        <f t="shared" si="16"/>
        <v>3.0951269951685805E-3</v>
      </c>
      <c r="BG44" s="110">
        <f t="shared" si="16"/>
        <v>1.9407288716512684E-3</v>
      </c>
      <c r="BH44" s="110">
        <f t="shared" si="16"/>
        <v>0</v>
      </c>
      <c r="BI44" s="110">
        <f t="shared" si="16"/>
        <v>-3.3985272747557378E-3</v>
      </c>
      <c r="BJ44" s="110">
        <f t="shared" si="16"/>
        <v>2.5289429765449614E-3</v>
      </c>
      <c r="BK44" s="110">
        <f t="shared" si="16"/>
        <v>0</v>
      </c>
      <c r="BL44" s="110">
        <f t="shared" si="16"/>
        <v>0</v>
      </c>
      <c r="BM44" s="110">
        <f t="shared" si="16"/>
        <v>2.4914846900989012E-3</v>
      </c>
      <c r="BN44" s="110">
        <f t="shared" si="16"/>
        <v>2.7049546707489085E-3</v>
      </c>
      <c r="BO44" s="110">
        <f t="shared" si="16"/>
        <v>9.746834210215727E-4</v>
      </c>
      <c r="BP44" s="110">
        <f t="shared" si="16"/>
        <v>0</v>
      </c>
      <c r="BQ44" s="110">
        <f t="shared" si="16"/>
        <v>1.8461500105391962E-3</v>
      </c>
      <c r="BR44" s="110">
        <f t="shared" ref="BR44:CK44" si="17">BR32/BR43</f>
        <v>1.1100406522165103E-4</v>
      </c>
      <c r="BS44" s="110">
        <f t="shared" si="17"/>
        <v>1.9504066696774312E-2</v>
      </c>
      <c r="BT44" s="110">
        <f t="shared" si="17"/>
        <v>1.0936139193860174E-2</v>
      </c>
      <c r="BU44" s="110">
        <f t="shared" si="17"/>
        <v>5.0122072654997733E-2</v>
      </c>
      <c r="BV44" s="110">
        <f t="shared" si="17"/>
        <v>7.3564577470310233E-3</v>
      </c>
      <c r="BW44" s="110">
        <f t="shared" si="17"/>
        <v>4.0705647652095438E-2</v>
      </c>
      <c r="BX44" s="110">
        <f t="shared" si="17"/>
        <v>1.3369962562362324E-2</v>
      </c>
      <c r="BY44" s="110">
        <f t="shared" si="17"/>
        <v>2.7362740494635121E-2</v>
      </c>
      <c r="BZ44" s="110" t="e">
        <f t="shared" si="17"/>
        <v>#DIV/0!</v>
      </c>
      <c r="CA44" s="110">
        <f t="shared" si="17"/>
        <v>6.1840005441761714E-2</v>
      </c>
      <c r="CB44" s="110" t="e">
        <f t="shared" si="17"/>
        <v>#DIV/0!</v>
      </c>
      <c r="CC44" s="110">
        <f t="shared" si="17"/>
        <v>-2.9271310179047965E-3</v>
      </c>
      <c r="CD44" s="110" t="e">
        <f t="shared" si="17"/>
        <v>#DIV/0!</v>
      </c>
      <c r="CE44" s="110">
        <f t="shared" si="17"/>
        <v>0.29277550351693765</v>
      </c>
      <c r="CF44" s="110">
        <f t="shared" si="17"/>
        <v>-4.6118800547337068E-3</v>
      </c>
      <c r="CG44" s="110" t="e">
        <f t="shared" si="17"/>
        <v>#DIV/0!</v>
      </c>
      <c r="CH44" s="110" t="e">
        <f t="shared" si="17"/>
        <v>#DIV/0!</v>
      </c>
      <c r="CI44" s="110" t="e">
        <f t="shared" si="17"/>
        <v>#DIV/0!</v>
      </c>
      <c r="CJ44" s="110" t="e">
        <f t="shared" si="17"/>
        <v>#DIV/0!</v>
      </c>
      <c r="CK44" s="110" t="e">
        <f t="shared" si="17"/>
        <v>#DIV/0!</v>
      </c>
    </row>
    <row r="45" spans="1:89" s="16" customFormat="1" ht="81.599999999999994" customHeight="1">
      <c r="A45" s="279" t="s">
        <v>695</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c r="A46" s="57" t="s">
        <v>696</v>
      </c>
      <c r="E46" s="57">
        <f>E43/资产资本表!E70</f>
        <v>0.19968802852606257</v>
      </c>
      <c r="F46" s="57">
        <f>F43/资产资本表!F70</f>
        <v>0.15903194003449456</v>
      </c>
      <c r="G46" s="57">
        <f>G43/资产资本表!G70</f>
        <v>0.13140032079933828</v>
      </c>
      <c r="H46" s="57">
        <f>H43/资产资本表!H70</f>
        <v>0.1162703944632025</v>
      </c>
      <c r="I46" s="57">
        <f>I43/资产资本表!I70</f>
        <v>0.28956987231440845</v>
      </c>
      <c r="J46" s="57">
        <f>J43/资产资本表!J70</f>
        <v>0.32182914583014527</v>
      </c>
      <c r="K46" s="57">
        <f>K43/资产资本表!K70</f>
        <v>0.29803030356794147</v>
      </c>
      <c r="L46" s="57">
        <f>L43/资产资本表!L70</f>
        <v>0.3474515166711028</v>
      </c>
      <c r="M46" s="57">
        <f>M43/资产资本表!M70</f>
        <v>0.46645719631862553</v>
      </c>
      <c r="N46" s="57">
        <f>N43/资产资本表!N70</f>
        <v>0.20993034117015325</v>
      </c>
      <c r="O46" s="57">
        <f>O43/资产资本表!O70</f>
        <v>0.23262753220758894</v>
      </c>
      <c r="P46" s="57">
        <f>P43/资产资本表!P70</f>
        <v>0.19933772668217262</v>
      </c>
      <c r="Q46" s="57">
        <f>Q43/资产资本表!Q70</f>
        <v>7.5191114973791578E-2</v>
      </c>
      <c r="R46" s="57">
        <f>R43/资产资本表!R70</f>
        <v>0.23262072028403416</v>
      </c>
      <c r="S46" s="57">
        <f>S43/资产资本表!S70</f>
        <v>9.7944154561531216E-2</v>
      </c>
      <c r="T46" s="57">
        <f>T43/资产资本表!T70</f>
        <v>0.13867027948038665</v>
      </c>
      <c r="U46" s="57">
        <f>U43/资产资本表!U70</f>
        <v>0.16617227093160933</v>
      </c>
      <c r="V46" s="57">
        <f>V43/资产资本表!V70</f>
        <v>6.9338075560098064E-2</v>
      </c>
      <c r="W46" s="57">
        <f>W43/资产资本表!W70</f>
        <v>7.8973999385029664E-2</v>
      </c>
      <c r="X46" s="57">
        <f>X43/资产资本表!X70</f>
        <v>8.2363836577131047E-2</v>
      </c>
      <c r="Y46" s="57">
        <f>Y43/资产资本表!Y70</f>
        <v>8.1840374071162542E-2</v>
      </c>
      <c r="Z46" s="57">
        <f>Z43/资产资本表!Z70</f>
        <v>8.2202535311905009E-2</v>
      </c>
      <c r="AA46" s="57">
        <f>AA43/资产资本表!AA70</f>
        <v>8.9112648122132265E-2</v>
      </c>
      <c r="AB46" s="57">
        <f>AB43/资产资本表!AB70</f>
        <v>0.12157916057487655</v>
      </c>
      <c r="AC46" s="57">
        <f>AC43/资产资本表!AC70</f>
        <v>0.11153489660882437</v>
      </c>
      <c r="AD46" s="57">
        <f>AD43/资产资本表!AD70</f>
        <v>0.12833369108173026</v>
      </c>
      <c r="AE46" s="57">
        <f>AE43/资产资本表!AE70</f>
        <v>0.15332343549716274</v>
      </c>
      <c r="AF46" s="57">
        <f>AF43/资产资本表!AF70</f>
        <v>0.13433082648041353</v>
      </c>
      <c r="AG46" s="57">
        <f>AG43/资产资本表!AG70</f>
        <v>0.13973729235481139</v>
      </c>
      <c r="AH46" s="57">
        <f>AH43/资产资本表!AH70</f>
        <v>0.14076937140918494</v>
      </c>
      <c r="AI46" s="57">
        <f>AI43/资产资本表!AI70</f>
        <v>0.21830847009374243</v>
      </c>
      <c r="AJ46" s="57">
        <f>AJ43/资产资本表!AJ70</f>
        <v>0.17363999929782048</v>
      </c>
      <c r="AK46" s="57">
        <f>AK43/资产资本表!AK70</f>
        <v>0.21187436548220134</v>
      </c>
      <c r="AL46" s="57">
        <f>AL43/资产资本表!AL70</f>
        <v>0.18109776451165979</v>
      </c>
      <c r="AM46" s="57">
        <f>AM43/资产资本表!AM70</f>
        <v>0.17174224728535809</v>
      </c>
      <c r="AN46" s="57">
        <f>AN43/资产资本表!AN70</f>
        <v>0.11740032637410357</v>
      </c>
      <c r="AO46" s="57">
        <f>AO43/资产资本表!AO70</f>
        <v>7.527860521002866E-2</v>
      </c>
      <c r="AP46" s="57">
        <f>AP43/资产资本表!AP70</f>
        <v>0.12269649353903998</v>
      </c>
      <c r="AQ46" s="57">
        <f>AQ43/资产资本表!AQ70</f>
        <v>0.16215903606303919</v>
      </c>
      <c r="AR46" s="57">
        <f>AR43/资产资本表!AR70</f>
        <v>0.20151132868046309</v>
      </c>
      <c r="AS46" s="57">
        <f>AS43/资产资本表!AS70</f>
        <v>0.22505964905420139</v>
      </c>
      <c r="AT46" s="57">
        <f>AT43/资产资本表!AT70</f>
        <v>0.33846299925906481</v>
      </c>
      <c r="AU46" s="57">
        <f>AU43/资产资本表!AU70</f>
        <v>0.50531159395948211</v>
      </c>
      <c r="AV46" s="57">
        <f>AV43/资产资本表!AV70</f>
        <v>0.19690794119632699</v>
      </c>
      <c r="AW46" s="57">
        <f>AW43/资产资本表!AW70</f>
        <v>9.8277252893524986E-2</v>
      </c>
      <c r="AX46" s="57">
        <f>AX43/资产资本表!AX70</f>
        <v>0.12985791056389925</v>
      </c>
      <c r="AY46" s="57">
        <f>AY43/资产资本表!AY70</f>
        <v>0.13602731257866438</v>
      </c>
      <c r="AZ46" s="57">
        <f>AZ43/资产资本表!AZ70</f>
        <v>0.12859290677450774</v>
      </c>
      <c r="BA46" s="57">
        <f>BA43/资产资本表!BA70</f>
        <v>7.7471879660594017E-2</v>
      </c>
      <c r="BB46" s="57">
        <f>BB43/资产资本表!BB70</f>
        <v>0.13715712242806297</v>
      </c>
      <c r="BC46" s="57">
        <f>BC43/资产资本表!BC70</f>
        <v>0.12511916560579409</v>
      </c>
      <c r="BD46" s="57">
        <f>BD43/资产资本表!BD70</f>
        <v>9.8059352987415957E-2</v>
      </c>
      <c r="BE46" s="57">
        <f>BE43/资产资本表!BE70</f>
        <v>0.15285983787023752</v>
      </c>
      <c r="BF46" s="57">
        <f>BF43/资产资本表!BF70</f>
        <v>6.8046838346231472E-2</v>
      </c>
      <c r="BG46" s="57">
        <f>BG43/资产资本表!BG70</f>
        <v>0.10835872764421586</v>
      </c>
      <c r="BH46" s="57">
        <f>BH43/资产资本表!BH70</f>
        <v>0.14524803999706157</v>
      </c>
      <c r="BI46" s="57">
        <f>BI43/资产资本表!BI70</f>
        <v>7.7852358104988056E-2</v>
      </c>
      <c r="BJ46" s="57">
        <f>BJ43/资产资本表!BJ70</f>
        <v>0.12162619285398429</v>
      </c>
      <c r="BK46" s="57">
        <f>BK43/资产资本表!BK70</f>
        <v>0.15610015230229571</v>
      </c>
      <c r="BL46" s="57">
        <f>BL43/资产资本表!BL70</f>
        <v>0.20499201907070089</v>
      </c>
      <c r="BM46" s="57">
        <f>BM43/资产资本表!BM70</f>
        <v>0.19738724033120991</v>
      </c>
      <c r="BN46" s="57">
        <f>BN43/资产资本表!BN70</f>
        <v>0.13240673889222387</v>
      </c>
      <c r="BO46" s="57">
        <f>BO43/资产资本表!BO70</f>
        <v>0.25919546467215032</v>
      </c>
      <c r="BP46" s="57">
        <f>BP43/资产资本表!BP70</f>
        <v>0.25500504639265165</v>
      </c>
      <c r="BQ46" s="57">
        <f>BQ43/资产资本表!BQ70</f>
        <v>0.25564745100077446</v>
      </c>
      <c r="BR46" s="57">
        <f>BR43/资产资本表!BR70</f>
        <v>0.25076913053436678</v>
      </c>
      <c r="BS46" s="57">
        <f>BS43/资产资本表!BS70</f>
        <v>9.5956513107820413E-2</v>
      </c>
      <c r="BT46" s="57">
        <f>BT43/资产资本表!BT70</f>
        <v>9.9236508289401074E-2</v>
      </c>
      <c r="BU46" s="57">
        <f>BU43/资产资本表!BU70</f>
        <v>9.6028212038678437E-2</v>
      </c>
      <c r="BV46" s="57">
        <f>BV43/资产资本表!BV70</f>
        <v>0.12966746289472469</v>
      </c>
      <c r="BW46" s="57">
        <f>BW43/资产资本表!BW70</f>
        <v>0.14232868464647644</v>
      </c>
      <c r="BX46" s="57">
        <f>BX43/资产资本表!BX70</f>
        <v>0.26833367539824371</v>
      </c>
      <c r="BY46" s="57">
        <f>BY43/资产资本表!BY70</f>
        <v>7.06047210704904E-2</v>
      </c>
      <c r="BZ46" s="57">
        <f>BZ43/资产资本表!BZ70</f>
        <v>0</v>
      </c>
      <c r="CA46" s="57">
        <f>CA43/资产资本表!CA70</f>
        <v>7.0549009131733523E-2</v>
      </c>
      <c r="CB46" s="57">
        <f>CB43/资产资本表!CB70</f>
        <v>0</v>
      </c>
      <c r="CC46" s="57">
        <f>CC43/资产资本表!CC70</f>
        <v>7.4254394635578591E-2</v>
      </c>
      <c r="CD46" s="57">
        <f>CD43/资产资本表!CD70</f>
        <v>0</v>
      </c>
      <c r="CE46" s="57">
        <f>CE43/资产资本表!CE70</f>
        <v>2.3976291529550234E-2</v>
      </c>
      <c r="CF46" s="57">
        <f>CF43/资产资本表!CF70</f>
        <v>6.2022048021193245E-2</v>
      </c>
      <c r="CG46" s="57">
        <f>CG43/资产资本表!CG70</f>
        <v>0</v>
      </c>
      <c r="CH46" s="57">
        <f>CH43/资产资本表!CH70</f>
        <v>0</v>
      </c>
      <c r="CI46" s="57" t="e">
        <f>CI43/资产资本表!CI70</f>
        <v>#DIV/0!</v>
      </c>
      <c r="CJ46" s="57" t="e">
        <f>CJ43/资产资本表!CJ70</f>
        <v>#DIV/0!</v>
      </c>
      <c r="CK46" s="57" t="e">
        <f>CK43/资产资本表!CK70</f>
        <v>#DIV/0!</v>
      </c>
    </row>
    <row r="48" spans="1:89" s="116" customFormat="1">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37072</v>
      </c>
      <c r="BS48" s="1">
        <v>36891</v>
      </c>
      <c r="BT48" s="1">
        <v>36707</v>
      </c>
      <c r="BU48" s="1">
        <v>36525</v>
      </c>
      <c r="BV48" s="1">
        <v>36341</v>
      </c>
      <c r="BW48" s="1">
        <v>36160</v>
      </c>
      <c r="BX48" s="1">
        <v>35976</v>
      </c>
      <c r="BY48" s="1">
        <v>35795</v>
      </c>
      <c r="BZ48" s="1">
        <v>35611</v>
      </c>
      <c r="CA48" s="1">
        <v>35430</v>
      </c>
      <c r="CB48" s="1">
        <v>35246</v>
      </c>
      <c r="CC48" s="1">
        <v>35064</v>
      </c>
      <c r="CD48" s="1">
        <v>34880</v>
      </c>
      <c r="CE48" s="1">
        <v>34699</v>
      </c>
      <c r="CF48" s="1">
        <v>34334</v>
      </c>
      <c r="CG48" s="1">
        <v>33969</v>
      </c>
      <c r="CH48" s="1">
        <v>33603</v>
      </c>
      <c r="CI48" s="1">
        <v>25569</v>
      </c>
      <c r="CJ48" s="1"/>
      <c r="CK48" s="1"/>
    </row>
    <row r="49" spans="1:89" s="76" customFormat="1">
      <c r="A49" s="146" t="s">
        <v>463</v>
      </c>
      <c r="E49" s="76">
        <f>利润表!E4</f>
        <v>14012500489.6</v>
      </c>
      <c r="F49" s="76">
        <f>利润表!F4</f>
        <v>10101263607.549999</v>
      </c>
      <c r="G49" s="76">
        <f>利润表!G4</f>
        <v>6204369367.1700001</v>
      </c>
      <c r="H49" s="76">
        <f>利润表!H4</f>
        <v>2902672264.27</v>
      </c>
      <c r="I49" s="76">
        <f>利润表!I4</f>
        <v>10736756430.530001</v>
      </c>
      <c r="J49" s="76">
        <f>利润表!J4</f>
        <v>7753412466.4899998</v>
      </c>
      <c r="K49" s="76">
        <f>利润表!K4</f>
        <v>4970453217</v>
      </c>
      <c r="L49" s="76">
        <f>利润表!L4</f>
        <v>2451540177.1700001</v>
      </c>
      <c r="M49" s="76">
        <f>利润表!M4</f>
        <v>10530002724</v>
      </c>
      <c r="N49" s="76">
        <f>利润表!N4</f>
        <v>7798701732.9399996</v>
      </c>
      <c r="O49" s="76">
        <f>利润表!O4</f>
        <v>5137805297</v>
      </c>
      <c r="P49" s="76">
        <f>利润表!P4</f>
        <v>2440217347.02</v>
      </c>
      <c r="Q49" s="76">
        <f>利润表!Q4</f>
        <v>9322363339</v>
      </c>
      <c r="R49" s="76">
        <f>利润表!R4</f>
        <v>6534329893.3699999</v>
      </c>
      <c r="S49" s="76">
        <f>利润表!S4</f>
        <v>2485591860</v>
      </c>
      <c r="T49" s="76">
        <f>利润表!T4</f>
        <v>1179748523.6800001</v>
      </c>
      <c r="U49" s="76">
        <f>利润表!U4</f>
        <v>4519377681</v>
      </c>
      <c r="V49" s="76">
        <f>利润表!V4</f>
        <v>3497195925</v>
      </c>
      <c r="W49" s="76">
        <f>利润表!W4</f>
        <v>2251106750</v>
      </c>
      <c r="X49" s="76">
        <f>利润表!X4</f>
        <v>1040384420.38</v>
      </c>
      <c r="Y49" s="76">
        <f>利润表!Y4</f>
        <v>4333544367</v>
      </c>
      <c r="Z49" s="76">
        <f>利润表!Z4</f>
        <v>3309222233</v>
      </c>
      <c r="AA49" s="76">
        <f>利润表!AA4</f>
        <v>2237318777</v>
      </c>
      <c r="AB49" s="76">
        <f>利润表!AB4</f>
        <v>983311090.32000005</v>
      </c>
      <c r="AC49" s="76">
        <f>利润表!AC4</f>
        <v>4614967219</v>
      </c>
      <c r="AD49" s="76">
        <f>利润表!AD4</f>
        <v>3351943781.3899999</v>
      </c>
      <c r="AE49" s="76">
        <f>利润表!AE4</f>
        <v>2109214855</v>
      </c>
      <c r="AF49" s="76">
        <f>利润表!AF4</f>
        <v>1016773975.08</v>
      </c>
      <c r="AG49" s="76">
        <f>利润表!AG4</f>
        <v>3454211508</v>
      </c>
      <c r="AH49" s="76">
        <f>利润表!AH4</f>
        <v>2331874989.3000002</v>
      </c>
      <c r="AI49" s="76">
        <f>利润表!AI4</f>
        <v>1482501080.6800001</v>
      </c>
      <c r="AJ49" s="76">
        <f>利润表!AJ4</f>
        <v>654990128.36000001</v>
      </c>
      <c r="AK49" s="76">
        <f>利润表!AK4</f>
        <v>2190447604.0900002</v>
      </c>
      <c r="AL49" s="76">
        <f>利润表!AL4</f>
        <v>1582234481.26</v>
      </c>
      <c r="AM49" s="76">
        <f>利润表!AM4</f>
        <v>877566161.70000005</v>
      </c>
      <c r="AN49" s="76">
        <f>利润表!AN4</f>
        <v>348986536.45999998</v>
      </c>
      <c r="AO49" s="76">
        <f>利润表!AO4</f>
        <v>1376252455.3199999</v>
      </c>
      <c r="AP49" s="76">
        <f>利润表!AP4</f>
        <v>1039055393.03</v>
      </c>
      <c r="AQ49" s="76">
        <f>利润表!AQ4</f>
        <v>688263087.98000002</v>
      </c>
      <c r="AR49" s="76">
        <f>利润表!AR4</f>
        <v>345739706.98000002</v>
      </c>
      <c r="AS49" s="76">
        <f>利润表!AS4</f>
        <v>1721551769.9000001</v>
      </c>
      <c r="AT49" s="76">
        <f>利润表!AT4</f>
        <v>1233069401.45</v>
      </c>
      <c r="AU49" s="76">
        <f>利润表!AU4</f>
        <v>766793416.89999998</v>
      </c>
      <c r="AV49" s="76">
        <f>利润表!AV4</f>
        <v>353680370.72000003</v>
      </c>
      <c r="AW49" s="76">
        <f>利润表!AW4</f>
        <v>1511181193.1300001</v>
      </c>
      <c r="AX49" s="76">
        <f>利润表!AX4</f>
        <v>1021355833.87</v>
      </c>
      <c r="AY49" s="76">
        <f>利润表!AY4</f>
        <v>640682641.66999996</v>
      </c>
      <c r="AZ49" s="76">
        <f>利润表!AZ4</f>
        <v>252638836.43000001</v>
      </c>
      <c r="BA49" s="76">
        <f>利润表!BA4</f>
        <v>1102472837.22</v>
      </c>
      <c r="BB49" s="76">
        <f>利润表!BB4</f>
        <v>757278828.25999999</v>
      </c>
      <c r="BC49" s="76">
        <f>利润表!BC4</f>
        <v>525047305.04000002</v>
      </c>
      <c r="BD49" s="76">
        <f>利润表!BD4</f>
        <v>235781336</v>
      </c>
      <c r="BE49" s="76">
        <f>利润表!BE4</f>
        <v>1070912713.53</v>
      </c>
      <c r="BF49" s="76">
        <f>利润表!BF4</f>
        <v>658451923.87</v>
      </c>
      <c r="BG49" s="76">
        <f>利润表!BG4</f>
        <v>440634384.5</v>
      </c>
      <c r="BH49" s="76">
        <f>利润表!BH4</f>
        <v>175134049.22999999</v>
      </c>
      <c r="BI49" s="76">
        <f>利润表!BI4</f>
        <v>635780184.69000006</v>
      </c>
      <c r="BJ49" s="76">
        <f>利润表!BJ4</f>
        <v>444161175.67000002</v>
      </c>
      <c r="BK49" s="76">
        <f>利润表!BK4</f>
        <v>259543114.94999999</v>
      </c>
      <c r="BL49" s="76">
        <f>利润表!BL4</f>
        <v>108906147.65000001</v>
      </c>
      <c r="BM49" s="76">
        <f>利润表!BM4</f>
        <v>325573860.41000003</v>
      </c>
      <c r="BN49" s="76">
        <f>利润表!BN4</f>
        <v>242239931.31999999</v>
      </c>
      <c r="BO49" s="76">
        <f>利润表!BO4</f>
        <v>150534298.19999999</v>
      </c>
      <c r="BP49" s="76">
        <f>利润表!BP4</f>
        <v>64662895.729999997</v>
      </c>
      <c r="BQ49" s="76">
        <f>利润表!BQ4</f>
        <v>278936200.85000002</v>
      </c>
      <c r="BR49" s="76">
        <f>利润表!BR4</f>
        <v>151843112.88999999</v>
      </c>
      <c r="BS49" s="76">
        <f>利润表!BS4</f>
        <v>317613770.89999998</v>
      </c>
      <c r="BT49" s="76">
        <f>利润表!BT4</f>
        <v>155847802.03</v>
      </c>
      <c r="BU49" s="76">
        <f>利润表!BU4</f>
        <v>269058645.97000003</v>
      </c>
      <c r="BV49" s="76">
        <f>利润表!BV4</f>
        <v>123867036.98</v>
      </c>
      <c r="BW49" s="76">
        <f>利润表!BW4</f>
        <v>172359929.78999999</v>
      </c>
      <c r="BX49" s="76">
        <f>利润表!BX4</f>
        <v>96802269.069999993</v>
      </c>
      <c r="BY49" s="76">
        <f>利润表!BY4</f>
        <v>219024479.13999999</v>
      </c>
      <c r="BZ49" s="76">
        <f>利润表!BZ4</f>
        <v>104071345.44</v>
      </c>
      <c r="CA49" s="76">
        <f>利润表!CA4</f>
        <v>153766691.63999999</v>
      </c>
      <c r="CB49" s="76">
        <f>利润表!CB4</f>
        <v>65350000</v>
      </c>
      <c r="CC49" s="76">
        <f>利润表!CC4</f>
        <v>150277584.41999999</v>
      </c>
      <c r="CD49" s="76">
        <f>利润表!CD4</f>
        <v>72860000</v>
      </c>
      <c r="CE49" s="76">
        <f>利润表!CE4</f>
        <v>172102849.21000001</v>
      </c>
      <c r="CF49" s="76">
        <f>利润表!CF4</f>
        <v>134608301.97</v>
      </c>
      <c r="CG49" s="76">
        <f>利润表!CG4</f>
        <v>110910400</v>
      </c>
      <c r="CH49" s="76">
        <f>利润表!CH4</f>
        <v>59300500</v>
      </c>
      <c r="CI49" s="76">
        <f>利润表!CI4</f>
        <v>0</v>
      </c>
      <c r="CJ49" s="76">
        <f>利润表!CJ4</f>
        <v>0</v>
      </c>
      <c r="CK49" s="76">
        <f>利润表!CK4</f>
        <v>0</v>
      </c>
    </row>
    <row r="50" spans="1:89" s="76" customFormat="1">
      <c r="A50" s="146" t="s">
        <v>464</v>
      </c>
      <c r="E50" s="76">
        <f>资产资本表!E50</f>
        <v>-967677660.50000095</v>
      </c>
      <c r="F50" s="76">
        <f>资产资本表!F50</f>
        <v>-801948184.0899992</v>
      </c>
      <c r="G50" s="76">
        <f>资产资本表!G50</f>
        <v>124240979.93000031</v>
      </c>
      <c r="H50" s="76">
        <f>资产资本表!H50</f>
        <v>407748499.83000088</v>
      </c>
      <c r="I50" s="76">
        <f>资产资本表!I50</f>
        <v>-1156521867.8199997</v>
      </c>
      <c r="J50" s="76">
        <f>资产资本表!J50</f>
        <v>-547103967.65000057</v>
      </c>
      <c r="K50" s="76">
        <f>资产资本表!K50</f>
        <v>476647258</v>
      </c>
      <c r="L50" s="76">
        <f>资产资本表!L50</f>
        <v>69402741.039999962</v>
      </c>
      <c r="M50" s="76">
        <f>资产资本表!M50</f>
        <v>-1854043722</v>
      </c>
      <c r="N50" s="76">
        <f>资产资本表!N50</f>
        <v>-293448911.54999971</v>
      </c>
      <c r="O50" s="76">
        <f>资产资本表!O50</f>
        <v>280833532</v>
      </c>
      <c r="P50" s="76">
        <f>资产资本表!P50</f>
        <v>-39908694.049999237</v>
      </c>
      <c r="Q50" s="76">
        <f>资产资本表!Q50</f>
        <v>362364462</v>
      </c>
      <c r="R50" s="76">
        <f>资产资本表!R50</f>
        <v>430783910.51000023</v>
      </c>
      <c r="S50" s="76">
        <f>资产资本表!S50</f>
        <v>216920846</v>
      </c>
      <c r="T50" s="76">
        <f>资产资本表!T50</f>
        <v>252518587.07999992</v>
      </c>
      <c r="U50" s="76">
        <f>资产资本表!U50</f>
        <v>8437778</v>
      </c>
      <c r="V50" s="76">
        <f>资产资本表!V50</f>
        <v>673068471</v>
      </c>
      <c r="W50" s="76">
        <f>资产资本表!W50</f>
        <v>317686036</v>
      </c>
      <c r="X50" s="76">
        <f>资产资本表!X50</f>
        <v>393565817.28999972</v>
      </c>
      <c r="Y50" s="76">
        <f>资产资本表!Y50</f>
        <v>307344207</v>
      </c>
      <c r="Z50" s="76">
        <f>资产资本表!Z50</f>
        <v>740662834</v>
      </c>
      <c r="AA50" s="76">
        <f>资产资本表!AA50</f>
        <v>610894785</v>
      </c>
      <c r="AB50" s="76">
        <f>资产资本表!AB50</f>
        <v>216637428.80999994</v>
      </c>
      <c r="AC50" s="76">
        <f>资产资本表!AC50</f>
        <v>287594810</v>
      </c>
      <c r="AD50" s="76">
        <f>资产资本表!AD50</f>
        <v>229067601.52999973</v>
      </c>
      <c r="AE50" s="76">
        <f>资产资本表!AE50</f>
        <v>268860262</v>
      </c>
      <c r="AF50" s="76">
        <f>资产资本表!AF50</f>
        <v>129903909.18999982</v>
      </c>
      <c r="AG50" s="76">
        <f>资产资本表!AG50</f>
        <v>-125447579</v>
      </c>
      <c r="AH50" s="76">
        <f>资产资本表!AH50</f>
        <v>239740152.83999991</v>
      </c>
      <c r="AI50" s="76">
        <f>资产资本表!AI50</f>
        <v>92884912.449999928</v>
      </c>
      <c r="AJ50" s="76">
        <f>资产资本表!AJ50</f>
        <v>134910390.32000005</v>
      </c>
      <c r="AK50" s="76">
        <f>资产资本表!AK50</f>
        <v>-113966091.47000003</v>
      </c>
      <c r="AL50" s="76">
        <f>资产资本表!AL50</f>
        <v>-196394255.98000014</v>
      </c>
      <c r="AM50" s="76">
        <f>资产资本表!AM50</f>
        <v>-150218391.84000003</v>
      </c>
      <c r="AN50" s="76">
        <f>资产资本表!AN50</f>
        <v>-73983306.860000014</v>
      </c>
      <c r="AO50" s="76">
        <f>资产资本表!AO50</f>
        <v>-48474019.860000014</v>
      </c>
      <c r="AP50" s="76">
        <f>资产资本表!AP50</f>
        <v>216832183.69999993</v>
      </c>
      <c r="AQ50" s="76">
        <f>资产资本表!AQ50</f>
        <v>422192966.77999985</v>
      </c>
      <c r="AR50" s="76">
        <f>资产资本表!AR50</f>
        <v>604101707.89999986</v>
      </c>
      <c r="AS50" s="76">
        <f>资产资本表!AS50</f>
        <v>462522057.86999995</v>
      </c>
      <c r="AT50" s="76">
        <f>资产资本表!AT50</f>
        <v>374340214.52999997</v>
      </c>
      <c r="AU50" s="76">
        <f>资产资本表!AU50</f>
        <v>344021710.82999998</v>
      </c>
      <c r="AV50" s="76">
        <f>资产资本表!AV50</f>
        <v>355967319.96000004</v>
      </c>
      <c r="AW50" s="76">
        <f>资产资本表!AW50</f>
        <v>403599683.05000001</v>
      </c>
      <c r="AX50" s="76">
        <f>资产资本表!AX50</f>
        <v>382704446.06999993</v>
      </c>
      <c r="AY50" s="76">
        <f>资产资本表!AY50</f>
        <v>452898658.90000004</v>
      </c>
      <c r="AZ50" s="76">
        <f>资产资本表!AZ50</f>
        <v>396840364.33999997</v>
      </c>
      <c r="BA50" s="76">
        <f>资产资本表!BA50</f>
        <v>445897156.29999989</v>
      </c>
      <c r="BB50" s="76">
        <f>资产资本表!BB50</f>
        <v>412590145.04999995</v>
      </c>
      <c r="BC50" s="76">
        <f>资产资本表!BC50</f>
        <v>431207627.33000004</v>
      </c>
      <c r="BD50" s="76">
        <f>资产资本表!BD50</f>
        <v>463536408.04000002</v>
      </c>
      <c r="BE50" s="76">
        <f>资产资本表!BE50</f>
        <v>408385576.31000006</v>
      </c>
      <c r="BF50" s="76">
        <f>资产资本表!BF50</f>
        <v>455372481.09999996</v>
      </c>
      <c r="BG50" s="76">
        <f>资产资本表!BG50</f>
        <v>395106343.08000004</v>
      </c>
      <c r="BH50" s="76">
        <f>资产资本表!BH50</f>
        <v>325654437.92999995</v>
      </c>
      <c r="BI50" s="76">
        <f>资产资本表!BI50</f>
        <v>320145724.59000003</v>
      </c>
      <c r="BJ50" s="76">
        <f>资产资本表!BJ50</f>
        <v>280420113.79000002</v>
      </c>
      <c r="BK50" s="76">
        <f>资产资本表!BK50</f>
        <v>267744625.59000006</v>
      </c>
      <c r="BL50" s="76">
        <f>资产资本表!BL50</f>
        <v>241228168.29999998</v>
      </c>
      <c r="BM50" s="76">
        <f>资产资本表!BM50</f>
        <v>221137056.56999999</v>
      </c>
      <c r="BN50" s="76">
        <f>资产资本表!BN50</f>
        <v>575553459.80000007</v>
      </c>
      <c r="BO50" s="76">
        <f>资产资本表!BO50</f>
        <v>263609313.97999999</v>
      </c>
      <c r="BP50" s="76">
        <f>资产资本表!BP50</f>
        <v>236995502.77000004</v>
      </c>
      <c r="BQ50" s="76">
        <f>资产资本表!BQ50</f>
        <v>227856361.63000003</v>
      </c>
      <c r="BR50" s="76">
        <f>资产资本表!BR50</f>
        <v>265230554.06</v>
      </c>
      <c r="BS50" s="76">
        <f>资产资本表!BS50</f>
        <v>262558633.85000002</v>
      </c>
      <c r="BT50" s="76">
        <f>资产资本表!BT50</f>
        <v>242476704.78999996</v>
      </c>
      <c r="BU50" s="76">
        <f>资产资本表!BU50</f>
        <v>221149523.5</v>
      </c>
      <c r="BV50" s="76">
        <f>资产资本表!BV50</f>
        <v>186906869.58000001</v>
      </c>
      <c r="BW50" s="76">
        <f>资产资本表!BW50</f>
        <v>144134098.90999997</v>
      </c>
      <c r="BX50" s="76">
        <f>资产资本表!BX50</f>
        <v>253745968.43000001</v>
      </c>
      <c r="BY50" s="76">
        <f>资产资本表!BY50</f>
        <v>237199013.87</v>
      </c>
      <c r="BZ50" s="76">
        <f>资产资本表!BZ50</f>
        <v>0</v>
      </c>
      <c r="CA50" s="76">
        <f>资产资本表!CA50</f>
        <v>198427409.82999998</v>
      </c>
      <c r="CB50" s="76">
        <f>资产资本表!CB50</f>
        <v>0</v>
      </c>
      <c r="CC50" s="76">
        <f>资产资本表!CC50</f>
        <v>80658516.559999987</v>
      </c>
      <c r="CD50" s="76">
        <f>资产资本表!CD50</f>
        <v>0</v>
      </c>
      <c r="CE50" s="76">
        <f>资产资本表!CE50</f>
        <v>57196819.290000007</v>
      </c>
      <c r="CF50" s="76">
        <f>资产资本表!CF50</f>
        <v>85802431.019999996</v>
      </c>
      <c r="CG50" s="76">
        <f>资产资本表!CG50</f>
        <v>0</v>
      </c>
      <c r="CH50" s="76">
        <f>资产资本表!CH50</f>
        <v>0</v>
      </c>
      <c r="CI50" s="76">
        <f>资产资本表!CI50</f>
        <v>0</v>
      </c>
      <c r="CJ50" s="76">
        <f>资产资本表!CJ50</f>
        <v>0</v>
      </c>
      <c r="CK50" s="76">
        <f>资产资本表!CK50</f>
        <v>0</v>
      </c>
    </row>
    <row r="51" spans="1:89" s="44" customFormat="1">
      <c r="A51" s="142" t="s">
        <v>465</v>
      </c>
      <c r="E51" s="44">
        <f>E49/E50</f>
        <v>-14.480545600649409</v>
      </c>
      <c r="F51" s="44">
        <f t="shared" ref="F51:BQ51" si="18">F49/F50</f>
        <v>-12.595905580872763</v>
      </c>
      <c r="G51" s="44">
        <f t="shared" si="18"/>
        <v>49.938187630729068</v>
      </c>
      <c r="H51" s="44">
        <f t="shared" si="18"/>
        <v>7.1187809776864572</v>
      </c>
      <c r="I51" s="44">
        <f t="shared" si="18"/>
        <v>-9.283660542250173</v>
      </c>
      <c r="J51" s="44">
        <f t="shared" si="18"/>
        <v>-14.171735035652491</v>
      </c>
      <c r="K51" s="44">
        <f t="shared" si="18"/>
        <v>10.427948831292763</v>
      </c>
      <c r="L51" s="44">
        <f t="shared" si="18"/>
        <v>35.323391272933527</v>
      </c>
      <c r="M51" s="44">
        <f t="shared" si="18"/>
        <v>-5.6794791832854088</v>
      </c>
      <c r="N51" s="44">
        <f t="shared" si="18"/>
        <v>-26.576011789402077</v>
      </c>
      <c r="O51" s="44">
        <f t="shared" si="18"/>
        <v>18.294842714864977</v>
      </c>
      <c r="P51" s="44">
        <f t="shared" si="18"/>
        <v>-61.145006247580952</v>
      </c>
      <c r="Q51" s="44">
        <f t="shared" si="18"/>
        <v>25.726483462387655</v>
      </c>
      <c r="R51" s="44">
        <f t="shared" si="18"/>
        <v>15.16846319918049</v>
      </c>
      <c r="S51" s="44">
        <f t="shared" si="18"/>
        <v>11.458520035460309</v>
      </c>
      <c r="T51" s="44">
        <f t="shared" si="18"/>
        <v>4.6719274700608322</v>
      </c>
      <c r="U51" s="44">
        <f t="shared" si="18"/>
        <v>535.61229994436928</v>
      </c>
      <c r="V51" s="44">
        <f t="shared" si="18"/>
        <v>5.1958991925503524</v>
      </c>
      <c r="W51" s="44">
        <f t="shared" si="18"/>
        <v>7.085948058478718</v>
      </c>
      <c r="X51" s="44">
        <f t="shared" si="18"/>
        <v>2.6434826772910278</v>
      </c>
      <c r="Y51" s="44">
        <f t="shared" si="18"/>
        <v>14.09997087402399</v>
      </c>
      <c r="Z51" s="44">
        <f t="shared" si="18"/>
        <v>4.4679199240068792</v>
      </c>
      <c r="AA51" s="44">
        <f t="shared" si="18"/>
        <v>3.6623635230410421</v>
      </c>
      <c r="AB51" s="44">
        <f t="shared" si="18"/>
        <v>4.5389713851451079</v>
      </c>
      <c r="AC51" s="44">
        <f t="shared" si="18"/>
        <v>16.046768086670269</v>
      </c>
      <c r="AD51" s="44">
        <f t="shared" si="18"/>
        <v>14.632989383926535</v>
      </c>
      <c r="AE51" s="44">
        <f t="shared" si="18"/>
        <v>7.8450226869153319</v>
      </c>
      <c r="AF51" s="44">
        <f t="shared" si="18"/>
        <v>7.8271237672520533</v>
      </c>
      <c r="AG51" s="44">
        <f t="shared" si="18"/>
        <v>-27.535099007371038</v>
      </c>
      <c r="AH51" s="44">
        <f t="shared" si="18"/>
        <v>9.726676827707994</v>
      </c>
      <c r="AI51" s="44">
        <f t="shared" si="18"/>
        <v>15.960623114954567</v>
      </c>
      <c r="AJ51" s="44">
        <f t="shared" si="18"/>
        <v>4.855001359097689</v>
      </c>
      <c r="AK51" s="44">
        <f t="shared" si="18"/>
        <v>-19.220169577076394</v>
      </c>
      <c r="AL51" s="44">
        <f t="shared" si="18"/>
        <v>-8.0564193355080977</v>
      </c>
      <c r="AM51" s="44">
        <f t="shared" si="18"/>
        <v>-5.8419355376584612</v>
      </c>
      <c r="AN51" s="44">
        <f t="shared" si="18"/>
        <v>-4.7170983735613996</v>
      </c>
      <c r="AO51" s="44">
        <f t="shared" si="18"/>
        <v>-28.391547870278064</v>
      </c>
      <c r="AP51" s="44">
        <f t="shared" si="18"/>
        <v>4.7919795636407656</v>
      </c>
      <c r="AQ51" s="44">
        <f t="shared" si="18"/>
        <v>1.6302097432585758</v>
      </c>
      <c r="AR51" s="44">
        <f t="shared" si="18"/>
        <v>0.57232036006299813</v>
      </c>
      <c r="AS51" s="44">
        <f t="shared" si="18"/>
        <v>3.7220965802756867</v>
      </c>
      <c r="AT51" s="44">
        <f t="shared" si="18"/>
        <v>3.2939805919547571</v>
      </c>
      <c r="AU51" s="44">
        <f t="shared" si="18"/>
        <v>2.2289099576012363</v>
      </c>
      <c r="AV51" s="44">
        <f t="shared" si="18"/>
        <v>0.99357539551592267</v>
      </c>
      <c r="AW51" s="44">
        <f t="shared" si="18"/>
        <v>3.7442576310021214</v>
      </c>
      <c r="AX51" s="44">
        <f t="shared" si="18"/>
        <v>2.668784866124041</v>
      </c>
      <c r="AY51" s="44">
        <f t="shared" si="18"/>
        <v>1.4146269349220189</v>
      </c>
      <c r="AZ51" s="44">
        <f t="shared" si="18"/>
        <v>0.63662585546249328</v>
      </c>
      <c r="BA51" s="44">
        <f t="shared" si="18"/>
        <v>2.4724823238797593</v>
      </c>
      <c r="BB51" s="44">
        <f t="shared" si="18"/>
        <v>1.8354263603853862</v>
      </c>
      <c r="BC51" s="44">
        <f t="shared" si="18"/>
        <v>1.2176206350779253</v>
      </c>
      <c r="BD51" s="44">
        <f t="shared" si="18"/>
        <v>0.50865764136407099</v>
      </c>
      <c r="BE51" s="44">
        <f t="shared" si="18"/>
        <v>2.6223078768019081</v>
      </c>
      <c r="BF51" s="44">
        <f t="shared" si="18"/>
        <v>1.4459633622994528</v>
      </c>
      <c r="BG51" s="44">
        <f t="shared" si="18"/>
        <v>1.1152298418321813</v>
      </c>
      <c r="BH51" s="44">
        <f t="shared" si="18"/>
        <v>0.53779107185895436</v>
      </c>
      <c r="BI51" s="44">
        <f t="shared" si="18"/>
        <v>1.9859087154895558</v>
      </c>
      <c r="BJ51" s="44">
        <f t="shared" si="18"/>
        <v>1.5839133993170753</v>
      </c>
      <c r="BK51" s="44">
        <f t="shared" si="18"/>
        <v>0.96936815959637923</v>
      </c>
      <c r="BL51" s="44">
        <f t="shared" si="18"/>
        <v>0.45146530116068545</v>
      </c>
      <c r="BM51" s="44">
        <f t="shared" si="18"/>
        <v>1.4722718365700098</v>
      </c>
      <c r="BN51" s="44">
        <f t="shared" si="18"/>
        <v>0.42088172209785046</v>
      </c>
      <c r="BO51" s="44">
        <f t="shared" si="18"/>
        <v>0.57105075661864135</v>
      </c>
      <c r="BP51" s="44">
        <f t="shared" si="18"/>
        <v>0.27284439989038189</v>
      </c>
      <c r="BQ51" s="44">
        <f t="shared" si="18"/>
        <v>1.2241756115764939</v>
      </c>
      <c r="BR51" s="44">
        <f t="shared" ref="BR51:CJ51" si="19">BR49/BR50</f>
        <v>0.57249479958349858</v>
      </c>
      <c r="BS51" s="44">
        <f t="shared" si="19"/>
        <v>1.2096870182583788</v>
      </c>
      <c r="BT51" s="44">
        <f t="shared" si="19"/>
        <v>0.642733091267361</v>
      </c>
      <c r="BU51" s="44">
        <f t="shared" si="19"/>
        <v>1.2166367881412146</v>
      </c>
      <c r="BV51" s="44">
        <f t="shared" si="19"/>
        <v>0.66272062261993181</v>
      </c>
      <c r="BW51" s="44">
        <f t="shared" si="19"/>
        <v>1.1958303489143451</v>
      </c>
      <c r="BX51" s="44">
        <f t="shared" si="19"/>
        <v>0.38149283580323951</v>
      </c>
      <c r="BY51" s="44">
        <f t="shared" si="19"/>
        <v>0.92337854009814391</v>
      </c>
      <c r="BZ51" s="44" t="e">
        <f t="shared" si="19"/>
        <v>#DIV/0!</v>
      </c>
      <c r="CA51" s="44">
        <f t="shared" si="19"/>
        <v>0.77492666850682335</v>
      </c>
      <c r="CB51" s="44" t="e">
        <f t="shared" si="19"/>
        <v>#DIV/0!</v>
      </c>
      <c r="CC51" s="44">
        <f t="shared" si="19"/>
        <v>1.8631335019434929</v>
      </c>
      <c r="CD51" s="44" t="e">
        <f t="shared" si="19"/>
        <v>#DIV/0!</v>
      </c>
      <c r="CE51" s="44">
        <f t="shared" si="19"/>
        <v>3.0089583887069322</v>
      </c>
      <c r="CF51" s="44">
        <f t="shared" si="19"/>
        <v>1.5688168781444394</v>
      </c>
      <c r="CG51" s="44" t="e">
        <f t="shared" si="19"/>
        <v>#DIV/0!</v>
      </c>
      <c r="CH51" s="44" t="e">
        <f t="shared" si="19"/>
        <v>#DIV/0!</v>
      </c>
      <c r="CI51" s="44" t="e">
        <f t="shared" si="19"/>
        <v>#DIV/0!</v>
      </c>
      <c r="CJ51" s="44" t="e">
        <f t="shared" si="19"/>
        <v>#DIV/0!</v>
      </c>
    </row>
    <row r="52" spans="1:89" s="76" customFormat="1">
      <c r="A52" s="146" t="s">
        <v>466</v>
      </c>
      <c r="E52" s="76">
        <f>资产资本表!E68</f>
        <v>17979439545.629997</v>
      </c>
      <c r="F52" s="76">
        <f>资产资本表!F68</f>
        <v>17275673182.619999</v>
      </c>
      <c r="G52" s="76">
        <f>资产资本表!G68</f>
        <v>16212092731.49</v>
      </c>
      <c r="H52" s="76">
        <f>资产资本表!H68</f>
        <v>15004693768.980001</v>
      </c>
      <c r="I52" s="76">
        <f>资产资本表!I68</f>
        <v>11859660776.600002</v>
      </c>
      <c r="J52" s="76">
        <f>资产资本表!J68</f>
        <v>10952660553.200001</v>
      </c>
      <c r="K52" s="76">
        <f>资产资本表!K68</f>
        <v>10282920094</v>
      </c>
      <c r="L52" s="76">
        <f>资产资本表!L68</f>
        <v>10107441140.140003</v>
      </c>
      <c r="M52" s="76">
        <f>资产资本表!M68</f>
        <v>9991098352</v>
      </c>
      <c r="N52" s="76">
        <f>资产资本表!N68</f>
        <v>10013081556.679998</v>
      </c>
      <c r="O52" s="76">
        <f>资产资本表!O68</f>
        <v>10016128783</v>
      </c>
      <c r="P52" s="76">
        <f>资产资本表!P68</f>
        <v>9970453108.6800003</v>
      </c>
      <c r="Q52" s="76">
        <f>资产资本表!Q68</f>
        <v>10121297801</v>
      </c>
      <c r="R52" s="76">
        <f>资产资本表!R68</f>
        <v>10274222589.23</v>
      </c>
      <c r="S52" s="76">
        <f>资产资本表!S68</f>
        <v>4749636104</v>
      </c>
      <c r="T52" s="76">
        <f>资产资本表!T68</f>
        <v>4826317759.04</v>
      </c>
      <c r="U52" s="76">
        <f>资产资本表!U68</f>
        <v>4910395414</v>
      </c>
      <c r="V52" s="76">
        <f>资产资本表!V68</f>
        <v>5060905467</v>
      </c>
      <c r="W52" s="76">
        <f>资产资本表!W68</f>
        <v>5195058539</v>
      </c>
      <c r="X52" s="76">
        <f>资产资本表!X68</f>
        <v>5305250359.1300001</v>
      </c>
      <c r="Y52" s="76">
        <f>资产资本表!Y68</f>
        <v>5410423543</v>
      </c>
      <c r="Z52" s="76">
        <f>资产资本表!Z68</f>
        <v>5253693297</v>
      </c>
      <c r="AA52" s="76">
        <f>资产资本表!AA68</f>
        <v>5331148907</v>
      </c>
      <c r="AB52" s="76">
        <f>资产资本表!AB68</f>
        <v>5397880008.8100023</v>
      </c>
      <c r="AC52" s="76">
        <f>资产资本表!AC68</f>
        <v>5490391736</v>
      </c>
      <c r="AD52" s="76">
        <f>资产资本表!AD68</f>
        <v>5340239391.0699997</v>
      </c>
      <c r="AE52" s="76">
        <f>资产资本表!AE68</f>
        <v>5402080602</v>
      </c>
      <c r="AF52" s="76">
        <f>资产资本表!AF68</f>
        <v>5429906012.6300001</v>
      </c>
      <c r="AG52" s="76">
        <f>资产资本表!AG68</f>
        <v>5440685019</v>
      </c>
      <c r="AH52" s="76">
        <f>资产资本表!AH68</f>
        <v>5286604339.0500002</v>
      </c>
      <c r="AI52" s="76">
        <f>资产资本表!AI68</f>
        <v>5054322378.8399992</v>
      </c>
      <c r="AJ52" s="76">
        <f>资产资本表!AJ68</f>
        <v>4967704990.5500002</v>
      </c>
      <c r="AK52" s="76">
        <f>资产资本表!AK68</f>
        <v>4543175421.7299995</v>
      </c>
      <c r="AL52" s="76">
        <f>资产资本表!AL68</f>
        <v>4134285375.9899998</v>
      </c>
      <c r="AM52" s="76">
        <f>资产资本表!AM68</f>
        <v>4072491484.3200002</v>
      </c>
      <c r="AN52" s="76">
        <f>资产资本表!AN68</f>
        <v>3999705791.6300001</v>
      </c>
      <c r="AO52" s="76">
        <f>资产资本表!AO68</f>
        <v>3996399107.8400002</v>
      </c>
      <c r="AP52" s="76">
        <f>资产资本表!AP68</f>
        <v>3676737167.1999998</v>
      </c>
      <c r="AQ52" s="76">
        <f>资产资本表!AQ68</f>
        <v>3330029427.8699994</v>
      </c>
      <c r="AR52" s="76">
        <f>资产资本表!AR68</f>
        <v>2964540950.8500004</v>
      </c>
      <c r="AS52" s="76">
        <f>资产资本表!AS68</f>
        <v>2737212161.5900002</v>
      </c>
      <c r="AT52" s="76">
        <f>资产资本表!AT68</f>
        <v>2343286430.6500001</v>
      </c>
      <c r="AU52" s="76">
        <f>资产资本表!AU68</f>
        <v>1255480708.8900001</v>
      </c>
      <c r="AV52" s="76">
        <f>资产资本表!AV68</f>
        <v>998453716.98000002</v>
      </c>
      <c r="AW52" s="76">
        <f>资产资本表!AW68</f>
        <v>552558864.32000005</v>
      </c>
      <c r="AX52" s="76">
        <f>资产资本表!AX68</f>
        <v>543322800.72000003</v>
      </c>
      <c r="AY52" s="76">
        <f>资产资本表!AY68</f>
        <v>550548574.7299999</v>
      </c>
      <c r="AZ52" s="76">
        <f>资产资本表!AZ68</f>
        <v>563488545.72000003</v>
      </c>
      <c r="BA52" s="76">
        <f>资产资本表!BA68</f>
        <v>575646244.75999987</v>
      </c>
      <c r="BB52" s="76">
        <f>资产资本表!BB68</f>
        <v>586355391.00999999</v>
      </c>
      <c r="BC52" s="76">
        <f>资产资本表!BC68</f>
        <v>597615163.26999998</v>
      </c>
      <c r="BD52" s="76">
        <f>资产资本表!BD68</f>
        <v>609924230.62</v>
      </c>
      <c r="BE52" s="76">
        <f>资产资本表!BE68</f>
        <v>618857137.5400002</v>
      </c>
      <c r="BF52" s="76">
        <f>资产资本表!BF68</f>
        <v>595974055.66999996</v>
      </c>
      <c r="BG52" s="76">
        <f>资产资本表!BG68</f>
        <v>606158223.61000001</v>
      </c>
      <c r="BH52" s="76">
        <f>资产资本表!BH68</f>
        <v>602415825.05000007</v>
      </c>
      <c r="BI52" s="76">
        <f>资产资本表!BI68</f>
        <v>623192779.34000003</v>
      </c>
      <c r="BJ52" s="76">
        <f>资产资本表!BJ68</f>
        <v>581203336.89999998</v>
      </c>
      <c r="BK52" s="76">
        <f>资产资本表!BK68</f>
        <v>571151976.6099999</v>
      </c>
      <c r="BL52" s="76">
        <f>资产资本表!BL68</f>
        <v>533887678.29000008</v>
      </c>
      <c r="BM52" s="76">
        <f>资产资本表!BM68</f>
        <v>530574969.35999995</v>
      </c>
      <c r="BN52" s="76">
        <f>资产资本表!BN68</f>
        <v>266487205.75999999</v>
      </c>
      <c r="BO52" s="76">
        <f>资产资本表!BO68</f>
        <v>253733064.18000004</v>
      </c>
      <c r="BP52" s="76">
        <f>资产资本表!BP68</f>
        <v>242814284.77000001</v>
      </c>
      <c r="BQ52" s="76">
        <f>资产资本表!BQ68</f>
        <v>228276055.34999999</v>
      </c>
      <c r="BR52" s="76">
        <f>资产资本表!BR68</f>
        <v>225536625.93999997</v>
      </c>
      <c r="BS52" s="76">
        <f>资产资本表!BS68</f>
        <v>214794658.21000001</v>
      </c>
      <c r="BT52" s="76">
        <f>资产资本表!BT68</f>
        <v>221512773.78999999</v>
      </c>
      <c r="BU52" s="76">
        <f>资产资本表!BU68</f>
        <v>217254771.89000002</v>
      </c>
      <c r="BV52" s="76">
        <f>资产资本表!BV68</f>
        <v>223944119.79000002</v>
      </c>
      <c r="BW52" s="76">
        <f>资产资本表!BW68</f>
        <v>232272352.60000002</v>
      </c>
      <c r="BX52" s="76">
        <f>资产资本表!BX68</f>
        <v>95397692.190000013</v>
      </c>
      <c r="BY52" s="76">
        <f>资产资本表!BY68</f>
        <v>98455842.080000013</v>
      </c>
      <c r="BZ52" s="76">
        <f>资产资本表!BZ68</f>
        <v>93907953.310000002</v>
      </c>
      <c r="CA52" s="76">
        <f>资产资本表!CA68</f>
        <v>104975543.53999999</v>
      </c>
      <c r="CB52" s="76">
        <f>资产资本表!CB68</f>
        <v>96510000</v>
      </c>
      <c r="CC52" s="76">
        <f>资产资本表!CC68</f>
        <v>105508415.40000001</v>
      </c>
      <c r="CD52" s="76">
        <f>资产资本表!CD68</f>
        <v>102190000</v>
      </c>
      <c r="CE52" s="76">
        <f>资产资本表!CE68</f>
        <v>112360606.42999999</v>
      </c>
      <c r="CF52" s="76">
        <f>资产资本表!CF68</f>
        <v>147224296.02000001</v>
      </c>
      <c r="CG52" s="76">
        <f>资产资本表!CG68</f>
        <v>36293400</v>
      </c>
      <c r="CH52" s="76">
        <f>资产资本表!CH68</f>
        <v>35881300</v>
      </c>
      <c r="CI52" s="76">
        <f>资产资本表!CI68</f>
        <v>0</v>
      </c>
      <c r="CJ52" s="76">
        <f>资产资本表!CJ68</f>
        <v>0</v>
      </c>
      <c r="CK52" s="76">
        <f>资产资本表!CK68</f>
        <v>0</v>
      </c>
    </row>
    <row r="53" spans="1:89" s="44" customFormat="1">
      <c r="A53" s="142" t="s">
        <v>467</v>
      </c>
      <c r="E53" s="44">
        <f>E49/E52</f>
        <v>0.77936247423273086</v>
      </c>
      <c r="F53" s="44">
        <f t="shared" ref="F53:BQ53" si="20">F49/F52</f>
        <v>0.58471027442868417</v>
      </c>
      <c r="G53" s="44">
        <f t="shared" si="20"/>
        <v>0.38270009121763621</v>
      </c>
      <c r="H53" s="44">
        <f t="shared" si="20"/>
        <v>0.19345095001344501</v>
      </c>
      <c r="I53" s="44">
        <f t="shared" si="20"/>
        <v>0.90531733013092786</v>
      </c>
      <c r="J53" s="44">
        <f t="shared" si="20"/>
        <v>0.70790219680684907</v>
      </c>
      <c r="K53" s="44">
        <f t="shared" si="20"/>
        <v>0.48336981825816372</v>
      </c>
      <c r="L53" s="44">
        <f t="shared" si="20"/>
        <v>0.24254805377338487</v>
      </c>
      <c r="M53" s="44">
        <f t="shared" si="20"/>
        <v>1.0539384513107233</v>
      </c>
      <c r="N53" s="44">
        <f t="shared" si="20"/>
        <v>0.77885131453236534</v>
      </c>
      <c r="O53" s="44">
        <f t="shared" si="20"/>
        <v>0.51295319861703503</v>
      </c>
      <c r="P53" s="44">
        <f t="shared" si="20"/>
        <v>0.24474487973827533</v>
      </c>
      <c r="Q53" s="44">
        <f t="shared" si="20"/>
        <v>0.92106402976097945</v>
      </c>
      <c r="R53" s="44">
        <f t="shared" si="20"/>
        <v>0.63599263463686695</v>
      </c>
      <c r="S53" s="44">
        <f t="shared" si="20"/>
        <v>0.5233225884203444</v>
      </c>
      <c r="T53" s="44">
        <f t="shared" si="20"/>
        <v>0.2444407066795915</v>
      </c>
      <c r="U53" s="44">
        <f t="shared" si="20"/>
        <v>0.92036940001101097</v>
      </c>
      <c r="V53" s="44">
        <f t="shared" si="20"/>
        <v>0.69102178410636572</v>
      </c>
      <c r="W53" s="44">
        <f t="shared" si="20"/>
        <v>0.43331691704735187</v>
      </c>
      <c r="X53" s="44">
        <f t="shared" si="20"/>
        <v>0.19610467931820866</v>
      </c>
      <c r="Y53" s="44">
        <f t="shared" si="20"/>
        <v>0.80096213033205776</v>
      </c>
      <c r="Z53" s="44">
        <f t="shared" si="20"/>
        <v>0.62988492969120502</v>
      </c>
      <c r="AA53" s="44">
        <f t="shared" si="20"/>
        <v>0.41966915875531369</v>
      </c>
      <c r="AB53" s="44">
        <f t="shared" si="20"/>
        <v>0.18216616314462636</v>
      </c>
      <c r="AC53" s="44">
        <f t="shared" si="20"/>
        <v>0.84055335956086319</v>
      </c>
      <c r="AD53" s="44">
        <f t="shared" si="20"/>
        <v>0.62767668936249432</v>
      </c>
      <c r="AE53" s="44">
        <f t="shared" si="20"/>
        <v>0.39044490639756657</v>
      </c>
      <c r="AF53" s="44">
        <f t="shared" si="20"/>
        <v>0.18725443363383759</v>
      </c>
      <c r="AG53" s="44">
        <f t="shared" si="20"/>
        <v>0.63488540430794604</v>
      </c>
      <c r="AH53" s="44">
        <f t="shared" si="20"/>
        <v>0.44109126383364577</v>
      </c>
      <c r="AI53" s="44">
        <f t="shared" si="20"/>
        <v>0.29331351852159537</v>
      </c>
      <c r="AJ53" s="44">
        <f t="shared" si="20"/>
        <v>0.13184964276380726</v>
      </c>
      <c r="AK53" s="44">
        <f t="shared" si="20"/>
        <v>0.48214022148761709</v>
      </c>
      <c r="AL53" s="44">
        <f t="shared" si="20"/>
        <v>0.38271051399810946</v>
      </c>
      <c r="AM53" s="44">
        <f t="shared" si="20"/>
        <v>0.21548630981275843</v>
      </c>
      <c r="AN53" s="44">
        <f t="shared" si="20"/>
        <v>8.725305175953392E-2</v>
      </c>
      <c r="AO53" s="44">
        <f t="shared" si="20"/>
        <v>0.34437312645278961</v>
      </c>
      <c r="AP53" s="44">
        <f t="shared" si="20"/>
        <v>0.28260257553881318</v>
      </c>
      <c r="AQ53" s="44">
        <f t="shared" si="20"/>
        <v>0.20668378550042923</v>
      </c>
      <c r="AR53" s="44">
        <f t="shared" si="20"/>
        <v>0.11662504000184874</v>
      </c>
      <c r="AS53" s="44">
        <f t="shared" si="20"/>
        <v>0.62894349004352657</v>
      </c>
      <c r="AT53" s="44">
        <f t="shared" si="20"/>
        <v>0.52621369087515313</v>
      </c>
      <c r="AU53" s="44">
        <f t="shared" si="20"/>
        <v>0.61075682921320229</v>
      </c>
      <c r="AV53" s="44">
        <f t="shared" si="20"/>
        <v>0.35422810762803197</v>
      </c>
      <c r="AW53" s="44">
        <f t="shared" si="20"/>
        <v>2.7348782016006878</v>
      </c>
      <c r="AX53" s="44">
        <f t="shared" si="20"/>
        <v>1.8798324541442408</v>
      </c>
      <c r="AY53" s="44">
        <f t="shared" si="20"/>
        <v>1.1637168291357463</v>
      </c>
      <c r="AZ53" s="44">
        <f t="shared" si="20"/>
        <v>0.44834777627500766</v>
      </c>
      <c r="BA53" s="44">
        <f t="shared" si="20"/>
        <v>1.9151915733935627</v>
      </c>
      <c r="BB53" s="44">
        <f t="shared" si="20"/>
        <v>1.2915014338924786</v>
      </c>
      <c r="BC53" s="44">
        <f t="shared" si="20"/>
        <v>0.87857092207478993</v>
      </c>
      <c r="BD53" s="44">
        <f t="shared" si="20"/>
        <v>0.38657479759465141</v>
      </c>
      <c r="BE53" s="44">
        <f t="shared" si="20"/>
        <v>1.7304683885314014</v>
      </c>
      <c r="BF53" s="44">
        <f t="shared" si="20"/>
        <v>1.1048332013878721</v>
      </c>
      <c r="BG53" s="44">
        <f t="shared" si="20"/>
        <v>0.72692964862504705</v>
      </c>
      <c r="BH53" s="44">
        <f t="shared" si="20"/>
        <v>0.29071953615339369</v>
      </c>
      <c r="BI53" s="44">
        <f t="shared" si="20"/>
        <v>1.0201982528798406</v>
      </c>
      <c r="BJ53" s="44">
        <f t="shared" si="20"/>
        <v>0.76420961042489854</v>
      </c>
      <c r="BK53" s="44">
        <f t="shared" si="20"/>
        <v>0.45442040924113619</v>
      </c>
      <c r="BL53" s="44">
        <f t="shared" si="20"/>
        <v>0.20398700340644266</v>
      </c>
      <c r="BM53" s="44">
        <f t="shared" si="20"/>
        <v>0.61362461331849072</v>
      </c>
      <c r="BN53" s="44">
        <f t="shared" si="20"/>
        <v>0.90901148754647065</v>
      </c>
      <c r="BO53" s="44">
        <f t="shared" si="20"/>
        <v>0.59327821025804461</v>
      </c>
      <c r="BP53" s="44">
        <f t="shared" si="20"/>
        <v>0.26630597862580602</v>
      </c>
      <c r="BQ53" s="44">
        <f t="shared" si="20"/>
        <v>1.2219249207821044</v>
      </c>
      <c r="BR53" s="44">
        <f t="shared" ref="BR53:CK53" si="21">BR49/BR52</f>
        <v>0.67325256932058197</v>
      </c>
      <c r="BS53" s="44">
        <f t="shared" si="21"/>
        <v>1.4786856132589479</v>
      </c>
      <c r="BT53" s="44">
        <f t="shared" si="21"/>
        <v>0.70356124102237039</v>
      </c>
      <c r="BU53" s="44">
        <f t="shared" si="21"/>
        <v>1.2384475776036314</v>
      </c>
      <c r="BV53" s="44">
        <f t="shared" si="21"/>
        <v>0.55311582682391625</v>
      </c>
      <c r="BW53" s="44">
        <f t="shared" si="21"/>
        <v>0.74205960313677033</v>
      </c>
      <c r="BX53" s="44">
        <f t="shared" si="21"/>
        <v>1.0147233842638723</v>
      </c>
      <c r="BY53" s="44">
        <f t="shared" si="21"/>
        <v>2.2245960677684549</v>
      </c>
      <c r="BZ53" s="44">
        <f t="shared" si="21"/>
        <v>1.108227171094333</v>
      </c>
      <c r="CA53" s="44">
        <f t="shared" si="21"/>
        <v>1.4647858582547713</v>
      </c>
      <c r="CB53" s="44">
        <f t="shared" si="21"/>
        <v>0.67713190342969642</v>
      </c>
      <c r="CC53" s="44">
        <f t="shared" si="21"/>
        <v>1.4243184664490751</v>
      </c>
      <c r="CD53" s="44">
        <f t="shared" si="21"/>
        <v>0.71298561503082492</v>
      </c>
      <c r="CE53" s="44">
        <f t="shared" si="21"/>
        <v>1.5317009642273431</v>
      </c>
      <c r="CF53" s="44">
        <f t="shared" si="21"/>
        <v>0.91430766258657359</v>
      </c>
      <c r="CG53" s="44">
        <f t="shared" si="21"/>
        <v>3.0559385453002474</v>
      </c>
      <c r="CH53" s="44">
        <f t="shared" si="21"/>
        <v>1.6526853820792446</v>
      </c>
      <c r="CI53" s="44" t="e">
        <f t="shared" si="21"/>
        <v>#DIV/0!</v>
      </c>
      <c r="CJ53" s="44" t="e">
        <f t="shared" si="21"/>
        <v>#DIV/0!</v>
      </c>
      <c r="CK53" s="44" t="e">
        <f t="shared" si="21"/>
        <v>#DIV/0!</v>
      </c>
    </row>
    <row r="54" spans="1:89" s="76" customFormat="1">
      <c r="A54" s="146" t="s">
        <v>468</v>
      </c>
      <c r="E54" s="76">
        <f>资产资本表!E17</f>
        <v>4322850458.8299999</v>
      </c>
      <c r="F54" s="76">
        <f>资产资本表!F17</f>
        <v>3177021212.6900001</v>
      </c>
      <c r="G54" s="76">
        <f>资产资本表!G17</f>
        <v>2520888999.4000001</v>
      </c>
      <c r="H54" s="76">
        <f>资产资本表!H17</f>
        <v>2071015546.5899999</v>
      </c>
      <c r="I54" s="76">
        <f>资产资本表!I17</f>
        <v>4497227941.7600002</v>
      </c>
      <c r="J54" s="76">
        <f>资产资本表!J17</f>
        <v>5095410406.0299997</v>
      </c>
      <c r="K54" s="76">
        <f>资产资本表!K17</f>
        <v>4709639840</v>
      </c>
      <c r="L54" s="76">
        <f>资产资本表!L17</f>
        <v>5578693760.0299997</v>
      </c>
      <c r="M54" s="76">
        <f>资产资本表!M17</f>
        <v>7377014278</v>
      </c>
      <c r="N54" s="76">
        <f>资产资本表!N17</f>
        <v>2662662617.3400002</v>
      </c>
      <c r="O54" s="76">
        <f>资产资本表!O17</f>
        <v>3213101557</v>
      </c>
      <c r="P54" s="76">
        <f>资产资本表!P17</f>
        <v>2547908073.9200001</v>
      </c>
      <c r="Q54" s="76">
        <f>资产资本表!Q17</f>
        <v>877098152</v>
      </c>
      <c r="R54" s="76">
        <f>资产资本表!R17</f>
        <v>3283349781.3899999</v>
      </c>
      <c r="S54" s="76">
        <f>资产资本表!S17</f>
        <v>570550971</v>
      </c>
      <c r="T54" s="76">
        <f>资产资本表!T17</f>
        <v>844473319.96999991</v>
      </c>
      <c r="U54" s="76">
        <f>资产资本表!U17</f>
        <v>1013344044</v>
      </c>
      <c r="V54" s="76">
        <f>资产资本表!V17</f>
        <v>439545688</v>
      </c>
      <c r="W54" s="76">
        <f>资产资本表!W17</f>
        <v>486470936</v>
      </c>
      <c r="X54" s="76">
        <f>资产资本表!X17</f>
        <v>525444387.13999999</v>
      </c>
      <c r="Y54" s="76">
        <f>资产资本表!Y17</f>
        <v>523076906</v>
      </c>
      <c r="Z54" s="76">
        <f>资产资本表!Z17</f>
        <v>550824726</v>
      </c>
      <c r="AA54" s="76">
        <f>资产资本表!AA17</f>
        <v>596873371</v>
      </c>
      <c r="AB54" s="76">
        <f>资产资本表!AB17</f>
        <v>797416345.23000002</v>
      </c>
      <c r="AC54" s="76">
        <f>资产资本表!AC17</f>
        <v>744071213</v>
      </c>
      <c r="AD54" s="76">
        <f>资产资本表!AD17</f>
        <v>858499196.33999991</v>
      </c>
      <c r="AE54" s="76">
        <f>资产资本表!AE17</f>
        <v>1058843953</v>
      </c>
      <c r="AF54" s="76">
        <f>资产资本表!AF17</f>
        <v>890213147.28999996</v>
      </c>
      <c r="AG54" s="76">
        <f>资产资本表!AG17</f>
        <v>892266242</v>
      </c>
      <c r="AH54" s="76">
        <f>资产资本表!AH17</f>
        <v>929527222.90999997</v>
      </c>
      <c r="AI54" s="76">
        <f>资产资本表!AI17</f>
        <v>1465265328.78</v>
      </c>
      <c r="AJ54" s="76">
        <f>资产资本表!AJ17</f>
        <v>1081782040.52</v>
      </c>
      <c r="AK54" s="76">
        <f>资产资本表!AK17</f>
        <v>1199524562.9100001</v>
      </c>
      <c r="AL54" s="76">
        <f>资产资本表!AL17</f>
        <v>878511309.68999994</v>
      </c>
      <c r="AM54" s="76">
        <f>资产资本表!AM17</f>
        <v>820478406.51999998</v>
      </c>
      <c r="AN54" s="76">
        <f>资产资本表!AN17</f>
        <v>522855101.58000004</v>
      </c>
      <c r="AO54" s="76">
        <f>资产资本表!AO17</f>
        <v>321797486.72000003</v>
      </c>
      <c r="AP54" s="76">
        <f>资产资本表!AP17</f>
        <v>545601106.28999996</v>
      </c>
      <c r="AQ54" s="76">
        <f>资产资本表!AQ17</f>
        <v>727687604.44000006</v>
      </c>
      <c r="AR54" s="76">
        <f>资产资本表!AR17</f>
        <v>902622816.6099999</v>
      </c>
      <c r="AS54" s="76">
        <f>资产资本表!AS17</f>
        <v>931596380.57000005</v>
      </c>
      <c r="AT54" s="76">
        <f>资产资本表!AT17</f>
        <v>1392077981.1700001</v>
      </c>
      <c r="AU54" s="76">
        <f>资产资本表!AU17</f>
        <v>1641711246.5899999</v>
      </c>
      <c r="AV54" s="76">
        <f>资产资本表!AV17</f>
        <v>335027731.99000001</v>
      </c>
      <c r="AW54" s="76">
        <f>资产资本表!AW17</f>
        <v>122356099.13</v>
      </c>
      <c r="AX54" s="76">
        <f>资产资本表!AX17</f>
        <v>163143405.16999999</v>
      </c>
      <c r="AY54" s="76">
        <f>资产资本表!AY17</f>
        <v>169622133.06999999</v>
      </c>
      <c r="AZ54" s="76">
        <f>资产资本表!AZ17</f>
        <v>152620664.80000001</v>
      </c>
      <c r="BA54" s="76">
        <f>资产资本表!BA17</f>
        <v>86803245.140000001</v>
      </c>
      <c r="BB54" s="76">
        <f>资产资本表!BB17</f>
        <v>162998930.56</v>
      </c>
      <c r="BC54" s="76">
        <f>资产资本表!BC17</f>
        <v>150919783.62</v>
      </c>
      <c r="BD54" s="76">
        <f>资产资本表!BD17</f>
        <v>119767193.59999999</v>
      </c>
      <c r="BE54" s="76">
        <f>资产资本表!BE17</f>
        <v>190218572.65000001</v>
      </c>
      <c r="BF54" s="76">
        <f>资产资本表!BF17</f>
        <v>78435524.640000001</v>
      </c>
      <c r="BG54" s="76">
        <f>资产资本表!BG17</f>
        <v>123318100.50999999</v>
      </c>
      <c r="BH54" s="76">
        <f>资产资本表!BH17</f>
        <v>159821960.09</v>
      </c>
      <c r="BI54" s="76">
        <f>资产资本表!BI17</f>
        <v>80554553.929999992</v>
      </c>
      <c r="BJ54" s="76">
        <f>资产资本表!BJ17</f>
        <v>120702528.06</v>
      </c>
      <c r="BK54" s="76">
        <f>资产资本表!BK17</f>
        <v>156873218.79000002</v>
      </c>
      <c r="BL54" s="76">
        <f>资产资本表!BL17</f>
        <v>202035903.61000001</v>
      </c>
      <c r="BM54" s="76">
        <f>资产资本表!BM17</f>
        <v>186964627.64000002</v>
      </c>
      <c r="BN54" s="76">
        <f>资产资本表!BN17</f>
        <v>130080868.59</v>
      </c>
      <c r="BO54" s="76">
        <f>资产资本表!BO17</f>
        <v>386733116.71000004</v>
      </c>
      <c r="BP54" s="76">
        <f>资产资本表!BP17</f>
        <v>368834317.25</v>
      </c>
      <c r="BQ54" s="76">
        <f>资产资本表!BQ17</f>
        <v>354288648.59000003</v>
      </c>
      <c r="BR54" s="76">
        <f>资产资本表!BR17</f>
        <v>368003320.32000005</v>
      </c>
      <c r="BS54" s="76">
        <f>资产资本表!BS17</f>
        <v>52290546.93</v>
      </c>
      <c r="BT54" s="76">
        <f>资产资本表!BT17</f>
        <v>52885848.07</v>
      </c>
      <c r="BU54" s="76">
        <f>资产资本表!BU17</f>
        <v>48388338.609999999</v>
      </c>
      <c r="BV54" s="76">
        <f>资产资本表!BV17</f>
        <v>67853301.460000008</v>
      </c>
      <c r="BW54" s="76">
        <f>资产资本表!BW17</f>
        <v>69315769.849999994</v>
      </c>
      <c r="BX54" s="76">
        <f>资产资本表!BX17</f>
        <v>137179693.94999999</v>
      </c>
      <c r="BY54" s="76">
        <f>资产资本表!BY17</f>
        <v>41956545.019999996</v>
      </c>
      <c r="BZ54" s="76">
        <f>资产资本表!BZ17</f>
        <v>0</v>
      </c>
      <c r="CA54" s="76">
        <f>资产资本表!CA17</f>
        <v>25997468.43</v>
      </c>
      <c r="CB54" s="76">
        <f>资产资本表!CB17</f>
        <v>0</v>
      </c>
      <c r="CC54" s="76">
        <f>资产资本表!CC17</f>
        <v>21987850.109999999</v>
      </c>
      <c r="CD54" s="76">
        <f>资产资本表!CD17</f>
        <v>0</v>
      </c>
      <c r="CE54" s="76">
        <f>资产资本表!CE17</f>
        <v>22895816.189999998</v>
      </c>
      <c r="CF54" s="76">
        <f>资产资本表!CF17</f>
        <v>17834988.370000001</v>
      </c>
      <c r="CG54" s="76">
        <f>资产资本表!CG17</f>
        <v>0</v>
      </c>
      <c r="CH54" s="76">
        <f>资产资本表!CH17</f>
        <v>0</v>
      </c>
      <c r="CI54" s="76">
        <f>资产资本表!CI17</f>
        <v>0</v>
      </c>
      <c r="CJ54" s="76">
        <f>资产资本表!CJ17</f>
        <v>0</v>
      </c>
      <c r="CK54" s="76">
        <f>资产资本表!CK17</f>
        <v>0</v>
      </c>
    </row>
    <row r="55" spans="1:89" s="44" customFormat="1">
      <c r="A55" s="142" t="s">
        <v>469</v>
      </c>
      <c r="E55" s="44">
        <f>E49/E54</f>
        <v>3.2414955416691771</v>
      </c>
      <c r="F55" s="44">
        <f t="shared" ref="F55:BQ55" si="22">F49/F54</f>
        <v>3.1794762865297987</v>
      </c>
      <c r="G55" s="44">
        <f t="shared" si="22"/>
        <v>2.4611830860647612</v>
      </c>
      <c r="H55" s="44">
        <f t="shared" si="22"/>
        <v>1.4015695193835469</v>
      </c>
      <c r="I55" s="44">
        <f t="shared" si="22"/>
        <v>2.3874165529462017</v>
      </c>
      <c r="J55" s="44">
        <f t="shared" si="22"/>
        <v>1.5216463147530712</v>
      </c>
      <c r="K55" s="44">
        <f t="shared" si="22"/>
        <v>1.0553786246635795</v>
      </c>
      <c r="L55" s="44">
        <f t="shared" si="22"/>
        <v>0.43944698931758835</v>
      </c>
      <c r="M55" s="44">
        <f t="shared" si="22"/>
        <v>1.4274071226082559</v>
      </c>
      <c r="N55" s="44">
        <f t="shared" si="22"/>
        <v>2.9289109638422395</v>
      </c>
      <c r="O55" s="44">
        <f t="shared" si="22"/>
        <v>1.5990173998101238</v>
      </c>
      <c r="P55" s="44">
        <f t="shared" si="22"/>
        <v>0.9577336686506448</v>
      </c>
      <c r="Q55" s="44">
        <f t="shared" si="22"/>
        <v>10.628643234218101</v>
      </c>
      <c r="R55" s="44">
        <f t="shared" si="22"/>
        <v>1.9901412668264982</v>
      </c>
      <c r="S55" s="44">
        <f t="shared" si="22"/>
        <v>4.3564764347758862</v>
      </c>
      <c r="T55" s="44">
        <f t="shared" si="22"/>
        <v>1.3970228493683032</v>
      </c>
      <c r="U55" s="44">
        <f t="shared" si="22"/>
        <v>4.4598650455974855</v>
      </c>
      <c r="V55" s="44">
        <f t="shared" si="22"/>
        <v>7.9563877441564159</v>
      </c>
      <c r="W55" s="44">
        <f t="shared" si="22"/>
        <v>4.6274229011699886</v>
      </c>
      <c r="X55" s="44">
        <f t="shared" si="22"/>
        <v>1.9800086285873653</v>
      </c>
      <c r="Y55" s="44">
        <f t="shared" si="22"/>
        <v>8.2847174426775396</v>
      </c>
      <c r="Z55" s="44">
        <f t="shared" si="22"/>
        <v>6.0077590507438474</v>
      </c>
      <c r="AA55" s="44">
        <f t="shared" si="22"/>
        <v>3.7483977099725565</v>
      </c>
      <c r="AB55" s="44">
        <f t="shared" si="22"/>
        <v>1.2331213126016147</v>
      </c>
      <c r="AC55" s="44">
        <f t="shared" si="22"/>
        <v>6.2023192651050723</v>
      </c>
      <c r="AD55" s="44">
        <f t="shared" si="22"/>
        <v>3.9044227364221045</v>
      </c>
      <c r="AE55" s="44">
        <f t="shared" si="22"/>
        <v>1.9919978284089987</v>
      </c>
      <c r="AF55" s="44">
        <f t="shared" si="22"/>
        <v>1.1421691290173352</v>
      </c>
      <c r="AG55" s="44">
        <f t="shared" si="22"/>
        <v>3.8712789360465347</v>
      </c>
      <c r="AH55" s="44">
        <f t="shared" si="22"/>
        <v>2.5086677741398224</v>
      </c>
      <c r="AI55" s="44">
        <f t="shared" si="22"/>
        <v>1.0117628879640186</v>
      </c>
      <c r="AJ55" s="44">
        <f t="shared" si="22"/>
        <v>0.60547328743334827</v>
      </c>
      <c r="AK55" s="44">
        <f t="shared" si="22"/>
        <v>1.8260964984127204</v>
      </c>
      <c r="AL55" s="44">
        <f t="shared" si="22"/>
        <v>1.8010405373361928</v>
      </c>
      <c r="AM55" s="44">
        <f t="shared" si="22"/>
        <v>1.0695786198958406</v>
      </c>
      <c r="AN55" s="44">
        <f t="shared" si="22"/>
        <v>0.66746319468894555</v>
      </c>
      <c r="AO55" s="44">
        <f t="shared" si="22"/>
        <v>4.2767657054994164</v>
      </c>
      <c r="AP55" s="44">
        <f t="shared" si="22"/>
        <v>1.9044231784928187</v>
      </c>
      <c r="AQ55" s="44">
        <f t="shared" si="22"/>
        <v>0.94582219592658912</v>
      </c>
      <c r="AR55" s="44">
        <f t="shared" si="22"/>
        <v>0.38303896225280692</v>
      </c>
      <c r="AS55" s="44">
        <f t="shared" si="22"/>
        <v>1.8479588433422889</v>
      </c>
      <c r="AT55" s="44">
        <f t="shared" si="22"/>
        <v>0.88577609740917096</v>
      </c>
      <c r="AU55" s="44">
        <f t="shared" si="22"/>
        <v>0.46706960099877937</v>
      </c>
      <c r="AV55" s="44">
        <f t="shared" si="22"/>
        <v>1.0556749097133151</v>
      </c>
      <c r="AW55" s="44">
        <f t="shared" si="22"/>
        <v>12.350681362638177</v>
      </c>
      <c r="AX55" s="44">
        <f t="shared" si="22"/>
        <v>6.2604788272361898</v>
      </c>
      <c r="AY55" s="44">
        <f t="shared" si="22"/>
        <v>3.777116995726034</v>
      </c>
      <c r="AZ55" s="44">
        <f t="shared" si="22"/>
        <v>1.6553383302390121</v>
      </c>
      <c r="BA55" s="44">
        <f t="shared" si="22"/>
        <v>12.700825129773484</v>
      </c>
      <c r="BB55" s="44">
        <f t="shared" si="22"/>
        <v>4.6459128637119811</v>
      </c>
      <c r="BC55" s="44">
        <f t="shared" si="22"/>
        <v>3.4789826253794094</v>
      </c>
      <c r="BD55" s="44">
        <f t="shared" si="22"/>
        <v>1.9686637793940929</v>
      </c>
      <c r="BE55" s="44">
        <f t="shared" si="22"/>
        <v>5.6299061580094341</v>
      </c>
      <c r="BF55" s="44">
        <f t="shared" si="22"/>
        <v>8.3948176147496216</v>
      </c>
      <c r="BG55" s="44">
        <f t="shared" si="22"/>
        <v>3.5731525435251781</v>
      </c>
      <c r="BH55" s="44">
        <f t="shared" si="22"/>
        <v>1.0958071664956264</v>
      </c>
      <c r="BI55" s="44">
        <f t="shared" si="22"/>
        <v>7.8925418076609057</v>
      </c>
      <c r="BJ55" s="44">
        <f t="shared" si="22"/>
        <v>3.6798001069970301</v>
      </c>
      <c r="BK55" s="44">
        <f t="shared" si="22"/>
        <v>1.654476888738033</v>
      </c>
      <c r="BL55" s="44">
        <f t="shared" si="22"/>
        <v>0.53904353485718548</v>
      </c>
      <c r="BM55" s="44">
        <f t="shared" si="22"/>
        <v>1.7413660782770728</v>
      </c>
      <c r="BN55" s="44">
        <f t="shared" si="22"/>
        <v>1.8622256596664688</v>
      </c>
      <c r="BO55" s="44">
        <f t="shared" si="22"/>
        <v>0.38924594687059422</v>
      </c>
      <c r="BP55" s="44">
        <f t="shared" si="22"/>
        <v>0.175316917937901</v>
      </c>
      <c r="BQ55" s="44">
        <f t="shared" si="22"/>
        <v>0.78731340097999725</v>
      </c>
      <c r="BR55" s="44">
        <f t="shared" ref="BR55:CK55" si="23">BR49/BR54</f>
        <v>0.41261343174285403</v>
      </c>
      <c r="BS55" s="44">
        <f t="shared" si="23"/>
        <v>6.0740189106298947</v>
      </c>
      <c r="BT55" s="44">
        <f t="shared" si="23"/>
        <v>2.946871568055768</v>
      </c>
      <c r="BU55" s="44">
        <f t="shared" si="23"/>
        <v>5.560402644499888</v>
      </c>
      <c r="BV55" s="44">
        <f t="shared" si="23"/>
        <v>1.8255123083881257</v>
      </c>
      <c r="BW55" s="44">
        <f t="shared" si="23"/>
        <v>2.4865904275894009</v>
      </c>
      <c r="BX55" s="44">
        <f t="shared" si="23"/>
        <v>0.70566033705602971</v>
      </c>
      <c r="BY55" s="44">
        <f t="shared" si="23"/>
        <v>5.2202696631859133</v>
      </c>
      <c r="BZ55" s="44" t="e">
        <f t="shared" si="23"/>
        <v>#DIV/0!</v>
      </c>
      <c r="CA55" s="44">
        <f t="shared" si="23"/>
        <v>5.9146794255766686</v>
      </c>
      <c r="CB55" s="44" t="e">
        <f t="shared" si="23"/>
        <v>#DIV/0!</v>
      </c>
      <c r="CC55" s="44">
        <f t="shared" si="23"/>
        <v>6.8345738063610986</v>
      </c>
      <c r="CD55" s="44" t="e">
        <f t="shared" si="23"/>
        <v>#DIV/0!</v>
      </c>
      <c r="CE55" s="44">
        <f t="shared" si="23"/>
        <v>7.5167815718737225</v>
      </c>
      <c r="CF55" s="44">
        <f t="shared" si="23"/>
        <v>7.5474286373195989</v>
      </c>
      <c r="CG55" s="44" t="e">
        <f t="shared" si="23"/>
        <v>#DIV/0!</v>
      </c>
      <c r="CH55" s="44" t="e">
        <f t="shared" si="23"/>
        <v>#DIV/0!</v>
      </c>
      <c r="CI55" s="44" t="e">
        <f t="shared" si="23"/>
        <v>#DIV/0!</v>
      </c>
      <c r="CJ55" s="44" t="e">
        <f t="shared" si="23"/>
        <v>#DIV/0!</v>
      </c>
      <c r="CK55" s="44" t="e">
        <f t="shared" si="23"/>
        <v>#DIV/0!</v>
      </c>
    </row>
    <row r="56" spans="1:89" s="76" customFormat="1">
      <c r="A56" s="146" t="s">
        <v>443</v>
      </c>
      <c r="E56" s="76">
        <f>资产资本表!E19</f>
        <v>313407773.91000003</v>
      </c>
      <c r="F56" s="76">
        <f>资产资本表!F19</f>
        <v>326506232.54000002</v>
      </c>
      <c r="G56" s="76">
        <f>资产资本表!G19</f>
        <v>327578239.93000001</v>
      </c>
      <c r="H56" s="76">
        <f>资产资本表!H19</f>
        <v>328604800.81</v>
      </c>
      <c r="I56" s="76">
        <f>资产资本表!I19</f>
        <v>330350850.91000003</v>
      </c>
      <c r="J56" s="76">
        <f>资产资本表!J19</f>
        <v>331689783.13999999</v>
      </c>
      <c r="K56" s="76">
        <f>资产资本表!K19</f>
        <v>333346386</v>
      </c>
      <c r="L56" s="76">
        <f>资产资本表!L19</f>
        <v>300497495.66000003</v>
      </c>
      <c r="M56" s="76">
        <f>资产资本表!M19</f>
        <v>300917625</v>
      </c>
      <c r="N56" s="76">
        <f>资产资本表!N19</f>
        <v>301257779.44999999</v>
      </c>
      <c r="O56" s="76">
        <f>资产资本表!O19</f>
        <v>302151417</v>
      </c>
      <c r="P56" s="76">
        <f>资产资本表!P19</f>
        <v>303413324.44999999</v>
      </c>
      <c r="Q56" s="76">
        <f>资产资本表!Q19</f>
        <v>304157073</v>
      </c>
      <c r="R56" s="76">
        <f>资产资本表!R19</f>
        <v>126249577.63</v>
      </c>
      <c r="S56" s="76">
        <f>资产资本表!S19</f>
        <v>288160300</v>
      </c>
      <c r="T56" s="76">
        <f>资产资本表!T19</f>
        <v>166483497.47999999</v>
      </c>
      <c r="U56" s="76">
        <f>资产资本表!U19</f>
        <v>165976435</v>
      </c>
      <c r="V56" s="76">
        <f>资产资本表!V19</f>
        <v>165648060</v>
      </c>
      <c r="W56" s="76">
        <f>资产资本表!W19</f>
        <v>160671791</v>
      </c>
      <c r="X56" s="76">
        <f>资产资本表!X19</f>
        <v>155291543</v>
      </c>
      <c r="Y56" s="76">
        <f>资产资本表!Y19</f>
        <v>150583926</v>
      </c>
      <c r="Z56" s="76">
        <f>资产资本表!Z19</f>
        <v>155643198</v>
      </c>
      <c r="AA56" s="76">
        <f>资产资本表!AA19</f>
        <v>159047632</v>
      </c>
      <c r="AB56" s="76">
        <f>资产资本表!AB19</f>
        <v>146890455.28</v>
      </c>
      <c r="AC56" s="76">
        <f>资产资本表!AC19</f>
        <v>149138751</v>
      </c>
      <c r="AD56" s="76">
        <f>资产资本表!AD19</f>
        <v>159853751.75</v>
      </c>
      <c r="AE56" s="76">
        <f>资产资本表!AE19</f>
        <v>176165011</v>
      </c>
      <c r="AF56" s="76">
        <f>资产资本表!AF19</f>
        <v>176997478.69999999</v>
      </c>
      <c r="AG56" s="76">
        <f>资产资本表!AG19</f>
        <v>177808549</v>
      </c>
      <c r="AH56" s="76">
        <f>资产资本表!AH19</f>
        <v>147630480.56</v>
      </c>
      <c r="AI56" s="76">
        <f>资产资本表!AI19</f>
        <v>99630480.560000002</v>
      </c>
      <c r="AJ56" s="76">
        <f>资产资本表!AJ19</f>
        <v>45630480.560000002</v>
      </c>
      <c r="AK56" s="76">
        <f>资产资本表!AK19</f>
        <v>32550000</v>
      </c>
      <c r="AL56" s="76">
        <f>资产资本表!AL19</f>
        <v>34631000</v>
      </c>
      <c r="AM56" s="76">
        <f>资产资本表!AM19</f>
        <v>34631000</v>
      </c>
      <c r="AN56" s="76">
        <f>资产资本表!AN19</f>
        <v>5031000</v>
      </c>
      <c r="AO56" s="76">
        <f>资产资本表!AO19</f>
        <v>5031000</v>
      </c>
      <c r="AP56" s="76">
        <f>资产资本表!AP19</f>
        <v>7583403.1100000003</v>
      </c>
      <c r="AQ56" s="76">
        <f>资产资本表!AQ19</f>
        <v>7583403.1100000003</v>
      </c>
      <c r="AR56" s="76">
        <f>资产资本表!AR19</f>
        <v>8000392.8200000003</v>
      </c>
      <c r="AS56" s="76">
        <f>资产资本表!AS19</f>
        <v>8000392.8200000003</v>
      </c>
      <c r="AT56" s="76">
        <f>资产资本表!AT19</f>
        <v>3235293.87</v>
      </c>
      <c r="AU56" s="76">
        <f>资产资本表!AU19</f>
        <v>7695058.9500000002</v>
      </c>
      <c r="AV56" s="76">
        <f>资产资本表!AV19</f>
        <v>11994707.42</v>
      </c>
      <c r="AW56" s="76">
        <f>资产资本表!AW19</f>
        <v>166494707.41999999</v>
      </c>
      <c r="AX56" s="76">
        <f>资产资本表!AX19</f>
        <v>167151773.53999999</v>
      </c>
      <c r="AY56" s="76">
        <f>资产资本表!AY19</f>
        <v>73901773.540000007</v>
      </c>
      <c r="AZ56" s="76">
        <f>资产资本表!AZ19</f>
        <v>73901773.540000007</v>
      </c>
      <c r="BA56" s="76">
        <f>资产资本表!BA19</f>
        <v>12101773.539999999</v>
      </c>
      <c r="BB56" s="76">
        <f>资产资本表!BB19</f>
        <v>26465786.34</v>
      </c>
      <c r="BC56" s="76">
        <f>资产资本表!BC19</f>
        <v>26465786.34</v>
      </c>
      <c r="BD56" s="76">
        <f>资产资本表!BD19</f>
        <v>24773382.629999999</v>
      </c>
      <c r="BE56" s="76">
        <f>资产资本表!BE19</f>
        <v>24773382.629999999</v>
      </c>
      <c r="BF56" s="76">
        <f>资产资本表!BF19</f>
        <v>16639941.08</v>
      </c>
      <c r="BG56" s="76">
        <f>资产资本表!BG19</f>
        <v>9548115.0800000001</v>
      </c>
      <c r="BH56" s="76">
        <f>资产资本表!BH19</f>
        <v>9548115.0800000001</v>
      </c>
      <c r="BI56" s="76">
        <f>资产资本表!BI19</f>
        <v>5409765.0800000001</v>
      </c>
      <c r="BJ56" s="76">
        <f>资产资本表!BJ19</f>
        <v>6017265.0800000001</v>
      </c>
      <c r="BK56" s="76">
        <f>资产资本表!BK19</f>
        <v>6017265.0800000001</v>
      </c>
      <c r="BL56" s="76">
        <f>资产资本表!BL19</f>
        <v>6017265.0800000001</v>
      </c>
      <c r="BM56" s="76">
        <f>资产资本表!BM19</f>
        <v>6017265.0800000001</v>
      </c>
      <c r="BN56" s="76">
        <f>资产资本表!BN19</f>
        <v>6017265.0800000001</v>
      </c>
      <c r="BO56" s="76">
        <f>资产资本表!BO19</f>
        <v>6017265.0800000001</v>
      </c>
      <c r="BP56" s="76">
        <f>资产资本表!BP19</f>
        <v>7284238.1100000003</v>
      </c>
      <c r="BQ56" s="76">
        <f>资产资本表!BQ19</f>
        <v>6017265.0800000001</v>
      </c>
      <c r="BR56" s="76">
        <f>资产资本表!BR19</f>
        <v>7734238.1100000003</v>
      </c>
      <c r="BS56" s="76">
        <f>资产资本表!BS19</f>
        <v>8184238.1100000003</v>
      </c>
      <c r="BT56" s="76">
        <f>资产资本表!BT19</f>
        <v>8358022.2300000004</v>
      </c>
      <c r="BU56" s="76">
        <f>资产资本表!BU19</f>
        <v>8059218.4000000004</v>
      </c>
      <c r="BV56" s="76">
        <f>资产资本表!BV19</f>
        <v>7564970.96</v>
      </c>
      <c r="BW56" s="76">
        <f>资产资本表!BW19</f>
        <v>7564970.96</v>
      </c>
      <c r="BX56" s="76">
        <f>资产资本表!BX19</f>
        <v>7016490.8799999999</v>
      </c>
      <c r="BY56" s="76">
        <f>资产资本表!BY19</f>
        <v>7016490.8799999999</v>
      </c>
      <c r="BZ56" s="76">
        <f>资产资本表!BZ19</f>
        <v>29297836.41</v>
      </c>
      <c r="CA56" s="76">
        <f>资产资本表!CA19</f>
        <v>29216725.93</v>
      </c>
      <c r="CB56" s="76">
        <f>资产资本表!CB19</f>
        <v>29160000</v>
      </c>
      <c r="CC56" s="76">
        <f>资产资本表!CC19</f>
        <v>29722938.120000001</v>
      </c>
      <c r="CD56" s="76">
        <f>资产资本表!CD19</f>
        <v>26390000</v>
      </c>
      <c r="CE56" s="76">
        <f>资产资本表!CE19</f>
        <v>26590270.449999999</v>
      </c>
      <c r="CF56" s="76">
        <f>资产资本表!CF19</f>
        <v>24565328.440000001</v>
      </c>
      <c r="CG56" s="76">
        <f>资产资本表!CG19</f>
        <v>0</v>
      </c>
      <c r="CH56" s="76">
        <f>资产资本表!CH19</f>
        <v>0</v>
      </c>
      <c r="CI56" s="76">
        <f>资产资本表!CI19</f>
        <v>0</v>
      </c>
      <c r="CJ56" s="76">
        <f>资产资本表!CJ19</f>
        <v>0</v>
      </c>
    </row>
    <row r="57" spans="1:89" s="117" customFormat="1">
      <c r="A57" s="144" t="s">
        <v>470</v>
      </c>
      <c r="E57" s="117">
        <f>E49/E56</f>
        <v>44.71012417714919</v>
      </c>
      <c r="F57" s="117">
        <f t="shared" ref="F57:BQ57" si="24">F49/F56</f>
        <v>30.937429674677041</v>
      </c>
      <c r="G57" s="117">
        <f t="shared" si="24"/>
        <v>18.940114485308328</v>
      </c>
      <c r="H57" s="117">
        <f t="shared" si="24"/>
        <v>8.8333227546128619</v>
      </c>
      <c r="I57" s="117">
        <f t="shared" si="24"/>
        <v>32.50107090977373</v>
      </c>
      <c r="J57" s="117">
        <f t="shared" si="24"/>
        <v>23.375493791490801</v>
      </c>
      <c r="K57" s="117">
        <f t="shared" si="24"/>
        <v>14.910775774842209</v>
      </c>
      <c r="L57" s="117">
        <f t="shared" si="24"/>
        <v>8.1582715748946288</v>
      </c>
      <c r="M57" s="117">
        <f t="shared" si="24"/>
        <v>34.992974319799316</v>
      </c>
      <c r="N57" s="117">
        <f t="shared" si="24"/>
        <v>25.887138075497756</v>
      </c>
      <c r="O57" s="117">
        <f t="shared" si="24"/>
        <v>17.004074804653325</v>
      </c>
      <c r="P57" s="117">
        <f t="shared" si="24"/>
        <v>8.042551695590177</v>
      </c>
      <c r="Q57" s="117">
        <f t="shared" si="24"/>
        <v>30.649832492963267</v>
      </c>
      <c r="R57" s="117">
        <f t="shared" si="24"/>
        <v>51.757241616444688</v>
      </c>
      <c r="S57" s="117">
        <f t="shared" si="24"/>
        <v>8.6257262364038354</v>
      </c>
      <c r="T57" s="117">
        <f t="shared" si="24"/>
        <v>7.0862790699223854</v>
      </c>
      <c r="U57" s="117">
        <f t="shared" si="24"/>
        <v>27.229032127361936</v>
      </c>
      <c r="V57" s="117">
        <f t="shared" si="24"/>
        <v>21.112205751157003</v>
      </c>
      <c r="W57" s="117">
        <f t="shared" si="24"/>
        <v>14.010591006606754</v>
      </c>
      <c r="X57" s="117">
        <f t="shared" si="24"/>
        <v>6.699556204293752</v>
      </c>
      <c r="Y57" s="117">
        <f t="shared" si="24"/>
        <v>28.778266592677362</v>
      </c>
      <c r="Z57" s="117">
        <f t="shared" si="24"/>
        <v>21.26159238259805</v>
      </c>
      <c r="AA57" s="117">
        <f t="shared" si="24"/>
        <v>14.066973200833321</v>
      </c>
      <c r="AB57" s="117">
        <f t="shared" si="24"/>
        <v>6.6941796078283629</v>
      </c>
      <c r="AC57" s="117">
        <f t="shared" si="24"/>
        <v>30.944118735445223</v>
      </c>
      <c r="AD57" s="117">
        <f t="shared" si="24"/>
        <v>20.968815211995796</v>
      </c>
      <c r="AE57" s="117">
        <f t="shared" si="24"/>
        <v>11.97294992363722</v>
      </c>
      <c r="AF57" s="117">
        <f t="shared" si="24"/>
        <v>5.7445675641706195</v>
      </c>
      <c r="AG57" s="117">
        <f t="shared" si="24"/>
        <v>19.426577222673359</v>
      </c>
      <c r="AH57" s="117">
        <f t="shared" si="24"/>
        <v>15.795349174876385</v>
      </c>
      <c r="AI57" s="117">
        <f t="shared" si="24"/>
        <v>14.879995282038214</v>
      </c>
      <c r="AJ57" s="117">
        <f t="shared" si="24"/>
        <v>14.354223762748818</v>
      </c>
      <c r="AK57" s="117">
        <f t="shared" si="24"/>
        <v>67.294857268509986</v>
      </c>
      <c r="AL57" s="117">
        <f t="shared" si="24"/>
        <v>45.688385586901909</v>
      </c>
      <c r="AM57" s="117">
        <f t="shared" si="24"/>
        <v>25.340479965926484</v>
      </c>
      <c r="AN57" s="117">
        <f t="shared" si="24"/>
        <v>69.367230463128593</v>
      </c>
      <c r="AO57" s="117">
        <f t="shared" si="24"/>
        <v>273.55445345259392</v>
      </c>
      <c r="AP57" s="117">
        <f t="shared" si="24"/>
        <v>137.0170328489896</v>
      </c>
      <c r="AQ57" s="117">
        <f t="shared" si="24"/>
        <v>90.759132542012523</v>
      </c>
      <c r="AR57" s="117">
        <f t="shared" si="24"/>
        <v>43.215341391199338</v>
      </c>
      <c r="AS57" s="117">
        <f t="shared" si="24"/>
        <v>215.18340519434645</v>
      </c>
      <c r="AT57" s="117">
        <f t="shared" si="24"/>
        <v>381.13057144017648</v>
      </c>
      <c r="AU57" s="117">
        <f t="shared" si="24"/>
        <v>99.647503921980999</v>
      </c>
      <c r="AV57" s="117">
        <f t="shared" si="24"/>
        <v>29.486369140632195</v>
      </c>
      <c r="AW57" s="117">
        <f t="shared" si="24"/>
        <v>9.076451837702507</v>
      </c>
      <c r="AX57" s="117">
        <f t="shared" si="24"/>
        <v>6.1103499666163339</v>
      </c>
      <c r="AY57" s="117">
        <f t="shared" si="24"/>
        <v>8.6693811390497224</v>
      </c>
      <c r="AZ57" s="117">
        <f t="shared" si="24"/>
        <v>3.4185760953795912</v>
      </c>
      <c r="BA57" s="117">
        <f t="shared" si="24"/>
        <v>91.100104755389438</v>
      </c>
      <c r="BB57" s="117">
        <f t="shared" si="24"/>
        <v>28.613501920230494</v>
      </c>
      <c r="BC57" s="117">
        <f t="shared" si="24"/>
        <v>19.838719254165945</v>
      </c>
      <c r="BD57" s="117">
        <f t="shared" si="24"/>
        <v>9.5175269167511338</v>
      </c>
      <c r="BE57" s="117">
        <f t="shared" si="24"/>
        <v>43.22836043524994</v>
      </c>
      <c r="BF57" s="117">
        <f t="shared" si="24"/>
        <v>39.570568231242802</v>
      </c>
      <c r="BG57" s="117">
        <f t="shared" si="24"/>
        <v>46.148834697539066</v>
      </c>
      <c r="BH57" s="117">
        <f t="shared" si="24"/>
        <v>18.342264181214706</v>
      </c>
      <c r="BI57" s="117">
        <f t="shared" si="24"/>
        <v>117.52454594386936</v>
      </c>
      <c r="BJ57" s="117">
        <f t="shared" si="24"/>
        <v>73.814460517335235</v>
      </c>
      <c r="BK57" s="117">
        <f t="shared" si="24"/>
        <v>43.133069841423705</v>
      </c>
      <c r="BL57" s="117">
        <f t="shared" si="24"/>
        <v>18.09894465377284</v>
      </c>
      <c r="BM57" s="117">
        <f t="shared" si="24"/>
        <v>54.106617554897554</v>
      </c>
      <c r="BN57" s="117">
        <f t="shared" si="24"/>
        <v>40.257480449905657</v>
      </c>
      <c r="BO57" s="117">
        <f t="shared" si="24"/>
        <v>25.01706276832331</v>
      </c>
      <c r="BP57" s="117">
        <f t="shared" si="24"/>
        <v>8.8770980236394266</v>
      </c>
      <c r="BQ57" s="117">
        <f t="shared" si="24"/>
        <v>46.355976866819375</v>
      </c>
      <c r="BR57" s="117">
        <f t="shared" ref="BR57:CK57" si="25">BR49/BR56</f>
        <v>19.63258833390119</v>
      </c>
      <c r="BS57" s="117">
        <f t="shared" si="25"/>
        <v>38.807982689545668</v>
      </c>
      <c r="BT57" s="117">
        <f t="shared" si="25"/>
        <v>18.646492883281073</v>
      </c>
      <c r="BU57" s="117">
        <f t="shared" si="25"/>
        <v>33.38520345471715</v>
      </c>
      <c r="BV57" s="117">
        <f t="shared" si="25"/>
        <v>16.373762389168512</v>
      </c>
      <c r="BW57" s="117">
        <f t="shared" si="25"/>
        <v>22.783951280362878</v>
      </c>
      <c r="BX57" s="117">
        <f t="shared" si="25"/>
        <v>13.796393485798985</v>
      </c>
      <c r="BY57" s="117">
        <f t="shared" si="25"/>
        <v>31.215672176573825</v>
      </c>
      <c r="BZ57" s="117">
        <f t="shared" si="25"/>
        <v>3.5521853553826981</v>
      </c>
      <c r="CA57" s="117">
        <f t="shared" si="25"/>
        <v>5.2629679317390918</v>
      </c>
      <c r="CB57" s="117">
        <f t="shared" si="25"/>
        <v>2.2410836762688615</v>
      </c>
      <c r="CC57" s="117">
        <f t="shared" si="25"/>
        <v>5.0559464819152939</v>
      </c>
      <c r="CD57" s="117">
        <f t="shared" si="25"/>
        <v>2.7608942781356576</v>
      </c>
      <c r="CE57" s="117">
        <f t="shared" si="25"/>
        <v>6.4723993512446585</v>
      </c>
      <c r="CF57" s="117">
        <f t="shared" si="25"/>
        <v>5.4796052207800239</v>
      </c>
      <c r="CG57" s="117" t="e">
        <f t="shared" si="25"/>
        <v>#DIV/0!</v>
      </c>
      <c r="CH57" s="117" t="e">
        <f t="shared" si="25"/>
        <v>#DIV/0!</v>
      </c>
      <c r="CI57" s="117" t="e">
        <f t="shared" si="25"/>
        <v>#DIV/0!</v>
      </c>
      <c r="CJ57" s="117" t="e">
        <f t="shared" si="25"/>
        <v>#DIV/0!</v>
      </c>
      <c r="CK57" s="117" t="e">
        <f t="shared" si="25"/>
        <v>#DIV/0!</v>
      </c>
    </row>
    <row r="58" spans="1:89" s="16" customFormat="1" ht="44.45" customHeight="1">
      <c r="A58" s="279" t="s">
        <v>693</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37072</v>
      </c>
      <c r="BS61" s="1">
        <v>36891</v>
      </c>
      <c r="BT61" s="1">
        <v>36707</v>
      </c>
      <c r="BU61" s="1">
        <v>36525</v>
      </c>
      <c r="BV61" s="1">
        <v>36341</v>
      </c>
      <c r="BW61" s="1">
        <v>36160</v>
      </c>
      <c r="BX61" s="1">
        <v>35976</v>
      </c>
      <c r="BY61" s="1">
        <v>35795</v>
      </c>
      <c r="BZ61" s="1">
        <v>35611</v>
      </c>
      <c r="CA61" s="1">
        <v>35430</v>
      </c>
      <c r="CB61" s="1">
        <v>35246</v>
      </c>
      <c r="CC61" s="1">
        <v>35064</v>
      </c>
      <c r="CD61" s="1">
        <v>34880</v>
      </c>
      <c r="CE61" s="1">
        <v>34699</v>
      </c>
      <c r="CF61" s="1">
        <v>34334</v>
      </c>
      <c r="CG61" s="1">
        <v>33969</v>
      </c>
      <c r="CH61" s="1">
        <v>33603</v>
      </c>
      <c r="CI61" s="1">
        <v>25569</v>
      </c>
      <c r="CJ61" s="1"/>
      <c r="CK61" s="1"/>
    </row>
    <row r="62" spans="1:89" s="76" customFormat="1">
      <c r="A62" s="146"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c r="A63" s="146" t="s">
        <v>463</v>
      </c>
      <c r="E63" s="76">
        <f>E49</f>
        <v>14012500489.6</v>
      </c>
      <c r="F63" s="76">
        <f t="shared" ref="F63:BQ63" si="26">F49</f>
        <v>10101263607.549999</v>
      </c>
      <c r="G63" s="76">
        <f t="shared" si="26"/>
        <v>6204369367.1700001</v>
      </c>
      <c r="H63" s="76">
        <f t="shared" si="26"/>
        <v>2902672264.27</v>
      </c>
      <c r="I63" s="76">
        <f t="shared" si="26"/>
        <v>10736756430.530001</v>
      </c>
      <c r="J63" s="76">
        <f t="shared" si="26"/>
        <v>7753412466.4899998</v>
      </c>
      <c r="K63" s="76">
        <f t="shared" si="26"/>
        <v>4970453217</v>
      </c>
      <c r="L63" s="76">
        <f t="shared" si="26"/>
        <v>2451540177.1700001</v>
      </c>
      <c r="M63" s="76">
        <f t="shared" si="26"/>
        <v>10530002724</v>
      </c>
      <c r="N63" s="76">
        <f t="shared" si="26"/>
        <v>7798701732.9399996</v>
      </c>
      <c r="O63" s="76">
        <f t="shared" si="26"/>
        <v>5137805297</v>
      </c>
      <c r="P63" s="76">
        <f t="shared" si="26"/>
        <v>2440217347.02</v>
      </c>
      <c r="Q63" s="76">
        <f t="shared" si="26"/>
        <v>9322363339</v>
      </c>
      <c r="R63" s="76">
        <f t="shared" si="26"/>
        <v>6534329893.3699999</v>
      </c>
      <c r="S63" s="76">
        <f t="shared" si="26"/>
        <v>2485591860</v>
      </c>
      <c r="T63" s="76">
        <f t="shared" si="26"/>
        <v>1179748523.6800001</v>
      </c>
      <c r="U63" s="76">
        <f t="shared" si="26"/>
        <v>4519377681</v>
      </c>
      <c r="V63" s="76">
        <f t="shared" si="26"/>
        <v>3497195925</v>
      </c>
      <c r="W63" s="76">
        <f t="shared" si="26"/>
        <v>2251106750</v>
      </c>
      <c r="X63" s="76">
        <f t="shared" si="26"/>
        <v>1040384420.38</v>
      </c>
      <c r="Y63" s="76">
        <f t="shared" si="26"/>
        <v>4333544367</v>
      </c>
      <c r="Z63" s="76">
        <f t="shared" si="26"/>
        <v>3309222233</v>
      </c>
      <c r="AA63" s="76">
        <f t="shared" si="26"/>
        <v>2237318777</v>
      </c>
      <c r="AB63" s="76">
        <f t="shared" si="26"/>
        <v>983311090.32000005</v>
      </c>
      <c r="AC63" s="76">
        <f t="shared" si="26"/>
        <v>4614967219</v>
      </c>
      <c r="AD63" s="76">
        <f t="shared" si="26"/>
        <v>3351943781.3899999</v>
      </c>
      <c r="AE63" s="76">
        <f t="shared" si="26"/>
        <v>2109214855</v>
      </c>
      <c r="AF63" s="76">
        <f t="shared" si="26"/>
        <v>1016773975.08</v>
      </c>
      <c r="AG63" s="76">
        <f t="shared" si="26"/>
        <v>3454211508</v>
      </c>
      <c r="AH63" s="76">
        <f t="shared" si="26"/>
        <v>2331874989.3000002</v>
      </c>
      <c r="AI63" s="76">
        <f t="shared" si="26"/>
        <v>1482501080.6800001</v>
      </c>
      <c r="AJ63" s="76">
        <f t="shared" si="26"/>
        <v>654990128.36000001</v>
      </c>
      <c r="AK63" s="76">
        <f t="shared" si="26"/>
        <v>2190447604.0900002</v>
      </c>
      <c r="AL63" s="76">
        <f t="shared" si="26"/>
        <v>1582234481.26</v>
      </c>
      <c r="AM63" s="76">
        <f t="shared" si="26"/>
        <v>877566161.70000005</v>
      </c>
      <c r="AN63" s="76">
        <f t="shared" si="26"/>
        <v>348986536.45999998</v>
      </c>
      <c r="AO63" s="76">
        <f t="shared" si="26"/>
        <v>1376252455.3199999</v>
      </c>
      <c r="AP63" s="76">
        <f t="shared" si="26"/>
        <v>1039055393.03</v>
      </c>
      <c r="AQ63" s="76">
        <f t="shared" si="26"/>
        <v>688263087.98000002</v>
      </c>
      <c r="AR63" s="76">
        <f t="shared" si="26"/>
        <v>345739706.98000002</v>
      </c>
      <c r="AS63" s="76">
        <f t="shared" si="26"/>
        <v>1721551769.9000001</v>
      </c>
      <c r="AT63" s="76">
        <f t="shared" si="26"/>
        <v>1233069401.45</v>
      </c>
      <c r="AU63" s="76">
        <f t="shared" si="26"/>
        <v>766793416.89999998</v>
      </c>
      <c r="AV63" s="76">
        <f t="shared" si="26"/>
        <v>353680370.72000003</v>
      </c>
      <c r="AW63" s="76">
        <f t="shared" si="26"/>
        <v>1511181193.1300001</v>
      </c>
      <c r="AX63" s="76">
        <f t="shared" si="26"/>
        <v>1021355833.87</v>
      </c>
      <c r="AY63" s="76">
        <f t="shared" si="26"/>
        <v>640682641.66999996</v>
      </c>
      <c r="AZ63" s="76">
        <f t="shared" si="26"/>
        <v>252638836.43000001</v>
      </c>
      <c r="BA63" s="76">
        <f t="shared" si="26"/>
        <v>1102472837.22</v>
      </c>
      <c r="BB63" s="76">
        <f t="shared" si="26"/>
        <v>757278828.25999999</v>
      </c>
      <c r="BC63" s="76">
        <f t="shared" si="26"/>
        <v>525047305.04000002</v>
      </c>
      <c r="BD63" s="76">
        <f t="shared" si="26"/>
        <v>235781336</v>
      </c>
      <c r="BE63" s="76">
        <f t="shared" si="26"/>
        <v>1070912713.53</v>
      </c>
      <c r="BF63" s="76">
        <f t="shared" si="26"/>
        <v>658451923.87</v>
      </c>
      <c r="BG63" s="76">
        <f t="shared" si="26"/>
        <v>440634384.5</v>
      </c>
      <c r="BH63" s="76">
        <f t="shared" si="26"/>
        <v>175134049.22999999</v>
      </c>
      <c r="BI63" s="76">
        <f t="shared" si="26"/>
        <v>635780184.69000006</v>
      </c>
      <c r="BJ63" s="76">
        <f t="shared" si="26"/>
        <v>444161175.67000002</v>
      </c>
      <c r="BK63" s="76">
        <f t="shared" si="26"/>
        <v>259543114.94999999</v>
      </c>
      <c r="BL63" s="76">
        <f t="shared" si="26"/>
        <v>108906147.65000001</v>
      </c>
      <c r="BM63" s="76">
        <f t="shared" si="26"/>
        <v>325573860.41000003</v>
      </c>
      <c r="BN63" s="76">
        <f t="shared" si="26"/>
        <v>242239931.31999999</v>
      </c>
      <c r="BO63" s="76">
        <f t="shared" si="26"/>
        <v>150534298.19999999</v>
      </c>
      <c r="BP63" s="76">
        <f t="shared" si="26"/>
        <v>64662895.729999997</v>
      </c>
      <c r="BQ63" s="76">
        <f t="shared" si="26"/>
        <v>278936200.85000002</v>
      </c>
      <c r="BR63" s="76">
        <f t="shared" ref="BR63:CJ63" si="27">BR49</f>
        <v>151843112.88999999</v>
      </c>
      <c r="BS63" s="76">
        <f t="shared" si="27"/>
        <v>317613770.89999998</v>
      </c>
      <c r="BT63" s="76">
        <f t="shared" si="27"/>
        <v>155847802.03</v>
      </c>
      <c r="BU63" s="76">
        <f t="shared" si="27"/>
        <v>269058645.97000003</v>
      </c>
      <c r="BV63" s="76">
        <f t="shared" si="27"/>
        <v>123867036.98</v>
      </c>
      <c r="BW63" s="76">
        <f t="shared" si="27"/>
        <v>172359929.78999999</v>
      </c>
      <c r="BX63" s="76">
        <f t="shared" si="27"/>
        <v>96802269.069999993</v>
      </c>
      <c r="BY63" s="76">
        <f t="shared" si="27"/>
        <v>219024479.13999999</v>
      </c>
      <c r="BZ63" s="76">
        <f t="shared" si="27"/>
        <v>104071345.44</v>
      </c>
      <c r="CA63" s="76">
        <f t="shared" si="27"/>
        <v>153766691.63999999</v>
      </c>
      <c r="CB63" s="76">
        <f t="shared" si="27"/>
        <v>65350000</v>
      </c>
      <c r="CC63" s="76">
        <f t="shared" si="27"/>
        <v>150277584.41999999</v>
      </c>
      <c r="CD63" s="76">
        <f t="shared" si="27"/>
        <v>72860000</v>
      </c>
      <c r="CE63" s="76">
        <f t="shared" si="27"/>
        <v>172102849.21000001</v>
      </c>
      <c r="CF63" s="76">
        <f t="shared" si="27"/>
        <v>134608301.97</v>
      </c>
      <c r="CG63" s="76">
        <f t="shared" si="27"/>
        <v>110910400</v>
      </c>
      <c r="CH63" s="76">
        <f t="shared" si="27"/>
        <v>59300500</v>
      </c>
      <c r="CI63" s="76">
        <f t="shared" si="27"/>
        <v>0</v>
      </c>
      <c r="CJ63" s="76">
        <f t="shared" si="27"/>
        <v>0</v>
      </c>
    </row>
    <row r="64" spans="1:89" s="76" customFormat="1">
      <c r="A64" s="146" t="s">
        <v>473</v>
      </c>
      <c r="E64" s="76">
        <f>资产资本表!E22+资产资本表!E23-资产资本表!E37</f>
        <v>3869626266.5900002</v>
      </c>
      <c r="F64" s="76">
        <f>资产资本表!F22+资产资本表!F23-资产资本表!F37</f>
        <v>3508941847.9400001</v>
      </c>
      <c r="G64" s="76">
        <f>资产资本表!G22+资产资本表!G23-资产资本表!G37</f>
        <v>3058534413.4300003</v>
      </c>
      <c r="H64" s="76">
        <f>资产资本表!H22+资产资本表!H23-资产资本表!H37</f>
        <v>3074125191.5500002</v>
      </c>
      <c r="I64" s="76">
        <f>资产资本表!I22+资产资本表!I23-资产资本表!I37</f>
        <v>3162601680.8199997</v>
      </c>
      <c r="J64" s="76">
        <f>资产资本表!J22+资产资本表!J23-资产资本表!J37</f>
        <v>2821830817.3000002</v>
      </c>
      <c r="K64" s="76">
        <f>资产资本表!K22+资产资本表!K23-资产资本表!K37</f>
        <v>2417417633</v>
      </c>
      <c r="L64" s="76">
        <f>资产资本表!L22+资产资本表!L23-资产资本表!L37</f>
        <v>1812030874.6699998</v>
      </c>
      <c r="M64" s="76">
        <f>资产资本表!M22+资产资本表!M23-资产资本表!M37</f>
        <v>2117980150</v>
      </c>
      <c r="N64" s="76">
        <f>资产资本表!N22+资产资本表!N23-资产资本表!N37</f>
        <v>2205782664.0300002</v>
      </c>
      <c r="O64" s="76">
        <f>资产资本表!O22+资产资本表!O23-资产资本表!O37</f>
        <v>2302739542</v>
      </c>
      <c r="P64" s="76">
        <f>资产资本表!P22+资产资本表!P23-资产资本表!P37</f>
        <v>2043483114.7500002</v>
      </c>
      <c r="Q64" s="76">
        <f>资产资本表!Q22+资产资本表!Q23-资产资本表!Q37</f>
        <v>2433957160</v>
      </c>
      <c r="R64" s="76">
        <f>资产资本表!R22+资产资本表!R23-资产资本表!R37</f>
        <v>2780016477.8899999</v>
      </c>
      <c r="S64" s="76">
        <f>资产资本表!S22+资产资本表!S23-资产资本表!S37</f>
        <v>1201675549</v>
      </c>
      <c r="T64" s="76">
        <f>资产资本表!T22+资产资本表!T23-资产资本表!T37</f>
        <v>1076431667.6999998</v>
      </c>
      <c r="U64" s="76">
        <f>资产资本表!U22+资产资本表!U23-资产资本表!U37</f>
        <v>1060128129</v>
      </c>
      <c r="V64" s="76">
        <f>资产资本表!V22+资产资本表!V23-资产资本表!V37</f>
        <v>1384715271</v>
      </c>
      <c r="W64" s="76">
        <f>资产资本表!W22+资产资本表!W23-资产资本表!W37</f>
        <v>1171293213</v>
      </c>
      <c r="X64" s="76">
        <f>资产资本表!X22+资产资本表!X23-资产资本表!X37</f>
        <v>1128290380.25</v>
      </c>
      <c r="Y64" s="76">
        <f>资产资本表!Y22+资产资本表!Y23-资产资本表!Y37</f>
        <v>1046394622</v>
      </c>
      <c r="Z64" s="76">
        <f>资产资本表!Z22+资产资本表!Z23-资产资本表!Z37</f>
        <v>1368724777</v>
      </c>
      <c r="AA64" s="76">
        <f>资产资本表!AA22+资产资本表!AA23-资产资本表!AA37</f>
        <v>1327185681</v>
      </c>
      <c r="AB64" s="76">
        <f>资产资本表!AB22+资产资本表!AB23-资产资本表!AB37</f>
        <v>912195179.9799999</v>
      </c>
      <c r="AC64" s="76">
        <f>资产资本表!AC22+资产资本表!AC23-资产资本表!AC37</f>
        <v>1092685856</v>
      </c>
      <c r="AD64" s="76">
        <f>资产资本表!AD22+资产资本表!AD23-资产资本表!AD37</f>
        <v>875419151.2299999</v>
      </c>
      <c r="AE64" s="76">
        <f>资产资本表!AE22+资产资本表!AE23-资产资本表!AE37</f>
        <v>807075597</v>
      </c>
      <c r="AF64" s="76">
        <f>资产资本表!AF22+资产资本表!AF23-资产资本表!AF37</f>
        <v>745854933.37999988</v>
      </c>
      <c r="AG64" s="76">
        <f>资产资本表!AG22+资产资本表!AG23-资产资本表!AG37</f>
        <v>738070001</v>
      </c>
      <c r="AH64" s="76">
        <f>资产资本表!AH22+资产资本表!AH23-资产资本表!AH37</f>
        <v>591742758.13</v>
      </c>
      <c r="AI64" s="76">
        <f>资产资本表!AI22+资产资本表!AI23-资产资本表!AI37</f>
        <v>461158256.20999998</v>
      </c>
      <c r="AJ64" s="76">
        <f>资产资本表!AJ22+资产资本表!AJ23-资产资本表!AJ37</f>
        <v>288807066.48000002</v>
      </c>
      <c r="AK64" s="76">
        <f>资产资本表!AK22+资产资本表!AK23-资产资本表!AK37</f>
        <v>228000552.31</v>
      </c>
      <c r="AL64" s="76">
        <f>资产资本表!AL22+资产资本表!AL23-资产资本表!AL37</f>
        <v>337177791.89000005</v>
      </c>
      <c r="AM64" s="76">
        <f>资产资本表!AM22+资产资本表!AM23-资产资本表!AM37</f>
        <v>268737243.50999999</v>
      </c>
      <c r="AN64" s="76">
        <f>资产资本表!AN22+资产资本表!AN23-资产资本表!AN37</f>
        <v>235073569.02000001</v>
      </c>
      <c r="AO64" s="76">
        <f>资产资本表!AO22+资产资本表!AO23-资产资本表!AO37</f>
        <v>285946472.70999998</v>
      </c>
      <c r="AP64" s="76">
        <f>资产资本表!AP22+资产资本表!AP23-资产资本表!AP37</f>
        <v>503957304.61999995</v>
      </c>
      <c r="AQ64" s="76">
        <f>资产资本表!AQ22+资产资本表!AQ23-资产资本表!AQ37</f>
        <v>395284110.72999996</v>
      </c>
      <c r="AR64" s="76">
        <f>资产资本表!AR22+资产资本表!AR23-资产资本表!AR37</f>
        <v>542945792.89999998</v>
      </c>
      <c r="AS64" s="76">
        <f>资产资本表!AS22+资产资本表!AS23-资产资本表!AS37</f>
        <v>550479558.74000001</v>
      </c>
      <c r="AT64" s="76">
        <f>资产资本表!AT22+资产资本表!AT23-资产资本表!AT37</f>
        <v>501131364.53000003</v>
      </c>
      <c r="AU64" s="76">
        <f>资产资本表!AU22+资产资本表!AU23-资产资本表!AU37</f>
        <v>434844091.36000001</v>
      </c>
      <c r="AV64" s="76">
        <f>资产资本表!AV22+资产资本表!AV23-资产资本表!AV37</f>
        <v>438167249.00999999</v>
      </c>
      <c r="AW64" s="76">
        <f>资产资本表!AW22+资产资本表!AW23-资产资本表!AW37</f>
        <v>492496547.42000002</v>
      </c>
      <c r="AX64" s="76">
        <f>资产资本表!AX22+资产资本表!AX23-资产资本表!AX37</f>
        <v>376970354.94</v>
      </c>
      <c r="AY64" s="76">
        <f>资产资本表!AY22+资产资本表!AY23-资产资本表!AY37</f>
        <v>466050945.19</v>
      </c>
      <c r="AZ64" s="76">
        <f>资产资本表!AZ22+资产资本表!AZ23-资产资本表!AZ37</f>
        <v>379582539.80000001</v>
      </c>
      <c r="BA64" s="76">
        <f>资产资本表!BA22+资产资本表!BA23-资产资本表!BA37</f>
        <v>436589478.13999999</v>
      </c>
      <c r="BB64" s="76">
        <f>资产资本表!BB22+资产资本表!BB23-资产资本表!BB37</f>
        <v>353128127.38999999</v>
      </c>
      <c r="BC64" s="76">
        <f>资产资本表!BC22+资产资本表!BC23-资产资本表!BC37</f>
        <v>405690006.21999997</v>
      </c>
      <c r="BD64" s="76">
        <f>资产资本表!BD22+资产资本表!BD23-资产资本表!BD37</f>
        <v>408476341.17000002</v>
      </c>
      <c r="BE64" s="76">
        <f>资产资本表!BE22+资产资本表!BE23-资产资本表!BE37</f>
        <v>427727892.08000004</v>
      </c>
      <c r="BF64" s="76">
        <f>资产资本表!BF22+资产资本表!BF23-资产资本表!BF37</f>
        <v>286140582.05000001</v>
      </c>
      <c r="BG64" s="76">
        <f>资产资本表!BG22+资产资本表!BG23-资产资本表!BG37</f>
        <v>306481642.13</v>
      </c>
      <c r="BH64" s="76">
        <f>资产资本表!BH22+资产资本表!BH23-资产资本表!BH37</f>
        <v>245142293.04999998</v>
      </c>
      <c r="BI64" s="76">
        <f>资产资本表!BI22+资产资本表!BI23-资产资本表!BI37</f>
        <v>263733289.56</v>
      </c>
      <c r="BJ64" s="76">
        <f>资产资本表!BJ22+资产资本表!BJ23-资产资本表!BJ37</f>
        <v>218158224.82999998</v>
      </c>
      <c r="BK64" s="76">
        <f>资产资本表!BK22+资产资本表!BK23-资产资本表!BK37</f>
        <v>166896544.75</v>
      </c>
      <c r="BL64" s="76">
        <f>资产资本表!BL22+资产资本表!BL23-资产资本表!BL37</f>
        <v>119570558.43000001</v>
      </c>
      <c r="BM64" s="76">
        <f>资产资本表!BM22+资产资本表!BM23-资产资本表!BM37</f>
        <v>88520817.870000005</v>
      </c>
      <c r="BN64" s="76">
        <f>资产资本表!BN22+资产资本表!BN23-资产资本表!BN37</f>
        <v>98638947.609999999</v>
      </c>
      <c r="BO64" s="76">
        <f>资产资本表!BO22+资产资本表!BO23-资产资本表!BO37</f>
        <v>86910283.829999998</v>
      </c>
      <c r="BP64" s="76">
        <f>资产资本表!BP22+资产资本表!BP23-资产资本表!BP37</f>
        <v>79770016.560000002</v>
      </c>
      <c r="BQ64" s="76">
        <f>资产资本表!BQ22+资产资本表!BQ23-资产资本表!BQ37</f>
        <v>73005144.900000006</v>
      </c>
      <c r="BR64" s="76">
        <f>资产资本表!BR22+资产资本表!BR23-资产资本表!BR37</f>
        <v>76299863.510000005</v>
      </c>
      <c r="BS64" s="76">
        <f>资产资本表!BS22+资产资本表!BS23-资产资本表!BS37</f>
        <v>83187168.979999989</v>
      </c>
      <c r="BT64" s="76">
        <f>资产资本表!BT22+资产资本表!BT23-资产资本表!BT37</f>
        <v>94512497.960000008</v>
      </c>
      <c r="BU64" s="76">
        <f>资产资本表!BU22+资产资本表!BU23-资产资本表!BU37</f>
        <v>84808359.969999999</v>
      </c>
      <c r="BV64" s="76">
        <f>资产资本表!BV22+资产资本表!BV23-资产资本表!BV37</f>
        <v>73012193.409999996</v>
      </c>
      <c r="BW64" s="76">
        <f>资产资本表!BW22+资产资本表!BW23-资产资本表!BW37</f>
        <v>42835190.759999998</v>
      </c>
      <c r="BX64" s="76">
        <f>资产资本表!BX22+资产资本表!BX23-资产资本表!BX37</f>
        <v>40385332.18</v>
      </c>
      <c r="BY64" s="76">
        <f>资产资本表!BY22+资产资本表!BY23-资产资本表!BY37</f>
        <v>30678495.870000001</v>
      </c>
      <c r="BZ64" s="76">
        <f>资产资本表!BZ22+资产资本表!BZ23-资产资本表!BZ37</f>
        <v>0</v>
      </c>
      <c r="CA64" s="76">
        <f>资产资本表!CA22+资产资本表!CA23-资产资本表!CA37</f>
        <v>46816980.810000002</v>
      </c>
      <c r="CB64" s="76">
        <f>资产资本表!CB22+资产资本表!CB23-资产资本表!CB37</f>
        <v>0</v>
      </c>
      <c r="CC64" s="76">
        <f>资产资本表!CC22+资产资本表!CC23-资产资本表!CC37</f>
        <v>35096771.399999999</v>
      </c>
      <c r="CD64" s="76">
        <f>资产资本表!CD22+资产资本表!CD23-资产资本表!CD37</f>
        <v>0</v>
      </c>
      <c r="CE64" s="76">
        <f>资产资本表!CE22+资产资本表!CE23-资产资本表!CE37</f>
        <v>30825804.980000004</v>
      </c>
      <c r="CF64" s="76">
        <f>资产资本表!CF22+资产资本表!CF23-资产资本表!CF37</f>
        <v>22480543.760000002</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4" customFormat="1">
      <c r="A65" s="153" t="s">
        <v>691</v>
      </c>
      <c r="E65" s="154">
        <f>E63/(E64+I64)*2</f>
        <v>3.9852236288105152</v>
      </c>
      <c r="F65" s="154">
        <f t="shared" ref="F65:BQ65" si="28">F63/(F64+J64)*2</f>
        <v>3.1911629564626169</v>
      </c>
      <c r="G65" s="154">
        <f t="shared" si="28"/>
        <v>2.2660422569678582</v>
      </c>
      <c r="H65" s="154">
        <f t="shared" si="28"/>
        <v>1.188120978917298</v>
      </c>
      <c r="I65" s="154">
        <f t="shared" si="28"/>
        <v>4.0665050839152448</v>
      </c>
      <c r="J65" s="154">
        <f t="shared" si="28"/>
        <v>3.0843311624022935</v>
      </c>
      <c r="K65" s="154">
        <f t="shared" si="28"/>
        <v>2.1060541133357491</v>
      </c>
      <c r="L65" s="154">
        <f t="shared" si="28"/>
        <v>1.2717060209856974</v>
      </c>
      <c r="M65" s="154">
        <f t="shared" si="28"/>
        <v>4.6266026998513299</v>
      </c>
      <c r="N65" s="154">
        <f t="shared" si="28"/>
        <v>3.1283657888940821</v>
      </c>
      <c r="O65" s="154">
        <f t="shared" si="28"/>
        <v>2.9321899167680532</v>
      </c>
      <c r="P65" s="154">
        <f t="shared" si="28"/>
        <v>1.5642846149174314</v>
      </c>
      <c r="Q65" s="154">
        <f t="shared" si="28"/>
        <v>5.33608230362805</v>
      </c>
      <c r="R65" s="154">
        <f t="shared" si="28"/>
        <v>3.137935544161544</v>
      </c>
      <c r="S65" s="154">
        <f t="shared" si="28"/>
        <v>2.094921686120367</v>
      </c>
      <c r="T65" s="154">
        <f t="shared" si="28"/>
        <v>1.070201592783051</v>
      </c>
      <c r="U65" s="154">
        <f t="shared" si="28"/>
        <v>4.2908415575901842</v>
      </c>
      <c r="V65" s="154">
        <f t="shared" si="28"/>
        <v>2.5402375675767757</v>
      </c>
      <c r="W65" s="154">
        <f t="shared" si="28"/>
        <v>1.8019818021324459</v>
      </c>
      <c r="X65" s="154">
        <f t="shared" si="28"/>
        <v>1.01974200715513</v>
      </c>
      <c r="Y65" s="154">
        <f t="shared" si="28"/>
        <v>4.0517824472427355</v>
      </c>
      <c r="Z65" s="154">
        <f t="shared" si="28"/>
        <v>2.9492067700043179</v>
      </c>
      <c r="AA65" s="154">
        <f t="shared" si="28"/>
        <v>2.0965743979542881</v>
      </c>
      <c r="AB65" s="154">
        <f t="shared" si="28"/>
        <v>1.1861053925895439</v>
      </c>
      <c r="AC65" s="154">
        <f t="shared" si="28"/>
        <v>5.0415976563498717</v>
      </c>
      <c r="AD65" s="154">
        <f t="shared" si="28"/>
        <v>4.5692895378563536</v>
      </c>
      <c r="AE65" s="154">
        <f t="shared" si="28"/>
        <v>3.3262238658294931</v>
      </c>
      <c r="AF65" s="154">
        <f t="shared" si="28"/>
        <v>1.9654224765528834</v>
      </c>
      <c r="AG65" s="154">
        <f t="shared" si="28"/>
        <v>7.1510543327606984</v>
      </c>
      <c r="AH65" s="154">
        <f t="shared" si="28"/>
        <v>5.0206123424652285</v>
      </c>
      <c r="AI65" s="154">
        <f t="shared" si="28"/>
        <v>4.0622283087064162</v>
      </c>
      <c r="AJ65" s="154">
        <f t="shared" si="28"/>
        <v>2.500531930274029</v>
      </c>
      <c r="AK65" s="154">
        <f t="shared" si="28"/>
        <v>8.5240209494539254</v>
      </c>
      <c r="AL65" s="154">
        <f t="shared" si="28"/>
        <v>3.7621411538406524</v>
      </c>
      <c r="AM65" s="154">
        <f t="shared" si="28"/>
        <v>2.6431865665055634</v>
      </c>
      <c r="AN65" s="154">
        <f t="shared" si="28"/>
        <v>0.89711529954413816</v>
      </c>
      <c r="AO65" s="154">
        <f t="shared" si="28"/>
        <v>3.2907929776747262</v>
      </c>
      <c r="AP65" s="154">
        <f t="shared" si="28"/>
        <v>2.0675895071202532</v>
      </c>
      <c r="AQ65" s="154">
        <f t="shared" si="28"/>
        <v>1.658209144677103</v>
      </c>
      <c r="AR65" s="154">
        <f t="shared" si="28"/>
        <v>0.70479076765084037</v>
      </c>
      <c r="AS65" s="154">
        <f t="shared" si="28"/>
        <v>3.3012295482748129</v>
      </c>
      <c r="AT65" s="154">
        <f t="shared" si="28"/>
        <v>2.8084887527478015</v>
      </c>
      <c r="AU65" s="154">
        <f t="shared" si="28"/>
        <v>1.702292466470799</v>
      </c>
      <c r="AV65" s="154">
        <f t="shared" si="28"/>
        <v>0.86500877300055379</v>
      </c>
      <c r="AW65" s="154">
        <f t="shared" si="28"/>
        <v>3.2530490214168197</v>
      </c>
      <c r="AX65" s="154">
        <f t="shared" si="28"/>
        <v>2.7978577098544184</v>
      </c>
      <c r="AY65" s="154">
        <f t="shared" si="28"/>
        <v>1.4698922670403998</v>
      </c>
      <c r="AZ65" s="154">
        <f t="shared" si="28"/>
        <v>0.64116741154933454</v>
      </c>
      <c r="BA65" s="154">
        <f t="shared" si="28"/>
        <v>2.5510833756340703</v>
      </c>
      <c r="BB65" s="154">
        <f t="shared" si="28"/>
        <v>2.3692034885404509</v>
      </c>
      <c r="BC65" s="154">
        <f t="shared" si="28"/>
        <v>1.4744965100940475</v>
      </c>
      <c r="BD65" s="154">
        <f t="shared" si="28"/>
        <v>0.72146454723210629</v>
      </c>
      <c r="BE65" s="154">
        <f t="shared" si="28"/>
        <v>3.0975353120764373</v>
      </c>
      <c r="BF65" s="154">
        <f t="shared" si="28"/>
        <v>2.6113562629414724</v>
      </c>
      <c r="BG65" s="154">
        <f t="shared" si="28"/>
        <v>1.8616590147686698</v>
      </c>
      <c r="BH65" s="154">
        <f t="shared" si="28"/>
        <v>0.9603941759623128</v>
      </c>
      <c r="BI65" s="154">
        <f t="shared" si="28"/>
        <v>3.6097815257773389</v>
      </c>
      <c r="BJ65" s="154">
        <f t="shared" si="28"/>
        <v>2.8040728536118622</v>
      </c>
      <c r="BK65" s="154">
        <f t="shared" si="28"/>
        <v>2.0452019861096207</v>
      </c>
      <c r="BL65" s="154">
        <f t="shared" si="28"/>
        <v>1.0926641267635886</v>
      </c>
      <c r="BM65" s="154">
        <f t="shared" si="28"/>
        <v>4.0312263716216448</v>
      </c>
      <c r="BN65" s="154">
        <f t="shared" si="28"/>
        <v>2.7694246893427725</v>
      </c>
      <c r="BO65" s="154">
        <f t="shared" si="28"/>
        <v>1.7699771009286989</v>
      </c>
      <c r="BP65" s="154">
        <f t="shared" si="28"/>
        <v>0.74204685315783103</v>
      </c>
      <c r="BQ65" s="154">
        <f t="shared" si="28"/>
        <v>3.5350105313201898</v>
      </c>
      <c r="BR65" s="154">
        <f t="shared" ref="BR65:CK65" si="29">BR63/(BR64+BV64)*2</f>
        <v>2.0339029013759564</v>
      </c>
      <c r="BS65" s="154">
        <f t="shared" si="29"/>
        <v>5.0405939319859945</v>
      </c>
      <c r="BT65" s="154">
        <f t="shared" si="29"/>
        <v>2.3106050240876024</v>
      </c>
      <c r="BU65" s="154">
        <f t="shared" si="29"/>
        <v>4.6595544404250537</v>
      </c>
      <c r="BV65" s="154">
        <f t="shared" si="29"/>
        <v>3.3930507000227927</v>
      </c>
      <c r="BW65" s="154">
        <f t="shared" si="29"/>
        <v>3.8450809784439448</v>
      </c>
      <c r="BX65" s="154">
        <f t="shared" si="29"/>
        <v>4.7939320463452475</v>
      </c>
      <c r="BY65" s="154">
        <f t="shared" si="29"/>
        <v>6.6597822625616825</v>
      </c>
      <c r="BZ65" s="154" t="e">
        <f t="shared" si="29"/>
        <v>#DIV/0!</v>
      </c>
      <c r="CA65" s="154">
        <f t="shared" si="29"/>
        <v>3.9608751817816499</v>
      </c>
      <c r="CB65" s="154">
        <f t="shared" si="29"/>
        <v>5.8139163089354025</v>
      </c>
      <c r="CC65" s="154">
        <f t="shared" si="29"/>
        <v>8.5636130290890513</v>
      </c>
      <c r="CD65" s="154" t="e">
        <f t="shared" si="29"/>
        <v>#DIV/0!</v>
      </c>
      <c r="CE65" s="154">
        <f t="shared" si="29"/>
        <v>11.166154416513148</v>
      </c>
      <c r="CF65" s="154">
        <f t="shared" si="29"/>
        <v>11.975537905761048</v>
      </c>
      <c r="CG65" s="154" t="e">
        <f t="shared" si="29"/>
        <v>#DIV/0!</v>
      </c>
      <c r="CH65" s="154" t="e">
        <f t="shared" si="29"/>
        <v>#DIV/0!</v>
      </c>
      <c r="CI65" s="154" t="e">
        <f t="shared" si="29"/>
        <v>#DIV/0!</v>
      </c>
      <c r="CJ65" s="154" t="e">
        <f t="shared" si="29"/>
        <v>#DIV/0!</v>
      </c>
      <c r="CK65" s="154" t="e">
        <f t="shared" si="29"/>
        <v>#DIV/0!</v>
      </c>
    </row>
    <row r="66" spans="1:89" s="83" customFormat="1">
      <c r="A66" s="147" t="s">
        <v>474</v>
      </c>
      <c r="E66" s="83">
        <f>E62/E65</f>
        <v>91.58833581164501</v>
      </c>
      <c r="F66" s="83">
        <f t="shared" ref="F66:BQ66" si="30">F62/F65</f>
        <v>114.37836455854328</v>
      </c>
      <c r="G66" s="83">
        <f t="shared" si="30"/>
        <v>161.07378354382436</v>
      </c>
      <c r="H66" s="83">
        <f t="shared" si="30"/>
        <v>307.20777301029943</v>
      </c>
      <c r="I66" s="83">
        <f t="shared" si="30"/>
        <v>89.757664743548474</v>
      </c>
      <c r="J66" s="83">
        <f t="shared" si="30"/>
        <v>118.34008113308832</v>
      </c>
      <c r="K66" s="83">
        <f t="shared" si="30"/>
        <v>173.30988681097168</v>
      </c>
      <c r="L66" s="83">
        <f t="shared" si="30"/>
        <v>287.01601940760577</v>
      </c>
      <c r="M66" s="83">
        <f t="shared" si="30"/>
        <v>78.891580643336596</v>
      </c>
      <c r="N66" s="83">
        <f t="shared" si="30"/>
        <v>116.67433562142112</v>
      </c>
      <c r="O66" s="83">
        <f t="shared" si="30"/>
        <v>124.48034075579724</v>
      </c>
      <c r="P66" s="83">
        <f t="shared" si="30"/>
        <v>233.33349731836748</v>
      </c>
      <c r="Q66" s="83">
        <f t="shared" si="30"/>
        <v>68.402243299701965</v>
      </c>
      <c r="R66" s="83">
        <f t="shared" si="30"/>
        <v>116.31851415148425</v>
      </c>
      <c r="S66" s="83">
        <f t="shared" si="30"/>
        <v>174.23085665600789</v>
      </c>
      <c r="T66" s="83">
        <f t="shared" si="30"/>
        <v>341.057238618773</v>
      </c>
      <c r="U66" s="83">
        <f t="shared" si="30"/>
        <v>85.064898132708194</v>
      </c>
      <c r="V66" s="83">
        <f t="shared" si="30"/>
        <v>143.68734824600941</v>
      </c>
      <c r="W66" s="83">
        <f t="shared" si="30"/>
        <v>202.55476474183197</v>
      </c>
      <c r="X66" s="83">
        <f t="shared" si="30"/>
        <v>357.93367090787478</v>
      </c>
      <c r="Y66" s="83">
        <f t="shared" si="30"/>
        <v>90.083809965755904</v>
      </c>
      <c r="Z66" s="83">
        <f t="shared" si="30"/>
        <v>123.7620921368852</v>
      </c>
      <c r="AA66" s="83">
        <f t="shared" si="30"/>
        <v>174.09351194794002</v>
      </c>
      <c r="AB66" s="83">
        <f t="shared" si="30"/>
        <v>307.72982087461901</v>
      </c>
      <c r="AC66" s="83">
        <f t="shared" si="30"/>
        <v>72.397685194153482</v>
      </c>
      <c r="AD66" s="83">
        <f t="shared" si="30"/>
        <v>79.881127465438951</v>
      </c>
      <c r="AE66" s="83">
        <f t="shared" si="30"/>
        <v>109.73404518849978</v>
      </c>
      <c r="AF66" s="83">
        <f t="shared" si="30"/>
        <v>185.71070818329426</v>
      </c>
      <c r="AG66" s="83">
        <f t="shared" si="30"/>
        <v>51.041424525030848</v>
      </c>
      <c r="AH66" s="83">
        <f t="shared" si="30"/>
        <v>72.700295323095418</v>
      </c>
      <c r="AI66" s="83">
        <f t="shared" si="30"/>
        <v>89.852162966249253</v>
      </c>
      <c r="AJ66" s="83">
        <f t="shared" si="30"/>
        <v>145.96894188029836</v>
      </c>
      <c r="AK66" s="83">
        <f t="shared" si="30"/>
        <v>42.820166933468528</v>
      </c>
      <c r="AL66" s="83">
        <f t="shared" si="30"/>
        <v>97.019219926765075</v>
      </c>
      <c r="AM66" s="83">
        <f t="shared" si="30"/>
        <v>138.09089552182081</v>
      </c>
      <c r="AN66" s="83">
        <f t="shared" si="30"/>
        <v>406.85963129318134</v>
      </c>
      <c r="AO66" s="83">
        <f t="shared" si="30"/>
        <v>110.91551564507985</v>
      </c>
      <c r="AP66" s="83">
        <f t="shared" si="30"/>
        <v>176.53407445870309</v>
      </c>
      <c r="AQ66" s="83">
        <f t="shared" si="30"/>
        <v>220.11698655242617</v>
      </c>
      <c r="AR66" s="83">
        <f t="shared" si="30"/>
        <v>517.88419592468927</v>
      </c>
      <c r="AS66" s="83">
        <f t="shared" si="30"/>
        <v>110.56486520022368</v>
      </c>
      <c r="AT66" s="83">
        <f t="shared" si="30"/>
        <v>129.96313396052847</v>
      </c>
      <c r="AU66" s="83">
        <f t="shared" si="30"/>
        <v>214.41673930257107</v>
      </c>
      <c r="AV66" s="83">
        <f t="shared" si="30"/>
        <v>421.96103830702572</v>
      </c>
      <c r="AW66" s="83">
        <f t="shared" si="30"/>
        <v>112.20242842852377</v>
      </c>
      <c r="AX66" s="83">
        <f t="shared" si="30"/>
        <v>130.45695594683838</v>
      </c>
      <c r="AY66" s="83">
        <f t="shared" si="30"/>
        <v>248.3175183545394</v>
      </c>
      <c r="AZ66" s="83">
        <f t="shared" si="30"/>
        <v>569.27409819223965</v>
      </c>
      <c r="BA66" s="83">
        <f t="shared" si="30"/>
        <v>143.07646840796784</v>
      </c>
      <c r="BB66" s="83">
        <f t="shared" si="30"/>
        <v>154.06021549666823</v>
      </c>
      <c r="BC66" s="83">
        <f t="shared" si="30"/>
        <v>247.54212539758353</v>
      </c>
      <c r="BD66" s="83">
        <f t="shared" si="30"/>
        <v>505.91536534999528</v>
      </c>
      <c r="BE66" s="83">
        <f t="shared" si="30"/>
        <v>117.8356219465733</v>
      </c>
      <c r="BF66" s="83">
        <f t="shared" si="30"/>
        <v>139.77411093990611</v>
      </c>
      <c r="BG66" s="83">
        <f t="shared" si="30"/>
        <v>196.06168321074361</v>
      </c>
      <c r="BH66" s="83">
        <f t="shared" si="30"/>
        <v>380.05228388049193</v>
      </c>
      <c r="BI66" s="83">
        <f t="shared" si="30"/>
        <v>101.11415258611808</v>
      </c>
      <c r="BJ66" s="83">
        <f t="shared" si="30"/>
        <v>130.16780199909994</v>
      </c>
      <c r="BK66" s="83">
        <f t="shared" si="30"/>
        <v>178.4664803178205</v>
      </c>
      <c r="BL66" s="83">
        <f t="shared" si="30"/>
        <v>334.0459259709661</v>
      </c>
      <c r="BM66" s="83">
        <f t="shared" si="30"/>
        <v>90.543166359861644</v>
      </c>
      <c r="BN66" s="83">
        <f t="shared" si="30"/>
        <v>131.79632629281576</v>
      </c>
      <c r="BO66" s="83">
        <f t="shared" si="30"/>
        <v>206.21735716721204</v>
      </c>
      <c r="BP66" s="83">
        <f t="shared" si="30"/>
        <v>491.88268698494926</v>
      </c>
      <c r="BQ66" s="83">
        <f t="shared" si="30"/>
        <v>103.25287485457267</v>
      </c>
      <c r="BR66" s="83">
        <f t="shared" ref="BR66:CJ66" si="31">BR62/BR65</f>
        <v>179.4579277865594</v>
      </c>
      <c r="BS66" s="83">
        <f t="shared" si="31"/>
        <v>72.412101614420266</v>
      </c>
      <c r="BT66" s="83">
        <f t="shared" si="31"/>
        <v>157.96728397754998</v>
      </c>
      <c r="BU66" s="83">
        <f t="shared" si="31"/>
        <v>78.333670025047283</v>
      </c>
      <c r="BV66" s="83">
        <f t="shared" si="31"/>
        <v>107.57281050871067</v>
      </c>
      <c r="BW66" s="83">
        <f t="shared" si="31"/>
        <v>94.9264793241652</v>
      </c>
      <c r="BX66" s="83">
        <f t="shared" si="31"/>
        <v>76.137916948210659</v>
      </c>
      <c r="BY66" s="83">
        <f t="shared" si="31"/>
        <v>54.806596613806242</v>
      </c>
      <c r="BZ66" s="83" t="e">
        <f t="shared" si="31"/>
        <v>#DIV/0!</v>
      </c>
      <c r="CA66" s="83">
        <f t="shared" si="31"/>
        <v>92.151351216227553</v>
      </c>
      <c r="CB66" s="83">
        <f t="shared" si="31"/>
        <v>62.780401472073457</v>
      </c>
      <c r="CC66" s="83">
        <f t="shared" si="31"/>
        <v>42.622196818114119</v>
      </c>
      <c r="CD66" s="83" t="e">
        <f t="shared" si="31"/>
        <v>#DIV/0!</v>
      </c>
      <c r="CE66" s="83">
        <f t="shared" si="31"/>
        <v>32.688066668701723</v>
      </c>
      <c r="CF66" s="83">
        <f t="shared" si="31"/>
        <v>30.478797935615919</v>
      </c>
      <c r="CG66" s="83" t="e">
        <f t="shared" si="31"/>
        <v>#DIV/0!</v>
      </c>
      <c r="CH66" s="83" t="e">
        <f t="shared" si="31"/>
        <v>#DIV/0!</v>
      </c>
      <c r="CI66" s="83" t="e">
        <f t="shared" si="31"/>
        <v>#DIV/0!</v>
      </c>
      <c r="CJ66" s="83" t="e">
        <f t="shared" si="31"/>
        <v>#DIV/0!</v>
      </c>
    </row>
    <row r="67" spans="1:89" s="76" customFormat="1">
      <c r="A67" s="146" t="s">
        <v>475</v>
      </c>
      <c r="E67" s="76">
        <f>股权价值增加表!E5</f>
        <v>11090998905.58</v>
      </c>
      <c r="F67" s="76">
        <f>股权价值增加表!F5</f>
        <v>7957111655.1599998</v>
      </c>
      <c r="G67" s="76">
        <f>股权价值增加表!G5</f>
        <v>4831519743.2299995</v>
      </c>
      <c r="H67" s="76">
        <f>股权价值增加表!H5</f>
        <v>2233500029.1700001</v>
      </c>
      <c r="I67" s="76">
        <f>股权价值增加表!I5</f>
        <v>8569738675.75</v>
      </c>
      <c r="J67" s="76">
        <f>股权价值增加表!J5</f>
        <v>6219877948.6300001</v>
      </c>
      <c r="K67" s="76">
        <f>股权价值增加表!K5</f>
        <v>3981758424</v>
      </c>
      <c r="L67" s="76">
        <f>股权价值增加表!L5</f>
        <v>1973339656.6500001</v>
      </c>
      <c r="M67" s="76">
        <f>股权价值增加表!M5</f>
        <v>8809723501</v>
      </c>
      <c r="N67" s="76">
        <f>股权价值增加表!N5</f>
        <v>6474105825.6199999</v>
      </c>
      <c r="O67" s="76">
        <f>股权价值增加表!O5</f>
        <v>4290191837</v>
      </c>
      <c r="P67" s="76">
        <f>股权价值增加表!P5</f>
        <v>2018137160.51</v>
      </c>
      <c r="Q67" s="76">
        <f>股权价值增加表!Q5</f>
        <v>7583469512</v>
      </c>
      <c r="R67" s="76">
        <f>股权价值增加表!R5</f>
        <v>5200557948.0799999</v>
      </c>
      <c r="S67" s="76">
        <f>股权价值增加表!S5</f>
        <v>1978256079</v>
      </c>
      <c r="T67" s="76">
        <f>股权价值增加表!T5</f>
        <v>949721061.24000001</v>
      </c>
      <c r="U67" s="76">
        <f>股权价值增加表!U5</f>
        <v>3699343634</v>
      </c>
      <c r="V67" s="76">
        <f>股权价值增加表!V5</f>
        <v>2903216446</v>
      </c>
      <c r="W67" s="76">
        <f>股权价值增加表!W5</f>
        <v>1879321834</v>
      </c>
      <c r="X67" s="76">
        <f>股权价值增加表!X5</f>
        <v>889651839.38</v>
      </c>
      <c r="Y67" s="76">
        <f>股权价值增加表!Y5</f>
        <v>3710965307</v>
      </c>
      <c r="Z67" s="76">
        <f>股权价值增加表!Z5</f>
        <v>2842770554</v>
      </c>
      <c r="AA67" s="76">
        <f>股权价值增加表!AA5</f>
        <v>1950502608</v>
      </c>
      <c r="AB67" s="76">
        <f>股权价值增加表!AB5</f>
        <v>893446570.84000003</v>
      </c>
      <c r="AC67" s="76">
        <f>股权价值增加表!AC5</f>
        <v>4067266812</v>
      </c>
      <c r="AD67" s="76">
        <f>股权价值增加表!AD5</f>
        <v>2923463345.8800001</v>
      </c>
      <c r="AE67" s="76">
        <f>股权价值增加表!AE5</f>
        <v>1814607570</v>
      </c>
      <c r="AF67" s="76">
        <f>股权价值增加表!AF5</f>
        <v>885449169.89999998</v>
      </c>
      <c r="AG67" s="76">
        <f>股权价值增加表!AG5</f>
        <v>2903758242</v>
      </c>
      <c r="AH67" s="76">
        <f>股权价值增加表!AH5</f>
        <v>1931085020.97</v>
      </c>
      <c r="AI67" s="76">
        <f>股权价值增加表!AI5</f>
        <v>1234888962.49</v>
      </c>
      <c r="AJ67" s="76">
        <f>股权价值增加表!AJ5</f>
        <v>570656934.16999996</v>
      </c>
      <c r="AK67" s="76">
        <f>股权价值增加表!AK5</f>
        <v>2103463504.24</v>
      </c>
      <c r="AL67" s="76">
        <f>股权价值增加表!AL5</f>
        <v>1539537001.5</v>
      </c>
      <c r="AM67" s="76">
        <f>股权价值增加表!AM5</f>
        <v>913852280.34000003</v>
      </c>
      <c r="AN67" s="76">
        <f>股权价值增加表!AN5</f>
        <v>385272873.02999997</v>
      </c>
      <c r="AO67" s="76">
        <f>股权价值增加表!AO5</f>
        <v>1212670645.51</v>
      </c>
      <c r="AP67" s="76">
        <f>股权价值增加表!AP5</f>
        <v>897299345.59000003</v>
      </c>
      <c r="AQ67" s="76">
        <f>股权价值增加表!AQ5</f>
        <v>580463331.17999995</v>
      </c>
      <c r="AR67" s="76">
        <f>股权价值增加表!AR5</f>
        <v>292928793.81</v>
      </c>
      <c r="AS67" s="76">
        <f>股权价值增加表!AS5</f>
        <v>1447665821.4400001</v>
      </c>
      <c r="AT67" s="76">
        <f>股权价值增加表!AT5</f>
        <v>1038589737.84</v>
      </c>
      <c r="AU67" s="76">
        <f>股权价值增加表!AU5</f>
        <v>639585374.01999998</v>
      </c>
      <c r="AV67" s="76">
        <f>股权价值增加表!AV5</f>
        <v>294623899.29000002</v>
      </c>
      <c r="AW67" s="76">
        <f>股权价值增加表!AW5</f>
        <v>1232007100.49</v>
      </c>
      <c r="AX67" s="76">
        <f>股权价值增加表!AX5</f>
        <v>821974717.88</v>
      </c>
      <c r="AY67" s="76">
        <f>股权价值增加表!AY5</f>
        <v>518568112.83999997</v>
      </c>
      <c r="AZ67" s="76">
        <f>股权价值增加表!AZ5</f>
        <v>204774076</v>
      </c>
      <c r="BA67" s="76">
        <f>股权价值增加表!BA5</f>
        <v>914092649.19000006</v>
      </c>
      <c r="BB67" s="76">
        <f>股权价值增加表!BB5</f>
        <v>632616397.76999998</v>
      </c>
      <c r="BC67" s="76">
        <f>股权价值增加表!BC5</f>
        <v>433922447.14999998</v>
      </c>
      <c r="BD67" s="76">
        <f>股权价值增加表!BD5</f>
        <v>192465803.43000001</v>
      </c>
      <c r="BE67" s="76">
        <f>股权价值增加表!BE5</f>
        <v>851118025.92999995</v>
      </c>
      <c r="BF67" s="76">
        <f>股权价值增加表!BF5</f>
        <v>529052950.43000001</v>
      </c>
      <c r="BG67" s="76">
        <f>股权价值增加表!BG5</f>
        <v>349747987.5</v>
      </c>
      <c r="BH67" s="76">
        <f>股权价值增加表!BH5</f>
        <v>139734767.99000001</v>
      </c>
      <c r="BI67" s="76">
        <f>股权价值增加表!BI5</f>
        <v>498281218.69999999</v>
      </c>
      <c r="BJ67" s="76">
        <f>股权价值增加表!BJ5</f>
        <v>354609679.56999999</v>
      </c>
      <c r="BK67" s="76">
        <f>股权价值增加表!BK5</f>
        <v>197952959.43000001</v>
      </c>
      <c r="BL67" s="76">
        <f>股权价值增加表!BL5</f>
        <v>79725639.400000006</v>
      </c>
      <c r="BM67" s="76">
        <f>股权价值增加表!BM5</f>
        <v>257169236.63999999</v>
      </c>
      <c r="BN67" s="76">
        <f>股权价值增加表!BN5</f>
        <v>188066429.68000001</v>
      </c>
      <c r="BO67" s="76">
        <f>股权价值增加表!BO5</f>
        <v>116288685.59</v>
      </c>
      <c r="BP67" s="76">
        <f>股权价值增加表!BP5</f>
        <v>48795219.490000002</v>
      </c>
      <c r="BQ67" s="76">
        <f>股权价值增加表!BQ5</f>
        <v>228096073.81999999</v>
      </c>
      <c r="BR67" s="76">
        <f>股权价值增加表!BR5</f>
        <v>116264848.81</v>
      </c>
      <c r="BS67" s="76">
        <f>股权价值增加表!BS5</f>
        <v>245698330.44999999</v>
      </c>
      <c r="BT67" s="76">
        <f>股权价值增加表!BT5</f>
        <v>121763071.65000001</v>
      </c>
      <c r="BU67" s="76">
        <f>股权价值增加表!BU5</f>
        <v>215152248.36000001</v>
      </c>
      <c r="BV67" s="76">
        <f>股权价值增加表!BV5</f>
        <v>98777194.159999996</v>
      </c>
      <c r="BW67" s="76">
        <f>股权价值增加表!BW5</f>
        <v>121967726.47</v>
      </c>
      <c r="BX67" s="76">
        <f>股权价值增加表!BX5</f>
        <v>68453618.700000003</v>
      </c>
      <c r="BY67" s="76">
        <f>股权价值增加表!BY5</f>
        <v>147121164.18000001</v>
      </c>
      <c r="BZ67" s="76">
        <f>股权价值增加表!BZ5</f>
        <v>0</v>
      </c>
      <c r="CA67" s="76">
        <f>股权价值增加表!CA5</f>
        <v>113422664.66</v>
      </c>
      <c r="CB67" s="76">
        <f>股权价值增加表!CB5</f>
        <v>0</v>
      </c>
      <c r="CC67" s="76">
        <f>股权价值增加表!CC5</f>
        <v>91668806.090000004</v>
      </c>
      <c r="CD67" s="76">
        <f>股权价值增加表!CD5</f>
        <v>0</v>
      </c>
      <c r="CE67" s="76">
        <f>股权价值增加表!CE5</f>
        <v>103241992.44</v>
      </c>
      <c r="CF67" s="76">
        <f>股权价值增加表!CF5</f>
        <v>91356905.969999999</v>
      </c>
      <c r="CG67" s="76">
        <f>股权价值增加表!CG5</f>
        <v>79129800</v>
      </c>
      <c r="CH67" s="76">
        <f>股权价值增加表!CH5</f>
        <v>43869100</v>
      </c>
      <c r="CI67" s="76">
        <f>股权价值增加表!CI5</f>
        <v>0</v>
      </c>
      <c r="CJ67" s="76">
        <f>股权价值增加表!CJ5</f>
        <v>0</v>
      </c>
      <c r="CK67" s="76">
        <f>股权价值增加表!CK5</f>
        <v>0</v>
      </c>
    </row>
    <row r="68" spans="1:89" s="76" customFormat="1">
      <c r="A68" s="146" t="s">
        <v>476</v>
      </c>
      <c r="E68" s="76">
        <f>资产资本表!E26</f>
        <v>1602881187.3699999</v>
      </c>
      <c r="F68" s="76">
        <f>资产资本表!F26</f>
        <v>1501072303.74</v>
      </c>
      <c r="G68" s="76">
        <f>资产资本表!G26</f>
        <v>1402869620.76</v>
      </c>
      <c r="H68" s="76">
        <f>资产资本表!H26</f>
        <v>1259837211.6700001</v>
      </c>
      <c r="I68" s="76">
        <f>资产资本表!I26</f>
        <v>1082076944.4300001</v>
      </c>
      <c r="J68" s="76">
        <f>资产资本表!J26</f>
        <v>1338784306.5999999</v>
      </c>
      <c r="K68" s="76">
        <f>资产资本表!K26</f>
        <v>1276089954</v>
      </c>
      <c r="L68" s="76">
        <f>资产资本表!L26</f>
        <v>1245849428.25</v>
      </c>
      <c r="M68" s="76">
        <f>资产资本表!M26</f>
        <v>1386952360</v>
      </c>
      <c r="N68" s="76">
        <f>资产资本表!N26</f>
        <v>1457131037.3199999</v>
      </c>
      <c r="O68" s="76">
        <f>资产资本表!O26</f>
        <v>1494593554</v>
      </c>
      <c r="P68" s="76">
        <f>资产资本表!P26</f>
        <v>1454558035.3099999</v>
      </c>
      <c r="Q68" s="76">
        <f>资产资本表!Q26</f>
        <v>1507631874</v>
      </c>
      <c r="R68" s="76">
        <f>资产资本表!R26</f>
        <v>1562086616.03</v>
      </c>
      <c r="S68" s="76">
        <f>资产资本表!S26</f>
        <v>540446777</v>
      </c>
      <c r="T68" s="76">
        <f>资产资本表!T26</f>
        <v>465614325.83999997</v>
      </c>
      <c r="U68" s="76">
        <f>资产资本表!U26</f>
        <v>514145967</v>
      </c>
      <c r="V68" s="76">
        <f>资产资本表!V26</f>
        <v>474724183</v>
      </c>
      <c r="W68" s="76">
        <f>资产资本表!W26</f>
        <v>458459969</v>
      </c>
      <c r="X68" s="76">
        <f>资产资本表!X26</f>
        <v>510574402.30000001</v>
      </c>
      <c r="Y68" s="76">
        <f>资产资本表!Y26</f>
        <v>512007522</v>
      </c>
      <c r="Z68" s="76">
        <f>资产资本表!Z26</f>
        <v>492772981</v>
      </c>
      <c r="AA68" s="76">
        <f>资产资本表!AA26</f>
        <v>425906195</v>
      </c>
      <c r="AB68" s="76">
        <f>资产资本表!AB26</f>
        <v>439996194.42000002</v>
      </c>
      <c r="AC68" s="76">
        <f>资产资本表!AC26</f>
        <v>441726323</v>
      </c>
      <c r="AD68" s="76">
        <f>资产资本表!AD26</f>
        <v>489012409.32999998</v>
      </c>
      <c r="AE68" s="76">
        <f>资产资本表!AE26</f>
        <v>647602722</v>
      </c>
      <c r="AF68" s="76">
        <f>资产资本表!AF26</f>
        <v>591887824.72000003</v>
      </c>
      <c r="AG68" s="76">
        <f>资产资本表!AG26</f>
        <v>497124627</v>
      </c>
      <c r="AH68" s="76">
        <f>资产资本表!AH26</f>
        <v>438706400.38999999</v>
      </c>
      <c r="AI68" s="76">
        <f>资产资本表!AI26</f>
        <v>380365185.16000003</v>
      </c>
      <c r="AJ68" s="76">
        <f>资产资本表!AJ26</f>
        <v>336121562.14999998</v>
      </c>
      <c r="AK68" s="76">
        <f>资产资本表!AK26</f>
        <v>277687544.02999997</v>
      </c>
      <c r="AL68" s="76">
        <f>资产资本表!AL26</f>
        <v>302897877.91000003</v>
      </c>
      <c r="AM68" s="76">
        <f>资产资本表!AM26</f>
        <v>328523098.20999998</v>
      </c>
      <c r="AN68" s="76">
        <f>资产资本表!AN26</f>
        <v>311070112.31</v>
      </c>
      <c r="AO68" s="76">
        <f>资产资本表!AO26</f>
        <v>334798422.24000001</v>
      </c>
      <c r="AP68" s="76">
        <f>资产资本表!AP26</f>
        <v>543622966.25999999</v>
      </c>
      <c r="AQ68" s="76">
        <f>资产资本表!AQ26</f>
        <v>560971644.51999998</v>
      </c>
      <c r="AR68" s="76">
        <f>资产资本表!AR26</f>
        <v>385544244.88999999</v>
      </c>
      <c r="AS68" s="76">
        <f>资产资本表!AS26</f>
        <v>317012927.07999998</v>
      </c>
      <c r="AT68" s="76">
        <f>资产资本表!AT26</f>
        <v>274001564.29000002</v>
      </c>
      <c r="AU68" s="76">
        <f>资产资本表!AU26</f>
        <v>261795854.00999999</v>
      </c>
      <c r="AV68" s="76">
        <f>资产资本表!AV26</f>
        <v>213481268.11000001</v>
      </c>
      <c r="AW68" s="76">
        <f>资产资本表!AW26</f>
        <v>202258611.91999999</v>
      </c>
      <c r="AX68" s="76">
        <f>资产资本表!AX26</f>
        <v>228801267.65000001</v>
      </c>
      <c r="AY68" s="76">
        <f>资产资本表!AY26</f>
        <v>220822699.78</v>
      </c>
      <c r="AZ68" s="76">
        <f>资产资本表!AZ26</f>
        <v>214421140.46000001</v>
      </c>
      <c r="BA68" s="76">
        <f>资产资本表!BA26</f>
        <v>206710042.36000001</v>
      </c>
      <c r="BB68" s="76">
        <f>资产资本表!BB26</f>
        <v>195098355.34999999</v>
      </c>
      <c r="BC68" s="76">
        <f>资产资本表!BC26</f>
        <v>216896007.91</v>
      </c>
      <c r="BD68" s="76">
        <f>资产资本表!BD26</f>
        <v>219322594.53999999</v>
      </c>
      <c r="BE68" s="76">
        <f>资产资本表!BE26</f>
        <v>243917278.03</v>
      </c>
      <c r="BF68" s="76">
        <f>资产资本表!BF26</f>
        <v>287512917.74000001</v>
      </c>
      <c r="BG68" s="76">
        <f>资产资本表!BG26</f>
        <v>244353402.96000001</v>
      </c>
      <c r="BH68" s="76">
        <f>资产资本表!BH26</f>
        <v>204729002.84999999</v>
      </c>
      <c r="BI68" s="76">
        <f>资产资本表!BI26</f>
        <v>184691486.18000001</v>
      </c>
      <c r="BJ68" s="76">
        <f>资产资本表!BJ26</f>
        <v>168730003.18000001</v>
      </c>
      <c r="BK68" s="76">
        <f>资产资本表!BK26</f>
        <v>180426564.21000001</v>
      </c>
      <c r="BL68" s="76">
        <f>资产资本表!BL26</f>
        <v>193027632.71000001</v>
      </c>
      <c r="BM68" s="76">
        <f>资产资本表!BM26</f>
        <v>177336403.5</v>
      </c>
      <c r="BN68" s="76">
        <f>资产资本表!BN26</f>
        <v>179777373.69</v>
      </c>
      <c r="BO68" s="76">
        <f>资产资本表!BO26</f>
        <v>171701445.5</v>
      </c>
      <c r="BP68" s="76">
        <f>资产资本表!BP26</f>
        <v>159206475.38</v>
      </c>
      <c r="BQ68" s="76">
        <f>资产资本表!BQ26</f>
        <v>169193245.99000001</v>
      </c>
      <c r="BR68" s="76">
        <f>资产资本表!BR26</f>
        <v>199332473.38999999</v>
      </c>
      <c r="BS68" s="76">
        <f>资产资本表!BS26</f>
        <v>205634710.5</v>
      </c>
      <c r="BT68" s="76">
        <f>资产资本表!BT26</f>
        <v>171525850.50999999</v>
      </c>
      <c r="BU68" s="76">
        <f>资产资本表!BU26</f>
        <v>146844752.84</v>
      </c>
      <c r="BV68" s="76">
        <f>资产资本表!BV26</f>
        <v>134768586.56</v>
      </c>
      <c r="BW68" s="76">
        <f>资产资本表!BW26</f>
        <v>79293410.75</v>
      </c>
      <c r="BX68" s="76">
        <f>资产资本表!BX26</f>
        <v>80000557.359999999</v>
      </c>
      <c r="BY68" s="76">
        <f>资产资本表!BY26</f>
        <v>92979222.510000005</v>
      </c>
      <c r="BZ68" s="76">
        <f>资产资本表!BZ26</f>
        <v>0</v>
      </c>
      <c r="CA68" s="76">
        <f>资产资本表!CA26</f>
        <v>67395705.099999994</v>
      </c>
      <c r="CB68" s="76">
        <f>资产资本表!CB26</f>
        <v>0</v>
      </c>
      <c r="CC68" s="76">
        <f>资产资本表!CC26</f>
        <v>72545459.629999995</v>
      </c>
      <c r="CD68" s="76">
        <f>资产资本表!CD26</f>
        <v>0</v>
      </c>
      <c r="CE68" s="76">
        <f>资产资本表!CE26</f>
        <v>48126125.93</v>
      </c>
      <c r="CF68" s="76">
        <f>资产资本表!CF26</f>
        <v>54055412.979999997</v>
      </c>
      <c r="CG68" s="76">
        <f>资产资本表!CG26</f>
        <v>0</v>
      </c>
      <c r="CH68" s="76">
        <f>资产资本表!CH26</f>
        <v>0</v>
      </c>
      <c r="CI68" s="76">
        <f>资产资本表!CI26</f>
        <v>0</v>
      </c>
      <c r="CJ68" s="76">
        <f>资产资本表!CJ26</f>
        <v>0</v>
      </c>
    </row>
    <row r="69" spans="1:89" s="154" customFormat="1">
      <c r="A69" s="153" t="s">
        <v>477</v>
      </c>
      <c r="E69" s="154">
        <f>E67/(E68+I68)*2</f>
        <v>8.2615805246427261</v>
      </c>
      <c r="F69" s="154">
        <f t="shared" ref="F69:BQ69" si="32">F67/(F68+J68)*2</f>
        <v>5.6038826933641124</v>
      </c>
      <c r="G69" s="154">
        <f t="shared" si="32"/>
        <v>3.6070120570317608</v>
      </c>
      <c r="H69" s="154">
        <f t="shared" si="32"/>
        <v>1.7827448920279272</v>
      </c>
      <c r="I69" s="154">
        <f t="shared" si="32"/>
        <v>6.9417877385043099</v>
      </c>
      <c r="J69" s="154">
        <f t="shared" si="32"/>
        <v>4.4492605701783869</v>
      </c>
      <c r="K69" s="154">
        <f t="shared" si="32"/>
        <v>2.874206608227301</v>
      </c>
      <c r="L69" s="154">
        <f t="shared" si="32"/>
        <v>1.4615125185948847</v>
      </c>
      <c r="M69" s="154">
        <f t="shared" si="32"/>
        <v>6.0870389588392957</v>
      </c>
      <c r="N69" s="154">
        <f t="shared" si="32"/>
        <v>4.2885982853449454</v>
      </c>
      <c r="O69" s="154">
        <f t="shared" si="32"/>
        <v>4.2163211919164665</v>
      </c>
      <c r="P69" s="154">
        <f t="shared" si="32"/>
        <v>2.1020375059469436</v>
      </c>
      <c r="Q69" s="154">
        <f t="shared" si="32"/>
        <v>7.5017831912225414</v>
      </c>
      <c r="R69" s="154">
        <f t="shared" si="32"/>
        <v>5.1065694963485919</v>
      </c>
      <c r="S69" s="154">
        <f t="shared" si="32"/>
        <v>3.9608423647586419</v>
      </c>
      <c r="T69" s="154">
        <f t="shared" si="32"/>
        <v>1.9457734633948691</v>
      </c>
      <c r="U69" s="154">
        <f t="shared" si="32"/>
        <v>7.2101175382740426</v>
      </c>
      <c r="V69" s="154">
        <f t="shared" si="32"/>
        <v>6.0014986173127429</v>
      </c>
      <c r="W69" s="154">
        <f t="shared" si="32"/>
        <v>4.2500989081260236</v>
      </c>
      <c r="X69" s="154">
        <f t="shared" si="32"/>
        <v>1.8718269688748972</v>
      </c>
      <c r="Y69" s="154">
        <f t="shared" si="32"/>
        <v>7.7819725627960699</v>
      </c>
      <c r="Z69" s="154">
        <f t="shared" si="32"/>
        <v>5.7910223191332708</v>
      </c>
      <c r="AA69" s="154">
        <f t="shared" si="32"/>
        <v>3.6338824524174864</v>
      </c>
      <c r="AB69" s="154">
        <f t="shared" si="32"/>
        <v>1.7316802165123604</v>
      </c>
      <c r="AC69" s="154">
        <f t="shared" si="32"/>
        <v>8.6643504211184954</v>
      </c>
      <c r="AD69" s="154">
        <f t="shared" si="32"/>
        <v>6.3024772490327035</v>
      </c>
      <c r="AE69" s="154">
        <f t="shared" si="32"/>
        <v>3.530475139079535</v>
      </c>
      <c r="AF69" s="154">
        <f t="shared" si="32"/>
        <v>1.9082763222610333</v>
      </c>
      <c r="AG69" s="154">
        <f t="shared" si="32"/>
        <v>7.4953862382927623</v>
      </c>
      <c r="AH69" s="154">
        <f t="shared" si="32"/>
        <v>5.2078583618656564</v>
      </c>
      <c r="AI69" s="154">
        <f t="shared" si="32"/>
        <v>3.4840157228144144</v>
      </c>
      <c r="AJ69" s="154">
        <f t="shared" si="32"/>
        <v>1.763486635226392</v>
      </c>
      <c r="AK69" s="154">
        <f t="shared" si="32"/>
        <v>6.8686096337846143</v>
      </c>
      <c r="AL69" s="154">
        <f t="shared" si="32"/>
        <v>3.637328040066139</v>
      </c>
      <c r="AM69" s="154">
        <f t="shared" si="32"/>
        <v>2.0547671311361388</v>
      </c>
      <c r="AN69" s="154">
        <f t="shared" si="32"/>
        <v>1.1061295795813952</v>
      </c>
      <c r="AO69" s="154">
        <f t="shared" si="32"/>
        <v>3.7209252240701689</v>
      </c>
      <c r="AP69" s="154">
        <f t="shared" si="32"/>
        <v>2.1948934066016936</v>
      </c>
      <c r="AQ69" s="154">
        <f t="shared" si="32"/>
        <v>1.4110020928563332</v>
      </c>
      <c r="AR69" s="154">
        <f t="shared" si="32"/>
        <v>0.97801775534725843</v>
      </c>
      <c r="AS69" s="154">
        <f t="shared" si="32"/>
        <v>5.5757564692564445</v>
      </c>
      <c r="AT69" s="154">
        <f t="shared" si="32"/>
        <v>4.1312008280969108</v>
      </c>
      <c r="AU69" s="154">
        <f t="shared" si="32"/>
        <v>2.6504798416776176</v>
      </c>
      <c r="AV69" s="154">
        <f t="shared" si="32"/>
        <v>1.3770611868000404</v>
      </c>
      <c r="AW69" s="154">
        <f t="shared" si="32"/>
        <v>6.0249463502721534</v>
      </c>
      <c r="AX69" s="154">
        <f t="shared" si="32"/>
        <v>3.8781573433010577</v>
      </c>
      <c r="AY69" s="154">
        <f t="shared" si="32"/>
        <v>2.3694126101060271</v>
      </c>
      <c r="AZ69" s="154">
        <f t="shared" si="32"/>
        <v>0.94421687036009871</v>
      </c>
      <c r="BA69" s="154">
        <f t="shared" si="32"/>
        <v>4.0569783847055225</v>
      </c>
      <c r="BB69" s="154">
        <f t="shared" si="32"/>
        <v>2.6216395390831502</v>
      </c>
      <c r="BC69" s="154">
        <f t="shared" si="32"/>
        <v>1.8815089490587904</v>
      </c>
      <c r="BD69" s="154">
        <f t="shared" si="32"/>
        <v>0.90774709782776419</v>
      </c>
      <c r="BE69" s="154">
        <f t="shared" si="32"/>
        <v>3.9715381345444833</v>
      </c>
      <c r="BF69" s="154">
        <f t="shared" si="32"/>
        <v>2.3191722048560481</v>
      </c>
      <c r="BG69" s="154">
        <f t="shared" si="32"/>
        <v>1.6467254321342717</v>
      </c>
      <c r="BH69" s="154">
        <f t="shared" si="32"/>
        <v>0.70261439029555339</v>
      </c>
      <c r="BI69" s="154">
        <f t="shared" si="32"/>
        <v>2.7527228310527989</v>
      </c>
      <c r="BJ69" s="154">
        <f t="shared" si="32"/>
        <v>2.0350196472442317</v>
      </c>
      <c r="BK69" s="154">
        <f t="shared" si="32"/>
        <v>1.1243238479837314</v>
      </c>
      <c r="BL69" s="154">
        <f t="shared" si="32"/>
        <v>0.45268551550736902</v>
      </c>
      <c r="BM69" s="154">
        <f t="shared" si="32"/>
        <v>1.4842553127473224</v>
      </c>
      <c r="BN69" s="154">
        <f t="shared" si="32"/>
        <v>0.99214742707706094</v>
      </c>
      <c r="BO69" s="154">
        <f t="shared" si="32"/>
        <v>0.61636651426533329</v>
      </c>
      <c r="BP69" s="154">
        <f t="shared" si="32"/>
        <v>0.29507378426763803</v>
      </c>
      <c r="BQ69" s="154">
        <f t="shared" si="32"/>
        <v>1.4434724600486737</v>
      </c>
      <c r="BR69" s="154">
        <f t="shared" ref="BR69:CJ69" si="33">BR67/(BR68+BV68)*2</f>
        <v>0.69598611167171787</v>
      </c>
      <c r="BS69" s="154">
        <f t="shared" si="33"/>
        <v>1.7246337734029473</v>
      </c>
      <c r="BT69" s="154">
        <f t="shared" si="33"/>
        <v>0.9681931426693976</v>
      </c>
      <c r="BU69" s="154">
        <f t="shared" si="33"/>
        <v>1.7942513716237587</v>
      </c>
      <c r="BV69" s="154">
        <f t="shared" si="33"/>
        <v>1.4658786098646754</v>
      </c>
      <c r="BW69" s="154">
        <f t="shared" si="33"/>
        <v>1.6629417358370424</v>
      </c>
      <c r="BX69" s="154">
        <f t="shared" si="33"/>
        <v>1.7113285446740294</v>
      </c>
      <c r="BY69" s="154">
        <f t="shared" si="33"/>
        <v>1.777634154350052</v>
      </c>
      <c r="BZ69" s="154" t="e">
        <f t="shared" si="33"/>
        <v>#DIV/0!</v>
      </c>
      <c r="CA69" s="154">
        <f t="shared" si="33"/>
        <v>1.9636576679700504</v>
      </c>
      <c r="CB69" s="154">
        <f t="shared" si="33"/>
        <v>0</v>
      </c>
      <c r="CC69" s="154">
        <f t="shared" si="33"/>
        <v>2.5272100158310074</v>
      </c>
      <c r="CD69" s="154" t="e">
        <f t="shared" si="33"/>
        <v>#DIV/0!</v>
      </c>
      <c r="CE69" s="154">
        <f t="shared" si="33"/>
        <v>4.2904759294428416</v>
      </c>
      <c r="CF69" s="154">
        <f t="shared" si="33"/>
        <v>3.380120544220103</v>
      </c>
      <c r="CG69" s="154" t="e">
        <f t="shared" si="33"/>
        <v>#DIV/0!</v>
      </c>
      <c r="CH69" s="154" t="e">
        <f t="shared" si="33"/>
        <v>#DIV/0!</v>
      </c>
      <c r="CI69" s="154" t="e">
        <f t="shared" si="33"/>
        <v>#DIV/0!</v>
      </c>
      <c r="CJ69" s="154" t="e">
        <f t="shared" si="33"/>
        <v>#DIV/0!</v>
      </c>
    </row>
    <row r="70" spans="1:89" s="83" customFormat="1">
      <c r="A70" s="147" t="s">
        <v>478</v>
      </c>
      <c r="E70" s="83">
        <f>E62/E69</f>
        <v>44.180408205339681</v>
      </c>
      <c r="F70" s="83">
        <f t="shared" ref="F70:BQ70" si="34">F62/F69</f>
        <v>65.133411952433974</v>
      </c>
      <c r="G70" s="83">
        <f t="shared" si="34"/>
        <v>101.19178816950266</v>
      </c>
      <c r="H70" s="83">
        <f t="shared" si="34"/>
        <v>204.74045480775507</v>
      </c>
      <c r="I70" s="83">
        <f t="shared" si="34"/>
        <v>52.580115346287378</v>
      </c>
      <c r="J70" s="83">
        <f t="shared" si="34"/>
        <v>82.036103357589113</v>
      </c>
      <c r="K70" s="83">
        <f t="shared" si="34"/>
        <v>126.99156663101468</v>
      </c>
      <c r="L70" s="83">
        <f t="shared" si="34"/>
        <v>249.74127512155371</v>
      </c>
      <c r="M70" s="83">
        <f t="shared" si="34"/>
        <v>59.963473614698181</v>
      </c>
      <c r="N70" s="83">
        <f t="shared" si="34"/>
        <v>85.109393725983338</v>
      </c>
      <c r="O70" s="83">
        <f t="shared" si="34"/>
        <v>86.568357434385746</v>
      </c>
      <c r="P70" s="83">
        <f t="shared" si="34"/>
        <v>173.64105015603502</v>
      </c>
      <c r="Q70" s="83">
        <f t="shared" si="34"/>
        <v>48.655098487392721</v>
      </c>
      <c r="R70" s="83">
        <f t="shared" si="34"/>
        <v>71.476555887663935</v>
      </c>
      <c r="S70" s="83">
        <f t="shared" si="34"/>
        <v>92.152114723768278</v>
      </c>
      <c r="T70" s="83">
        <f t="shared" si="34"/>
        <v>187.58607148602482</v>
      </c>
      <c r="U70" s="83">
        <f t="shared" si="34"/>
        <v>50.623307881243456</v>
      </c>
      <c r="V70" s="83">
        <f t="shared" si="34"/>
        <v>60.818142813041916</v>
      </c>
      <c r="W70" s="83">
        <f t="shared" si="34"/>
        <v>85.880354290610555</v>
      </c>
      <c r="X70" s="83">
        <f t="shared" si="34"/>
        <v>194.99665624509689</v>
      </c>
      <c r="Y70" s="83">
        <f t="shared" si="34"/>
        <v>46.903275108548463</v>
      </c>
      <c r="Z70" s="83">
        <f t="shared" si="34"/>
        <v>63.028594932894116</v>
      </c>
      <c r="AA70" s="83">
        <f t="shared" si="34"/>
        <v>100.44353519392988</v>
      </c>
      <c r="AB70" s="83">
        <f t="shared" si="34"/>
        <v>210.77794648201129</v>
      </c>
      <c r="AC70" s="83">
        <f t="shared" si="34"/>
        <v>42.126643344242943</v>
      </c>
      <c r="AD70" s="83">
        <f t="shared" si="34"/>
        <v>57.913735437286945</v>
      </c>
      <c r="AE70" s="83">
        <f t="shared" si="34"/>
        <v>103.38551770546181</v>
      </c>
      <c r="AF70" s="83">
        <f t="shared" si="34"/>
        <v>191.27208976084106</v>
      </c>
      <c r="AG70" s="83">
        <f t="shared" si="34"/>
        <v>48.696623282102763</v>
      </c>
      <c r="AH70" s="83">
        <f t="shared" si="34"/>
        <v>70.086391494956644</v>
      </c>
      <c r="AI70" s="83">
        <f t="shared" si="34"/>
        <v>104.76416556040977</v>
      </c>
      <c r="AJ70" s="83">
        <f t="shared" si="34"/>
        <v>206.97633467074289</v>
      </c>
      <c r="AK70" s="83">
        <f t="shared" si="34"/>
        <v>53.140303418129243</v>
      </c>
      <c r="AL70" s="83">
        <f t="shared" si="34"/>
        <v>100.34838650224219</v>
      </c>
      <c r="AM70" s="83">
        <f t="shared" si="34"/>
        <v>177.63570113085331</v>
      </c>
      <c r="AN70" s="83">
        <f t="shared" si="34"/>
        <v>329.97942260809168</v>
      </c>
      <c r="AO70" s="83">
        <f t="shared" si="34"/>
        <v>98.093882037420073</v>
      </c>
      <c r="AP70" s="83">
        <f t="shared" si="34"/>
        <v>166.29509155304342</v>
      </c>
      <c r="AQ70" s="83">
        <f t="shared" si="34"/>
        <v>258.68140227993547</v>
      </c>
      <c r="AR70" s="83">
        <f t="shared" si="34"/>
        <v>373.20385852340871</v>
      </c>
      <c r="AS70" s="83">
        <f t="shared" si="34"/>
        <v>65.461969512573532</v>
      </c>
      <c r="AT70" s="83">
        <f t="shared" si="34"/>
        <v>88.352034962227151</v>
      </c>
      <c r="AU70" s="83">
        <f t="shared" si="34"/>
        <v>137.71091342048229</v>
      </c>
      <c r="AV70" s="83">
        <f t="shared" si="34"/>
        <v>265.05721277946435</v>
      </c>
      <c r="AW70" s="83">
        <f t="shared" si="34"/>
        <v>60.581452311772459</v>
      </c>
      <c r="AX70" s="83">
        <f t="shared" si="34"/>
        <v>94.116862130538209</v>
      </c>
      <c r="AY70" s="83">
        <f t="shared" si="34"/>
        <v>154.04661832354597</v>
      </c>
      <c r="AZ70" s="83">
        <f t="shared" si="34"/>
        <v>386.56373494025678</v>
      </c>
      <c r="BA70" s="83">
        <f t="shared" si="34"/>
        <v>89.968435961113386</v>
      </c>
      <c r="BB70" s="83">
        <f t="shared" si="34"/>
        <v>139.22585258522963</v>
      </c>
      <c r="BC70" s="83">
        <f t="shared" si="34"/>
        <v>193.99323090256269</v>
      </c>
      <c r="BD70" s="83">
        <f t="shared" si="34"/>
        <v>402.09437284177915</v>
      </c>
      <c r="BE70" s="83">
        <f t="shared" si="34"/>
        <v>91.903939389433503</v>
      </c>
      <c r="BF70" s="83">
        <f t="shared" si="34"/>
        <v>157.38374202473494</v>
      </c>
      <c r="BG70" s="83">
        <f t="shared" si="34"/>
        <v>221.65200881541884</v>
      </c>
      <c r="BH70" s="83">
        <f t="shared" si="34"/>
        <v>519.4883638043101</v>
      </c>
      <c r="BI70" s="83">
        <f t="shared" si="34"/>
        <v>132.59598673812107</v>
      </c>
      <c r="BJ70" s="83">
        <f t="shared" si="34"/>
        <v>179.35944770571285</v>
      </c>
      <c r="BK70" s="83">
        <f t="shared" si="34"/>
        <v>324.63956061641898</v>
      </c>
      <c r="BL70" s="83">
        <f t="shared" si="34"/>
        <v>806.29926846877072</v>
      </c>
      <c r="BM70" s="83">
        <f t="shared" si="34"/>
        <v>245.91456528081642</v>
      </c>
      <c r="BN70" s="83">
        <f t="shared" si="34"/>
        <v>367.88887421228998</v>
      </c>
      <c r="BO70" s="83">
        <f t="shared" si="34"/>
        <v>592.18012587048963</v>
      </c>
      <c r="BP70" s="83">
        <f t="shared" si="34"/>
        <v>1236.9787472171281</v>
      </c>
      <c r="BQ70" s="83">
        <f t="shared" si="34"/>
        <v>252.86246194658418</v>
      </c>
      <c r="BR70" s="83">
        <f t="shared" ref="BR70:CJ70" si="35">BR62/BR69</f>
        <v>524.43575220673779</v>
      </c>
      <c r="BS70" s="83">
        <f t="shared" si="35"/>
        <v>211.63913500302337</v>
      </c>
      <c r="BT70" s="83">
        <f t="shared" si="35"/>
        <v>376.99089563231303</v>
      </c>
      <c r="BU70" s="83">
        <f t="shared" si="35"/>
        <v>203.4274604843595</v>
      </c>
      <c r="BV70" s="83">
        <f t="shared" si="35"/>
        <v>248.99742553286555</v>
      </c>
      <c r="BW70" s="83">
        <f t="shared" si="35"/>
        <v>219.4905522749882</v>
      </c>
      <c r="BX70" s="83">
        <f t="shared" si="35"/>
        <v>213.28458590604794</v>
      </c>
      <c r="BY70" s="83">
        <f t="shared" si="35"/>
        <v>205.32908816294275</v>
      </c>
      <c r="BZ70" s="83" t="e">
        <f t="shared" si="35"/>
        <v>#DIV/0!</v>
      </c>
      <c r="CA70" s="83">
        <f t="shared" si="35"/>
        <v>185.87761296362933</v>
      </c>
      <c r="CB70" s="83" t="e">
        <f t="shared" si="35"/>
        <v>#DIV/0!</v>
      </c>
      <c r="CC70" s="83">
        <f t="shared" si="35"/>
        <v>144.42804425178699</v>
      </c>
      <c r="CD70" s="83" t="e">
        <f t="shared" si="35"/>
        <v>#DIV/0!</v>
      </c>
      <c r="CE70" s="83">
        <f t="shared" si="35"/>
        <v>85.07214724017777</v>
      </c>
      <c r="CF70" s="83">
        <f t="shared" si="35"/>
        <v>107.98431453107145</v>
      </c>
      <c r="CG70" s="83" t="e">
        <f t="shared" si="35"/>
        <v>#DIV/0!</v>
      </c>
      <c r="CH70" s="83" t="e">
        <f t="shared" si="35"/>
        <v>#DIV/0!</v>
      </c>
      <c r="CI70" s="83" t="e">
        <f t="shared" si="35"/>
        <v>#DIV/0!</v>
      </c>
      <c r="CJ70" s="83" t="e">
        <f t="shared" si="35"/>
        <v>#DIV/0!</v>
      </c>
    </row>
    <row r="71" spans="1:89" s="76" customFormat="1">
      <c r="A71" s="146" t="s">
        <v>479</v>
      </c>
      <c r="E71" s="76">
        <f>资产资本表!E35+资产资本表!E36-资产资本表!E24</f>
        <v>4996882156.8100004</v>
      </c>
      <c r="F71" s="76">
        <f>资产资本表!F35+资产资本表!F36-资产资本表!F24</f>
        <v>4179574936.5499992</v>
      </c>
      <c r="G71" s="76">
        <f>资产资本表!G35+资产资本表!G36-资产资本表!G24</f>
        <v>3022606867.73</v>
      </c>
      <c r="H71" s="76">
        <f>资产资本表!H35+资产资本表!H36-资产资本表!H24</f>
        <v>2888924081.6799998</v>
      </c>
      <c r="I71" s="76">
        <f>资产资本表!I35+资产资本表!I36-资产资本表!I24</f>
        <v>4049259708.52</v>
      </c>
      <c r="J71" s="76">
        <f>资产资本表!J35+资产资本表!J36-资产资本表!J24</f>
        <v>3634782962.4000001</v>
      </c>
      <c r="K71" s="76">
        <f>资产资本表!K35+资产资本表!K36-资产资本表!K24</f>
        <v>2164822842</v>
      </c>
      <c r="L71" s="76">
        <f>资产资本表!L35+资产资本表!L36-资产资本表!L24</f>
        <v>2522063158.1599998</v>
      </c>
      <c r="M71" s="76">
        <f>资产资本表!M35+资产资本表!M36-资产资本表!M24</f>
        <v>4053477063</v>
      </c>
      <c r="N71" s="76">
        <f>资产资本表!N35+资产资本表!N36-资产资本表!N24</f>
        <v>2985408279.4099998</v>
      </c>
      <c r="O71" s="76">
        <f>资产资本表!O35+资产资本表!O36-资产资本表!O24</f>
        <v>2551664869</v>
      </c>
      <c r="P71" s="76">
        <f>资产资本表!P35+资产资本表!P36-资产资本表!P24</f>
        <v>2642027010.2199998</v>
      </c>
      <c r="Q71" s="76">
        <f>资产资本表!Q35+资产资本表!Q36-资产资本表!Q24</f>
        <v>2707615490</v>
      </c>
      <c r="R71" s="76">
        <f>资产资本表!R35+资产资本表!R36-资产资本表!R24</f>
        <v>3153278587.1900001</v>
      </c>
      <c r="S71" s="76">
        <f>资产资本表!S35+资产资本表!S36-资产资本表!S24</f>
        <v>1193754736</v>
      </c>
      <c r="T71" s="76">
        <f>资产资本表!T35+资产资本表!T36-资产资本表!T24</f>
        <v>1007276062.6700001</v>
      </c>
      <c r="U71" s="76">
        <f>资产资本表!U35+资产资本表!U36-资产资本表!U24</f>
        <v>1337536723</v>
      </c>
      <c r="V71" s="76">
        <f>资产资本表!V35+资产资本表!V36-资产资本表!V24</f>
        <v>972162957</v>
      </c>
      <c r="W71" s="76">
        <f>资产资本表!W35+资产资本表!W36-资产资本表!W24</f>
        <v>918509954</v>
      </c>
      <c r="X71" s="76">
        <f>资产资本表!X35+资产资本表!X36-资产资本表!X24</f>
        <v>942639844.0200001</v>
      </c>
      <c r="Y71" s="76">
        <f>资产资本表!Y35+资产资本表!Y36-资产资本表!Y24</f>
        <v>904295111</v>
      </c>
      <c r="Z71" s="76">
        <f>资产资本表!Z35+资产资本表!Z36-资产资本表!Z24</f>
        <v>1019479378</v>
      </c>
      <c r="AA71" s="76">
        <f>资产资本表!AA35+资产资本表!AA36-资产资本表!AA24</f>
        <v>1042555606</v>
      </c>
      <c r="AB71" s="76">
        <f>资产资本表!AB35+资产资本表!AB36-资产资本表!AB24</f>
        <v>926371243.86999989</v>
      </c>
      <c r="AC71" s="76">
        <f>资产资本表!AC35+资产资本表!AC36-资产资本表!AC24</f>
        <v>930688565</v>
      </c>
      <c r="AD71" s="76">
        <f>资产资本表!AD35+资产资本表!AD36-资产资本表!AD24</f>
        <v>854933476.52999997</v>
      </c>
      <c r="AE71" s="76">
        <f>资产资本表!AE35+资产资本表!AE36-资产资本表!AE24</f>
        <v>893226298</v>
      </c>
      <c r="AF71" s="76">
        <f>资产资本表!AF35+资产资本表!AF36-资产资本表!AF24</f>
        <v>1006518218.08</v>
      </c>
      <c r="AG71" s="76">
        <f>资产资本表!AG35+资产资本表!AG36-资产资本表!AG24</f>
        <v>921999901</v>
      </c>
      <c r="AH71" s="76">
        <f>资产资本表!AH35+资产资本表!AH36-资产资本表!AH24</f>
        <v>794893994.18000007</v>
      </c>
      <c r="AI71" s="76">
        <f>资产资本表!AI35+资产资本表!AI36-资产资本表!AI24</f>
        <v>706330333.95000005</v>
      </c>
      <c r="AJ71" s="76">
        <f>资产资本表!AJ35+资产资本表!AJ36-资产资本表!AJ24</f>
        <v>500426545.06999999</v>
      </c>
      <c r="AK71" s="76">
        <f>资产资本表!AK35+资产资本表!AK36-资产资本表!AK24</f>
        <v>361350254.28000003</v>
      </c>
      <c r="AL71" s="76">
        <f>资产资本表!AL35+资产资本表!AL36-资产资本表!AL24</f>
        <v>583641944.47000003</v>
      </c>
      <c r="AM71" s="76">
        <f>资产资本表!AM35+资产资本表!AM36-资产资本表!AM24</f>
        <v>478036086.61000001</v>
      </c>
      <c r="AN71" s="76">
        <f>资产资本表!AN35+资产资本表!AN36-资产资本表!AN24</f>
        <v>304699961.96000004</v>
      </c>
      <c r="AO71" s="76">
        <f>资产资本表!AO35+资产资本表!AO36-资产资本表!AO24</f>
        <v>369343589.44</v>
      </c>
      <c r="AP71" s="76">
        <f>资产资本表!AP35+资产资本表!AP36-资产资本表!AP24</f>
        <v>526904796.65000004</v>
      </c>
      <c r="AQ71" s="76">
        <f>资产资本表!AQ35+资产资本表!AQ36-资产资本表!AQ24</f>
        <v>315335310.11000001</v>
      </c>
      <c r="AR71" s="76">
        <f>资产资本表!AR35+资产资本表!AR36-资产资本表!AR24</f>
        <v>286021675.89999998</v>
      </c>
      <c r="AS71" s="76">
        <f>资产资本表!AS35+资产资本表!AS36-资产资本表!AS24</f>
        <v>314739971.23000002</v>
      </c>
      <c r="AT71" s="76">
        <f>资产资本表!AT35+资产资本表!AT36-资产资本表!AT24</f>
        <v>322919792.31999999</v>
      </c>
      <c r="AU71" s="76">
        <f>资产资本表!AU35+资产资本表!AU36-资产资本表!AU24</f>
        <v>315410331.80000001</v>
      </c>
      <c r="AV71" s="76">
        <f>资产资本表!AV35+资产资本表!AV36-资产资本表!AV24</f>
        <v>277882176.59999996</v>
      </c>
      <c r="AW71" s="76">
        <f>资产资本表!AW35+资产资本表!AW36-资产资本表!AW24</f>
        <v>272561702.54000002</v>
      </c>
      <c r="AX71" s="76">
        <f>资产资本表!AX35+资产资本表!AX36-资产资本表!AX24</f>
        <v>203584207.72</v>
      </c>
      <c r="AY71" s="76">
        <f>资产资本表!AY35+资产资本表!AY36-资产资本表!AY24</f>
        <v>214107493.93000001</v>
      </c>
      <c r="AZ71" s="76">
        <f>资产资本表!AZ35+资产资本表!AZ36-资产资本表!AZ24</f>
        <v>183428180.80000001</v>
      </c>
      <c r="BA71" s="76">
        <f>资产资本表!BA35+资产资本表!BA36-资产资本表!BA24</f>
        <v>181441663.34</v>
      </c>
      <c r="BB71" s="76">
        <f>资产资本表!BB35+资产资本表!BB36-资产资本表!BB24</f>
        <v>110851647.79000001</v>
      </c>
      <c r="BC71" s="76">
        <f>资产资本表!BC35+资产资本表!BC36-资产资本表!BC24</f>
        <v>156885503.88</v>
      </c>
      <c r="BD71" s="76">
        <f>资产资本表!BD35+资产资本表!BD36-资产资本表!BD24</f>
        <v>143602353.19999999</v>
      </c>
      <c r="BE71" s="76">
        <f>资产资本表!BE35+资产资本表!BE36-资产资本表!BE24</f>
        <v>246227242.75999999</v>
      </c>
      <c r="BF71" s="76">
        <f>资产资本表!BF35+资产资本表!BF36-资产资本表!BF24</f>
        <v>120025376.02</v>
      </c>
      <c r="BG71" s="76">
        <f>资产资本表!BG35+资产资本表!BG36-资产资本表!BG24</f>
        <v>148356166.59</v>
      </c>
      <c r="BH71" s="76">
        <f>资产资本表!BH35+资产资本表!BH36-资产资本表!BH24</f>
        <v>97674968.25</v>
      </c>
      <c r="BI71" s="76">
        <f>资产资本表!BI35+资产资本表!BI36-资产资本表!BI24</f>
        <v>117591114.3</v>
      </c>
      <c r="BJ71" s="76">
        <f>资产资本表!BJ35+资产资本表!BJ36-资产资本表!BJ24</f>
        <v>82498927.310000002</v>
      </c>
      <c r="BK71" s="76">
        <f>资产资本表!BK35+资产资本表!BK36-资产资本表!BK24</f>
        <v>57585782.659999996</v>
      </c>
      <c r="BL71" s="76">
        <f>资产资本表!BL35+资产资本表!BL36-资产资本表!BL24</f>
        <v>49499476.809999995</v>
      </c>
      <c r="BM71" s="76">
        <f>资产资本表!BM35+资产资本表!BM36-资产资本表!BM24</f>
        <v>59594247.980000004</v>
      </c>
      <c r="BN71" s="76">
        <f>资产资本表!BN35+资产资本表!BN36-资产资本表!BN24</f>
        <v>-121988674.55000001</v>
      </c>
      <c r="BO71" s="76">
        <f>资产资本表!BO35+资产资本表!BO36-资产资本表!BO24</f>
        <v>36179963.82</v>
      </c>
      <c r="BP71" s="76">
        <f>资产资本表!BP35+资产资本表!BP36-资产资本表!BP24</f>
        <v>19966110.409999996</v>
      </c>
      <c r="BQ71" s="76">
        <f>资产资本表!BQ35+资产资本表!BQ36-资产资本表!BQ24</f>
        <v>14684181.17</v>
      </c>
      <c r="BR71" s="76">
        <f>资产资本表!BR35+资产资本表!BR36-资产资本表!BR24</f>
        <v>14550665.760000002</v>
      </c>
      <c r="BS71" s="76">
        <f>资产资本表!BS35+资产资本表!BS36-资产资本表!BS24</f>
        <v>24977571.420000002</v>
      </c>
      <c r="BT71" s="76">
        <f>资产资本表!BT35+资产资本表!BT36-资产资本表!BT24</f>
        <v>24357940.060000002</v>
      </c>
      <c r="BU71" s="76">
        <f>资产资本表!BU35+资产资本表!BU36-资产资本表!BU24</f>
        <v>16587849.390000002</v>
      </c>
      <c r="BV71" s="76">
        <f>资产资本表!BV35+资产资本表!BV36-资产资本表!BV24</f>
        <v>28739664.149999999</v>
      </c>
      <c r="BW71" s="76">
        <f>资产资本表!BW35+资产资本表!BW36-资产资本表!BW24</f>
        <v>4118969.1799999997</v>
      </c>
      <c r="BX71" s="76">
        <f>资产资本表!BX35+资产资本表!BX36-资产资本表!BX24</f>
        <v>-8608901.7999999989</v>
      </c>
      <c r="BY71" s="76">
        <f>资产资本表!BY35+资产资本表!BY36-资产资本表!BY24</f>
        <v>906067.01999999955</v>
      </c>
      <c r="BZ71" s="76">
        <f>资产资本表!BZ35+资产资本表!BZ36-资产资本表!BZ24</f>
        <v>0</v>
      </c>
      <c r="CA71" s="76">
        <f>资产资本表!CA35+资产资本表!CA36-资产资本表!CA24</f>
        <v>6492413.5500000007</v>
      </c>
      <c r="CB71" s="76">
        <f>资产资本表!CB35+资产资本表!CB36-资产资本表!CB24</f>
        <v>0</v>
      </c>
      <c r="CC71" s="76">
        <f>资产资本表!CC35+资产资本表!CC36-资产资本表!CC24</f>
        <v>13337562.279999999</v>
      </c>
      <c r="CD71" s="76">
        <f>资产资本表!CD35+资产资本表!CD36-资产资本表!CD24</f>
        <v>0</v>
      </c>
      <c r="CE71" s="76">
        <f>资产资本表!CE35+资产资本表!CE36-资产资本表!CE24</f>
        <v>15523138.970000001</v>
      </c>
      <c r="CF71" s="76">
        <f>资产资本表!CF35+资产资本表!CF36-资产资本表!CF24</f>
        <v>6974196.1699999999</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4" customFormat="1">
      <c r="A72" s="153" t="s">
        <v>480</v>
      </c>
      <c r="E72" s="154">
        <f>E67/(E71+I71)*2</f>
        <v>2.4520948423519786</v>
      </c>
      <c r="F72" s="154">
        <f t="shared" ref="F72:BQ72" si="36">F67/(F71+J71)*2</f>
        <v>2.0365362728597782</v>
      </c>
      <c r="G72" s="154">
        <f t="shared" si="36"/>
        <v>1.8627798403388778</v>
      </c>
      <c r="H72" s="154">
        <f t="shared" si="36"/>
        <v>0.82554252308162657</v>
      </c>
      <c r="I72" s="154">
        <f t="shared" si="36"/>
        <v>2.1152701654758048</v>
      </c>
      <c r="J72" s="154">
        <f t="shared" si="36"/>
        <v>1.8790629217319856</v>
      </c>
      <c r="K72" s="154">
        <f t="shared" si="36"/>
        <v>1.6884421917239678</v>
      </c>
      <c r="L72" s="154">
        <f t="shared" si="36"/>
        <v>0.76425453170158208</v>
      </c>
      <c r="M72" s="154">
        <f t="shared" si="36"/>
        <v>2.6060058879362602</v>
      </c>
      <c r="N72" s="154">
        <f t="shared" si="36"/>
        <v>2.1092803611941768</v>
      </c>
      <c r="O72" s="154">
        <f t="shared" si="36"/>
        <v>2.2909005075280477</v>
      </c>
      <c r="P72" s="154">
        <f t="shared" si="36"/>
        <v>1.1060397671557449</v>
      </c>
      <c r="Q72" s="154">
        <f t="shared" si="36"/>
        <v>3.7494112026879125</v>
      </c>
      <c r="R72" s="154">
        <f t="shared" si="36"/>
        <v>2.5212127683176715</v>
      </c>
      <c r="S72" s="154">
        <f t="shared" si="36"/>
        <v>1.8731138084782357</v>
      </c>
      <c r="T72" s="154">
        <f t="shared" si="36"/>
        <v>0.97411489180798583</v>
      </c>
      <c r="U72" s="154">
        <f t="shared" si="36"/>
        <v>3.3002864692124807</v>
      </c>
      <c r="V72" s="154">
        <f t="shared" si="36"/>
        <v>2.915399411812563</v>
      </c>
      <c r="W72" s="154">
        <f t="shared" si="36"/>
        <v>1.9166333572244265</v>
      </c>
      <c r="X72" s="154">
        <f t="shared" si="36"/>
        <v>0.95200274106919602</v>
      </c>
      <c r="Y72" s="154">
        <f t="shared" si="36"/>
        <v>4.0446848171307659</v>
      </c>
      <c r="Z72" s="154">
        <f t="shared" si="36"/>
        <v>3.0332384321092496</v>
      </c>
      <c r="AA72" s="154">
        <f t="shared" si="36"/>
        <v>2.0152090521866972</v>
      </c>
      <c r="AB72" s="154">
        <f t="shared" si="36"/>
        <v>0.92446732048364988</v>
      </c>
      <c r="AC72" s="154">
        <f t="shared" si="36"/>
        <v>4.3906645792223546</v>
      </c>
      <c r="AD72" s="154">
        <f t="shared" si="36"/>
        <v>3.5439625024814179</v>
      </c>
      <c r="AE72" s="154">
        <f t="shared" si="36"/>
        <v>2.2688881828308061</v>
      </c>
      <c r="AF72" s="154">
        <f t="shared" si="36"/>
        <v>1.1751580967694208</v>
      </c>
      <c r="AG72" s="154">
        <f t="shared" si="36"/>
        <v>4.5252782026063043</v>
      </c>
      <c r="AH72" s="154">
        <f t="shared" si="36"/>
        <v>2.8016462492245378</v>
      </c>
      <c r="AI72" s="154">
        <f t="shared" si="36"/>
        <v>2.0853157283978243</v>
      </c>
      <c r="AJ72" s="154">
        <f t="shared" si="36"/>
        <v>1.4175584313453404</v>
      </c>
      <c r="AK72" s="154">
        <f t="shared" si="36"/>
        <v>5.7574414300007204</v>
      </c>
      <c r="AL72" s="154">
        <f t="shared" si="36"/>
        <v>2.7725748849568599</v>
      </c>
      <c r="AM72" s="154">
        <f t="shared" si="36"/>
        <v>2.3037187479107484</v>
      </c>
      <c r="AN72" s="154">
        <f t="shared" si="36"/>
        <v>1.3044142903778615</v>
      </c>
      <c r="AO72" s="154">
        <f t="shared" si="36"/>
        <v>3.545387479629813</v>
      </c>
      <c r="AP72" s="154">
        <f t="shared" si="36"/>
        <v>2.1117283666210227</v>
      </c>
      <c r="AQ72" s="154">
        <f t="shared" si="36"/>
        <v>1.8405623205647932</v>
      </c>
      <c r="AR72" s="154">
        <f t="shared" si="36"/>
        <v>1.0389316991233004</v>
      </c>
      <c r="AS72" s="154">
        <f t="shared" si="36"/>
        <v>4.9298882877249799</v>
      </c>
      <c r="AT72" s="154">
        <f t="shared" si="36"/>
        <v>3.9452301891765136</v>
      </c>
      <c r="AU72" s="154">
        <f t="shared" si="36"/>
        <v>2.4157274521901484</v>
      </c>
      <c r="AV72" s="154">
        <f t="shared" si="36"/>
        <v>1.277334855217799</v>
      </c>
      <c r="AW72" s="154">
        <f t="shared" si="36"/>
        <v>5.4273038179000563</v>
      </c>
      <c r="AX72" s="154">
        <f t="shared" si="36"/>
        <v>5.2282505539757613</v>
      </c>
      <c r="AY72" s="154">
        <f t="shared" si="36"/>
        <v>2.7955681961716103</v>
      </c>
      <c r="AZ72" s="154">
        <f t="shared" si="36"/>
        <v>1.2523238946244695</v>
      </c>
      <c r="BA72" s="154">
        <f t="shared" si="36"/>
        <v>4.274767869031197</v>
      </c>
      <c r="BB72" s="154">
        <f t="shared" si="36"/>
        <v>5.4801156679030214</v>
      </c>
      <c r="BC72" s="154">
        <f t="shared" si="36"/>
        <v>2.8431402991725343</v>
      </c>
      <c r="BD72" s="154">
        <f t="shared" si="36"/>
        <v>1.5953907501404752</v>
      </c>
      <c r="BE72" s="154">
        <f t="shared" si="36"/>
        <v>4.6788074840854481</v>
      </c>
      <c r="BF72" s="154">
        <f t="shared" si="36"/>
        <v>5.2245872888444715</v>
      </c>
      <c r="BG72" s="154">
        <f t="shared" si="36"/>
        <v>3.3965686813562099</v>
      </c>
      <c r="BH72" s="154">
        <f t="shared" si="36"/>
        <v>1.8988998794326422</v>
      </c>
      <c r="BI72" s="154">
        <f t="shared" si="36"/>
        <v>5.6244061280026409</v>
      </c>
      <c r="BJ72" s="154">
        <f t="shared" si="36"/>
        <v>-17.959582137350743</v>
      </c>
      <c r="BK72" s="154">
        <f t="shared" si="36"/>
        <v>4.2222872821094191</v>
      </c>
      <c r="BL72" s="154">
        <f t="shared" si="36"/>
        <v>2.2953995666229972</v>
      </c>
      <c r="BM72" s="154">
        <f t="shared" si="36"/>
        <v>6.9244662167172386</v>
      </c>
      <c r="BN72" s="154">
        <f t="shared" si="36"/>
        <v>-3.5009291739126991</v>
      </c>
      <c r="BO72" s="154">
        <f t="shared" si="36"/>
        <v>3.8029225714754293</v>
      </c>
      <c r="BP72" s="154">
        <f t="shared" si="36"/>
        <v>2.2017491169055607</v>
      </c>
      <c r="BQ72" s="154">
        <f t="shared" si="36"/>
        <v>14.587864602035614</v>
      </c>
      <c r="BR72" s="154">
        <f t="shared" ref="BR72:CJ72" si="37">BR67/(BR71+BV71)*2</f>
        <v>5.3714004514039528</v>
      </c>
      <c r="BS72" s="154">
        <f t="shared" si="37"/>
        <v>16.88849089159417</v>
      </c>
      <c r="BT72" s="154">
        <f t="shared" si="37"/>
        <v>15.462921562551335</v>
      </c>
      <c r="BU72" s="154">
        <f t="shared" si="37"/>
        <v>24.59737926231465</v>
      </c>
      <c r="BV72" s="154">
        <f t="shared" si="37"/>
        <v>6.8739282160331019</v>
      </c>
      <c r="BW72" s="154">
        <f t="shared" si="37"/>
        <v>22.988092989083995</v>
      </c>
      <c r="BX72" s="154">
        <f t="shared" si="37"/>
        <v>-15.902985140334627</v>
      </c>
      <c r="BY72" s="154">
        <f t="shared" si="37"/>
        <v>20.657819868985221</v>
      </c>
      <c r="BZ72" s="154" t="e">
        <f t="shared" si="37"/>
        <v>#DIV/0!</v>
      </c>
      <c r="CA72" s="154">
        <f t="shared" si="37"/>
        <v>10.303867191791921</v>
      </c>
      <c r="CB72" s="154">
        <f t="shared" si="37"/>
        <v>0</v>
      </c>
      <c r="CC72" s="154">
        <f t="shared" si="37"/>
        <v>13.745961093274087</v>
      </c>
      <c r="CD72" s="154" t="e">
        <f t="shared" si="37"/>
        <v>#DIV/0!</v>
      </c>
      <c r="CE72" s="154">
        <f t="shared" si="37"/>
        <v>13.301690159384046</v>
      </c>
      <c r="CF72" s="154">
        <f t="shared" si="37"/>
        <v>26.198547830638379</v>
      </c>
      <c r="CG72" s="154" t="e">
        <f t="shared" si="37"/>
        <v>#DIV/0!</v>
      </c>
      <c r="CH72" s="154" t="e">
        <f t="shared" si="37"/>
        <v>#DIV/0!</v>
      </c>
      <c r="CI72" s="154" t="e">
        <f t="shared" si="37"/>
        <v>#DIV/0!</v>
      </c>
      <c r="CJ72" s="154" t="e">
        <f t="shared" si="37"/>
        <v>#DIV/0!</v>
      </c>
    </row>
    <row r="73" spans="1:89" s="83" customFormat="1">
      <c r="A73" s="147" t="s">
        <v>481</v>
      </c>
      <c r="E73" s="83">
        <f>E62/E72</f>
        <v>148.85231749433581</v>
      </c>
      <c r="F73" s="83">
        <f t="shared" ref="F73:BQ73" si="38">F62/F72</f>
        <v>179.22587722312147</v>
      </c>
      <c r="G73" s="83">
        <f t="shared" si="38"/>
        <v>195.94371384951162</v>
      </c>
      <c r="H73" s="83">
        <f t="shared" si="38"/>
        <v>442.13349378722455</v>
      </c>
      <c r="I73" s="83">
        <f t="shared" si="38"/>
        <v>172.55479037964761</v>
      </c>
      <c r="J73" s="83">
        <f t="shared" si="38"/>
        <v>194.24575716898781</v>
      </c>
      <c r="K73" s="83">
        <f t="shared" si="38"/>
        <v>216.17559771313239</v>
      </c>
      <c r="L73" s="83">
        <f t="shared" si="38"/>
        <v>477.58957894216491</v>
      </c>
      <c r="M73" s="83">
        <f t="shared" si="38"/>
        <v>140.0610803258966</v>
      </c>
      <c r="N73" s="83">
        <f t="shared" si="38"/>
        <v>173.04480083119626</v>
      </c>
      <c r="O73" s="83">
        <f t="shared" si="38"/>
        <v>159.3259937743199</v>
      </c>
      <c r="P73" s="83">
        <f t="shared" si="38"/>
        <v>330.00621753286669</v>
      </c>
      <c r="Q73" s="83">
        <f t="shared" si="38"/>
        <v>97.348618294609949</v>
      </c>
      <c r="R73" s="83">
        <f t="shared" si="38"/>
        <v>144.77159745766059</v>
      </c>
      <c r="S73" s="83">
        <f t="shared" si="38"/>
        <v>194.86269245782512</v>
      </c>
      <c r="T73" s="83">
        <f t="shared" si="38"/>
        <v>374.69912745358948</v>
      </c>
      <c r="U73" s="83">
        <f t="shared" si="38"/>
        <v>110.59645985431587</v>
      </c>
      <c r="V73" s="83">
        <f t="shared" si="38"/>
        <v>125.19725376944906</v>
      </c>
      <c r="W73" s="83">
        <f t="shared" si="38"/>
        <v>190.4380922017213</v>
      </c>
      <c r="X73" s="83">
        <f t="shared" si="38"/>
        <v>383.40225742424633</v>
      </c>
      <c r="Y73" s="83">
        <f t="shared" si="38"/>
        <v>90.241889418450441</v>
      </c>
      <c r="Z73" s="83">
        <f t="shared" si="38"/>
        <v>120.3334350956996</v>
      </c>
      <c r="AA73" s="83">
        <f t="shared" si="38"/>
        <v>181.12264809645413</v>
      </c>
      <c r="AB73" s="83">
        <f t="shared" si="38"/>
        <v>394.82196061732543</v>
      </c>
      <c r="AC73" s="83">
        <f t="shared" si="38"/>
        <v>83.130923215420466</v>
      </c>
      <c r="AD73" s="83">
        <f t="shared" si="38"/>
        <v>102.99206036870697</v>
      </c>
      <c r="AE73" s="83">
        <f t="shared" si="38"/>
        <v>160.87174447909695</v>
      </c>
      <c r="AF73" s="83">
        <f t="shared" si="38"/>
        <v>310.59650697502457</v>
      </c>
      <c r="AG73" s="83">
        <f t="shared" si="38"/>
        <v>80.65802447013769</v>
      </c>
      <c r="AH73" s="83">
        <f t="shared" si="38"/>
        <v>130.28054491213072</v>
      </c>
      <c r="AI73" s="83">
        <f t="shared" si="38"/>
        <v>175.03344698811355</v>
      </c>
      <c r="AJ73" s="83">
        <f t="shared" si="38"/>
        <v>257.48497693572676</v>
      </c>
      <c r="AK73" s="83">
        <f t="shared" si="38"/>
        <v>63.39621591251764</v>
      </c>
      <c r="AL73" s="83">
        <f t="shared" si="38"/>
        <v>131.64657949560819</v>
      </c>
      <c r="AM73" s="83">
        <f t="shared" si="38"/>
        <v>158.43947978937098</v>
      </c>
      <c r="AN73" s="83">
        <f t="shared" si="38"/>
        <v>279.81907488476469</v>
      </c>
      <c r="AO73" s="83">
        <f t="shared" si="38"/>
        <v>102.95066536369418</v>
      </c>
      <c r="AP73" s="83">
        <f t="shared" si="38"/>
        <v>172.84419993090145</v>
      </c>
      <c r="AQ73" s="83">
        <f t="shared" si="38"/>
        <v>198.30896021385271</v>
      </c>
      <c r="AR73" s="83">
        <f t="shared" si="38"/>
        <v>351.32242120247582</v>
      </c>
      <c r="AS73" s="83">
        <f t="shared" si="38"/>
        <v>74.03818883864372</v>
      </c>
      <c r="AT73" s="83">
        <f t="shared" si="38"/>
        <v>92.516781657342619</v>
      </c>
      <c r="AU73" s="83">
        <f t="shared" si="38"/>
        <v>151.09320369277728</v>
      </c>
      <c r="AV73" s="83">
        <f t="shared" si="38"/>
        <v>285.75122530243931</v>
      </c>
      <c r="AW73" s="83">
        <f t="shared" si="38"/>
        <v>67.252546060932801</v>
      </c>
      <c r="AX73" s="83">
        <f t="shared" si="38"/>
        <v>69.813027557074534</v>
      </c>
      <c r="AY73" s="83">
        <f t="shared" si="38"/>
        <v>130.5637975492242</v>
      </c>
      <c r="AZ73" s="83">
        <f t="shared" si="38"/>
        <v>291.45814558577229</v>
      </c>
      <c r="BA73" s="83">
        <f t="shared" si="38"/>
        <v>85.384753320586981</v>
      </c>
      <c r="BB73" s="83">
        <f t="shared" si="38"/>
        <v>66.604433577524844</v>
      </c>
      <c r="BC73" s="83">
        <f t="shared" si="38"/>
        <v>128.37917288366998</v>
      </c>
      <c r="BD73" s="83">
        <f t="shared" si="38"/>
        <v>228.78407685882692</v>
      </c>
      <c r="BE73" s="83">
        <f t="shared" si="38"/>
        <v>78.011331143996713</v>
      </c>
      <c r="BF73" s="83">
        <f t="shared" si="38"/>
        <v>69.86197757272565</v>
      </c>
      <c r="BG73" s="83">
        <f t="shared" si="38"/>
        <v>107.46139243510301</v>
      </c>
      <c r="BH73" s="83">
        <f t="shared" si="38"/>
        <v>192.21655862606909</v>
      </c>
      <c r="BI73" s="83">
        <f t="shared" si="38"/>
        <v>64.895740402306274</v>
      </c>
      <c r="BJ73" s="83">
        <f t="shared" si="38"/>
        <v>-20.323412716875268</v>
      </c>
      <c r="BK73" s="83">
        <f t="shared" si="38"/>
        <v>86.446036380937372</v>
      </c>
      <c r="BL73" s="83">
        <f t="shared" si="38"/>
        <v>159.01370955514719</v>
      </c>
      <c r="BM73" s="83">
        <f t="shared" si="38"/>
        <v>52.711644273576908</v>
      </c>
      <c r="BN73" s="83">
        <f t="shared" si="38"/>
        <v>-104.25803604363401</v>
      </c>
      <c r="BO73" s="83">
        <f t="shared" si="38"/>
        <v>95.978814488034672</v>
      </c>
      <c r="BP73" s="83">
        <f t="shared" si="38"/>
        <v>165.77728915499137</v>
      </c>
      <c r="BQ73" s="83">
        <f t="shared" si="38"/>
        <v>25.020797077391801</v>
      </c>
      <c r="BR73" s="83">
        <f t="shared" ref="BR73:CJ73" si="39">BR62/BR72</f>
        <v>67.952483398365487</v>
      </c>
      <c r="BS73" s="83">
        <f t="shared" si="39"/>
        <v>21.612351413924721</v>
      </c>
      <c r="BT73" s="83">
        <f t="shared" si="39"/>
        <v>23.604853618605311</v>
      </c>
      <c r="BU73" s="83">
        <f t="shared" si="39"/>
        <v>14.838979230572427</v>
      </c>
      <c r="BV73" s="83">
        <f t="shared" si="39"/>
        <v>53.099187033791729</v>
      </c>
      <c r="BW73" s="83">
        <f t="shared" si="39"/>
        <v>15.877785085231819</v>
      </c>
      <c r="BX73" s="83">
        <f t="shared" si="39"/>
        <v>-22.951665789729823</v>
      </c>
      <c r="BY73" s="83">
        <f t="shared" si="39"/>
        <v>17.668853843962285</v>
      </c>
      <c r="BZ73" s="83" t="e">
        <f t="shared" si="39"/>
        <v>#DIV/0!</v>
      </c>
      <c r="CA73" s="83">
        <f t="shared" si="39"/>
        <v>35.423593220491007</v>
      </c>
      <c r="CB73" s="83" t="e">
        <f t="shared" si="39"/>
        <v>#DIV/0!</v>
      </c>
      <c r="CC73" s="83">
        <f t="shared" si="39"/>
        <v>26.553254263071857</v>
      </c>
      <c r="CD73" s="83" t="e">
        <f t="shared" si="39"/>
        <v>#DIV/0!</v>
      </c>
      <c r="CE73" s="83">
        <f t="shared" si="39"/>
        <v>27.440121941383563</v>
      </c>
      <c r="CF73" s="83">
        <f t="shared" si="39"/>
        <v>13.932069913170682</v>
      </c>
      <c r="CG73" s="83" t="e">
        <f t="shared" si="39"/>
        <v>#DIV/0!</v>
      </c>
      <c r="CH73" s="83" t="e">
        <f t="shared" si="39"/>
        <v>#DIV/0!</v>
      </c>
      <c r="CI73" s="83" t="e">
        <f t="shared" si="39"/>
        <v>#DIV/0!</v>
      </c>
      <c r="CJ73" s="83" t="e">
        <f t="shared" si="39"/>
        <v>#DIV/0!</v>
      </c>
    </row>
    <row r="74" spans="1:89" s="255" customFormat="1">
      <c r="A74" s="254" t="s">
        <v>482</v>
      </c>
      <c r="E74" s="255">
        <f>E66+E70</f>
        <v>135.7687440169847</v>
      </c>
      <c r="F74" s="255">
        <f t="shared" ref="F74:BQ74" si="40">F66+F70</f>
        <v>179.51177651097726</v>
      </c>
      <c r="G74" s="255">
        <f t="shared" si="40"/>
        <v>262.26557171332701</v>
      </c>
      <c r="H74" s="255">
        <f t="shared" si="40"/>
        <v>511.94822781805453</v>
      </c>
      <c r="I74" s="255">
        <f t="shared" si="40"/>
        <v>142.33778008983586</v>
      </c>
      <c r="J74" s="255">
        <f t="shared" si="40"/>
        <v>200.37618449067742</v>
      </c>
      <c r="K74" s="255">
        <f t="shared" si="40"/>
        <v>300.30145344198638</v>
      </c>
      <c r="L74" s="255">
        <f t="shared" si="40"/>
        <v>536.75729452915948</v>
      </c>
      <c r="M74" s="255">
        <f t="shared" si="40"/>
        <v>138.85505425803478</v>
      </c>
      <c r="N74" s="255">
        <f t="shared" si="40"/>
        <v>201.78372934740446</v>
      </c>
      <c r="O74" s="255">
        <f t="shared" si="40"/>
        <v>211.04869819018299</v>
      </c>
      <c r="P74" s="255">
        <f t="shared" si="40"/>
        <v>406.97454747440247</v>
      </c>
      <c r="Q74" s="255">
        <f t="shared" si="40"/>
        <v>117.05734178709469</v>
      </c>
      <c r="R74" s="255">
        <f t="shared" si="40"/>
        <v>187.79507003914819</v>
      </c>
      <c r="S74" s="255">
        <f t="shared" si="40"/>
        <v>266.38297137977617</v>
      </c>
      <c r="T74" s="255">
        <f t="shared" si="40"/>
        <v>528.64331010479782</v>
      </c>
      <c r="U74" s="255">
        <f t="shared" si="40"/>
        <v>135.68820601395166</v>
      </c>
      <c r="V74" s="255">
        <f t="shared" si="40"/>
        <v>204.50549105905134</v>
      </c>
      <c r="W74" s="255">
        <f t="shared" si="40"/>
        <v>288.43511903244251</v>
      </c>
      <c r="X74" s="255">
        <f t="shared" si="40"/>
        <v>552.9303271529717</v>
      </c>
      <c r="Y74" s="255">
        <f t="shared" si="40"/>
        <v>136.98708507430436</v>
      </c>
      <c r="Z74" s="255">
        <f t="shared" si="40"/>
        <v>186.79068706977932</v>
      </c>
      <c r="AA74" s="255">
        <f t="shared" si="40"/>
        <v>274.53704714186989</v>
      </c>
      <c r="AB74" s="255">
        <f t="shared" si="40"/>
        <v>518.50776735663032</v>
      </c>
      <c r="AC74" s="255">
        <f t="shared" si="40"/>
        <v>114.52432853839642</v>
      </c>
      <c r="AD74" s="255">
        <f t="shared" si="40"/>
        <v>137.7948629027259</v>
      </c>
      <c r="AE74" s="255">
        <f t="shared" si="40"/>
        <v>213.11956289396159</v>
      </c>
      <c r="AF74" s="255">
        <f t="shared" si="40"/>
        <v>376.98279794413531</v>
      </c>
      <c r="AG74" s="255">
        <f t="shared" si="40"/>
        <v>99.738047807133611</v>
      </c>
      <c r="AH74" s="255">
        <f t="shared" si="40"/>
        <v>142.78668681805206</v>
      </c>
      <c r="AI74" s="255">
        <f t="shared" si="40"/>
        <v>194.616328526659</v>
      </c>
      <c r="AJ74" s="255">
        <f t="shared" si="40"/>
        <v>352.94527655104127</v>
      </c>
      <c r="AK74" s="255">
        <f t="shared" si="40"/>
        <v>95.960470351597763</v>
      </c>
      <c r="AL74" s="255">
        <f t="shared" si="40"/>
        <v>197.36760642900725</v>
      </c>
      <c r="AM74" s="255">
        <f t="shared" si="40"/>
        <v>315.72659665267412</v>
      </c>
      <c r="AN74" s="255">
        <f t="shared" si="40"/>
        <v>736.83905390127302</v>
      </c>
      <c r="AO74" s="255">
        <f t="shared" si="40"/>
        <v>209.00939768249992</v>
      </c>
      <c r="AP74" s="255">
        <f t="shared" si="40"/>
        <v>342.82916601174651</v>
      </c>
      <c r="AQ74" s="255">
        <f t="shared" si="40"/>
        <v>478.79838883236164</v>
      </c>
      <c r="AR74" s="255">
        <f t="shared" si="40"/>
        <v>891.08805444809798</v>
      </c>
      <c r="AS74" s="255">
        <f t="shared" si="40"/>
        <v>176.02683471279721</v>
      </c>
      <c r="AT74" s="255">
        <f t="shared" si="40"/>
        <v>218.31516892275562</v>
      </c>
      <c r="AU74" s="255">
        <f t="shared" si="40"/>
        <v>352.12765272305336</v>
      </c>
      <c r="AV74" s="255">
        <f t="shared" si="40"/>
        <v>687.01825108649007</v>
      </c>
      <c r="AW74" s="255">
        <f t="shared" si="40"/>
        <v>172.78388074029624</v>
      </c>
      <c r="AX74" s="255">
        <f t="shared" si="40"/>
        <v>224.57381807737659</v>
      </c>
      <c r="AY74" s="255">
        <f t="shared" si="40"/>
        <v>402.3641366780854</v>
      </c>
      <c r="AZ74" s="255">
        <f t="shared" si="40"/>
        <v>955.83783313249637</v>
      </c>
      <c r="BA74" s="255">
        <f t="shared" si="40"/>
        <v>233.04490436908122</v>
      </c>
      <c r="BB74" s="255">
        <f t="shared" si="40"/>
        <v>293.28606808189784</v>
      </c>
      <c r="BC74" s="255">
        <f t="shared" si="40"/>
        <v>441.53535630014619</v>
      </c>
      <c r="BD74" s="255">
        <f t="shared" si="40"/>
        <v>908.00973819177443</v>
      </c>
      <c r="BE74" s="255">
        <f t="shared" si="40"/>
        <v>209.7395613360068</v>
      </c>
      <c r="BF74" s="255">
        <f t="shared" si="40"/>
        <v>297.15785296464105</v>
      </c>
      <c r="BG74" s="255">
        <f t="shared" si="40"/>
        <v>417.71369202616245</v>
      </c>
      <c r="BH74" s="255">
        <f t="shared" si="40"/>
        <v>899.54064768480202</v>
      </c>
      <c r="BI74" s="255">
        <f t="shared" si="40"/>
        <v>233.71013932423915</v>
      </c>
      <c r="BJ74" s="255">
        <f t="shared" si="40"/>
        <v>309.52724970481279</v>
      </c>
      <c r="BK74" s="255">
        <f t="shared" si="40"/>
        <v>503.10604093423945</v>
      </c>
      <c r="BL74" s="255">
        <f t="shared" si="40"/>
        <v>1140.3451944397368</v>
      </c>
      <c r="BM74" s="255">
        <f t="shared" si="40"/>
        <v>336.45773164067805</v>
      </c>
      <c r="BN74" s="255">
        <f t="shared" si="40"/>
        <v>499.68520050510574</v>
      </c>
      <c r="BO74" s="255">
        <f t="shared" si="40"/>
        <v>798.3974830377017</v>
      </c>
      <c r="BP74" s="255">
        <f t="shared" si="40"/>
        <v>1728.8614342020774</v>
      </c>
      <c r="BQ74" s="255">
        <f t="shared" si="40"/>
        <v>356.11533680115684</v>
      </c>
      <c r="BR74" s="255">
        <f t="shared" ref="BR74:CK74" si="41">BR66+BR70</f>
        <v>703.89367999329716</v>
      </c>
      <c r="BS74" s="255">
        <f t="shared" si="41"/>
        <v>284.05123661744364</v>
      </c>
      <c r="BT74" s="255">
        <f t="shared" si="41"/>
        <v>534.95817960986301</v>
      </c>
      <c r="BU74" s="255">
        <f t="shared" si="41"/>
        <v>281.76113050940677</v>
      </c>
      <c r="BV74" s="255">
        <f t="shared" si="41"/>
        <v>356.57023604157621</v>
      </c>
      <c r="BW74" s="255">
        <f t="shared" si="41"/>
        <v>314.4170315991534</v>
      </c>
      <c r="BX74" s="255">
        <f t="shared" si="41"/>
        <v>289.4225028542586</v>
      </c>
      <c r="BY74" s="255">
        <f t="shared" si="41"/>
        <v>260.13568477674897</v>
      </c>
      <c r="BZ74" s="255" t="e">
        <f t="shared" si="41"/>
        <v>#DIV/0!</v>
      </c>
      <c r="CA74" s="255">
        <f t="shared" si="41"/>
        <v>278.02896417985687</v>
      </c>
      <c r="CB74" s="255" t="e">
        <f t="shared" si="41"/>
        <v>#DIV/0!</v>
      </c>
      <c r="CC74" s="255">
        <f t="shared" si="41"/>
        <v>187.05024106990112</v>
      </c>
      <c r="CD74" s="255" t="e">
        <f t="shared" si="41"/>
        <v>#DIV/0!</v>
      </c>
      <c r="CE74" s="255">
        <f t="shared" si="41"/>
        <v>117.76021390887949</v>
      </c>
      <c r="CF74" s="255">
        <f t="shared" si="41"/>
        <v>138.46311246668736</v>
      </c>
      <c r="CG74" s="255" t="e">
        <f t="shared" si="41"/>
        <v>#DIV/0!</v>
      </c>
      <c r="CH74" s="255" t="e">
        <f t="shared" si="41"/>
        <v>#DIV/0!</v>
      </c>
      <c r="CI74" s="255" t="e">
        <f t="shared" si="41"/>
        <v>#DIV/0!</v>
      </c>
      <c r="CJ74" s="255" t="e">
        <f t="shared" si="41"/>
        <v>#DIV/0!</v>
      </c>
      <c r="CK74" s="255">
        <f t="shared" si="41"/>
        <v>0</v>
      </c>
    </row>
    <row r="75" spans="1:89" s="255" customFormat="1">
      <c r="A75" s="254" t="s">
        <v>483</v>
      </c>
      <c r="E75" s="255">
        <f>E74-E73</f>
        <v>-13.083573477351109</v>
      </c>
      <c r="F75" s="255">
        <f t="shared" ref="F75:BQ75" si="42">F74-F73</f>
        <v>0.28589928785578422</v>
      </c>
      <c r="G75" s="255">
        <f t="shared" si="42"/>
        <v>66.321857863815382</v>
      </c>
      <c r="H75" s="255">
        <f t="shared" si="42"/>
        <v>69.814734030829982</v>
      </c>
      <c r="I75" s="255">
        <f t="shared" si="42"/>
        <v>-30.217010289811753</v>
      </c>
      <c r="J75" s="255">
        <f t="shared" si="42"/>
        <v>6.1304273216896092</v>
      </c>
      <c r="K75" s="255">
        <f t="shared" si="42"/>
        <v>84.125855728853992</v>
      </c>
      <c r="L75" s="255">
        <f t="shared" si="42"/>
        <v>59.167715586994575</v>
      </c>
      <c r="M75" s="255">
        <f t="shared" si="42"/>
        <v>-1.2060260678618135</v>
      </c>
      <c r="N75" s="255">
        <f t="shared" si="42"/>
        <v>28.738928516208205</v>
      </c>
      <c r="O75" s="255">
        <f t="shared" si="42"/>
        <v>51.722704415863092</v>
      </c>
      <c r="P75" s="255">
        <f t="shared" si="42"/>
        <v>76.968329941535785</v>
      </c>
      <c r="Q75" s="255">
        <f t="shared" si="42"/>
        <v>19.708723492484737</v>
      </c>
      <c r="R75" s="255">
        <f t="shared" si="42"/>
        <v>43.023472581487596</v>
      </c>
      <c r="S75" s="255">
        <f t="shared" si="42"/>
        <v>71.520278921951046</v>
      </c>
      <c r="T75" s="255">
        <f t="shared" si="42"/>
        <v>153.94418265120834</v>
      </c>
      <c r="U75" s="255">
        <f t="shared" si="42"/>
        <v>25.09174615963579</v>
      </c>
      <c r="V75" s="255">
        <f t="shared" si="42"/>
        <v>79.308237289602275</v>
      </c>
      <c r="W75" s="255">
        <f t="shared" si="42"/>
        <v>97.997026830721211</v>
      </c>
      <c r="X75" s="255">
        <f t="shared" si="42"/>
        <v>169.52806972872537</v>
      </c>
      <c r="Y75" s="255">
        <f t="shared" si="42"/>
        <v>46.745195655853919</v>
      </c>
      <c r="Z75" s="255">
        <f t="shared" si="42"/>
        <v>66.457251974079725</v>
      </c>
      <c r="AA75" s="255">
        <f t="shared" si="42"/>
        <v>93.414399045415763</v>
      </c>
      <c r="AB75" s="255">
        <f t="shared" si="42"/>
        <v>123.68580673930489</v>
      </c>
      <c r="AC75" s="255">
        <f t="shared" si="42"/>
        <v>31.393405322975951</v>
      </c>
      <c r="AD75" s="255">
        <f t="shared" si="42"/>
        <v>34.802802534018923</v>
      </c>
      <c r="AE75" s="255">
        <f t="shared" si="42"/>
        <v>52.247818414864639</v>
      </c>
      <c r="AF75" s="255">
        <f t="shared" si="42"/>
        <v>66.386290969110746</v>
      </c>
      <c r="AG75" s="255">
        <f t="shared" si="42"/>
        <v>19.080023336995922</v>
      </c>
      <c r="AH75" s="255">
        <f t="shared" si="42"/>
        <v>12.506141905921339</v>
      </c>
      <c r="AI75" s="255">
        <f t="shared" si="42"/>
        <v>19.58288153854545</v>
      </c>
      <c r="AJ75" s="255">
        <f t="shared" si="42"/>
        <v>95.460299615314511</v>
      </c>
      <c r="AK75" s="255">
        <f t="shared" si="42"/>
        <v>32.564254439080123</v>
      </c>
      <c r="AL75" s="255">
        <f t="shared" si="42"/>
        <v>65.72102693339906</v>
      </c>
      <c r="AM75" s="255">
        <f t="shared" si="42"/>
        <v>157.28711686330314</v>
      </c>
      <c r="AN75" s="255">
        <f t="shared" si="42"/>
        <v>457.01997901650833</v>
      </c>
      <c r="AO75" s="255">
        <f t="shared" si="42"/>
        <v>106.05873231880574</v>
      </c>
      <c r="AP75" s="255">
        <f t="shared" si="42"/>
        <v>169.98496608084506</v>
      </c>
      <c r="AQ75" s="255">
        <f t="shared" si="42"/>
        <v>280.4894286185089</v>
      </c>
      <c r="AR75" s="255">
        <f t="shared" si="42"/>
        <v>539.76563324562221</v>
      </c>
      <c r="AS75" s="255">
        <f t="shared" si="42"/>
        <v>101.98864587415349</v>
      </c>
      <c r="AT75" s="255">
        <f t="shared" si="42"/>
        <v>125.798387265413</v>
      </c>
      <c r="AU75" s="255">
        <f t="shared" si="42"/>
        <v>201.03444903027608</v>
      </c>
      <c r="AV75" s="255">
        <f t="shared" si="42"/>
        <v>401.26702578405076</v>
      </c>
      <c r="AW75" s="255">
        <f t="shared" si="42"/>
        <v>105.53133467936344</v>
      </c>
      <c r="AX75" s="255">
        <f t="shared" si="42"/>
        <v>154.76079052030207</v>
      </c>
      <c r="AY75" s="255">
        <f t="shared" si="42"/>
        <v>271.8003391288612</v>
      </c>
      <c r="AZ75" s="255">
        <f t="shared" si="42"/>
        <v>664.37968754672409</v>
      </c>
      <c r="BA75" s="255">
        <f t="shared" si="42"/>
        <v>147.66015104849424</v>
      </c>
      <c r="BB75" s="255">
        <f t="shared" si="42"/>
        <v>226.68163450437299</v>
      </c>
      <c r="BC75" s="255">
        <f t="shared" si="42"/>
        <v>313.15618341647621</v>
      </c>
      <c r="BD75" s="255">
        <f t="shared" si="42"/>
        <v>679.22566133294754</v>
      </c>
      <c r="BE75" s="255">
        <f t="shared" si="42"/>
        <v>131.72823019201007</v>
      </c>
      <c r="BF75" s="255">
        <f t="shared" si="42"/>
        <v>227.29587539191539</v>
      </c>
      <c r="BG75" s="255">
        <f t="shared" si="42"/>
        <v>310.25229959105945</v>
      </c>
      <c r="BH75" s="255">
        <f t="shared" si="42"/>
        <v>707.32408905873297</v>
      </c>
      <c r="BI75" s="255">
        <f t="shared" si="42"/>
        <v>168.81439892193288</v>
      </c>
      <c r="BJ75" s="255">
        <f t="shared" si="42"/>
        <v>329.85066242168807</v>
      </c>
      <c r="BK75" s="255">
        <f t="shared" si="42"/>
        <v>416.66000455330209</v>
      </c>
      <c r="BL75" s="255">
        <f t="shared" si="42"/>
        <v>981.3314848845896</v>
      </c>
      <c r="BM75" s="255">
        <f t="shared" si="42"/>
        <v>283.74608736710115</v>
      </c>
      <c r="BN75" s="255">
        <f t="shared" si="42"/>
        <v>603.94323654873972</v>
      </c>
      <c r="BO75" s="255">
        <f t="shared" si="42"/>
        <v>702.41866854966702</v>
      </c>
      <c r="BP75" s="255">
        <f t="shared" si="42"/>
        <v>1563.0841450470859</v>
      </c>
      <c r="BQ75" s="255">
        <f t="shared" si="42"/>
        <v>331.09453972376502</v>
      </c>
      <c r="BR75" s="255">
        <f t="shared" ref="BR75:CJ75" si="43">BR74-BR73</f>
        <v>635.94119659493163</v>
      </c>
      <c r="BS75" s="255">
        <f t="shared" si="43"/>
        <v>262.43888520351891</v>
      </c>
      <c r="BT75" s="255">
        <f t="shared" si="43"/>
        <v>511.35332599125769</v>
      </c>
      <c r="BU75" s="255">
        <f t="shared" si="43"/>
        <v>266.92215127883435</v>
      </c>
      <c r="BV75" s="255">
        <f t="shared" si="43"/>
        <v>303.47104900778447</v>
      </c>
      <c r="BW75" s="255">
        <f t="shared" si="43"/>
        <v>298.53924651392157</v>
      </c>
      <c r="BX75" s="255">
        <f t="shared" si="43"/>
        <v>312.37416864398841</v>
      </c>
      <c r="BY75" s="255">
        <f t="shared" si="43"/>
        <v>242.46683093278668</v>
      </c>
      <c r="BZ75" s="255" t="e">
        <f t="shared" si="43"/>
        <v>#DIV/0!</v>
      </c>
      <c r="CA75" s="255">
        <f t="shared" si="43"/>
        <v>242.60537095936587</v>
      </c>
      <c r="CB75" s="255" t="e">
        <f t="shared" si="43"/>
        <v>#DIV/0!</v>
      </c>
      <c r="CC75" s="255">
        <f t="shared" si="43"/>
        <v>160.49698680682926</v>
      </c>
      <c r="CD75" s="255" t="e">
        <f t="shared" si="43"/>
        <v>#DIV/0!</v>
      </c>
      <c r="CE75" s="255">
        <f t="shared" si="43"/>
        <v>90.320091967495927</v>
      </c>
      <c r="CF75" s="255">
        <f t="shared" si="43"/>
        <v>124.53104255351668</v>
      </c>
      <c r="CG75" s="255" t="e">
        <f t="shared" si="43"/>
        <v>#DIV/0!</v>
      </c>
      <c r="CH75" s="255" t="e">
        <f t="shared" si="43"/>
        <v>#DIV/0!</v>
      </c>
      <c r="CI75" s="255" t="e">
        <f t="shared" si="43"/>
        <v>#DIV/0!</v>
      </c>
      <c r="CJ75" s="255" t="e">
        <f t="shared" si="43"/>
        <v>#DIV/0!</v>
      </c>
    </row>
    <row r="76" spans="1:89" s="120" customFormat="1">
      <c r="A76" s="148" t="s">
        <v>484</v>
      </c>
      <c r="E76" s="120">
        <f>E71-E64-E68</f>
        <v>-475625297.14999962</v>
      </c>
      <c r="F76" s="120">
        <f t="shared" ref="F76:BQ76" si="44">F71-F64-F68</f>
        <v>-830439215.13000083</v>
      </c>
      <c r="G76" s="120">
        <f t="shared" si="44"/>
        <v>-1438797166.4600003</v>
      </c>
      <c r="H76" s="120">
        <f t="shared" si="44"/>
        <v>-1445038321.5400004</v>
      </c>
      <c r="I76" s="120">
        <f t="shared" si="44"/>
        <v>-195418916.72999978</v>
      </c>
      <c r="J76" s="120">
        <f t="shared" si="44"/>
        <v>-525832161.5</v>
      </c>
      <c r="K76" s="120">
        <f t="shared" si="44"/>
        <v>-1528684745</v>
      </c>
      <c r="L76" s="120">
        <f t="shared" si="44"/>
        <v>-535817144.75999999</v>
      </c>
      <c r="M76" s="120">
        <f t="shared" si="44"/>
        <v>548544553</v>
      </c>
      <c r="N76" s="120">
        <f t="shared" si="44"/>
        <v>-677505421.9400003</v>
      </c>
      <c r="O76" s="120">
        <f t="shared" si="44"/>
        <v>-1245668227</v>
      </c>
      <c r="P76" s="120">
        <f t="shared" si="44"/>
        <v>-856014139.84000039</v>
      </c>
      <c r="Q76" s="120">
        <f t="shared" si="44"/>
        <v>-1233973544</v>
      </c>
      <c r="R76" s="120">
        <f t="shared" si="44"/>
        <v>-1188824506.7299998</v>
      </c>
      <c r="S76" s="120">
        <f t="shared" si="44"/>
        <v>-548367590</v>
      </c>
      <c r="T76" s="120">
        <f t="shared" si="44"/>
        <v>-534769930.86999971</v>
      </c>
      <c r="U76" s="120">
        <f t="shared" si="44"/>
        <v>-236737373</v>
      </c>
      <c r="V76" s="120">
        <f t="shared" si="44"/>
        <v>-887276497</v>
      </c>
      <c r="W76" s="120">
        <f t="shared" si="44"/>
        <v>-711243228</v>
      </c>
      <c r="X76" s="120">
        <f t="shared" si="44"/>
        <v>-696224938.52999997</v>
      </c>
      <c r="Y76" s="120">
        <f t="shared" si="44"/>
        <v>-654107033</v>
      </c>
      <c r="Z76" s="120">
        <f t="shared" si="44"/>
        <v>-842018380</v>
      </c>
      <c r="AA76" s="120">
        <f t="shared" si="44"/>
        <v>-710536270</v>
      </c>
      <c r="AB76" s="120">
        <f t="shared" si="44"/>
        <v>-425820130.53000003</v>
      </c>
      <c r="AC76" s="120">
        <f t="shared" si="44"/>
        <v>-603723614</v>
      </c>
      <c r="AD76" s="120">
        <f t="shared" si="44"/>
        <v>-509498084.02999991</v>
      </c>
      <c r="AE76" s="120">
        <f t="shared" si="44"/>
        <v>-561452021</v>
      </c>
      <c r="AF76" s="120">
        <f t="shared" si="44"/>
        <v>-331224540.01999986</v>
      </c>
      <c r="AG76" s="120">
        <f t="shared" si="44"/>
        <v>-313194727</v>
      </c>
      <c r="AH76" s="120">
        <f t="shared" si="44"/>
        <v>-235555164.33999991</v>
      </c>
      <c r="AI76" s="120">
        <f t="shared" si="44"/>
        <v>-135193107.41999996</v>
      </c>
      <c r="AJ76" s="120">
        <f t="shared" si="44"/>
        <v>-124502083.56</v>
      </c>
      <c r="AK76" s="120">
        <f t="shared" si="44"/>
        <v>-144337842.05999994</v>
      </c>
      <c r="AL76" s="120">
        <f t="shared" si="44"/>
        <v>-56433725.330000043</v>
      </c>
      <c r="AM76" s="120">
        <f t="shared" si="44"/>
        <v>-119224255.10999995</v>
      </c>
      <c r="AN76" s="120">
        <f t="shared" si="44"/>
        <v>-241443719.36999997</v>
      </c>
      <c r="AO76" s="120">
        <f t="shared" si="44"/>
        <v>-251401305.50999999</v>
      </c>
      <c r="AP76" s="120">
        <f t="shared" si="44"/>
        <v>-520675474.2299999</v>
      </c>
      <c r="AQ76" s="120">
        <f t="shared" si="44"/>
        <v>-640920445.13999987</v>
      </c>
      <c r="AR76" s="120">
        <f t="shared" si="44"/>
        <v>-642468361.88999999</v>
      </c>
      <c r="AS76" s="120">
        <f t="shared" si="44"/>
        <v>-552752514.58999991</v>
      </c>
      <c r="AT76" s="120">
        <f t="shared" si="44"/>
        <v>-452213136.50000006</v>
      </c>
      <c r="AU76" s="120">
        <f t="shared" si="44"/>
        <v>-381229613.56999999</v>
      </c>
      <c r="AV76" s="120">
        <f t="shared" si="44"/>
        <v>-373766340.52000004</v>
      </c>
      <c r="AW76" s="120">
        <f t="shared" si="44"/>
        <v>-422193456.79999995</v>
      </c>
      <c r="AX76" s="120">
        <f t="shared" si="44"/>
        <v>-402187414.87</v>
      </c>
      <c r="AY76" s="120">
        <f t="shared" si="44"/>
        <v>-472766151.03999996</v>
      </c>
      <c r="AZ76" s="120">
        <f t="shared" si="44"/>
        <v>-410575499.46000004</v>
      </c>
      <c r="BA76" s="120">
        <f t="shared" si="44"/>
        <v>-461857857.15999997</v>
      </c>
      <c r="BB76" s="120">
        <f t="shared" si="44"/>
        <v>-437374834.94999993</v>
      </c>
      <c r="BC76" s="120">
        <f t="shared" si="44"/>
        <v>-465700510.25</v>
      </c>
      <c r="BD76" s="120">
        <f t="shared" si="44"/>
        <v>-484196582.50999999</v>
      </c>
      <c r="BE76" s="120">
        <f t="shared" si="44"/>
        <v>-425417927.35000002</v>
      </c>
      <c r="BF76" s="120">
        <f t="shared" si="44"/>
        <v>-453628123.77000004</v>
      </c>
      <c r="BG76" s="120">
        <f t="shared" si="44"/>
        <v>-402478878.5</v>
      </c>
      <c r="BH76" s="120">
        <f t="shared" si="44"/>
        <v>-352196327.64999998</v>
      </c>
      <c r="BI76" s="120">
        <f t="shared" si="44"/>
        <v>-330833661.44</v>
      </c>
      <c r="BJ76" s="120">
        <f t="shared" si="44"/>
        <v>-304389300.69999999</v>
      </c>
      <c r="BK76" s="120">
        <f t="shared" si="44"/>
        <v>-289737326.30000001</v>
      </c>
      <c r="BL76" s="120">
        <f t="shared" si="44"/>
        <v>-263098714.33000001</v>
      </c>
      <c r="BM76" s="120">
        <f t="shared" si="44"/>
        <v>-206262973.38999999</v>
      </c>
      <c r="BN76" s="120">
        <f t="shared" si="44"/>
        <v>-400404995.85000002</v>
      </c>
      <c r="BO76" s="120">
        <f t="shared" si="44"/>
        <v>-222431765.50999999</v>
      </c>
      <c r="BP76" s="120">
        <f t="shared" si="44"/>
        <v>-219010381.53</v>
      </c>
      <c r="BQ76" s="120">
        <f t="shared" si="44"/>
        <v>-227514209.72000003</v>
      </c>
      <c r="BR76" s="120">
        <f t="shared" ref="BR76:CJ76" si="45">BR71-BR64-BR68</f>
        <v>-261081671.13999999</v>
      </c>
      <c r="BS76" s="120">
        <f t="shared" si="45"/>
        <v>-263844308.06</v>
      </c>
      <c r="BT76" s="120">
        <f t="shared" si="45"/>
        <v>-241680408.41</v>
      </c>
      <c r="BU76" s="120">
        <f t="shared" si="45"/>
        <v>-215065263.42000002</v>
      </c>
      <c r="BV76" s="120">
        <f t="shared" si="45"/>
        <v>-179041115.81999999</v>
      </c>
      <c r="BW76" s="120">
        <f t="shared" si="45"/>
        <v>-118009632.33</v>
      </c>
      <c r="BX76" s="120">
        <f t="shared" si="45"/>
        <v>-128994791.34</v>
      </c>
      <c r="BY76" s="120">
        <f t="shared" si="45"/>
        <v>-122751651.36000001</v>
      </c>
      <c r="BZ76" s="120">
        <f t="shared" si="45"/>
        <v>0</v>
      </c>
      <c r="CA76" s="120">
        <f t="shared" si="45"/>
        <v>-107720272.36</v>
      </c>
      <c r="CB76" s="120">
        <f t="shared" si="45"/>
        <v>0</v>
      </c>
      <c r="CC76" s="120">
        <f t="shared" si="45"/>
        <v>-94304668.75</v>
      </c>
      <c r="CD76" s="120">
        <f t="shared" si="45"/>
        <v>0</v>
      </c>
      <c r="CE76" s="120">
        <f t="shared" si="45"/>
        <v>-63428791.940000005</v>
      </c>
      <c r="CF76" s="120">
        <f t="shared" si="45"/>
        <v>-69561760.569999993</v>
      </c>
      <c r="CG76" s="120">
        <f t="shared" si="45"/>
        <v>0</v>
      </c>
      <c r="CH76" s="120">
        <f t="shared" si="45"/>
        <v>0</v>
      </c>
      <c r="CI76" s="120">
        <f t="shared" si="45"/>
        <v>0</v>
      </c>
      <c r="CJ76" s="120">
        <f t="shared" si="45"/>
        <v>0</v>
      </c>
    </row>
    <row r="77" spans="1:89" s="16" customFormat="1" ht="262.14999999999998" customHeight="1">
      <c r="A77" s="279" t="s">
        <v>690</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5" thickBot="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9" customFormat="1">
      <c r="A80" s="248" t="s">
        <v>578</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37346</v>
      </c>
      <c r="BQ80" s="1">
        <v>37256</v>
      </c>
      <c r="BR80" s="1">
        <v>37072</v>
      </c>
      <c r="BS80" s="1">
        <v>36891</v>
      </c>
      <c r="BT80" s="1">
        <v>36707</v>
      </c>
      <c r="BU80" s="1">
        <v>36525</v>
      </c>
      <c r="BV80" s="1">
        <v>36341</v>
      </c>
      <c r="BW80" s="1">
        <v>36160</v>
      </c>
      <c r="BX80" s="1">
        <v>35976</v>
      </c>
      <c r="BY80" s="1">
        <v>35795</v>
      </c>
      <c r="BZ80" s="1">
        <v>35611</v>
      </c>
      <c r="CA80" s="1">
        <v>35430</v>
      </c>
      <c r="CB80" s="1">
        <v>35246</v>
      </c>
      <c r="CC80" s="1">
        <v>35064</v>
      </c>
      <c r="CD80" s="1">
        <v>34880</v>
      </c>
      <c r="CE80" s="1">
        <v>34699</v>
      </c>
      <c r="CF80" s="1">
        <v>34334</v>
      </c>
      <c r="CG80" s="1">
        <v>33969</v>
      </c>
      <c r="CH80" s="1">
        <v>33603</v>
      </c>
      <c r="CI80" s="1">
        <v>25569</v>
      </c>
      <c r="CJ80" s="1"/>
      <c r="CK80" s="1"/>
    </row>
    <row r="81" spans="1:89" s="76" customFormat="1">
      <c r="A81" s="70" t="s">
        <v>579</v>
      </c>
      <c r="E81" s="76">
        <f>股权价值增加表!E4</f>
        <v>14012500489.6</v>
      </c>
      <c r="F81" s="76">
        <f>股权价值增加表!F4</f>
        <v>10101263607.549999</v>
      </c>
      <c r="G81" s="76">
        <f>股权价值增加表!G4</f>
        <v>6204369367.1700001</v>
      </c>
      <c r="H81" s="76">
        <f>股权价值增加表!H4</f>
        <v>2902672264.27</v>
      </c>
      <c r="I81" s="76">
        <f>股权价值增加表!I4</f>
        <v>10736756430.530001</v>
      </c>
      <c r="J81" s="76">
        <f>股权价值增加表!J4</f>
        <v>7753412466.4899998</v>
      </c>
      <c r="K81" s="76">
        <f>股权价值增加表!K4</f>
        <v>4970453217</v>
      </c>
      <c r="L81" s="76">
        <f>股权价值增加表!L4</f>
        <v>2451540177.1700001</v>
      </c>
      <c r="M81" s="76">
        <f>股权价值增加表!M4</f>
        <v>10530002724</v>
      </c>
      <c r="N81" s="76">
        <f>股权价值增加表!N4</f>
        <v>7798701732.9399996</v>
      </c>
      <c r="O81" s="76">
        <f>股权价值增加表!O4</f>
        <v>5137805297</v>
      </c>
      <c r="P81" s="76">
        <f>股权价值增加表!P4</f>
        <v>2440217347.02</v>
      </c>
      <c r="Q81" s="76">
        <f>股权价值增加表!Q4</f>
        <v>9322363339</v>
      </c>
      <c r="R81" s="76">
        <f>股权价值增加表!R4</f>
        <v>6534329893.3699999</v>
      </c>
      <c r="S81" s="76">
        <f>股权价值增加表!S4</f>
        <v>2485591860</v>
      </c>
      <c r="T81" s="76">
        <f>股权价值增加表!T4</f>
        <v>1179748523.6800001</v>
      </c>
      <c r="U81" s="76">
        <f>股权价值增加表!U4</f>
        <v>4519377681</v>
      </c>
      <c r="V81" s="76">
        <f>股权价值增加表!V4</f>
        <v>3497195925</v>
      </c>
      <c r="W81" s="76">
        <f>股权价值增加表!W4</f>
        <v>2251106750</v>
      </c>
      <c r="X81" s="76">
        <f>股权价值增加表!X4</f>
        <v>1040384420.38</v>
      </c>
      <c r="Y81" s="76">
        <f>股权价值增加表!Y4</f>
        <v>4333544367</v>
      </c>
      <c r="Z81" s="76">
        <f>股权价值增加表!Z4</f>
        <v>3309222233</v>
      </c>
      <c r="AA81" s="76">
        <f>股权价值增加表!AA4</f>
        <v>2237318777</v>
      </c>
      <c r="AB81" s="76">
        <f>股权价值增加表!AB4</f>
        <v>983311090.32000005</v>
      </c>
      <c r="AC81" s="76">
        <f>股权价值增加表!AC4</f>
        <v>4614967219</v>
      </c>
      <c r="AD81" s="76">
        <f>股权价值增加表!AD4</f>
        <v>3351943781.3899999</v>
      </c>
      <c r="AE81" s="76">
        <f>股权价值增加表!AE4</f>
        <v>2109214855</v>
      </c>
      <c r="AF81" s="76">
        <f>股权价值增加表!AF4</f>
        <v>1016773975.08</v>
      </c>
      <c r="AG81" s="76">
        <f>股权价值增加表!AG4</f>
        <v>3454211508</v>
      </c>
      <c r="AH81" s="76">
        <f>股权价值增加表!AH4</f>
        <v>2331874989.3000002</v>
      </c>
      <c r="AI81" s="76">
        <f>股权价值增加表!AI4</f>
        <v>1482501080.6800001</v>
      </c>
      <c r="AJ81" s="76">
        <f>股权价值增加表!AJ4</f>
        <v>654990128.36000001</v>
      </c>
      <c r="AK81" s="76">
        <f>股权价值增加表!AK4</f>
        <v>2190447604.0900002</v>
      </c>
      <c r="AL81" s="76">
        <f>股权价值增加表!AL4</f>
        <v>1582234481.26</v>
      </c>
      <c r="AM81" s="76">
        <f>股权价值增加表!AM4</f>
        <v>877566161.70000005</v>
      </c>
      <c r="AN81" s="76">
        <f>股权价值增加表!AN4</f>
        <v>348986536.45999998</v>
      </c>
      <c r="AO81" s="76">
        <f>股权价值增加表!AO4</f>
        <v>1376252455.3199999</v>
      </c>
      <c r="AP81" s="76">
        <f>股权价值增加表!AP4</f>
        <v>1039055393.03</v>
      </c>
      <c r="AQ81" s="76">
        <f>股权价值增加表!AQ4</f>
        <v>688263087.98000002</v>
      </c>
      <c r="AR81" s="76">
        <f>股权价值增加表!AR4</f>
        <v>345739706.98000002</v>
      </c>
      <c r="AS81" s="76">
        <f>股权价值增加表!AS4</f>
        <v>1721551769.9000001</v>
      </c>
      <c r="AT81" s="76">
        <f>股权价值增加表!AT4</f>
        <v>1233069401.45</v>
      </c>
      <c r="AU81" s="76">
        <f>股权价值增加表!AU4</f>
        <v>766793416.89999998</v>
      </c>
      <c r="AV81" s="76">
        <f>股权价值增加表!AV4</f>
        <v>353680370.72000003</v>
      </c>
      <c r="AW81" s="76">
        <f>股权价值增加表!AW4</f>
        <v>1511181193.1300001</v>
      </c>
      <c r="AX81" s="76">
        <f>股权价值增加表!AX4</f>
        <v>1021355833.87</v>
      </c>
      <c r="AY81" s="76">
        <f>股权价值增加表!AY4</f>
        <v>640682641.66999996</v>
      </c>
      <c r="AZ81" s="76">
        <f>股权价值增加表!AZ4</f>
        <v>252638836.43000001</v>
      </c>
      <c r="BA81" s="76">
        <f>股权价值增加表!BA4</f>
        <v>1102472837.22</v>
      </c>
      <c r="BB81" s="76">
        <f>股权价值增加表!BB4</f>
        <v>757278828.25999999</v>
      </c>
      <c r="BC81" s="76">
        <f>股权价值增加表!BC4</f>
        <v>525047305.04000002</v>
      </c>
      <c r="BD81" s="76">
        <f>股权价值增加表!BD4</f>
        <v>235781336</v>
      </c>
      <c r="BE81" s="76">
        <f>股权价值增加表!BE4</f>
        <v>1070912713.53</v>
      </c>
      <c r="BF81" s="76">
        <f>股权价值增加表!BF4</f>
        <v>658451923.87</v>
      </c>
      <c r="BG81" s="76">
        <f>股权价值增加表!BG4</f>
        <v>440634384.5</v>
      </c>
      <c r="BH81" s="76">
        <f>股权价值增加表!BH4</f>
        <v>175134049.22999999</v>
      </c>
      <c r="BI81" s="76">
        <f>股权价值增加表!BI4</f>
        <v>635780184.69000006</v>
      </c>
      <c r="BJ81" s="76">
        <f>股权价值增加表!BJ4</f>
        <v>444161175.67000002</v>
      </c>
      <c r="BK81" s="76">
        <f>股权价值增加表!BK4</f>
        <v>259543114.94999999</v>
      </c>
      <c r="BL81" s="76">
        <f>股权价值增加表!BL4</f>
        <v>108906147.65000001</v>
      </c>
      <c r="BM81" s="76">
        <f>股权价值增加表!BM4</f>
        <v>325573860.41000003</v>
      </c>
      <c r="BN81" s="76">
        <f>股权价值增加表!BN4</f>
        <v>242239931.31999999</v>
      </c>
      <c r="BO81" s="76">
        <f>股权价值增加表!BO4</f>
        <v>150534298.19999999</v>
      </c>
      <c r="BP81" s="76">
        <f>股权价值增加表!BP4</f>
        <v>64662895.729999997</v>
      </c>
      <c r="BQ81" s="76">
        <f>股权价值增加表!BQ4</f>
        <v>278936200.85000002</v>
      </c>
      <c r="BR81" s="76">
        <f>股权价值增加表!BR4</f>
        <v>151843112.88999999</v>
      </c>
      <c r="BS81" s="76">
        <f>股权价值增加表!BS4</f>
        <v>317613770.89999998</v>
      </c>
      <c r="BT81" s="76">
        <f>股权价值增加表!BT4</f>
        <v>155847802.03</v>
      </c>
      <c r="BU81" s="76">
        <f>股权价值增加表!BU4</f>
        <v>269058645.97000003</v>
      </c>
      <c r="BV81" s="76">
        <f>股权价值增加表!BV4</f>
        <v>123867036.98</v>
      </c>
      <c r="BW81" s="76">
        <f>股权价值增加表!BW4</f>
        <v>172359929.78999999</v>
      </c>
      <c r="BX81" s="76">
        <f>股权价值增加表!BX4</f>
        <v>96802269.069999993</v>
      </c>
      <c r="BY81" s="76">
        <f>股权价值增加表!BY4</f>
        <v>219024479.13999999</v>
      </c>
      <c r="BZ81" s="76">
        <f>股权价值增加表!BZ4</f>
        <v>104071345.44</v>
      </c>
      <c r="CA81" s="76">
        <f>股权价值增加表!CA4</f>
        <v>153766691.63999999</v>
      </c>
      <c r="CB81" s="76">
        <f>股权价值增加表!CB4</f>
        <v>65350000</v>
      </c>
      <c r="CC81" s="76">
        <f>股权价值增加表!CC4</f>
        <v>150277584.41999999</v>
      </c>
      <c r="CD81" s="76">
        <f>股权价值增加表!CD4</f>
        <v>72860000</v>
      </c>
      <c r="CE81" s="76">
        <f>股权价值增加表!CE4</f>
        <v>172102849.21000001</v>
      </c>
      <c r="CF81" s="76">
        <f>股权价值增加表!CF4</f>
        <v>134608301.97</v>
      </c>
      <c r="CG81" s="76">
        <f>股权价值增加表!CG4</f>
        <v>110910400</v>
      </c>
      <c r="CH81" s="76">
        <f>股权价值增加表!CH4</f>
        <v>59300500</v>
      </c>
      <c r="CI81" s="76">
        <f>股权价值增加表!CI4</f>
        <v>0</v>
      </c>
      <c r="CJ81" s="76">
        <f>股权价值增加表!CJ4</f>
        <v>0</v>
      </c>
      <c r="CK81" s="76">
        <f>股权价值增加表!CK4</f>
        <v>0</v>
      </c>
    </row>
    <row r="82" spans="1:89" s="76" customFormat="1">
      <c r="A82" s="70" t="s">
        <v>580</v>
      </c>
      <c r="E82" s="76">
        <f>投资和筹资活动现金流表!E34</f>
        <v>18123411785.800003</v>
      </c>
      <c r="F82" s="76">
        <f>投资和筹资活动现金流表!F34</f>
        <v>17433323078.809998</v>
      </c>
      <c r="G82" s="76">
        <f>投资和筹资活动现金流表!G34</f>
        <v>16371360266.710001</v>
      </c>
      <c r="H82" s="76">
        <f>投资和筹资活动现金流表!H34</f>
        <v>15165547668.900002</v>
      </c>
      <c r="I82" s="76">
        <f>投资和筹资活动现金流表!I34</f>
        <v>12023246434.969999</v>
      </c>
      <c r="J82" s="76">
        <f>投资和筹资活动现金流表!J34</f>
        <v>11130000545.08</v>
      </c>
      <c r="K82" s="76">
        <f>投资和筹资活动现金流表!K34</f>
        <v>10462812737</v>
      </c>
      <c r="L82" s="76">
        <f>投资和筹资活动现金流表!L34</f>
        <v>10256069023.73</v>
      </c>
      <c r="M82" s="76">
        <f>投资和筹资活动现金流表!M34</f>
        <v>10141366533</v>
      </c>
      <c r="N82" s="76">
        <f>投资和筹资活动现金流表!N34</f>
        <v>10162599299.25</v>
      </c>
      <c r="O82" s="76">
        <f>投资和筹资活动现金流表!O34</f>
        <v>10167654347</v>
      </c>
      <c r="P82" s="76">
        <f>投资和筹资活动现金流表!P34</f>
        <v>10122096711.220001</v>
      </c>
      <c r="Q82" s="76">
        <f>投资和筹资活动现金流表!Q34</f>
        <v>10281957339</v>
      </c>
      <c r="R82" s="76">
        <f>投资和筹资活动现金流表!R34</f>
        <v>10215860721.410002</v>
      </c>
      <c r="S82" s="76">
        <f>投资和筹资活动现金流表!S34</f>
        <v>5096722599</v>
      </c>
      <c r="T82" s="76">
        <f>投资和筹资活动现金流表!T34</f>
        <v>5052159840.8000002</v>
      </c>
      <c r="U82" s="76">
        <f>投资和筹资活动现金流表!U34</f>
        <v>5136257988</v>
      </c>
      <c r="V82" s="76">
        <f>投资和筹资活动现金流表!V34</f>
        <v>5272473366</v>
      </c>
      <c r="W82" s="76">
        <f>投资和筹资活动现金流表!W34</f>
        <v>5402148187</v>
      </c>
      <c r="X82" s="76">
        <f>投资和筹资活动现金流表!X34</f>
        <v>5493382662.3200006</v>
      </c>
      <c r="Y82" s="76">
        <f>投资和筹资活动现金流表!AZ34</f>
        <v>637390319.25999999</v>
      </c>
      <c r="Z82" s="76">
        <f>投资和筹资活动现金流表!BA34</f>
        <v>587748018.29999995</v>
      </c>
      <c r="AA82" s="76">
        <f>投资和筹资活动现金流表!BB34</f>
        <v>612821177.35000002</v>
      </c>
      <c r="AB82" s="76">
        <f>投资和筹资活动现金流表!BC34</f>
        <v>624080949.61000001</v>
      </c>
      <c r="AC82" s="76">
        <f>投资和筹资活动现金流表!BD34</f>
        <v>634697613.25</v>
      </c>
      <c r="AD82" s="76">
        <f>投资和筹资活动现金流表!BE34</f>
        <v>643630520.16999996</v>
      </c>
      <c r="AE82" s="76">
        <f>投资和筹资活动现金流表!BF34</f>
        <v>612613996.75</v>
      </c>
      <c r="AF82" s="76">
        <f>投资和筹资活动现金流表!BG34</f>
        <v>615706338.69000006</v>
      </c>
      <c r="AG82" s="76">
        <f>投资和筹资活动现金流表!BH34</f>
        <v>611963940.13</v>
      </c>
      <c r="AH82" s="76">
        <f>投资和筹资活动现金流表!BI34</f>
        <v>628602544.41999996</v>
      </c>
      <c r="AI82" s="76">
        <f>投资和筹资活动现金流表!BJ34</f>
        <v>587220601.98000002</v>
      </c>
      <c r="AJ82" s="76">
        <f>投资和筹资活动现金流表!BK34</f>
        <v>577169241.69000006</v>
      </c>
      <c r="AK82" s="76">
        <f>投资和筹资活动现金流表!BL34</f>
        <v>539904943.37</v>
      </c>
      <c r="AL82" s="76">
        <f>投资和筹资活动现金流表!BM34</f>
        <v>536592234.44</v>
      </c>
      <c r="AM82" s="76">
        <f>投资和筹资活动现金流表!BN34</f>
        <v>272504470.83999997</v>
      </c>
      <c r="AN82" s="76">
        <f>投资和筹资活动现金流表!BO34</f>
        <v>259750329.25999999</v>
      </c>
      <c r="AO82" s="76">
        <f>投资和筹资活动现金流表!BP34</f>
        <v>250098522.88</v>
      </c>
      <c r="AP82" s="76">
        <f>投资和筹资活动现金流表!BQ34</f>
        <v>3700305413.9700003</v>
      </c>
      <c r="AQ82" s="76">
        <f>投资和筹资活动现金流表!BR34</f>
        <v>3357601566.8900003</v>
      </c>
      <c r="AR82" s="76">
        <f>投资和筹资活动现金流表!BS34</f>
        <v>3002106865.1500001</v>
      </c>
      <c r="AS82" s="76">
        <f>投资和筹资活动现金流表!AS34</f>
        <v>2780763802.2999997</v>
      </c>
      <c r="AT82" s="76">
        <f>投资和筹资活动现金流表!AT34</f>
        <v>2376653473.1600003</v>
      </c>
      <c r="AU82" s="76">
        <f>投资和筹资活动现金流表!AU34</f>
        <v>1263503570.1700001</v>
      </c>
      <c r="AV82" s="76">
        <f>投资和筹资活动现金流表!AV34</f>
        <v>1019683352.13</v>
      </c>
      <c r="AW82" s="76">
        <f>投资和筹资活动现金流表!AW34</f>
        <v>719053571.74000001</v>
      </c>
      <c r="AX82" s="76">
        <f>投资和筹资活动现金流表!AX34</f>
        <v>710474574.25999999</v>
      </c>
      <c r="AY82" s="76">
        <f>投资和筹资活动现金流表!AY34</f>
        <v>624450348.26999998</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4" customFormat="1">
      <c r="A83" s="250" t="s">
        <v>581</v>
      </c>
      <c r="E83" s="154">
        <f>E81/E82</f>
        <v>0.77317122488929091</v>
      </c>
      <c r="F83" s="154">
        <f t="shared" ref="F83:BQ83" si="46">F81/F82</f>
        <v>0.57942272749066226</v>
      </c>
      <c r="G83" s="154">
        <f t="shared" si="46"/>
        <v>0.37897702243998288</v>
      </c>
      <c r="H83" s="154">
        <f t="shared" si="46"/>
        <v>0.19139910589727741</v>
      </c>
      <c r="I83" s="154">
        <f t="shared" si="46"/>
        <v>0.89299978076651565</v>
      </c>
      <c r="J83" s="154">
        <f t="shared" si="46"/>
        <v>0.69662282900043382</v>
      </c>
      <c r="K83" s="154">
        <f t="shared" si="46"/>
        <v>0.47505898671232233</v>
      </c>
      <c r="L83" s="154">
        <f t="shared" si="46"/>
        <v>0.23903311995051363</v>
      </c>
      <c r="M83" s="154">
        <f t="shared" si="46"/>
        <v>1.0383218760248314</v>
      </c>
      <c r="N83" s="154">
        <f t="shared" si="46"/>
        <v>0.76739242621870807</v>
      </c>
      <c r="O83" s="154">
        <f t="shared" si="46"/>
        <v>0.50530880787818344</v>
      </c>
      <c r="P83" s="154">
        <f t="shared" si="46"/>
        <v>0.24107824857226484</v>
      </c>
      <c r="Q83" s="154">
        <f t="shared" si="46"/>
        <v>0.90667205004243601</v>
      </c>
      <c r="R83" s="154">
        <f t="shared" si="46"/>
        <v>0.6396259768573006</v>
      </c>
      <c r="S83" s="154">
        <f t="shared" si="46"/>
        <v>0.48768435238905966</v>
      </c>
      <c r="T83" s="154">
        <f t="shared" si="46"/>
        <v>0.23351369728104032</v>
      </c>
      <c r="U83" s="154">
        <f t="shared" si="46"/>
        <v>0.87989693889184761</v>
      </c>
      <c r="V83" s="154">
        <f t="shared" si="46"/>
        <v>0.66329323682353147</v>
      </c>
      <c r="W83" s="154">
        <f t="shared" si="46"/>
        <v>0.41670584961315499</v>
      </c>
      <c r="X83" s="154">
        <f t="shared" si="46"/>
        <v>0.1893886671169232</v>
      </c>
      <c r="Y83" s="154">
        <f t="shared" si="46"/>
        <v>6.7988863904164347</v>
      </c>
      <c r="Z83" s="154">
        <f t="shared" si="46"/>
        <v>5.6303417960839433</v>
      </c>
      <c r="AA83" s="154">
        <f t="shared" si="46"/>
        <v>3.6508509491704495</v>
      </c>
      <c r="AB83" s="154">
        <f t="shared" si="46"/>
        <v>1.5756146553335584</v>
      </c>
      <c r="AC83" s="154">
        <f t="shared" si="46"/>
        <v>7.2711274198256959</v>
      </c>
      <c r="AD83" s="154">
        <f t="shared" si="46"/>
        <v>5.2078695405939763</v>
      </c>
      <c r="AE83" s="154">
        <f t="shared" si="46"/>
        <v>3.4429752930714441</v>
      </c>
      <c r="AF83" s="154">
        <f t="shared" si="46"/>
        <v>1.6513943599205534</v>
      </c>
      <c r="AG83" s="154">
        <f t="shared" si="46"/>
        <v>5.6444690307507646</v>
      </c>
      <c r="AH83" s="154">
        <f t="shared" si="46"/>
        <v>3.7096174840519911</v>
      </c>
      <c r="AI83" s="154">
        <f t="shared" si="46"/>
        <v>2.5246067247662611</v>
      </c>
      <c r="AJ83" s="154">
        <f t="shared" si="46"/>
        <v>1.134832006019818</v>
      </c>
      <c r="AK83" s="154">
        <f t="shared" si="46"/>
        <v>4.0570986263203626</v>
      </c>
      <c r="AL83" s="154">
        <f t="shared" si="46"/>
        <v>2.9486719704605049</v>
      </c>
      <c r="AM83" s="154">
        <f t="shared" si="46"/>
        <v>3.2203734455984758</v>
      </c>
      <c r="AN83" s="154">
        <f t="shared" si="46"/>
        <v>1.3435460792454974</v>
      </c>
      <c r="AO83" s="154">
        <f t="shared" si="46"/>
        <v>5.5028411982278715</v>
      </c>
      <c r="AP83" s="154">
        <f t="shared" si="46"/>
        <v>0.28080260324112372</v>
      </c>
      <c r="AQ83" s="154">
        <f t="shared" si="46"/>
        <v>0.20498652811194273</v>
      </c>
      <c r="AR83" s="154">
        <f t="shared" si="46"/>
        <v>0.11516568946746177</v>
      </c>
      <c r="AS83" s="154">
        <f t="shared" si="46"/>
        <v>0.61909313134617405</v>
      </c>
      <c r="AT83" s="154">
        <f t="shared" si="46"/>
        <v>0.51882591020326996</v>
      </c>
      <c r="AU83" s="154">
        <f t="shared" si="46"/>
        <v>0.6068787101225448</v>
      </c>
      <c r="AV83" s="154">
        <f t="shared" si="46"/>
        <v>0.34685313826218978</v>
      </c>
      <c r="AW83" s="154">
        <f t="shared" si="46"/>
        <v>2.1016253204516766</v>
      </c>
      <c r="AX83" s="154">
        <f t="shared" si="46"/>
        <v>1.4375684519517122</v>
      </c>
      <c r="AY83" s="154">
        <f t="shared" si="46"/>
        <v>1.0259945301415405</v>
      </c>
      <c r="AZ83" s="154" t="e">
        <f t="shared" si="46"/>
        <v>#REF!</v>
      </c>
      <c r="BA83" s="154" t="e">
        <f t="shared" si="46"/>
        <v>#REF!</v>
      </c>
      <c r="BB83" s="154" t="e">
        <f t="shared" si="46"/>
        <v>#REF!</v>
      </c>
      <c r="BC83" s="154" t="e">
        <f t="shared" si="46"/>
        <v>#REF!</v>
      </c>
      <c r="BD83" s="154" t="e">
        <f t="shared" si="46"/>
        <v>#REF!</v>
      </c>
      <c r="BE83" s="154" t="e">
        <f t="shared" si="46"/>
        <v>#REF!</v>
      </c>
      <c r="BF83" s="154" t="e">
        <f t="shared" si="46"/>
        <v>#REF!</v>
      </c>
      <c r="BG83" s="154" t="e">
        <f t="shared" si="46"/>
        <v>#REF!</v>
      </c>
      <c r="BH83" s="154" t="e">
        <f t="shared" si="46"/>
        <v>#REF!</v>
      </c>
      <c r="BI83" s="154" t="e">
        <f t="shared" si="46"/>
        <v>#REF!</v>
      </c>
      <c r="BJ83" s="154" t="e">
        <f t="shared" si="46"/>
        <v>#REF!</v>
      </c>
      <c r="BK83" s="154" t="e">
        <f t="shared" si="46"/>
        <v>#REF!</v>
      </c>
      <c r="BL83" s="154" t="e">
        <f t="shared" si="46"/>
        <v>#REF!</v>
      </c>
      <c r="BM83" s="154" t="e">
        <f t="shared" si="46"/>
        <v>#REF!</v>
      </c>
      <c r="BN83" s="154" t="e">
        <f t="shared" si="46"/>
        <v>#REF!</v>
      </c>
      <c r="BO83" s="154" t="e">
        <f t="shared" si="46"/>
        <v>#REF!</v>
      </c>
      <c r="BP83" s="154" t="e">
        <f t="shared" si="46"/>
        <v>#REF!</v>
      </c>
      <c r="BQ83" s="154" t="e">
        <f t="shared" si="46"/>
        <v>#REF!</v>
      </c>
      <c r="BR83" s="154" t="e">
        <f t="shared" ref="BR83:CK83" si="47">BR81/BR82</f>
        <v>#REF!</v>
      </c>
      <c r="BS83" s="154" t="e">
        <f t="shared" si="47"/>
        <v>#REF!</v>
      </c>
      <c r="BT83" s="154" t="e">
        <f t="shared" si="47"/>
        <v>#DIV/0!</v>
      </c>
      <c r="BU83" s="154" t="e">
        <f t="shared" si="47"/>
        <v>#DIV/0!</v>
      </c>
      <c r="BV83" s="154" t="e">
        <f t="shared" si="47"/>
        <v>#DIV/0!</v>
      </c>
      <c r="BW83" s="154" t="e">
        <f t="shared" si="47"/>
        <v>#DIV/0!</v>
      </c>
      <c r="BX83" s="154" t="e">
        <f t="shared" si="47"/>
        <v>#DIV/0!</v>
      </c>
      <c r="BY83" s="154" t="e">
        <f t="shared" si="47"/>
        <v>#DIV/0!</v>
      </c>
      <c r="BZ83" s="154" t="e">
        <f t="shared" si="47"/>
        <v>#DIV/0!</v>
      </c>
      <c r="CA83" s="154" t="e">
        <f t="shared" si="47"/>
        <v>#DIV/0!</v>
      </c>
      <c r="CB83" s="154" t="e">
        <f t="shared" si="47"/>
        <v>#DIV/0!</v>
      </c>
      <c r="CC83" s="154" t="e">
        <f t="shared" si="47"/>
        <v>#DIV/0!</v>
      </c>
      <c r="CD83" s="154" t="e">
        <f t="shared" si="47"/>
        <v>#DIV/0!</v>
      </c>
      <c r="CE83" s="154" t="e">
        <f t="shared" si="47"/>
        <v>#DIV/0!</v>
      </c>
      <c r="CF83" s="154" t="e">
        <f t="shared" si="47"/>
        <v>#DIV/0!</v>
      </c>
      <c r="CG83" s="154" t="e">
        <f t="shared" si="47"/>
        <v>#DIV/0!</v>
      </c>
      <c r="CH83" s="154" t="e">
        <f t="shared" si="47"/>
        <v>#DIV/0!</v>
      </c>
      <c r="CI83" s="154" t="e">
        <f t="shared" si="47"/>
        <v>#DIV/0!</v>
      </c>
      <c r="CJ83" s="154" t="e">
        <f t="shared" si="47"/>
        <v>#DIV/0!</v>
      </c>
      <c r="CK83" s="154" t="e">
        <f t="shared" si="47"/>
        <v>#DIV/0!</v>
      </c>
    </row>
    <row r="84" spans="1:89" s="76" customFormat="1">
      <c r="A84" s="70" t="s">
        <v>582</v>
      </c>
      <c r="E84" s="76">
        <f>资产资本表!E52</f>
        <v>6622115057.1800003</v>
      </c>
      <c r="F84" s="76">
        <f>资产资本表!F52</f>
        <v>6529609597.1999998</v>
      </c>
      <c r="G84" s="76">
        <f>资产资本表!G52</f>
        <v>6041124168.9099998</v>
      </c>
      <c r="H84" s="76">
        <f>资产资本表!H52</f>
        <v>6123151500.6000004</v>
      </c>
      <c r="I84" s="76">
        <f>资产资本表!I52</f>
        <v>6268134989.3199997</v>
      </c>
      <c r="J84" s="76">
        <f>资产资本表!J52</f>
        <v>6459390362.6400003</v>
      </c>
      <c r="K84" s="76">
        <f>资产资本表!K52</f>
        <v>6598863476</v>
      </c>
      <c r="L84" s="76">
        <f>资产资本表!L52</f>
        <v>6812488804.8900003</v>
      </c>
      <c r="M84" s="76">
        <f>资产资本表!M52</f>
        <v>6845571380</v>
      </c>
      <c r="N84" s="76">
        <f>资产资本表!N52</f>
        <v>7050355130.8800001</v>
      </c>
      <c r="O84" s="76">
        <f>资产资本表!O52</f>
        <v>7300912499</v>
      </c>
      <c r="P84" s="76">
        <f>资产资本表!P52</f>
        <v>7582244530.04</v>
      </c>
      <c r="Q84" s="76">
        <f>资产资本表!Q52</f>
        <v>7816029519</v>
      </c>
      <c r="R84" s="76">
        <f>资产资本表!R52</f>
        <v>8071947724.4200001</v>
      </c>
      <c r="S84" s="76">
        <f>资产资本表!S52</f>
        <v>3788048550</v>
      </c>
      <c r="T84" s="76">
        <f>资产资本表!T52</f>
        <v>3874729665.0700002</v>
      </c>
      <c r="U84" s="76">
        <f>资产资本表!U52</f>
        <v>3986723070</v>
      </c>
      <c r="V84" s="76">
        <f>资产资本表!V52</f>
        <v>4087328114</v>
      </c>
      <c r="W84" s="76">
        <f>资产资本表!W52</f>
        <v>4202621533</v>
      </c>
      <c r="X84" s="76">
        <f>资产资本表!X52</f>
        <v>4332951924.8400002</v>
      </c>
      <c r="Y84" s="76">
        <f>资产资本表!Y52</f>
        <v>4412502695</v>
      </c>
      <c r="Z84" s="76">
        <f>资产资本表!Z52</f>
        <v>4498385230</v>
      </c>
      <c r="AA84" s="76">
        <f>资产资本表!AA52</f>
        <v>4607263672</v>
      </c>
      <c r="AB84" s="76">
        <f>资产资本表!AB52</f>
        <v>4445580010.5600004</v>
      </c>
      <c r="AC84" s="76">
        <f>资产资本表!AC52</f>
        <v>4574048642</v>
      </c>
      <c r="AD84" s="76">
        <f>资产资本表!AD52</f>
        <v>4682678319.6000004</v>
      </c>
      <c r="AE84" s="76">
        <f>资产资本表!AE52</f>
        <v>4790543754</v>
      </c>
      <c r="AF84" s="76">
        <f>资产资本表!AF52</f>
        <v>4888850900.54</v>
      </c>
      <c r="AG84" s="76">
        <f>资产资本表!AG52</f>
        <v>4995034450</v>
      </c>
      <c r="AH84" s="76">
        <f>资产资本表!AH52</f>
        <v>3203428879.0100002</v>
      </c>
      <c r="AI84" s="76">
        <f>资产资本表!AI52</f>
        <v>3263335011.98</v>
      </c>
      <c r="AJ84" s="76">
        <f>资产资本表!AJ52</f>
        <v>3336112314.5999999</v>
      </c>
      <c r="AK84" s="76">
        <f>资产资本表!AK52</f>
        <v>3416417873.8899999</v>
      </c>
      <c r="AL84" s="76">
        <f>资产资本表!AL52</f>
        <v>3539545426.0999999</v>
      </c>
      <c r="AM84" s="76">
        <f>资产资本表!AM52</f>
        <v>3607610568.8099999</v>
      </c>
      <c r="AN84" s="76">
        <f>资产资本表!AN52</f>
        <v>3671977804.4000001</v>
      </c>
      <c r="AO84" s="76">
        <f>资产资本表!AO52</f>
        <v>3744076083.5300002</v>
      </c>
      <c r="AP84" s="76">
        <f>资产资本表!AP52</f>
        <v>3435968354.5500002</v>
      </c>
      <c r="AQ84" s="76">
        <f>资产资本表!AQ52</f>
        <v>1387930539.8</v>
      </c>
      <c r="AR84" s="76">
        <f>资产资本表!AR52</f>
        <v>504260539.55000001</v>
      </c>
      <c r="AS84" s="76">
        <f>资产资本表!AS52</f>
        <v>510361097.72000003</v>
      </c>
      <c r="AT84" s="76">
        <f>资产资本表!AT52</f>
        <v>499449749.80000001</v>
      </c>
      <c r="AU84" s="76">
        <f>资产资本表!AU52</f>
        <v>507878415.33999997</v>
      </c>
      <c r="AV84" s="76">
        <f>资产资本表!AV52</f>
        <v>527532490.57999998</v>
      </c>
      <c r="AW84" s="76">
        <f>资产资本表!AW52</f>
        <v>537722021.47000003</v>
      </c>
      <c r="AX84" s="76">
        <f>资产资本表!AX52</f>
        <v>536690591.70999998</v>
      </c>
      <c r="AY84" s="76">
        <f>资产资本表!AY52</f>
        <v>543398299.13</v>
      </c>
      <c r="AZ84" s="76">
        <f>资产资本表!AZ52</f>
        <v>556722441.57000005</v>
      </c>
      <c r="BA84" s="76">
        <f>资产资本表!BA52</f>
        <v>569373460.89999998</v>
      </c>
      <c r="BB84" s="76">
        <f>资产资本表!BB52</f>
        <v>580239933.60000002</v>
      </c>
      <c r="BC84" s="76">
        <f>资产资本表!BC52</f>
        <v>591190255.88999999</v>
      </c>
      <c r="BD84" s="76">
        <f>资产资本表!BD52</f>
        <v>603768202.26999998</v>
      </c>
      <c r="BE84" s="76">
        <f>资产资本表!BE52</f>
        <v>584490661.57000005</v>
      </c>
      <c r="BF84" s="76">
        <f>资产资本表!BF52</f>
        <v>593899574.30999994</v>
      </c>
      <c r="BG84" s="76">
        <f>资产资本表!BG52</f>
        <v>585359737.99000001</v>
      </c>
      <c r="BH84" s="76">
        <f>资产资本表!BH52</f>
        <v>585004559.86000001</v>
      </c>
      <c r="BI84" s="76">
        <f>资产资本表!BI52</f>
        <v>595940536.23000002</v>
      </c>
      <c r="BJ84" s="76">
        <f>资产资本表!BJ52</f>
        <v>353184821.61000001</v>
      </c>
      <c r="BK84" s="76">
        <f>资产资本表!BK52</f>
        <v>354270531.19</v>
      </c>
      <c r="BL84" s="76">
        <f>资产资本表!BL52</f>
        <v>175530873.91</v>
      </c>
      <c r="BM84" s="76">
        <f>资产资本表!BM52</f>
        <v>179234172.50999999</v>
      </c>
      <c r="BN84" s="76">
        <f>资产资本表!BN52</f>
        <v>187368978.58000001</v>
      </c>
      <c r="BO84" s="76">
        <f>资产资本表!BO52</f>
        <v>191271402.83000001</v>
      </c>
      <c r="BP84" s="76">
        <f>资产资本表!BP52</f>
        <v>195421347.99000001</v>
      </c>
      <c r="BQ84" s="76">
        <f>资产资本表!BQ52</f>
        <v>194399206.31</v>
      </c>
      <c r="BR84" s="76">
        <f>资产资本表!BR52</f>
        <v>203631182.38999999</v>
      </c>
      <c r="BS84" s="76">
        <f>资产资本表!BS52</f>
        <v>205719372</v>
      </c>
      <c r="BT84" s="76">
        <f>资产资本表!BT52</f>
        <v>218020347.34</v>
      </c>
      <c r="BU84" s="76">
        <f>资产资本表!BU52</f>
        <v>212651751.69999999</v>
      </c>
      <c r="BV84" s="76">
        <f>资产资本表!BV52</f>
        <v>218579504.99000001</v>
      </c>
      <c r="BW84" s="76">
        <f>资产资本表!BW52</f>
        <v>225743490.75999999</v>
      </c>
      <c r="BX84" s="76">
        <f>资产资本表!BX52</f>
        <v>87533711.549999997</v>
      </c>
      <c r="BY84" s="76">
        <f>资产资本表!BY52</f>
        <v>90885305.290000007</v>
      </c>
      <c r="BZ84" s="76">
        <f>资产资本表!BZ52</f>
        <v>93160345.109999999</v>
      </c>
      <c r="CA84" s="76">
        <f>资产资本表!CA52</f>
        <v>95668293.459999993</v>
      </c>
      <c r="CB84" s="76">
        <f>资产资本表!CB52</f>
        <v>95990000</v>
      </c>
      <c r="CC84" s="76">
        <f>资产资本表!CC52</f>
        <v>97771962.189999998</v>
      </c>
      <c r="CD84" s="76">
        <f>资产资本表!CD52</f>
        <v>101730000</v>
      </c>
      <c r="CE84" s="76">
        <f>资产资本表!CE52</f>
        <v>104529465.17</v>
      </c>
      <c r="CF84" s="76">
        <f>资产资本表!CF52</f>
        <v>42091998.079999998</v>
      </c>
      <c r="CG84" s="76">
        <f>资产资本表!CG52</f>
        <v>33919300</v>
      </c>
      <c r="CH84" s="76">
        <f>资产资本表!CH52</f>
        <v>35843600</v>
      </c>
      <c r="CI84" s="76">
        <f>资产资本表!CI52</f>
        <v>0</v>
      </c>
      <c r="CJ84" s="76">
        <f>资产资本表!CJ52</f>
        <v>0</v>
      </c>
      <c r="CK84" s="76">
        <f>资产资本表!CK52</f>
        <v>0</v>
      </c>
    </row>
    <row r="85" spans="1:89" s="154" customFormat="1">
      <c r="A85" s="250" t="s">
        <v>583</v>
      </c>
      <c r="E85" s="154">
        <f>E81/E84</f>
        <v>2.1160158602812262</v>
      </c>
      <c r="F85" s="154">
        <f t="shared" ref="F85:BQ85" si="48">F81/F84</f>
        <v>1.5469935004814961</v>
      </c>
      <c r="G85" s="154">
        <f t="shared" si="48"/>
        <v>1.0270223212924714</v>
      </c>
      <c r="H85" s="154">
        <f t="shared" si="48"/>
        <v>0.47404874172810696</v>
      </c>
      <c r="I85" s="154">
        <f t="shared" si="48"/>
        <v>1.7129108496903607</v>
      </c>
      <c r="J85" s="154">
        <f t="shared" si="48"/>
        <v>1.2003319247176019</v>
      </c>
      <c r="K85" s="154">
        <f t="shared" si="48"/>
        <v>0.75322867870770294</v>
      </c>
      <c r="L85" s="154">
        <f t="shared" si="48"/>
        <v>0.35985969993965877</v>
      </c>
      <c r="M85" s="154">
        <f t="shared" si="48"/>
        <v>1.5382211563470689</v>
      </c>
      <c r="N85" s="154">
        <f t="shared" si="48"/>
        <v>1.1061431074276387</v>
      </c>
      <c r="O85" s="154">
        <f t="shared" si="48"/>
        <v>0.70372097976844961</v>
      </c>
      <c r="P85" s="154">
        <f t="shared" si="48"/>
        <v>0.32183311120501762</v>
      </c>
      <c r="Q85" s="154">
        <f t="shared" si="48"/>
        <v>1.1927236605668199</v>
      </c>
      <c r="R85" s="154">
        <f t="shared" si="48"/>
        <v>0.8095109280256787</v>
      </c>
      <c r="S85" s="154">
        <f t="shared" si="48"/>
        <v>0.6561668434793424</v>
      </c>
      <c r="T85" s="154">
        <f t="shared" si="48"/>
        <v>0.30447247309024511</v>
      </c>
      <c r="U85" s="154">
        <f t="shared" si="48"/>
        <v>1.1336071258644007</v>
      </c>
      <c r="V85" s="154">
        <f t="shared" si="48"/>
        <v>0.85561908108657414</v>
      </c>
      <c r="W85" s="154">
        <f t="shared" si="48"/>
        <v>0.53564346261583773</v>
      </c>
      <c r="X85" s="154">
        <f t="shared" si="48"/>
        <v>0.24010984622646547</v>
      </c>
      <c r="Y85" s="154">
        <f t="shared" si="48"/>
        <v>0.98210577228893903</v>
      </c>
      <c r="Z85" s="154">
        <f t="shared" si="48"/>
        <v>0.73564669627016355</v>
      </c>
      <c r="AA85" s="154">
        <f t="shared" si="48"/>
        <v>0.48560684525111764</v>
      </c>
      <c r="AB85" s="154">
        <f t="shared" si="48"/>
        <v>0.22118848113952502</v>
      </c>
      <c r="AC85" s="154">
        <f t="shared" si="48"/>
        <v>1.0089458115124259</v>
      </c>
      <c r="AD85" s="154">
        <f t="shared" si="48"/>
        <v>0.71581764806691373</v>
      </c>
      <c r="AE85" s="154">
        <f t="shared" si="48"/>
        <v>0.44028714970797445</v>
      </c>
      <c r="AF85" s="154">
        <f t="shared" si="48"/>
        <v>0.20797811096421284</v>
      </c>
      <c r="AG85" s="154">
        <f t="shared" si="48"/>
        <v>0.6915290660307658</v>
      </c>
      <c r="AH85" s="154">
        <f t="shared" si="48"/>
        <v>0.72793093818291721</v>
      </c>
      <c r="AI85" s="154">
        <f t="shared" si="48"/>
        <v>0.45429018940366328</v>
      </c>
      <c r="AJ85" s="154">
        <f t="shared" si="48"/>
        <v>0.19633335649208603</v>
      </c>
      <c r="AK85" s="154">
        <f t="shared" si="48"/>
        <v>0.64115330294649053</v>
      </c>
      <c r="AL85" s="154">
        <f t="shared" si="48"/>
        <v>0.44701629468938997</v>
      </c>
      <c r="AM85" s="154">
        <f t="shared" si="48"/>
        <v>0.24325412761762488</v>
      </c>
      <c r="AN85" s="154">
        <f t="shared" si="48"/>
        <v>9.5040480920614998E-2</v>
      </c>
      <c r="AO85" s="154">
        <f t="shared" si="48"/>
        <v>0.36758132703928331</v>
      </c>
      <c r="AP85" s="154">
        <f t="shared" si="48"/>
        <v>0.30240540244034997</v>
      </c>
      <c r="AQ85" s="154">
        <f t="shared" si="48"/>
        <v>0.49589159417097223</v>
      </c>
      <c r="AR85" s="154">
        <f t="shared" si="48"/>
        <v>0.68563704645328127</v>
      </c>
      <c r="AS85" s="154">
        <f t="shared" si="48"/>
        <v>3.3732033605047556</v>
      </c>
      <c r="AT85" s="154">
        <f t="shared" si="48"/>
        <v>2.4688557796730723</v>
      </c>
      <c r="AU85" s="154">
        <f t="shared" si="48"/>
        <v>1.5097972147264203</v>
      </c>
      <c r="AV85" s="154">
        <f t="shared" si="48"/>
        <v>0.67044282017803913</v>
      </c>
      <c r="AW85" s="154">
        <f t="shared" si="48"/>
        <v>2.8103390465556934</v>
      </c>
      <c r="AX85" s="154">
        <f t="shared" si="48"/>
        <v>1.9030626764217402</v>
      </c>
      <c r="AY85" s="154">
        <f t="shared" si="48"/>
        <v>1.1790295308170005</v>
      </c>
      <c r="AZ85" s="154">
        <f t="shared" si="48"/>
        <v>0.453796753221478</v>
      </c>
      <c r="BA85" s="154">
        <f t="shared" si="48"/>
        <v>1.9362912269871835</v>
      </c>
      <c r="BB85" s="154">
        <f t="shared" si="48"/>
        <v>1.3051132547213569</v>
      </c>
      <c r="BC85" s="154">
        <f t="shared" si="48"/>
        <v>0.88811901043526864</v>
      </c>
      <c r="BD85" s="154">
        <f t="shared" si="48"/>
        <v>0.39051631919920254</v>
      </c>
      <c r="BE85" s="154">
        <f t="shared" si="48"/>
        <v>1.8322152669700862</v>
      </c>
      <c r="BF85" s="154">
        <f t="shared" si="48"/>
        <v>1.1086923654306333</v>
      </c>
      <c r="BG85" s="154">
        <f t="shared" si="48"/>
        <v>0.75275827137179629</v>
      </c>
      <c r="BH85" s="154">
        <f t="shared" si="48"/>
        <v>0.29937210963263616</v>
      </c>
      <c r="BI85" s="154">
        <f t="shared" si="48"/>
        <v>1.0668517176428893</v>
      </c>
      <c r="BJ85" s="154">
        <f t="shared" si="48"/>
        <v>1.2575885159653308</v>
      </c>
      <c r="BK85" s="154">
        <f t="shared" si="48"/>
        <v>0.73261276933814057</v>
      </c>
      <c r="BL85" s="154">
        <f t="shared" si="48"/>
        <v>0.62043870245777666</v>
      </c>
      <c r="BM85" s="154">
        <f t="shared" si="48"/>
        <v>1.8164720256782245</v>
      </c>
      <c r="BN85" s="154">
        <f t="shared" si="48"/>
        <v>1.2928497190722101</v>
      </c>
      <c r="BO85" s="154">
        <f t="shared" si="48"/>
        <v>0.78701936605647871</v>
      </c>
      <c r="BP85" s="154">
        <f t="shared" si="48"/>
        <v>0.33088962078651146</v>
      </c>
      <c r="BQ85" s="154">
        <f t="shared" si="48"/>
        <v>1.4348628584686325</v>
      </c>
      <c r="BR85" s="154">
        <f t="shared" ref="BR85:CK85" si="49">BR81/BR84</f>
        <v>0.74567711638184142</v>
      </c>
      <c r="BS85" s="154">
        <f t="shared" si="49"/>
        <v>1.5439176573998095</v>
      </c>
      <c r="BT85" s="154">
        <f t="shared" si="49"/>
        <v>0.71483145463921904</v>
      </c>
      <c r="BU85" s="154">
        <f t="shared" si="49"/>
        <v>1.2652547830858054</v>
      </c>
      <c r="BV85" s="154">
        <f t="shared" si="49"/>
        <v>0.56669099413353918</v>
      </c>
      <c r="BW85" s="154">
        <f t="shared" si="49"/>
        <v>0.76352115053117997</v>
      </c>
      <c r="BX85" s="154">
        <f t="shared" si="49"/>
        <v>1.1058855766067421</v>
      </c>
      <c r="BY85" s="154">
        <f t="shared" si="49"/>
        <v>2.4098998010858743</v>
      </c>
      <c r="BZ85" s="154">
        <f t="shared" si="49"/>
        <v>1.1171206516798187</v>
      </c>
      <c r="CA85" s="154">
        <f t="shared" si="49"/>
        <v>1.6072900025575516</v>
      </c>
      <c r="CB85" s="154">
        <f t="shared" si="49"/>
        <v>0.68080008334201481</v>
      </c>
      <c r="CC85" s="154">
        <f t="shared" si="49"/>
        <v>1.5370212589982182</v>
      </c>
      <c r="CD85" s="154">
        <f t="shared" si="49"/>
        <v>0.71620957436351129</v>
      </c>
      <c r="CE85" s="154">
        <f t="shared" si="49"/>
        <v>1.6464529779244828</v>
      </c>
      <c r="CF85" s="154">
        <f t="shared" si="49"/>
        <v>3.197954673336334</v>
      </c>
      <c r="CG85" s="154">
        <f t="shared" si="49"/>
        <v>3.2698316297800956</v>
      </c>
      <c r="CH85" s="154">
        <f t="shared" si="49"/>
        <v>1.6544236628017275</v>
      </c>
      <c r="CI85" s="154" t="e">
        <f t="shared" si="49"/>
        <v>#DIV/0!</v>
      </c>
      <c r="CJ85" s="154" t="e">
        <f t="shared" si="49"/>
        <v>#DIV/0!</v>
      </c>
      <c r="CK85" s="154" t="e">
        <f t="shared" si="49"/>
        <v>#DIV/0!</v>
      </c>
    </row>
    <row r="86" spans="1:89" s="76" customFormat="1">
      <c r="A86" s="70" t="s">
        <v>584</v>
      </c>
      <c r="E86" s="76">
        <f>资产资本表!E53</f>
        <v>9785253439.2199993</v>
      </c>
      <c r="F86" s="76">
        <f>资产资本表!F53</f>
        <v>9179464913.4899998</v>
      </c>
      <c r="G86" s="76">
        <f>资产资本表!G53</f>
        <v>8635934326.0300007</v>
      </c>
      <c r="H86" s="76">
        <f>资产资本表!H53</f>
        <v>7346779182.1899996</v>
      </c>
      <c r="I86" s="76">
        <f>资产资本表!I53</f>
        <v>3688779156.3499999</v>
      </c>
      <c r="J86" s="76">
        <f>资产资本表!J53</f>
        <v>2867459024.1599998</v>
      </c>
      <c r="K86" s="76">
        <f>资产资本表!K53</f>
        <v>2025416046</v>
      </c>
      <c r="L86" s="76">
        <f>资产资本表!L53</f>
        <v>1683891573.8900001</v>
      </c>
      <c r="M86" s="76">
        <f>资产资本表!M53</f>
        <v>1543504792</v>
      </c>
      <c r="N86" s="76">
        <f>资产资本表!N53</f>
        <v>1312363273.5799999</v>
      </c>
      <c r="O86" s="76">
        <f>资产资本表!O53</f>
        <v>1044078082</v>
      </c>
      <c r="P86" s="76">
        <f>资产资本表!P53</f>
        <v>858305252.01999998</v>
      </c>
      <c r="Q86" s="76">
        <f>资产资本表!Q53</f>
        <v>719316755</v>
      </c>
      <c r="R86" s="76">
        <f>资产资本表!R53</f>
        <v>705808852</v>
      </c>
      <c r="S86" s="76">
        <f>资产资本表!S53</f>
        <v>565407380</v>
      </c>
      <c r="T86" s="76">
        <f>资产资本表!T53</f>
        <v>528124642.42000002</v>
      </c>
      <c r="U86" s="76">
        <f>资产资本表!U53</f>
        <v>486235855</v>
      </c>
      <c r="V86" s="76">
        <f>资产资本表!V53</f>
        <v>473033061</v>
      </c>
      <c r="W86" s="76">
        <f>资产资本表!W53</f>
        <v>458923850</v>
      </c>
      <c r="X86" s="76">
        <f>资产资本表!X53</f>
        <v>441336755.93000001</v>
      </c>
      <c r="Y86" s="76">
        <f>资产资本表!Y53</f>
        <v>440377821</v>
      </c>
      <c r="Z86" s="76">
        <f>资产资本表!Z53</f>
        <v>426689236</v>
      </c>
      <c r="AA86" s="76">
        <f>资产资本表!AA53</f>
        <v>392613313</v>
      </c>
      <c r="AB86" s="76">
        <f>资产资本表!AB53</f>
        <v>632716530.63999999</v>
      </c>
      <c r="AC86" s="76">
        <f>资产资本表!AC53</f>
        <v>601560696</v>
      </c>
      <c r="AD86" s="76">
        <f>资产资本表!AD53</f>
        <v>360883930.62</v>
      </c>
      <c r="AE86" s="76">
        <f>资产资本表!AE53</f>
        <v>306078765</v>
      </c>
      <c r="AF86" s="76">
        <f>资产资本表!AF53</f>
        <v>244999167.63</v>
      </c>
      <c r="AG86" s="76">
        <f>资产资本表!AG53</f>
        <v>153105868</v>
      </c>
      <c r="AH86" s="76">
        <f>资产资本表!AH53</f>
        <v>1819611801.3399999</v>
      </c>
      <c r="AI86" s="76">
        <f>资产资本表!AI53</f>
        <v>1514094372.8399999</v>
      </c>
      <c r="AJ86" s="76">
        <f>资产资本表!AJ53</f>
        <v>1341467841.9100001</v>
      </c>
      <c r="AK86" s="76">
        <f>资产资本表!AK53</f>
        <v>832457926.90999997</v>
      </c>
      <c r="AL86" s="76">
        <f>资产资本表!AL53</f>
        <v>330308850.58999997</v>
      </c>
      <c r="AM86" s="76">
        <f>资产资本表!AM53</f>
        <v>198020938.41999999</v>
      </c>
      <c r="AN86" s="76">
        <f>资产资本表!AN53</f>
        <v>73285561.950000003</v>
      </c>
      <c r="AO86" s="76">
        <f>资产资本表!AO53</f>
        <v>41282814.799999997</v>
      </c>
      <c r="AP86" s="76">
        <f>资产资本表!AP53</f>
        <v>71030893.120000005</v>
      </c>
      <c r="AQ86" s="76">
        <f>资产资本表!AQ53</f>
        <v>1776624628.8599999</v>
      </c>
      <c r="AR86" s="76">
        <f>资产资本表!AR53</f>
        <v>2309198511.8600001</v>
      </c>
      <c r="AS86" s="76">
        <f>资产资本表!AS53</f>
        <v>2084618323.0999999</v>
      </c>
      <c r="AT86" s="76">
        <f>资产资本表!AT53</f>
        <v>1693607805.98</v>
      </c>
      <c r="AU86" s="76">
        <f>资产资本表!AU53</f>
        <v>568097102.70000005</v>
      </c>
      <c r="AV86" s="76">
        <f>资产资本表!AV53</f>
        <v>341456480.54000002</v>
      </c>
      <c r="AW86" s="76">
        <f>资产资本表!AW53</f>
        <v>12754698.35</v>
      </c>
      <c r="AX86" s="76">
        <f>资产资本表!AX53</f>
        <v>5087541.68</v>
      </c>
      <c r="AY86" s="76">
        <f>资产资本表!AY53</f>
        <v>5682599.6500000004</v>
      </c>
      <c r="AZ86" s="76">
        <f>资产资本表!AZ53</f>
        <v>5271075.29</v>
      </c>
      <c r="BA86" s="76">
        <f>资产资本表!BA53</f>
        <v>4625839.29</v>
      </c>
      <c r="BB86" s="76">
        <f>资产资本表!BB53</f>
        <v>4709664.9000000004</v>
      </c>
      <c r="BC86" s="76">
        <f>资产资本表!BC53</f>
        <v>4978713.9000000004</v>
      </c>
      <c r="BD86" s="76">
        <f>资产资本表!BD53</f>
        <v>4509263.9000000004</v>
      </c>
      <c r="BE86" s="76">
        <f>资产资本表!BE53</f>
        <v>32781420.32</v>
      </c>
      <c r="BF86" s="76">
        <f>资产资本表!BF53</f>
        <v>51070</v>
      </c>
      <c r="BG86" s="76">
        <f>资产资本表!BG53</f>
        <v>19247187.969999999</v>
      </c>
      <c r="BH86" s="76">
        <f>资产资本表!BH53</f>
        <v>15627995.869999999</v>
      </c>
      <c r="BI86" s="76">
        <f>资产资本表!BI53</f>
        <v>14092386.039999999</v>
      </c>
      <c r="BJ86" s="76">
        <f>资产资本表!BJ53</f>
        <v>221294106.53999999</v>
      </c>
      <c r="BK86" s="76">
        <f>资产资本表!BK53</f>
        <v>209840829.21000001</v>
      </c>
      <c r="BL86" s="76">
        <f>资产资本表!BL53</f>
        <v>355568248.92000002</v>
      </c>
      <c r="BM86" s="76">
        <f>资产资本表!BM53</f>
        <v>348235071.95999998</v>
      </c>
      <c r="BN86" s="76">
        <f>资产资本表!BN53</f>
        <v>75658145.590000004</v>
      </c>
      <c r="BO86" s="76">
        <f>资产资本表!BO53</f>
        <v>58594455.560000002</v>
      </c>
      <c r="BP86" s="76">
        <f>资产资本表!BP53</f>
        <v>43157691.310000002</v>
      </c>
      <c r="BQ86" s="76">
        <f>资产资本表!BQ53</f>
        <v>29255763.309999999</v>
      </c>
      <c r="BR86" s="76">
        <f>资产资本表!BR53</f>
        <v>17230015.84</v>
      </c>
      <c r="BS86" s="76">
        <f>资产资本表!BS53</f>
        <v>3855280</v>
      </c>
      <c r="BT86" s="76">
        <f>资产资本表!BT53</f>
        <v>0</v>
      </c>
      <c r="BU86" s="76">
        <f>资产资本表!BU53</f>
        <v>529345.07999999996</v>
      </c>
      <c r="BV86" s="76">
        <f>资产资本表!BV53</f>
        <v>529345.07999999996</v>
      </c>
      <c r="BW86" s="76">
        <f>资产资本表!BW53</f>
        <v>529345.07999999996</v>
      </c>
      <c r="BX86" s="76">
        <f>资产资本表!BX53</f>
        <v>603775.07999999996</v>
      </c>
      <c r="BY86" s="76">
        <f>资产资本表!BY53</f>
        <v>603575.07999999996</v>
      </c>
      <c r="BZ86" s="76">
        <f>资产资本表!BZ53</f>
        <v>747608.2</v>
      </c>
      <c r="CA86" s="76">
        <f>资产资本表!CA53</f>
        <v>529345.07999999996</v>
      </c>
      <c r="CB86" s="76">
        <f>资产资本表!CB53</f>
        <v>520000</v>
      </c>
      <c r="CC86" s="76">
        <f>资产资本表!CC53</f>
        <v>466371.9</v>
      </c>
      <c r="CD86" s="76">
        <f>资产资本表!CD53</f>
        <v>460000</v>
      </c>
      <c r="CE86" s="76">
        <f>资产资本表!CE53</f>
        <v>250506.3</v>
      </c>
      <c r="CF86" s="76">
        <f>资产资本表!CF53</f>
        <v>90708549</v>
      </c>
      <c r="CG86" s="76">
        <f>资产资本表!CG53</f>
        <v>2374100</v>
      </c>
      <c r="CH86" s="76">
        <f>资产资本表!CH53</f>
        <v>37700</v>
      </c>
      <c r="CI86" s="76">
        <f>资产资本表!CI53</f>
        <v>0</v>
      </c>
      <c r="CJ86" s="76">
        <f>资产资本表!CJ53</f>
        <v>0</v>
      </c>
      <c r="CK86" s="76">
        <f>资产资本表!CK53</f>
        <v>0</v>
      </c>
    </row>
    <row r="87" spans="1:89" s="54" customFormat="1">
      <c r="A87" s="253" t="s">
        <v>585</v>
      </c>
      <c r="E87" s="54">
        <f>E81/E86</f>
        <v>1.4320017950109387</v>
      </c>
      <c r="F87" s="54">
        <f t="shared" ref="F87:BQ87" si="50">F81/F86</f>
        <v>1.1004196543858824</v>
      </c>
      <c r="G87" s="54">
        <f t="shared" si="50"/>
        <v>0.71843637676459637</v>
      </c>
      <c r="H87" s="54">
        <f t="shared" si="50"/>
        <v>0.39509452949213902</v>
      </c>
      <c r="I87" s="54">
        <f t="shared" si="50"/>
        <v>2.9106530847875112</v>
      </c>
      <c r="J87" s="54">
        <f t="shared" si="50"/>
        <v>2.7039313905318325</v>
      </c>
      <c r="K87" s="54">
        <f t="shared" si="50"/>
        <v>2.4540406040606633</v>
      </c>
      <c r="L87" s="54">
        <f t="shared" si="50"/>
        <v>1.4558776914042248</v>
      </c>
      <c r="M87" s="54">
        <f t="shared" si="50"/>
        <v>6.8221380189922991</v>
      </c>
      <c r="N87" s="54">
        <f t="shared" si="50"/>
        <v>5.9424870307943749</v>
      </c>
      <c r="O87" s="54">
        <f t="shared" si="50"/>
        <v>4.9209014015103136</v>
      </c>
      <c r="P87" s="54">
        <f t="shared" si="50"/>
        <v>2.8430646804001367</v>
      </c>
      <c r="Q87" s="54">
        <f t="shared" si="50"/>
        <v>12.960025293724737</v>
      </c>
      <c r="R87" s="54">
        <f t="shared" si="50"/>
        <v>9.2579313433858719</v>
      </c>
      <c r="S87" s="54">
        <f t="shared" si="50"/>
        <v>4.3961079177990214</v>
      </c>
      <c r="T87" s="54">
        <f t="shared" si="50"/>
        <v>2.2338448709268621</v>
      </c>
      <c r="U87" s="54">
        <f t="shared" si="50"/>
        <v>9.2946203668999274</v>
      </c>
      <c r="V87" s="54">
        <f t="shared" si="50"/>
        <v>7.3931321366985809</v>
      </c>
      <c r="W87" s="54">
        <f t="shared" si="50"/>
        <v>4.9051857949853774</v>
      </c>
      <c r="X87" s="54">
        <f t="shared" si="50"/>
        <v>2.3573482298968416</v>
      </c>
      <c r="Y87" s="54">
        <f t="shared" si="50"/>
        <v>9.8405145771407962</v>
      </c>
      <c r="Z87" s="54">
        <f t="shared" si="50"/>
        <v>7.75557936268165</v>
      </c>
      <c r="AA87" s="54">
        <f t="shared" si="50"/>
        <v>5.6985300877965894</v>
      </c>
      <c r="AB87" s="54">
        <f t="shared" si="50"/>
        <v>1.554110004562975</v>
      </c>
      <c r="AC87" s="54">
        <f t="shared" si="50"/>
        <v>7.6716568248002694</v>
      </c>
      <c r="AD87" s="54">
        <f t="shared" si="50"/>
        <v>9.2881491720380769</v>
      </c>
      <c r="AE87" s="54">
        <f t="shared" si="50"/>
        <v>6.8910852244192764</v>
      </c>
      <c r="AF87" s="54">
        <f t="shared" si="50"/>
        <v>4.1501119571783258</v>
      </c>
      <c r="AG87" s="54">
        <f t="shared" si="50"/>
        <v>22.560934816685144</v>
      </c>
      <c r="AH87" s="54">
        <f t="shared" si="50"/>
        <v>1.2815233378805078</v>
      </c>
      <c r="AI87" s="54">
        <f t="shared" si="50"/>
        <v>0.97913386858393769</v>
      </c>
      <c r="AJ87" s="54">
        <f t="shared" si="50"/>
        <v>0.48826375698087265</v>
      </c>
      <c r="AK87" s="54">
        <f t="shared" si="50"/>
        <v>2.6313012745529627</v>
      </c>
      <c r="AL87" s="54">
        <f t="shared" si="50"/>
        <v>4.790166774017111</v>
      </c>
      <c r="AM87" s="54">
        <f t="shared" si="50"/>
        <v>4.4316836830592781</v>
      </c>
      <c r="AN87" s="54">
        <f t="shared" si="50"/>
        <v>4.7620094214205579</v>
      </c>
      <c r="AO87" s="54">
        <f t="shared" si="50"/>
        <v>33.337175819706943</v>
      </c>
      <c r="AP87" s="54">
        <f t="shared" si="50"/>
        <v>14.628218052595985</v>
      </c>
      <c r="AQ87" s="54">
        <f t="shared" si="50"/>
        <v>0.38739927208013281</v>
      </c>
      <c r="AR87" s="54">
        <f t="shared" si="50"/>
        <v>0.14972281733436402</v>
      </c>
      <c r="AS87" s="54">
        <f t="shared" si="50"/>
        <v>0.82583547828549742</v>
      </c>
      <c r="AT87" s="54">
        <f t="shared" si="50"/>
        <v>0.72807257801725167</v>
      </c>
      <c r="AU87" s="54">
        <f t="shared" si="50"/>
        <v>1.349757661596326</v>
      </c>
      <c r="AV87" s="54">
        <f t="shared" si="50"/>
        <v>1.0357992625024086</v>
      </c>
      <c r="AW87" s="54">
        <f t="shared" si="50"/>
        <v>118.48035536881201</v>
      </c>
      <c r="AX87" s="54">
        <f t="shared" si="50"/>
        <v>200.75625874184485</v>
      </c>
      <c r="AY87" s="54">
        <f t="shared" si="50"/>
        <v>112.74463821677107</v>
      </c>
      <c r="AZ87" s="54">
        <f t="shared" si="50"/>
        <v>47.929278663367377</v>
      </c>
      <c r="BA87" s="54">
        <f t="shared" si="50"/>
        <v>238.32925618563806</v>
      </c>
      <c r="BB87" s="54">
        <f t="shared" si="50"/>
        <v>160.79250739474054</v>
      </c>
      <c r="BC87" s="54">
        <f t="shared" si="50"/>
        <v>105.45842070579712</v>
      </c>
      <c r="BD87" s="54">
        <f t="shared" si="50"/>
        <v>52.288209612216306</v>
      </c>
      <c r="BE87" s="54">
        <f t="shared" si="50"/>
        <v>32.668282919902474</v>
      </c>
      <c r="BF87" s="54">
        <f t="shared" si="50"/>
        <v>12893.125589778736</v>
      </c>
      <c r="BG87" s="54">
        <f t="shared" si="50"/>
        <v>22.893442158241676</v>
      </c>
      <c r="BH87" s="54">
        <f t="shared" si="50"/>
        <v>11.2064304781519</v>
      </c>
      <c r="BI87" s="54">
        <f t="shared" si="50"/>
        <v>45.115155296299285</v>
      </c>
      <c r="BJ87" s="54">
        <f t="shared" si="50"/>
        <v>2.0071080184402277</v>
      </c>
      <c r="BK87" s="54">
        <f t="shared" si="50"/>
        <v>1.2368570784204249</v>
      </c>
      <c r="BL87" s="54">
        <f t="shared" si="50"/>
        <v>0.30628760577129882</v>
      </c>
      <c r="BM87" s="54">
        <f t="shared" si="50"/>
        <v>0.93492553342644669</v>
      </c>
      <c r="BN87" s="54">
        <f t="shared" si="50"/>
        <v>3.2017693459303831</v>
      </c>
      <c r="BO87" s="54">
        <f t="shared" si="50"/>
        <v>2.5690877534625218</v>
      </c>
      <c r="BP87" s="54">
        <f t="shared" si="50"/>
        <v>1.4982936706583527</v>
      </c>
      <c r="BQ87" s="54">
        <f t="shared" si="50"/>
        <v>9.5344017482755614</v>
      </c>
      <c r="BR87" s="54">
        <f t="shared" ref="BR87:CK87" si="51">BR81/BR86</f>
        <v>8.8127088390419015</v>
      </c>
      <c r="BS87" s="54">
        <f t="shared" si="51"/>
        <v>82.384099442842015</v>
      </c>
      <c r="BT87" s="54" t="e">
        <f t="shared" si="51"/>
        <v>#DIV/0!</v>
      </c>
      <c r="BU87" s="54">
        <f t="shared" si="51"/>
        <v>508.28591052551212</v>
      </c>
      <c r="BV87" s="54">
        <f t="shared" si="51"/>
        <v>234.00054455970388</v>
      </c>
      <c r="BW87" s="54">
        <f t="shared" si="51"/>
        <v>325.60977007663888</v>
      </c>
      <c r="BX87" s="54">
        <f t="shared" si="51"/>
        <v>160.32836113408325</v>
      </c>
      <c r="BY87" s="54">
        <f t="shared" si="51"/>
        <v>362.87859853325955</v>
      </c>
      <c r="BZ87" s="54">
        <f t="shared" si="51"/>
        <v>139.20573027422654</v>
      </c>
      <c r="CA87" s="54">
        <f t="shared" si="51"/>
        <v>290.48478478349131</v>
      </c>
      <c r="CB87" s="54">
        <f t="shared" si="51"/>
        <v>125.67307692307692</v>
      </c>
      <c r="CC87" s="54">
        <f t="shared" si="51"/>
        <v>322.22692752286315</v>
      </c>
      <c r="CD87" s="54">
        <f t="shared" si="51"/>
        <v>158.39130434782609</v>
      </c>
      <c r="CE87" s="54">
        <f t="shared" si="51"/>
        <v>687.02004384720067</v>
      </c>
      <c r="CF87" s="54">
        <f t="shared" si="51"/>
        <v>1.483964890343467</v>
      </c>
      <c r="CG87" s="54">
        <f t="shared" si="51"/>
        <v>46.716819005096667</v>
      </c>
      <c r="CH87" s="54">
        <f t="shared" si="51"/>
        <v>1572.9575596816976</v>
      </c>
      <c r="CI87" s="54" t="e">
        <f t="shared" si="51"/>
        <v>#DIV/0!</v>
      </c>
      <c r="CJ87" s="54" t="e">
        <f t="shared" si="51"/>
        <v>#DIV/0!</v>
      </c>
      <c r="CK87" s="54" t="e">
        <f t="shared" si="51"/>
        <v>#DIV/0!</v>
      </c>
    </row>
    <row r="88" spans="1:89" s="76" customFormat="1">
      <c r="A88" s="70" t="s">
        <v>586</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11132301.35</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c r="A89" s="70" t="s">
        <v>587</v>
      </c>
      <c r="E89" s="76">
        <f>资产资本表!E55</f>
        <v>0</v>
      </c>
      <c r="F89" s="76">
        <f>资产资本表!F55</f>
        <v>0</v>
      </c>
      <c r="G89" s="76">
        <f>资产资本表!G55</f>
        <v>0</v>
      </c>
      <c r="H89" s="76">
        <f>资产资本表!H55</f>
        <v>0</v>
      </c>
      <c r="I89" s="76">
        <f>资产资本表!I55</f>
        <v>0</v>
      </c>
      <c r="J89" s="76">
        <f>资产资本表!J55</f>
        <v>174598.04</v>
      </c>
      <c r="K89" s="76">
        <f>资产资本表!K55</f>
        <v>0</v>
      </c>
      <c r="L89" s="76">
        <f>资产资本表!L55</f>
        <v>303174.75</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7500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15945.6</v>
      </c>
      <c r="BM89" s="76">
        <f>资产资本表!BM55</f>
        <v>0</v>
      </c>
      <c r="BN89" s="76">
        <f>资产资本表!BN55</f>
        <v>-3483.36</v>
      </c>
      <c r="BO89" s="76">
        <f>资产资本表!BO55</f>
        <v>17800.580000000002</v>
      </c>
      <c r="BP89" s="76">
        <f>资产资本表!BP55</f>
        <v>0</v>
      </c>
      <c r="BQ89" s="76">
        <f>资产资本表!BQ55</f>
        <v>0</v>
      </c>
      <c r="BR89" s="76">
        <f>资产资本表!BR55</f>
        <v>58980.88</v>
      </c>
      <c r="BS89" s="76">
        <f>资产资本表!BS55</f>
        <v>0</v>
      </c>
      <c r="BT89" s="76">
        <f>资产资本表!BT55</f>
        <v>0</v>
      </c>
      <c r="BU89" s="76">
        <f>资产资本表!BU55</f>
        <v>0</v>
      </c>
      <c r="BV89" s="76">
        <f>资产资本表!BV55</f>
        <v>0</v>
      </c>
      <c r="BW89" s="76">
        <f>资产资本表!BW55</f>
        <v>0</v>
      </c>
      <c r="BX89" s="76">
        <f>资产资本表!BX55</f>
        <v>93478.73</v>
      </c>
      <c r="BY89" s="76">
        <f>资产资本表!BY55</f>
        <v>0</v>
      </c>
      <c r="BZ89" s="76">
        <f>资产资本表!BZ55</f>
        <v>0</v>
      </c>
      <c r="CA89" s="76">
        <f>资产资本表!CA55</f>
        <v>0</v>
      </c>
      <c r="CB89" s="76">
        <f>资产资本表!CB55</f>
        <v>0</v>
      </c>
      <c r="CC89" s="76">
        <f>资产资本表!CC55</f>
        <v>-50000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c r="A90" s="70" t="s">
        <v>588</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c r="A91" s="70" t="s">
        <v>589</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c r="A92" s="70" t="s">
        <v>590</v>
      </c>
      <c r="E92" s="76">
        <f>资产资本表!E58</f>
        <v>1019078617.59</v>
      </c>
      <c r="F92" s="76">
        <f>资产资本表!F58</f>
        <v>1021912273.9299999</v>
      </c>
      <c r="G92" s="76">
        <f>资产资本表!G58</f>
        <v>1030548770.01</v>
      </c>
      <c r="H92" s="76">
        <f>资产资本表!H58</f>
        <v>1035354607.1900001</v>
      </c>
      <c r="I92" s="76">
        <f>资产资本表!I58</f>
        <v>1044619087.28</v>
      </c>
      <c r="J92" s="76">
        <f>资产资本表!J58</f>
        <v>957782963.70000005</v>
      </c>
      <c r="K92" s="76">
        <f>资产资本表!K58</f>
        <v>947167291</v>
      </c>
      <c r="L92" s="76">
        <f>资产资本表!L58</f>
        <v>952326736.48000002</v>
      </c>
      <c r="M92" s="76">
        <f>资产资本表!M58</f>
        <v>957723367</v>
      </c>
      <c r="N92" s="76">
        <f>资产资本表!N58</f>
        <v>968007005.13</v>
      </c>
      <c r="O92" s="76">
        <f>资产资本表!O58</f>
        <v>975671773</v>
      </c>
      <c r="P92" s="76">
        <f>资产资本表!P58</f>
        <v>743833126.11000001</v>
      </c>
      <c r="Q92" s="76">
        <f>资产资本表!Q58</f>
        <v>593973950</v>
      </c>
      <c r="R92" s="76">
        <f>资产资本表!R58</f>
        <v>643514646.01999998</v>
      </c>
      <c r="S92" s="76">
        <f>资产资本表!S58</f>
        <v>198451128</v>
      </c>
      <c r="T92" s="76">
        <f>资产资本表!T58</f>
        <v>200786281.74000001</v>
      </c>
      <c r="U92" s="76">
        <f>资产资本表!U58</f>
        <v>202221792</v>
      </c>
      <c r="V92" s="76">
        <f>资产资本表!V58</f>
        <v>202654349</v>
      </c>
      <c r="W92" s="76">
        <f>资产资本表!W58</f>
        <v>204955006</v>
      </c>
      <c r="X92" s="76">
        <f>资产资本表!X58</f>
        <v>203699778.78999999</v>
      </c>
      <c r="Y92" s="76">
        <f>资产资本表!Y58</f>
        <v>205700066</v>
      </c>
      <c r="Z92" s="76">
        <f>资产资本表!Z58</f>
        <v>207041251</v>
      </c>
      <c r="AA92" s="76">
        <f>资产资本表!AA58</f>
        <v>208005336</v>
      </c>
      <c r="AB92" s="76">
        <f>资产资本表!AB58</f>
        <v>207400199.13999999</v>
      </c>
      <c r="AC92" s="76">
        <f>资产资本表!AC58</f>
        <v>209585758</v>
      </c>
      <c r="AD92" s="76">
        <f>资产资本表!AD58</f>
        <v>207345644</v>
      </c>
      <c r="AE92" s="76">
        <f>资产资本表!AE58</f>
        <v>208464355</v>
      </c>
      <c r="AF92" s="76">
        <f>资产资本表!AF58</f>
        <v>209931259.56999999</v>
      </c>
      <c r="AG92" s="76">
        <f>资产资本表!AG58</f>
        <v>211994592</v>
      </c>
      <c r="AH92" s="76">
        <f>资产资本表!AH58</f>
        <v>188852698.19999999</v>
      </c>
      <c r="AI92" s="76">
        <f>资产资本表!AI58</f>
        <v>190439210.97999999</v>
      </c>
      <c r="AJ92" s="76">
        <f>资产资本表!AJ58</f>
        <v>190051979.22</v>
      </c>
      <c r="AK92" s="76">
        <f>资产资本表!AK58</f>
        <v>191172525.22</v>
      </c>
      <c r="AL92" s="76">
        <f>资产资本表!AL58</f>
        <v>189716089.72</v>
      </c>
      <c r="AM92" s="76">
        <f>资产资本表!AM58</f>
        <v>191135570.40000001</v>
      </c>
      <c r="AN92" s="76">
        <f>资产资本表!AN58</f>
        <v>192490797.66999999</v>
      </c>
      <c r="AO92" s="76">
        <f>资产资本表!AO58</f>
        <v>163871803.75</v>
      </c>
      <c r="AP92" s="76">
        <f>资产资本表!AP58</f>
        <v>160042604.43000001</v>
      </c>
      <c r="AQ92" s="76">
        <f>资产资本表!AQ58</f>
        <v>161073667.94</v>
      </c>
      <c r="AR92" s="76">
        <f>资产资本表!AR58</f>
        <v>158873680.31</v>
      </c>
      <c r="AS92" s="76">
        <f>资产资本表!AS58</f>
        <v>156359912.53</v>
      </c>
      <c r="AT92" s="76">
        <f>资产资本表!AT58</f>
        <v>155623331.36000001</v>
      </c>
      <c r="AU92" s="76">
        <f>资产资本表!AU58</f>
        <v>155926883.86000001</v>
      </c>
      <c r="AV92" s="76">
        <f>资产资本表!AV58</f>
        <v>115407768.20999999</v>
      </c>
      <c r="AW92" s="76">
        <f>资产资本表!AW58</f>
        <v>2016621.31</v>
      </c>
      <c r="AX92" s="76">
        <f>资产资本表!AX58</f>
        <v>1527477.33</v>
      </c>
      <c r="AY92" s="76">
        <f>资产资本表!AY58</f>
        <v>1441966.15</v>
      </c>
      <c r="AZ92" s="76">
        <f>资产资本表!AZ58</f>
        <v>1474196</v>
      </c>
      <c r="BA92" s="76">
        <f>资产资本表!BA58</f>
        <v>1519340.31</v>
      </c>
      <c r="BB92" s="76">
        <f>资产资本表!BB58</f>
        <v>876311.67</v>
      </c>
      <c r="BC92" s="76">
        <f>资产资本表!BC58</f>
        <v>720613.94</v>
      </c>
      <c r="BD92" s="76">
        <f>资产资本表!BD58</f>
        <v>739916.21</v>
      </c>
      <c r="BE92" s="76">
        <f>资产资本表!BE58</f>
        <v>476988.71</v>
      </c>
      <c r="BF92" s="76">
        <f>资产资本表!BF58</f>
        <v>132947.26</v>
      </c>
      <c r="BG92" s="76">
        <f>资产资本表!BG58</f>
        <v>93930.81</v>
      </c>
      <c r="BH92" s="76">
        <f>资产资本表!BH58</f>
        <v>83904.36</v>
      </c>
      <c r="BI92" s="76">
        <f>资产资本表!BI58</f>
        <v>86192.639999999999</v>
      </c>
      <c r="BJ92" s="76">
        <f>资产资本表!BJ58</f>
        <v>36525.14</v>
      </c>
      <c r="BK92" s="76">
        <f>资产资本表!BK58</f>
        <v>30146.67</v>
      </c>
      <c r="BL92" s="76">
        <f>资产资本表!BL58</f>
        <v>0</v>
      </c>
      <c r="BM92" s="76">
        <f>资产资本表!BM58</f>
        <v>0</v>
      </c>
      <c r="BN92" s="76">
        <f>资产资本表!BN58</f>
        <v>0</v>
      </c>
      <c r="BO92" s="76">
        <f>资产资本表!BO58</f>
        <v>0</v>
      </c>
      <c r="BP92" s="76">
        <f>资产资本表!BP58</f>
        <v>0</v>
      </c>
      <c r="BQ92" s="76">
        <f>资产资本表!BQ58</f>
        <v>0</v>
      </c>
      <c r="BR92" s="76">
        <f>资产资本表!BR58</f>
        <v>119132.95</v>
      </c>
      <c r="BS92" s="76">
        <f>资产资本表!BS58</f>
        <v>238265.59</v>
      </c>
      <c r="BT92" s="76">
        <f>资产资本表!BT58</f>
        <v>357398.23</v>
      </c>
      <c r="BU92" s="76">
        <f>资产资本表!BU58</f>
        <v>476530.87</v>
      </c>
      <c r="BV92" s="76">
        <f>资产资本表!BV58</f>
        <v>595663.51</v>
      </c>
      <c r="BW92" s="76">
        <f>资产资本表!BW58</f>
        <v>714796.15</v>
      </c>
      <c r="BX92" s="76">
        <f>资产资本表!BX58</f>
        <v>833928.79</v>
      </c>
      <c r="BY92" s="76">
        <f>资产资本表!BY58</f>
        <v>953061.43</v>
      </c>
      <c r="BZ92" s="76">
        <f>资产资本表!BZ58</f>
        <v>0</v>
      </c>
      <c r="CA92" s="76">
        <f>资产资本表!CA58</f>
        <v>1191326.71</v>
      </c>
      <c r="CB92" s="76">
        <f>资产资本表!CB58</f>
        <v>0</v>
      </c>
      <c r="CC92" s="76">
        <f>资产资本表!CC58</f>
        <v>1429591.88</v>
      </c>
      <c r="CD92" s="76">
        <f>资产资本表!CD58</f>
        <v>0</v>
      </c>
      <c r="CE92" s="76">
        <f>资产资本表!CE58</f>
        <v>1667857.16</v>
      </c>
      <c r="CF92" s="76">
        <f>资产资本表!CF58</f>
        <v>1906122.44</v>
      </c>
      <c r="CG92" s="76">
        <f>资产资本表!CG58</f>
        <v>0</v>
      </c>
      <c r="CH92" s="76">
        <f>资产资本表!CH58</f>
        <v>0</v>
      </c>
      <c r="CI92" s="76">
        <f>资产资本表!CI58</f>
        <v>0</v>
      </c>
      <c r="CJ92" s="76">
        <f>资产资本表!CJ58</f>
        <v>0</v>
      </c>
      <c r="CK92" s="76">
        <f>资产资本表!CK58</f>
        <v>0</v>
      </c>
    </row>
    <row r="93" spans="1:89" s="154" customFormat="1">
      <c r="A93" s="250" t="s">
        <v>689</v>
      </c>
      <c r="E93" s="154">
        <f>E81/E92</f>
        <v>13.750166324496044</v>
      </c>
      <c r="F93" s="154">
        <f t="shared" ref="F93:BQ93" si="52">F81/F92</f>
        <v>9.8846680534555613</v>
      </c>
      <c r="G93" s="154">
        <f t="shared" si="52"/>
        <v>6.0204519647428194</v>
      </c>
      <c r="H93" s="154">
        <f t="shared" si="52"/>
        <v>2.8035537236348285</v>
      </c>
      <c r="I93" s="154">
        <f t="shared" si="52"/>
        <v>10.278154555347616</v>
      </c>
      <c r="J93" s="154">
        <f t="shared" si="52"/>
        <v>8.0951664002645067</v>
      </c>
      <c r="K93" s="154">
        <f t="shared" si="52"/>
        <v>5.2477036150100753</v>
      </c>
      <c r="L93" s="154">
        <f t="shared" si="52"/>
        <v>2.5742637303573019</v>
      </c>
      <c r="M93" s="154">
        <f t="shared" si="52"/>
        <v>10.994826989535069</v>
      </c>
      <c r="N93" s="154">
        <f t="shared" si="52"/>
        <v>8.056451752529064</v>
      </c>
      <c r="O93" s="154">
        <f t="shared" si="52"/>
        <v>5.2659156892509591</v>
      </c>
      <c r="P93" s="154">
        <f t="shared" si="52"/>
        <v>3.2805978402461391</v>
      </c>
      <c r="Q93" s="154">
        <f t="shared" si="52"/>
        <v>15.694902678812767</v>
      </c>
      <c r="R93" s="154">
        <f t="shared" si="52"/>
        <v>10.154127701340487</v>
      </c>
      <c r="S93" s="154">
        <f t="shared" si="52"/>
        <v>12.524957076585627</v>
      </c>
      <c r="T93" s="154">
        <f t="shared" si="52"/>
        <v>5.8756430641395472</v>
      </c>
      <c r="U93" s="154">
        <f t="shared" si="52"/>
        <v>22.348618496071879</v>
      </c>
      <c r="V93" s="154">
        <f t="shared" si="52"/>
        <v>17.256949787936701</v>
      </c>
      <c r="W93" s="154">
        <f t="shared" si="52"/>
        <v>10.983419209580077</v>
      </c>
      <c r="X93" s="154">
        <f t="shared" si="52"/>
        <v>5.1074401089682206</v>
      </c>
      <c r="Y93" s="154">
        <f t="shared" si="52"/>
        <v>21.067296920556167</v>
      </c>
      <c r="Z93" s="154">
        <f t="shared" si="52"/>
        <v>15.983395661572775</v>
      </c>
      <c r="AA93" s="154">
        <f t="shared" si="52"/>
        <v>10.756064339618671</v>
      </c>
      <c r="AB93" s="154">
        <f t="shared" si="52"/>
        <v>4.7411289593615198</v>
      </c>
      <c r="AC93" s="154">
        <f t="shared" si="52"/>
        <v>22.01946956243086</v>
      </c>
      <c r="AD93" s="154">
        <f t="shared" si="52"/>
        <v>16.165971547441817</v>
      </c>
      <c r="AE93" s="154">
        <f t="shared" si="52"/>
        <v>10.117868136257634</v>
      </c>
      <c r="AF93" s="154">
        <f t="shared" si="52"/>
        <v>4.843366238847171</v>
      </c>
      <c r="AG93" s="154">
        <f t="shared" si="52"/>
        <v>16.293866156736676</v>
      </c>
      <c r="AH93" s="154">
        <f t="shared" si="52"/>
        <v>12.347586301523123</v>
      </c>
      <c r="AI93" s="154">
        <f t="shared" si="52"/>
        <v>7.7846420023011591</v>
      </c>
      <c r="AJ93" s="154">
        <f t="shared" si="52"/>
        <v>3.4463736239326286</v>
      </c>
      <c r="AK93" s="154">
        <f t="shared" si="52"/>
        <v>11.457962390616792</v>
      </c>
      <c r="AL93" s="154">
        <f t="shared" si="52"/>
        <v>8.340012086456154</v>
      </c>
      <c r="AM93" s="154">
        <f t="shared" si="52"/>
        <v>4.5913283428273903</v>
      </c>
      <c r="AN93" s="154">
        <f t="shared" si="52"/>
        <v>1.8130037419154512</v>
      </c>
      <c r="AO93" s="154">
        <f t="shared" si="52"/>
        <v>8.3983481222894625</v>
      </c>
      <c r="AP93" s="154">
        <f t="shared" si="52"/>
        <v>6.4923674338508137</v>
      </c>
      <c r="AQ93" s="154">
        <f t="shared" si="52"/>
        <v>4.2729708510541791</v>
      </c>
      <c r="AR93" s="154">
        <f t="shared" si="52"/>
        <v>2.1761924713104168</v>
      </c>
      <c r="AS93" s="154">
        <f t="shared" si="52"/>
        <v>11.010186319781258</v>
      </c>
      <c r="AT93" s="154">
        <f t="shared" si="52"/>
        <v>7.9234224757569791</v>
      </c>
      <c r="AU93" s="154">
        <f t="shared" si="52"/>
        <v>4.9176472838928182</v>
      </c>
      <c r="AV93" s="154">
        <f t="shared" si="52"/>
        <v>3.0646149406202094</v>
      </c>
      <c r="AW93" s="154">
        <f t="shared" si="52"/>
        <v>749.36290003302611</v>
      </c>
      <c r="AX93" s="154">
        <f t="shared" si="52"/>
        <v>668.65531409883511</v>
      </c>
      <c r="AY93" s="154">
        <f t="shared" si="52"/>
        <v>444.31184578778078</v>
      </c>
      <c r="AZ93" s="154">
        <f t="shared" si="52"/>
        <v>171.37398041373061</v>
      </c>
      <c r="BA93" s="154">
        <f t="shared" si="52"/>
        <v>725.62600357782912</v>
      </c>
      <c r="BB93" s="154">
        <f t="shared" si="52"/>
        <v>864.16608860178701</v>
      </c>
      <c r="BC93" s="154">
        <f t="shared" si="52"/>
        <v>728.61108548635639</v>
      </c>
      <c r="BD93" s="154">
        <f t="shared" si="52"/>
        <v>318.65950875707944</v>
      </c>
      <c r="BE93" s="154">
        <f t="shared" si="52"/>
        <v>2245.1531683632511</v>
      </c>
      <c r="BF93" s="154">
        <f t="shared" si="52"/>
        <v>4952.7303072662044</v>
      </c>
      <c r="BG93" s="154">
        <f t="shared" si="52"/>
        <v>4691.0527493588097</v>
      </c>
      <c r="BH93" s="154">
        <f t="shared" si="52"/>
        <v>2087.305704137425</v>
      </c>
      <c r="BI93" s="154">
        <f t="shared" si="52"/>
        <v>7376.2700004315921</v>
      </c>
      <c r="BJ93" s="154">
        <f t="shared" si="52"/>
        <v>12160.423633420707</v>
      </c>
      <c r="BK93" s="154">
        <f t="shared" si="52"/>
        <v>8609.3460720537296</v>
      </c>
      <c r="BL93" s="154" t="e">
        <f t="shared" si="52"/>
        <v>#DIV/0!</v>
      </c>
      <c r="BM93" s="154" t="e">
        <f t="shared" si="52"/>
        <v>#DIV/0!</v>
      </c>
      <c r="BN93" s="154" t="e">
        <f t="shared" si="52"/>
        <v>#DIV/0!</v>
      </c>
      <c r="BO93" s="154" t="e">
        <f t="shared" si="52"/>
        <v>#DIV/0!</v>
      </c>
      <c r="BP93" s="154" t="e">
        <f t="shared" si="52"/>
        <v>#DIV/0!</v>
      </c>
      <c r="BQ93" s="154" t="e">
        <f t="shared" si="52"/>
        <v>#DIV/0!</v>
      </c>
      <c r="BR93" s="154">
        <f t="shared" ref="BR93:CK93" si="53">BR81/BR92</f>
        <v>1274.5685630213975</v>
      </c>
      <c r="BS93" s="154">
        <f t="shared" si="53"/>
        <v>1333.0240883713002</v>
      </c>
      <c r="BT93" s="154">
        <f t="shared" si="53"/>
        <v>436.0620421371421</v>
      </c>
      <c r="BU93" s="154">
        <f t="shared" si="53"/>
        <v>564.61955123704797</v>
      </c>
      <c r="BV93" s="154">
        <f t="shared" si="53"/>
        <v>207.94800235455082</v>
      </c>
      <c r="BW93" s="154">
        <f t="shared" si="53"/>
        <v>241.13158666285483</v>
      </c>
      <c r="BX93" s="154">
        <f t="shared" si="53"/>
        <v>116.07977831056773</v>
      </c>
      <c r="BY93" s="154">
        <f t="shared" si="53"/>
        <v>229.81150243379378</v>
      </c>
      <c r="BZ93" s="154" t="e">
        <f t="shared" si="53"/>
        <v>#DIV/0!</v>
      </c>
      <c r="CA93" s="154">
        <f t="shared" si="53"/>
        <v>129.0718073801938</v>
      </c>
      <c r="CB93" s="154" t="e">
        <f t="shared" si="53"/>
        <v>#DIV/0!</v>
      </c>
      <c r="CC93" s="154">
        <f t="shared" si="53"/>
        <v>105.11922075270881</v>
      </c>
      <c r="CD93" s="154" t="e">
        <f t="shared" si="53"/>
        <v>#DIV/0!</v>
      </c>
      <c r="CE93" s="154">
        <f t="shared" si="53"/>
        <v>103.18800274838885</v>
      </c>
      <c r="CF93" s="154">
        <f t="shared" si="53"/>
        <v>70.618916783750791</v>
      </c>
      <c r="CG93" s="154" t="e">
        <f t="shared" si="53"/>
        <v>#DIV/0!</v>
      </c>
      <c r="CH93" s="154" t="e">
        <f t="shared" si="53"/>
        <v>#DIV/0!</v>
      </c>
      <c r="CI93" s="154" t="e">
        <f t="shared" si="53"/>
        <v>#DIV/0!</v>
      </c>
      <c r="CJ93" s="154" t="e">
        <f t="shared" si="53"/>
        <v>#DIV/0!</v>
      </c>
      <c r="CK93" s="154" t="e">
        <f t="shared" si="53"/>
        <v>#DIV/0!</v>
      </c>
    </row>
    <row r="94" spans="1:89" s="76" customFormat="1">
      <c r="A94" s="70" t="s">
        <v>591</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c r="A95" s="70" t="s">
        <v>592</v>
      </c>
      <c r="E95" s="76">
        <f>资产资本表!E60</f>
        <v>268614996.52999997</v>
      </c>
      <c r="F95" s="76">
        <f>资产资本表!F60</f>
        <v>268763619.47000003</v>
      </c>
      <c r="G95" s="76">
        <f>资产资本表!G60</f>
        <v>268935657.30000001</v>
      </c>
      <c r="H95" s="76">
        <f>资产资本表!H60</f>
        <v>269093522.95999998</v>
      </c>
      <c r="I95" s="76">
        <f>资产资本表!I60</f>
        <v>268825484.07999998</v>
      </c>
      <c r="J95" s="76">
        <f>资产资本表!J60</f>
        <v>269616783.56</v>
      </c>
      <c r="K95" s="76">
        <f>资产资本表!K60</f>
        <v>269429341</v>
      </c>
      <c r="L95" s="76">
        <f>资产资本表!L60</f>
        <v>268571493.52999997</v>
      </c>
      <c r="M95" s="76">
        <f>资产资本表!M60</f>
        <v>268121065</v>
      </c>
      <c r="N95" s="76">
        <f>资产资本表!N60</f>
        <v>268018532.38999999</v>
      </c>
      <c r="O95" s="76">
        <f>资产资本表!O60</f>
        <v>267649933</v>
      </c>
      <c r="P95" s="76">
        <f>资产资本表!P60</f>
        <v>267800280.96000001</v>
      </c>
      <c r="Q95" s="76">
        <f>资产资本表!Q60</f>
        <v>267812481</v>
      </c>
      <c r="R95" s="76">
        <f>资产资本表!R60</f>
        <v>267201255.22</v>
      </c>
      <c r="S95" s="76">
        <f>资产资本表!S60</f>
        <v>0</v>
      </c>
      <c r="T95" s="76">
        <f>资产资本表!T60</f>
        <v>0</v>
      </c>
      <c r="U95" s="76">
        <f>资产资本表!U60</f>
        <v>0</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4299648.47</v>
      </c>
      <c r="AU95" s="76">
        <f>资产资本表!AU60</f>
        <v>4299648.47</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c r="A96" s="70" t="s">
        <v>593</v>
      </c>
      <c r="E96" s="76">
        <f>资产资本表!E61</f>
        <v>31255212.34</v>
      </c>
      <c r="F96" s="76">
        <f>资产资本表!F61</f>
        <v>26722101.329999998</v>
      </c>
      <c r="G96" s="76">
        <f>资产资本表!G61</f>
        <v>30921099.77</v>
      </c>
      <c r="H96" s="76">
        <f>资产资本表!H61</f>
        <v>34692310.090000004</v>
      </c>
      <c r="I96" s="76">
        <f>资产资本表!I61</f>
        <v>44889084.670000002</v>
      </c>
      <c r="J96" s="76">
        <f>资产资本表!J61</f>
        <v>55029109.909999996</v>
      </c>
      <c r="K96" s="76">
        <f>资产资本表!K61</f>
        <v>64107649</v>
      </c>
      <c r="L96" s="76">
        <f>资产资本表!L61</f>
        <v>73873233.370000005</v>
      </c>
      <c r="M96" s="76">
        <f>资产资本表!M61</f>
        <v>84617648</v>
      </c>
      <c r="N96" s="76">
        <f>资产资本表!N61</f>
        <v>95768614.75</v>
      </c>
      <c r="O96" s="76">
        <f>资产资本表!O61</f>
        <v>112478405</v>
      </c>
      <c r="P96" s="76">
        <f>资产资本表!P61</f>
        <v>129535268.04000001</v>
      </c>
      <c r="Q96" s="76">
        <f>资产资本表!Q61</f>
        <v>132550551</v>
      </c>
      <c r="R96" s="76">
        <f>资产资本表!R61</f>
        <v>138101628.50999999</v>
      </c>
      <c r="S96" s="76">
        <f>资产资本表!S61</f>
        <v>58817870</v>
      </c>
      <c r="T96" s="76">
        <f>资产资本表!T61</f>
        <v>59457572.68</v>
      </c>
      <c r="U96" s="76">
        <f>资产资本表!U61</f>
        <v>60905724</v>
      </c>
      <c r="V96" s="76">
        <f>资产资本表!V61</f>
        <v>64072599</v>
      </c>
      <c r="W96" s="76">
        <f>资产资本表!W61</f>
        <v>63777622</v>
      </c>
      <c r="X96" s="76">
        <f>资产资本表!X61</f>
        <v>59642968.509999998</v>
      </c>
      <c r="Y96" s="76">
        <f>资产资本表!Y61</f>
        <v>57866021</v>
      </c>
      <c r="Z96" s="76">
        <f>资产资本表!Z61</f>
        <v>50521215</v>
      </c>
      <c r="AA96" s="76">
        <f>资产资本表!AA61</f>
        <v>44061238</v>
      </c>
      <c r="AB96" s="76">
        <f>资产资本表!AB61</f>
        <v>37361683.140000001</v>
      </c>
      <c r="AC96" s="76">
        <f>资产资本表!AC61</f>
        <v>32778714</v>
      </c>
      <c r="AD96" s="76">
        <f>资产资本表!AD61</f>
        <v>25083332.449999999</v>
      </c>
      <c r="AE96" s="76">
        <f>资产资本表!AE61</f>
        <v>21691239</v>
      </c>
      <c r="AF96" s="76">
        <f>资产资本表!AF61</f>
        <v>19395906.079999998</v>
      </c>
      <c r="AG96" s="76">
        <f>资产资本表!AG61</f>
        <v>13933000</v>
      </c>
      <c r="AH96" s="76">
        <f>资产资本表!AH61</f>
        <v>2338544.1</v>
      </c>
      <c r="AI96" s="76">
        <f>资产资本表!AI61</f>
        <v>478232.39</v>
      </c>
      <c r="AJ96" s="76">
        <f>资产资本表!AJ61</f>
        <v>881605.04</v>
      </c>
      <c r="AK96" s="76">
        <f>资产资本表!AK61</f>
        <v>1570896.8</v>
      </c>
      <c r="AL96" s="76">
        <f>资产资本表!AL61</f>
        <v>2260555.21</v>
      </c>
      <c r="AM96" s="76">
        <f>资产资本表!AM61</f>
        <v>2950213.45</v>
      </c>
      <c r="AN96" s="76">
        <f>资产资本表!AN61</f>
        <v>1294768.8500000001</v>
      </c>
      <c r="AO96" s="76">
        <f>资产资本表!AO61</f>
        <v>122133.31</v>
      </c>
      <c r="AP96" s="76">
        <f>资产资本表!AP61</f>
        <v>132233.32</v>
      </c>
      <c r="AQ96" s="76">
        <f>资产资本表!AQ61</f>
        <v>171742.95</v>
      </c>
      <c r="AR96" s="76">
        <f>资产资本表!AR61</f>
        <v>152400</v>
      </c>
      <c r="AS96" s="76">
        <f>资产资本表!AS61</f>
        <v>162450</v>
      </c>
      <c r="AT96" s="76">
        <f>资产资本表!AT61</f>
        <v>6006434.8399999999</v>
      </c>
      <c r="AU96" s="76">
        <f>资产资本表!AU61</f>
        <v>5194330.3499999996</v>
      </c>
      <c r="AV96" s="76">
        <f>资产资本表!AV61</f>
        <v>148965.29999999999</v>
      </c>
      <c r="AW96" s="76">
        <f>资产资本表!AW61</f>
        <v>65523.19</v>
      </c>
      <c r="AX96" s="76">
        <f>资产资本表!AX61</f>
        <v>17190</v>
      </c>
      <c r="AY96" s="76">
        <f>资产资本表!AY61</f>
        <v>25709.8</v>
      </c>
      <c r="AZ96" s="76">
        <f>资产资本表!AZ61</f>
        <v>20832.86</v>
      </c>
      <c r="BA96" s="76">
        <f>资产资本表!BA61</f>
        <v>127604.26</v>
      </c>
      <c r="BB96" s="76">
        <f>资产资本表!BB61</f>
        <v>529480.84</v>
      </c>
      <c r="BC96" s="76">
        <f>资产资本表!BC61</f>
        <v>725579.54</v>
      </c>
      <c r="BD96" s="76">
        <f>资产资本表!BD61</f>
        <v>906848.24</v>
      </c>
      <c r="BE96" s="76">
        <f>资产资本表!BE61</f>
        <v>1108066.94</v>
      </c>
      <c r="BF96" s="76">
        <f>资产资本表!BF61</f>
        <v>1890464.1</v>
      </c>
      <c r="BG96" s="76">
        <f>资产资本表!BG61</f>
        <v>1457366.84</v>
      </c>
      <c r="BH96" s="76">
        <f>资产资本表!BH61</f>
        <v>1699364.96</v>
      </c>
      <c r="BI96" s="76">
        <f>资产资本表!BI61</f>
        <v>1941363.08</v>
      </c>
      <c r="BJ96" s="76">
        <f>资产资本表!BJ61</f>
        <v>6687883.6100000003</v>
      </c>
      <c r="BK96" s="76">
        <f>资产资本表!BK61</f>
        <v>7010469.54</v>
      </c>
      <c r="BL96" s="76">
        <f>资产资本表!BL61</f>
        <v>2772609.86</v>
      </c>
      <c r="BM96" s="76">
        <f>资产资本表!BM61</f>
        <v>3105724.89</v>
      </c>
      <c r="BN96" s="76">
        <f>资产资本表!BN61</f>
        <v>3463564.95</v>
      </c>
      <c r="BO96" s="76">
        <f>资产资本表!BO61</f>
        <v>3849405.21</v>
      </c>
      <c r="BP96" s="76">
        <f>资产资本表!BP61</f>
        <v>4235245.47</v>
      </c>
      <c r="BQ96" s="76">
        <f>资产资本表!BQ61</f>
        <v>4621085.7300000004</v>
      </c>
      <c r="BR96" s="76">
        <f>资产资本表!BR61</f>
        <v>4497313.88</v>
      </c>
      <c r="BS96" s="76">
        <f>资产资本表!BS61</f>
        <v>4981740.62</v>
      </c>
      <c r="BT96" s="76">
        <f>资产资本表!BT61</f>
        <v>3135028.22</v>
      </c>
      <c r="BU96" s="76">
        <f>资产资本表!BU61</f>
        <v>3597144.24</v>
      </c>
      <c r="BV96" s="76">
        <f>资产资本表!BV61</f>
        <v>4239606.21</v>
      </c>
      <c r="BW96" s="76">
        <f>资产资本表!BW61</f>
        <v>5284720.6100000003</v>
      </c>
      <c r="BX96" s="76">
        <f>资产资本表!BX61</f>
        <v>5974148.04</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c r="A97" s="70" t="s">
        <v>594</v>
      </c>
      <c r="E97" s="76">
        <f>资产资本表!E62</f>
        <v>271732067.31</v>
      </c>
      <c r="F97" s="76">
        <f>资产资本表!F62</f>
        <v>264984112.34</v>
      </c>
      <c r="G97" s="76">
        <f>资产资本表!G62</f>
        <v>226382554.44</v>
      </c>
      <c r="H97" s="76">
        <f>资产资本表!H62</f>
        <v>202683759.09</v>
      </c>
      <c r="I97" s="76">
        <f>资产资本表!I62</f>
        <v>228666980.59999999</v>
      </c>
      <c r="J97" s="76">
        <f>资产资本表!J62</f>
        <v>270507307.04000002</v>
      </c>
      <c r="K97" s="76">
        <f>资产资本表!K62</f>
        <v>273963506</v>
      </c>
      <c r="L97" s="76">
        <f>资产资本表!L62</f>
        <v>278539140.00999999</v>
      </c>
      <c r="M97" s="76">
        <f>资产资本表!M62</f>
        <v>271274232</v>
      </c>
      <c r="N97" s="76">
        <f>资产资本表!N62</f>
        <v>282472303.36000001</v>
      </c>
      <c r="O97" s="76">
        <f>资产资本表!O62</f>
        <v>259400202</v>
      </c>
      <c r="P97" s="76">
        <f>资产资本表!P62</f>
        <v>260559923.28</v>
      </c>
      <c r="Q97" s="76">
        <f>资产资本表!Q62</f>
        <v>261310824</v>
      </c>
      <c r="R97" s="76">
        <f>资产资本表!R62</f>
        <v>225384538.21000001</v>
      </c>
      <c r="S97" s="76">
        <f>资产资本表!S62</f>
        <v>60266644</v>
      </c>
      <c r="T97" s="76">
        <f>资产资本表!T62</f>
        <v>60680940.170000002</v>
      </c>
      <c r="U97" s="76">
        <f>资产资本表!U62</f>
        <v>60366650</v>
      </c>
      <c r="V97" s="76">
        <f>资产资本表!V62</f>
        <v>65427796</v>
      </c>
      <c r="W97" s="76">
        <f>资产资本表!W62</f>
        <v>81663635</v>
      </c>
      <c r="X97" s="76">
        <f>资产资本表!X62</f>
        <v>75470953.150000006</v>
      </c>
      <c r="Y97" s="76">
        <f>资产资本表!Y62</f>
        <v>72340313</v>
      </c>
      <c r="Z97" s="76">
        <f>资产资本表!Z62</f>
        <v>71389507</v>
      </c>
      <c r="AA97" s="76">
        <f>资产资本表!AA62</f>
        <v>79205348</v>
      </c>
      <c r="AB97" s="76">
        <f>资产资本表!AB62</f>
        <v>75826420.099999994</v>
      </c>
      <c r="AC97" s="76">
        <f>资产资本表!AC62</f>
        <v>71759544</v>
      </c>
      <c r="AD97" s="76">
        <f>资产资本表!AD62</f>
        <v>65057320.82</v>
      </c>
      <c r="AE97" s="76">
        <f>资产资本表!AE62</f>
        <v>68816489</v>
      </c>
      <c r="AF97" s="76">
        <f>资产资本表!AF62</f>
        <v>66728778.810000002</v>
      </c>
      <c r="AG97" s="76">
        <f>资产资本表!AG62</f>
        <v>66617109</v>
      </c>
      <c r="AH97" s="76">
        <f>资产资本表!AH62</f>
        <v>72403911.569999993</v>
      </c>
      <c r="AI97" s="76">
        <f>资产资本表!AI62</f>
        <v>86007467.879999995</v>
      </c>
      <c r="AJ97" s="76">
        <f>资产资本表!AJ62</f>
        <v>99223333.390000001</v>
      </c>
      <c r="AK97" s="76">
        <f>资产资本表!AK62</f>
        <v>101588291.45</v>
      </c>
      <c r="AL97" s="76">
        <f>资产资本表!AL62</f>
        <v>72502257.370000005</v>
      </c>
      <c r="AM97" s="76">
        <f>资产资本表!AM62</f>
        <v>72822016.540000007</v>
      </c>
      <c r="AN97" s="76">
        <f>资产资本表!AN62</f>
        <v>60656858.759999998</v>
      </c>
      <c r="AO97" s="76">
        <f>资产资本表!AO62</f>
        <v>47046272.450000003</v>
      </c>
      <c r="AP97" s="76">
        <f>资产资本表!AP62</f>
        <v>21161570.98</v>
      </c>
      <c r="AQ97" s="76">
        <f>资产资本表!AQ62</f>
        <v>19784583.039999999</v>
      </c>
      <c r="AR97" s="76">
        <f>资产资本表!AR62</f>
        <v>17140263.109999999</v>
      </c>
      <c r="AS97" s="76">
        <f>资产资本表!AS62</f>
        <v>16731757.529999999</v>
      </c>
      <c r="AT97" s="76">
        <f>资产资本表!AT62</f>
        <v>14144697.609999999</v>
      </c>
      <c r="AU97" s="76">
        <f>资产资本表!AU62</f>
        <v>14084328.17</v>
      </c>
      <c r="AV97" s="76">
        <f>资产资本表!AV62</f>
        <v>13908012.35</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c r="A98" s="70" t="s">
        <v>595</v>
      </c>
      <c r="E98" s="76">
        <f>资产资本表!E63</f>
        <v>38346244.920000002</v>
      </c>
      <c r="F98" s="76">
        <f>资产资本表!F63</f>
        <v>38601595.560000002</v>
      </c>
      <c r="G98" s="76">
        <f>资产资本表!G63</f>
        <v>38856946.310000002</v>
      </c>
      <c r="H98" s="76">
        <f>资产资本表!H63</f>
        <v>39112297.07</v>
      </c>
      <c r="I98" s="76">
        <f>资产资本表!I63</f>
        <v>39367647.82</v>
      </c>
      <c r="J98" s="76">
        <f>资产资本表!J63</f>
        <v>39621569.93</v>
      </c>
      <c r="K98" s="76">
        <f>资产资本表!K63</f>
        <v>39877397</v>
      </c>
      <c r="L98" s="76">
        <f>资产资本表!L63</f>
        <v>40133223.82</v>
      </c>
      <c r="M98" s="76">
        <f>资产资本表!M63</f>
        <v>40389051</v>
      </c>
      <c r="N98" s="76">
        <f>资产资本表!N63</f>
        <v>40644877.710000001</v>
      </c>
      <c r="O98" s="76">
        <f>资产资本表!O63</f>
        <v>40900705</v>
      </c>
      <c r="P98" s="76">
        <f>资产资本表!P63</f>
        <v>41156531.600000001</v>
      </c>
      <c r="Q98" s="76">
        <f>资产资本表!Q63</f>
        <v>41412359</v>
      </c>
      <c r="R98" s="76">
        <f>资产资本表!R63</f>
        <v>0</v>
      </c>
      <c r="S98" s="76">
        <f>资产资本表!S63</f>
        <v>0</v>
      </c>
      <c r="T98" s="76">
        <f>资产资本表!T63</f>
        <v>0</v>
      </c>
      <c r="U98" s="76">
        <f>资产资本表!U63</f>
        <v>0</v>
      </c>
      <c r="V98" s="76">
        <f>资产资本表!V63</f>
        <v>0</v>
      </c>
      <c r="W98" s="76">
        <f>资产资本表!W63</f>
        <v>0</v>
      </c>
      <c r="X98" s="76">
        <f>资产资本表!X63</f>
        <v>0</v>
      </c>
      <c r="Y98" s="76">
        <f>资产资本表!Y63</f>
        <v>0</v>
      </c>
      <c r="Z98" s="76">
        <f>资产资本表!Z63</f>
        <v>333142</v>
      </c>
      <c r="AA98" s="76">
        <f>资产资本表!AA63</f>
        <v>0</v>
      </c>
      <c r="AB98" s="76">
        <f>资产资本表!AB63</f>
        <v>1004834.77</v>
      </c>
      <c r="AC98" s="76">
        <f>资产资本表!AC63</f>
        <v>0</v>
      </c>
      <c r="AD98" s="76">
        <f>资产资本表!AD63</f>
        <v>809156.42</v>
      </c>
      <c r="AE98" s="76">
        <f>资产资本表!AE63</f>
        <v>0</v>
      </c>
      <c r="AF98" s="76">
        <f>资产资本表!AF63</f>
        <v>0</v>
      </c>
      <c r="AG98" s="76">
        <f>资产资本表!AG63</f>
        <v>0</v>
      </c>
      <c r="AH98" s="76">
        <f>资产资本表!AH63</f>
        <v>31495.17</v>
      </c>
      <c r="AI98" s="76">
        <f>资产资本表!AI63</f>
        <v>31917.23</v>
      </c>
      <c r="AJ98" s="76">
        <f>资产资本表!AJ63</f>
        <v>32083.61</v>
      </c>
      <c r="AK98" s="76">
        <f>资产资本表!AK63</f>
        <v>32092.54</v>
      </c>
      <c r="AL98" s="76">
        <f>资产资本表!AL63</f>
        <v>47803</v>
      </c>
      <c r="AM98" s="76">
        <f>资产资本表!AM63</f>
        <v>47823.3</v>
      </c>
      <c r="AN98" s="76">
        <f>资产资本表!AN63</f>
        <v>0</v>
      </c>
      <c r="AO98" s="76">
        <f>资产资本表!AO63</f>
        <v>0</v>
      </c>
      <c r="AP98" s="76">
        <f>资产资本表!AP63</f>
        <v>11598489.199999999</v>
      </c>
      <c r="AQ98" s="76">
        <f>资产资本表!AQ63</f>
        <v>15555734.720000001</v>
      </c>
      <c r="AR98" s="76">
        <f>资产资本表!AR63</f>
        <v>25084443.98</v>
      </c>
      <c r="AS98" s="76">
        <f>资产资本表!AS63</f>
        <v>31021379.289999999</v>
      </c>
      <c r="AT98" s="76">
        <f>资产资本表!AT63</f>
        <v>29852737.41</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4.25" thickBot="1">
      <c r="A99" s="74" t="s">
        <v>596</v>
      </c>
      <c r="E99" s="93">
        <f>资产资本表!E64</f>
        <v>19736400.379999999</v>
      </c>
      <c r="F99" s="93">
        <f>资产资本表!F64</f>
        <v>22818160.420000002</v>
      </c>
      <c r="G99" s="93">
        <f>资产资本表!G64</f>
        <v>17103101.34</v>
      </c>
      <c r="H99" s="93">
        <f>资产资本表!H64</f>
        <v>32051183.93</v>
      </c>
      <c r="I99" s="93">
        <f>资产资本表!I64</f>
        <v>355113642.12</v>
      </c>
      <c r="J99" s="93">
        <f>资产资本表!J64</f>
        <v>112321974.08</v>
      </c>
      <c r="K99" s="93">
        <f>资产资本表!K64</f>
        <v>143850182</v>
      </c>
      <c r="L99" s="93">
        <f>资产资本表!L64</f>
        <v>77580207.040000007</v>
      </c>
      <c r="M99" s="93">
        <f>资产资本表!M64</f>
        <v>60674919</v>
      </c>
      <c r="N99" s="93">
        <f>资产资本表!N64</f>
        <v>76741574.299999997</v>
      </c>
      <c r="O99" s="93">
        <f>资产资本表!O64</f>
        <v>96838594</v>
      </c>
      <c r="P99" s="93">
        <f>资产资本表!P64</f>
        <v>169331259.83000001</v>
      </c>
      <c r="Q99" s="93">
        <f>资产资本表!Q64</f>
        <v>371716080</v>
      </c>
      <c r="R99" s="93">
        <f>资产资本表!R64</f>
        <v>222263944.84999999</v>
      </c>
      <c r="S99" s="93">
        <f>资产资本表!S64</f>
        <v>78644532</v>
      </c>
      <c r="T99" s="93">
        <f>资产资本表!T64</f>
        <v>102538656.95999999</v>
      </c>
      <c r="U99" s="93">
        <f>资产资本表!U64</f>
        <v>113942323</v>
      </c>
      <c r="V99" s="93">
        <f>资产资本表!V64</f>
        <v>168389548</v>
      </c>
      <c r="W99" s="93">
        <f>资产资本表!W64</f>
        <v>183116893</v>
      </c>
      <c r="X99" s="93">
        <f>资产资本表!X64</f>
        <v>192147977.91</v>
      </c>
      <c r="Y99" s="93">
        <f>资产资本表!Y64</f>
        <v>221636627</v>
      </c>
      <c r="Z99" s="93">
        <f>资产资本表!Z64</f>
        <v>0</v>
      </c>
      <c r="AA99" s="93">
        <f>资产资本表!AA64</f>
        <v>0</v>
      </c>
      <c r="AB99" s="93">
        <f>资产资本表!AB64</f>
        <v>0</v>
      </c>
      <c r="AC99" s="93">
        <f>资产资本表!AC64</f>
        <v>658382</v>
      </c>
      <c r="AD99" s="93">
        <f>资产资本表!AD64</f>
        <v>0</v>
      </c>
      <c r="AE99" s="93">
        <f>资产资本表!AE64</f>
        <v>6486000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358650</v>
      </c>
      <c r="BY99" s="93">
        <f>资产资本表!BY64</f>
        <v>6013900.2800000003</v>
      </c>
      <c r="BZ99" s="93">
        <f>资产资本表!BZ64</f>
        <v>0</v>
      </c>
      <c r="CA99" s="93">
        <f>资产资本表!CA64</f>
        <v>7586578.29</v>
      </c>
      <c r="CB99" s="93">
        <f>资产资本表!CB64</f>
        <v>0</v>
      </c>
      <c r="CC99" s="93">
        <f>资产资本表!CC64</f>
        <v>5890489.4299999997</v>
      </c>
      <c r="CD99" s="93">
        <f>资产资本表!CD64</f>
        <v>0</v>
      </c>
      <c r="CE99" s="93">
        <f>资产资本表!CE64</f>
        <v>5912777.7999999998</v>
      </c>
      <c r="CF99" s="93">
        <f>资产资本表!CF64</f>
        <v>12517626.5</v>
      </c>
      <c r="CG99" s="93">
        <f>资产资本表!CG64</f>
        <v>0</v>
      </c>
      <c r="CH99" s="93">
        <f>资产资本表!CH64</f>
        <v>0</v>
      </c>
      <c r="CI99" s="93">
        <f>资产资本表!CI64</f>
        <v>0</v>
      </c>
      <c r="CJ99" s="93">
        <f>资产资本表!CJ64</f>
        <v>0</v>
      </c>
      <c r="CK99" s="93">
        <f>资产资本表!CK64</f>
        <v>0</v>
      </c>
    </row>
    <row r="100" spans="1:89" s="196" customFormat="1">
      <c r="A100" s="88" t="s">
        <v>686</v>
      </c>
      <c r="E100" s="196">
        <f>(E84+I84)/2</f>
        <v>6445125023.25</v>
      </c>
      <c r="F100" s="196">
        <f t="shared" ref="F100:BQ100" si="54">(F84+J84)/2</f>
        <v>6494499979.9200001</v>
      </c>
      <c r="G100" s="196">
        <f t="shared" si="54"/>
        <v>6319993822.4549999</v>
      </c>
      <c r="H100" s="196">
        <f t="shared" si="54"/>
        <v>6467820152.7450008</v>
      </c>
      <c r="I100" s="196">
        <f t="shared" si="54"/>
        <v>6556853184.6599998</v>
      </c>
      <c r="J100" s="196">
        <f t="shared" si="54"/>
        <v>6754872746.7600002</v>
      </c>
      <c r="K100" s="196">
        <f t="shared" si="54"/>
        <v>6949887987.5</v>
      </c>
      <c r="L100" s="196">
        <f t="shared" si="54"/>
        <v>7197366667.4650002</v>
      </c>
      <c r="M100" s="196">
        <f t="shared" si="54"/>
        <v>7330800449.5</v>
      </c>
      <c r="N100" s="196">
        <f t="shared" si="54"/>
        <v>7561151427.6499996</v>
      </c>
      <c r="O100" s="196">
        <f t="shared" si="54"/>
        <v>5544480524.5</v>
      </c>
      <c r="P100" s="196">
        <f t="shared" si="54"/>
        <v>5728487097.5550003</v>
      </c>
      <c r="Q100" s="196">
        <f t="shared" si="54"/>
        <v>5901376294.5</v>
      </c>
      <c r="R100" s="196">
        <f t="shared" si="54"/>
        <v>6079637919.21</v>
      </c>
      <c r="S100" s="196">
        <f t="shared" si="54"/>
        <v>3995335041.5</v>
      </c>
      <c r="T100" s="196">
        <f t="shared" si="54"/>
        <v>4103840794.9549999</v>
      </c>
      <c r="U100" s="196">
        <f t="shared" si="54"/>
        <v>4199612882.5</v>
      </c>
      <c r="V100" s="196">
        <f t="shared" si="54"/>
        <v>4292856672</v>
      </c>
      <c r="W100" s="196">
        <f t="shared" si="54"/>
        <v>4404942602.5</v>
      </c>
      <c r="X100" s="196">
        <f t="shared" si="54"/>
        <v>4389265967.7000008</v>
      </c>
      <c r="Y100" s="196">
        <f t="shared" si="54"/>
        <v>4493275668.5</v>
      </c>
      <c r="Z100" s="196">
        <f t="shared" si="54"/>
        <v>4590531774.8000002</v>
      </c>
      <c r="AA100" s="196">
        <f t="shared" si="54"/>
        <v>4698903713</v>
      </c>
      <c r="AB100" s="196">
        <f t="shared" si="54"/>
        <v>4667215455.5500002</v>
      </c>
      <c r="AC100" s="196">
        <f t="shared" si="54"/>
        <v>4784541546</v>
      </c>
      <c r="AD100" s="196">
        <f t="shared" si="54"/>
        <v>3943053599.3050003</v>
      </c>
      <c r="AE100" s="196">
        <f t="shared" si="54"/>
        <v>4026939382.9899998</v>
      </c>
      <c r="AF100" s="196">
        <f t="shared" si="54"/>
        <v>4112481607.5699997</v>
      </c>
      <c r="AG100" s="196">
        <f t="shared" si="54"/>
        <v>4205726161.9449997</v>
      </c>
      <c r="AH100" s="196">
        <f t="shared" si="54"/>
        <v>3371487152.5550003</v>
      </c>
      <c r="AI100" s="196">
        <f t="shared" si="54"/>
        <v>3435472790.395</v>
      </c>
      <c r="AJ100" s="196">
        <f t="shared" si="54"/>
        <v>3504045059.5</v>
      </c>
      <c r="AK100" s="196">
        <f t="shared" si="54"/>
        <v>3580246978.71</v>
      </c>
      <c r="AL100" s="196">
        <f t="shared" si="54"/>
        <v>3487756890.3249998</v>
      </c>
      <c r="AM100" s="196">
        <f t="shared" si="54"/>
        <v>2497770554.3049998</v>
      </c>
      <c r="AN100" s="196">
        <f t="shared" si="54"/>
        <v>2088119171.9750001</v>
      </c>
      <c r="AO100" s="196">
        <f t="shared" si="54"/>
        <v>2127218590.625</v>
      </c>
      <c r="AP100" s="196">
        <f t="shared" si="54"/>
        <v>1967709052.1750002</v>
      </c>
      <c r="AQ100" s="196">
        <f t="shared" si="54"/>
        <v>947904477.56999993</v>
      </c>
      <c r="AR100" s="196">
        <f t="shared" si="54"/>
        <v>515896515.065</v>
      </c>
      <c r="AS100" s="196">
        <f t="shared" si="54"/>
        <v>524041559.59500003</v>
      </c>
      <c r="AT100" s="196">
        <f t="shared" si="54"/>
        <v>518070170.755</v>
      </c>
      <c r="AU100" s="196">
        <f t="shared" si="54"/>
        <v>525638357.23500001</v>
      </c>
      <c r="AV100" s="196">
        <f t="shared" si="54"/>
        <v>542127466.07500005</v>
      </c>
      <c r="AW100" s="196">
        <f t="shared" si="54"/>
        <v>553547741.18499994</v>
      </c>
      <c r="AX100" s="196">
        <f t="shared" si="54"/>
        <v>558465262.65499997</v>
      </c>
      <c r="AY100" s="196">
        <f t="shared" si="54"/>
        <v>567294277.50999999</v>
      </c>
      <c r="AZ100" s="196">
        <f t="shared" si="54"/>
        <v>580245321.92000008</v>
      </c>
      <c r="BA100" s="196">
        <f t="shared" si="54"/>
        <v>576932061.23500001</v>
      </c>
      <c r="BB100" s="196">
        <f t="shared" si="54"/>
        <v>587069753.95499992</v>
      </c>
      <c r="BC100" s="196">
        <f t="shared" si="54"/>
        <v>588274996.94000006</v>
      </c>
      <c r="BD100" s="196">
        <f t="shared" si="54"/>
        <v>594386381.06500006</v>
      </c>
      <c r="BE100" s="196">
        <f t="shared" si="54"/>
        <v>590215598.9000001</v>
      </c>
      <c r="BF100" s="196">
        <f t="shared" si="54"/>
        <v>473542197.95999998</v>
      </c>
      <c r="BG100" s="196">
        <f t="shared" si="54"/>
        <v>469815134.59000003</v>
      </c>
      <c r="BH100" s="196">
        <f t="shared" si="54"/>
        <v>380267716.88499999</v>
      </c>
      <c r="BI100" s="196">
        <f t="shared" si="54"/>
        <v>387587354.37</v>
      </c>
      <c r="BJ100" s="196">
        <f t="shared" si="54"/>
        <v>270276900.09500003</v>
      </c>
      <c r="BK100" s="196">
        <f t="shared" si="54"/>
        <v>272770967.00999999</v>
      </c>
      <c r="BL100" s="196">
        <f t="shared" si="54"/>
        <v>185476110.94999999</v>
      </c>
      <c r="BM100" s="196">
        <f t="shared" si="54"/>
        <v>186816689.41</v>
      </c>
      <c r="BN100" s="196">
        <f t="shared" si="54"/>
        <v>195500080.48500001</v>
      </c>
      <c r="BO100" s="196">
        <f t="shared" si="54"/>
        <v>198495387.41500002</v>
      </c>
      <c r="BP100" s="196">
        <f t="shared" si="54"/>
        <v>206720847.66500002</v>
      </c>
      <c r="BQ100" s="196">
        <f t="shared" si="54"/>
        <v>203525479.005</v>
      </c>
      <c r="BR100" s="196">
        <f t="shared" ref="BR100:CK100" si="55">(BR84+BV84)/2</f>
        <v>211105343.69</v>
      </c>
      <c r="BS100" s="196">
        <f t="shared" si="55"/>
        <v>215731431.38</v>
      </c>
      <c r="BT100" s="196">
        <f t="shared" si="55"/>
        <v>152777029.44499999</v>
      </c>
      <c r="BU100" s="196">
        <f t="shared" si="55"/>
        <v>151768528.495</v>
      </c>
      <c r="BV100" s="196">
        <f t="shared" si="55"/>
        <v>155869925.05000001</v>
      </c>
      <c r="BW100" s="196">
        <f t="shared" si="55"/>
        <v>160705892.10999998</v>
      </c>
      <c r="BX100" s="196">
        <f t="shared" si="55"/>
        <v>91761855.775000006</v>
      </c>
      <c r="BY100" s="196">
        <f t="shared" si="55"/>
        <v>94328633.74000001</v>
      </c>
      <c r="BZ100" s="196">
        <f t="shared" si="55"/>
        <v>97445172.555000007</v>
      </c>
      <c r="CA100" s="196">
        <f t="shared" si="55"/>
        <v>100098879.315</v>
      </c>
      <c r="CB100" s="196">
        <f t="shared" si="55"/>
        <v>69040999.039999992</v>
      </c>
      <c r="CC100" s="196">
        <f t="shared" si="55"/>
        <v>65845631.094999999</v>
      </c>
      <c r="CD100" s="196">
        <f t="shared" si="55"/>
        <v>68786800</v>
      </c>
      <c r="CE100" s="196">
        <f t="shared" si="55"/>
        <v>52264732.585000001</v>
      </c>
      <c r="CF100" s="196">
        <f t="shared" si="55"/>
        <v>21045999.039999999</v>
      </c>
      <c r="CG100" s="196">
        <f t="shared" si="55"/>
        <v>16959650</v>
      </c>
      <c r="CH100" s="196">
        <f t="shared" si="55"/>
        <v>17921800</v>
      </c>
      <c r="CI100" s="196">
        <f t="shared" si="55"/>
        <v>0</v>
      </c>
      <c r="CJ100" s="196">
        <f t="shared" si="55"/>
        <v>0</v>
      </c>
      <c r="CK100" s="196">
        <f t="shared" si="55"/>
        <v>0</v>
      </c>
    </row>
    <row r="101" spans="1:89" s="251" customFormat="1" ht="14.25" thickBot="1">
      <c r="A101" s="252" t="s">
        <v>687</v>
      </c>
      <c r="E101" s="251">
        <f>E100/E84</f>
        <v>0.97327288450868887</v>
      </c>
      <c r="F101" s="251">
        <f t="shared" ref="F101:BQ101" si="56">F100/F84</f>
        <v>0.99462301432308364</v>
      </c>
      <c r="G101" s="251">
        <f t="shared" si="56"/>
        <v>1.0461618807605666</v>
      </c>
      <c r="H101" s="251">
        <f t="shared" si="56"/>
        <v>1.0562894209152307</v>
      </c>
      <c r="I101" s="251">
        <f t="shared" si="56"/>
        <v>1.0460612599811483</v>
      </c>
      <c r="J101" s="251">
        <f t="shared" si="56"/>
        <v>1.0457446241101975</v>
      </c>
      <c r="K101" s="251">
        <f t="shared" si="56"/>
        <v>1.0531946922036912</v>
      </c>
      <c r="L101" s="251">
        <f t="shared" si="56"/>
        <v>1.0564959258793547</v>
      </c>
      <c r="M101" s="251">
        <f t="shared" si="56"/>
        <v>1.0708821868277707</v>
      </c>
      <c r="N101" s="251">
        <f t="shared" si="56"/>
        <v>1.0724497259056855</v>
      </c>
      <c r="O101" s="251">
        <f t="shared" si="56"/>
        <v>0.75942295230348578</v>
      </c>
      <c r="P101" s="251">
        <f t="shared" si="56"/>
        <v>0.7555133674282567</v>
      </c>
      <c r="Q101" s="251">
        <f t="shared" si="56"/>
        <v>0.75503505714177943</v>
      </c>
      <c r="R101" s="251">
        <f t="shared" si="56"/>
        <v>0.75318103223306554</v>
      </c>
      <c r="S101" s="251">
        <f t="shared" si="56"/>
        <v>1.0547211813058732</v>
      </c>
      <c r="T101" s="251">
        <f t="shared" si="56"/>
        <v>1.0591295779807288</v>
      </c>
      <c r="U101" s="251">
        <f t="shared" si="56"/>
        <v>1.0533996991418819</v>
      </c>
      <c r="V101" s="251">
        <f t="shared" si="56"/>
        <v>1.0502843305620655</v>
      </c>
      <c r="W101" s="251">
        <f t="shared" si="56"/>
        <v>1.0481416344325383</v>
      </c>
      <c r="X101" s="251">
        <f t="shared" si="56"/>
        <v>1.0129966922866518</v>
      </c>
      <c r="Y101" s="251">
        <f t="shared" si="56"/>
        <v>1.0183054785646992</v>
      </c>
      <c r="Z101" s="251">
        <f t="shared" si="56"/>
        <v>1.020484360517963</v>
      </c>
      <c r="AA101" s="251">
        <f t="shared" si="56"/>
        <v>1.0198903400204615</v>
      </c>
      <c r="AB101" s="251">
        <f t="shared" si="56"/>
        <v>1.0498552369912426</v>
      </c>
      <c r="AC101" s="251">
        <f t="shared" si="56"/>
        <v>1.0460189474303365</v>
      </c>
      <c r="AD101" s="251">
        <f t="shared" si="56"/>
        <v>0.84205092260999481</v>
      </c>
      <c r="AE101" s="251">
        <f t="shared" si="56"/>
        <v>0.84060173328499355</v>
      </c>
      <c r="AF101" s="251">
        <f t="shared" si="56"/>
        <v>0.84119595611225406</v>
      </c>
      <c r="AG101" s="251">
        <f t="shared" si="56"/>
        <v>0.84198141254961711</v>
      </c>
      <c r="AH101" s="251">
        <f t="shared" si="56"/>
        <v>1.052461996158609</v>
      </c>
      <c r="AI101" s="251">
        <f t="shared" si="56"/>
        <v>1.0527490367317687</v>
      </c>
      <c r="AJ101" s="251">
        <f t="shared" si="56"/>
        <v>1.0503378570814499</v>
      </c>
      <c r="AK101" s="251">
        <f t="shared" si="56"/>
        <v>1.0479534737457221</v>
      </c>
      <c r="AL101" s="251">
        <f t="shared" si="56"/>
        <v>0.98536859129053123</v>
      </c>
      <c r="AM101" s="251">
        <f t="shared" si="56"/>
        <v>0.69236146936139786</v>
      </c>
      <c r="AN101" s="251">
        <f t="shared" si="56"/>
        <v>0.56866334253787743</v>
      </c>
      <c r="AO101" s="251">
        <f t="shared" si="56"/>
        <v>0.56815581285394445</v>
      </c>
      <c r="AP101" s="251">
        <f t="shared" si="56"/>
        <v>0.57267962016277241</v>
      </c>
      <c r="AQ101" s="251">
        <f t="shared" si="56"/>
        <v>0.68296247570616353</v>
      </c>
      <c r="AR101" s="251">
        <f t="shared" si="56"/>
        <v>1.0230753243658206</v>
      </c>
      <c r="AS101" s="251">
        <f t="shared" si="56"/>
        <v>1.0268054558549162</v>
      </c>
      <c r="AT101" s="251">
        <f t="shared" si="56"/>
        <v>1.0372818706235338</v>
      </c>
      <c r="AU101" s="251">
        <f t="shared" si="56"/>
        <v>1.0349688849901419</v>
      </c>
      <c r="AV101" s="251">
        <f t="shared" si="56"/>
        <v>1.0276664959137465</v>
      </c>
      <c r="AW101" s="251">
        <f t="shared" si="56"/>
        <v>1.029431042589136</v>
      </c>
      <c r="AX101" s="251">
        <f t="shared" si="56"/>
        <v>1.0405721122772464</v>
      </c>
      <c r="AY101" s="251">
        <f t="shared" si="56"/>
        <v>1.0439750702537316</v>
      </c>
      <c r="AZ101" s="251">
        <f t="shared" si="56"/>
        <v>1.0422524378281999</v>
      </c>
      <c r="BA101" s="251">
        <f t="shared" si="56"/>
        <v>1.0132752944316237</v>
      </c>
      <c r="BB101" s="251">
        <f t="shared" si="56"/>
        <v>1.0117706830562754</v>
      </c>
      <c r="BC101" s="251">
        <f t="shared" si="56"/>
        <v>0.99506883119105005</v>
      </c>
      <c r="BD101" s="251">
        <f t="shared" si="56"/>
        <v>0.98446122010114656</v>
      </c>
      <c r="BE101" s="251">
        <f t="shared" si="56"/>
        <v>1.0097947455903269</v>
      </c>
      <c r="BF101" s="251">
        <f t="shared" si="56"/>
        <v>0.79734389186954258</v>
      </c>
      <c r="BG101" s="251">
        <f t="shared" si="56"/>
        <v>0.80260924026521641</v>
      </c>
      <c r="BH101" s="251">
        <f t="shared" si="56"/>
        <v>0.65002521856582363</v>
      </c>
      <c r="BI101" s="251">
        <f t="shared" si="56"/>
        <v>0.65037924223435062</v>
      </c>
      <c r="BJ101" s="251">
        <f t="shared" si="56"/>
        <v>0.76525627251742423</v>
      </c>
      <c r="BK101" s="251">
        <f t="shared" si="56"/>
        <v>0.76995104869083586</v>
      </c>
      <c r="BL101" s="251">
        <f t="shared" si="56"/>
        <v>1.0566580500539138</v>
      </c>
      <c r="BM101" s="251">
        <f t="shared" si="56"/>
        <v>1.0423050849835958</v>
      </c>
      <c r="BN101" s="251">
        <f t="shared" si="56"/>
        <v>1.0433962012635314</v>
      </c>
      <c r="BO101" s="251">
        <f t="shared" si="56"/>
        <v>1.0377682417659717</v>
      </c>
      <c r="BP101" s="251">
        <f t="shared" si="56"/>
        <v>1.0578212144743686</v>
      </c>
      <c r="BQ101" s="251">
        <f t="shared" si="56"/>
        <v>1.0469460388662633</v>
      </c>
      <c r="BR101" s="251">
        <f t="shared" ref="BR101:CK101" si="57">BR100/BR84</f>
        <v>1.0367044045625846</v>
      </c>
      <c r="BS101" s="251">
        <f t="shared" si="57"/>
        <v>1.0486685297678238</v>
      </c>
      <c r="BT101" s="251">
        <f t="shared" si="57"/>
        <v>0.70074665648865386</v>
      </c>
      <c r="BU101" s="251">
        <f t="shared" si="57"/>
        <v>0.7136951719499991</v>
      </c>
      <c r="BV101" s="251">
        <f t="shared" si="57"/>
        <v>0.71310402618548818</v>
      </c>
      <c r="BW101" s="251">
        <f t="shared" si="57"/>
        <v>0.71189601777202527</v>
      </c>
      <c r="BX101" s="251">
        <f t="shared" si="57"/>
        <v>1.0483030383395187</v>
      </c>
      <c r="BY101" s="251">
        <f t="shared" si="57"/>
        <v>1.0378865256491454</v>
      </c>
      <c r="BZ101" s="251">
        <f t="shared" si="57"/>
        <v>1.0459941130525081</v>
      </c>
      <c r="CA101" s="251">
        <f t="shared" si="57"/>
        <v>1.046311956602973</v>
      </c>
      <c r="CB101" s="251">
        <f t="shared" si="57"/>
        <v>0.71925199541618912</v>
      </c>
      <c r="CC101" s="251">
        <f t="shared" si="57"/>
        <v>0.67346128297028918</v>
      </c>
      <c r="CD101" s="251">
        <f t="shared" si="57"/>
        <v>0.67617025459549784</v>
      </c>
      <c r="CE101" s="251">
        <f t="shared" si="57"/>
        <v>0.5</v>
      </c>
      <c r="CF101" s="251">
        <f t="shared" si="57"/>
        <v>0.5</v>
      </c>
      <c r="CG101" s="251">
        <f t="shared" si="57"/>
        <v>0.5</v>
      </c>
      <c r="CH101" s="251">
        <f t="shared" si="57"/>
        <v>0.5</v>
      </c>
      <c r="CI101" s="251" t="e">
        <f t="shared" si="57"/>
        <v>#DIV/0!</v>
      </c>
      <c r="CJ101" s="251" t="e">
        <f t="shared" si="57"/>
        <v>#DIV/0!</v>
      </c>
      <c r="CK101" s="251" t="e">
        <f t="shared" si="57"/>
        <v>#DIV/0!</v>
      </c>
    </row>
    <row r="102" spans="1:89" ht="204.75" customHeight="1">
      <c r="A102" s="288" t="s">
        <v>688</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自由现金流分析表"/>
  <dimension ref="A1:CL41"/>
  <sheetViews>
    <sheetView topLeftCell="A7" workbookViewId="0">
      <selection activeCell="A27" sqref="A27"/>
    </sheetView>
  </sheetViews>
  <sheetFormatPr defaultRowHeight="13.5"/>
  <cols>
    <col min="1" max="1" width="65.75" style="17" bestFit="1" customWidth="1"/>
    <col min="2" max="4" width="9.5" hidden="1" customWidth="1"/>
    <col min="5" max="5" width="22" bestFit="1" customWidth="1"/>
    <col min="6" max="6" width="22" hidden="1" customWidth="1"/>
    <col min="7" max="8" width="20.75" hidden="1" customWidth="1"/>
    <col min="9" max="9" width="22" bestFit="1" customWidth="1"/>
    <col min="10" max="10" width="20.75" hidden="1" customWidth="1"/>
    <col min="11" max="12" width="23.25" hidden="1" customWidth="1"/>
    <col min="13" max="13" width="22" bestFit="1" customWidth="1"/>
    <col min="14" max="14" width="22" hidden="1" customWidth="1"/>
    <col min="15" max="16" width="19.5" hidden="1" customWidth="1"/>
    <col min="17" max="17" width="22" bestFit="1" customWidth="1"/>
    <col min="18" max="18" width="22" hidden="1" customWidth="1"/>
    <col min="19" max="20" width="20.75" hidden="1" customWidth="1"/>
    <col min="21" max="21" width="19.5" bestFit="1" customWidth="1"/>
    <col min="22" max="24" width="19.5" hidden="1" customWidth="1"/>
    <col min="25" max="25" width="19.5" bestFit="1" customWidth="1"/>
    <col min="26" max="28" width="19.5" hidden="1" customWidth="1"/>
    <col min="29" max="29" width="19.5" bestFit="1" customWidth="1"/>
    <col min="30" max="30" width="19.5" hidden="1" customWidth="1"/>
    <col min="31" max="31" width="20.75" hidden="1" customWidth="1"/>
    <col min="32" max="32" width="19.375" hidden="1" customWidth="1"/>
    <col min="33" max="33" width="19.5" bestFit="1" customWidth="1"/>
    <col min="34" max="35" width="19.5" hidden="1" customWidth="1"/>
    <col min="36" max="36" width="17.25" hidden="1" customWidth="1"/>
    <col min="37" max="37" width="19.5" bestFit="1" customWidth="1"/>
    <col min="38" max="39" width="19.5" hidden="1" customWidth="1"/>
    <col min="40" max="40" width="18.375" hidden="1" customWidth="1"/>
    <col min="41" max="41" width="19.5" bestFit="1" customWidth="1"/>
    <col min="42" max="44" width="19.5" hidden="1" customWidth="1"/>
    <col min="45" max="45" width="19.375" bestFit="1" customWidth="1"/>
    <col min="46" max="46" width="19.375" hidden="1" customWidth="1"/>
    <col min="47" max="48" width="18.25" hidden="1" customWidth="1"/>
    <col min="49" max="49" width="19.5" bestFit="1" customWidth="1"/>
    <col min="50" max="50" width="19.5" hidden="1" customWidth="1"/>
    <col min="51" max="52" width="18.25" hidden="1" customWidth="1"/>
    <col min="53" max="53" width="19.375" bestFit="1" customWidth="1"/>
    <col min="54" max="55" width="18.25" hidden="1" customWidth="1"/>
    <col min="56" max="56" width="19.5" hidden="1" customWidth="1"/>
    <col min="57" max="57" width="19.5" bestFit="1" customWidth="1"/>
    <col min="58" max="59" width="19.5" hidden="1" customWidth="1"/>
    <col min="60" max="60" width="18.25" hidden="1" customWidth="1"/>
    <col min="61" max="61" width="19.5" bestFit="1" customWidth="1"/>
    <col min="62" max="63" width="19.5" hidden="1" customWidth="1"/>
    <col min="64" max="64" width="17.25" hidden="1" customWidth="1"/>
    <col min="65" max="65" width="19.5" bestFit="1" customWidth="1"/>
    <col min="66" max="66" width="18.25" hidden="1" customWidth="1"/>
    <col min="67" max="67" width="18.25" bestFit="1" customWidth="1"/>
    <col min="68" max="68" width="18.25" hidden="1" customWidth="1"/>
    <col min="69" max="69" width="19.5" bestFit="1" customWidth="1"/>
    <col min="70" max="70" width="18.25" hidden="1" customWidth="1"/>
    <col min="71" max="71" width="19.5" bestFit="1" customWidth="1"/>
    <col min="72" max="72" width="18.25" bestFit="1" customWidth="1"/>
    <col min="73" max="74" width="17.25" hidden="1" customWidth="1"/>
    <col min="75" max="75" width="17.25" bestFit="1" customWidth="1"/>
    <col min="76" max="76" width="16.125" bestFit="1" customWidth="1"/>
    <col min="77" max="79" width="17.25" bestFit="1" customWidth="1"/>
    <col min="80" max="80" width="16.125" bestFit="1" customWidth="1"/>
    <col min="81" max="81" width="17.25" bestFit="1" customWidth="1"/>
    <col min="82" max="82" width="16.125" bestFit="1" customWidth="1"/>
    <col min="83" max="85" width="17.25" bestFit="1" customWidth="1"/>
    <col min="86" max="86" width="16.125" bestFit="1" customWidth="1"/>
    <col min="87" max="87" width="9.625" bestFit="1" customWidth="1"/>
    <col min="88" max="88" width="16.125" bestFit="1" customWidth="1"/>
    <col min="89" max="90" width="9.625" bestFit="1" customWidth="1"/>
  </cols>
  <sheetData>
    <row r="1" spans="1:90" ht="14.45">
      <c r="A1" s="17">
        <v>50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25569</v>
      </c>
      <c r="BV1" s="1">
        <v>25569</v>
      </c>
      <c r="BW1" s="40"/>
      <c r="BX1" s="40"/>
      <c r="BY1" s="40"/>
      <c r="BZ1" s="40"/>
      <c r="CA1" s="40"/>
      <c r="CB1" s="40"/>
      <c r="CC1" s="40"/>
      <c r="CD1" s="40"/>
      <c r="CE1" s="40"/>
      <c r="CF1" s="40"/>
      <c r="CG1" s="40"/>
      <c r="CH1" s="40"/>
      <c r="CI1" s="40"/>
      <c r="CJ1" s="40"/>
      <c r="CK1" s="40"/>
      <c r="CL1" s="40"/>
    </row>
    <row r="2" spans="1:90" s="26" customFormat="1">
      <c r="A2" s="17" t="s">
        <v>485</v>
      </c>
      <c r="E2" s="26">
        <f>现金流量表!E4</f>
        <v>13211781947.98</v>
      </c>
      <c r="F2" s="26">
        <f>现金流量表!F4</f>
        <v>9449836660.2700005</v>
      </c>
      <c r="G2" s="26">
        <f>现金流量表!G4</f>
        <v>5681967521.3599997</v>
      </c>
      <c r="H2" s="26">
        <f>现金流量表!H4</f>
        <v>2773430691.5999999</v>
      </c>
      <c r="I2" s="26">
        <f>现金流量表!I4</f>
        <v>10419750667.309999</v>
      </c>
      <c r="J2" s="26">
        <f>现金流量表!J4</f>
        <v>9004790709.75</v>
      </c>
      <c r="K2" s="26">
        <f>现金流量表!K4</f>
        <v>4627924648</v>
      </c>
      <c r="L2" s="26">
        <f>现金流量表!L4</f>
        <v>2541442528.3600001</v>
      </c>
      <c r="M2" s="26">
        <f>现金流量表!M4</f>
        <v>12499825960</v>
      </c>
      <c r="N2" s="26">
        <f>现金流量表!N4</f>
        <v>8922605546.8400002</v>
      </c>
      <c r="O2" s="26">
        <f>现金流量表!O4</f>
        <v>5602242099</v>
      </c>
      <c r="P2" s="26">
        <f>现金流量表!P4</f>
        <v>3227401117.7600002</v>
      </c>
      <c r="Q2" s="26">
        <f>现金流量表!Q4</f>
        <v>11379178564</v>
      </c>
      <c r="R2" s="26">
        <f>现金流量表!R4</f>
        <v>8099944784.7399998</v>
      </c>
      <c r="S2" s="26">
        <f>现金流量表!S4</f>
        <v>2705336359</v>
      </c>
      <c r="T2" s="26">
        <f>现金流量表!T4</f>
        <v>1472258596.1600001</v>
      </c>
      <c r="U2" s="26">
        <f>现金流量表!U4</f>
        <v>5178795693</v>
      </c>
      <c r="V2" s="26">
        <f>现金流量表!V4</f>
        <v>3677750907</v>
      </c>
      <c r="W2" s="26">
        <f>现金流量表!W4</f>
        <v>2438543509</v>
      </c>
      <c r="X2" s="26">
        <f>现金流量表!X4</f>
        <v>1366055494.5699999</v>
      </c>
      <c r="Y2" s="26">
        <f>现金流量表!Y4</f>
        <v>5004397169</v>
      </c>
      <c r="Z2" s="26">
        <f>现金流量表!Z4</f>
        <v>3496116279</v>
      </c>
      <c r="AA2" s="26">
        <f>现金流量表!AA4</f>
        <v>2158834099</v>
      </c>
      <c r="AB2" s="26">
        <f>现金流量表!AB4</f>
        <v>1216848083.8099999</v>
      </c>
      <c r="AC2" s="26">
        <f>现金流量表!AC4</f>
        <v>4398109161</v>
      </c>
      <c r="AD2" s="26">
        <f>现金流量表!AD4</f>
        <v>3260770651.46</v>
      </c>
      <c r="AE2" s="26">
        <f>现金流量表!AE4</f>
        <v>2096260752</v>
      </c>
      <c r="AF2" s="26">
        <f>现金流量表!AF4</f>
        <v>1151877696.3</v>
      </c>
      <c r="AG2" s="26">
        <f>现金流量表!AG4</f>
        <v>3039082597</v>
      </c>
      <c r="AH2" s="26">
        <f>现金流量表!AH4</f>
        <v>2106327005.3299999</v>
      </c>
      <c r="AI2" s="26">
        <f>现金流量表!AI4</f>
        <v>1250067521.48</v>
      </c>
      <c r="AJ2" s="26">
        <f>现金流量表!AJ4</f>
        <v>518552470.04000002</v>
      </c>
      <c r="AK2" s="26">
        <f>现金流量表!AK4</f>
        <v>2504375303.2199998</v>
      </c>
      <c r="AL2" s="26">
        <f>现金流量表!AL4</f>
        <v>1703634542.9200001</v>
      </c>
      <c r="AM2" s="26">
        <f>现金流量表!AM4</f>
        <v>965116653.38999999</v>
      </c>
      <c r="AN2" s="26">
        <f>现金流量表!AN4</f>
        <v>428332688.23000002</v>
      </c>
      <c r="AO2" s="26">
        <f>现金流量表!AO4</f>
        <v>1758774792.1800001</v>
      </c>
      <c r="AP2" s="26">
        <f>现金流量表!AP4</f>
        <v>1254144686.78</v>
      </c>
      <c r="AQ2" s="26">
        <f>现金流量表!AQ4</f>
        <v>937649443</v>
      </c>
      <c r="AR2" s="26">
        <f>现金流量表!AR4</f>
        <v>426278437.91000003</v>
      </c>
      <c r="AS2" s="26">
        <f>现金流量表!AS4</f>
        <v>1772474265.3299999</v>
      </c>
      <c r="AT2" s="26">
        <f>现金流量表!AT4</f>
        <v>1216970907.8800001</v>
      </c>
      <c r="AU2" s="26">
        <f>现金流量表!AU4</f>
        <v>808444294.96000004</v>
      </c>
      <c r="AV2" s="26">
        <f>现金流量表!AV4</f>
        <v>382010955.61000001</v>
      </c>
      <c r="AW2" s="26">
        <f>现金流量表!AW4</f>
        <v>1520940430.04</v>
      </c>
      <c r="AX2" s="26">
        <f>现金流量表!AX4</f>
        <v>1031590330.52</v>
      </c>
      <c r="AY2" s="26">
        <f>现金流量表!AY4</f>
        <v>597867090.75</v>
      </c>
      <c r="AZ2" s="26">
        <f>现金流量表!AZ4</f>
        <v>326768641.81</v>
      </c>
      <c r="BA2" s="26">
        <f>现金流量表!BA4</f>
        <v>1182233209.4200001</v>
      </c>
      <c r="BB2" s="26">
        <f>现金流量表!BB4</f>
        <v>862269537.90999997</v>
      </c>
      <c r="BC2" s="26">
        <f>现金流量表!BC4</f>
        <v>577314526.50999999</v>
      </c>
      <c r="BD2" s="26">
        <f>现金流量表!BD4</f>
        <v>269866608.45999998</v>
      </c>
      <c r="BE2" s="26">
        <f>现金流量表!BE4</f>
        <v>971153685.38</v>
      </c>
      <c r="BF2" s="26">
        <f>现金流量表!BF4</f>
        <v>678302588.24000001</v>
      </c>
      <c r="BG2" s="26">
        <f>现金流量表!BG4</f>
        <v>430541209.81999999</v>
      </c>
      <c r="BH2" s="26">
        <f>现金流量表!BH4</f>
        <v>202955803.72999999</v>
      </c>
      <c r="BI2" s="26">
        <f>现金流量表!BI4</f>
        <v>519712328.24000001</v>
      </c>
      <c r="BJ2" s="26">
        <f>现金流量表!BJ4</f>
        <v>341120050.80000001</v>
      </c>
      <c r="BK2" s="26">
        <f>现金流量表!BK4</f>
        <v>189458183.74000001</v>
      </c>
      <c r="BL2" s="26">
        <f>现金流量表!BL4</f>
        <v>80142524.159999996</v>
      </c>
      <c r="BM2" s="26">
        <f>现金流量表!BM4</f>
        <v>331932477.26999998</v>
      </c>
      <c r="BN2" s="26">
        <f>现金流量表!BN4</f>
        <v>137430111.19</v>
      </c>
      <c r="BO2" s="26">
        <f>现金流量表!BO4</f>
        <v>309646345.16000003</v>
      </c>
      <c r="BP2" s="26">
        <f>现金流量表!BP4</f>
        <v>151843112.88999999</v>
      </c>
      <c r="BQ2" s="26">
        <f>现金流量表!BQ4</f>
        <v>314608391.12</v>
      </c>
      <c r="BR2" s="26">
        <f>现金流量表!BR4</f>
        <v>152343367.30000001</v>
      </c>
      <c r="BS2" s="26">
        <f>现金流量表!BS4</f>
        <v>228709988.75999999</v>
      </c>
      <c r="BT2" s="26">
        <f>现金流量表!BT4</f>
        <v>157966792.40000001</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c r="A3" s="17" t="s">
        <v>486</v>
      </c>
      <c r="E3" s="26">
        <f>利润表!E3</f>
        <v>14012500489.6</v>
      </c>
      <c r="F3" s="26">
        <f>利润表!F3</f>
        <v>10101263607.549999</v>
      </c>
      <c r="G3" s="26">
        <f>利润表!G3</f>
        <v>6204369367.1700001</v>
      </c>
      <c r="H3" s="26">
        <f>利润表!H3</f>
        <v>2902672264.27</v>
      </c>
      <c r="I3" s="26">
        <f>利润表!I3</f>
        <v>10736756430.530001</v>
      </c>
      <c r="J3" s="26">
        <f>利润表!J3</f>
        <v>7753412466.4899998</v>
      </c>
      <c r="K3" s="26">
        <f>利润表!K3</f>
        <v>4970453217</v>
      </c>
      <c r="L3" s="26">
        <f>利润表!L3</f>
        <v>2451540177.1700001</v>
      </c>
      <c r="M3" s="26">
        <f>利润表!M3</f>
        <v>10530002724</v>
      </c>
      <c r="N3" s="26">
        <f>利润表!N3</f>
        <v>7798701732.9399996</v>
      </c>
      <c r="O3" s="26">
        <f>利润表!O3</f>
        <v>5137805297</v>
      </c>
      <c r="P3" s="26">
        <f>利润表!P3</f>
        <v>2440217347.02</v>
      </c>
      <c r="Q3" s="26">
        <f>利润表!Q3</f>
        <v>9322363339</v>
      </c>
      <c r="R3" s="26">
        <f>利润表!R3</f>
        <v>6534329893.3699999</v>
      </c>
      <c r="S3" s="26">
        <f>利润表!S3</f>
        <v>2485591860</v>
      </c>
      <c r="T3" s="26">
        <f>利润表!T3</f>
        <v>1179748523.6800001</v>
      </c>
      <c r="U3" s="26">
        <f>利润表!U3</f>
        <v>4519377681</v>
      </c>
      <c r="V3" s="26">
        <f>利润表!V3</f>
        <v>3497195925</v>
      </c>
      <c r="W3" s="26">
        <f>利润表!W3</f>
        <v>2251106750</v>
      </c>
      <c r="X3" s="26">
        <f>利润表!X3</f>
        <v>1040384420.38</v>
      </c>
      <c r="Y3" s="26">
        <f>利润表!Y3</f>
        <v>4333544367</v>
      </c>
      <c r="Z3" s="26">
        <f>利润表!Z3</f>
        <v>3309222233</v>
      </c>
      <c r="AA3" s="26">
        <f>利润表!AA3</f>
        <v>2237318777</v>
      </c>
      <c r="AB3" s="26">
        <f>利润表!AB3</f>
        <v>983311090.32000005</v>
      </c>
      <c r="AC3" s="26">
        <f>利润表!AC3</f>
        <v>4614967219</v>
      </c>
      <c r="AD3" s="26">
        <f>利润表!AD3</f>
        <v>3351943781.3899999</v>
      </c>
      <c r="AE3" s="26">
        <f>利润表!AE3</f>
        <v>2109214855</v>
      </c>
      <c r="AF3" s="26">
        <f>利润表!AF3</f>
        <v>1016773975.08</v>
      </c>
      <c r="AG3" s="26">
        <f>利润表!AG3</f>
        <v>3454211508</v>
      </c>
      <c r="AH3" s="26">
        <f>利润表!AH3</f>
        <v>2331874989.3000002</v>
      </c>
      <c r="AI3" s="26">
        <f>利润表!AI3</f>
        <v>1482501080.6800001</v>
      </c>
      <c r="AJ3" s="26">
        <f>利润表!AJ3</f>
        <v>654990128.36000001</v>
      </c>
      <c r="AK3" s="26">
        <f>利润表!AK3</f>
        <v>2190447604.0900002</v>
      </c>
      <c r="AL3" s="26">
        <f>利润表!AL3</f>
        <v>1582234481.26</v>
      </c>
      <c r="AM3" s="26">
        <f>利润表!AM3</f>
        <v>877566161.70000005</v>
      </c>
      <c r="AN3" s="26">
        <f>利润表!AN3</f>
        <v>348986536.45999998</v>
      </c>
      <c r="AO3" s="26">
        <f>利润表!AO3</f>
        <v>1376252455.3199999</v>
      </c>
      <c r="AP3" s="26">
        <f>利润表!AP3</f>
        <v>1039055393.03</v>
      </c>
      <c r="AQ3" s="26">
        <f>利润表!AQ3</f>
        <v>688263087.98000002</v>
      </c>
      <c r="AR3" s="26">
        <f>利润表!AR3</f>
        <v>345739706.98000002</v>
      </c>
      <c r="AS3" s="26">
        <f>利润表!AS3</f>
        <v>1723967890.71</v>
      </c>
      <c r="AT3" s="26">
        <f>利润表!AT3</f>
        <v>1233069401.45</v>
      </c>
      <c r="AU3" s="26">
        <f>利润表!AU3</f>
        <v>766793416.89999998</v>
      </c>
      <c r="AV3" s="26">
        <f>利润表!AV3</f>
        <v>353680370.72000003</v>
      </c>
      <c r="AW3" s="26">
        <f>利润表!AW3</f>
        <v>1513205426.75</v>
      </c>
      <c r="AX3" s="26">
        <f>利润表!AX3</f>
        <v>1022552377.72</v>
      </c>
      <c r="AY3" s="26">
        <f>利润表!AY3</f>
        <v>641419125.69000006</v>
      </c>
      <c r="AZ3" s="26">
        <f>利润表!AZ3</f>
        <v>253075070.75999999</v>
      </c>
      <c r="BA3" s="26">
        <f>利润表!BA3</f>
        <v>1104280369.8399999</v>
      </c>
      <c r="BB3" s="26">
        <f>利润表!BB3</f>
        <v>758512403.53999996</v>
      </c>
      <c r="BC3" s="26">
        <f>利润表!BC3</f>
        <v>525850661.29000002</v>
      </c>
      <c r="BD3" s="26">
        <f>利润表!BD3</f>
        <v>236277457.63</v>
      </c>
      <c r="BE3" s="26">
        <f>利润表!BE3</f>
        <v>1072754620.9</v>
      </c>
      <c r="BF3" s="26">
        <f>利润表!BF3</f>
        <v>659753380.72000003</v>
      </c>
      <c r="BG3" s="26">
        <f>利润表!BG3</f>
        <v>441277597.62</v>
      </c>
      <c r="BH3" s="26">
        <f>利润表!BH3</f>
        <v>175426441.06</v>
      </c>
      <c r="BI3" s="26">
        <f>利润表!BI3</f>
        <v>638055748.60000002</v>
      </c>
      <c r="BJ3" s="26">
        <f>利润表!BJ3</f>
        <v>445798989.51999998</v>
      </c>
      <c r="BK3" s="26">
        <f>利润表!BK3</f>
        <v>260779448.59999999</v>
      </c>
      <c r="BL3" s="26">
        <f>利润表!BL3</f>
        <v>109367483.15000001</v>
      </c>
      <c r="BM3" s="26">
        <f>利润表!BM3</f>
        <v>327547008.36000001</v>
      </c>
      <c r="BN3" s="26">
        <f>利润表!BN3</f>
        <v>243626586.09999999</v>
      </c>
      <c r="BO3" s="26">
        <f>利润表!BO3</f>
        <v>151362128.16999999</v>
      </c>
      <c r="BP3" s="26">
        <f>利润表!BP3</f>
        <v>65069649.689999998</v>
      </c>
      <c r="BQ3" s="26">
        <f>利润表!BQ3</f>
        <v>280795687.04000002</v>
      </c>
      <c r="BR3" s="26">
        <f>利润表!BR3</f>
        <v>153090814.44</v>
      </c>
      <c r="BS3" s="26">
        <f>利润表!BS3</f>
        <v>319014408.5</v>
      </c>
      <c r="BT3" s="26">
        <f>利润表!BT3</f>
        <v>156101669.24000001</v>
      </c>
      <c r="BU3" s="26">
        <f>利润表!BU3</f>
        <v>269993020.33999997</v>
      </c>
      <c r="BV3" s="26">
        <f>利润表!BV3</f>
        <v>124206604.95</v>
      </c>
      <c r="BW3" s="26">
        <f>利润表!BW3</f>
        <v>174776297.27000001</v>
      </c>
      <c r="BX3" s="26">
        <f>利润表!BX3</f>
        <v>98174201.739999995</v>
      </c>
      <c r="BY3" s="26">
        <f>利润表!BY3</f>
        <v>225010527.81999999</v>
      </c>
      <c r="BZ3" s="26">
        <f>利润表!BZ3</f>
        <v>105162511.76000001</v>
      </c>
      <c r="CA3" s="26">
        <f>利润表!CA3</f>
        <v>154784673.61000001</v>
      </c>
      <c r="CB3" s="26">
        <f>利润表!CB3</f>
        <v>66190000</v>
      </c>
      <c r="CC3" s="26">
        <f>利润表!CC3</f>
        <v>150285657</v>
      </c>
      <c r="CD3" s="26">
        <f>利润表!CD3</f>
        <v>72870000</v>
      </c>
      <c r="CE3" s="26">
        <f>利润表!CE3</f>
        <v>172123504.40000001</v>
      </c>
      <c r="CF3" s="26">
        <f>利润表!CF3</f>
        <v>143231058.81999999</v>
      </c>
      <c r="CG3" s="26">
        <f>利润表!CG3</f>
        <v>110910400</v>
      </c>
      <c r="CH3" s="26">
        <f>利润表!CH3</f>
        <v>59300500</v>
      </c>
      <c r="CI3" s="26">
        <f>利润表!CI3</f>
        <v>0</v>
      </c>
      <c r="CJ3" s="26">
        <f>利润表!CJ3</f>
        <v>0</v>
      </c>
      <c r="CK3" s="26">
        <f>利润表!CK3</f>
        <v>0</v>
      </c>
    </row>
    <row r="4" spans="1:90" s="63" customFormat="1">
      <c r="A4" s="17" t="s">
        <v>510</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c r="A5" s="20" t="s">
        <v>487</v>
      </c>
      <c r="E5" s="28">
        <f>(E2/(1+E4))/E3</f>
        <v>0.805860547975772</v>
      </c>
      <c r="F5" s="28">
        <f t="shared" ref="F5:BQ5" si="2">(F2/(1+F4))/F3</f>
        <v>0.7995814963465957</v>
      </c>
      <c r="G5" s="28">
        <f t="shared" si="2"/>
        <v>0.78273587684609947</v>
      </c>
      <c r="H5" s="28">
        <f t="shared" si="2"/>
        <v>0.81664527261407993</v>
      </c>
      <c r="I5" s="28">
        <f t="shared" si="2"/>
        <v>0.82946557079343564</v>
      </c>
      <c r="J5" s="28">
        <f t="shared" si="2"/>
        <v>0.99264708917386324</v>
      </c>
      <c r="K5" s="28">
        <f t="shared" si="2"/>
        <v>0.79580090173832385</v>
      </c>
      <c r="L5" s="28">
        <f t="shared" si="2"/>
        <v>0.88604425960087618</v>
      </c>
      <c r="M5" s="28">
        <f t="shared" si="2"/>
        <v>1.0145877652314206</v>
      </c>
      <c r="N5" s="28">
        <f t="shared" si="2"/>
        <v>0.97787540134167728</v>
      </c>
      <c r="O5" s="28">
        <f t="shared" si="2"/>
        <v>0.93196235230095181</v>
      </c>
      <c r="P5" s="28">
        <f t="shared" si="2"/>
        <v>1.1304167217648082</v>
      </c>
      <c r="Q5" s="28">
        <f t="shared" si="2"/>
        <v>1.0432755397718407</v>
      </c>
      <c r="R5" s="28">
        <f t="shared" si="2"/>
        <v>1.0594857993887636</v>
      </c>
      <c r="S5" s="28">
        <f t="shared" si="2"/>
        <v>0.93026266117986012</v>
      </c>
      <c r="T5" s="28">
        <f t="shared" si="2"/>
        <v>1.066617719981102</v>
      </c>
      <c r="U5" s="28">
        <f t="shared" si="2"/>
        <v>0.9794094270405822</v>
      </c>
      <c r="V5" s="28">
        <f t="shared" si="2"/>
        <v>0.89882777831206118</v>
      </c>
      <c r="W5" s="28">
        <f t="shared" si="2"/>
        <v>0.92586689696857849</v>
      </c>
      <c r="X5" s="28">
        <f t="shared" si="2"/>
        <v>1.1222474845897095</v>
      </c>
      <c r="Y5" s="28">
        <f t="shared" si="2"/>
        <v>0.98701251801602652</v>
      </c>
      <c r="Z5" s="28">
        <f t="shared" si="2"/>
        <v>0.90297156292400382</v>
      </c>
      <c r="AA5" s="28">
        <f t="shared" si="2"/>
        <v>0.82471812624162755</v>
      </c>
      <c r="AB5" s="28">
        <f t="shared" si="2"/>
        <v>1.0576928375078558</v>
      </c>
      <c r="AC5" s="28">
        <f t="shared" si="2"/>
        <v>0.81453832293718809</v>
      </c>
      <c r="AD5" s="28">
        <f t="shared" si="2"/>
        <v>0.83145292539202598</v>
      </c>
      <c r="AE5" s="28">
        <f t="shared" si="2"/>
        <v>0.84945156353464835</v>
      </c>
      <c r="AF5" s="28">
        <f t="shared" si="2"/>
        <v>0.96826912929296793</v>
      </c>
      <c r="AG5" s="28">
        <f t="shared" si="2"/>
        <v>0.75198246753174591</v>
      </c>
      <c r="AH5" s="28">
        <f t="shared" si="2"/>
        <v>0.77203087643881985</v>
      </c>
      <c r="AI5" s="28">
        <f t="shared" si="2"/>
        <v>0.7206967960877716</v>
      </c>
      <c r="AJ5" s="28">
        <f t="shared" si="2"/>
        <v>0.67666247193702578</v>
      </c>
      <c r="AK5" s="28">
        <f t="shared" si="2"/>
        <v>0.97719375170495903</v>
      </c>
      <c r="AL5" s="28">
        <f t="shared" si="2"/>
        <v>0.92027946374425618</v>
      </c>
      <c r="AM5" s="28">
        <f t="shared" si="2"/>
        <v>0.93997018633958285</v>
      </c>
      <c r="AN5" s="28">
        <f t="shared" si="2"/>
        <v>1.0490270439657974</v>
      </c>
      <c r="AO5" s="28">
        <f t="shared" si="2"/>
        <v>1.0922605894665169</v>
      </c>
      <c r="AP5" s="28">
        <f t="shared" si="2"/>
        <v>1.0316279025159276</v>
      </c>
      <c r="AQ5" s="28">
        <f t="shared" si="2"/>
        <v>1.1643945379868581</v>
      </c>
      <c r="AR5" s="28">
        <f t="shared" si="2"/>
        <v>1.0538001214980444</v>
      </c>
      <c r="AS5" s="28">
        <f t="shared" si="2"/>
        <v>0.87874912153317919</v>
      </c>
      <c r="AT5" s="28">
        <f t="shared" si="2"/>
        <v>0.84354219956149679</v>
      </c>
      <c r="AU5" s="28">
        <f t="shared" si="2"/>
        <v>0.90112671112101461</v>
      </c>
      <c r="AV5" s="28">
        <f t="shared" si="2"/>
        <v>0.92316429549165813</v>
      </c>
      <c r="AW5" s="28">
        <f t="shared" si="2"/>
        <v>0.85906980144543266</v>
      </c>
      <c r="AX5" s="28">
        <f t="shared" si="2"/>
        <v>0.86225523152420136</v>
      </c>
      <c r="AY5" s="28">
        <f t="shared" si="2"/>
        <v>0.79666709799437019</v>
      </c>
      <c r="AZ5" s="28">
        <f t="shared" si="2"/>
        <v>1.1035833620661297</v>
      </c>
      <c r="BA5" s="28">
        <f t="shared" si="2"/>
        <v>0.915035494738908</v>
      </c>
      <c r="BB5" s="28">
        <f t="shared" si="2"/>
        <v>0.9716156355448754</v>
      </c>
      <c r="BC5" s="28">
        <f t="shared" si="2"/>
        <v>0.93834857605550326</v>
      </c>
      <c r="BD5" s="28">
        <f t="shared" si="2"/>
        <v>0.97620493812481568</v>
      </c>
      <c r="BE5" s="28">
        <f t="shared" si="2"/>
        <v>0.77375186158023201</v>
      </c>
      <c r="BF5" s="28">
        <f t="shared" si="2"/>
        <v>0.87873108172912051</v>
      </c>
      <c r="BG5" s="28">
        <f t="shared" si="2"/>
        <v>0.83390578176138963</v>
      </c>
      <c r="BH5" s="28">
        <f t="shared" si="2"/>
        <v>0.9888275556773124</v>
      </c>
      <c r="BI5" s="28">
        <f t="shared" si="2"/>
        <v>0.69617517296873266</v>
      </c>
      <c r="BJ5" s="28">
        <f t="shared" si="2"/>
        <v>0.65400686369496319</v>
      </c>
      <c r="BK5" s="28">
        <f t="shared" si="2"/>
        <v>0.6209464451358212</v>
      </c>
      <c r="BL5" s="28">
        <f t="shared" si="2"/>
        <v>0.62630941048071376</v>
      </c>
      <c r="BM5" s="28">
        <f t="shared" si="2"/>
        <v>0.8661442931386174</v>
      </c>
      <c r="BN5" s="28">
        <f t="shared" si="2"/>
        <v>0.48213799395240348</v>
      </c>
      <c r="BO5" s="28">
        <f t="shared" si="2"/>
        <v>1.7484888661581504</v>
      </c>
      <c r="BP5" s="28">
        <f t="shared" si="2"/>
        <v>1.9944849708859922</v>
      </c>
      <c r="BQ5" s="28">
        <f t="shared" si="2"/>
        <v>0.95762176271610577</v>
      </c>
      <c r="BR5" s="28">
        <f t="shared" ref="BR5:CL5" si="3">(BR2/(1+BR4))/BR3</f>
        <v>0.85052788252261813</v>
      </c>
      <c r="BS5" s="28">
        <f t="shared" si="3"/>
        <v>0.61275797476023686</v>
      </c>
      <c r="BT5" s="28">
        <f t="shared" si="3"/>
        <v>0.86491293229576793</v>
      </c>
      <c r="BU5" s="28">
        <f t="shared" si="3"/>
        <v>0</v>
      </c>
      <c r="BV5" s="28">
        <f t="shared" si="3"/>
        <v>0</v>
      </c>
      <c r="BW5" s="28">
        <f t="shared" si="3"/>
        <v>0</v>
      </c>
      <c r="BX5" s="28">
        <f t="shared" si="3"/>
        <v>0</v>
      </c>
      <c r="BY5" s="28">
        <f t="shared" si="3"/>
        <v>0</v>
      </c>
      <c r="BZ5" s="28">
        <f t="shared" si="3"/>
        <v>0</v>
      </c>
      <c r="CA5" s="28">
        <f t="shared" si="3"/>
        <v>0</v>
      </c>
      <c r="CB5" s="28">
        <f t="shared" si="3"/>
        <v>0</v>
      </c>
      <c r="CC5" s="28">
        <f t="shared" si="3"/>
        <v>0</v>
      </c>
      <c r="CD5" s="28">
        <f t="shared" si="3"/>
        <v>0</v>
      </c>
      <c r="CE5" s="28">
        <f t="shared" si="3"/>
        <v>0</v>
      </c>
      <c r="CF5" s="28">
        <f t="shared" si="3"/>
        <v>0</v>
      </c>
      <c r="CG5" s="28">
        <f t="shared" si="3"/>
        <v>0</v>
      </c>
      <c r="CH5" s="28">
        <f t="shared" si="3"/>
        <v>0</v>
      </c>
      <c r="CI5" s="28" t="e">
        <f t="shared" si="3"/>
        <v>#DIV/0!</v>
      </c>
      <c r="CJ5" s="28" t="e">
        <f t="shared" si="3"/>
        <v>#DIV/0!</v>
      </c>
      <c r="CK5" s="28" t="e">
        <f t="shared" si="3"/>
        <v>#DIV/0!</v>
      </c>
      <c r="CL5" s="28" t="e">
        <f t="shared" si="3"/>
        <v>#DIV/0!</v>
      </c>
    </row>
    <row r="6" spans="1:90" s="26" customFormat="1">
      <c r="A6" s="17" t="s">
        <v>488</v>
      </c>
      <c r="E6" s="26">
        <f>现金流量表!E8</f>
        <v>10100446275.02</v>
      </c>
      <c r="F6" s="26">
        <f>现金流量表!F8</f>
        <v>7455881039.29</v>
      </c>
      <c r="G6" s="26">
        <f>现金流量表!G8</f>
        <v>5149502236.2799997</v>
      </c>
      <c r="H6" s="26">
        <f>现金流量表!H8</f>
        <v>3291894637.6799998</v>
      </c>
      <c r="I6" s="26">
        <f>现金流量表!I8</f>
        <v>8172613371.3199997</v>
      </c>
      <c r="J6" s="26">
        <f>现金流量表!J8</f>
        <v>8136400362.4799995</v>
      </c>
      <c r="K6" s="26">
        <f>现金流量表!K8</f>
        <v>5435549318</v>
      </c>
      <c r="L6" s="26">
        <f>现金流量表!L8</f>
        <v>3137049638.4200001</v>
      </c>
      <c r="M6" s="26">
        <f>现金流量表!M8</f>
        <v>7260221606</v>
      </c>
      <c r="N6" s="26">
        <f>现金流量表!N8</f>
        <v>6223413489.7200003</v>
      </c>
      <c r="O6" s="26">
        <f>现金流量表!O8</f>
        <v>4155640835</v>
      </c>
      <c r="P6" s="26">
        <f>现金流量表!P8</f>
        <v>2075589718.21</v>
      </c>
      <c r="Q6" s="26">
        <f>现金流量表!Q8</f>
        <v>8168161161</v>
      </c>
      <c r="R6" s="26">
        <f>现金流量表!R8</f>
        <v>5686350730.8400002</v>
      </c>
      <c r="S6" s="26">
        <f>现金流量表!S8</f>
        <v>2241143828</v>
      </c>
      <c r="T6" s="26">
        <f>现金流量表!T8</f>
        <v>1415603001.45</v>
      </c>
      <c r="U6" s="26">
        <f>现金流量表!U8</f>
        <v>3301242116</v>
      </c>
      <c r="V6" s="26">
        <f>现金流量表!V8</f>
        <v>2889954498</v>
      </c>
      <c r="W6" s="26">
        <f>现金流量表!W8</f>
        <v>1789365615</v>
      </c>
      <c r="X6" s="26">
        <f>现金流量表!X8</f>
        <v>1103424016.9000001</v>
      </c>
      <c r="Y6" s="26">
        <f>现金流量表!Y8</f>
        <v>3825295448</v>
      </c>
      <c r="Z6" s="26">
        <f>现金流量表!Z8</f>
        <v>2744493823</v>
      </c>
      <c r="AA6" s="26">
        <f>现金流量表!AA8</f>
        <v>1647649229</v>
      </c>
      <c r="AB6" s="26">
        <f>现金流量表!AB8</f>
        <v>806775379.73000002</v>
      </c>
      <c r="AC6" s="26">
        <f>现金流量表!AC8</f>
        <v>3661148711</v>
      </c>
      <c r="AD6" s="26">
        <f>现金流量表!AD8</f>
        <v>2599098688.8899999</v>
      </c>
      <c r="AE6" s="26">
        <f>现金流量表!AE8</f>
        <v>1788744326</v>
      </c>
      <c r="AF6" s="26">
        <f>现金流量表!AF8</f>
        <v>1027952337.08</v>
      </c>
      <c r="AG6" s="26">
        <f>现金流量表!AG8</f>
        <v>2274762782</v>
      </c>
      <c r="AH6" s="26">
        <f>现金流量表!AH8</f>
        <v>1737718476.0799999</v>
      </c>
      <c r="AI6" s="26">
        <f>现金流量表!AI8</f>
        <v>1013354931.63</v>
      </c>
      <c r="AJ6" s="26">
        <f>现金流量表!AJ8</f>
        <v>472765480.17000002</v>
      </c>
      <c r="AK6" s="26">
        <f>现金流量表!AK8</f>
        <v>1819239846.21</v>
      </c>
      <c r="AL6" s="26">
        <f>现金流量表!AL8</f>
        <v>1175415650.27</v>
      </c>
      <c r="AM6" s="26">
        <f>现金流量表!AM8</f>
        <v>660981061.78999996</v>
      </c>
      <c r="AN6" s="26">
        <f>现金流量表!AN8</f>
        <v>327103097.88</v>
      </c>
      <c r="AO6" s="26">
        <f>现金流量表!AO8</f>
        <v>1271717616.6900001</v>
      </c>
      <c r="AP6" s="26">
        <f>现金流量表!AP8</f>
        <v>852807906.61000001</v>
      </c>
      <c r="AQ6" s="26">
        <f>现金流量表!AQ8</f>
        <v>671482708.80999994</v>
      </c>
      <c r="AR6" s="26">
        <f>现金流量表!AR8</f>
        <v>379114940.00999999</v>
      </c>
      <c r="AS6" s="26">
        <f>现金流量表!AS8</f>
        <v>1467160249.6900001</v>
      </c>
      <c r="AT6" s="26">
        <f>现金流量表!AT8</f>
        <v>1007799558.46</v>
      </c>
      <c r="AU6" s="26">
        <f>现金流量表!AU8</f>
        <v>620612416.10000002</v>
      </c>
      <c r="AV6" s="26">
        <f>现金流量表!AV8</f>
        <v>272319548.22000003</v>
      </c>
      <c r="AW6" s="26">
        <f>现金流量表!AW8</f>
        <v>1073192086.86</v>
      </c>
      <c r="AX6" s="26">
        <f>现金流量表!AX8</f>
        <v>652009392.13</v>
      </c>
      <c r="AY6" s="26">
        <f>现金流量表!AY8</f>
        <v>402572245.10000002</v>
      </c>
      <c r="AZ6" s="26">
        <f>现金流量表!AZ8</f>
        <v>193446855.33000001</v>
      </c>
      <c r="BA6" s="26">
        <f>现金流量表!BA8</f>
        <v>902404583.22000003</v>
      </c>
      <c r="BB6" s="26">
        <f>现金流量表!BB8</f>
        <v>626128087.99000001</v>
      </c>
      <c r="BC6" s="26">
        <f>现金流量表!BC8</f>
        <v>429237399.97000003</v>
      </c>
      <c r="BD6" s="26">
        <f>现金流量表!BD8</f>
        <v>234977379.31999999</v>
      </c>
      <c r="BE6" s="26">
        <f>现金流量表!BE8</f>
        <v>783848344.76999998</v>
      </c>
      <c r="BF6" s="26">
        <f>现金流量表!BF8</f>
        <v>569016324.75999999</v>
      </c>
      <c r="BG6" s="26">
        <f>现金流量表!BG8</f>
        <v>341402074.27999997</v>
      </c>
      <c r="BH6" s="26">
        <f>现金流量表!BH8</f>
        <v>125874718.47</v>
      </c>
      <c r="BI6" s="26">
        <f>现金流量表!BI8</f>
        <v>390819418.20999998</v>
      </c>
      <c r="BJ6" s="26">
        <f>现金流量表!BJ8</f>
        <v>234024550.81999999</v>
      </c>
      <c r="BK6" s="26">
        <f>现金流量表!BK8</f>
        <v>165026862.41999999</v>
      </c>
      <c r="BL6" s="26">
        <f>现金流量表!BL8</f>
        <v>52390093.060000002</v>
      </c>
      <c r="BM6" s="26">
        <f>现金流量表!BM8</f>
        <v>186539373.75999999</v>
      </c>
      <c r="BN6" s="26">
        <f>现金流量表!BN8</f>
        <v>70051429.969999999</v>
      </c>
      <c r="BO6" s="26">
        <f>现金流量表!BO8</f>
        <v>197194777.06</v>
      </c>
      <c r="BP6" s="26">
        <f>现金流量表!BP8</f>
        <v>97712935.590000004</v>
      </c>
      <c r="BQ6" s="26">
        <f>现金流量表!BQ8</f>
        <v>247761735.62</v>
      </c>
      <c r="BR6" s="26">
        <f>现金流量表!BR8</f>
        <v>115247133.2</v>
      </c>
      <c r="BS6" s="26">
        <f>现金流量表!BS8</f>
        <v>243114493.53</v>
      </c>
      <c r="BT6" s="26">
        <f>现金流量表!BT8</f>
        <v>92177247.629999995</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c r="A7" s="17" t="s">
        <v>489</v>
      </c>
      <c r="E7" s="26">
        <f>现金流量表!E9</f>
        <v>1732662650.1600001</v>
      </c>
      <c r="F7" s="26">
        <f>现金流量表!F9</f>
        <v>1279639732.8099999</v>
      </c>
      <c r="G7" s="26">
        <f>现金流量表!G9</f>
        <v>835007505.34000003</v>
      </c>
      <c r="H7" s="26">
        <f>现金流量表!H9</f>
        <v>420463736.94</v>
      </c>
      <c r="I7" s="26">
        <f>现金流量表!I9</f>
        <v>1525633416.9400001</v>
      </c>
      <c r="J7" s="26">
        <f>现金流量表!J9</f>
        <v>1292271785.4300001</v>
      </c>
      <c r="K7" s="26">
        <f>现金流量表!K9</f>
        <v>851972531</v>
      </c>
      <c r="L7" s="26">
        <f>现金流量表!L9</f>
        <v>461993800.81</v>
      </c>
      <c r="M7" s="26">
        <f>现金流量表!M9</f>
        <v>1574130293</v>
      </c>
      <c r="N7" s="26">
        <f>现金流量表!N9</f>
        <v>1303201291.05</v>
      </c>
      <c r="O7" s="26">
        <f>现金流量表!O9</f>
        <v>854779314</v>
      </c>
      <c r="P7" s="26">
        <f>现金流量表!P9</f>
        <v>431619719.14999998</v>
      </c>
      <c r="Q7" s="26">
        <f>现金流量表!Q9</f>
        <v>1317000965</v>
      </c>
      <c r="R7" s="26">
        <f>现金流量表!R9</f>
        <v>998827407.84000003</v>
      </c>
      <c r="S7" s="26">
        <f>现金流量表!S9</f>
        <v>345891204</v>
      </c>
      <c r="T7" s="26">
        <f>现金流量表!T9</f>
        <v>184646822.11000001</v>
      </c>
      <c r="U7" s="26">
        <f>现金流量表!U9</f>
        <v>574283008</v>
      </c>
      <c r="V7" s="26">
        <f>现金流量表!V9</f>
        <v>429058180</v>
      </c>
      <c r="W7" s="26">
        <f>现金流量表!W9</f>
        <v>279202573</v>
      </c>
      <c r="X7" s="26">
        <f>现金流量表!X9</f>
        <v>148040682.31999999</v>
      </c>
      <c r="Y7" s="26">
        <f>现金流量表!Y9</f>
        <v>511306058</v>
      </c>
      <c r="Z7" s="26">
        <f>现金流量表!Z9</f>
        <v>380735236</v>
      </c>
      <c r="AA7" s="26">
        <f>现金流量表!AA9</f>
        <v>247151058</v>
      </c>
      <c r="AB7" s="26">
        <f>现金流量表!AB9</f>
        <v>125359901.73</v>
      </c>
      <c r="AC7" s="26">
        <f>现金流量表!AC9</f>
        <v>451575122</v>
      </c>
      <c r="AD7" s="26">
        <f>现金流量表!AD9</f>
        <v>334105940.60000002</v>
      </c>
      <c r="AE7" s="26">
        <f>现金流量表!AE9</f>
        <v>234898483</v>
      </c>
      <c r="AF7" s="26">
        <f>现金流量表!AF9</f>
        <v>103745519.37</v>
      </c>
      <c r="AG7" s="26">
        <f>现金流量表!AG9</f>
        <v>369361575</v>
      </c>
      <c r="AH7" s="26">
        <f>现金流量表!AH9</f>
        <v>232883330.72999999</v>
      </c>
      <c r="AI7" s="26">
        <f>现金流量表!AI9</f>
        <v>153526258.90000001</v>
      </c>
      <c r="AJ7" s="26">
        <f>现金流量表!AJ9</f>
        <v>77707225.019999996</v>
      </c>
      <c r="AK7" s="26">
        <f>现金流量表!AK9</f>
        <v>259087950.24000001</v>
      </c>
      <c r="AL7" s="26">
        <f>现金流量表!AL9</f>
        <v>193473640.37</v>
      </c>
      <c r="AM7" s="26">
        <f>现金流量表!AM9</f>
        <v>127030063.98</v>
      </c>
      <c r="AN7" s="26">
        <f>现金流量表!AN9</f>
        <v>64641378.380000003</v>
      </c>
      <c r="AO7" s="26">
        <f>现金流量表!AO9</f>
        <v>185304133.37</v>
      </c>
      <c r="AP7" s="26">
        <f>现金流量表!AP9</f>
        <v>118182648.68000001</v>
      </c>
      <c r="AQ7" s="26">
        <f>现金流量表!AQ9</f>
        <v>78409933.239999995</v>
      </c>
      <c r="AR7" s="26">
        <f>现金流量表!AR9</f>
        <v>37507361.920000002</v>
      </c>
      <c r="AS7" s="26">
        <f>现金流量表!AS9</f>
        <v>155762495.88</v>
      </c>
      <c r="AT7" s="26">
        <f>现金流量表!AT9</f>
        <v>105094856.5</v>
      </c>
      <c r="AU7" s="26">
        <f>现金流量表!AU9</f>
        <v>69087037.409999996</v>
      </c>
      <c r="AV7" s="26">
        <f>现金流量表!AV9</f>
        <v>35125320.729999997</v>
      </c>
      <c r="AW7" s="26">
        <f>现金流量表!AW9</f>
        <v>137784134.84999999</v>
      </c>
      <c r="AX7" s="26">
        <f>现金流量表!AX9</f>
        <v>81473088.810000002</v>
      </c>
      <c r="AY7" s="26">
        <f>现金流量表!AY9</f>
        <v>51338520.640000001</v>
      </c>
      <c r="AZ7" s="26">
        <f>现金流量表!AZ9</f>
        <v>22327968.719999999</v>
      </c>
      <c r="BA7" s="26">
        <f>现金流量表!BA9</f>
        <v>84712303.349999994</v>
      </c>
      <c r="BB7" s="26">
        <f>现金流量表!BB9</f>
        <v>67423487.150000006</v>
      </c>
      <c r="BC7" s="26">
        <f>现金流量表!BC9</f>
        <v>45721840.149999999</v>
      </c>
      <c r="BD7" s="26">
        <f>现金流量表!BD9</f>
        <v>21823607.399999999</v>
      </c>
      <c r="BE7" s="26">
        <f>现金流量表!BE9</f>
        <v>77204435.420000002</v>
      </c>
      <c r="BF7" s="26">
        <f>现金流量表!BF9</f>
        <v>54270310.25</v>
      </c>
      <c r="BG7" s="26">
        <f>现金流量表!BG9</f>
        <v>34894921.93</v>
      </c>
      <c r="BH7" s="26">
        <f>现金流量表!BH9</f>
        <v>15679131.560000001</v>
      </c>
      <c r="BI7" s="26">
        <f>现金流量表!BI9</f>
        <v>43811908.990000002</v>
      </c>
      <c r="BJ7" s="26">
        <f>现金流量表!BJ9</f>
        <v>27190302.640000001</v>
      </c>
      <c r="BK7" s="26">
        <f>现金流量表!BK9</f>
        <v>20189488.949999999</v>
      </c>
      <c r="BL7" s="26">
        <f>现金流量表!BL9</f>
        <v>9021201.75</v>
      </c>
      <c r="BM7" s="26">
        <f>现金流量表!BM9</f>
        <v>30605638.809999999</v>
      </c>
      <c r="BN7" s="26">
        <f>现金流量表!BN9</f>
        <v>12156995.1</v>
      </c>
      <c r="BO7" s="26">
        <f>现金流量表!BO9</f>
        <v>5829686.0800000001</v>
      </c>
      <c r="BP7" s="26">
        <f>现金流量表!BP9</f>
        <v>13131598.27</v>
      </c>
      <c r="BQ7" s="26">
        <f>现金流量表!BQ9</f>
        <v>25709706.129999999</v>
      </c>
      <c r="BR7" s="26">
        <f>现金流量表!BR9</f>
        <v>17026023</v>
      </c>
      <c r="BS7" s="26">
        <f>现金流量表!BS9</f>
        <v>17152049.699999999</v>
      </c>
      <c r="BT7" s="26">
        <f>现金流量表!BT9</f>
        <v>12828004.08</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c r="A8" s="145" t="s">
        <v>490</v>
      </c>
      <c r="E8" s="58">
        <f>利润表!E6</f>
        <v>11090998905.58</v>
      </c>
      <c r="F8" s="58">
        <f>利润表!F6</f>
        <v>7957111655.1599998</v>
      </c>
      <c r="G8" s="58">
        <f>利润表!G6</f>
        <v>4831519743.2299995</v>
      </c>
      <c r="H8" s="58">
        <f>利润表!H6</f>
        <v>2233500029.1700001</v>
      </c>
      <c r="I8" s="58">
        <f>利润表!I6</f>
        <v>8569738675.75</v>
      </c>
      <c r="J8" s="58">
        <f>利润表!J6</f>
        <v>6219877948.6300001</v>
      </c>
      <c r="K8" s="58">
        <f>利润表!K6</f>
        <v>3981758424</v>
      </c>
      <c r="L8" s="58">
        <f>利润表!L6</f>
        <v>1973339656.6500001</v>
      </c>
      <c r="M8" s="58">
        <f>利润表!M6</f>
        <v>8809723501</v>
      </c>
      <c r="N8" s="58">
        <f>利润表!N6</f>
        <v>6474105825.6199999</v>
      </c>
      <c r="O8" s="58">
        <f>利润表!O6</f>
        <v>4290191837</v>
      </c>
      <c r="P8" s="58">
        <f>利润表!P6</f>
        <v>2018137160.51</v>
      </c>
      <c r="Q8" s="58">
        <f>利润表!Q6</f>
        <v>7583469512</v>
      </c>
      <c r="R8" s="58">
        <f>利润表!R6</f>
        <v>5200557948.0799999</v>
      </c>
      <c r="S8" s="58">
        <f>利润表!S6</f>
        <v>1978256079</v>
      </c>
      <c r="T8" s="58">
        <f>利润表!T6</f>
        <v>949721061.24000001</v>
      </c>
      <c r="U8" s="58">
        <f>利润表!U6</f>
        <v>3699343634</v>
      </c>
      <c r="V8" s="58">
        <f>利润表!V6</f>
        <v>2903216446</v>
      </c>
      <c r="W8" s="58">
        <f>利润表!W6</f>
        <v>1879321834</v>
      </c>
      <c r="X8" s="58">
        <f>利润表!X6</f>
        <v>889651839.38</v>
      </c>
      <c r="Y8" s="58">
        <f>利润表!Y6</f>
        <v>3710965307</v>
      </c>
      <c r="Z8" s="58">
        <f>利润表!Z6</f>
        <v>2842770554</v>
      </c>
      <c r="AA8" s="58">
        <f>利润表!AA6</f>
        <v>1950502608</v>
      </c>
      <c r="AB8" s="58">
        <f>利润表!AB6</f>
        <v>893446570.84000003</v>
      </c>
      <c r="AC8" s="58">
        <f>利润表!AC6</f>
        <v>4067266812</v>
      </c>
      <c r="AD8" s="58">
        <f>利润表!AD6</f>
        <v>2923463345.8800001</v>
      </c>
      <c r="AE8" s="58">
        <f>利润表!AE6</f>
        <v>1814607570</v>
      </c>
      <c r="AF8" s="58">
        <f>利润表!AF6</f>
        <v>885449169.89999998</v>
      </c>
      <c r="AG8" s="58">
        <f>利润表!AG6</f>
        <v>2903758242</v>
      </c>
      <c r="AH8" s="58">
        <f>利润表!AH6</f>
        <v>1931085020.97</v>
      </c>
      <c r="AI8" s="58">
        <f>利润表!AI6</f>
        <v>1234888962.49</v>
      </c>
      <c r="AJ8" s="58">
        <f>利润表!AJ6</f>
        <v>570656934.16999996</v>
      </c>
      <c r="AK8" s="58">
        <f>利润表!AK6</f>
        <v>2103463504.24</v>
      </c>
      <c r="AL8" s="58">
        <f>利润表!AL6</f>
        <v>1539537001.5</v>
      </c>
      <c r="AM8" s="58">
        <f>利润表!AM6</f>
        <v>913852280.34000003</v>
      </c>
      <c r="AN8" s="58">
        <f>利润表!AN6</f>
        <v>385272873.02999997</v>
      </c>
      <c r="AO8" s="58">
        <f>利润表!AO6</f>
        <v>1212670645.51</v>
      </c>
      <c r="AP8" s="58">
        <f>利润表!AP6</f>
        <v>897299345.59000003</v>
      </c>
      <c r="AQ8" s="58">
        <f>利润表!AQ6</f>
        <v>580463331.17999995</v>
      </c>
      <c r="AR8" s="58">
        <f>利润表!AR6</f>
        <v>292928793.81</v>
      </c>
      <c r="AS8" s="58">
        <f>利润表!AS6</f>
        <v>1447665821.4400001</v>
      </c>
      <c r="AT8" s="58">
        <f>利润表!AT6</f>
        <v>1038589737.84</v>
      </c>
      <c r="AU8" s="58">
        <f>利润表!AU6</f>
        <v>639585374.01999998</v>
      </c>
      <c r="AV8" s="58">
        <f>利润表!AV6</f>
        <v>294623899.29000002</v>
      </c>
      <c r="AW8" s="58">
        <f>利润表!AW6</f>
        <v>1232007100.49</v>
      </c>
      <c r="AX8" s="58">
        <f>利润表!AX6</f>
        <v>821974717.88</v>
      </c>
      <c r="AY8" s="58">
        <f>利润表!AY6</f>
        <v>518568112.83999997</v>
      </c>
      <c r="AZ8" s="58">
        <f>利润表!AZ6</f>
        <v>204774076</v>
      </c>
      <c r="BA8" s="58">
        <f>利润表!BA6</f>
        <v>914092649.19000006</v>
      </c>
      <c r="BB8" s="58">
        <f>利润表!BB6</f>
        <v>632616397.76999998</v>
      </c>
      <c r="BC8" s="58">
        <f>利润表!BC6</f>
        <v>433922447.14999998</v>
      </c>
      <c r="BD8" s="58">
        <f>利润表!BD6</f>
        <v>192465803.43000001</v>
      </c>
      <c r="BE8" s="58">
        <f>利润表!BE6</f>
        <v>851118025.92999995</v>
      </c>
      <c r="BF8" s="58">
        <f>利润表!BF6</f>
        <v>529052950.43000001</v>
      </c>
      <c r="BG8" s="58">
        <f>利润表!BG6</f>
        <v>349747987.5</v>
      </c>
      <c r="BH8" s="58">
        <f>利润表!BH6</f>
        <v>139734767.99000001</v>
      </c>
      <c r="BI8" s="58">
        <f>利润表!BI6</f>
        <v>498281218.69999999</v>
      </c>
      <c r="BJ8" s="58">
        <f>利润表!BJ6</f>
        <v>354609679.56999999</v>
      </c>
      <c r="BK8" s="58">
        <f>利润表!BK6</f>
        <v>197952959.43000001</v>
      </c>
      <c r="BL8" s="58">
        <f>利润表!BL6</f>
        <v>79725639.400000006</v>
      </c>
      <c r="BM8" s="58">
        <f>利润表!BM6</f>
        <v>257169236.63999999</v>
      </c>
      <c r="BN8" s="58">
        <f>利润表!BN6</f>
        <v>188066429.68000001</v>
      </c>
      <c r="BO8" s="58">
        <f>利润表!BO6</f>
        <v>116288685.59</v>
      </c>
      <c r="BP8" s="58">
        <f>利润表!BP6</f>
        <v>48795219.490000002</v>
      </c>
      <c r="BQ8" s="58">
        <f>利润表!BQ6</f>
        <v>228096073.81999999</v>
      </c>
      <c r="BR8" s="58">
        <f>利润表!BR6</f>
        <v>116264848.81</v>
      </c>
      <c r="BS8" s="58">
        <f>利润表!BS6</f>
        <v>245698330.44999999</v>
      </c>
      <c r="BT8" s="58">
        <f>利润表!BT6</f>
        <v>121763071.65000001</v>
      </c>
      <c r="BU8" s="58">
        <f>利润表!BU6</f>
        <v>215152248.36000001</v>
      </c>
      <c r="BV8" s="58">
        <f>利润表!BV6</f>
        <v>98777194.159999996</v>
      </c>
      <c r="BW8" s="58">
        <f>利润表!BW6</f>
        <v>121967726.47</v>
      </c>
      <c r="BX8" s="58">
        <f>利润表!BX6</f>
        <v>68453618.700000003</v>
      </c>
      <c r="BY8" s="58">
        <f>利润表!BY6</f>
        <v>147121164.18000001</v>
      </c>
      <c r="BZ8" s="58">
        <f>利润表!BZ6</f>
        <v>0</v>
      </c>
      <c r="CA8" s="58">
        <f>利润表!CA6</f>
        <v>113422664.66</v>
      </c>
      <c r="CB8" s="58">
        <f>利润表!CB6</f>
        <v>0</v>
      </c>
      <c r="CC8" s="58">
        <f>利润表!CC6</f>
        <v>91668806.090000004</v>
      </c>
      <c r="CD8" s="58">
        <f>利润表!CD6</f>
        <v>0</v>
      </c>
      <c r="CE8" s="58">
        <f>利润表!CE6</f>
        <v>103241992.44</v>
      </c>
      <c r="CF8" s="58">
        <f>利润表!CF6</f>
        <v>91356905.969999999</v>
      </c>
      <c r="CG8" s="58">
        <f>利润表!CG6</f>
        <v>79129800</v>
      </c>
      <c r="CH8" s="58">
        <f>利润表!CH6</f>
        <v>43869100</v>
      </c>
      <c r="CI8" s="58">
        <f>利润表!CI6</f>
        <v>0</v>
      </c>
      <c r="CJ8" s="58">
        <f>利润表!CJ6</f>
        <v>0</v>
      </c>
      <c r="CK8" s="58">
        <f>利润表!CK6</f>
        <v>0</v>
      </c>
      <c r="CL8" s="58">
        <f>利润表!CL6</f>
        <v>0</v>
      </c>
    </row>
    <row r="9" spans="1:90" s="58" customFormat="1">
      <c r="A9" s="145" t="s">
        <v>491</v>
      </c>
      <c r="E9" s="58">
        <f>利润表!E7</f>
        <v>65156739.600000001</v>
      </c>
      <c r="F9" s="58">
        <f>利润表!F7</f>
        <v>49255247.539999999</v>
      </c>
      <c r="G9" s="58">
        <f>利润表!G7</f>
        <v>33034417.109999999</v>
      </c>
      <c r="H9" s="58">
        <f>利润表!H7</f>
        <v>19904288.920000002</v>
      </c>
      <c r="I9" s="58">
        <f>利润表!I7</f>
        <v>47959849.380000003</v>
      </c>
      <c r="J9" s="58">
        <f>利润表!J7</f>
        <v>15324387.130000001</v>
      </c>
      <c r="K9" s="58">
        <f>利润表!K7</f>
        <v>9734324</v>
      </c>
      <c r="L9" s="58">
        <f>利润表!L7</f>
        <v>1024711.2</v>
      </c>
      <c r="M9" s="58">
        <f>利润表!M7</f>
        <v>9182659</v>
      </c>
      <c r="N9" s="58">
        <f>利润表!N7</f>
        <v>8178970.7599999998</v>
      </c>
      <c r="O9" s="58">
        <f>利润表!O7</f>
        <v>6064144</v>
      </c>
      <c r="P9" s="58">
        <f>利润表!P7</f>
        <v>2022576.5</v>
      </c>
      <c r="Q9" s="58">
        <f>利润表!Q7</f>
        <v>13782574</v>
      </c>
      <c r="R9" s="58">
        <f>利润表!R7</f>
        <v>10905591.289999999</v>
      </c>
      <c r="S9" s="58">
        <f>利润表!S7</f>
        <v>3068340</v>
      </c>
      <c r="T9" s="58">
        <f>利润表!T7</f>
        <v>1405154.3</v>
      </c>
      <c r="U9" s="58">
        <f>利润表!U7</f>
        <v>9525591</v>
      </c>
      <c r="V9" s="58">
        <f>利润表!V7</f>
        <v>7967561</v>
      </c>
      <c r="W9" s="58">
        <f>利润表!W7</f>
        <v>6490541</v>
      </c>
      <c r="X9" s="58">
        <f>利润表!X7</f>
        <v>1848052.64</v>
      </c>
      <c r="Y9" s="58">
        <f>利润表!Y7</f>
        <v>9837982</v>
      </c>
      <c r="Z9" s="58">
        <f>利润表!Z7</f>
        <v>7816185</v>
      </c>
      <c r="AA9" s="58">
        <f>利润表!AA7</f>
        <v>7659550</v>
      </c>
      <c r="AB9" s="58">
        <f>利润表!AB7</f>
        <v>3678557.94</v>
      </c>
      <c r="AC9" s="58">
        <f>利润表!AC7</f>
        <v>13350824</v>
      </c>
      <c r="AD9" s="58">
        <f>利润表!AD7</f>
        <v>7846345.9199999999</v>
      </c>
      <c r="AE9" s="58">
        <f>利润表!AE7</f>
        <v>4281035</v>
      </c>
      <c r="AF9" s="58">
        <f>利润表!AF7</f>
        <v>1516125.03</v>
      </c>
      <c r="AG9" s="58">
        <f>利润表!AG7</f>
        <v>11092932</v>
      </c>
      <c r="AH9" s="58">
        <f>利润表!AH7</f>
        <v>8025654.8499999996</v>
      </c>
      <c r="AI9" s="58">
        <f>利润表!AI7</f>
        <v>5507566.4199999999</v>
      </c>
      <c r="AJ9" s="58">
        <f>利润表!AJ7</f>
        <v>3005033.98</v>
      </c>
      <c r="AK9" s="58">
        <f>利润表!AK7</f>
        <v>3752842.66</v>
      </c>
      <c r="AL9" s="58">
        <f>利润表!AL7</f>
        <v>1455302.17</v>
      </c>
      <c r="AM9" s="58">
        <f>利润表!AM7</f>
        <v>848400.73</v>
      </c>
      <c r="AN9" s="58">
        <f>利润表!AN7</f>
        <v>160894.04999999999</v>
      </c>
      <c r="AO9" s="58">
        <f>利润表!AO7</f>
        <v>2887569.08</v>
      </c>
      <c r="AP9" s="58">
        <f>利润表!AP7</f>
        <v>1803886.05</v>
      </c>
      <c r="AQ9" s="58">
        <f>利润表!AQ7</f>
        <v>1185554.17</v>
      </c>
      <c r="AR9" s="58">
        <f>利润表!AR7</f>
        <v>612105.35</v>
      </c>
      <c r="AS9" s="58">
        <f>利润表!AS7</f>
        <v>1680085.07</v>
      </c>
      <c r="AT9" s="58">
        <f>利润表!AT7</f>
        <v>1031388.32</v>
      </c>
      <c r="AU9" s="58">
        <f>利润表!AU7</f>
        <v>572323.92000000004</v>
      </c>
      <c r="AV9" s="58">
        <f>利润表!AV7</f>
        <v>101181.65</v>
      </c>
      <c r="AW9" s="58">
        <f>利润表!AW7</f>
        <v>3153744.26</v>
      </c>
      <c r="AX9" s="58">
        <f>利润表!AX7</f>
        <v>1582886.49</v>
      </c>
      <c r="AY9" s="58">
        <f>利润表!AY7</f>
        <v>630549.80000000005</v>
      </c>
      <c r="AZ9" s="58">
        <f>利润表!AZ7</f>
        <v>48932.53</v>
      </c>
      <c r="BA9" s="58">
        <f>利润表!BA7</f>
        <v>2560740.37</v>
      </c>
      <c r="BB9" s="58">
        <f>利润表!BB7</f>
        <v>859332.92</v>
      </c>
      <c r="BC9" s="58">
        <f>利润表!BC7</f>
        <v>642444.77</v>
      </c>
      <c r="BD9" s="58">
        <f>利润表!BD7</f>
        <v>275558.09000000003</v>
      </c>
      <c r="BE9" s="58">
        <f>利润表!BE7</f>
        <v>1267446.1100000001</v>
      </c>
      <c r="BF9" s="58">
        <f>利润表!BF7</f>
        <v>864179.98</v>
      </c>
      <c r="BG9" s="58">
        <f>利润表!BG7</f>
        <v>864179.98</v>
      </c>
      <c r="BH9" s="58">
        <f>利润表!BH7</f>
        <v>400912.64000000001</v>
      </c>
      <c r="BI9" s="58">
        <f>利润表!BI7</f>
        <v>754846.31</v>
      </c>
      <c r="BJ9" s="58">
        <f>利润表!BJ7</f>
        <v>566455.49</v>
      </c>
      <c r="BK9" s="58">
        <f>利润表!BK7</f>
        <v>376457.17</v>
      </c>
      <c r="BL9" s="58">
        <f>利润表!BL7</f>
        <v>147571.66</v>
      </c>
      <c r="BM9" s="58">
        <f>利润表!BM7</f>
        <v>200319.17</v>
      </c>
      <c r="BN9" s="58">
        <f>利润表!BN7</f>
        <v>157341.18</v>
      </c>
      <c r="BO9" s="58">
        <f>利润表!BO7</f>
        <v>133383.46</v>
      </c>
      <c r="BP9" s="58">
        <f>利润表!BP7</f>
        <v>54782.67</v>
      </c>
      <c r="BQ9" s="58">
        <f>利润表!BQ7</f>
        <v>209617.88</v>
      </c>
      <c r="BR9" s="58">
        <f>利润表!BR7</f>
        <v>193282.44</v>
      </c>
      <c r="BS9" s="58">
        <f>利润表!BS7</f>
        <v>24377.45</v>
      </c>
      <c r="BT9" s="58">
        <f>利润表!BT7</f>
        <v>36551.49</v>
      </c>
      <c r="BU9" s="58">
        <f>利润表!BU7</f>
        <v>101077.69</v>
      </c>
      <c r="BV9" s="58">
        <f>利润表!BV7</f>
        <v>36464.04</v>
      </c>
      <c r="BW9" s="58">
        <f>利润表!BW7</f>
        <v>79334.22</v>
      </c>
      <c r="BX9" s="58">
        <f>利润表!BX7</f>
        <v>6859.07</v>
      </c>
      <c r="BY9" s="58">
        <f>利润表!BY7</f>
        <v>442342.3</v>
      </c>
      <c r="BZ9" s="58">
        <f>利润表!BZ7</f>
        <v>0</v>
      </c>
      <c r="CA9" s="58">
        <f>利润表!CA7</f>
        <v>44021.57</v>
      </c>
      <c r="CB9" s="58">
        <f>利润表!CB7</f>
        <v>0</v>
      </c>
      <c r="CC9" s="58">
        <f>利润表!CC7</f>
        <v>31867.919999999998</v>
      </c>
      <c r="CD9" s="58">
        <f>利润表!CD7</f>
        <v>0</v>
      </c>
      <c r="CE9" s="58">
        <f>利润表!CE7</f>
        <v>58096.52</v>
      </c>
      <c r="CF9" s="58">
        <f>利润表!CF7</f>
        <v>314948.40000000002</v>
      </c>
      <c r="CG9" s="58">
        <f>利润表!CG7</f>
        <v>0</v>
      </c>
      <c r="CH9" s="58">
        <f>利润表!CH7</f>
        <v>0</v>
      </c>
      <c r="CI9" s="58">
        <f>利润表!CI7</f>
        <v>0</v>
      </c>
      <c r="CJ9" s="58">
        <f>利润表!CJ7</f>
        <v>0</v>
      </c>
      <c r="CK9" s="58">
        <f>利润表!CK7</f>
        <v>0</v>
      </c>
    </row>
    <row r="10" spans="1:90" s="58" customFormat="1">
      <c r="A10" s="145" t="s">
        <v>492</v>
      </c>
      <c r="E10" s="58">
        <f>利润表!E8</f>
        <v>398025370.25</v>
      </c>
      <c r="F10" s="58">
        <f>利润表!F8</f>
        <v>273316220.35000002</v>
      </c>
      <c r="G10" s="58">
        <f>利润表!G8</f>
        <v>173711947.25</v>
      </c>
      <c r="H10" s="58">
        <f>利润表!H8</f>
        <v>80605156.439999998</v>
      </c>
      <c r="I10" s="58">
        <f>利润表!I8</f>
        <v>343407135.30000001</v>
      </c>
      <c r="J10" s="58">
        <f>利润表!J8</f>
        <v>256512247.34999999</v>
      </c>
      <c r="K10" s="58">
        <f>利润表!K8</f>
        <v>173621530</v>
      </c>
      <c r="L10" s="58">
        <f>利润表!L8</f>
        <v>85390934.840000004</v>
      </c>
      <c r="M10" s="58">
        <f>利润表!M8</f>
        <v>332022916</v>
      </c>
      <c r="N10" s="58">
        <f>利润表!N8</f>
        <v>244475744.61000001</v>
      </c>
      <c r="O10" s="58">
        <f>利润表!O8</f>
        <v>154791214</v>
      </c>
      <c r="P10" s="58">
        <f>利润表!P8</f>
        <v>66753841.109999999</v>
      </c>
      <c r="Q10" s="58">
        <f>利润表!Q8</f>
        <v>287637540</v>
      </c>
      <c r="R10" s="58">
        <f>利润表!R8</f>
        <v>200395263.5</v>
      </c>
      <c r="S10" s="58">
        <f>利润表!S8</f>
        <v>53177659</v>
      </c>
      <c r="T10" s="58">
        <f>利润表!T8</f>
        <v>25467368.559999999</v>
      </c>
      <c r="U10" s="58">
        <f>利润表!U8</f>
        <v>96877866</v>
      </c>
      <c r="V10" s="58">
        <f>利润表!V8</f>
        <v>75918576</v>
      </c>
      <c r="W10" s="58">
        <f>利润表!W8</f>
        <v>51780772</v>
      </c>
      <c r="X10" s="58">
        <f>利润表!X8</f>
        <v>27560417.57</v>
      </c>
      <c r="Y10" s="58">
        <f>利润表!Y8</f>
        <v>98707212</v>
      </c>
      <c r="Z10" s="58">
        <f>利润表!Z8</f>
        <v>69230853</v>
      </c>
      <c r="AA10" s="58">
        <f>利润表!AA8</f>
        <v>45057825</v>
      </c>
      <c r="AB10" s="58">
        <f>利润表!AB8</f>
        <v>20113835.460000001</v>
      </c>
      <c r="AC10" s="58">
        <f>利润表!AC8</f>
        <v>93659879</v>
      </c>
      <c r="AD10" s="58">
        <f>利润表!AD8</f>
        <v>62598690.799999997</v>
      </c>
      <c r="AE10" s="58">
        <f>利润表!AE8</f>
        <v>41739477</v>
      </c>
      <c r="AF10" s="58">
        <f>利润表!AF8</f>
        <v>22645175.800000001</v>
      </c>
      <c r="AG10" s="58">
        <f>利润表!AG8</f>
        <v>86971650</v>
      </c>
      <c r="AH10" s="58">
        <f>利润表!AH8</f>
        <v>61703094.93</v>
      </c>
      <c r="AI10" s="58">
        <f>利润表!AI8</f>
        <v>38557115.880000003</v>
      </c>
      <c r="AJ10" s="58">
        <f>利润表!AJ8</f>
        <v>17764411.579999998</v>
      </c>
      <c r="AK10" s="58">
        <f>利润表!AK8</f>
        <v>73770678.5</v>
      </c>
      <c r="AL10" s="58">
        <f>利润表!AL8</f>
        <v>49435345.270000003</v>
      </c>
      <c r="AM10" s="58">
        <f>利润表!AM8</f>
        <v>29413643.030000001</v>
      </c>
      <c r="AN10" s="58">
        <f>利润表!AN8</f>
        <v>14822606.59</v>
      </c>
      <c r="AO10" s="58">
        <f>利润表!AO8</f>
        <v>64211958.119999997</v>
      </c>
      <c r="AP10" s="58">
        <f>利润表!AP8</f>
        <v>40379895.560000002</v>
      </c>
      <c r="AQ10" s="58">
        <f>利润表!AQ8</f>
        <v>29289183.469999999</v>
      </c>
      <c r="AR10" s="58">
        <f>利润表!AR8</f>
        <v>11179076.84</v>
      </c>
      <c r="AS10" s="58">
        <f>利润表!AS8</f>
        <v>48053677.729999997</v>
      </c>
      <c r="AT10" s="58">
        <f>利润表!AT8</f>
        <v>33041118.129999999</v>
      </c>
      <c r="AU10" s="58">
        <f>利润表!AU8</f>
        <v>21164648.870000001</v>
      </c>
      <c r="AV10" s="58">
        <f>利润表!AV8</f>
        <v>10201946.49</v>
      </c>
      <c r="AW10" s="58">
        <f>利润表!AW8</f>
        <v>41181831.719999999</v>
      </c>
      <c r="AX10" s="58">
        <f>利润表!AX8</f>
        <v>27224355.969999999</v>
      </c>
      <c r="AY10" s="58">
        <f>利润表!AY8</f>
        <v>16354365.289999999</v>
      </c>
      <c r="AZ10" s="58">
        <f>利润表!AZ8</f>
        <v>7752813.7000000002</v>
      </c>
      <c r="BA10" s="58">
        <f>利润表!BA8</f>
        <v>24062441.050000001</v>
      </c>
      <c r="BB10" s="58">
        <f>利润表!BB8</f>
        <v>11378157.359999999</v>
      </c>
      <c r="BC10" s="58">
        <f>利润表!BC8</f>
        <v>7832364.9400000004</v>
      </c>
      <c r="BD10" s="58">
        <f>利润表!BD8</f>
        <v>4141825.6</v>
      </c>
      <c r="BE10" s="58">
        <f>利润表!BE8</f>
        <v>16881011.260000002</v>
      </c>
      <c r="BF10" s="58">
        <f>利润表!BF8</f>
        <v>12219897.84</v>
      </c>
      <c r="BG10" s="58">
        <f>利润表!BG8</f>
        <v>7614422.1600000001</v>
      </c>
      <c r="BH10" s="58">
        <f>利润表!BH8</f>
        <v>3893644.69</v>
      </c>
      <c r="BI10" s="58">
        <f>利润表!BI8</f>
        <v>12418773.960000001</v>
      </c>
      <c r="BJ10" s="58">
        <f>利润表!BJ8</f>
        <v>8298227.1299999999</v>
      </c>
      <c r="BK10" s="58">
        <f>利润表!BK8</f>
        <v>4888035.96</v>
      </c>
      <c r="BL10" s="58">
        <f>利润表!BL8</f>
        <v>2374450.71</v>
      </c>
      <c r="BM10" s="58">
        <f>利润表!BM8</f>
        <v>9197767.4100000001</v>
      </c>
      <c r="BN10" s="58">
        <f>利润表!BN8</f>
        <v>6317396.4199999999</v>
      </c>
      <c r="BO10" s="58">
        <f>利润表!BO8</f>
        <v>4100756.43</v>
      </c>
      <c r="BP10" s="58">
        <f>利润表!BP8</f>
        <v>2137968.48</v>
      </c>
      <c r="BQ10" s="58">
        <f>利润表!BQ8</f>
        <v>7353414.1299999999</v>
      </c>
      <c r="BR10" s="58">
        <f>利润表!BR8</f>
        <v>4035417.79</v>
      </c>
      <c r="BS10" s="58">
        <f>利润表!BS8</f>
        <v>7688042.0199999996</v>
      </c>
      <c r="BT10" s="58">
        <f>利润表!BT8</f>
        <v>3413102.5</v>
      </c>
      <c r="BU10" s="58">
        <f>利润表!BU8</f>
        <v>7751140.0800000001</v>
      </c>
      <c r="BV10" s="58">
        <f>利润表!BV8</f>
        <v>3251387.2</v>
      </c>
      <c r="BW10" s="58">
        <f>利润表!BW8</f>
        <v>4768727.04</v>
      </c>
      <c r="BX10" s="58">
        <f>利润表!BX8</f>
        <v>2441731.0299999998</v>
      </c>
      <c r="BY10" s="58">
        <f>利润表!BY8</f>
        <v>4131141.73</v>
      </c>
      <c r="BZ10" s="58">
        <f>利润表!BZ8</f>
        <v>0</v>
      </c>
      <c r="CA10" s="58">
        <f>利润表!CA8</f>
        <v>2704778.42</v>
      </c>
      <c r="CB10" s="58">
        <f>利润表!CB8</f>
        <v>0</v>
      </c>
      <c r="CC10" s="58">
        <f>利润表!CC8</f>
        <v>2682027</v>
      </c>
      <c r="CD10" s="58">
        <f>利润表!CD8</f>
        <v>0</v>
      </c>
      <c r="CE10" s="58">
        <f>利润表!CE8</f>
        <v>1543813.86</v>
      </c>
      <c r="CF10" s="58">
        <f>利润表!CF8</f>
        <v>1223702.47</v>
      </c>
      <c r="CG10" s="58">
        <f>利润表!CG8</f>
        <v>0</v>
      </c>
      <c r="CH10" s="58">
        <f>利润表!CH8</f>
        <v>0</v>
      </c>
      <c r="CI10" s="58">
        <f>利润表!CI8</f>
        <v>0</v>
      </c>
      <c r="CJ10" s="58">
        <f>利润表!CJ8</f>
        <v>0</v>
      </c>
      <c r="CK10" s="58">
        <f>利润表!CK8</f>
        <v>0</v>
      </c>
    </row>
    <row r="11" spans="1:90" s="58" customFormat="1">
      <c r="A11" s="145" t="s">
        <v>493</v>
      </c>
      <c r="E11" s="58">
        <f>利润表!E9</f>
        <v>1562874219</v>
      </c>
      <c r="F11" s="58">
        <f>利润表!F9</f>
        <v>1064956415.03</v>
      </c>
      <c r="G11" s="58">
        <f>利润表!G9</f>
        <v>710539906.90999997</v>
      </c>
      <c r="H11" s="58">
        <f>利润表!H9</f>
        <v>338444437.02999997</v>
      </c>
      <c r="I11" s="58">
        <f>利润表!I9</f>
        <v>1457430157.79</v>
      </c>
      <c r="J11" s="58">
        <f>利润表!J9</f>
        <v>1050004447.4</v>
      </c>
      <c r="K11" s="58">
        <f>利润表!K9</f>
        <v>686214715</v>
      </c>
      <c r="L11" s="58">
        <f>利润表!L9</f>
        <v>344790741.86000001</v>
      </c>
      <c r="M11" s="58">
        <f>利润表!M9</f>
        <v>1270483375</v>
      </c>
      <c r="N11" s="58">
        <f>利润表!N9</f>
        <v>945132807.03999996</v>
      </c>
      <c r="O11" s="58">
        <f>利润表!O9</f>
        <v>595302499</v>
      </c>
      <c r="P11" s="58">
        <f>利润表!P9</f>
        <v>277005885.17000002</v>
      </c>
      <c r="Q11" s="58">
        <f>利润表!Q9</f>
        <v>1000762138</v>
      </c>
      <c r="R11" s="58">
        <f>利润表!R9</f>
        <v>664100659.88</v>
      </c>
      <c r="S11" s="58">
        <f>利润表!S9</f>
        <v>245167916</v>
      </c>
      <c r="T11" s="58">
        <f>利润表!T9</f>
        <v>122007833.5</v>
      </c>
      <c r="U11" s="58">
        <f>利润表!U9</f>
        <v>449367489</v>
      </c>
      <c r="V11" s="58">
        <f>利润表!V9</f>
        <v>312895143</v>
      </c>
      <c r="W11" s="58">
        <f>利润表!W9</f>
        <v>206921248</v>
      </c>
      <c r="X11" s="58">
        <f>利润表!X9</f>
        <v>101151456.55</v>
      </c>
      <c r="Y11" s="58">
        <f>利润表!Y9</f>
        <v>365825658</v>
      </c>
      <c r="Z11" s="58">
        <f>利润表!Z9</f>
        <v>246442408</v>
      </c>
      <c r="AA11" s="58">
        <f>利润表!AA9</f>
        <v>155189388</v>
      </c>
      <c r="AB11" s="58">
        <f>利润表!AB9</f>
        <v>71109449.299999997</v>
      </c>
      <c r="AC11" s="58">
        <f>利润表!AC9</f>
        <v>341945229</v>
      </c>
      <c r="AD11" s="58">
        <f>利润表!AD9</f>
        <v>224713126.91</v>
      </c>
      <c r="AE11" s="58">
        <f>利润表!AE9</f>
        <v>149947985</v>
      </c>
      <c r="AF11" s="58">
        <f>利润表!AF9</f>
        <v>76118123.650000006</v>
      </c>
      <c r="AG11" s="58">
        <f>利润表!AG9</f>
        <v>251656351</v>
      </c>
      <c r="AH11" s="58">
        <f>利润表!AH9</f>
        <v>163472934.34</v>
      </c>
      <c r="AI11" s="58">
        <f>利润表!AI9</f>
        <v>93120197.189999998</v>
      </c>
      <c r="AJ11" s="58">
        <f>利润表!AJ9</f>
        <v>46937760.280000001</v>
      </c>
      <c r="AK11" s="58">
        <f>利润表!AK9</f>
        <v>171257795.52000001</v>
      </c>
      <c r="AL11" s="58">
        <f>利润表!AL9</f>
        <v>113597076.61</v>
      </c>
      <c r="AM11" s="58">
        <f>利润表!AM9</f>
        <v>75147130.980000004</v>
      </c>
      <c r="AN11" s="58">
        <f>利润表!AN9</f>
        <v>36983690.899999999</v>
      </c>
      <c r="AO11" s="58">
        <f>利润表!AO9</f>
        <v>152712783.55000001</v>
      </c>
      <c r="AP11" s="58">
        <f>利润表!AP9</f>
        <v>95517675.510000005</v>
      </c>
      <c r="AQ11" s="58">
        <f>利润表!AQ9</f>
        <v>60268837.270000003</v>
      </c>
      <c r="AR11" s="58">
        <f>利润表!AR9</f>
        <v>25338261.489999998</v>
      </c>
      <c r="AS11" s="58">
        <f>利润表!AS9</f>
        <v>106168683.48</v>
      </c>
      <c r="AT11" s="58">
        <f>利润表!AT9</f>
        <v>72546733.530000001</v>
      </c>
      <c r="AU11" s="58">
        <f>利润表!AU9</f>
        <v>47344720.609999999</v>
      </c>
      <c r="AV11" s="58">
        <f>利润表!AV9</f>
        <v>25314712.530000001</v>
      </c>
      <c r="AW11" s="58">
        <f>利润表!AW9</f>
        <v>94168880.849999994</v>
      </c>
      <c r="AX11" s="58">
        <f>利润表!AX9</f>
        <v>67691591.859999999</v>
      </c>
      <c r="AY11" s="58">
        <f>利润表!AY9</f>
        <v>47102197.759999998</v>
      </c>
      <c r="AZ11" s="58">
        <f>利润表!AZ9</f>
        <v>20615957.359999999</v>
      </c>
      <c r="BA11" s="58">
        <f>利润表!BA9</f>
        <v>85834784.439999998</v>
      </c>
      <c r="BB11" s="58">
        <f>利润表!BB9</f>
        <v>56282692.990000002</v>
      </c>
      <c r="BC11" s="58">
        <f>利润表!BC9</f>
        <v>37982710.600000001</v>
      </c>
      <c r="BD11" s="58">
        <f>利润表!BD9</f>
        <v>20861189.629999999</v>
      </c>
      <c r="BE11" s="58">
        <f>利润表!BE9</f>
        <v>86140722.579999998</v>
      </c>
      <c r="BF11" s="58">
        <f>利润表!BF9</f>
        <v>50381620.039999999</v>
      </c>
      <c r="BG11" s="58">
        <f>利润表!BG9</f>
        <v>33819568.909999996</v>
      </c>
      <c r="BH11" s="58">
        <f>利润表!BH9</f>
        <v>13088330.289999999</v>
      </c>
      <c r="BI11" s="58">
        <f>利润表!BI9</f>
        <v>54098751.759999998</v>
      </c>
      <c r="BJ11" s="58">
        <f>利润表!BJ9</f>
        <v>39723544.799999997</v>
      </c>
      <c r="BK11" s="58">
        <f>利润表!BK9</f>
        <v>26418556.5</v>
      </c>
      <c r="BL11" s="58">
        <f>利润表!BL9</f>
        <v>10832004.970000001</v>
      </c>
      <c r="BM11" s="58">
        <f>利润表!BM9</f>
        <v>78203773.230000004</v>
      </c>
      <c r="BN11" s="58">
        <f>利润表!BN9</f>
        <v>37516027.640000001</v>
      </c>
      <c r="BO11" s="58">
        <f>利润表!BO9</f>
        <v>13403329.66</v>
      </c>
      <c r="BP11" s="58">
        <f>利润表!BP9</f>
        <v>4717840.59</v>
      </c>
      <c r="BQ11" s="58">
        <f>利润表!BQ9</f>
        <v>28611507.640000001</v>
      </c>
      <c r="BR11" s="58">
        <f>利润表!BR9</f>
        <v>12194349.32</v>
      </c>
      <c r="BS11" s="58">
        <f>利润表!BS9</f>
        <v>29767355.739999998</v>
      </c>
      <c r="BT11" s="58">
        <f>利润表!BT9</f>
        <v>13743013.779999999</v>
      </c>
      <c r="BU11" s="58">
        <f>利润表!BU9</f>
        <v>26806334.98</v>
      </c>
      <c r="BV11" s="58">
        <f>利润表!BV9</f>
        <v>10862457.800000001</v>
      </c>
      <c r="BW11" s="58">
        <f>利润表!BW9</f>
        <v>20761182.789999999</v>
      </c>
      <c r="BX11" s="58">
        <f>利润表!BX9</f>
        <v>11064116.699999999</v>
      </c>
      <c r="BY11" s="58">
        <f>利润表!BY9</f>
        <v>23902868</v>
      </c>
      <c r="BZ11" s="58">
        <f>利润表!BZ9</f>
        <v>0</v>
      </c>
      <c r="CA11" s="58">
        <f>利润表!CA9</f>
        <v>23248459.800000001</v>
      </c>
      <c r="CB11" s="58">
        <f>利润表!CB9</f>
        <v>0</v>
      </c>
      <c r="CC11" s="58">
        <f>利润表!CC9</f>
        <v>21439682.940000001</v>
      </c>
      <c r="CD11" s="58">
        <f>利润表!CD9</f>
        <v>0</v>
      </c>
      <c r="CE11" s="58">
        <f>利润表!CE9</f>
        <v>21577844.440000001</v>
      </c>
      <c r="CF11" s="58">
        <f>利润表!CF9</f>
        <v>15392056.970000001</v>
      </c>
      <c r="CG11" s="58">
        <f>利润表!CG9</f>
        <v>0</v>
      </c>
      <c r="CH11" s="58">
        <f>利润表!CH9</f>
        <v>0</v>
      </c>
      <c r="CI11" s="58">
        <f>利润表!CI9</f>
        <v>0</v>
      </c>
      <c r="CJ11" s="58">
        <f>利润表!CJ9</f>
        <v>0</v>
      </c>
      <c r="CK11" s="58">
        <f>利润表!CK9</f>
        <v>0</v>
      </c>
    </row>
    <row r="12" spans="1:90" s="58" customFormat="1">
      <c r="A12" s="145" t="s">
        <v>494</v>
      </c>
      <c r="E12" s="58">
        <f>SUM(E8:E11)</f>
        <v>13117055234.43</v>
      </c>
      <c r="F12" s="58">
        <f t="shared" ref="F12:BQ12" si="4">SUM(F8:F11)</f>
        <v>9344639538.0799999</v>
      </c>
      <c r="G12" s="58">
        <f t="shared" si="4"/>
        <v>5748806014.499999</v>
      </c>
      <c r="H12" s="58">
        <f t="shared" si="4"/>
        <v>2672453911.5600004</v>
      </c>
      <c r="I12" s="58">
        <f t="shared" si="4"/>
        <v>10418535818.219997</v>
      </c>
      <c r="J12" s="58">
        <f t="shared" si="4"/>
        <v>7541719030.5100002</v>
      </c>
      <c r="K12" s="58">
        <f t="shared" si="4"/>
        <v>4851328993</v>
      </c>
      <c r="L12" s="58">
        <f t="shared" si="4"/>
        <v>2404546044.5500002</v>
      </c>
      <c r="M12" s="58">
        <f t="shared" si="4"/>
        <v>10421412451</v>
      </c>
      <c r="N12" s="58">
        <f t="shared" si="4"/>
        <v>7671893348.0299997</v>
      </c>
      <c r="O12" s="58">
        <f t="shared" si="4"/>
        <v>5046349694</v>
      </c>
      <c r="P12" s="58">
        <f t="shared" si="4"/>
        <v>2363919463.29</v>
      </c>
      <c r="Q12" s="58">
        <f t="shared" si="4"/>
        <v>8885651764</v>
      </c>
      <c r="R12" s="58">
        <f t="shared" si="4"/>
        <v>6075959462.75</v>
      </c>
      <c r="S12" s="58">
        <f t="shared" si="4"/>
        <v>2279669994</v>
      </c>
      <c r="T12" s="58">
        <f t="shared" si="4"/>
        <v>1098601417.5999999</v>
      </c>
      <c r="U12" s="58">
        <f t="shared" si="4"/>
        <v>4255114580</v>
      </c>
      <c r="V12" s="58">
        <f t="shared" si="4"/>
        <v>3299997726</v>
      </c>
      <c r="W12" s="58">
        <f t="shared" si="4"/>
        <v>2144514395</v>
      </c>
      <c r="X12" s="58">
        <f t="shared" si="4"/>
        <v>1020211766.14</v>
      </c>
      <c r="Y12" s="58">
        <f t="shared" si="4"/>
        <v>4185336159</v>
      </c>
      <c r="Z12" s="58">
        <f t="shared" si="4"/>
        <v>3166260000</v>
      </c>
      <c r="AA12" s="58">
        <f t="shared" si="4"/>
        <v>2158409371</v>
      </c>
      <c r="AB12" s="58">
        <f t="shared" si="4"/>
        <v>988348413.54000008</v>
      </c>
      <c r="AC12" s="58">
        <f t="shared" si="4"/>
        <v>4516222744</v>
      </c>
      <c r="AD12" s="58">
        <f t="shared" si="4"/>
        <v>3218621509.5100002</v>
      </c>
      <c r="AE12" s="58">
        <f t="shared" si="4"/>
        <v>2010576067</v>
      </c>
      <c r="AF12" s="58">
        <f t="shared" si="4"/>
        <v>985728594.37999988</v>
      </c>
      <c r="AG12" s="58">
        <f t="shared" si="4"/>
        <v>3253479175</v>
      </c>
      <c r="AH12" s="58">
        <f t="shared" si="4"/>
        <v>2164286705.0900002</v>
      </c>
      <c r="AI12" s="58">
        <f t="shared" si="4"/>
        <v>1372073841.9800003</v>
      </c>
      <c r="AJ12" s="58">
        <f t="shared" si="4"/>
        <v>638364140.00999999</v>
      </c>
      <c r="AK12" s="58">
        <f t="shared" si="4"/>
        <v>2352244820.9200001</v>
      </c>
      <c r="AL12" s="58">
        <f t="shared" si="4"/>
        <v>1704024725.55</v>
      </c>
      <c r="AM12" s="58">
        <f t="shared" si="4"/>
        <v>1019261455.08</v>
      </c>
      <c r="AN12" s="58">
        <f t="shared" si="4"/>
        <v>437240064.56999993</v>
      </c>
      <c r="AO12" s="58">
        <f t="shared" si="4"/>
        <v>1432482956.2599998</v>
      </c>
      <c r="AP12" s="58">
        <f t="shared" si="4"/>
        <v>1035000802.71</v>
      </c>
      <c r="AQ12" s="58">
        <f t="shared" si="4"/>
        <v>671206906.08999991</v>
      </c>
      <c r="AR12" s="58">
        <f t="shared" si="4"/>
        <v>330058237.49000001</v>
      </c>
      <c r="AS12" s="58">
        <f t="shared" si="4"/>
        <v>1603568267.72</v>
      </c>
      <c r="AT12" s="58">
        <f t="shared" si="4"/>
        <v>1145208977.8200002</v>
      </c>
      <c r="AU12" s="58">
        <f t="shared" si="4"/>
        <v>708667067.41999996</v>
      </c>
      <c r="AV12" s="58">
        <f t="shared" si="4"/>
        <v>330241739.96000004</v>
      </c>
      <c r="AW12" s="58">
        <f t="shared" si="4"/>
        <v>1370511557.3199999</v>
      </c>
      <c r="AX12" s="58">
        <f t="shared" si="4"/>
        <v>918473552.20000005</v>
      </c>
      <c r="AY12" s="58">
        <f t="shared" si="4"/>
        <v>582655225.69000006</v>
      </c>
      <c r="AZ12" s="58">
        <f t="shared" si="4"/>
        <v>233191779.58999997</v>
      </c>
      <c r="BA12" s="58">
        <f t="shared" si="4"/>
        <v>1026550615.05</v>
      </c>
      <c r="BB12" s="58">
        <f t="shared" si="4"/>
        <v>701136581.03999996</v>
      </c>
      <c r="BC12" s="58">
        <f t="shared" si="4"/>
        <v>480379967.45999998</v>
      </c>
      <c r="BD12" s="58">
        <f t="shared" si="4"/>
        <v>217744376.75</v>
      </c>
      <c r="BE12" s="58">
        <f t="shared" si="4"/>
        <v>955407205.88</v>
      </c>
      <c r="BF12" s="58">
        <f t="shared" si="4"/>
        <v>592518648.28999996</v>
      </c>
      <c r="BG12" s="58">
        <f t="shared" si="4"/>
        <v>392046158.55000007</v>
      </c>
      <c r="BH12" s="58">
        <f t="shared" si="4"/>
        <v>157117655.60999998</v>
      </c>
      <c r="BI12" s="58">
        <f t="shared" si="4"/>
        <v>565553590.73000002</v>
      </c>
      <c r="BJ12" s="58">
        <f t="shared" si="4"/>
        <v>403197906.99000001</v>
      </c>
      <c r="BK12" s="58">
        <f t="shared" si="4"/>
        <v>229636009.06</v>
      </c>
      <c r="BL12" s="58">
        <f t="shared" si="4"/>
        <v>93079666.739999995</v>
      </c>
      <c r="BM12" s="58">
        <f t="shared" si="4"/>
        <v>344771096.44999999</v>
      </c>
      <c r="BN12" s="58">
        <f t="shared" si="4"/>
        <v>232057194.92000002</v>
      </c>
      <c r="BO12" s="58">
        <f t="shared" si="4"/>
        <v>133926155.14</v>
      </c>
      <c r="BP12" s="58">
        <f t="shared" si="4"/>
        <v>55705811.230000004</v>
      </c>
      <c r="BQ12" s="58">
        <f t="shared" si="4"/>
        <v>264270613.46999997</v>
      </c>
      <c r="BR12" s="58">
        <f t="shared" ref="BR12:CL12" si="5">SUM(BR8:BR11)</f>
        <v>132687898.36000001</v>
      </c>
      <c r="BS12" s="58">
        <f t="shared" si="5"/>
        <v>283178105.65999997</v>
      </c>
      <c r="BT12" s="58">
        <f t="shared" si="5"/>
        <v>138955739.41999999</v>
      </c>
      <c r="BU12" s="58">
        <f t="shared" si="5"/>
        <v>249810801.11000001</v>
      </c>
      <c r="BV12" s="58">
        <f t="shared" si="5"/>
        <v>112927503.2</v>
      </c>
      <c r="BW12" s="58">
        <f t="shared" si="5"/>
        <v>147576970.52000001</v>
      </c>
      <c r="BX12" s="58">
        <f t="shared" si="5"/>
        <v>81966325.5</v>
      </c>
      <c r="BY12" s="58">
        <f t="shared" si="5"/>
        <v>175597516.21000001</v>
      </c>
      <c r="BZ12" s="58">
        <f t="shared" si="5"/>
        <v>0</v>
      </c>
      <c r="CA12" s="58">
        <f t="shared" si="5"/>
        <v>139419924.44999999</v>
      </c>
      <c r="CB12" s="58">
        <f t="shared" si="5"/>
        <v>0</v>
      </c>
      <c r="CC12" s="58">
        <f t="shared" si="5"/>
        <v>115822383.95</v>
      </c>
      <c r="CD12" s="58">
        <f t="shared" si="5"/>
        <v>0</v>
      </c>
      <c r="CE12" s="58">
        <f t="shared" si="5"/>
        <v>126421747.25999999</v>
      </c>
      <c r="CF12" s="58">
        <f t="shared" si="5"/>
        <v>108287613.81</v>
      </c>
      <c r="CG12" s="58">
        <f t="shared" si="5"/>
        <v>79129800</v>
      </c>
      <c r="CH12" s="58">
        <f t="shared" si="5"/>
        <v>43869100</v>
      </c>
      <c r="CI12" s="58">
        <f t="shared" si="5"/>
        <v>0</v>
      </c>
      <c r="CJ12" s="58">
        <f t="shared" si="5"/>
        <v>0</v>
      </c>
      <c r="CK12" s="58">
        <f t="shared" si="5"/>
        <v>0</v>
      </c>
      <c r="CL12" s="58">
        <f t="shared" si="5"/>
        <v>0</v>
      </c>
    </row>
    <row r="13" spans="1:90" s="28" customFormat="1">
      <c r="A13" s="20" t="s">
        <v>495</v>
      </c>
      <c r="E13" s="28">
        <f>(E6/(1+E4)+E7)/E12</f>
        <v>0.79023245149353005</v>
      </c>
      <c r="F13" s="28">
        <f t="shared" ref="F13:BQ13" si="6">(F6/(1+F4)+F7)/F12</f>
        <v>0.81888526555314523</v>
      </c>
      <c r="G13" s="28">
        <f t="shared" si="6"/>
        <v>0.91084852311335196</v>
      </c>
      <c r="H13" s="28">
        <f t="shared" si="6"/>
        <v>1.2101420658223567</v>
      </c>
      <c r="I13" s="28">
        <f t="shared" si="6"/>
        <v>0.8168876317210666</v>
      </c>
      <c r="J13" s="28">
        <f t="shared" si="6"/>
        <v>1.0934456847396425</v>
      </c>
      <c r="K13" s="28">
        <f t="shared" si="6"/>
        <v>1.1332443515572657</v>
      </c>
      <c r="L13" s="28">
        <f t="shared" si="6"/>
        <v>1.3072042496881455</v>
      </c>
      <c r="M13" s="28">
        <f t="shared" si="6"/>
        <v>0.74648690295520603</v>
      </c>
      <c r="N13" s="28">
        <f t="shared" si="6"/>
        <v>0.86319736464676133</v>
      </c>
      <c r="O13" s="28">
        <f t="shared" si="6"/>
        <v>0.87322705613200702</v>
      </c>
      <c r="P13" s="28">
        <f t="shared" si="6"/>
        <v>0.93303856563822873</v>
      </c>
      <c r="Q13" s="28">
        <f t="shared" si="6"/>
        <v>0.93390282570621641</v>
      </c>
      <c r="R13" s="28">
        <f t="shared" si="6"/>
        <v>0.96428494520699048</v>
      </c>
      <c r="S13" s="28">
        <f t="shared" si="6"/>
        <v>0.99198513611665573</v>
      </c>
      <c r="T13" s="28">
        <f t="shared" si="6"/>
        <v>1.2693993426778647</v>
      </c>
      <c r="U13" s="28">
        <f t="shared" si="6"/>
        <v>0.79806487046928321</v>
      </c>
      <c r="V13" s="28">
        <f t="shared" si="6"/>
        <v>0.87851719916220927</v>
      </c>
      <c r="W13" s="28">
        <f t="shared" si="6"/>
        <v>0.84334938377171431</v>
      </c>
      <c r="X13" s="28">
        <f t="shared" si="6"/>
        <v>1.0695212198838211</v>
      </c>
      <c r="Y13" s="28">
        <f t="shared" si="6"/>
        <v>0.90334185911418674</v>
      </c>
      <c r="Z13" s="28">
        <f t="shared" si="6"/>
        <v>0.86109683103703316</v>
      </c>
      <c r="AA13" s="28">
        <f t="shared" si="6"/>
        <v>0.76695287025489112</v>
      </c>
      <c r="AB13" s="28">
        <f t="shared" si="6"/>
        <v>0.82451845641967725</v>
      </c>
      <c r="AC13" s="28">
        <f t="shared" si="6"/>
        <v>0.79286657400497618</v>
      </c>
      <c r="AD13" s="28">
        <f t="shared" si="6"/>
        <v>0.7939914040514845</v>
      </c>
      <c r="AE13" s="28">
        <f t="shared" si="6"/>
        <v>0.87723106637054393</v>
      </c>
      <c r="AF13" s="28">
        <f t="shared" si="6"/>
        <v>0.99655956625858477</v>
      </c>
      <c r="AG13" s="28">
        <f t="shared" si="6"/>
        <v>0.71111666759541936</v>
      </c>
      <c r="AH13" s="28">
        <f t="shared" si="6"/>
        <v>0.79384713375744576</v>
      </c>
      <c r="AI13" s="28">
        <f t="shared" si="6"/>
        <v>0.74313900162113122</v>
      </c>
      <c r="AJ13" s="28">
        <f t="shared" si="6"/>
        <v>0.75471075957808642</v>
      </c>
      <c r="AK13" s="28">
        <f t="shared" si="6"/>
        <v>0.77117559599602259</v>
      </c>
      <c r="AL13" s="28">
        <f t="shared" si="6"/>
        <v>0.70310153562931677</v>
      </c>
      <c r="AM13" s="28">
        <f t="shared" si="6"/>
        <v>0.67889464374837949</v>
      </c>
      <c r="AN13" s="28">
        <f t="shared" si="6"/>
        <v>0.78724870753061105</v>
      </c>
      <c r="AO13" s="28">
        <f t="shared" si="6"/>
        <v>0.88813780417654153</v>
      </c>
      <c r="AP13" s="28">
        <f t="shared" si="6"/>
        <v>0.81843250086112163</v>
      </c>
      <c r="AQ13" s="28">
        <f t="shared" si="6"/>
        <v>0.97187137447194827</v>
      </c>
      <c r="AR13" s="28">
        <f t="shared" si="6"/>
        <v>1.0953740404293468</v>
      </c>
      <c r="AS13" s="28">
        <f t="shared" si="6"/>
        <v>0.87913040164955347</v>
      </c>
      <c r="AT13" s="28">
        <f t="shared" si="6"/>
        <v>0.8439175898905773</v>
      </c>
      <c r="AU13" s="28">
        <f t="shared" si="6"/>
        <v>0.84598964372831076</v>
      </c>
      <c r="AV13" s="28">
        <f t="shared" si="6"/>
        <v>0.81115449360771541</v>
      </c>
      <c r="AW13" s="28">
        <f t="shared" si="6"/>
        <v>0.76981644051987719</v>
      </c>
      <c r="AX13" s="28">
        <f t="shared" si="6"/>
        <v>0.69544307727372323</v>
      </c>
      <c r="AY13" s="28">
        <f t="shared" si="6"/>
        <v>0.67864724312314439</v>
      </c>
      <c r="AZ13" s="28">
        <f t="shared" si="6"/>
        <v>0.80477605874315905</v>
      </c>
      <c r="BA13" s="28">
        <f t="shared" si="6"/>
        <v>0.83385880770468368</v>
      </c>
      <c r="BB13" s="28">
        <f t="shared" si="6"/>
        <v>0.85942698669845607</v>
      </c>
      <c r="BC13" s="28">
        <f t="shared" si="6"/>
        <v>0.85888555044353943</v>
      </c>
      <c r="BD13" s="28">
        <f t="shared" si="6"/>
        <v>1.0225704914336942</v>
      </c>
      <c r="BE13" s="28">
        <f t="shared" si="6"/>
        <v>0.78203333725390933</v>
      </c>
      <c r="BF13" s="28">
        <f t="shared" si="6"/>
        <v>0.91239161994529772</v>
      </c>
      <c r="BG13" s="28">
        <f t="shared" si="6"/>
        <v>0.83329873151172762</v>
      </c>
      <c r="BH13" s="28">
        <f t="shared" si="6"/>
        <v>0.78453538873764306</v>
      </c>
      <c r="BI13" s="28">
        <f t="shared" si="6"/>
        <v>0.66809866644125759</v>
      </c>
      <c r="BJ13" s="28">
        <f t="shared" si="6"/>
        <v>0.56352298042180271</v>
      </c>
      <c r="BK13" s="28">
        <f t="shared" si="6"/>
        <v>0.70214636619488358</v>
      </c>
      <c r="BL13" s="28">
        <f t="shared" si="6"/>
        <v>0.57798938211195539</v>
      </c>
      <c r="BM13" s="28">
        <f t="shared" si="6"/>
        <v>0.55120920214840186</v>
      </c>
      <c r="BN13" s="28">
        <f t="shared" si="6"/>
        <v>0.31039766809733216</v>
      </c>
      <c r="BO13" s="28">
        <f t="shared" si="6"/>
        <v>1.3020028118737981</v>
      </c>
      <c r="BP13" s="28">
        <f t="shared" si="6"/>
        <v>1.734952345188252</v>
      </c>
      <c r="BQ13" s="28">
        <f t="shared" si="6"/>
        <v>0.89859356743627894</v>
      </c>
      <c r="BR13" s="28">
        <f t="shared" ref="BR13:CK13" si="7">(BR6/(1+BR4)+BR7)/BR12</f>
        <v>0.87067357065540951</v>
      </c>
      <c r="BS13" s="28">
        <f t="shared" si="7"/>
        <v>0.79434889426209754</v>
      </c>
      <c r="BT13" s="28">
        <f t="shared" si="7"/>
        <v>0.65928889872214635</v>
      </c>
      <c r="BU13" s="28">
        <f t="shared" si="7"/>
        <v>0</v>
      </c>
      <c r="BV13" s="28">
        <f t="shared" si="7"/>
        <v>0</v>
      </c>
      <c r="BW13" s="28">
        <f t="shared" si="7"/>
        <v>0</v>
      </c>
      <c r="BX13" s="28">
        <f t="shared" si="7"/>
        <v>0</v>
      </c>
      <c r="BY13" s="28">
        <f t="shared" si="7"/>
        <v>0</v>
      </c>
      <c r="BZ13" s="28" t="e">
        <f t="shared" si="7"/>
        <v>#DIV/0!</v>
      </c>
      <c r="CA13" s="28">
        <f t="shared" si="7"/>
        <v>0</v>
      </c>
      <c r="CB13" s="28" t="e">
        <f t="shared" si="7"/>
        <v>#DIV/0!</v>
      </c>
      <c r="CC13" s="28">
        <f t="shared" si="7"/>
        <v>0</v>
      </c>
      <c r="CD13" s="28" t="e">
        <f t="shared" si="7"/>
        <v>#DIV/0!</v>
      </c>
      <c r="CE13" s="28">
        <f t="shared" si="7"/>
        <v>0</v>
      </c>
      <c r="CF13" s="28">
        <f t="shared" si="7"/>
        <v>0</v>
      </c>
      <c r="CG13" s="28">
        <f t="shared" si="7"/>
        <v>0</v>
      </c>
      <c r="CH13" s="28">
        <f t="shared" si="7"/>
        <v>0</v>
      </c>
      <c r="CI13" s="28" t="e">
        <f t="shared" si="7"/>
        <v>#DIV/0!</v>
      </c>
      <c r="CJ13" s="28" t="e">
        <f t="shared" si="7"/>
        <v>#DIV/0!</v>
      </c>
      <c r="CK13" s="28" t="e">
        <f t="shared" si="7"/>
        <v>#DIV/0!</v>
      </c>
    </row>
    <row r="14" spans="1:90" s="26" customFormat="1">
      <c r="A14" s="20" t="s">
        <v>496</v>
      </c>
      <c r="E14" s="26">
        <f>现金流量表!E13</f>
        <v>1921203382</v>
      </c>
      <c r="F14" s="26">
        <f>现金流量表!F13</f>
        <v>1296493066.79</v>
      </c>
      <c r="G14" s="26">
        <f>现金流量表!G13</f>
        <v>-133754593</v>
      </c>
      <c r="H14" s="26">
        <f>现金流量表!H13</f>
        <v>-931880681.86000001</v>
      </c>
      <c r="I14" s="26">
        <f>现金流量表!I13</f>
        <v>980606988.61000001</v>
      </c>
      <c r="J14" s="26">
        <f>现金流量表!J13</f>
        <v>-416608018.76999998</v>
      </c>
      <c r="K14" s="26">
        <f>现金流量表!K13</f>
        <v>-1579123796</v>
      </c>
      <c r="L14" s="26">
        <f>现金流量表!L13</f>
        <v>-1012563612.22</v>
      </c>
      <c r="M14" s="26">
        <f>现金流量表!M13</f>
        <v>4459078030</v>
      </c>
      <c r="N14" s="26">
        <f>现金流量表!N13</f>
        <v>1669868549.6900001</v>
      </c>
      <c r="O14" s="26">
        <f>现金流量表!O13</f>
        <v>836757732</v>
      </c>
      <c r="P14" s="26">
        <f>现金流量表!P13</f>
        <v>683608732.96000004</v>
      </c>
      <c r="Q14" s="26">
        <f>现金流量表!Q13</f>
        <v>1385683779</v>
      </c>
      <c r="R14" s="26">
        <f>现金流量表!R13</f>
        <v>1016247706.38</v>
      </c>
      <c r="S14" s="26">
        <f>现金流量表!S13</f>
        <v>137255641</v>
      </c>
      <c r="T14" s="26">
        <f>现金流量表!T13</f>
        <v>-131865859.58</v>
      </c>
      <c r="U14" s="26">
        <f>现金流量表!U13</f>
        <v>1421687316</v>
      </c>
      <c r="V14" s="26">
        <f>现金流量表!V13</f>
        <v>423714938</v>
      </c>
      <c r="W14" s="26">
        <f>现金流量表!W13</f>
        <v>414361128</v>
      </c>
      <c r="X14" s="26">
        <f>现金流量表!X13</f>
        <v>109174194.39</v>
      </c>
      <c r="Y14" s="26">
        <f>现金流量表!Y13</f>
        <v>816946079</v>
      </c>
      <c r="Z14" s="26">
        <f>现金流量表!Z13</f>
        <v>341863286</v>
      </c>
      <c r="AA14" s="26">
        <f>现金流量表!AA13</f>
        <v>197831815</v>
      </c>
      <c r="AB14" s="26">
        <f>现金流量表!AB13</f>
        <v>288395785.77999997</v>
      </c>
      <c r="AC14" s="26">
        <f>现金流量表!AC13</f>
        <v>532957245</v>
      </c>
      <c r="AD14" s="26">
        <f>现金流量表!AD13</f>
        <v>261056152.16</v>
      </c>
      <c r="AE14" s="26">
        <f>现金流量表!AE13</f>
        <v>109353102</v>
      </c>
      <c r="AF14" s="26">
        <f>现金流量表!AF13</f>
        <v>4982906.4400000004</v>
      </c>
      <c r="AG14" s="26">
        <f>现金流量表!AG13</f>
        <v>355446353</v>
      </c>
      <c r="AH14" s="26">
        <f>现金流量表!AH13</f>
        <v>144210853.19</v>
      </c>
      <c r="AI14" s="26">
        <f>现金流量表!AI13</f>
        <v>138627524.66999999</v>
      </c>
      <c r="AJ14" s="26">
        <f>现金流量表!AJ13</f>
        <v>1057522.51</v>
      </c>
      <c r="AK14" s="26">
        <f>现金流量表!AK13</f>
        <v>436077993.11000001</v>
      </c>
      <c r="AL14" s="26">
        <f>现金流量表!AL13</f>
        <v>294444229.56999999</v>
      </c>
      <c r="AM14" s="26">
        <f>现金流量表!AM13</f>
        <v>153860936.88</v>
      </c>
      <c r="AN14" s="26">
        <f>现金流量表!AN13</f>
        <v>52594408.520000003</v>
      </c>
      <c r="AO14" s="26">
        <f>现金流量表!AO13</f>
        <v>223496679.47</v>
      </c>
      <c r="AP14" s="26">
        <f>现金流量表!AP13</f>
        <v>206946646.78999999</v>
      </c>
      <c r="AQ14" s="26">
        <f>现金流量表!AQ13</f>
        <v>143511394.87</v>
      </c>
      <c r="AR14" s="26">
        <f>现金流量表!AR13</f>
        <v>-22899869.550000001</v>
      </c>
      <c r="AS14" s="26">
        <f>现金流量表!AS13</f>
        <v>118042250.03</v>
      </c>
      <c r="AT14" s="26">
        <f>现金流量表!AT13</f>
        <v>61401203.799999997</v>
      </c>
      <c r="AU14" s="26">
        <f>现金流量表!AU13</f>
        <v>87685297.340000004</v>
      </c>
      <c r="AV14" s="26">
        <f>现金流量表!AV13</f>
        <v>53065571.369999997</v>
      </c>
      <c r="AW14" s="26">
        <f>现金流量表!AW13</f>
        <v>219506457.56</v>
      </c>
      <c r="AX14" s="26">
        <f>现金流量表!AX13</f>
        <v>211168355.78999999</v>
      </c>
      <c r="AY14" s="26">
        <f>现金流量表!AY13</f>
        <v>85142670.299999997</v>
      </c>
      <c r="AZ14" s="26">
        <f>现金流量表!AZ13</f>
        <v>88130296.239999995</v>
      </c>
      <c r="BA14" s="26">
        <f>现金流量表!BA13</f>
        <v>102726880.20999999</v>
      </c>
      <c r="BB14" s="26">
        <f>现金流量表!BB13</f>
        <v>98473063.219999999</v>
      </c>
      <c r="BC14" s="26">
        <f>现金流量表!BC13</f>
        <v>50520858.369999997</v>
      </c>
      <c r="BD14" s="26">
        <f>现金流量表!BD13</f>
        <v>-10636226.23</v>
      </c>
      <c r="BE14" s="26">
        <f>现金流量表!BE13</f>
        <v>38807863.270000003</v>
      </c>
      <c r="BF14" s="26">
        <f>现金流量表!BF13</f>
        <v>-13519325.689999999</v>
      </c>
      <c r="BG14" s="26">
        <f>现金流量表!BG13</f>
        <v>2352091.84</v>
      </c>
      <c r="BH14" s="26">
        <f>现金流量表!BH13</f>
        <v>38403963.600000001</v>
      </c>
      <c r="BI14" s="26">
        <f>现金流量表!BI13</f>
        <v>430419.51</v>
      </c>
      <c r="BJ14" s="26">
        <f>现金流量表!BJ13</f>
        <v>557307.22</v>
      </c>
      <c r="BK14" s="26">
        <f>现金流量表!BK13</f>
        <v>-5721360.2300000004</v>
      </c>
      <c r="BL14" s="26">
        <f>现金流量表!BL13</f>
        <v>10138851.73</v>
      </c>
      <c r="BM14" s="26">
        <f>现金流量表!BM13</f>
        <v>47598866.020000003</v>
      </c>
      <c r="BN14" s="26">
        <f>现金流量表!BN13</f>
        <v>23880562.329999998</v>
      </c>
      <c r="BO14" s="26">
        <f>现金流量表!BO13</f>
        <v>79034723.510000005</v>
      </c>
      <c r="BP14" s="26">
        <f>现金流量表!BP13</f>
        <v>20794545.300000001</v>
      </c>
      <c r="BQ14" s="26">
        <f>现金流量表!BQ13</f>
        <v>9323546.5399999991</v>
      </c>
      <c r="BR14" s="26">
        <f>现金流量表!BR13</f>
        <v>4438197.21</v>
      </c>
      <c r="BS14" s="26">
        <f>现金流量表!BS13</f>
        <v>-22939163.289999999</v>
      </c>
      <c r="BT14" s="26">
        <f>现金流量表!BT13</f>
        <v>9646307.7599999998</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c r="A15" s="17" t="s">
        <v>497</v>
      </c>
      <c r="E15" s="26">
        <f>股权价值增加表!E17</f>
        <v>406746924.21593702</v>
      </c>
      <c r="F15" s="26">
        <f>股权价值增加表!F17</f>
        <v>902402234.2797358</v>
      </c>
      <c r="G15" s="26">
        <f>股权价值增加表!G17</f>
        <v>544473266.12570262</v>
      </c>
      <c r="H15" s="26">
        <f>股权价值增加表!H17</f>
        <v>286526652.02170008</v>
      </c>
      <c r="I15" s="26">
        <f>股权价值增加表!I17</f>
        <v>465865913.45171851</v>
      </c>
      <c r="J15" s="26">
        <f>股权价值增加表!J17</f>
        <v>378604029.75899744</v>
      </c>
      <c r="K15" s="26">
        <f>股权价值增加表!K17</f>
        <v>272812751.17651552</v>
      </c>
      <c r="L15" s="26">
        <f>股权价值增加表!L17</f>
        <v>132277579.43007907</v>
      </c>
      <c r="M15" s="26">
        <f>股权价值增加表!M17</f>
        <v>555565197.56197929</v>
      </c>
      <c r="N15" s="26">
        <f>股权价值增加表!N17</f>
        <v>365270948.87189913</v>
      </c>
      <c r="O15" s="26">
        <f>股权价值增加表!O17</f>
        <v>301106264.83988869</v>
      </c>
      <c r="P15" s="26">
        <f>股权价值增加表!P17</f>
        <v>167322476.57173875</v>
      </c>
      <c r="Q15" s="26">
        <f>股权价值增加表!Q17</f>
        <v>845888729.21588802</v>
      </c>
      <c r="R15" s="26">
        <f>股权价值增加表!R17</f>
        <v>488915451.77126336</v>
      </c>
      <c r="S15" s="26">
        <f>股权价值增加表!S17</f>
        <v>185818857.5159927</v>
      </c>
      <c r="T15" s="26">
        <f>股权价值增加表!T17</f>
        <v>83704395.46624209</v>
      </c>
      <c r="U15" s="26">
        <f>股权价值增加表!U17</f>
        <v>359042060.08823431</v>
      </c>
      <c r="V15" s="26">
        <f>股权价值增加表!V17</f>
        <v>291138682.70713544</v>
      </c>
      <c r="W15" s="26">
        <f>股权价值增加表!W17</f>
        <v>118742575.60274661</v>
      </c>
      <c r="X15" s="26">
        <f>股权价值增加表!X17</f>
        <v>21950597.72742334</v>
      </c>
      <c r="Y15" s="26">
        <f>股权价值增加表!Y17</f>
        <v>290956842.01437891</v>
      </c>
      <c r="Z15" s="26">
        <f>股权价值增加表!Z17</f>
        <v>261056755.62083575</v>
      </c>
      <c r="AA15" s="26">
        <f>股权价值增加表!AA17</f>
        <v>144783733.78154743</v>
      </c>
      <c r="AB15" s="26">
        <f>股权价值增加表!AB17</f>
        <v>15905132.22664981</v>
      </c>
      <c r="AC15" s="26">
        <f>股权价值增加表!AC17</f>
        <v>384571284.28996211</v>
      </c>
      <c r="AD15" s="26">
        <f>股权价值增加表!AD17</f>
        <v>183276416.66834313</v>
      </c>
      <c r="AE15" s="26">
        <f>股权价值增加表!AE17</f>
        <v>126851729.96085526</v>
      </c>
      <c r="AF15" s="26">
        <f>股权价值增加表!AF17</f>
        <v>36492960.108880259</v>
      </c>
      <c r="AG15" s="26">
        <f>股权价值增加表!AG17</f>
        <v>230409965.00977856</v>
      </c>
      <c r="AH15" s="26">
        <f>股权价值增加表!AH17</f>
        <v>196127074.88418639</v>
      </c>
      <c r="AI15" s="26">
        <f>股权价值增加表!AI17</f>
        <v>114784786.39112578</v>
      </c>
      <c r="AJ15" s="26">
        <f>股权价值增加表!AJ17</f>
        <v>28077474.613805059</v>
      </c>
      <c r="AK15" s="26">
        <f>股权价值增加表!AK17</f>
        <v>-187398164.35087103</v>
      </c>
      <c r="AL15" s="26">
        <f>股权价值增加表!AL17</f>
        <v>-108780236.59110314</v>
      </c>
      <c r="AM15" s="26">
        <f>股权价值增加表!AM17</f>
        <v>-125445333.00908056</v>
      </c>
      <c r="AN15" s="26">
        <f>股权价值增加表!AN17</f>
        <v>-79348977.804041222</v>
      </c>
      <c r="AO15" s="26">
        <f>股权价值增加表!AO17</f>
        <v>-68163972.814109012</v>
      </c>
      <c r="AP15" s="26">
        <f>股权价值增加表!AP17</f>
        <v>1625786.3575294116</v>
      </c>
      <c r="AQ15" s="26">
        <f>股权价值增加表!AQ17</f>
        <v>13701082.613251144</v>
      </c>
      <c r="AR15" s="26">
        <f>股权价值增加表!AR17</f>
        <v>15164840.880997898</v>
      </c>
      <c r="AS15" s="26">
        <f>股权价值增加表!AS17</f>
        <v>105821004.68961146</v>
      </c>
      <c r="AT15" s="26">
        <f>股权价值增加表!AT17</f>
        <v>84368102.442169949</v>
      </c>
      <c r="AU15" s="26">
        <f>股权价值增加表!AU17</f>
        <v>55394636.749334246</v>
      </c>
      <c r="AV15" s="26">
        <f>股权价值增加表!AV17</f>
        <v>21318171.182774231</v>
      </c>
      <c r="AW15" s="26">
        <f>股权价值增加表!AW17</f>
        <v>124377465.60086913</v>
      </c>
      <c r="AX15" s="26">
        <f>股权价值增加表!AX17</f>
        <v>93650462.214866966</v>
      </c>
      <c r="AY15" s="26">
        <f>股权价值增加表!AY17</f>
        <v>53051492.241214298</v>
      </c>
      <c r="AZ15" s="26">
        <f>股权价值增加表!AZ17</f>
        <v>18688042.072993647</v>
      </c>
      <c r="BA15" s="26">
        <f>股权价值增加表!BA17</f>
        <v>74266289.460566685</v>
      </c>
      <c r="BB15" s="26">
        <f>股权价值增加表!BB17</f>
        <v>55542401.90799544</v>
      </c>
      <c r="BC15" s="26">
        <f>股权价值增加表!BC17</f>
        <v>43938819.182859212</v>
      </c>
      <c r="BD15" s="26">
        <f>股权价值增加表!BD17</f>
        <v>17197203.011238184</v>
      </c>
      <c r="BE15" s="26">
        <f>股权价值增加表!BE17</f>
        <v>111239509.55934747</v>
      </c>
      <c r="BF15" s="26">
        <f>股权价值增加表!BF17</f>
        <v>58026336.445437618</v>
      </c>
      <c r="BG15" s="26">
        <f>股权价值增加表!BG17</f>
        <v>42192781.825825959</v>
      </c>
      <c r="BH15" s="26">
        <f>股权价值增加表!BH17</f>
        <v>15242783.316045642</v>
      </c>
      <c r="BI15" s="26">
        <f>股权价值增加表!BI17</f>
        <v>58945243.950656727</v>
      </c>
      <c r="BJ15" s="26">
        <f>股权价值增加表!BJ17</f>
        <v>35834360.362321883</v>
      </c>
      <c r="BK15" s="26">
        <f>股权价值增加表!BK17</f>
        <v>26385693.197464626</v>
      </c>
      <c r="BL15" s="26">
        <f>股权价值增加表!BL17</f>
        <v>14469200.470061118</v>
      </c>
      <c r="BM15" s="26">
        <f>股权价值增加表!BM17</f>
        <v>-17578958.691503592</v>
      </c>
      <c r="BN15" s="26">
        <f>股权价值增加表!BN17</f>
        <v>6544641.885231805</v>
      </c>
      <c r="BO15" s="26">
        <f>股权价值增加表!BO17</f>
        <v>16247141.115334857</v>
      </c>
      <c r="BP15" s="26">
        <f>股权价值增加表!BP17</f>
        <v>8255540.7192892861</v>
      </c>
      <c r="BQ15" s="26">
        <f>股权价值增加表!BQ17</f>
        <v>18948426.630417634</v>
      </c>
      <c r="BR15" s="26">
        <f>股权价值增加表!BR17</f>
        <v>19574648.414641917</v>
      </c>
      <c r="BS15" s="26">
        <f>股权价值增加表!BS17</f>
        <v>34496217.437620215</v>
      </c>
      <c r="BT15" s="26">
        <f>股权价值增加表!BT17</f>
        <v>17330390.898583587</v>
      </c>
      <c r="BU15" s="26">
        <f>股权价值增加表!BU17</f>
        <v>22795480.073587801</v>
      </c>
      <c r="BV15" s="26">
        <f>股权价值增加表!BV17</f>
        <v>10417314.950530024</v>
      </c>
      <c r="BW15" s="26">
        <f>股权价值增加表!BW17</f>
        <v>25023335.192204256</v>
      </c>
      <c r="BX15" s="26">
        <f>股权价值增加表!BX17</f>
        <v>13663113.940776685</v>
      </c>
      <c r="BY15" s="26">
        <f>股权价值增加表!BY17</f>
        <v>40327222.896910556</v>
      </c>
      <c r="BZ15" s="26">
        <f>股权价值增加表!BZ17</f>
        <v>102088102.5561194</v>
      </c>
      <c r="CA15" s="26">
        <f>股权价值增加表!CA17</f>
        <v>14531749.316197362</v>
      </c>
      <c r="CB15" s="26">
        <f>股权价值增加表!CB17</f>
        <v>64552337.00506103</v>
      </c>
      <c r="CC15" s="26">
        <f>股权价值增加表!CC17</f>
        <v>33805960.573324539</v>
      </c>
      <c r="CD15" s="26">
        <f>股权价值增加表!CD17</f>
        <v>71470000</v>
      </c>
      <c r="CE15" s="26">
        <f>股权价值增加表!CE17</f>
        <v>34343555.175703384</v>
      </c>
      <c r="CF15" s="26">
        <f>股权价值增加表!CF17</f>
        <v>23362974.873189084</v>
      </c>
      <c r="CG15" s="26">
        <f>股权价值增加表!CG17</f>
        <v>31780600</v>
      </c>
      <c r="CH15" s="26">
        <f>股权价值增加表!CH17</f>
        <v>15431400</v>
      </c>
      <c r="CI15" s="26" t="e">
        <f>股权价值增加表!CI17</f>
        <v>#DIV/0!</v>
      </c>
      <c r="CJ15" s="26" t="e">
        <f>股权价值增加表!CJ17</f>
        <v>#DIV/0!</v>
      </c>
      <c r="CK15" s="26">
        <f>股权价值增加表!CK17</f>
        <v>0</v>
      </c>
    </row>
    <row r="16" spans="1:90" s="28" customFormat="1">
      <c r="A16" s="20" t="s">
        <v>498</v>
      </c>
      <c r="E16" s="28">
        <f>E14/E15</f>
        <v>4.7233384387685167</v>
      </c>
      <c r="F16" s="28">
        <f t="shared" ref="F16:BQ16" si="8">F14/F15</f>
        <v>1.436713050499939</v>
      </c>
      <c r="G16" s="28">
        <f t="shared" si="8"/>
        <v>-0.2456586968020576</v>
      </c>
      <c r="H16" s="28">
        <f t="shared" si="8"/>
        <v>-3.2523350804707132</v>
      </c>
      <c r="I16" s="28">
        <f t="shared" si="8"/>
        <v>2.1049125087183018</v>
      </c>
      <c r="J16" s="28">
        <f t="shared" si="8"/>
        <v>-1.1003792512065818</v>
      </c>
      <c r="K16" s="28">
        <f t="shared" si="8"/>
        <v>-5.7883064086629661</v>
      </c>
      <c r="L16" s="28">
        <f t="shared" si="8"/>
        <v>-7.6548392900947624</v>
      </c>
      <c r="M16" s="28">
        <f t="shared" si="8"/>
        <v>8.0262011543704403</v>
      </c>
      <c r="N16" s="28">
        <f t="shared" si="8"/>
        <v>4.5715887202286778</v>
      </c>
      <c r="O16" s="28">
        <f t="shared" si="8"/>
        <v>2.7789449430583604</v>
      </c>
      <c r="P16" s="28">
        <f t="shared" si="8"/>
        <v>4.0855762296041913</v>
      </c>
      <c r="Q16" s="28">
        <f t="shared" si="8"/>
        <v>1.6381395461841475</v>
      </c>
      <c r="R16" s="28">
        <f t="shared" si="8"/>
        <v>2.0785755547268865</v>
      </c>
      <c r="S16" s="28">
        <f t="shared" si="8"/>
        <v>0.73865291625844243</v>
      </c>
      <c r="T16" s="28">
        <f t="shared" si="8"/>
        <v>-1.5753755683377628</v>
      </c>
      <c r="U16" s="28">
        <f t="shared" si="8"/>
        <v>3.9596678886329402</v>
      </c>
      <c r="V16" s="28">
        <f t="shared" si="8"/>
        <v>1.4553714884607991</v>
      </c>
      <c r="W16" s="28">
        <f t="shared" si="8"/>
        <v>3.4895750399270899</v>
      </c>
      <c r="X16" s="28">
        <f t="shared" si="8"/>
        <v>4.9736319596257008</v>
      </c>
      <c r="Y16" s="28">
        <f t="shared" si="8"/>
        <v>2.8077912632816759</v>
      </c>
      <c r="Z16" s="28">
        <f t="shared" si="8"/>
        <v>1.3095362546239919</v>
      </c>
      <c r="AA16" s="28">
        <f t="shared" si="8"/>
        <v>1.3663953113579221</v>
      </c>
      <c r="AB16" s="28">
        <f t="shared" si="8"/>
        <v>18.132246979800584</v>
      </c>
      <c r="AC16" s="28">
        <f t="shared" si="8"/>
        <v>1.3858477394743718</v>
      </c>
      <c r="AD16" s="28">
        <f t="shared" si="8"/>
        <v>1.4243848548851052</v>
      </c>
      <c r="AE16" s="28">
        <f t="shared" si="8"/>
        <v>0.86205447914462729</v>
      </c>
      <c r="AF16" s="28">
        <f t="shared" si="8"/>
        <v>0.13654432046983911</v>
      </c>
      <c r="AG16" s="28">
        <f t="shared" si="8"/>
        <v>1.5426691852711967</v>
      </c>
      <c r="AH16" s="28">
        <f t="shared" si="8"/>
        <v>0.73529293839291143</v>
      </c>
      <c r="AI16" s="28">
        <f t="shared" si="8"/>
        <v>1.2077168850376283</v>
      </c>
      <c r="AJ16" s="28">
        <f t="shared" si="8"/>
        <v>3.7664445415615838E-2</v>
      </c>
      <c r="AK16" s="28">
        <f t="shared" si="8"/>
        <v>-2.3270131520259638</v>
      </c>
      <c r="AL16" s="28">
        <f t="shared" si="8"/>
        <v>-2.706780558648664</v>
      </c>
      <c r="AM16" s="28">
        <f t="shared" si="8"/>
        <v>-1.2265178240537855</v>
      </c>
      <c r="AN16" s="28">
        <f t="shared" si="8"/>
        <v>-0.6628240208700128</v>
      </c>
      <c r="AO16" s="28">
        <f t="shared" si="8"/>
        <v>-3.2788094684489875</v>
      </c>
      <c r="AP16" s="28">
        <f t="shared" si="8"/>
        <v>127.29018535035664</v>
      </c>
      <c r="AQ16" s="28">
        <f t="shared" si="8"/>
        <v>10.474456575511885</v>
      </c>
      <c r="AR16" s="28">
        <f t="shared" si="8"/>
        <v>-1.510063292434171</v>
      </c>
      <c r="AS16" s="28">
        <f t="shared" si="8"/>
        <v>1.1154897874598266</v>
      </c>
      <c r="AT16" s="28">
        <f t="shared" si="8"/>
        <v>0.72777746592187975</v>
      </c>
      <c r="AU16" s="28">
        <f t="shared" si="8"/>
        <v>1.5829203418515754</v>
      </c>
      <c r="AV16" s="28">
        <f t="shared" si="8"/>
        <v>2.4892178093062078</v>
      </c>
      <c r="AW16" s="28">
        <f t="shared" si="8"/>
        <v>1.7648410546039146</v>
      </c>
      <c r="AX16" s="28">
        <f t="shared" si="8"/>
        <v>2.2548565249523898</v>
      </c>
      <c r="AY16" s="28">
        <f t="shared" si="8"/>
        <v>1.6049062279506421</v>
      </c>
      <c r="AZ16" s="28">
        <f t="shared" si="8"/>
        <v>4.7158656800841818</v>
      </c>
      <c r="BA16" s="28">
        <f t="shared" si="8"/>
        <v>1.3832235453818531</v>
      </c>
      <c r="BB16" s="28">
        <f t="shared" si="8"/>
        <v>1.7729349080566967</v>
      </c>
      <c r="BC16" s="28">
        <f t="shared" si="8"/>
        <v>1.1498000927095573</v>
      </c>
      <c r="BD16" s="28">
        <f t="shared" si="8"/>
        <v>-0.61848582138905628</v>
      </c>
      <c r="BE16" s="28">
        <f t="shared" si="8"/>
        <v>0.34886762287724393</v>
      </c>
      <c r="BF16" s="28">
        <f t="shared" si="8"/>
        <v>-0.23298602872701213</v>
      </c>
      <c r="BG16" s="28">
        <f t="shared" si="8"/>
        <v>5.5746308686390002E-2</v>
      </c>
      <c r="BH16" s="28">
        <f t="shared" si="8"/>
        <v>2.5194849788078564</v>
      </c>
      <c r="BI16" s="28">
        <f t="shared" si="8"/>
        <v>7.3020227104379394E-3</v>
      </c>
      <c r="BJ16" s="28">
        <f t="shared" si="8"/>
        <v>1.5552313878776022E-2</v>
      </c>
      <c r="BK16" s="28">
        <f t="shared" si="8"/>
        <v>-0.21683569907307798</v>
      </c>
      <c r="BL16" s="28">
        <f t="shared" si="8"/>
        <v>0.70071955606522696</v>
      </c>
      <c r="BM16" s="28">
        <f t="shared" si="8"/>
        <v>-2.7077181791778075</v>
      </c>
      <c r="BN16" s="28">
        <f t="shared" si="8"/>
        <v>3.6488722757905601</v>
      </c>
      <c r="BO16" s="28">
        <f t="shared" si="8"/>
        <v>4.8645311165176697</v>
      </c>
      <c r="BP16" s="28">
        <f t="shared" si="8"/>
        <v>2.5188592736770112</v>
      </c>
      <c r="BQ16" s="28">
        <f t="shared" si="8"/>
        <v>0.49204858650549094</v>
      </c>
      <c r="BR16" s="28">
        <f t="shared" ref="BR16:CL16" si="9">BR14/BR15</f>
        <v>0.22673189913746855</v>
      </c>
      <c r="BS16" s="28">
        <f t="shared" si="9"/>
        <v>-0.66497619141811914</v>
      </c>
      <c r="BT16" s="28">
        <f t="shared" si="9"/>
        <v>0.55661224356966998</v>
      </c>
      <c r="BU16" s="28">
        <f t="shared" si="9"/>
        <v>0</v>
      </c>
      <c r="BV16" s="28">
        <f t="shared" si="9"/>
        <v>0</v>
      </c>
      <c r="BW16" s="28">
        <f t="shared" si="9"/>
        <v>0</v>
      </c>
      <c r="BX16" s="28">
        <f t="shared" si="9"/>
        <v>0</v>
      </c>
      <c r="BY16" s="28">
        <f t="shared" si="9"/>
        <v>0</v>
      </c>
      <c r="BZ16" s="28">
        <f t="shared" si="9"/>
        <v>0</v>
      </c>
      <c r="CA16" s="28">
        <f t="shared" si="9"/>
        <v>0</v>
      </c>
      <c r="CB16" s="28">
        <f t="shared" si="9"/>
        <v>0</v>
      </c>
      <c r="CC16" s="28">
        <f t="shared" si="9"/>
        <v>0</v>
      </c>
      <c r="CD16" s="28">
        <f t="shared" si="9"/>
        <v>0</v>
      </c>
      <c r="CE16" s="28">
        <f t="shared" si="9"/>
        <v>0</v>
      </c>
      <c r="CF16" s="28">
        <f t="shared" si="9"/>
        <v>0</v>
      </c>
      <c r="CG16" s="28">
        <f t="shared" si="9"/>
        <v>0</v>
      </c>
      <c r="CH16" s="28">
        <f t="shared" si="9"/>
        <v>0</v>
      </c>
      <c r="CI16" s="28" t="e">
        <f t="shared" si="9"/>
        <v>#DIV/0!</v>
      </c>
      <c r="CJ16" s="28" t="e">
        <f t="shared" si="9"/>
        <v>#DIV/0!</v>
      </c>
      <c r="CK16" s="28" t="e">
        <f t="shared" si="9"/>
        <v>#DIV/0!</v>
      </c>
      <c r="CL16" s="28" t="e">
        <f t="shared" si="9"/>
        <v>#DIV/0!</v>
      </c>
    </row>
    <row r="17" spans="1:90" s="26" customFormat="1">
      <c r="A17" s="17" t="s">
        <v>499</v>
      </c>
      <c r="E17" s="26">
        <f>股权价值增加表!E42</f>
        <v>161131020.41000038</v>
      </c>
      <c r="F17" s="26">
        <f>股权价值增加表!F42</f>
        <v>752732959.83999944</v>
      </c>
      <c r="G17" s="26">
        <f>股权价值增加表!G42</f>
        <v>456877446.07000053</v>
      </c>
      <c r="H17" s="26">
        <f>股权价值增加表!H42</f>
        <v>240640790.28</v>
      </c>
      <c r="I17" s="26">
        <f>股权价值增加表!I42</f>
        <v>753582504.31000066</v>
      </c>
      <c r="J17" s="26">
        <f>股权价值增加表!J42</f>
        <v>445222487.8399995</v>
      </c>
      <c r="K17" s="26">
        <f>股权价值增加表!K42</f>
        <v>335470306</v>
      </c>
      <c r="L17" s="26">
        <f>股权价值增加表!L42</f>
        <v>116871823.19999996</v>
      </c>
      <c r="M17" s="26">
        <f>股权价值增加表!M42</f>
        <v>623357770</v>
      </c>
      <c r="N17" s="26">
        <f>股权价值增加表!N42</f>
        <v>347335286.77999997</v>
      </c>
      <c r="O17" s="26">
        <f>股权价值增加表!O42</f>
        <v>248593188</v>
      </c>
      <c r="P17" s="26">
        <f>股权价值增加表!P42</f>
        <v>134772143.96999994</v>
      </c>
      <c r="Q17" s="26">
        <f>股权价值增加表!Q42</f>
        <v>623503911</v>
      </c>
      <c r="R17" s="26">
        <f>股权价值增加表!R42</f>
        <v>384865672.84999996</v>
      </c>
      <c r="S17" s="26">
        <f>股权价值增加表!S42</f>
        <v>139047070</v>
      </c>
      <c r="T17" s="26">
        <f>股权价值增加表!T42</f>
        <v>57804575.410000056</v>
      </c>
      <c r="U17" s="26">
        <f>股权价值增加表!U42</f>
        <v>248822557</v>
      </c>
      <c r="V17" s="26">
        <f>股权价值增加表!V42</f>
        <v>198140255</v>
      </c>
      <c r="W17" s="26">
        <f>股权价值增加表!W42</f>
        <v>22325046</v>
      </c>
      <c r="X17" s="26">
        <f>股权价值增加表!X42</f>
        <v>-16853865.349999994</v>
      </c>
      <c r="Y17" s="26">
        <f>股权价值增加表!Y42</f>
        <v>125692345</v>
      </c>
      <c r="Z17" s="26">
        <f>股权价值增加表!Z42</f>
        <v>130701944</v>
      </c>
      <c r="AA17" s="26">
        <f>股权价值增加表!AA42</f>
        <v>37420463</v>
      </c>
      <c r="AB17" s="26">
        <f>股权价值增加表!AB42</f>
        <v>-22175537.159999982</v>
      </c>
      <c r="AC17" s="26">
        <f>股权价值增加表!AC42</f>
        <v>310309448</v>
      </c>
      <c r="AD17" s="26">
        <f>股权价值增加表!AD42</f>
        <v>58541941.169999748</v>
      </c>
      <c r="AE17" s="26">
        <f>股权价值增加表!AE42</f>
        <v>68005293</v>
      </c>
      <c r="AF17" s="26">
        <f>股权价值增加表!AF42</f>
        <v>-7372458.9699999345</v>
      </c>
      <c r="AG17" s="26">
        <f>股权价值增加表!AG42</f>
        <v>137824385</v>
      </c>
      <c r="AH17" s="26">
        <f>股权价值增加表!AH42</f>
        <v>146956738.84000015</v>
      </c>
      <c r="AI17" s="26">
        <f>股权价值增加表!AI42</f>
        <v>80672938.300000057</v>
      </c>
      <c r="AJ17" s="26">
        <f>股权价值增加表!AJ42</f>
        <v>13433499.680000054</v>
      </c>
      <c r="AK17" s="26">
        <f>股权价值增加表!AK42</f>
        <v>-301409692.48999989</v>
      </c>
      <c r="AL17" s="26">
        <f>股权价值增加表!AL42</f>
        <v>-199962614.33000004</v>
      </c>
      <c r="AM17" s="26">
        <f>股权价值增加表!AM42</f>
        <v>-188033704.14000002</v>
      </c>
      <c r="AN17" s="26">
        <f>股权价值增加表!AN42</f>
        <v>-110472391.56</v>
      </c>
      <c r="AO17" s="26">
        <f>股权价值增加表!AO42</f>
        <v>-47265105.90000008</v>
      </c>
      <c r="AP17" s="26">
        <f>股权价值增加表!AP42</f>
        <v>39999039.629999928</v>
      </c>
      <c r="AQ17" s="26">
        <f>股权价值增加表!AQ42</f>
        <v>48233451.900000066</v>
      </c>
      <c r="AR17" s="26">
        <f>股权价值增加表!AR42</f>
        <v>12916233.240000019</v>
      </c>
      <c r="AS17" s="26">
        <f>股权价值增加表!AS42</f>
        <v>90676835.110000029</v>
      </c>
      <c r="AT17" s="26">
        <f>股权价值增加表!AT42</f>
        <v>70670445.320000023</v>
      </c>
      <c r="AU17" s="26">
        <f>股权价值增加表!AU42</f>
        <v>46160494.679999977</v>
      </c>
      <c r="AV17" s="26">
        <f>股权价值增加表!AV42</f>
        <v>16952229.090000011</v>
      </c>
      <c r="AW17" s="26">
        <f>股权价值增加表!AW42</f>
        <v>92752021.490000129</v>
      </c>
      <c r="AX17" s="26">
        <f>股权价值增加表!AX42</f>
        <v>72492836.650000006</v>
      </c>
      <c r="AY17" s="26">
        <f>股权价值增加表!AY42</f>
        <v>42341220.449999981</v>
      </c>
      <c r="AZ17" s="26">
        <f>股权价值增加表!AZ42</f>
        <v>13308166.870000007</v>
      </c>
      <c r="BA17" s="26">
        <f>股权价值增加表!BA42</f>
        <v>51162295.779999979</v>
      </c>
      <c r="BB17" s="26">
        <f>股权价值增加表!BB42</f>
        <v>37550803.640000015</v>
      </c>
      <c r="BC17" s="26">
        <f>股权价值增加表!BC42</f>
        <v>30765659.790000048</v>
      </c>
      <c r="BD17" s="26">
        <f>股权价值增加表!BD42</f>
        <v>11059286.109999992</v>
      </c>
      <c r="BE17" s="26">
        <f>股权价值增加表!BE42</f>
        <v>91550567.049999997</v>
      </c>
      <c r="BF17" s="26">
        <f>股权价值增加表!BF42</f>
        <v>46095249.959999993</v>
      </c>
      <c r="BG17" s="26">
        <f>股权价值增加表!BG42</f>
        <v>34395065.939999998</v>
      </c>
      <c r="BH17" s="26">
        <f>股权价值增加表!BH42</f>
        <v>10794130.919999983</v>
      </c>
      <c r="BI17" s="26">
        <f>股权价值增加表!BI42</f>
        <v>43393903.270000055</v>
      </c>
      <c r="BJ17" s="26">
        <f>股权价值增加表!BJ42</f>
        <v>25276362.220000032</v>
      </c>
      <c r="BK17" s="26">
        <f>股权价值增加表!BK42</f>
        <v>19006326.589999981</v>
      </c>
      <c r="BL17" s="26">
        <f>股权价值增加表!BL42</f>
        <v>10538941.52</v>
      </c>
      <c r="BM17" s="26">
        <f>股权价值增加表!BM42</f>
        <v>-30977587.249999963</v>
      </c>
      <c r="BN17" s="26">
        <f>股权价值增加表!BN42</f>
        <v>3245852.689999986</v>
      </c>
      <c r="BO17" s="26">
        <f>股权价值增加表!BO42</f>
        <v>13786142.619999986</v>
      </c>
      <c r="BP17" s="26">
        <f>股权价值增加表!BP42</f>
        <v>7531716.4299999941</v>
      </c>
      <c r="BQ17" s="26">
        <f>股权价值增加表!BQ42</f>
        <v>14820809.820000032</v>
      </c>
      <c r="BR17" s="26">
        <f>股权价值增加表!BR42</f>
        <v>15252762.859999983</v>
      </c>
      <c r="BS17" s="26">
        <f>股权价值增加表!BS42</f>
        <v>30503088.039999992</v>
      </c>
      <c r="BT17" s="26">
        <f>股权价值增加表!BT42</f>
        <v>14961717.44999999</v>
      </c>
      <c r="BU17" s="26">
        <f>股权价值增加表!BU42</f>
        <v>21071820.530000012</v>
      </c>
      <c r="BV17" s="26">
        <f>股权价值增加表!BV42</f>
        <v>10098753.440000009</v>
      </c>
      <c r="BW17" s="26">
        <f>股权价值增加表!BW42</f>
        <v>26164233.669999998</v>
      </c>
      <c r="BX17" s="26">
        <f>股权价值增加表!BX42</f>
        <v>14838421.909999993</v>
      </c>
      <c r="BY17" s="26">
        <f>股权价值增加表!BY42</f>
        <v>40228801.099999987</v>
      </c>
      <c r="BZ17" s="26">
        <f>股权价值增加表!BZ42</f>
        <v>102503630.34999999</v>
      </c>
      <c r="CA17" s="26">
        <f>股权价值增加表!CA42</f>
        <v>16583117.229999991</v>
      </c>
      <c r="CB17" s="26">
        <f>股权价值增加表!CB42</f>
        <v>66360000</v>
      </c>
      <c r="CC17" s="26">
        <f>股权价值增加表!CC42</f>
        <v>26625379.749999981</v>
      </c>
      <c r="CD17" s="26">
        <f>股权价值增加表!CD42</f>
        <v>71470000</v>
      </c>
      <c r="CE17" s="26">
        <f>股权价值增加表!CE42</f>
        <v>30533343.110000007</v>
      </c>
      <c r="CF17" s="26">
        <f>股权价值增加表!CF42</f>
        <v>19138092.260000005</v>
      </c>
      <c r="CG17" s="26">
        <f>股权价值增加表!CG42</f>
        <v>31780600</v>
      </c>
      <c r="CH17" s="26">
        <f>股权价值增加表!CH42</f>
        <v>15431400</v>
      </c>
      <c r="CI17" s="26">
        <f>股权价值增加表!CI42</f>
        <v>0</v>
      </c>
      <c r="CJ17" s="26">
        <f>股权价值增加表!CJ42</f>
        <v>-3630000</v>
      </c>
      <c r="CK17" s="26">
        <f>股权价值增加表!CK42</f>
        <v>0</v>
      </c>
      <c r="CL17" s="26">
        <f>股权价值增加表!CL42</f>
        <v>0</v>
      </c>
    </row>
    <row r="18" spans="1:90" s="28" customFormat="1">
      <c r="A18" s="20" t="s">
        <v>500</v>
      </c>
      <c r="E18" s="28">
        <f>E14/E17</f>
        <v>11.923237233348788</v>
      </c>
      <c r="F18" s="28">
        <f t="shared" ref="F18:BQ18" si="10">F14/F17</f>
        <v>1.7223811576758667</v>
      </c>
      <c r="G18" s="28">
        <f t="shared" si="10"/>
        <v>-0.29275814367844016</v>
      </c>
      <c r="H18" s="28">
        <f t="shared" si="10"/>
        <v>-3.8724967648905282</v>
      </c>
      <c r="I18" s="28">
        <f t="shared" si="10"/>
        <v>1.3012602906802737</v>
      </c>
      <c r="J18" s="28">
        <f t="shared" si="10"/>
        <v>-0.93572995558058436</v>
      </c>
      <c r="K18" s="28">
        <f t="shared" si="10"/>
        <v>-4.7071939535536718</v>
      </c>
      <c r="L18" s="28">
        <f t="shared" si="10"/>
        <v>-8.663881374445781</v>
      </c>
      <c r="M18" s="28">
        <f t="shared" si="10"/>
        <v>7.1533206845243944</v>
      </c>
      <c r="N18" s="28">
        <f t="shared" si="10"/>
        <v>4.8076559256925844</v>
      </c>
      <c r="O18" s="28">
        <f t="shared" si="10"/>
        <v>3.3659720876985575</v>
      </c>
      <c r="P18" s="28">
        <f t="shared" si="10"/>
        <v>5.0723295840138167</v>
      </c>
      <c r="Q18" s="28">
        <f t="shared" si="10"/>
        <v>2.2224139328614414</v>
      </c>
      <c r="R18" s="28">
        <f t="shared" si="10"/>
        <v>2.6405257160361999</v>
      </c>
      <c r="S18" s="28">
        <f t="shared" si="10"/>
        <v>0.98711638440133975</v>
      </c>
      <c r="T18" s="28">
        <f t="shared" si="10"/>
        <v>-2.2812356745931139</v>
      </c>
      <c r="U18" s="28">
        <f t="shared" si="10"/>
        <v>5.713659296572537</v>
      </c>
      <c r="V18" s="28">
        <f t="shared" si="10"/>
        <v>2.1384596380982752</v>
      </c>
      <c r="W18" s="28">
        <f t="shared" si="10"/>
        <v>18.560370625888073</v>
      </c>
      <c r="X18" s="28">
        <f t="shared" si="10"/>
        <v>-6.4776947081756555</v>
      </c>
      <c r="Y18" s="28">
        <f t="shared" si="10"/>
        <v>6.4995690787692757</v>
      </c>
      <c r="Z18" s="28">
        <f t="shared" si="10"/>
        <v>2.6155945010274677</v>
      </c>
      <c r="AA18" s="28">
        <f t="shared" si="10"/>
        <v>5.2867281465758458</v>
      </c>
      <c r="AB18" s="28">
        <f t="shared" si="10"/>
        <v>-13.005131902743962</v>
      </c>
      <c r="AC18" s="28">
        <f t="shared" si="10"/>
        <v>1.7175024751421684</v>
      </c>
      <c r="AD18" s="28">
        <f t="shared" si="10"/>
        <v>4.4593012623534278</v>
      </c>
      <c r="AE18" s="28">
        <f t="shared" si="10"/>
        <v>1.6080086883825351</v>
      </c>
      <c r="AF18" s="28">
        <f t="shared" si="10"/>
        <v>-0.67588120331038537</v>
      </c>
      <c r="AG18" s="28">
        <f t="shared" si="10"/>
        <v>2.57898014926749</v>
      </c>
      <c r="AH18" s="28">
        <f t="shared" si="10"/>
        <v>0.98131500690832729</v>
      </c>
      <c r="AI18" s="28">
        <f t="shared" si="10"/>
        <v>1.7183894325812588</v>
      </c>
      <c r="AJ18" s="28">
        <f t="shared" si="10"/>
        <v>7.8722785215415716E-2</v>
      </c>
      <c r="AK18" s="28">
        <f t="shared" si="10"/>
        <v>-1.4467948575491418</v>
      </c>
      <c r="AL18" s="28">
        <f t="shared" si="10"/>
        <v>-1.4724963991722779</v>
      </c>
      <c r="AM18" s="28">
        <f t="shared" si="10"/>
        <v>-0.81826254279096278</v>
      </c>
      <c r="AN18" s="28">
        <f t="shared" si="10"/>
        <v>-0.47608644818225754</v>
      </c>
      <c r="AO18" s="28">
        <f t="shared" si="10"/>
        <v>-4.7285767209081744</v>
      </c>
      <c r="AP18" s="28">
        <f t="shared" si="10"/>
        <v>5.1737903885768963</v>
      </c>
      <c r="AQ18" s="28">
        <f t="shared" si="10"/>
        <v>2.9753498706154144</v>
      </c>
      <c r="AR18" s="28">
        <f t="shared" si="10"/>
        <v>-1.772952618963388</v>
      </c>
      <c r="AS18" s="28">
        <f t="shared" si="10"/>
        <v>1.3017905828627896</v>
      </c>
      <c r="AT18" s="28">
        <f t="shared" si="10"/>
        <v>0.86883850132784157</v>
      </c>
      <c r="AU18" s="28">
        <f t="shared" si="10"/>
        <v>1.8995744726711419</v>
      </c>
      <c r="AV18" s="28">
        <f t="shared" si="10"/>
        <v>3.1303005102321895</v>
      </c>
      <c r="AW18" s="28">
        <f t="shared" si="10"/>
        <v>2.3665948626646984</v>
      </c>
      <c r="AX18" s="28">
        <f t="shared" si="10"/>
        <v>2.9129547904096258</v>
      </c>
      <c r="AY18" s="28">
        <f t="shared" si="10"/>
        <v>2.0108695355284696</v>
      </c>
      <c r="AZ18" s="28">
        <f t="shared" si="10"/>
        <v>6.6222716547587108</v>
      </c>
      <c r="BA18" s="28">
        <f t="shared" si="10"/>
        <v>2.0078629905845098</v>
      </c>
      <c r="BB18" s="28">
        <f t="shared" si="10"/>
        <v>2.6223956260447148</v>
      </c>
      <c r="BC18" s="28">
        <f t="shared" si="10"/>
        <v>1.6421184760816052</v>
      </c>
      <c r="BD18" s="28">
        <f t="shared" si="10"/>
        <v>-0.96174618544162149</v>
      </c>
      <c r="BE18" s="28">
        <f t="shared" si="10"/>
        <v>0.42389538940600158</v>
      </c>
      <c r="BF18" s="28">
        <f t="shared" si="10"/>
        <v>-0.29329108100577922</v>
      </c>
      <c r="BG18" s="28">
        <f t="shared" si="10"/>
        <v>6.838457132494162E-2</v>
      </c>
      <c r="BH18" s="28">
        <f t="shared" si="10"/>
        <v>3.5578560131082848</v>
      </c>
      <c r="BI18" s="28">
        <f t="shared" si="10"/>
        <v>9.9188936132778415E-3</v>
      </c>
      <c r="BJ18" s="28">
        <f t="shared" si="10"/>
        <v>2.2048553314330501E-2</v>
      </c>
      <c r="BK18" s="28">
        <f t="shared" si="10"/>
        <v>-0.3010239881393097</v>
      </c>
      <c r="BL18" s="28">
        <f t="shared" si="10"/>
        <v>0.96203700445241691</v>
      </c>
      <c r="BM18" s="28">
        <f t="shared" si="10"/>
        <v>-1.5365582101620927</v>
      </c>
      <c r="BN18" s="28">
        <f t="shared" si="10"/>
        <v>7.3572538900402478</v>
      </c>
      <c r="BO18" s="28">
        <f t="shared" si="10"/>
        <v>5.732910625437885</v>
      </c>
      <c r="BP18" s="28">
        <f t="shared" si="10"/>
        <v>2.7609304589817141</v>
      </c>
      <c r="BQ18" s="28">
        <f t="shared" si="10"/>
        <v>0.62908482419214928</v>
      </c>
      <c r="BR18" s="28">
        <f t="shared" ref="BR18:CK18" si="11">BR14/BR17</f>
        <v>0.29097660867979985</v>
      </c>
      <c r="BS18" s="28">
        <f t="shared" si="11"/>
        <v>-0.75202757373020401</v>
      </c>
      <c r="BT18" s="28">
        <f t="shared" si="11"/>
        <v>0.6447326513307472</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f t="shared" si="11"/>
        <v>0</v>
      </c>
      <c r="CE18" s="28">
        <f t="shared" si="11"/>
        <v>0</v>
      </c>
      <c r="CF18" s="28">
        <f t="shared" si="11"/>
        <v>0</v>
      </c>
      <c r="CG18" s="28">
        <f t="shared" si="11"/>
        <v>0</v>
      </c>
      <c r="CH18" s="28">
        <f t="shared" si="11"/>
        <v>0</v>
      </c>
      <c r="CI18" s="28" t="e">
        <f t="shared" si="11"/>
        <v>#DIV/0!</v>
      </c>
      <c r="CJ18" s="28">
        <f t="shared" si="11"/>
        <v>0</v>
      </c>
      <c r="CK18" s="28" t="e">
        <f t="shared" si="11"/>
        <v>#DIV/0!</v>
      </c>
    </row>
    <row r="19" spans="1:90" s="26" customFormat="1">
      <c r="A19" s="17" t="s">
        <v>501</v>
      </c>
      <c r="E19" s="26">
        <f>现金流量表!E48</f>
        <v>267174076.71000001</v>
      </c>
      <c r="F19" s="26">
        <f>现金流量表!F48</f>
        <v>0</v>
      </c>
      <c r="G19" s="26">
        <f>现金流量表!G48</f>
        <v>46510416.07</v>
      </c>
      <c r="H19" s="26">
        <f>现金流量表!H48</f>
        <v>0</v>
      </c>
      <c r="I19" s="26">
        <f>现金流量表!I48</f>
        <v>107634337.56999999</v>
      </c>
      <c r="J19" s="26">
        <f>现金流量表!J48</f>
        <v>0</v>
      </c>
      <c r="K19" s="26">
        <f>现金流量表!K48</f>
        <v>57711133</v>
      </c>
      <c r="L19" s="26">
        <f>现金流量表!L48</f>
        <v>0</v>
      </c>
      <c r="M19" s="26">
        <f>现金流量表!M48</f>
        <v>88309940</v>
      </c>
      <c r="N19" s="26">
        <f>现金流量表!N48</f>
        <v>0</v>
      </c>
      <c r="O19" s="26">
        <f>现金流量表!O48</f>
        <v>21000286</v>
      </c>
      <c r="P19" s="26">
        <f>现金流量表!P48</f>
        <v>0</v>
      </c>
      <c r="Q19" s="26">
        <f>现金流量表!Q48</f>
        <v>85312190</v>
      </c>
      <c r="R19" s="26">
        <f>现金流量表!R48</f>
        <v>0</v>
      </c>
      <c r="S19" s="26">
        <f>现金流量表!S48</f>
        <v>15221293</v>
      </c>
      <c r="T19" s="26">
        <f>现金流量表!T48</f>
        <v>0</v>
      </c>
      <c r="U19" s="26">
        <f>现金流量表!U48</f>
        <v>46695092</v>
      </c>
      <c r="V19" s="26">
        <f>现金流量表!V48</f>
        <v>0</v>
      </c>
      <c r="W19" s="26">
        <f>现金流量表!W48</f>
        <v>17468143</v>
      </c>
      <c r="X19" s="26">
        <f>现金流量表!X48</f>
        <v>0</v>
      </c>
      <c r="Y19" s="26">
        <f>现金流量表!Y48</f>
        <v>36436326</v>
      </c>
      <c r="Z19" s="26">
        <f>现金流量表!Z48</f>
        <v>0</v>
      </c>
      <c r="AA19" s="26">
        <f>现金流量表!AA48</f>
        <v>7043964</v>
      </c>
      <c r="AB19" s="26">
        <f>现金流量表!AB48</f>
        <v>0</v>
      </c>
      <c r="AC19" s="26">
        <f>现金流量表!AC48</f>
        <v>14277515</v>
      </c>
      <c r="AD19" s="26">
        <f>现金流量表!AD48</f>
        <v>0</v>
      </c>
      <c r="AE19" s="26">
        <f>现金流量表!AE48</f>
        <v>9797469</v>
      </c>
      <c r="AF19" s="26">
        <f>现金流量表!AF48</f>
        <v>0</v>
      </c>
      <c r="AG19" s="26">
        <f>现金流量表!AG48</f>
        <v>-3949798</v>
      </c>
      <c r="AH19" s="26">
        <f>现金流量表!AH48</f>
        <v>0</v>
      </c>
      <c r="AI19" s="26">
        <f>现金流量表!AI48</f>
        <v>4501415.66</v>
      </c>
      <c r="AJ19" s="26">
        <f>现金流量表!AJ48</f>
        <v>0</v>
      </c>
      <c r="AK19" s="26">
        <f>现金流量表!AK48</f>
        <v>71243239.799999997</v>
      </c>
      <c r="AL19" s="26">
        <f>现金流量表!AL48</f>
        <v>0</v>
      </c>
      <c r="AM19" s="26">
        <f>现金流量表!AM48</f>
        <v>3704924.07</v>
      </c>
      <c r="AN19" s="26">
        <f>现金流量表!AN48</f>
        <v>0</v>
      </c>
      <c r="AO19" s="26">
        <f>现金流量表!AO48</f>
        <v>44197810.490000002</v>
      </c>
      <c r="AP19" s="26">
        <f>现金流量表!AP48</f>
        <v>0</v>
      </c>
      <c r="AQ19" s="26">
        <f>现金流量表!AQ48</f>
        <v>3235741.98</v>
      </c>
      <c r="AR19" s="26">
        <f>现金流量表!AR48</f>
        <v>0</v>
      </c>
      <c r="AS19" s="26">
        <f>现金流量表!AS48</f>
        <v>1299879.78</v>
      </c>
      <c r="AT19" s="26">
        <f>现金流量表!AT48</f>
        <v>0</v>
      </c>
      <c r="AU19" s="26">
        <f>现金流量表!AU48</f>
        <v>-2576454.88</v>
      </c>
      <c r="AV19" s="26">
        <f>现金流量表!AV48</f>
        <v>0</v>
      </c>
      <c r="AW19" s="26">
        <f>现金流量表!AW48</f>
        <v>12266004.41</v>
      </c>
      <c r="AX19" s="26">
        <f>现金流量表!AX48</f>
        <v>2765672.64</v>
      </c>
      <c r="AY19" s="26">
        <f>现金流量表!AY48</f>
        <v>2765672.64</v>
      </c>
      <c r="AZ19" s="26">
        <f>现金流量表!AZ48</f>
        <v>619</v>
      </c>
      <c r="BA19" s="26">
        <f>现金流量表!BA48</f>
        <v>2534289.13</v>
      </c>
      <c r="BB19" s="26">
        <f>现金流量表!BB48</f>
        <v>1039061.98</v>
      </c>
      <c r="BC19" s="26">
        <f>现金流量表!BC48</f>
        <v>1039061.98</v>
      </c>
      <c r="BD19" s="26">
        <f>现金流量表!BD48</f>
        <v>0</v>
      </c>
      <c r="BE19" s="26">
        <f>现金流量表!BE48</f>
        <v>10031903.109999999</v>
      </c>
      <c r="BF19" s="26">
        <f>现金流量表!BF48</f>
        <v>0</v>
      </c>
      <c r="BG19" s="26">
        <f>现金流量表!BG48</f>
        <v>0</v>
      </c>
      <c r="BH19" s="26">
        <f>现金流量表!BH48</f>
        <v>0</v>
      </c>
      <c r="BI19" s="26">
        <f>现金流量表!BI48</f>
        <v>6076908.7699999996</v>
      </c>
      <c r="BJ19" s="26">
        <f>现金流量表!BJ48</f>
        <v>0</v>
      </c>
      <c r="BK19" s="26">
        <f>现金流量表!BK48</f>
        <v>0</v>
      </c>
      <c r="BL19" s="26">
        <f>现金流量表!BL48</f>
        <v>0</v>
      </c>
      <c r="BM19" s="26">
        <f>现金流量表!BM48</f>
        <v>59981043.57</v>
      </c>
      <c r="BN19" s="26">
        <f>现金流量表!BN48</f>
        <v>404221.28</v>
      </c>
      <c r="BO19" s="26">
        <f>现金流量表!BO48</f>
        <v>1790126.12</v>
      </c>
      <c r="BP19" s="26">
        <f>现金流量表!BP48</f>
        <v>173755.82</v>
      </c>
      <c r="BQ19" s="26">
        <f>现金流量表!BQ48</f>
        <v>785376.41</v>
      </c>
      <c r="BR19" s="26">
        <f>现金流量表!BR48</f>
        <v>611620.59</v>
      </c>
      <c r="BS19" s="26">
        <f>现金流量表!BS48</f>
        <v>1383828.54</v>
      </c>
      <c r="BT19" s="26">
        <f>现金流量表!BT48</f>
        <v>50864.22</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c r="A20" s="17" t="s">
        <v>502</v>
      </c>
      <c r="E20" s="26">
        <f>现金流量表!E49</f>
        <v>973208089.71000004</v>
      </c>
      <c r="F20" s="26">
        <f>现金流量表!F49</f>
        <v>0</v>
      </c>
      <c r="G20" s="26">
        <f>现金流量表!G49</f>
        <v>485190765.68000001</v>
      </c>
      <c r="H20" s="26">
        <f>现金流量表!H49</f>
        <v>0</v>
      </c>
      <c r="I20" s="26">
        <f>现金流量表!I49</f>
        <v>1031662019.27</v>
      </c>
      <c r="J20" s="26">
        <f>现金流量表!J49</f>
        <v>0</v>
      </c>
      <c r="K20" s="26">
        <f>现金流量表!K49</f>
        <v>533383572</v>
      </c>
      <c r="L20" s="26">
        <f>现金流量表!L49</f>
        <v>0</v>
      </c>
      <c r="M20" s="26">
        <f>现金流量表!M49</f>
        <v>1238695032</v>
      </c>
      <c r="N20" s="26">
        <f>现金流量表!N49</f>
        <v>0</v>
      </c>
      <c r="O20" s="26">
        <f>现金流量表!O49</f>
        <v>632521604</v>
      </c>
      <c r="P20" s="26">
        <f>现金流量表!P49</f>
        <v>0</v>
      </c>
      <c r="Q20" s="26">
        <f>现金流量表!Q49</f>
        <v>1029822987</v>
      </c>
      <c r="R20" s="26">
        <f>现金流量表!R49</f>
        <v>0</v>
      </c>
      <c r="S20" s="26">
        <f>现金流量表!S49</f>
        <v>229390289</v>
      </c>
      <c r="T20" s="26">
        <f>现金流量表!T49</f>
        <v>0</v>
      </c>
      <c r="U20" s="26">
        <f>现金流量表!U49</f>
        <v>484279349</v>
      </c>
      <c r="V20" s="26">
        <f>现金流量表!V49</f>
        <v>0</v>
      </c>
      <c r="W20" s="26">
        <f>现金流量表!W49</f>
        <v>244250135</v>
      </c>
      <c r="X20" s="26">
        <f>现金流量表!X49</f>
        <v>0</v>
      </c>
      <c r="Y20" s="26">
        <f>现金流量表!Y49</f>
        <v>474170465</v>
      </c>
      <c r="Z20" s="26">
        <f>现金流量表!Z49</f>
        <v>0</v>
      </c>
      <c r="AA20" s="26">
        <f>现金流量表!AA49</f>
        <v>240687801</v>
      </c>
      <c r="AB20" s="26">
        <f>现金流量表!AB49</f>
        <v>0</v>
      </c>
      <c r="AC20" s="26">
        <f>现金流量表!AC49</f>
        <v>454697207</v>
      </c>
      <c r="AD20" s="26">
        <f>现金流量表!AD49</f>
        <v>0</v>
      </c>
      <c r="AE20" s="26">
        <f>现金流量表!AE49</f>
        <v>223133883</v>
      </c>
      <c r="AF20" s="26">
        <f>现金流量表!AF49</f>
        <v>0</v>
      </c>
      <c r="AG20" s="26">
        <f>现金流量表!AG49</f>
        <v>308630014</v>
      </c>
      <c r="AH20" s="26">
        <f>现金流量表!AH49</f>
        <v>0</v>
      </c>
      <c r="AI20" s="26">
        <f>现金流量表!AI49</f>
        <v>152503768</v>
      </c>
      <c r="AJ20" s="26">
        <f>现金流量表!AJ49</f>
        <v>0</v>
      </c>
      <c r="AK20" s="26">
        <f>现金流量表!AK49</f>
        <v>306685781.06999999</v>
      </c>
      <c r="AL20" s="26">
        <f>现金流量表!AL49</f>
        <v>0</v>
      </c>
      <c r="AM20" s="26">
        <f>现金流量表!AM49</f>
        <v>146146402.13999999</v>
      </c>
      <c r="AN20" s="26">
        <f>现金流量表!AN49</f>
        <v>0</v>
      </c>
      <c r="AO20" s="26">
        <f>现金流量表!AO49</f>
        <v>126011963.45999999</v>
      </c>
      <c r="AP20" s="26">
        <f>现金流量表!AP49</f>
        <v>0</v>
      </c>
      <c r="AQ20" s="26">
        <f>现金流量表!AQ49</f>
        <v>0</v>
      </c>
      <c r="AR20" s="26">
        <f>现金流量表!AR49</f>
        <v>0</v>
      </c>
      <c r="AS20" s="26">
        <f>现金流量表!AS49</f>
        <v>56859615.329999998</v>
      </c>
      <c r="AT20" s="26">
        <f>现金流量表!AT49</f>
        <v>0</v>
      </c>
      <c r="AU20" s="26">
        <f>现金流量表!AU49</f>
        <v>27936126.18</v>
      </c>
      <c r="AV20" s="26">
        <f>现金流量表!AV49</f>
        <v>0</v>
      </c>
      <c r="AW20" s="26">
        <f>现金流量表!AW49</f>
        <v>54466880.259999998</v>
      </c>
      <c r="AX20" s="26">
        <f>现金流量表!AX49</f>
        <v>39719119.899999999</v>
      </c>
      <c r="AY20" s="26">
        <f>现金流量表!AY49</f>
        <v>26754652.010000002</v>
      </c>
      <c r="AZ20" s="26">
        <f>现金流量表!AZ49</f>
        <v>13230962.57</v>
      </c>
      <c r="BA20" s="26">
        <f>现金流量表!BA49</f>
        <v>53132811.520000003</v>
      </c>
      <c r="BB20" s="26">
        <f>现金流量表!BB49</f>
        <v>39306103.57</v>
      </c>
      <c r="BC20" s="26">
        <f>现金流量表!BC49</f>
        <v>25843335.329999998</v>
      </c>
      <c r="BD20" s="26">
        <f>现金流量表!BD49</f>
        <v>12536737.630000001</v>
      </c>
      <c r="BE20" s="26">
        <f>现金流量表!BE49</f>
        <v>48672106.420000002</v>
      </c>
      <c r="BF20" s="26">
        <f>现金流量表!BF49</f>
        <v>35801822.93</v>
      </c>
      <c r="BG20" s="26">
        <f>现金流量表!BG49</f>
        <v>23379586.239999998</v>
      </c>
      <c r="BH20" s="26">
        <f>现金流量表!BH49</f>
        <v>11453706.18</v>
      </c>
      <c r="BI20" s="26">
        <f>现金流量表!BI49</f>
        <v>21905168.32</v>
      </c>
      <c r="BJ20" s="26">
        <f>现金流量表!BJ49</f>
        <v>13673570.890000001</v>
      </c>
      <c r="BK20" s="26">
        <f>现金流量表!BK49</f>
        <v>8711128.0099999998</v>
      </c>
      <c r="BL20" s="26">
        <f>现金流量表!BL49</f>
        <v>4477284.75</v>
      </c>
      <c r="BM20" s="26">
        <f>现金流量表!BM49</f>
        <v>20156228.02</v>
      </c>
      <c r="BN20" s="26">
        <f>现金流量表!BN49</f>
        <v>0</v>
      </c>
      <c r="BO20" s="26">
        <f>现金流量表!BO49</f>
        <v>16727922.630000001</v>
      </c>
      <c r="BP20" s="26">
        <f>现金流量表!BP49</f>
        <v>8596766.0399999991</v>
      </c>
      <c r="BQ20" s="26">
        <f>现金流量表!BQ49</f>
        <v>18731462.449999999</v>
      </c>
      <c r="BR20" s="26">
        <f>现金流量表!BR49</f>
        <v>8638981.2799999993</v>
      </c>
      <c r="BS20" s="26">
        <f>现金流量表!BS49</f>
        <v>18598875.210000001</v>
      </c>
      <c r="BT20" s="26">
        <f>现金流量表!BT49</f>
        <v>7241389.9699999997</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c r="A21" s="17" t="s">
        <v>503</v>
      </c>
      <c r="E21" s="26">
        <f>现金流量表!E50</f>
        <v>57065049.770000003</v>
      </c>
      <c r="F21" s="26">
        <f>现金流量表!F50</f>
        <v>0</v>
      </c>
      <c r="G21" s="26">
        <f>现金流量表!G50</f>
        <v>27596593.670000002</v>
      </c>
      <c r="H21" s="26">
        <f>现金流量表!H50</f>
        <v>0</v>
      </c>
      <c r="I21" s="26">
        <f>现金流量表!I50</f>
        <v>52583522.829999998</v>
      </c>
      <c r="J21" s="26">
        <f>现金流量表!J50</f>
        <v>0</v>
      </c>
      <c r="K21" s="26">
        <f>现金流量表!K50</f>
        <v>25492900</v>
      </c>
      <c r="L21" s="26">
        <f>现金流量表!L50</f>
        <v>0</v>
      </c>
      <c r="M21" s="26">
        <f>现金流量表!M50</f>
        <v>44825903</v>
      </c>
      <c r="N21" s="26">
        <f>现金流量表!N50</f>
        <v>0</v>
      </c>
      <c r="O21" s="26">
        <f>现金流量表!O50</f>
        <v>23650473</v>
      </c>
      <c r="P21" s="26">
        <f>现金流量表!P50</f>
        <v>0</v>
      </c>
      <c r="Q21" s="26">
        <f>现金流量表!Q50</f>
        <v>49077919</v>
      </c>
      <c r="R21" s="26">
        <f>现金流量表!R50</f>
        <v>0</v>
      </c>
      <c r="S21" s="26">
        <f>现金流量表!S50</f>
        <v>5291915</v>
      </c>
      <c r="T21" s="26">
        <f>现金流量表!T50</f>
        <v>0</v>
      </c>
      <c r="U21" s="26">
        <f>现金流量表!U50</f>
        <v>10229542</v>
      </c>
      <c r="V21" s="26">
        <f>现金流量表!V50</f>
        <v>0</v>
      </c>
      <c r="W21" s="26">
        <f>现金流量表!W50</f>
        <v>5043390</v>
      </c>
      <c r="X21" s="26">
        <f>现金流量表!X50</f>
        <v>0</v>
      </c>
      <c r="Y21" s="26">
        <f>现金流量表!Y50</f>
        <v>9601576</v>
      </c>
      <c r="Z21" s="26">
        <f>现金流量表!Z50</f>
        <v>0</v>
      </c>
      <c r="AA21" s="26">
        <f>现金流量表!AA50</f>
        <v>4775660</v>
      </c>
      <c r="AB21" s="26">
        <f>现金流量表!AB50</f>
        <v>0</v>
      </c>
      <c r="AC21" s="26">
        <f>现金流量表!AC50</f>
        <v>8527031</v>
      </c>
      <c r="AD21" s="26">
        <f>现金流量表!AD50</f>
        <v>0</v>
      </c>
      <c r="AE21" s="26">
        <f>现金流量表!AE50</f>
        <v>4276951</v>
      </c>
      <c r="AF21" s="26">
        <f>现金流量表!AF50</f>
        <v>0</v>
      </c>
      <c r="AG21" s="26">
        <f>现金流量表!AG50</f>
        <v>5537299</v>
      </c>
      <c r="AH21" s="26">
        <f>现金流量表!AH50</f>
        <v>0</v>
      </c>
      <c r="AI21" s="26">
        <f>现金流量表!AI50</f>
        <v>2940318.24</v>
      </c>
      <c r="AJ21" s="26">
        <f>现金流量表!AJ50</f>
        <v>0</v>
      </c>
      <c r="AK21" s="26">
        <f>现金流量表!AK50</f>
        <v>6500333.3700000001</v>
      </c>
      <c r="AL21" s="26">
        <f>现金流量表!AL50</f>
        <v>0</v>
      </c>
      <c r="AM21" s="26">
        <f>现金流量表!AM50</f>
        <v>2613469.9500000002</v>
      </c>
      <c r="AN21" s="26">
        <f>现金流量表!AN50</f>
        <v>0</v>
      </c>
      <c r="AO21" s="26">
        <f>现金流量表!AO50</f>
        <v>4931023.78</v>
      </c>
      <c r="AP21" s="26">
        <f>现金流量表!AP50</f>
        <v>0</v>
      </c>
      <c r="AQ21" s="26">
        <f>现金流量表!AQ50</f>
        <v>2712805.83</v>
      </c>
      <c r="AR21" s="26">
        <f>现金流量表!AR50</f>
        <v>0</v>
      </c>
      <c r="AS21" s="26">
        <f>现金流量表!AS50</f>
        <v>4337868.16</v>
      </c>
      <c r="AT21" s="26">
        <f>现金流量表!AT50</f>
        <v>0</v>
      </c>
      <c r="AU21" s="26">
        <f>现金流量表!AU50</f>
        <v>1888991.37</v>
      </c>
      <c r="AV21" s="26">
        <f>现金流量表!AV50</f>
        <v>0</v>
      </c>
      <c r="AW21" s="26">
        <f>现金流量表!AW50</f>
        <v>217162.28</v>
      </c>
      <c r="AX21" s="26">
        <f>现金流量表!AX50</f>
        <v>122922.98</v>
      </c>
      <c r="AY21" s="26">
        <f>现金流量表!AY50</f>
        <v>77374.16</v>
      </c>
      <c r="AZ21" s="26">
        <f>现金流量表!AZ50</f>
        <v>45144.31</v>
      </c>
      <c r="BA21" s="26">
        <f>现金流量表!BA50</f>
        <v>116235.7</v>
      </c>
      <c r="BB21" s="26">
        <f>现金流量表!BB50</f>
        <v>50392.04</v>
      </c>
      <c r="BC21" s="26">
        <f>现金流量表!BC50</f>
        <v>31089.77</v>
      </c>
      <c r="BD21" s="26">
        <f>现金流量表!BD50</f>
        <v>11787.5</v>
      </c>
      <c r="BE21" s="26">
        <f>现金流量表!BE50</f>
        <v>11588.93</v>
      </c>
      <c r="BF21" s="26">
        <f>现金流量表!BF50</f>
        <v>7905.38</v>
      </c>
      <c r="BG21" s="26">
        <f>现金流量表!BG50</f>
        <v>4921.83</v>
      </c>
      <c r="BH21" s="26">
        <f>现金流量表!BH50</f>
        <v>2288.2800000000002</v>
      </c>
      <c r="BI21" s="26">
        <f>现金流量表!BI50</f>
        <v>2467.36</v>
      </c>
      <c r="BJ21" s="26">
        <f>现金流量表!BJ50</f>
        <v>0</v>
      </c>
      <c r="BK21" s="26">
        <f>现金流量表!BK50</f>
        <v>253.33</v>
      </c>
      <c r="BL21" s="26">
        <f>现金流量表!BL50</f>
        <v>0</v>
      </c>
      <c r="BM21" s="26">
        <f>现金流量表!BM50</f>
        <v>0</v>
      </c>
      <c r="BN21" s="26">
        <f>现金流量表!BN50</f>
        <v>0</v>
      </c>
      <c r="BO21" s="26">
        <f>现金流量表!BO50</f>
        <v>238265.59</v>
      </c>
      <c r="BP21" s="26">
        <f>现金流量表!BP50</f>
        <v>119132.64</v>
      </c>
      <c r="BQ21" s="26">
        <f>现金流量表!BQ50</f>
        <v>2292896.23</v>
      </c>
      <c r="BR21" s="26">
        <f>现金流量表!BR50</f>
        <v>881248.63</v>
      </c>
      <c r="BS21" s="26">
        <f>现金流量表!BS50</f>
        <v>2558901.69</v>
      </c>
      <c r="BT21" s="26">
        <f>现金流量表!BT50</f>
        <v>3254672.92</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c r="A22" s="17" t="s">
        <v>504</v>
      </c>
      <c r="E22" s="26">
        <f>现金流量表!E51</f>
        <v>33469826.199999999</v>
      </c>
      <c r="F22" s="26">
        <f>现金流量表!F51</f>
        <v>0</v>
      </c>
      <c r="G22" s="26">
        <f>现金流量表!G51</f>
        <v>19041482.309999999</v>
      </c>
      <c r="H22" s="26">
        <f>现金流量表!H51</f>
        <v>0</v>
      </c>
      <c r="I22" s="26">
        <f>现金流量表!I51</f>
        <v>60404946.57</v>
      </c>
      <c r="J22" s="26">
        <f>现金流量表!J51</f>
        <v>0</v>
      </c>
      <c r="K22" s="26">
        <f>现金流量表!K51</f>
        <v>31435323</v>
      </c>
      <c r="L22" s="26">
        <f>现金流量表!L51</f>
        <v>0</v>
      </c>
      <c r="M22" s="26">
        <f>现金流量表!M51</f>
        <v>86766022</v>
      </c>
      <c r="N22" s="26">
        <f>现金流量表!N51</f>
        <v>0</v>
      </c>
      <c r="O22" s="26">
        <f>现金流量表!O51</f>
        <v>47426775</v>
      </c>
      <c r="P22" s="26">
        <f>现金流量表!P51</f>
        <v>0</v>
      </c>
      <c r="Q22" s="26">
        <f>现金流量表!Q51</f>
        <v>81139185</v>
      </c>
      <c r="R22" s="26">
        <f>现金流量表!R51</f>
        <v>0</v>
      </c>
      <c r="S22" s="26">
        <f>现金流量表!S51</f>
        <v>19279701</v>
      </c>
      <c r="T22" s="26">
        <f>现金流量表!T51</f>
        <v>0</v>
      </c>
      <c r="U22" s="26">
        <f>现金流量表!U51</f>
        <v>36671705</v>
      </c>
      <c r="V22" s="26">
        <f>现金流量表!V51</f>
        <v>0</v>
      </c>
      <c r="W22" s="26">
        <f>现金流量表!W51</f>
        <v>17093707</v>
      </c>
      <c r="X22" s="26">
        <f>现金流量表!X51</f>
        <v>0</v>
      </c>
      <c r="Y22" s="26">
        <f>现金流量表!Y51</f>
        <v>21908265</v>
      </c>
      <c r="Z22" s="26">
        <f>现金流量表!Z51</f>
        <v>0</v>
      </c>
      <c r="AA22" s="26">
        <f>现金流量表!AA51</f>
        <v>6699529</v>
      </c>
      <c r="AB22" s="26">
        <f>现金流量表!AB51</f>
        <v>0</v>
      </c>
      <c r="AC22" s="26">
        <f>现金流量表!AC51</f>
        <v>10540271</v>
      </c>
      <c r="AD22" s="26">
        <f>现金流量表!AD51</f>
        <v>0</v>
      </c>
      <c r="AE22" s="26">
        <f>现金流量表!AE51</f>
        <v>4433903</v>
      </c>
      <c r="AF22" s="26">
        <f>现金流量表!AF51</f>
        <v>0</v>
      </c>
      <c r="AG22" s="26">
        <f>现金流量表!AG51</f>
        <v>4181877</v>
      </c>
      <c r="AH22" s="26">
        <f>现金流量表!AH51</f>
        <v>0</v>
      </c>
      <c r="AI22" s="26">
        <f>现金流量表!AI51</f>
        <v>602762.18999999994</v>
      </c>
      <c r="AJ22" s="26">
        <f>现金流量表!AJ51</f>
        <v>0</v>
      </c>
      <c r="AK22" s="26">
        <f>现金流量表!AK51</f>
        <v>1573789.75</v>
      </c>
      <c r="AL22" s="26">
        <f>现金流量表!AL51</f>
        <v>0</v>
      </c>
      <c r="AM22" s="26">
        <f>现金流量表!AM51</f>
        <v>588310.56000000006</v>
      </c>
      <c r="AN22" s="26">
        <f>现金流量表!AN51</f>
        <v>0</v>
      </c>
      <c r="AO22" s="26">
        <f>现金流量表!AO51</f>
        <v>40316.69</v>
      </c>
      <c r="AP22" s="26">
        <f>现金流量表!AP51</f>
        <v>0</v>
      </c>
      <c r="AQ22" s="26">
        <f>现金流量表!AQ51</f>
        <v>20116.66</v>
      </c>
      <c r="AR22" s="26">
        <f>现金流量表!AR51</f>
        <v>0</v>
      </c>
      <c r="AS22" s="26">
        <f>现金流量表!AS51</f>
        <v>4108645.12</v>
      </c>
      <c r="AT22" s="26">
        <f>现金流量表!AT51</f>
        <v>0</v>
      </c>
      <c r="AU22" s="26">
        <f>现金流量表!AU51</f>
        <v>126929.78</v>
      </c>
      <c r="AV22" s="26">
        <f>现金流量表!AV51</f>
        <v>0</v>
      </c>
      <c r="AW22" s="26">
        <f>现金流量表!AW51</f>
        <v>113954.26</v>
      </c>
      <c r="AX22" s="26">
        <f>现金流量表!AX51</f>
        <v>149072.42000000001</v>
      </c>
      <c r="AY22" s="26">
        <f>现金流量表!AY51</f>
        <v>143352.62</v>
      </c>
      <c r="AZ22" s="26">
        <f>现金流量表!AZ51</f>
        <v>106771.4</v>
      </c>
      <c r="BA22" s="26">
        <f>现金流量表!BA51</f>
        <v>751764.42</v>
      </c>
      <c r="BB22" s="26">
        <f>现金流量表!BB51</f>
        <v>599586.1</v>
      </c>
      <c r="BC22" s="26">
        <f>现金流量表!BC51</f>
        <v>403487.4</v>
      </c>
      <c r="BD22" s="26">
        <f>现金流量表!BD51</f>
        <v>201218.7</v>
      </c>
      <c r="BE22" s="26">
        <f>现金流量表!BE51</f>
        <v>1461579.11</v>
      </c>
      <c r="BF22" s="26">
        <f>现金流量表!BF51</f>
        <v>978362.9</v>
      </c>
      <c r="BG22" s="26">
        <f>现金流量表!BG51</f>
        <v>731164.21</v>
      </c>
      <c r="BH22" s="26">
        <f>现金流量表!BH51</f>
        <v>489166.09</v>
      </c>
      <c r="BI22" s="26">
        <f>现金流量表!BI51</f>
        <v>1164361.81</v>
      </c>
      <c r="BJ22" s="26">
        <f>现金流量表!BJ51</f>
        <v>1323988.04</v>
      </c>
      <c r="BK22" s="26">
        <f>现金流量表!BK51</f>
        <v>806614.56</v>
      </c>
      <c r="BL22" s="26">
        <f>现金流量表!BL51</f>
        <v>333115.03000000003</v>
      </c>
      <c r="BM22" s="26">
        <f>现金流量表!BM51</f>
        <v>1515360.84</v>
      </c>
      <c r="BN22" s="26">
        <f>现金流量表!BN51</f>
        <v>0</v>
      </c>
      <c r="BO22" s="26">
        <f>现金流量表!BO51</f>
        <v>1971156.79</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c r="A23" s="17" t="s">
        <v>505</v>
      </c>
      <c r="E23" s="26">
        <f>现金流量表!E54</f>
        <v>1158915.6000000001</v>
      </c>
      <c r="F23" s="26">
        <f>现金流量表!F54</f>
        <v>0</v>
      </c>
      <c r="G23" s="26">
        <f>现金流量表!G54</f>
        <v>647010.65</v>
      </c>
      <c r="H23" s="26">
        <f>现金流量表!H54</f>
        <v>0</v>
      </c>
      <c r="I23" s="26">
        <f>现金流量表!I54</f>
        <v>3556174.48</v>
      </c>
      <c r="J23" s="26">
        <f>现金流量表!J54</f>
        <v>0</v>
      </c>
      <c r="K23" s="26">
        <f>现金流量表!K54</f>
        <v>1899573</v>
      </c>
      <c r="L23" s="26">
        <f>现金流量表!L54</f>
        <v>0</v>
      </c>
      <c r="M23" s="26">
        <f>现金流量表!M54</f>
        <v>-1687197</v>
      </c>
      <c r="N23" s="26">
        <f>现金流量表!N54</f>
        <v>0</v>
      </c>
      <c r="O23" s="26">
        <f>现金流量表!O54</f>
        <v>-279224</v>
      </c>
      <c r="P23" s="26">
        <f>现金流量表!P54</f>
        <v>0</v>
      </c>
      <c r="Q23" s="26">
        <f>现金流量表!Q54</f>
        <v>-232965308</v>
      </c>
      <c r="R23" s="26">
        <f>现金流量表!R54</f>
        <v>0</v>
      </c>
      <c r="S23" s="26">
        <f>现金流量表!S54</f>
        <v>-2472245</v>
      </c>
      <c r="T23" s="26">
        <f>现金流量表!T54</f>
        <v>0</v>
      </c>
      <c r="U23" s="26">
        <f>现金流量表!U54</f>
        <v>-11430566</v>
      </c>
      <c r="V23" s="26">
        <f>现金流量表!V54</f>
        <v>0</v>
      </c>
      <c r="W23" s="26">
        <f>现金流量表!W54</f>
        <v>487633</v>
      </c>
      <c r="X23" s="26">
        <f>现金流量表!X54</f>
        <v>0</v>
      </c>
      <c r="Y23" s="26">
        <f>现金流量表!Y54</f>
        <v>2799302</v>
      </c>
      <c r="Z23" s="26">
        <f>现金流量表!Z54</f>
        <v>0</v>
      </c>
      <c r="AA23" s="26">
        <f>现金流量表!AA54</f>
        <v>-10817</v>
      </c>
      <c r="AB23" s="26">
        <f>现金流量表!AB54</f>
        <v>0</v>
      </c>
      <c r="AC23" s="26">
        <f>现金流量表!AC54</f>
        <v>96144</v>
      </c>
      <c r="AD23" s="26">
        <f>现金流量表!AD54</f>
        <v>0</v>
      </c>
      <c r="AE23" s="26">
        <f>现金流量表!AE54</f>
        <v>-13949</v>
      </c>
      <c r="AF23" s="26">
        <f>现金流量表!AF54</f>
        <v>0</v>
      </c>
      <c r="AG23" s="26">
        <f>现金流量表!AG54</f>
        <v>84253</v>
      </c>
      <c r="AH23" s="26">
        <f>现金流量表!AH54</f>
        <v>0</v>
      </c>
      <c r="AI23" s="26">
        <f>现金流量表!AI54</f>
        <v>21246.13</v>
      </c>
      <c r="AJ23" s="26">
        <f>现金流量表!AJ54</f>
        <v>0</v>
      </c>
      <c r="AK23" s="26">
        <f>现金流量表!AK54</f>
        <v>906662.25</v>
      </c>
      <c r="AL23" s="26">
        <f>现金流量表!AL54</f>
        <v>0</v>
      </c>
      <c r="AM23" s="26">
        <f>现金流量表!AM54</f>
        <v>908415.5</v>
      </c>
      <c r="AN23" s="26">
        <f>现金流量表!AN54</f>
        <v>0</v>
      </c>
      <c r="AO23" s="26">
        <f>现金流量表!AO54</f>
        <v>1786685.57</v>
      </c>
      <c r="AP23" s="26">
        <f>现金流量表!AP54</f>
        <v>0</v>
      </c>
      <c r="AQ23" s="26">
        <f>现金流量表!AQ54</f>
        <v>58642.37</v>
      </c>
      <c r="AR23" s="26">
        <f>现金流量表!AR54</f>
        <v>0</v>
      </c>
      <c r="AS23" s="26">
        <f>现金流量表!AS54</f>
        <v>1111008.96</v>
      </c>
      <c r="AT23" s="26">
        <f>现金流量表!AT54</f>
        <v>0</v>
      </c>
      <c r="AU23" s="26">
        <f>现金流量表!AU54</f>
        <v>772119.92</v>
      </c>
      <c r="AV23" s="26">
        <f>现金流量表!AV54</f>
        <v>0</v>
      </c>
      <c r="AW23" s="26">
        <f>现金流量表!AW54</f>
        <v>478354.79</v>
      </c>
      <c r="AX23" s="26">
        <f>现金流量表!AX54</f>
        <v>-2600</v>
      </c>
      <c r="AY23" s="26">
        <f>现金流量表!AY54</f>
        <v>0</v>
      </c>
      <c r="AZ23" s="26">
        <f>现金流量表!AZ54</f>
        <v>5073.33</v>
      </c>
      <c r="BA23" s="26">
        <f>现金流量表!BA54</f>
        <v>282024.2</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-500</v>
      </c>
      <c r="BK23" s="26">
        <f>现金流量表!BK54</f>
        <v>-500</v>
      </c>
      <c r="BL23" s="26">
        <f>现金流量表!BL54</f>
        <v>0</v>
      </c>
      <c r="BM23" s="26">
        <f>现金流量表!BM54</f>
        <v>299219.20000000001</v>
      </c>
      <c r="BN23" s="26">
        <f>现金流量表!BN54</f>
        <v>0</v>
      </c>
      <c r="BO23" s="26">
        <f>现金流量表!BO54</f>
        <v>-1093251.04</v>
      </c>
      <c r="BP23" s="26">
        <f>现金流量表!BP54</f>
        <v>0</v>
      </c>
      <c r="BQ23" s="26">
        <f>现金流量表!BQ54</f>
        <v>-31920.240000000002</v>
      </c>
      <c r="BR23" s="26">
        <f>现金流量表!BR54</f>
        <v>428921.68</v>
      </c>
      <c r="BS23" s="26">
        <f>现金流量表!BS54</f>
        <v>0</v>
      </c>
      <c r="BT23" s="26">
        <f>现金流量表!BT54</f>
        <v>93478.73</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c r="A24" s="17" t="s">
        <v>506</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-11886.51</v>
      </c>
      <c r="AJ24" s="26">
        <f>现金流量表!AJ55</f>
        <v>0</v>
      </c>
      <c r="AK24" s="26">
        <f>现金流量表!AK55</f>
        <v>4460.75</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5073.33</v>
      </c>
      <c r="AY24" s="26">
        <f>现金流量表!AY55</f>
        <v>5073.33</v>
      </c>
      <c r="AZ24" s="26">
        <f>现金流量表!AZ55</f>
        <v>0</v>
      </c>
      <c r="BA24" s="26">
        <f>现金流量表!BA55</f>
        <v>0</v>
      </c>
      <c r="BB24" s="26">
        <f>现金流量表!BB55</f>
        <v>304231.01</v>
      </c>
      <c r="BC24" s="26">
        <f>现金流量表!BC55</f>
        <v>131240.76</v>
      </c>
      <c r="BD24" s="26">
        <f>现金流量表!BD55</f>
        <v>0</v>
      </c>
      <c r="BE24" s="26">
        <f>现金流量表!BE55</f>
        <v>551140.79</v>
      </c>
      <c r="BF24" s="26">
        <f>现金流量表!BF55</f>
        <v>548885.09</v>
      </c>
      <c r="BG24" s="26">
        <f>现金流量表!BG55</f>
        <v>534312.73</v>
      </c>
      <c r="BH24" s="26">
        <f>现金流量表!BH55</f>
        <v>528592.43999999994</v>
      </c>
      <c r="BI24" s="26">
        <f>现金流量表!BI55</f>
        <v>62832.23</v>
      </c>
      <c r="BJ24" s="26">
        <f>现金流量表!BJ55</f>
        <v>38613.949999999997</v>
      </c>
      <c r="BK24" s="26">
        <f>现金流量表!BK55</f>
        <v>34156.800000000003</v>
      </c>
      <c r="BL24" s="26">
        <f>现金流量表!BL55</f>
        <v>0</v>
      </c>
      <c r="BM24" s="26">
        <f>现金流量表!BM55</f>
        <v>0</v>
      </c>
      <c r="BN24" s="26">
        <f>现金流量表!BN55</f>
        <v>281418.62</v>
      </c>
      <c r="BO24" s="26">
        <f>现金流量表!BO55</f>
        <v>0</v>
      </c>
      <c r="BP24" s="26">
        <f>现金流量表!BP55</f>
        <v>0</v>
      </c>
      <c r="BQ24" s="26">
        <f>现金流量表!BQ55</f>
        <v>0</v>
      </c>
      <c r="BR24" s="26">
        <f>现金流量表!BR55</f>
        <v>0</v>
      </c>
      <c r="BS24" s="26">
        <f>现金流量表!BS55</f>
        <v>37629.83</v>
      </c>
      <c r="BT24" s="26">
        <f>现金流量表!BT55</f>
        <v>4659.4399999999996</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c r="A25" s="20" t="s">
        <v>507</v>
      </c>
      <c r="E25" s="28">
        <f>SUM(E19:E24)</f>
        <v>1332075957.99</v>
      </c>
      <c r="F25" s="28">
        <f t="shared" ref="F25:BQ25" si="12">SUM(F19:F24)</f>
        <v>0</v>
      </c>
      <c r="G25" s="28">
        <f t="shared" si="12"/>
        <v>578986268.37999988</v>
      </c>
      <c r="H25" s="28">
        <f t="shared" si="12"/>
        <v>0</v>
      </c>
      <c r="I25" s="28">
        <f t="shared" si="12"/>
        <v>1255841000.7199998</v>
      </c>
      <c r="J25" s="28">
        <f t="shared" si="12"/>
        <v>0</v>
      </c>
      <c r="K25" s="28">
        <f t="shared" si="12"/>
        <v>649922501</v>
      </c>
      <c r="L25" s="28">
        <f t="shared" si="12"/>
        <v>0</v>
      </c>
      <c r="M25" s="28">
        <f t="shared" si="12"/>
        <v>1456909700</v>
      </c>
      <c r="N25" s="28">
        <f t="shared" si="12"/>
        <v>0</v>
      </c>
      <c r="O25" s="28">
        <f t="shared" si="12"/>
        <v>724319914</v>
      </c>
      <c r="P25" s="28">
        <f t="shared" si="12"/>
        <v>0</v>
      </c>
      <c r="Q25" s="28">
        <f t="shared" si="12"/>
        <v>1012386973</v>
      </c>
      <c r="R25" s="28">
        <f t="shared" si="12"/>
        <v>0</v>
      </c>
      <c r="S25" s="28">
        <f t="shared" si="12"/>
        <v>266710953</v>
      </c>
      <c r="T25" s="28">
        <f t="shared" si="12"/>
        <v>0</v>
      </c>
      <c r="U25" s="28">
        <f t="shared" si="12"/>
        <v>566445122</v>
      </c>
      <c r="V25" s="28">
        <f t="shared" si="12"/>
        <v>0</v>
      </c>
      <c r="W25" s="28">
        <f t="shared" si="12"/>
        <v>284343008</v>
      </c>
      <c r="X25" s="28">
        <f t="shared" si="12"/>
        <v>0</v>
      </c>
      <c r="Y25" s="28">
        <f t="shared" si="12"/>
        <v>544915934</v>
      </c>
      <c r="Z25" s="28">
        <f t="shared" si="12"/>
        <v>0</v>
      </c>
      <c r="AA25" s="28">
        <f t="shared" si="12"/>
        <v>259196137</v>
      </c>
      <c r="AB25" s="28">
        <f t="shared" si="12"/>
        <v>0</v>
      </c>
      <c r="AC25" s="28">
        <f t="shared" si="12"/>
        <v>488138168</v>
      </c>
      <c r="AD25" s="28">
        <f t="shared" si="12"/>
        <v>0</v>
      </c>
      <c r="AE25" s="28">
        <f t="shared" si="12"/>
        <v>241628257</v>
      </c>
      <c r="AF25" s="28">
        <f t="shared" si="12"/>
        <v>0</v>
      </c>
      <c r="AG25" s="28">
        <f t="shared" si="12"/>
        <v>314483645</v>
      </c>
      <c r="AH25" s="28">
        <f t="shared" si="12"/>
        <v>0</v>
      </c>
      <c r="AI25" s="28">
        <f t="shared" si="12"/>
        <v>160557623.71000001</v>
      </c>
      <c r="AJ25" s="28">
        <f t="shared" si="12"/>
        <v>0</v>
      </c>
      <c r="AK25" s="28">
        <f t="shared" si="12"/>
        <v>386914266.99000001</v>
      </c>
      <c r="AL25" s="28">
        <f t="shared" si="12"/>
        <v>0</v>
      </c>
      <c r="AM25" s="28">
        <f t="shared" si="12"/>
        <v>153961522.21999997</v>
      </c>
      <c r="AN25" s="28">
        <f t="shared" si="12"/>
        <v>0</v>
      </c>
      <c r="AO25" s="28">
        <f t="shared" si="12"/>
        <v>176967799.98999998</v>
      </c>
      <c r="AP25" s="28">
        <f t="shared" si="12"/>
        <v>0</v>
      </c>
      <c r="AQ25" s="28">
        <f t="shared" si="12"/>
        <v>6027306.8400000008</v>
      </c>
      <c r="AR25" s="28">
        <f t="shared" si="12"/>
        <v>0</v>
      </c>
      <c r="AS25" s="28">
        <f t="shared" si="12"/>
        <v>67717017.349999994</v>
      </c>
      <c r="AT25" s="28">
        <f t="shared" si="12"/>
        <v>0</v>
      </c>
      <c r="AU25" s="28">
        <f t="shared" si="12"/>
        <v>28147712.370000005</v>
      </c>
      <c r="AV25" s="28">
        <f t="shared" si="12"/>
        <v>0</v>
      </c>
      <c r="AW25" s="28">
        <f t="shared" si="12"/>
        <v>67542356</v>
      </c>
      <c r="AX25" s="28">
        <f t="shared" si="12"/>
        <v>42759261.269999996</v>
      </c>
      <c r="AY25" s="28">
        <f t="shared" si="12"/>
        <v>29746124.760000002</v>
      </c>
      <c r="AZ25" s="28">
        <f t="shared" si="12"/>
        <v>13388570.610000001</v>
      </c>
      <c r="BA25" s="28">
        <f t="shared" si="12"/>
        <v>56817124.970000014</v>
      </c>
      <c r="BB25" s="28">
        <f t="shared" si="12"/>
        <v>41299374.699999996</v>
      </c>
      <c r="BC25" s="28">
        <f t="shared" si="12"/>
        <v>27448215.239999998</v>
      </c>
      <c r="BD25" s="28">
        <f t="shared" si="12"/>
        <v>12749743.83</v>
      </c>
      <c r="BE25" s="28">
        <f t="shared" si="12"/>
        <v>60728318.359999999</v>
      </c>
      <c r="BF25" s="28">
        <f t="shared" si="12"/>
        <v>37336976.300000004</v>
      </c>
      <c r="BG25" s="28">
        <f t="shared" si="12"/>
        <v>24649985.009999998</v>
      </c>
      <c r="BH25" s="28">
        <f t="shared" si="12"/>
        <v>12473752.989999998</v>
      </c>
      <c r="BI25" s="28">
        <f t="shared" si="12"/>
        <v>29211738.489999998</v>
      </c>
      <c r="BJ25" s="28">
        <f t="shared" si="12"/>
        <v>15035672.879999999</v>
      </c>
      <c r="BK25" s="28">
        <f t="shared" si="12"/>
        <v>9551652.7000000011</v>
      </c>
      <c r="BL25" s="28">
        <f t="shared" si="12"/>
        <v>4810399.78</v>
      </c>
      <c r="BM25" s="28">
        <f t="shared" si="12"/>
        <v>81951851.63000001</v>
      </c>
      <c r="BN25" s="28">
        <f t="shared" si="12"/>
        <v>685639.9</v>
      </c>
      <c r="BO25" s="28">
        <f t="shared" si="12"/>
        <v>19634220.09</v>
      </c>
      <c r="BP25" s="28">
        <f t="shared" si="12"/>
        <v>8889654.5</v>
      </c>
      <c r="BQ25" s="28">
        <f t="shared" si="12"/>
        <v>21777814.850000001</v>
      </c>
      <c r="BR25" s="28">
        <f t="shared" ref="BR25:CK25" si="13">SUM(BR19:BR24)</f>
        <v>10560772.18</v>
      </c>
      <c r="BS25" s="28">
        <f t="shared" si="13"/>
        <v>22579235.27</v>
      </c>
      <c r="BT25" s="28">
        <f t="shared" si="13"/>
        <v>10645065.279999999</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c r="A26" s="20" t="s">
        <v>508</v>
      </c>
      <c r="E26" s="28">
        <f>E14-E25</f>
        <v>589127424.00999999</v>
      </c>
      <c r="F26" s="28">
        <f t="shared" ref="F26:BQ26" si="14">F14-F25</f>
        <v>1296493066.79</v>
      </c>
      <c r="G26" s="28">
        <f t="shared" si="14"/>
        <v>-712740861.37999988</v>
      </c>
      <c r="H26" s="28">
        <f t="shared" si="14"/>
        <v>-931880681.86000001</v>
      </c>
      <c r="I26" s="28">
        <f t="shared" si="14"/>
        <v>-275234012.10999978</v>
      </c>
      <c r="J26" s="28">
        <f t="shared" si="14"/>
        <v>-416608018.76999998</v>
      </c>
      <c r="K26" s="28">
        <f t="shared" si="14"/>
        <v>-2229046297</v>
      </c>
      <c r="L26" s="28">
        <f t="shared" si="14"/>
        <v>-1012563612.22</v>
      </c>
      <c r="M26" s="28">
        <f t="shared" si="14"/>
        <v>3002168330</v>
      </c>
      <c r="N26" s="28">
        <f t="shared" si="14"/>
        <v>1669868549.6900001</v>
      </c>
      <c r="O26" s="28">
        <f t="shared" si="14"/>
        <v>112437818</v>
      </c>
      <c r="P26" s="28">
        <f t="shared" si="14"/>
        <v>683608732.96000004</v>
      </c>
      <c r="Q26" s="28">
        <f t="shared" si="14"/>
        <v>373296806</v>
      </c>
      <c r="R26" s="28">
        <f t="shared" si="14"/>
        <v>1016247706.38</v>
      </c>
      <c r="S26" s="28">
        <f t="shared" si="14"/>
        <v>-129455312</v>
      </c>
      <c r="T26" s="28">
        <f t="shared" si="14"/>
        <v>-131865859.58</v>
      </c>
      <c r="U26" s="28">
        <f t="shared" si="14"/>
        <v>855242194</v>
      </c>
      <c r="V26" s="28">
        <f t="shared" si="14"/>
        <v>423714938</v>
      </c>
      <c r="W26" s="28">
        <f t="shared" si="14"/>
        <v>130018120</v>
      </c>
      <c r="X26" s="28">
        <f t="shared" si="14"/>
        <v>109174194.39</v>
      </c>
      <c r="Y26" s="28">
        <f t="shared" si="14"/>
        <v>272030145</v>
      </c>
      <c r="Z26" s="28">
        <f t="shared" si="14"/>
        <v>341863286</v>
      </c>
      <c r="AA26" s="28">
        <f t="shared" si="14"/>
        <v>-61364322</v>
      </c>
      <c r="AB26" s="28">
        <f t="shared" si="14"/>
        <v>288395785.77999997</v>
      </c>
      <c r="AC26" s="28">
        <f t="shared" si="14"/>
        <v>44819077</v>
      </c>
      <c r="AD26" s="28">
        <f t="shared" si="14"/>
        <v>261056152.16</v>
      </c>
      <c r="AE26" s="28">
        <f t="shared" si="14"/>
        <v>-132275155</v>
      </c>
      <c r="AF26" s="28">
        <f t="shared" si="14"/>
        <v>4982906.4400000004</v>
      </c>
      <c r="AG26" s="28">
        <f t="shared" si="14"/>
        <v>40962708</v>
      </c>
      <c r="AH26" s="28">
        <f t="shared" si="14"/>
        <v>144210853.19</v>
      </c>
      <c r="AI26" s="28">
        <f t="shared" si="14"/>
        <v>-21930099.040000021</v>
      </c>
      <c r="AJ26" s="28">
        <f t="shared" si="14"/>
        <v>1057522.51</v>
      </c>
      <c r="AK26" s="28">
        <f t="shared" si="14"/>
        <v>49163726.120000005</v>
      </c>
      <c r="AL26" s="28">
        <f t="shared" si="14"/>
        <v>294444229.56999999</v>
      </c>
      <c r="AM26" s="28">
        <f t="shared" si="14"/>
        <v>-100585.33999997377</v>
      </c>
      <c r="AN26" s="28">
        <f t="shared" si="14"/>
        <v>52594408.520000003</v>
      </c>
      <c r="AO26" s="28">
        <f t="shared" si="14"/>
        <v>46528879.480000019</v>
      </c>
      <c r="AP26" s="28">
        <f t="shared" si="14"/>
        <v>206946646.78999999</v>
      </c>
      <c r="AQ26" s="28">
        <f t="shared" si="14"/>
        <v>137484088.03</v>
      </c>
      <c r="AR26" s="28">
        <f t="shared" si="14"/>
        <v>-22899869.550000001</v>
      </c>
      <c r="AS26" s="28">
        <f t="shared" si="14"/>
        <v>50325232.680000007</v>
      </c>
      <c r="AT26" s="28">
        <f t="shared" si="14"/>
        <v>61401203.799999997</v>
      </c>
      <c r="AU26" s="28">
        <f t="shared" si="14"/>
        <v>59537584.969999999</v>
      </c>
      <c r="AV26" s="28">
        <f t="shared" si="14"/>
        <v>53065571.369999997</v>
      </c>
      <c r="AW26" s="28">
        <f t="shared" si="14"/>
        <v>151964101.56</v>
      </c>
      <c r="AX26" s="28">
        <f t="shared" si="14"/>
        <v>168409094.51999998</v>
      </c>
      <c r="AY26" s="28">
        <f t="shared" si="14"/>
        <v>55396545.539999992</v>
      </c>
      <c r="AZ26" s="28">
        <f t="shared" si="14"/>
        <v>74741725.629999995</v>
      </c>
      <c r="BA26" s="28">
        <f t="shared" si="14"/>
        <v>45909755.23999998</v>
      </c>
      <c r="BB26" s="28">
        <f t="shared" si="14"/>
        <v>57173688.520000003</v>
      </c>
      <c r="BC26" s="28">
        <f t="shared" si="14"/>
        <v>23072643.129999999</v>
      </c>
      <c r="BD26" s="28">
        <f t="shared" si="14"/>
        <v>-23385970.060000002</v>
      </c>
      <c r="BE26" s="28">
        <f t="shared" si="14"/>
        <v>-21920455.089999996</v>
      </c>
      <c r="BF26" s="28">
        <f t="shared" si="14"/>
        <v>-50856301.990000002</v>
      </c>
      <c r="BG26" s="28">
        <f t="shared" si="14"/>
        <v>-22297893.169999998</v>
      </c>
      <c r="BH26" s="28">
        <f t="shared" si="14"/>
        <v>25930210.610000003</v>
      </c>
      <c r="BI26" s="28">
        <f t="shared" si="14"/>
        <v>-28781318.979999997</v>
      </c>
      <c r="BJ26" s="28">
        <f t="shared" si="14"/>
        <v>-14478365.659999998</v>
      </c>
      <c r="BK26" s="28">
        <f t="shared" si="14"/>
        <v>-15273012.930000002</v>
      </c>
      <c r="BL26" s="28">
        <f t="shared" si="14"/>
        <v>5328451.95</v>
      </c>
      <c r="BM26" s="28">
        <f t="shared" si="14"/>
        <v>-34352985.610000007</v>
      </c>
      <c r="BN26" s="28">
        <f t="shared" si="14"/>
        <v>23194922.43</v>
      </c>
      <c r="BO26" s="28">
        <f t="shared" si="14"/>
        <v>59400503.420000002</v>
      </c>
      <c r="BP26" s="28">
        <f t="shared" si="14"/>
        <v>11904890.800000001</v>
      </c>
      <c r="BQ26" s="28">
        <f t="shared" si="14"/>
        <v>-12454268.310000002</v>
      </c>
      <c r="BR26" s="28">
        <f t="shared" ref="BR26:CK26" si="15">BR14-BR25</f>
        <v>-6122574.9699999997</v>
      </c>
      <c r="BS26" s="28">
        <f t="shared" si="15"/>
        <v>-45518398.560000002</v>
      </c>
      <c r="BT26" s="28">
        <f t="shared" si="15"/>
        <v>-998757.51999999955</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ht="67.5">
      <c r="A27" s="274" t="s">
        <v>751</v>
      </c>
      <c r="E27" s="26">
        <f>E26</f>
        <v>589127424.00999999</v>
      </c>
      <c r="F27" s="192">
        <f t="shared" ref="F27:BQ27" si="16">F26</f>
        <v>1296493066.79</v>
      </c>
      <c r="G27" s="192">
        <f t="shared" si="16"/>
        <v>-712740861.37999988</v>
      </c>
      <c r="H27" s="192">
        <f t="shared" si="16"/>
        <v>-931880681.86000001</v>
      </c>
      <c r="I27" s="192">
        <f t="shared" si="16"/>
        <v>-275234012.10999978</v>
      </c>
      <c r="J27" s="192">
        <f t="shared" si="16"/>
        <v>-416608018.76999998</v>
      </c>
      <c r="K27" s="192">
        <f t="shared" si="16"/>
        <v>-2229046297</v>
      </c>
      <c r="L27" s="192">
        <f t="shared" si="16"/>
        <v>-1012563612.22</v>
      </c>
      <c r="M27" s="192">
        <f t="shared" si="16"/>
        <v>3002168330</v>
      </c>
      <c r="N27" s="192">
        <f t="shared" si="16"/>
        <v>1669868549.6900001</v>
      </c>
      <c r="O27" s="192">
        <f t="shared" si="16"/>
        <v>112437818</v>
      </c>
      <c r="P27" s="192">
        <f t="shared" si="16"/>
        <v>683608732.96000004</v>
      </c>
      <c r="Q27" s="192">
        <f t="shared" si="16"/>
        <v>373296806</v>
      </c>
      <c r="R27" s="192">
        <f t="shared" si="16"/>
        <v>1016247706.38</v>
      </c>
      <c r="S27" s="192">
        <f t="shared" si="16"/>
        <v>-129455312</v>
      </c>
      <c r="T27" s="192">
        <f t="shared" si="16"/>
        <v>-131865859.58</v>
      </c>
      <c r="U27" s="192">
        <f t="shared" si="16"/>
        <v>855242194</v>
      </c>
      <c r="V27" s="192">
        <f t="shared" si="16"/>
        <v>423714938</v>
      </c>
      <c r="W27" s="192">
        <f t="shared" si="16"/>
        <v>130018120</v>
      </c>
      <c r="X27" s="192">
        <f t="shared" si="16"/>
        <v>109174194.39</v>
      </c>
      <c r="Y27" s="192">
        <f t="shared" si="16"/>
        <v>272030145</v>
      </c>
      <c r="Z27" s="192">
        <f t="shared" si="16"/>
        <v>341863286</v>
      </c>
      <c r="AA27" s="192">
        <f t="shared" si="16"/>
        <v>-61364322</v>
      </c>
      <c r="AB27" s="192">
        <f t="shared" si="16"/>
        <v>288395785.77999997</v>
      </c>
      <c r="AC27" s="192">
        <f t="shared" si="16"/>
        <v>44819077</v>
      </c>
      <c r="AD27" s="192">
        <f t="shared" si="16"/>
        <v>261056152.16</v>
      </c>
      <c r="AE27" s="192">
        <f t="shared" si="16"/>
        <v>-132275155</v>
      </c>
      <c r="AF27" s="192">
        <f t="shared" si="16"/>
        <v>4982906.4400000004</v>
      </c>
      <c r="AG27" s="192">
        <f t="shared" si="16"/>
        <v>40962708</v>
      </c>
      <c r="AH27" s="192">
        <f t="shared" si="16"/>
        <v>144210853.19</v>
      </c>
      <c r="AI27" s="192">
        <f t="shared" si="16"/>
        <v>-21930099.040000021</v>
      </c>
      <c r="AJ27" s="192">
        <f t="shared" si="16"/>
        <v>1057522.51</v>
      </c>
      <c r="AK27" s="192">
        <f t="shared" si="16"/>
        <v>49163726.120000005</v>
      </c>
      <c r="AL27" s="192">
        <f t="shared" si="16"/>
        <v>294444229.56999999</v>
      </c>
      <c r="AM27" s="192">
        <f t="shared" si="16"/>
        <v>-100585.33999997377</v>
      </c>
      <c r="AN27" s="192">
        <f t="shared" si="16"/>
        <v>52594408.520000003</v>
      </c>
      <c r="AO27" s="192">
        <f t="shared" si="16"/>
        <v>46528879.480000019</v>
      </c>
      <c r="AP27" s="192">
        <f t="shared" si="16"/>
        <v>206946646.78999999</v>
      </c>
      <c r="AQ27" s="192">
        <f t="shared" si="16"/>
        <v>137484088.03</v>
      </c>
      <c r="AR27" s="192">
        <f t="shared" si="16"/>
        <v>-22899869.550000001</v>
      </c>
      <c r="AS27" s="192">
        <f t="shared" si="16"/>
        <v>50325232.680000007</v>
      </c>
      <c r="AT27" s="192">
        <f t="shared" si="16"/>
        <v>61401203.799999997</v>
      </c>
      <c r="AU27" s="192">
        <f t="shared" si="16"/>
        <v>59537584.969999999</v>
      </c>
      <c r="AV27" s="192">
        <f t="shared" si="16"/>
        <v>53065571.369999997</v>
      </c>
      <c r="AW27" s="192">
        <f t="shared" si="16"/>
        <v>151964101.56</v>
      </c>
      <c r="AX27" s="192">
        <f t="shared" si="16"/>
        <v>168409094.51999998</v>
      </c>
      <c r="AY27" s="192">
        <f t="shared" si="16"/>
        <v>55396545.539999992</v>
      </c>
      <c r="AZ27" s="192">
        <f t="shared" si="16"/>
        <v>74741725.629999995</v>
      </c>
      <c r="BA27" s="192">
        <f t="shared" si="16"/>
        <v>45909755.23999998</v>
      </c>
      <c r="BB27" s="192">
        <f t="shared" si="16"/>
        <v>57173688.520000003</v>
      </c>
      <c r="BC27" s="192">
        <f t="shared" si="16"/>
        <v>23072643.129999999</v>
      </c>
      <c r="BD27" s="192">
        <f t="shared" si="16"/>
        <v>-23385970.060000002</v>
      </c>
      <c r="BE27" s="192">
        <f t="shared" si="16"/>
        <v>-21920455.089999996</v>
      </c>
      <c r="BF27" s="192">
        <f t="shared" si="16"/>
        <v>-50856301.990000002</v>
      </c>
      <c r="BG27" s="192">
        <f t="shared" si="16"/>
        <v>-22297893.169999998</v>
      </c>
      <c r="BH27" s="192">
        <f t="shared" si="16"/>
        <v>25930210.610000003</v>
      </c>
      <c r="BI27" s="192">
        <f t="shared" si="16"/>
        <v>-28781318.979999997</v>
      </c>
      <c r="BJ27" s="192">
        <f t="shared" si="16"/>
        <v>-14478365.659999998</v>
      </c>
      <c r="BK27" s="192">
        <f t="shared" si="16"/>
        <v>-15273012.930000002</v>
      </c>
      <c r="BL27" s="192">
        <f t="shared" si="16"/>
        <v>5328451.95</v>
      </c>
      <c r="BM27" s="192">
        <f t="shared" si="16"/>
        <v>-34352985.610000007</v>
      </c>
      <c r="BN27" s="192">
        <f t="shared" si="16"/>
        <v>23194922.43</v>
      </c>
      <c r="BO27" s="192">
        <f t="shared" si="16"/>
        <v>59400503.420000002</v>
      </c>
      <c r="BP27" s="192">
        <f t="shared" si="16"/>
        <v>11904890.800000001</v>
      </c>
      <c r="BQ27" s="192">
        <f t="shared" si="16"/>
        <v>-12454268.310000002</v>
      </c>
      <c r="BR27" s="192">
        <f t="shared" ref="BR27:CL27" si="17">BR26</f>
        <v>-6122574.9699999997</v>
      </c>
      <c r="BS27" s="192">
        <f t="shared" si="17"/>
        <v>-45518398.560000002</v>
      </c>
      <c r="BT27" s="192">
        <f t="shared" si="17"/>
        <v>-998757.51999999955</v>
      </c>
      <c r="BU27" s="192">
        <f t="shared" si="17"/>
        <v>0</v>
      </c>
      <c r="BV27" s="192">
        <f t="shared" si="17"/>
        <v>0</v>
      </c>
      <c r="BW27" s="192">
        <f t="shared" si="17"/>
        <v>0</v>
      </c>
      <c r="BX27" s="192">
        <f t="shared" si="17"/>
        <v>0</v>
      </c>
      <c r="BY27" s="192">
        <f t="shared" si="17"/>
        <v>0</v>
      </c>
      <c r="BZ27" s="192">
        <f t="shared" si="17"/>
        <v>0</v>
      </c>
      <c r="CA27" s="192">
        <f t="shared" si="17"/>
        <v>0</v>
      </c>
      <c r="CB27" s="192">
        <f t="shared" si="17"/>
        <v>0</v>
      </c>
      <c r="CC27" s="192">
        <f t="shared" si="17"/>
        <v>0</v>
      </c>
      <c r="CD27" s="192">
        <f t="shared" si="17"/>
        <v>0</v>
      </c>
      <c r="CE27" s="192">
        <f t="shared" si="17"/>
        <v>0</v>
      </c>
      <c r="CF27" s="192">
        <f t="shared" si="17"/>
        <v>0</v>
      </c>
      <c r="CG27" s="192">
        <f t="shared" si="17"/>
        <v>0</v>
      </c>
      <c r="CH27" s="192">
        <f t="shared" si="17"/>
        <v>0</v>
      </c>
      <c r="CI27" s="192">
        <f t="shared" si="17"/>
        <v>0</v>
      </c>
      <c r="CJ27" s="192">
        <f t="shared" si="17"/>
        <v>0</v>
      </c>
      <c r="CK27" s="192">
        <f t="shared" si="17"/>
        <v>0</v>
      </c>
      <c r="CL27" s="192">
        <f t="shared" si="17"/>
        <v>0</v>
      </c>
    </row>
    <row r="28" spans="1:90" s="63" customFormat="1">
      <c r="A28" s="17" t="s">
        <v>509</v>
      </c>
      <c r="E28" s="63">
        <f>(E27-I27)/I27</f>
        <v>-3.1404601106296042</v>
      </c>
      <c r="F28" s="63">
        <f t="shared" ref="F28:BQ28" si="18">(F27-J27)/J27</f>
        <v>-4.1120213927177547</v>
      </c>
      <c r="G28" s="63">
        <f t="shared" si="18"/>
        <v>-0.6802485159957179</v>
      </c>
      <c r="H28" s="63">
        <f t="shared" si="18"/>
        <v>-7.9681838638370903E-2</v>
      </c>
      <c r="I28" s="63">
        <f t="shared" si="18"/>
        <v>-1.0916784076894182</v>
      </c>
      <c r="J28" s="63">
        <f t="shared" si="18"/>
        <v>-1.249485517196752</v>
      </c>
      <c r="K28" s="63">
        <f t="shared" si="18"/>
        <v>-20.82470254803415</v>
      </c>
      <c r="L28" s="63">
        <f t="shared" si="18"/>
        <v>-2.4812034478196874</v>
      </c>
      <c r="M28" s="63">
        <f t="shared" si="18"/>
        <v>7.0423091806469946</v>
      </c>
      <c r="N28" s="63">
        <f t="shared" si="18"/>
        <v>0.6431707931113354</v>
      </c>
      <c r="O28" s="63">
        <f t="shared" si="18"/>
        <v>-1.8685454174333147</v>
      </c>
      <c r="P28" s="63">
        <f t="shared" si="18"/>
        <v>-6.1841222219104433</v>
      </c>
      <c r="Q28" s="63">
        <f t="shared" si="18"/>
        <v>-0.56351918951276625</v>
      </c>
      <c r="R28" s="63">
        <f t="shared" si="18"/>
        <v>1.3984231265879987</v>
      </c>
      <c r="S28" s="63">
        <f t="shared" si="18"/>
        <v>-1.9956713110449529</v>
      </c>
      <c r="T28" s="63">
        <f t="shared" si="18"/>
        <v>-2.2078482494584679</v>
      </c>
      <c r="U28" s="63">
        <f t="shared" si="18"/>
        <v>2.143924339708748</v>
      </c>
      <c r="V28" s="63">
        <f t="shared" si="18"/>
        <v>0.23942802679314326</v>
      </c>
      <c r="W28" s="63">
        <f t="shared" si="18"/>
        <v>-3.1187901334589827</v>
      </c>
      <c r="X28" s="63">
        <f t="shared" si="18"/>
        <v>-0.6214431702088653</v>
      </c>
      <c r="Y28" s="63">
        <f t="shared" si="18"/>
        <v>5.0695168934424952</v>
      </c>
      <c r="Z28" s="63">
        <f t="shared" si="18"/>
        <v>0.30953928176522622</v>
      </c>
      <c r="AA28" s="63">
        <f t="shared" si="18"/>
        <v>-0.53608580538045869</v>
      </c>
      <c r="AB28" s="63">
        <f t="shared" si="18"/>
        <v>56.877022025723598</v>
      </c>
      <c r="AC28" s="63">
        <f t="shared" si="18"/>
        <v>9.4143409659341856E-2</v>
      </c>
      <c r="AD28" s="63">
        <f t="shared" si="18"/>
        <v>0.81023928771889686</v>
      </c>
      <c r="AE28" s="63">
        <f t="shared" si="18"/>
        <v>5.0316715742474765</v>
      </c>
      <c r="AF28" s="63">
        <f t="shared" si="18"/>
        <v>3.711867967708792</v>
      </c>
      <c r="AG28" s="63">
        <f t="shared" si="18"/>
        <v>-0.16681034509025541</v>
      </c>
      <c r="AH28" s="63">
        <f t="shared" si="18"/>
        <v>-0.51022693363492833</v>
      </c>
      <c r="AI28" s="63">
        <f t="shared" si="18"/>
        <v>217.02480401225208</v>
      </c>
      <c r="AJ28" s="63">
        <f t="shared" si="18"/>
        <v>-0.9798928718896448</v>
      </c>
      <c r="AK28" s="63">
        <f t="shared" si="18"/>
        <v>5.6628198861581193E-2</v>
      </c>
      <c r="AL28" s="63">
        <f t="shared" si="18"/>
        <v>0.42280261186734064</v>
      </c>
      <c r="AM28" s="63">
        <f t="shared" si="18"/>
        <v>-1.0007316144103746</v>
      </c>
      <c r="AN28" s="63">
        <f t="shared" si="18"/>
        <v>-3.2967121452445132</v>
      </c>
      <c r="AO28" s="63">
        <f t="shared" si="18"/>
        <v>-7.5436376502014957E-2</v>
      </c>
      <c r="AP28" s="63">
        <f t="shared" si="18"/>
        <v>2.3704004804869969</v>
      </c>
      <c r="AQ28" s="63">
        <f t="shared" si="18"/>
        <v>1.3091982669313167</v>
      </c>
      <c r="AR28" s="63">
        <f t="shared" si="18"/>
        <v>-1.431539112060634</v>
      </c>
      <c r="AS28" s="63">
        <f t="shared" si="18"/>
        <v>-0.66883473028575702</v>
      </c>
      <c r="AT28" s="63">
        <f t="shared" si="18"/>
        <v>-0.63540446568514686</v>
      </c>
      <c r="AU28" s="63">
        <f t="shared" si="18"/>
        <v>7.4752665344626976E-2</v>
      </c>
      <c r="AV28" s="63">
        <f t="shared" si="18"/>
        <v>-0.2900140995848185</v>
      </c>
      <c r="AW28" s="63">
        <f t="shared" si="18"/>
        <v>2.3100612444040567</v>
      </c>
      <c r="AX28" s="63">
        <f t="shared" si="18"/>
        <v>1.9455698745252121</v>
      </c>
      <c r="AY28" s="63">
        <f t="shared" si="18"/>
        <v>1.4009622663461181</v>
      </c>
      <c r="AZ28" s="63">
        <f t="shared" si="18"/>
        <v>-4.1960070691204843</v>
      </c>
      <c r="BA28" s="63">
        <f t="shared" si="18"/>
        <v>-3.0943796582464107</v>
      </c>
      <c r="BB28" s="63">
        <f t="shared" si="18"/>
        <v>-2.1242203283133367</v>
      </c>
      <c r="BC28" s="63">
        <f t="shared" si="18"/>
        <v>-2.0347454333058859</v>
      </c>
      <c r="BD28" s="63">
        <f t="shared" si="18"/>
        <v>-1.9018812230927729</v>
      </c>
      <c r="BE28" s="63">
        <f t="shared" si="18"/>
        <v>-0.23837906437740336</v>
      </c>
      <c r="BF28" s="63">
        <f t="shared" si="18"/>
        <v>2.5125720115290977</v>
      </c>
      <c r="BG28" s="63">
        <f t="shared" si="18"/>
        <v>0.45995379380589552</v>
      </c>
      <c r="BH28" s="63">
        <f t="shared" si="18"/>
        <v>3.8663684787473787</v>
      </c>
      <c r="BI28" s="63">
        <f t="shared" si="18"/>
        <v>-0.16218871609162616</v>
      </c>
      <c r="BJ28" s="63">
        <f t="shared" si="18"/>
        <v>-1.6242040991382611</v>
      </c>
      <c r="BK28" s="63">
        <f t="shared" si="18"/>
        <v>-1.2571192506906872</v>
      </c>
      <c r="BL28" s="63">
        <f t="shared" si="18"/>
        <v>-0.55241488229358648</v>
      </c>
      <c r="BM28" s="63">
        <f t="shared" si="18"/>
        <v>1.7583302972858468</v>
      </c>
      <c r="BN28" s="63">
        <f t="shared" si="18"/>
        <v>-4.7884260370273584</v>
      </c>
      <c r="BO28" s="63">
        <f t="shared" si="18"/>
        <v>-2.3049778836507469</v>
      </c>
      <c r="BP28" s="63">
        <f t="shared" si="18"/>
        <v>-12.919700789837362</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15" customHeight="1">
      <c r="A29" s="279" t="s">
        <v>736</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c r="A30" s="111" t="s">
        <v>567</v>
      </c>
      <c r="B30" s="96"/>
      <c r="C30" s="96"/>
      <c r="D30" s="96"/>
      <c r="E30" s="96" t="s">
        <v>566</v>
      </c>
      <c r="F30" s="96"/>
      <c r="G30" s="96"/>
      <c r="H30" s="96"/>
      <c r="I30" s="96" t="s">
        <v>600</v>
      </c>
      <c r="M30" s="96" t="s">
        <v>568</v>
      </c>
      <c r="Q30" s="114" t="s">
        <v>606</v>
      </c>
      <c r="R30" s="114"/>
      <c r="S30" s="114"/>
      <c r="T30" s="114"/>
      <c r="U30" s="114" t="s">
        <v>603</v>
      </c>
      <c r="V30" s="114"/>
      <c r="W30" s="114"/>
      <c r="X30" s="114"/>
      <c r="Y30" s="114" t="s">
        <v>604</v>
      </c>
      <c r="Z30" s="114"/>
      <c r="AA30" s="114"/>
      <c r="AB30" s="114"/>
      <c r="AC30" s="114" t="s">
        <v>605</v>
      </c>
    </row>
    <row r="31" spans="1:90" s="63" customFormat="1">
      <c r="A31" s="111" t="s">
        <v>569</v>
      </c>
      <c r="B31" s="112"/>
      <c r="C31" s="112"/>
      <c r="D31" s="112"/>
      <c r="E31" s="112">
        <f>POWER(E27/U27,1/5)-1</f>
        <v>-7.1837486633847814E-2</v>
      </c>
      <c r="F31" s="112"/>
      <c r="G31" s="112"/>
      <c r="H31" s="112"/>
      <c r="I31" s="112">
        <f>POWER(E27/Y27,1/6)-1</f>
        <v>0.13744926510717748</v>
      </c>
      <c r="M31" s="112">
        <f>POWER(E27/AC27,1/7)-1</f>
        <v>0.44484381925844207</v>
      </c>
      <c r="Q31" s="115" t="s">
        <v>602</v>
      </c>
      <c r="R31" s="115"/>
      <c r="S31" s="115"/>
      <c r="T31" s="115"/>
      <c r="U31" s="115">
        <f>POWER(E14/U14,1/5)-1</f>
        <v>6.2071734184582228E-2</v>
      </c>
      <c r="V31" s="115"/>
      <c r="W31" s="115"/>
      <c r="X31" s="115"/>
      <c r="Y31" s="115">
        <f>POWER(E14/Y14,1/6)-1</f>
        <v>0.15317882274289008</v>
      </c>
      <c r="Z31" s="115"/>
      <c r="AA31" s="115"/>
      <c r="AB31" s="115"/>
      <c r="AC31" s="115">
        <f>POWER(E14/AC14,1/7)-1</f>
        <v>0.20103157355098755</v>
      </c>
    </row>
    <row r="32" spans="1:90" s="66" customFormat="1">
      <c r="A32" s="46" t="s">
        <v>511</v>
      </c>
      <c r="E32" s="66">
        <v>0.17</v>
      </c>
    </row>
    <row r="39" spans="1:13" ht="40.5">
      <c r="A39" s="67" t="s">
        <v>512</v>
      </c>
    </row>
    <row r="41" spans="1:13" ht="111" customHeight="1">
      <c r="A41" s="279" t="s">
        <v>735</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根据DCF测算价值表"/>
  <dimension ref="A1:BV71"/>
  <sheetViews>
    <sheetView tabSelected="1" workbookViewId="0">
      <selection activeCell="B3" sqref="B3"/>
    </sheetView>
  </sheetViews>
  <sheetFormatPr defaultRowHeight="13.5"/>
  <cols>
    <col min="1" max="1" width="42.5" style="17" bestFit="1" customWidth="1"/>
    <col min="2" max="2" width="23.25" style="26" bestFit="1" customWidth="1"/>
    <col min="3" max="3" width="37.125" bestFit="1" customWidth="1"/>
    <col min="4" max="4" width="23.25" bestFit="1" customWidth="1"/>
    <col min="5" max="8" width="19.375" bestFit="1" customWidth="1"/>
    <col min="9" max="9" width="20.5" bestFit="1" customWidth="1"/>
    <col min="10" max="11" width="19.375" bestFit="1" customWidth="1"/>
    <col min="12" max="12" width="38.25" bestFit="1" customWidth="1"/>
    <col min="13" max="18" width="19.375" bestFit="1" customWidth="1"/>
    <col min="19" max="19" width="20.5" bestFit="1" customWidth="1"/>
    <col min="20" max="74" width="9.5" bestFit="1" customWidth="1"/>
  </cols>
  <sheetData>
    <row r="1" spans="1:10" ht="16.149999999999999" customHeight="1">
      <c r="A1" s="68" t="s">
        <v>513</v>
      </c>
      <c r="B1" s="69">
        <f>自由现金流分析表!E1</f>
        <v>43100</v>
      </c>
      <c r="C1" s="190" t="s">
        <v>750</v>
      </c>
      <c r="D1" s="273">
        <v>0.08</v>
      </c>
      <c r="E1" s="261" t="s">
        <v>749</v>
      </c>
      <c r="F1" s="63">
        <f>平均资本成本表!E13</f>
        <v>6.0101320187343439E-2</v>
      </c>
    </row>
    <row r="2" spans="1:10">
      <c r="A2" s="70" t="s">
        <v>514</v>
      </c>
      <c r="B2" s="71">
        <f>(自由现金流分析表!E27+自由现金流分析表!I27+自由现金流分析表!M27)/3</f>
        <v>1105353913.9666667</v>
      </c>
      <c r="C2" t="s">
        <v>547</v>
      </c>
      <c r="D2" s="63"/>
      <c r="E2" s="63"/>
      <c r="F2" s="56"/>
    </row>
    <row r="3" spans="1:10" s="63" customFormat="1">
      <c r="A3" s="72" t="s">
        <v>515</v>
      </c>
      <c r="B3" s="98">
        <v>0.05</v>
      </c>
      <c r="D3" s="189"/>
      <c r="E3" s="189"/>
      <c r="F3" s="259"/>
    </row>
    <row r="4" spans="1:10" s="63" customFormat="1">
      <c r="A4" s="72" t="s">
        <v>516</v>
      </c>
      <c r="B4" s="98">
        <v>0.08</v>
      </c>
      <c r="D4" s="189"/>
      <c r="E4" s="189"/>
      <c r="F4" s="260"/>
    </row>
    <row r="5" spans="1:10">
      <c r="A5" s="70" t="s">
        <v>517</v>
      </c>
      <c r="B5" s="71">
        <f>B2*(1+B3)/(B4-B3)</f>
        <v>38687386988.833344</v>
      </c>
      <c r="D5" s="63"/>
      <c r="E5" s="63"/>
    </row>
    <row r="6" spans="1:10">
      <c r="A6" s="70" t="s">
        <v>518</v>
      </c>
      <c r="B6" s="71">
        <f>资产资本表!E17</f>
        <v>4322850458.8299999</v>
      </c>
      <c r="D6" s="189"/>
      <c r="E6" s="189"/>
      <c r="F6" s="189"/>
      <c r="G6" s="189"/>
    </row>
    <row r="7" spans="1:10">
      <c r="A7" s="70" t="s">
        <v>519</v>
      </c>
      <c r="B7" s="71">
        <f>资产资本表!E19</f>
        <v>313407773.91000003</v>
      </c>
      <c r="D7" s="189"/>
      <c r="E7" s="189"/>
      <c r="F7" s="189"/>
      <c r="G7" s="189"/>
    </row>
    <row r="8" spans="1:10">
      <c r="A8" s="70" t="s">
        <v>520</v>
      </c>
      <c r="B8" s="196">
        <f>资产资本表!E89</f>
        <v>7163731137.7200003</v>
      </c>
      <c r="C8" s="271" t="s">
        <v>747</v>
      </c>
      <c r="D8" s="272">
        <f>B2/B4</f>
        <v>13816923924.583334</v>
      </c>
      <c r="E8" s="63"/>
      <c r="F8" s="189"/>
      <c r="G8" s="189"/>
    </row>
    <row r="9" spans="1:10">
      <c r="A9" s="70" t="s">
        <v>521</v>
      </c>
      <c r="B9" s="196">
        <f>B5+B6+B7-B8</f>
        <v>36159914083.853348</v>
      </c>
      <c r="C9" s="271" t="s">
        <v>748</v>
      </c>
      <c r="D9" s="272">
        <f>(D8+资产资本结构分析表!$E$2+资产资本结构分析表!$E$3)/B55</f>
        <v>9.0098015098817097</v>
      </c>
      <c r="E9" s="189"/>
      <c r="F9" s="189"/>
      <c r="G9" s="189"/>
    </row>
    <row r="10" spans="1:10">
      <c r="A10" s="70" t="s">
        <v>522</v>
      </c>
      <c r="B10" s="73">
        <f>资产资本表!E103/资产资本表!E107</f>
        <v>0</v>
      </c>
      <c r="D10" s="189"/>
      <c r="E10" s="189"/>
      <c r="F10" s="189"/>
      <c r="G10" s="189"/>
    </row>
    <row r="11" spans="1:10">
      <c r="A11" s="70" t="s">
        <v>548</v>
      </c>
      <c r="B11" s="196">
        <f>B9*(1-B10)</f>
        <v>36159914083.853348</v>
      </c>
      <c r="C11" s="268" t="s">
        <v>744</v>
      </c>
      <c r="D11" s="269">
        <f>资产资本结构分析表!E2</f>
        <v>4322850458.8299999</v>
      </c>
      <c r="E11" s="63"/>
      <c r="F11" s="189"/>
      <c r="G11" s="189"/>
    </row>
    <row r="12" spans="1:10">
      <c r="A12" s="70" t="s">
        <v>523</v>
      </c>
      <c r="B12" s="267">
        <f>B55</f>
        <v>2048123051</v>
      </c>
      <c r="C12" s="268" t="s">
        <v>745</v>
      </c>
      <c r="D12" s="270">
        <f>D11/B55</f>
        <v>2.1106400109697314</v>
      </c>
      <c r="E12" s="189"/>
      <c r="F12" s="189"/>
      <c r="G12" s="189"/>
    </row>
    <row r="13" spans="1:10" ht="14.25" thickBot="1">
      <c r="A13" s="74" t="s">
        <v>524</v>
      </c>
      <c r="B13" s="75">
        <f>B11/B12</f>
        <v>17.655147265784738</v>
      </c>
      <c r="D13" s="189"/>
      <c r="E13" s="189"/>
    </row>
    <row r="14" spans="1:10" s="16" customFormat="1" ht="53.25" customHeight="1">
      <c r="A14" s="279" t="s">
        <v>737</v>
      </c>
      <c r="B14" s="278"/>
      <c r="C14" s="278"/>
      <c r="D14" s="278"/>
      <c r="E14" s="278"/>
      <c r="F14" s="278"/>
      <c r="G14" s="278"/>
      <c r="H14" s="278"/>
      <c r="I14" s="278"/>
    </row>
    <row r="16" spans="1:10" ht="14.45">
      <c r="A16" s="88"/>
      <c r="B16" s="76"/>
      <c r="C16" s="77"/>
      <c r="D16" s="77"/>
      <c r="E16" s="77"/>
      <c r="F16" s="77"/>
      <c r="G16" s="77"/>
      <c r="H16" s="77"/>
      <c r="I16" s="78"/>
      <c r="J16" s="77"/>
    </row>
    <row r="17" spans="1:10" s="63" customFormat="1">
      <c r="A17" s="90"/>
      <c r="B17" s="90"/>
      <c r="C17" s="90" t="s">
        <v>540</v>
      </c>
      <c r="D17" s="90">
        <v>0.1</v>
      </c>
      <c r="E17" s="90"/>
      <c r="F17" s="90"/>
      <c r="G17" s="90"/>
      <c r="H17" s="90" t="s">
        <v>541</v>
      </c>
      <c r="I17" s="90">
        <v>0.04</v>
      </c>
      <c r="J17" s="78"/>
    </row>
    <row r="18" spans="1:10" s="2" customFormat="1">
      <c r="A18" s="300" t="s">
        <v>525</v>
      </c>
      <c r="B18" s="300"/>
      <c r="C18" s="65" t="s">
        <v>539</v>
      </c>
      <c r="D18" s="97">
        <v>1</v>
      </c>
      <c r="E18" s="97">
        <v>2</v>
      </c>
      <c r="F18" s="97">
        <v>3</v>
      </c>
      <c r="G18" s="97">
        <v>4</v>
      </c>
      <c r="H18" s="97">
        <v>5</v>
      </c>
      <c r="I18" s="96">
        <v>6</v>
      </c>
      <c r="J18" s="80"/>
    </row>
    <row r="19" spans="1:10" s="26" customFormat="1">
      <c r="A19" s="99" t="s">
        <v>526</v>
      </c>
      <c r="B19" s="94"/>
      <c r="C19" s="89">
        <f>B2</f>
        <v>1105353913.9666667</v>
      </c>
      <c r="D19" s="89">
        <f>C19*(1+$D$17)</f>
        <v>1215889305.3633335</v>
      </c>
      <c r="E19" s="89">
        <f>D19*(1+$D$17)</f>
        <v>1337478235.899667</v>
      </c>
      <c r="F19" s="89">
        <f>E19*(1+$D$17)</f>
        <v>1471226059.4896338</v>
      </c>
      <c r="G19" s="89">
        <f>F19*(1+$D$17)</f>
        <v>1618348665.4385972</v>
      </c>
      <c r="H19" s="89">
        <f>G19*(1+$D$17)</f>
        <v>1780183531.9824572</v>
      </c>
      <c r="I19" s="89">
        <f>H19*(1+I17)</f>
        <v>1851390873.2617555</v>
      </c>
      <c r="J19" s="76"/>
    </row>
    <row r="20" spans="1:10" s="26" customFormat="1">
      <c r="A20" s="99" t="s">
        <v>527</v>
      </c>
      <c r="B20" s="95">
        <f>B4</f>
        <v>0.08</v>
      </c>
      <c r="C20" s="89"/>
      <c r="D20" s="89">
        <f t="shared" ref="D20:I20" si="0">(1+$B$20)^D18</f>
        <v>1.08</v>
      </c>
      <c r="E20" s="89">
        <f t="shared" si="0"/>
        <v>1.1664000000000001</v>
      </c>
      <c r="F20" s="89">
        <f t="shared" si="0"/>
        <v>1.2597120000000002</v>
      </c>
      <c r="G20" s="89">
        <f t="shared" si="0"/>
        <v>1.3604889600000003</v>
      </c>
      <c r="H20" s="89">
        <f t="shared" si="0"/>
        <v>1.4693280768000003</v>
      </c>
      <c r="I20" s="89">
        <f t="shared" si="0"/>
        <v>1.5868743229440005</v>
      </c>
      <c r="J20" s="76"/>
    </row>
    <row r="21" spans="1:10" s="26" customFormat="1">
      <c r="A21" s="301" t="s">
        <v>528</v>
      </c>
      <c r="B21" s="301"/>
      <c r="C21" s="89"/>
      <c r="D21" s="89">
        <f>D19/D20</f>
        <v>1125823430.8919754</v>
      </c>
      <c r="E21" s="89">
        <f>E19/E20</f>
        <v>1146672012.9455307</v>
      </c>
      <c r="F21" s="89">
        <f>F19/F20</f>
        <v>1167906679.8519294</v>
      </c>
      <c r="G21" s="89">
        <f>G19/G20</f>
        <v>1189534581.3306687</v>
      </c>
      <c r="H21" s="89">
        <f>H19/H20</f>
        <v>1211562999.503459</v>
      </c>
      <c r="I21" s="89">
        <f>I19/((B20-I17)*I20)</f>
        <v>29167257395.453636</v>
      </c>
      <c r="J21" s="76"/>
    </row>
    <row r="22" spans="1:10" s="26" customFormat="1">
      <c r="A22" s="301" t="s">
        <v>546</v>
      </c>
      <c r="B22" s="301"/>
      <c r="C22" s="89"/>
      <c r="D22" s="297">
        <f>SUM(D21:H21)</f>
        <v>5841499704.5235634</v>
      </c>
      <c r="E22" s="298"/>
      <c r="F22" s="298"/>
      <c r="G22" s="298"/>
      <c r="H22" s="299"/>
      <c r="I22" s="89">
        <f>I21</f>
        <v>29167257395.453636</v>
      </c>
      <c r="J22" s="76"/>
    </row>
    <row r="23" spans="1:10">
      <c r="A23" s="92" t="s">
        <v>529</v>
      </c>
      <c r="B23" s="76">
        <f>D22+I22</f>
        <v>35008757099.977203</v>
      </c>
      <c r="C23" s="77"/>
      <c r="D23" s="77"/>
      <c r="E23" s="77"/>
      <c r="F23" s="77"/>
      <c r="G23" s="77"/>
      <c r="H23" s="77"/>
      <c r="I23" s="79"/>
      <c r="J23" s="77"/>
    </row>
    <row r="24" spans="1:10">
      <c r="A24" s="92" t="s">
        <v>530</v>
      </c>
      <c r="B24" s="76">
        <f>B23</f>
        <v>35008757099.977203</v>
      </c>
      <c r="C24" s="77"/>
      <c r="D24" s="77"/>
      <c r="E24" s="77"/>
      <c r="F24" s="77"/>
      <c r="G24" s="77"/>
      <c r="H24" s="77"/>
      <c r="I24" s="79"/>
      <c r="J24" s="77"/>
    </row>
    <row r="25" spans="1:10">
      <c r="A25" s="70" t="s">
        <v>531</v>
      </c>
      <c r="B25" s="71">
        <f>资产资本表!E17</f>
        <v>4322850458.8299999</v>
      </c>
      <c r="C25" s="77"/>
      <c r="D25" s="77"/>
      <c r="E25" s="77"/>
      <c r="F25" s="77"/>
      <c r="G25" s="77"/>
      <c r="H25" s="77"/>
      <c r="I25" s="79"/>
      <c r="J25" s="77"/>
    </row>
    <row r="26" spans="1:10">
      <c r="A26" s="70" t="s">
        <v>532</v>
      </c>
      <c r="B26" s="71">
        <f>资产资本表!E19</f>
        <v>313407773.91000003</v>
      </c>
      <c r="C26" s="77"/>
      <c r="D26" s="77"/>
      <c r="E26" s="77"/>
      <c r="F26" s="77"/>
      <c r="G26" s="77"/>
      <c r="H26" s="77"/>
      <c r="I26" s="79"/>
      <c r="J26" s="77"/>
    </row>
    <row r="27" spans="1:10">
      <c r="A27" s="70" t="s">
        <v>533</v>
      </c>
      <c r="B27" s="71">
        <f>资产资本表!E89</f>
        <v>7163731137.7200003</v>
      </c>
      <c r="C27" s="77"/>
      <c r="D27" s="77"/>
      <c r="E27" s="77"/>
      <c r="F27" s="77"/>
      <c r="G27" s="77"/>
      <c r="H27" s="77"/>
      <c r="I27" s="79"/>
      <c r="J27" s="77"/>
    </row>
    <row r="28" spans="1:10" s="2" customFormat="1">
      <c r="A28" s="82" t="s">
        <v>534</v>
      </c>
      <c r="B28" s="83">
        <f>B24+B25+B26-B27</f>
        <v>32481284194.997208</v>
      </c>
      <c r="C28" s="80"/>
      <c r="D28" s="80"/>
      <c r="E28" s="80"/>
      <c r="F28" s="80"/>
      <c r="G28" s="80"/>
      <c r="H28" s="80"/>
      <c r="I28" s="81"/>
      <c r="J28" s="80"/>
    </row>
    <row r="29" spans="1:10">
      <c r="A29" s="70" t="s">
        <v>535</v>
      </c>
      <c r="B29" s="78">
        <f>资产资本表!E103/资产资本表!E107</f>
        <v>0</v>
      </c>
      <c r="C29" s="302" t="s">
        <v>542</v>
      </c>
      <c r="D29" s="302"/>
      <c r="E29" s="302"/>
      <c r="F29" s="77"/>
      <c r="G29" s="77"/>
      <c r="H29" s="77"/>
      <c r="I29" s="79"/>
      <c r="J29" s="77"/>
    </row>
    <row r="30" spans="1:10" s="2" customFormat="1">
      <c r="A30" s="82" t="s">
        <v>536</v>
      </c>
      <c r="B30" s="83">
        <f>B28*(1-B29)</f>
        <v>32481284194.997208</v>
      </c>
      <c r="C30" s="91">
        <v>0.4</v>
      </c>
      <c r="D30" s="91">
        <v>0.3</v>
      </c>
      <c r="E30" s="91">
        <v>0.2</v>
      </c>
      <c r="F30" s="80"/>
      <c r="G30" s="80"/>
      <c r="H30" s="80"/>
      <c r="I30" s="81"/>
      <c r="J30" s="80"/>
    </row>
    <row r="31" spans="1:10">
      <c r="A31" s="70" t="s">
        <v>746</v>
      </c>
      <c r="B31" s="101">
        <f>B55</f>
        <v>2048123051</v>
      </c>
      <c r="C31" s="214">
        <f>$B$32*(1-C30)</f>
        <v>9.5154295087313692</v>
      </c>
      <c r="D31" s="214">
        <f>$B$32*(1-D30)</f>
        <v>11.101334426853263</v>
      </c>
      <c r="E31" s="214">
        <f>$B$32*(1-E30)</f>
        <v>12.687239344975161</v>
      </c>
      <c r="F31" s="77"/>
      <c r="G31" s="77"/>
      <c r="H31" s="77"/>
      <c r="I31" s="79"/>
      <c r="J31" s="77"/>
    </row>
    <row r="32" spans="1:10" s="2" customFormat="1" ht="14.25" thickBot="1">
      <c r="A32" s="84" t="s">
        <v>537</v>
      </c>
      <c r="B32" s="85">
        <f>B30/B31</f>
        <v>15.85904918121895</v>
      </c>
      <c r="C32" s="86"/>
      <c r="D32" s="86"/>
      <c r="E32" s="86"/>
      <c r="F32" s="86"/>
      <c r="G32" s="86"/>
      <c r="H32" s="86"/>
      <c r="I32" s="87"/>
      <c r="J32" s="80"/>
    </row>
    <row r="33" spans="1:19" ht="63" customHeight="1">
      <c r="A33" s="303" t="s">
        <v>738</v>
      </c>
      <c r="B33" s="304"/>
      <c r="C33" s="304"/>
      <c r="D33" s="304"/>
      <c r="E33" s="304"/>
      <c r="F33" s="304"/>
      <c r="G33" s="304"/>
      <c r="H33" s="304"/>
      <c r="I33" s="304"/>
    </row>
    <row r="37" spans="1:19" s="63" customFormat="1">
      <c r="A37" s="203"/>
      <c r="B37" s="203"/>
      <c r="C37" s="213" t="s">
        <v>540</v>
      </c>
      <c r="D37" s="213">
        <v>0.15</v>
      </c>
      <c r="E37" s="213"/>
      <c r="F37" s="213"/>
      <c r="G37" s="213"/>
      <c r="H37" s="213" t="s">
        <v>635</v>
      </c>
      <c r="I37" s="213">
        <v>0.09</v>
      </c>
      <c r="J37" s="213"/>
      <c r="K37" s="213"/>
      <c r="L37" s="213"/>
      <c r="M37" s="213"/>
      <c r="N37" s="213"/>
      <c r="O37" s="213"/>
      <c r="P37" s="213"/>
      <c r="Q37" s="213"/>
      <c r="R37" s="213" t="s">
        <v>545</v>
      </c>
      <c r="S37" s="213">
        <v>0.02</v>
      </c>
    </row>
    <row r="38" spans="1:19" s="24" customFormat="1">
      <c r="A38" s="311" t="s">
        <v>543</v>
      </c>
      <c r="B38" s="312"/>
      <c r="C38" s="215" t="s">
        <v>539</v>
      </c>
      <c r="D38" s="216">
        <v>1</v>
      </c>
      <c r="E38" s="216">
        <v>2</v>
      </c>
      <c r="F38" s="216">
        <v>3</v>
      </c>
      <c r="G38" s="216">
        <v>4</v>
      </c>
      <c r="H38" s="216">
        <v>5</v>
      </c>
      <c r="I38" s="217">
        <v>6</v>
      </c>
      <c r="J38" s="217">
        <v>7</v>
      </c>
      <c r="K38" s="217">
        <v>8</v>
      </c>
      <c r="L38" s="217">
        <v>9</v>
      </c>
      <c r="M38" s="217">
        <v>10</v>
      </c>
      <c r="N38" s="217">
        <v>11</v>
      </c>
      <c r="O38" s="217">
        <v>12</v>
      </c>
      <c r="P38" s="217">
        <v>13</v>
      </c>
      <c r="Q38" s="217">
        <v>14</v>
      </c>
      <c r="R38" s="217">
        <v>15</v>
      </c>
      <c r="S38" s="218">
        <v>16</v>
      </c>
    </row>
    <row r="39" spans="1:19" s="192" customFormat="1">
      <c r="A39" s="99" t="s">
        <v>526</v>
      </c>
      <c r="B39" s="94"/>
      <c r="C39" s="89">
        <f>B2</f>
        <v>1105353913.9666667</v>
      </c>
      <c r="D39" s="89">
        <f>$C$39*(1+$D$37)^D38</f>
        <v>1271157001.0616665</v>
      </c>
      <c r="E39" s="89">
        <f>$C$39*(1+$D$37)^E38</f>
        <v>1461830551.2209165</v>
      </c>
      <c r="F39" s="89">
        <f>$C$39*(1+$D$37)^F38</f>
        <v>1681105133.9040537</v>
      </c>
      <c r="G39" s="89">
        <f>$C$39*(1+$D$37)^G38</f>
        <v>1933270903.9896617</v>
      </c>
      <c r="H39" s="89">
        <f>$C$39*(1+$D$37)^H38</f>
        <v>2223261539.5881109</v>
      </c>
      <c r="I39" s="89">
        <f>H39*(1+$I$37)</f>
        <v>2423355078.151041</v>
      </c>
      <c r="J39" s="89">
        <f t="shared" ref="J39:N39" si="1">I39*(1+$I$37)</f>
        <v>2641457035.1846347</v>
      </c>
      <c r="K39" s="89">
        <f t="shared" si="1"/>
        <v>2879188168.3512521</v>
      </c>
      <c r="L39" s="89">
        <f t="shared" si="1"/>
        <v>3138315103.5028648</v>
      </c>
      <c r="M39" s="89">
        <f t="shared" si="1"/>
        <v>3420763462.8181229</v>
      </c>
      <c r="N39" s="89">
        <f t="shared" si="1"/>
        <v>3728632174.4717541</v>
      </c>
      <c r="O39" s="89">
        <f t="shared" ref="O39" si="2">N39*(1+$I$37)</f>
        <v>4064209070.1742125</v>
      </c>
      <c r="P39" s="89">
        <f t="shared" ref="P39" si="3">O39*(1+$I$37)</f>
        <v>4429987886.489892</v>
      </c>
      <c r="Q39" s="89">
        <f t="shared" ref="Q39" si="4">P39*(1+$I$37)</f>
        <v>4828686796.273983</v>
      </c>
      <c r="R39" s="89">
        <f t="shared" ref="R39" si="5">Q39*(1+$I$37)</f>
        <v>5263268607.9386415</v>
      </c>
      <c r="S39" s="89">
        <f>R39*(1+S37)</f>
        <v>5368533980.097414</v>
      </c>
    </row>
    <row r="40" spans="1:19" s="23" customFormat="1">
      <c r="A40" s="209" t="s">
        <v>527</v>
      </c>
      <c r="B40" s="208">
        <f>B4</f>
        <v>0.08</v>
      </c>
      <c r="C40" s="214"/>
      <c r="D40" s="214">
        <f>(1+$B$40)^D38</f>
        <v>1.08</v>
      </c>
      <c r="E40" s="214">
        <f t="shared" ref="E40:R40" si="6">(1+$B$40)^E38</f>
        <v>1.1664000000000001</v>
      </c>
      <c r="F40" s="214">
        <f t="shared" si="6"/>
        <v>1.2597120000000002</v>
      </c>
      <c r="G40" s="214">
        <f t="shared" si="6"/>
        <v>1.3604889600000003</v>
      </c>
      <c r="H40" s="214">
        <f t="shared" si="6"/>
        <v>1.4693280768000003</v>
      </c>
      <c r="I40" s="214">
        <f t="shared" si="6"/>
        <v>1.5868743229440005</v>
      </c>
      <c r="J40" s="214">
        <f t="shared" si="6"/>
        <v>1.7138242687795207</v>
      </c>
      <c r="K40" s="214">
        <f t="shared" si="6"/>
        <v>1.8509302102818823</v>
      </c>
      <c r="L40" s="214">
        <f t="shared" si="6"/>
        <v>1.9990046271044331</v>
      </c>
      <c r="M40" s="214">
        <f t="shared" si="6"/>
        <v>2.1589249972727877</v>
      </c>
      <c r="N40" s="214">
        <f t="shared" si="6"/>
        <v>2.3316389970546108</v>
      </c>
      <c r="O40" s="214">
        <f t="shared" si="6"/>
        <v>2.5181701168189798</v>
      </c>
      <c r="P40" s="214">
        <f t="shared" si="6"/>
        <v>2.7196237261644982</v>
      </c>
      <c r="Q40" s="214">
        <f t="shared" si="6"/>
        <v>2.9371936242576586</v>
      </c>
      <c r="R40" s="214">
        <f t="shared" si="6"/>
        <v>3.1721691141982715</v>
      </c>
      <c r="S40" s="182">
        <f>(1+$B$40)^S38</f>
        <v>3.4259426433341331</v>
      </c>
    </row>
    <row r="41" spans="1:19" s="192" customFormat="1">
      <c r="A41" s="313" t="s">
        <v>528</v>
      </c>
      <c r="B41" s="314"/>
      <c r="C41" s="89"/>
      <c r="D41" s="89">
        <f t="shared" ref="D41:R41" si="7">D39/D40</f>
        <v>1176997223.2052467</v>
      </c>
      <c r="E41" s="89">
        <f t="shared" si="7"/>
        <v>1253284080.2648461</v>
      </c>
      <c r="F41" s="89">
        <f t="shared" si="7"/>
        <v>1334515455.8375673</v>
      </c>
      <c r="G41" s="89">
        <f t="shared" si="7"/>
        <v>1421011827.9751871</v>
      </c>
      <c r="H41" s="89">
        <f t="shared" si="7"/>
        <v>1513114446.4550605</v>
      </c>
      <c r="I41" s="89">
        <f t="shared" si="7"/>
        <v>1527124765.4037182</v>
      </c>
      <c r="J41" s="89">
        <f t="shared" si="7"/>
        <v>1541264809.5278265</v>
      </c>
      <c r="K41" s="89">
        <f t="shared" si="7"/>
        <v>1555535779.9864178</v>
      </c>
      <c r="L41" s="89">
        <f t="shared" si="7"/>
        <v>1569938889.0603659</v>
      </c>
      <c r="M41" s="89">
        <f t="shared" si="7"/>
        <v>1584475360.2553694</v>
      </c>
      <c r="N41" s="89">
        <f t="shared" si="7"/>
        <v>1599146428.4058821</v>
      </c>
      <c r="O41" s="89">
        <f t="shared" si="7"/>
        <v>1613953339.7800107</v>
      </c>
      <c r="P41" s="89">
        <f t="shared" si="7"/>
        <v>1628897352.1853814</v>
      </c>
      <c r="Q41" s="89">
        <f t="shared" si="7"/>
        <v>1643979735.0759869</v>
      </c>
      <c r="R41" s="89">
        <f t="shared" si="7"/>
        <v>1659201769.6600237</v>
      </c>
      <c r="S41" s="89">
        <f>S39/((B40-S37)*S40)</f>
        <v>26117064892.796669</v>
      </c>
    </row>
    <row r="42" spans="1:19" s="23" customFormat="1">
      <c r="A42" s="315" t="s">
        <v>546</v>
      </c>
      <c r="B42" s="316"/>
      <c r="C42" s="214"/>
      <c r="D42" s="308">
        <f>SUM(D41:H41)</f>
        <v>6698923033.7379074</v>
      </c>
      <c r="E42" s="309"/>
      <c r="F42" s="309"/>
      <c r="G42" s="309"/>
      <c r="H42" s="310"/>
      <c r="I42" s="308">
        <f>SUM(I41:R41)</f>
        <v>15923518229.340981</v>
      </c>
      <c r="J42" s="309"/>
      <c r="K42" s="309"/>
      <c r="L42" s="309"/>
      <c r="M42" s="309"/>
      <c r="N42" s="309"/>
      <c r="O42" s="309"/>
      <c r="P42" s="309"/>
      <c r="Q42" s="309"/>
      <c r="R42" s="310"/>
      <c r="S42" s="214">
        <f>S41</f>
        <v>26117064892.796669</v>
      </c>
    </row>
    <row r="43" spans="1:19">
      <c r="A43" s="205" t="s">
        <v>544</v>
      </c>
      <c r="B43" s="196">
        <f>D42+I42+S42</f>
        <v>48739506155.875557</v>
      </c>
      <c r="C43" s="197"/>
      <c r="D43" s="197"/>
      <c r="E43" s="197"/>
      <c r="F43" s="197"/>
      <c r="G43" s="197"/>
      <c r="H43" s="197"/>
      <c r="I43" s="197"/>
      <c r="J43" s="197"/>
      <c r="K43" s="197"/>
      <c r="L43" s="197"/>
      <c r="M43" s="197"/>
      <c r="N43" s="197"/>
      <c r="O43" s="197"/>
      <c r="P43" s="197"/>
      <c r="Q43" s="197"/>
      <c r="R43" s="197"/>
      <c r="S43" s="199"/>
    </row>
    <row r="44" spans="1:19">
      <c r="A44" s="205" t="s">
        <v>530</v>
      </c>
      <c r="B44" s="196">
        <f>B43</f>
        <v>48739506155.875557</v>
      </c>
      <c r="C44" s="197"/>
      <c r="D44" s="197"/>
      <c r="E44" s="197"/>
      <c r="F44" s="197"/>
      <c r="G44" s="197"/>
      <c r="H44" s="197"/>
      <c r="I44" s="197"/>
      <c r="J44" s="197"/>
      <c r="K44" s="197"/>
      <c r="L44" s="197"/>
      <c r="M44" s="197"/>
      <c r="N44" s="197"/>
      <c r="O44" s="197"/>
      <c r="P44" s="197"/>
      <c r="Q44" s="197"/>
      <c r="R44" s="197"/>
      <c r="S44" s="199"/>
    </row>
    <row r="45" spans="1:19">
      <c r="A45" s="195" t="s">
        <v>531</v>
      </c>
      <c r="B45" s="196">
        <f>资产资本表!E17</f>
        <v>4322850458.8299999</v>
      </c>
      <c r="C45" s="197"/>
      <c r="D45" s="197"/>
      <c r="E45" s="197"/>
      <c r="F45" s="197"/>
      <c r="G45" s="197"/>
      <c r="H45" s="197"/>
      <c r="I45" s="197"/>
      <c r="J45" s="197"/>
      <c r="K45" s="197"/>
      <c r="L45" s="197"/>
      <c r="M45" s="197"/>
      <c r="N45" s="197"/>
      <c r="O45" s="197"/>
      <c r="P45" s="197"/>
      <c r="Q45" s="197"/>
      <c r="R45" s="197"/>
      <c r="S45" s="199"/>
    </row>
    <row r="46" spans="1:19">
      <c r="A46" s="195" t="s">
        <v>532</v>
      </c>
      <c r="B46" s="196">
        <f>资产资本表!E19</f>
        <v>313407773.91000003</v>
      </c>
      <c r="C46" s="197"/>
      <c r="D46" s="197"/>
      <c r="E46" s="197"/>
      <c r="F46" s="197"/>
      <c r="G46" s="197"/>
      <c r="H46" s="197"/>
      <c r="I46" s="197"/>
      <c r="J46" s="197"/>
      <c r="K46" s="197"/>
      <c r="L46" s="197"/>
      <c r="M46" s="197"/>
      <c r="N46" s="197"/>
      <c r="O46" s="197"/>
      <c r="P46" s="197"/>
      <c r="Q46" s="197"/>
      <c r="R46" s="197"/>
      <c r="S46" s="199"/>
    </row>
    <row r="47" spans="1:19">
      <c r="A47" s="195" t="s">
        <v>533</v>
      </c>
      <c r="B47" s="196">
        <f>资产资本表!E89</f>
        <v>7163731137.7200003</v>
      </c>
      <c r="C47" s="197"/>
      <c r="D47" s="197"/>
      <c r="E47" s="197"/>
      <c r="F47" s="197"/>
      <c r="G47" s="197"/>
      <c r="H47" s="197"/>
      <c r="I47" s="197"/>
      <c r="J47" s="197"/>
      <c r="K47" s="197"/>
      <c r="L47" s="197"/>
      <c r="M47" s="197"/>
      <c r="N47" s="197"/>
      <c r="O47" s="197"/>
      <c r="P47" s="197"/>
      <c r="Q47" s="197"/>
      <c r="R47" s="197"/>
      <c r="S47" s="199"/>
    </row>
    <row r="48" spans="1:19">
      <c r="A48" s="200" t="s">
        <v>534</v>
      </c>
      <c r="B48" s="196">
        <f>B44+B45+B46-B47</f>
        <v>46212033250.895561</v>
      </c>
      <c r="C48" s="197"/>
      <c r="D48" s="197"/>
      <c r="E48" s="197"/>
      <c r="F48" s="197"/>
      <c r="G48" s="197"/>
      <c r="H48" s="197"/>
      <c r="I48" s="197"/>
      <c r="J48" s="197"/>
      <c r="K48" s="197"/>
      <c r="L48" s="197"/>
      <c r="M48" s="197"/>
      <c r="N48" s="197"/>
      <c r="O48" s="197"/>
      <c r="P48" s="197"/>
      <c r="Q48" s="197"/>
      <c r="R48" s="197"/>
      <c r="S48" s="199"/>
    </row>
    <row r="49" spans="1:74">
      <c r="A49" s="195" t="s">
        <v>535</v>
      </c>
      <c r="B49" s="198">
        <f>资产资本表!E103/资产资本表!E107</f>
        <v>0</v>
      </c>
      <c r="C49" s="197"/>
      <c r="D49" s="197"/>
      <c r="E49" s="197"/>
      <c r="F49" s="197"/>
      <c r="G49" s="197"/>
      <c r="H49" s="197"/>
      <c r="I49" s="197"/>
      <c r="J49" s="197"/>
      <c r="K49" s="197"/>
      <c r="L49" s="197"/>
      <c r="M49" s="197"/>
      <c r="N49" s="197"/>
      <c r="O49" s="197"/>
      <c r="P49" s="197"/>
      <c r="Q49" s="197"/>
      <c r="R49" s="197"/>
      <c r="S49" s="199"/>
      <c r="T49" s="189"/>
      <c r="U49" s="189"/>
      <c r="V49" s="189"/>
      <c r="W49" s="189"/>
      <c r="X49" s="189"/>
      <c r="Y49" s="189"/>
      <c r="Z49" s="189"/>
      <c r="AA49" s="189"/>
      <c r="AB49" s="189"/>
      <c r="AC49" s="189"/>
      <c r="AD49" s="189"/>
      <c r="AE49" s="189"/>
      <c r="AF49" s="189"/>
      <c r="AG49" s="189"/>
      <c r="AH49" s="189"/>
      <c r="AI49" s="189"/>
      <c r="AJ49" s="189"/>
      <c r="AK49" s="189"/>
      <c r="AL49" s="189"/>
      <c r="AM49" s="189"/>
      <c r="AN49" s="189"/>
      <c r="AO49" s="189"/>
      <c r="AP49" s="189"/>
      <c r="AQ49" s="189"/>
      <c r="AR49" s="189"/>
      <c r="AS49" s="189"/>
      <c r="AT49" s="189"/>
      <c r="AU49" s="189"/>
      <c r="AV49" s="189"/>
      <c r="AW49" s="189"/>
      <c r="AX49" s="189"/>
      <c r="AY49" s="189"/>
      <c r="AZ49" s="189"/>
      <c r="BA49" s="189"/>
      <c r="BB49" s="189"/>
      <c r="BC49" s="189"/>
      <c r="BD49" s="189"/>
      <c r="BE49" s="189"/>
      <c r="BF49" s="189"/>
      <c r="BG49" s="189"/>
      <c r="BH49" s="189"/>
      <c r="BI49" s="189"/>
      <c r="BJ49" s="189"/>
      <c r="BK49" s="189"/>
      <c r="BL49" s="189"/>
      <c r="BM49" s="189"/>
      <c r="BN49" s="189"/>
      <c r="BO49" s="189"/>
      <c r="BP49" s="189"/>
      <c r="BQ49" s="189"/>
      <c r="BR49" s="189"/>
      <c r="BS49" s="189"/>
      <c r="BT49" s="189"/>
      <c r="BU49" s="189"/>
      <c r="BV49" s="189"/>
    </row>
    <row r="50" spans="1:74">
      <c r="A50" s="200" t="s">
        <v>536</v>
      </c>
      <c r="B50" s="196">
        <f>B48*(1-B49)</f>
        <v>46212033250.895561</v>
      </c>
      <c r="C50" s="305" t="s">
        <v>542</v>
      </c>
      <c r="D50" s="306"/>
      <c r="E50" s="307"/>
      <c r="F50" s="197"/>
      <c r="G50" s="197"/>
      <c r="H50" s="197"/>
      <c r="I50" s="197"/>
      <c r="J50" s="197"/>
      <c r="K50" s="197"/>
      <c r="L50" s="197"/>
      <c r="M50" s="197"/>
      <c r="N50" s="197"/>
      <c r="O50" s="197"/>
      <c r="P50" s="197"/>
      <c r="Q50" s="197"/>
      <c r="R50" s="197"/>
      <c r="S50" s="199"/>
      <c r="T50" s="189"/>
      <c r="U50" s="189"/>
      <c r="V50" s="189"/>
      <c r="W50" s="189"/>
      <c r="X50" s="189"/>
      <c r="Y50" s="189"/>
      <c r="Z50" s="189"/>
      <c r="AA50" s="189"/>
      <c r="AB50" s="189"/>
      <c r="AC50" s="189"/>
      <c r="AD50" s="189"/>
      <c r="AE50" s="189"/>
      <c r="AF50" s="189"/>
      <c r="AG50" s="189"/>
      <c r="AH50" s="189"/>
      <c r="AI50" s="189"/>
      <c r="AJ50" s="189"/>
      <c r="AK50" s="189"/>
      <c r="AL50" s="189"/>
      <c r="AM50" s="189"/>
      <c r="AN50" s="189"/>
      <c r="AO50" s="189"/>
      <c r="AP50" s="189"/>
      <c r="AQ50" s="189"/>
      <c r="AR50" s="189"/>
      <c r="AS50" s="189"/>
      <c r="AT50" s="189"/>
      <c r="AU50" s="189"/>
      <c r="AV50" s="189"/>
      <c r="AW50" s="189"/>
      <c r="AX50" s="189"/>
      <c r="AY50" s="189"/>
      <c r="AZ50" s="189"/>
      <c r="BA50" s="189"/>
      <c r="BB50" s="189"/>
      <c r="BC50" s="189"/>
      <c r="BD50" s="189"/>
      <c r="BE50" s="189"/>
      <c r="BF50" s="189"/>
      <c r="BG50" s="189"/>
      <c r="BH50" s="189"/>
      <c r="BI50" s="189"/>
      <c r="BJ50" s="189"/>
      <c r="BK50" s="189"/>
      <c r="BL50" s="189"/>
      <c r="BM50" s="189"/>
      <c r="BN50" s="189"/>
      <c r="BO50" s="189"/>
      <c r="BP50" s="189"/>
      <c r="BQ50" s="189"/>
      <c r="BR50" s="189"/>
      <c r="BS50" s="189"/>
      <c r="BT50" s="189"/>
      <c r="BU50" s="189"/>
      <c r="BV50" s="189"/>
    </row>
    <row r="51" spans="1:74">
      <c r="A51" s="195" t="s">
        <v>538</v>
      </c>
      <c r="B51" s="210">
        <f>B55</f>
        <v>2048123051</v>
      </c>
      <c r="C51" s="204">
        <v>0.4</v>
      </c>
      <c r="D51" s="204">
        <v>0.3</v>
      </c>
      <c r="E51" s="204">
        <v>0.2</v>
      </c>
      <c r="F51" s="197"/>
      <c r="G51" s="197"/>
      <c r="H51" s="197"/>
      <c r="I51" s="197"/>
      <c r="J51" s="197"/>
      <c r="K51" s="197"/>
      <c r="L51" s="197"/>
      <c r="M51" s="197"/>
      <c r="N51" s="197"/>
      <c r="O51" s="197"/>
      <c r="P51" s="197"/>
      <c r="Q51" s="197"/>
      <c r="R51" s="197"/>
      <c r="S51" s="199"/>
      <c r="T51" s="189"/>
      <c r="U51" s="189"/>
      <c r="V51" s="189"/>
      <c r="W51" s="189"/>
      <c r="X51" s="189"/>
      <c r="Y51" s="189"/>
      <c r="Z51" s="189"/>
      <c r="AA51" s="189"/>
      <c r="AB51" s="189"/>
      <c r="AC51" s="189"/>
      <c r="AD51" s="189"/>
      <c r="AE51" s="189"/>
      <c r="AF51" s="189"/>
      <c r="AG51" s="189"/>
      <c r="AH51" s="189"/>
      <c r="AI51" s="189"/>
      <c r="AJ51" s="189"/>
      <c r="AK51" s="189"/>
      <c r="AL51" s="189"/>
      <c r="AM51" s="189"/>
      <c r="AN51" s="189"/>
      <c r="AO51" s="189"/>
      <c r="AP51" s="189"/>
      <c r="AQ51" s="189"/>
      <c r="AR51" s="189"/>
      <c r="AS51" s="189"/>
      <c r="AT51" s="189"/>
      <c r="AU51" s="189"/>
      <c r="AV51" s="189"/>
      <c r="AW51" s="189"/>
      <c r="AX51" s="189"/>
      <c r="AY51" s="189"/>
      <c r="AZ51" s="189"/>
      <c r="BA51" s="189"/>
      <c r="BB51" s="189"/>
      <c r="BC51" s="189"/>
      <c r="BD51" s="189"/>
      <c r="BE51" s="189"/>
      <c r="BF51" s="189"/>
      <c r="BG51" s="189"/>
      <c r="BH51" s="189"/>
      <c r="BI51" s="189"/>
      <c r="BJ51" s="189"/>
      <c r="BK51" s="189"/>
      <c r="BL51" s="189"/>
      <c r="BM51" s="189"/>
      <c r="BN51" s="189"/>
      <c r="BO51" s="189"/>
      <c r="BP51" s="189"/>
      <c r="BQ51" s="189"/>
      <c r="BR51" s="189"/>
      <c r="BS51" s="189"/>
      <c r="BT51" s="189"/>
      <c r="BU51" s="189"/>
      <c r="BV51" s="189"/>
    </row>
    <row r="52" spans="1:74" ht="14.25" thickBot="1">
      <c r="A52" s="201" t="s">
        <v>537</v>
      </c>
      <c r="B52" s="206">
        <f>B50/B51</f>
        <v>22.563113690035589</v>
      </c>
      <c r="C52" s="207">
        <f>$B$52*(1-C51)</f>
        <v>13.537868214021353</v>
      </c>
      <c r="D52" s="207">
        <f>$B$52*(1-D51)</f>
        <v>15.794179583024912</v>
      </c>
      <c r="E52" s="207">
        <f>$B$52*(1-E51)</f>
        <v>18.050490952028472</v>
      </c>
      <c r="F52" s="193"/>
      <c r="G52" s="193"/>
      <c r="H52" s="193"/>
      <c r="I52" s="193"/>
      <c r="J52" s="193"/>
      <c r="K52" s="193"/>
      <c r="L52" s="193"/>
      <c r="M52" s="193"/>
      <c r="N52" s="193"/>
      <c r="O52" s="193"/>
      <c r="P52" s="193"/>
      <c r="Q52" s="193"/>
      <c r="R52" s="193"/>
      <c r="S52" s="202"/>
      <c r="T52" s="189"/>
      <c r="U52" s="189"/>
      <c r="V52" s="189"/>
      <c r="W52" s="189"/>
      <c r="X52" s="189"/>
      <c r="Y52" s="189"/>
      <c r="Z52" s="189"/>
      <c r="AA52" s="189"/>
      <c r="AB52" s="189"/>
      <c r="AC52" s="189"/>
      <c r="AD52" s="189"/>
      <c r="AE52" s="189"/>
      <c r="AF52" s="189"/>
      <c r="AG52" s="189"/>
      <c r="AH52" s="189"/>
      <c r="AI52" s="189"/>
      <c r="AJ52" s="189"/>
      <c r="AK52" s="189"/>
      <c r="AL52" s="189"/>
      <c r="AM52" s="189"/>
      <c r="AN52" s="189"/>
      <c r="AO52" s="189"/>
      <c r="AP52" s="189"/>
      <c r="AQ52" s="189"/>
      <c r="AR52" s="189"/>
      <c r="AS52" s="189"/>
      <c r="AT52" s="189"/>
      <c r="AU52" s="189"/>
      <c r="AV52" s="189"/>
      <c r="AW52" s="189"/>
      <c r="AX52" s="189"/>
      <c r="AY52" s="189"/>
      <c r="AZ52" s="189"/>
      <c r="BA52" s="189"/>
      <c r="BB52" s="189"/>
      <c r="BC52" s="189"/>
      <c r="BD52" s="189"/>
      <c r="BE52" s="189"/>
      <c r="BF52" s="189"/>
      <c r="BG52" s="189"/>
      <c r="BH52" s="189"/>
      <c r="BI52" s="189"/>
      <c r="BJ52" s="189"/>
      <c r="BK52" s="189"/>
      <c r="BL52" s="189"/>
      <c r="BM52" s="189"/>
      <c r="BN52" s="189"/>
      <c r="BO52" s="189"/>
      <c r="BP52" s="189"/>
      <c r="BQ52" s="189"/>
      <c r="BR52" s="189"/>
      <c r="BS52" s="189"/>
      <c r="BT52" s="189"/>
      <c r="BU52" s="189"/>
      <c r="BV52" s="189"/>
    </row>
    <row r="53" spans="1:74" ht="12.75" customHeight="1" thickBot="1">
      <c r="A53" s="191"/>
      <c r="B53" s="192"/>
      <c r="C53" s="189"/>
      <c r="D53" s="189"/>
      <c r="E53" s="189"/>
      <c r="F53" s="189"/>
      <c r="G53" s="189"/>
      <c r="H53" s="189"/>
      <c r="I53" s="189"/>
      <c r="J53" s="189"/>
      <c r="K53" s="189"/>
      <c r="L53" s="189"/>
      <c r="M53" s="189"/>
      <c r="N53" s="189"/>
      <c r="O53" s="189"/>
      <c r="P53" s="189"/>
      <c r="Q53" s="189"/>
      <c r="R53" s="189"/>
      <c r="S53" s="189"/>
      <c r="T53" s="189"/>
      <c r="U53" s="189"/>
      <c r="V53" s="189"/>
      <c r="W53" s="189"/>
      <c r="X53" s="189"/>
      <c r="Y53" s="189"/>
      <c r="Z53" s="189"/>
      <c r="AA53" s="189"/>
      <c r="AB53" s="189"/>
      <c r="AC53" s="189"/>
      <c r="AD53" s="189"/>
      <c r="AE53" s="189"/>
      <c r="AF53" s="189"/>
      <c r="AG53" s="189"/>
      <c r="AH53" s="189"/>
      <c r="AI53" s="189"/>
      <c r="AJ53" s="189"/>
      <c r="AK53" s="189"/>
      <c r="AL53" s="189"/>
      <c r="AM53" s="189"/>
      <c r="AN53" s="189"/>
      <c r="AO53" s="189"/>
      <c r="AP53" s="189"/>
      <c r="AQ53" s="189"/>
      <c r="AR53" s="189"/>
      <c r="AS53" s="189"/>
      <c r="AT53" s="189"/>
      <c r="AU53" s="189"/>
      <c r="AV53" s="189"/>
      <c r="AW53" s="189"/>
      <c r="AX53" s="189"/>
      <c r="AY53" s="189"/>
      <c r="AZ53" s="189"/>
      <c r="BA53" s="189"/>
      <c r="BB53" s="189"/>
      <c r="BC53" s="189"/>
      <c r="BD53" s="189"/>
      <c r="BE53" s="189"/>
      <c r="BF53" s="189"/>
      <c r="BG53" s="189"/>
      <c r="BH53" s="189"/>
      <c r="BI53" s="189"/>
      <c r="BJ53" s="189"/>
      <c r="BK53" s="189"/>
      <c r="BL53" s="189"/>
      <c r="BM53" s="189"/>
      <c r="BN53" s="189"/>
      <c r="BO53" s="189"/>
      <c r="BP53" s="189"/>
      <c r="BQ53" s="189"/>
      <c r="BR53" s="189"/>
      <c r="BS53" s="189"/>
      <c r="BT53" s="189"/>
      <c r="BU53" s="189"/>
      <c r="BV53" s="189"/>
    </row>
    <row r="54" spans="1:74" s="103" customFormat="1">
      <c r="A54" s="194">
        <v>50</v>
      </c>
      <c r="B54" s="179">
        <f>自由现金流分析表!E1</f>
        <v>43100</v>
      </c>
      <c r="C54" s="190"/>
      <c r="D54" s="190"/>
      <c r="E54" s="190"/>
      <c r="F54" s="190"/>
      <c r="G54" s="190"/>
      <c r="H54" s="190"/>
      <c r="I54" s="190"/>
      <c r="J54" s="190"/>
      <c r="K54" s="190"/>
      <c r="L54" s="190"/>
      <c r="M54" s="190"/>
      <c r="N54" s="190"/>
      <c r="O54" s="190"/>
      <c r="P54" s="190"/>
      <c r="Q54" s="190"/>
      <c r="R54" s="190"/>
      <c r="S54" s="190"/>
      <c r="T54" s="190"/>
      <c r="U54" s="190"/>
      <c r="V54" s="190"/>
      <c r="W54" s="190"/>
      <c r="X54" s="190"/>
      <c r="Y54" s="190"/>
      <c r="Z54" s="190"/>
      <c r="AA54" s="190"/>
      <c r="AB54" s="190"/>
      <c r="AC54" s="190"/>
      <c r="AD54" s="190"/>
      <c r="AE54" s="190"/>
      <c r="AF54" s="190"/>
      <c r="AG54" s="190"/>
      <c r="AH54" s="190"/>
      <c r="AI54" s="190"/>
      <c r="AJ54" s="190"/>
      <c r="AK54" s="190"/>
      <c r="AL54" s="190"/>
      <c r="AM54" s="190"/>
      <c r="AN54" s="190"/>
      <c r="AO54" s="190"/>
      <c r="AP54" s="190"/>
      <c r="AQ54" s="190"/>
      <c r="AR54" s="190"/>
      <c r="AS54" s="190"/>
      <c r="AT54" s="190"/>
      <c r="AU54" s="190"/>
      <c r="AV54" s="190"/>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row>
    <row r="55" spans="1:74" s="102" customFormat="1">
      <c r="A55" s="211" t="s">
        <v>549</v>
      </c>
      <c r="B55" s="100">
        <v>2048123051</v>
      </c>
      <c r="C55" s="212"/>
      <c r="D55" s="212"/>
      <c r="E55" s="212"/>
      <c r="F55" s="212"/>
      <c r="G55" s="212"/>
      <c r="H55" s="212"/>
      <c r="I55" s="212"/>
      <c r="J55" s="212"/>
      <c r="K55" s="212"/>
      <c r="L55" s="212"/>
      <c r="M55" s="212"/>
      <c r="N55" s="212"/>
      <c r="O55" s="212"/>
      <c r="P55" s="212"/>
      <c r="Q55" s="212"/>
      <c r="R55" s="212"/>
      <c r="S55" s="212"/>
      <c r="T55" s="212"/>
      <c r="U55" s="212"/>
      <c r="V55" s="212"/>
      <c r="W55" s="212"/>
      <c r="X55" s="212"/>
      <c r="Y55" s="212"/>
      <c r="Z55" s="212"/>
      <c r="AA55" s="212"/>
      <c r="AB55" s="212"/>
      <c r="AC55" s="212"/>
      <c r="AD55" s="212"/>
      <c r="AE55" s="212"/>
      <c r="AF55" s="212"/>
      <c r="AG55" s="212"/>
      <c r="AH55" s="212"/>
      <c r="AI55" s="212"/>
      <c r="AJ55" s="212"/>
      <c r="AK55" s="212"/>
      <c r="AL55" s="212"/>
      <c r="AM55" s="212"/>
      <c r="AN55" s="212"/>
      <c r="AO55" s="212"/>
      <c r="AP55" s="212"/>
      <c r="AQ55" s="212"/>
      <c r="AR55" s="212"/>
      <c r="AS55" s="212"/>
      <c r="AT55" s="212"/>
      <c r="AU55" s="212"/>
      <c r="AV55" s="212"/>
      <c r="AW55" s="212"/>
      <c r="AX55" s="212"/>
      <c r="AY55" s="212"/>
      <c r="AZ55" s="212"/>
      <c r="BA55" s="212"/>
      <c r="BB55" s="212"/>
      <c r="BC55" s="212"/>
      <c r="BD55" s="212"/>
      <c r="BE55" s="212"/>
      <c r="BF55" s="212"/>
      <c r="BG55" s="212"/>
      <c r="BH55" s="212"/>
      <c r="BI55" s="212"/>
      <c r="BJ55" s="212"/>
      <c r="BK55" s="212"/>
      <c r="BL55" s="212"/>
      <c r="BM55" s="212"/>
      <c r="BN55" s="212"/>
      <c r="BO55" s="212"/>
      <c r="BP55" s="212"/>
      <c r="BQ55" s="212"/>
      <c r="BR55" s="212"/>
      <c r="BS55" s="212"/>
      <c r="BT55" s="212"/>
      <c r="BU55" s="212"/>
      <c r="BV55" s="212"/>
    </row>
    <row r="56" spans="1:74" s="62" customFormat="1" ht="14.25" thickBot="1">
      <c r="A56" s="74"/>
      <c r="B56" s="93"/>
    </row>
    <row r="57" spans="1:74" ht="52.9" customHeight="1">
      <c r="A57" s="295" t="s">
        <v>739</v>
      </c>
      <c r="B57" s="296"/>
      <c r="C57" s="296"/>
      <c r="D57" s="296"/>
      <c r="E57" s="296"/>
      <c r="F57" s="296"/>
      <c r="G57" s="296"/>
      <c r="H57" s="296"/>
      <c r="I57" s="296"/>
    </row>
    <row r="60" spans="1:74" s="155" customFormat="1" ht="51" customHeight="1">
      <c r="A60" s="293" t="s">
        <v>607</v>
      </c>
      <c r="B60" s="294"/>
      <c r="C60" s="294"/>
      <c r="D60" s="294"/>
      <c r="E60" s="294"/>
      <c r="F60" s="294"/>
      <c r="G60" s="294"/>
      <c r="H60" s="294"/>
      <c r="I60" s="294"/>
    </row>
    <row r="63" spans="1:74" s="4" customFormat="1">
      <c r="A63" s="177" t="s">
        <v>609</v>
      </c>
      <c r="B63" s="176" t="s">
        <v>610</v>
      </c>
      <c r="C63" s="96" t="s">
        <v>611</v>
      </c>
      <c r="D63" s="96" t="s">
        <v>612</v>
      </c>
      <c r="E63" s="96" t="s">
        <v>627</v>
      </c>
      <c r="F63" s="96" t="s">
        <v>613</v>
      </c>
      <c r="G63" s="96" t="s">
        <v>614</v>
      </c>
      <c r="H63" s="96" t="s">
        <v>623</v>
      </c>
      <c r="I63" s="96" t="s">
        <v>616</v>
      </c>
      <c r="J63" s="96" t="s">
        <v>622</v>
      </c>
      <c r="K63" s="96" t="s">
        <v>618</v>
      </c>
      <c r="L63" s="96" t="s">
        <v>624</v>
      </c>
    </row>
    <row r="64" spans="1:74" s="26" customFormat="1">
      <c r="A64" s="178">
        <f>股权价值增加表!M1</f>
        <v>42369</v>
      </c>
      <c r="B64" s="166">
        <v>42366</v>
      </c>
      <c r="C64" s="165">
        <v>17.39</v>
      </c>
      <c r="D64" s="165">
        <v>3.4</v>
      </c>
      <c r="E64" s="167">
        <f>股权价值增加表!M42/100000000</f>
        <v>6.2335776999999997</v>
      </c>
      <c r="F64" s="167">
        <v>0</v>
      </c>
      <c r="G64" s="165">
        <v>16.47</v>
      </c>
      <c r="H64" s="167">
        <f>G64*D64</f>
        <v>55.997999999999998</v>
      </c>
      <c r="I64" s="167">
        <f>C64*D64</f>
        <v>59.125999999999998</v>
      </c>
      <c r="J64" s="167">
        <f>H64/E64</f>
        <v>8.9832841900727409</v>
      </c>
      <c r="K64" s="167">
        <f>I64/E64</f>
        <v>9.4850826997792943</v>
      </c>
      <c r="L64" s="262">
        <v>0</v>
      </c>
    </row>
    <row r="65" spans="1:12" s="26" customFormat="1">
      <c r="A65" s="178">
        <f>股权价值增加表!I1</f>
        <v>42735</v>
      </c>
      <c r="B65" s="166">
        <v>42543</v>
      </c>
      <c r="C65" s="165">
        <v>23.13</v>
      </c>
      <c r="D65" s="165">
        <v>3.64</v>
      </c>
      <c r="E65" s="167">
        <f>股权价值增加表!I42/100000000</f>
        <v>7.5358250431000062</v>
      </c>
      <c r="F65" s="167">
        <f>(E65-E64)/E64*100</f>
        <v>20.890849617547989</v>
      </c>
      <c r="G65" s="165">
        <v>23.11</v>
      </c>
      <c r="H65" s="167">
        <f t="shared" ref="H65:H66" si="8">G65*D65</f>
        <v>84.120400000000004</v>
      </c>
      <c r="I65" s="167">
        <f t="shared" ref="I65:I66" si="9">C65*D65</f>
        <v>84.193200000000004</v>
      </c>
      <c r="J65" s="167">
        <f t="shared" ref="J65:J66" si="10">H65/E65</f>
        <v>11.162732616387212</v>
      </c>
      <c r="K65" s="167">
        <f t="shared" ref="K65:K66" si="11">I65/E65</f>
        <v>11.172393137907235</v>
      </c>
      <c r="L65" s="262">
        <f>K65/F65</f>
        <v>0.53479840898967546</v>
      </c>
    </row>
    <row r="66" spans="1:12" s="26" customFormat="1">
      <c r="A66" s="178">
        <f>股权价值增加表!E1</f>
        <v>43100</v>
      </c>
      <c r="B66" s="166">
        <v>42872</v>
      </c>
      <c r="C66" s="165">
        <v>16.399999999999999</v>
      </c>
      <c r="D66" s="165">
        <v>9.09</v>
      </c>
      <c r="E66" s="167">
        <f>股权价值增加表!E42/100000000</f>
        <v>1.6113102041000038</v>
      </c>
      <c r="F66" s="167">
        <f t="shared" ref="F66" si="12">(E66-E65)/E65*100</f>
        <v>-78.617998760794478</v>
      </c>
      <c r="G66" s="165">
        <v>15.76</v>
      </c>
      <c r="H66" s="167">
        <f t="shared" si="8"/>
        <v>143.25839999999999</v>
      </c>
      <c r="I66" s="167">
        <f t="shared" si="9"/>
        <v>149.07599999999999</v>
      </c>
      <c r="J66" s="167">
        <f t="shared" si="10"/>
        <v>88.908020091647643</v>
      </c>
      <c r="K66" s="167">
        <f t="shared" si="11"/>
        <v>92.518498064912521</v>
      </c>
      <c r="L66" s="262">
        <f t="shared" ref="L66" si="13">K66/F66</f>
        <v>-1.176810647984212</v>
      </c>
    </row>
    <row r="67" spans="1:12" s="26" customFormat="1">
      <c r="A67" s="161"/>
      <c r="B67" s="162"/>
      <c r="C67" s="83"/>
      <c r="D67" s="83"/>
      <c r="E67" s="83"/>
      <c r="F67" s="164"/>
      <c r="G67" s="83"/>
      <c r="H67" s="164"/>
      <c r="I67" s="164"/>
      <c r="J67" s="164"/>
      <c r="K67" s="164"/>
      <c r="L67" s="263"/>
    </row>
    <row r="68" spans="1:12" s="156" customFormat="1" ht="14.25" thickBot="1">
      <c r="A68" s="163" t="s">
        <v>621</v>
      </c>
      <c r="B68" s="44" t="s">
        <v>610</v>
      </c>
      <c r="C68" s="44" t="s">
        <v>611</v>
      </c>
      <c r="D68" s="44" t="s">
        <v>612</v>
      </c>
      <c r="E68" s="44" t="s">
        <v>620</v>
      </c>
      <c r="F68" s="44" t="s">
        <v>613</v>
      </c>
      <c r="G68" s="44" t="s">
        <v>614</v>
      </c>
      <c r="H68" s="44" t="s">
        <v>615</v>
      </c>
      <c r="I68" s="44" t="s">
        <v>616</v>
      </c>
      <c r="J68" s="44" t="s">
        <v>617</v>
      </c>
      <c r="K68" s="44" t="s">
        <v>618</v>
      </c>
      <c r="L68" s="264" t="s">
        <v>619</v>
      </c>
    </row>
    <row r="69" spans="1:12" s="26" customFormat="1" ht="14.25" thickBot="1">
      <c r="A69" s="168" t="s">
        <v>626</v>
      </c>
      <c r="B69" s="169">
        <v>43305</v>
      </c>
      <c r="C69" s="170">
        <v>11.65</v>
      </c>
      <c r="D69" s="170">
        <v>9.09</v>
      </c>
      <c r="E69" s="170">
        <v>4.33</v>
      </c>
      <c r="F69" s="171">
        <f>(E69-E66)/E66*100</f>
        <v>168.72541295786795</v>
      </c>
      <c r="G69" s="170">
        <v>10.119999999999999</v>
      </c>
      <c r="H69" s="171">
        <f>G69*D69</f>
        <v>91.990799999999993</v>
      </c>
      <c r="I69" s="171">
        <f>C69*D69</f>
        <v>105.8985</v>
      </c>
      <c r="J69" s="171">
        <f>H69/E69</f>
        <v>21.244988452655885</v>
      </c>
      <c r="K69" s="171">
        <f>I69/E69</f>
        <v>24.456928406466513</v>
      </c>
      <c r="L69" s="265">
        <f>K69/F69</f>
        <v>0.14495106562621721</v>
      </c>
    </row>
    <row r="70" spans="1:12" s="26" customFormat="1" ht="14.25" thickBot="1">
      <c r="A70" s="172" t="s">
        <v>625</v>
      </c>
      <c r="B70" s="173">
        <v>43305</v>
      </c>
      <c r="C70" s="174">
        <v>11.65</v>
      </c>
      <c r="D70" s="174">
        <v>9.09</v>
      </c>
      <c r="E70" s="174">
        <v>3.86</v>
      </c>
      <c r="F70" s="175">
        <f>(E70-E66)/E66*100</f>
        <v>139.55660369916171</v>
      </c>
      <c r="G70" s="170">
        <v>10.119999999999999</v>
      </c>
      <c r="H70" s="175">
        <f t="shared" ref="H70" si="14">G70*D70</f>
        <v>91.990799999999993</v>
      </c>
      <c r="I70" s="175">
        <f t="shared" ref="I70" si="15">C70*D70</f>
        <v>105.8985</v>
      </c>
      <c r="J70" s="175">
        <f t="shared" ref="J70" si="16">H70/E70</f>
        <v>23.831813471502588</v>
      </c>
      <c r="K70" s="175">
        <f t="shared" ref="K70" si="17">I70/E70</f>
        <v>27.434844559585493</v>
      </c>
      <c r="L70" s="266">
        <f t="shared" ref="L70" si="18">K70/F70</f>
        <v>0.19658578549766104</v>
      </c>
    </row>
    <row r="71" spans="1:12" s="88" customFormat="1" ht="138" customHeight="1">
      <c r="A71" s="291" t="s">
        <v>628</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cp:lastModifiedBy>
  <dcterms:created xsi:type="dcterms:W3CDTF">2018-12-03T08:51:04Z</dcterms:created>
  <dcterms:modified xsi:type="dcterms:W3CDTF">2019-02-20T13:02:53Z</dcterms:modified>
</cp:coreProperties>
</file>