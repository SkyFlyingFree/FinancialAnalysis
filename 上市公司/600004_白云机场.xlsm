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00199CA9-00E8-4B63-8D43-B6A3003CE33C}"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B27" i="13" l="1"/>
  <c r="B8" i="13"/>
  <c r="B2" i="13"/>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23" i="10" l="1"/>
  <c r="BJ24" i="10" s="1"/>
  <c r="BJ15" i="12"/>
  <c r="BJ16" i="12" s="1"/>
  <c r="BJ33" i="6"/>
  <c r="BJ34" i="6" s="1"/>
  <c r="AL12" i="11"/>
  <c r="AL14" i="11" s="1"/>
  <c r="AL9" i="8" s="1"/>
  <c r="AL13" i="8" s="1"/>
  <c r="V33" i="6"/>
  <c r="V34" i="6" s="1"/>
  <c r="AL13" i="1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<sst xmlns="http://schemas.openxmlformats.org/spreadsheetml/2006/main" count="997" uniqueCount="753">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</sst>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 fillId="3" borderId="0" xfId="2" applyNumberFormat="1" applyAlignment="1">
      <alignment vertical="center" wrapText="1"/>
    </xf>
    <xf numFmtId="14" fontId="0" fillId="0" borderId="17" xfId="0" applyNumberForma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0.32182889566038386</c:v>
                </c:pt>
                <c:pt idx="1">
                  <c:v>0.30784473541509322</c:v>
                </c:pt>
                <c:pt idx="2">
                  <c:v>0.30812694564106524</c:v>
                </c:pt>
                <c:pt idx="3">
                  <c:v>0.29331284528166701</c:v>
                </c:pt>
                <c:pt idx="4">
                  <c:v>0.25225872183778902</c:v>
                </c:pt>
                <c:pt idx="5">
                  <c:v>0.24294128995205919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0.23777284309521943</c:v>
                </c:pt>
                <c:pt idx="1">
                  <c:v>0.22489536252089548</c:v>
                </c:pt>
                <c:pt idx="2">
                  <c:v>0.2260187595488036</c:v>
                </c:pt>
                <c:pt idx="3">
                  <c:v>0.2253764985066867</c:v>
                </c:pt>
                <c:pt idx="4">
                  <c:v>0.18435243984726893</c:v>
                </c:pt>
                <c:pt idx="5">
                  <c:v>0.18034434290951298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0.31400731441924179</c:v>
                </c:pt>
                <c:pt idx="1">
                  <c:v>0.30605212184968078</c:v>
                </c:pt>
                <c:pt idx="2">
                  <c:v>0.30753885184274921</c:v>
                </c:pt>
                <c:pt idx="3">
                  <c:v>0.2927971782632886</c:v>
                </c:pt>
                <c:pt idx="4">
                  <c:v>0.2475420936238471</c:v>
                </c:pt>
                <c:pt idx="5">
                  <c:v>0.22836686708650142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0.23051494641534059</c:v>
                </c:pt>
                <c:pt idx="1">
                  <c:v>0.22290084688167114</c:v>
                </c:pt>
                <c:pt idx="2">
                  <c:v>0.22609286695567021</c:v>
                </c:pt>
                <c:pt idx="3">
                  <c:v>0.22173785544676392</c:v>
                </c:pt>
                <c:pt idx="4">
                  <c:v>0.18161436086392008</c:v>
                </c:pt>
                <c:pt idx="5">
                  <c:v>0.16923301259480553</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2165782070.1999998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1904709213.03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1752271014.8099999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1549647795.8099999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1289499171.1300001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1067464269.1900001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350655561.32679963</c:v>
                </c:pt>
                <c:pt idx="1">
                  <c:v>504600808.12719989</c:v>
                </c:pt>
                <c:pt idx="2">
                  <c:v>488771350.05639946</c:v>
                </c:pt>
                <c:pt idx="3">
                  <c:v>517168584.19240069</c:v>
                </c:pt>
                <c:pt idx="4">
                  <c:v>291625540.91120052</c:v>
                </c:pt>
                <c:pt idx="5">
                  <c:v>193063900.22639954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15099787202.040001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10874475844.16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9772634096.4200001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8856587611.4699993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8026385121.6099997</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7472691790.1700001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15,481,032,918.61 </c:v>
                </c:pt>
                <c:pt idx="5">
                  <c:v>13,151,218,455.37 </c:v>
                </c:pt>
                <c:pt idx="6">
                  <c:v>12,418,526,373.58 </c:v>
                </c:pt>
                <c:pt idx="7">
                  <c:v>12,007,185,667.03 </c:v>
                </c:pt>
                <c:pt idx="8">
                  <c:v>9,928,707,830.33 </c:v>
                </c:pt>
                <c:pt idx="9">
                  <c:v>8,710,588,041.12 </c:v>
                </c:pt>
                <c:pt idx="10">
                  <c:v>8,355,694,419.22 </c:v>
                </c:pt>
                <c:pt idx="11">
                  <c:v>6,712,213,502.05 </c:v>
                </c:pt>
                <c:pt idx="12">
                  <c:v>6,853,074,405.64 </c:v>
                </c:pt>
                <c:pt idx="13">
                  <c:v>6,936,645,320.42 </c:v>
                </c:pt>
                <c:pt idx="14">
                  <c:v>7,053,195,752.48 </c:v>
                </c:pt>
                <c:pt idx="15">
                  <c:v>7,212,310,288.72 </c:v>
                </c:pt>
                <c:pt idx="16">
                  <c:v>7,359,701,562.01 </c:v>
                </c:pt>
                <c:pt idx="17">
                  <c:v>7,622,128,871.25 </c:v>
                </c:pt>
                <c:pt idx="18">
                  <c:v>7,744,757,472.20 </c:v>
                </c:pt>
                <c:pt idx="19">
                  <c:v>7,872,255,643.93 </c:v>
                </c:pt>
                <c:pt idx="20">
                  <c:v>8,046,410,371.50 </c:v>
                </c:pt>
              </c:strCache>
            </c:strRef>
          </c:tx>
          <c:invertIfNegative val="0"/>
          <c:cat>
            <c:numRef>
              <c:f>投资和筹资活动现金流表!$E$12</c:f>
              <c:numCache>
                <c:formatCode>#,##0.00_ </c:formatCode>
                <c:ptCount val="1"/>
                <c:pt idx="0">
                  <c:v>15481032918.609999</c:v>
                </c:pt>
              </c:numCache>
            </c:numRef>
          </c:cat>
          <c:val>
            <c:numRef>
              <c:f>投资和筹资活动现金流表!$E$12:$U$12</c:f>
              <c:numCache>
                <c:formatCode>#,##0.00_ </c:formatCode>
                <c:ptCount val="5"/>
                <c:pt idx="0">
                  <c:v>15481032918.609999</c:v>
                </c:pt>
                <c:pt idx="1">
                  <c:v>9928707830.3299999</c:v>
                </c:pt>
                <c:pt idx="2">
                  <c:v>6853074405.6399994</c:v>
                </c:pt>
                <c:pt idx="3">
                  <c:v>7359701562.0100002</c:v>
                </c:pt>
                <c:pt idx="4">
                  <c:v>8046410371.5</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0.22099596403398025</c:v>
                </c:pt>
                <c:pt idx="1">
                  <c:v>0.47365519507725262</c:v>
                </c:pt>
                <c:pt idx="2">
                  <c:v>0.37985005897756585</c:v>
                </c:pt>
                <c:pt idx="3">
                  <c:v>-8.3386436137281791E-2</c:v>
                </c:pt>
                <c:pt idx="4">
                  <c:v>-7.9878764330308674E-2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0.53370213375880393</c:v>
                </c:pt>
                <c:pt idx="1">
                  <c:v>0.36378640869952072</c:v>
                </c:pt>
                <c:pt idx="2">
                  <c:v>0.54944351074336639</c:v>
                </c:pt>
                <c:pt idx="3">
                  <c:v>19.007505605034311</c:v>
                </c:pt>
                <c:pt idx="4">
                  <c:v>22.059911923119206</c:v>
                </c:pt>
                <c:pt idx="5">
                  <c:v>4.9759394061412507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4034214525.1999998</c:v>
                </c:pt>
                <c:pt idx="1">
                  <c:v>5293206729.9400005</c:v>
                </c:pt>
                <c:pt idx="2">
                  <c:v>3165225082.9700003</c:v>
                </c:pt>
                <c:pt idx="3">
                  <c:v>95951535.780000001</c:v>
                </c:pt>
                <c:pt idx="4">
                  <c:v>89119527.5</c:v>
                </c:pt>
                <c:pt idx="5">
                  <c:v>361069441.22000003</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83848786.379999995</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2153068900.1399999</c:v>
                </c:pt>
                <c:pt idx="1">
                  <c:v>1956099715.6600001</c:v>
                </c:pt>
                <c:pt idx="2">
                  <c:v>1739112381.8800001</c:v>
                </c:pt>
                <c:pt idx="3">
                  <c:v>1823799354.1500001</c:v>
                </c:pt>
                <c:pt idx="4">
                  <c:v>1965968927.28</c:v>
                </c:pt>
                <c:pt idx="5">
                  <c:v>1796659660.9200001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3753358274.02</c:v>
                </c:pt>
                <c:pt idx="1">
                  <c:v>3040213820.1799998</c:v>
                </c:pt>
                <c:pt idx="2">
                  <c:v>-346826224.54000002</c:v>
                </c:pt>
                <c:pt idx="3">
                  <c:v>-396453434.04000002</c:v>
                </c:pt>
                <c:pt idx="4">
                  <c:v>-1314034216.9000001</c:v>
                </c:pt>
                <c:pt idx="5">
                  <c:v>-1202538334.6300001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-527533510.51999998</c:v>
                </c:pt>
                <c:pt idx="1">
                  <c:v>-368000000</c:v>
                </c:pt>
                <c:pt idx="2">
                  <c:v>-333500000</c:v>
                </c:pt>
                <c:pt idx="3">
                  <c:v>-425500000</c:v>
                </c:pt>
                <c:pt idx="4">
                  <c:v>-379500000</c:v>
                </c:pt>
                <c:pt idx="5">
                  <c:v>-402500000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4316375131.9200001</c:v>
                </c:pt>
                <c:pt idx="1">
                  <c:v>3447067082.3199997</c:v>
                </c:pt>
                <c:pt idx="2">
                  <c:v>0</c:v>
                </c:pt>
                <c:pt idx="3">
                  <c:v>0</c:v>
                </c:pt>
                <c:pt idx="4">
                  <c:v>-902883814.99000001</c:v>
                </c:pt>
                <c:pt idx="5">
                  <c:v>-766743680.06000006</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2370000000</c:v>
                </c:pt>
                <c:pt idx="1">
                  <c:v>350000000</c:v>
                </c:pt>
                <c:pt idx="2">
                  <c:v>0</c:v>
                </c:pt>
                <c:pt idx="3">
                  <c:v>0</c:v>
                </c:pt>
                <c:pt idx="4">
                  <c:v>0</c:v>
                </c:pt>
                <c:pt idx="5">
                  <c:v>1100000000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3000000000</c:v>
                </c:pt>
                <c:pt idx="1">
                  <c:v>3454569679.21</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29602594.5</c:v>
                </c:pt>
                <c:pt idx="1">
                  <c:v>-2352472.5499999998</c:v>
                </c:pt>
                <c:pt idx="2">
                  <c:v>0</c:v>
                </c:pt>
                <c:pt idx="3">
                  <c:v>0</c:v>
                </c:pt>
                <c:pt idx="4">
                  <c:v>17500000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38173947.5</c:v>
                </c:pt>
                <c:pt idx="1">
                  <c:v>1597114.59</c:v>
                </c:pt>
                <c:pt idx="2">
                  <c:v>0</c:v>
                </c:pt>
                <c:pt idx="3">
                  <c:v>0</c:v>
                </c:pt>
                <c:pt idx="4">
                  <c:v>20883814.989999998</c:v>
                </c:pt>
                <c:pt idx="5">
                  <c:v>62267001.710000001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3062861637.4699998</c:v>
                </c:pt>
                <c:pt idx="1">
                  <c:v>3838325099.5300007</c:v>
                </c:pt>
                <c:pt idx="2">
                  <c:v>0</c:v>
                </c:pt>
                <c:pt idx="3">
                  <c:v>0</c:v>
                </c:pt>
                <c:pt idx="4">
                  <c:v>0</c:v>
                </c:pt>
                <c:pt idx="5">
                  <c:v>883476678.35000002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19"/>
                <c:pt idx="0">
                  <c:v>8.7183220113057999E-2</c:v>
                </c:pt>
                <c:pt idx="1">
                  <c:v>9.3531293915680422E-2</c:v>
                </c:pt>
                <c:pt idx="2">
                  <c:v>0.12993002775486118</c:v>
                </c:pt>
                <c:pt idx="3">
                  <c:v>0.13829750817977682</c:v>
                </c:pt>
                <c:pt idx="4">
                  <c:v>0.11625487721234978</c:v>
                </c:pt>
                <c:pt idx="5">
                  <c:v>9.8366899755831461E-2</c:v>
                </c:pt>
                <c:pt idx="6">
                  <c:v>8.4561880967610192E-2</c:v>
                </c:pt>
                <c:pt idx="7">
                  <c:v>8.5287315696318894E-2</c:v>
                </c:pt>
                <c:pt idx="8">
                  <c:v>7.5097302480626071E-2</c:v>
                </c:pt>
                <c:pt idx="9">
                  <c:v>7.4438802768554441E-2</c:v>
                </c:pt>
                <c:pt idx="10">
                  <c:v>5.3235287959794965E-2</c:v>
                </c:pt>
                <c:pt idx="11">
                  <c:v>4.5542515101411295E-2</c:v>
                </c:pt>
                <c:pt idx="12">
                  <c:v>3.669073535242983E-2</c:v>
                </c:pt>
                <c:pt idx="13">
                  <c:v>7.2112013471096123E-2</c:v>
                </c:pt>
                <c:pt idx="14">
                  <c:v>7.6222849842714088E-2</c:v>
                </c:pt>
                <c:pt idx="15">
                  <c:v>0.1906614915818314</c:v>
                </c:pt>
                <c:pt idx="16">
                  <c:v>0</c:v>
                </c:pt>
                <c:pt idx="17">
                  <c:v>0</c:v>
                </c:pt>
                <c:pt idx="18">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1.572536014540157</c:v>
                </c:pt>
                <c:pt idx="1">
                  <c:v>-0.23395765146040606</c:v>
                </c:pt>
                <c:pt idx="2">
                  <c:v>-0.5449069045002527</c:v>
                </c:pt>
                <c:pt idx="3">
                  <c:v>0.80976734125283389</c:v>
                </c:pt>
                <c:pt idx="4">
                  <c:v>0.42954583191001988</c:v>
                </c:pt>
                <c:pt idx="5">
                  <c:v>0.30970932037034909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0.70164017830655723</c:v>
                </c:pt>
                <c:pt idx="1">
                  <c:v>0.16439161163768193</c:v>
                </c:pt>
                <c:pt idx="2">
                  <c:v>0.10952120199298949</c:v>
                </c:pt>
                <c:pt idx="3">
                  <c:v>2.5904015302347153E-2</c:v>
                </c:pt>
                <c:pt idx="4">
                  <c:v>0.23805192871148451</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0.60227900667507051</c:v>
                </c:pt>
                <c:pt idx="1">
                  <c:v>0.1551608181840976</c:v>
                </c:pt>
                <c:pt idx="2">
                  <c:v>0.25602267679086588</c:v>
                </c:pt>
                <c:pt idx="3">
                  <c:v>0.12010757254607521</c:v>
                </c:pt>
                <c:pt idx="4">
                  <c:v>0.22335808608241484</c:v>
                </c:pt>
                <c:pt idx="5">
                  <c:v>-1.6314443290809805E-2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0.16832857450959293</c:v>
                </c:pt>
                <c:pt idx="1">
                  <c:v>0.25797390819249078</c:v>
                </c:pt>
                <c:pt idx="2">
                  <c:v>5.713518495330399E-3</c:v>
                </c:pt>
                <c:pt idx="3">
                  <c:v>0.17470554665203689</c:v>
                </c:pt>
                <c:pt idx="4">
                  <c:v>-8.1691412556616258E-2</c:v>
                </c:pt>
                <c:pt idx="5">
                  <c:v>-0.13854693181535668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0.4443116402267529</c:v>
                </c:pt>
                <c:pt idx="1">
                  <c:v>0.19058202490301374</c:v>
                </c:pt>
                <c:pt idx="2">
                  <c:v>0.15682845907248216</c:v>
                </c:pt>
                <c:pt idx="3">
                  <c:v>0.14112553192245342</c:v>
                </c:pt>
                <c:pt idx="4">
                  <c:v>8.4654663433047228E-2</c:v>
                </c:pt>
                <c:pt idx="5">
                  <c:v>-7.5932212960738141E-2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0.1738985979671952</c:v>
                </c:pt>
                <c:pt idx="1">
                  <c:v>0.56515122675779383</c:v>
                </c:pt>
                <c:pt idx="2">
                  <c:v>0.45662510689260088</c:v>
                </c:pt>
                <c:pt idx="3">
                  <c:v>-7.3372834929903222E-2</c:v>
                </c:pt>
                <c:pt idx="4">
                  <c:v>-8.7831753092655188E-2</c:v>
                </c:pt>
                <c:pt idx="5">
                  <c:v>-7.8192484351073066E-2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242.07090389213425</c:v>
                </c:pt>
                <c:pt idx="1">
                  <c:v>0</c:v>
                </c:pt>
                <c:pt idx="2">
                  <c:v>0</c:v>
                </c:pt>
                <c:pt idx="3">
                  <c:v>0</c:v>
                </c:pt>
                <c:pt idx="4">
                  <c:v>-1</c:v>
                </c:pt>
                <c:pt idx="5">
                  <c:v>-0.42546125287597525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-0.57535685560803462</c:v>
                </c:pt>
                <c:pt idx="1">
                  <c:v>0</c:v>
                </c:pt>
                <c:pt idx="2">
                  <c:v>0</c:v>
                </c:pt>
                <c:pt idx="3">
                  <c:v>0</c:v>
                </c:pt>
                <c:pt idx="4">
                  <c:v>0</c:v>
                </c:pt>
                <c:pt idx="5">
                  <c:v>-1</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0.16580019320843828</c:v>
                </c:pt>
                <c:pt idx="1">
                  <c:v>7.9519123654490598E-2</c:v>
                </c:pt>
                <c:pt idx="2">
                  <c:v>0.15626669323973055</c:v>
                </c:pt>
                <c:pt idx="3">
                  <c:v>0.37887076939287817</c:v>
                </c:pt>
                <c:pt idx="4">
                  <c:v>0.23100614786124335</c:v>
                </c:pt>
                <c:pt idx="5">
                  <c:v>0.1550494869726366</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1.0976335707972238E-2</c:v>
                </c:pt>
                <c:pt idx="1">
                  <c:v>7.9586181197521689E-3</c:v>
                </c:pt>
                <c:pt idx="2">
                  <c:v>1.0289309105048182E-2</c:v>
                </c:pt>
                <c:pt idx="3">
                  <c:v>1.0232353441988223E-2</c:v>
                </c:pt>
                <c:pt idx="4">
                  <c:v>1.1005860106799647E-2</c:v>
                </c:pt>
                <c:pt idx="5">
                  <c:v>8.5296263398022126E-3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0.99149675018198558</c:v>
                </c:pt>
                <c:pt idx="1">
                  <c:v>1.0420983962076027</c:v>
                </c:pt>
                <c:pt idx="2">
                  <c:v>1.0023053246869187</c:v>
                </c:pt>
                <c:pt idx="3">
                  <c:v>0.75923666103225729</c:v>
                </c:pt>
                <c:pt idx="4">
                  <c:v>0.90412260494307928</c:v>
                </c:pt>
                <c:pt idx="5">
                  <c:v>0.95103665651075631</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0.46866332550552897</c:v>
                </c:pt>
                <c:pt idx="1">
                  <c:v>1.5385570911445516E-3</c:v>
                </c:pt>
                <c:pt idx="2">
                  <c:v>0</c:v>
                </c:pt>
                <c:pt idx="3">
                  <c:v>0</c:v>
                </c:pt>
                <c:pt idx="4">
                  <c:v>0</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0.53133667449447108</c:v>
                </c:pt>
                <c:pt idx="1">
                  <c:v>0.99846144290885541</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0.48435769728928241</c:v>
                </c:pt>
                <c:pt idx="1">
                  <c:v>0.38940944132490718</c:v>
                </c:pt>
                <c:pt idx="2">
                  <c:v>7.4585661580183052E-2</c:v>
                </c:pt>
                <c:pt idx="3">
                  <c:v>-1.554073893839929</c:v>
                </c:pt>
                <c:pt idx="4">
                  <c:v>-0.5807764037513764</c:v>
                </c:pt>
                <c:pt idx="5">
                  <c:v>0.5680602516621055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3011437530.1999998</c:v>
                </c:pt>
                <c:pt idx="1">
                  <c:v>1170610445.5599999</c:v>
                </c:pt>
                <c:pt idx="2">
                  <c:v>1528127586.9300003</c:v>
                </c:pt>
                <c:pt idx="3">
                  <c:v>3357835137.5600004</c:v>
                </c:pt>
                <c:pt idx="4">
                  <c:v>1855396028.55</c:v>
                </c:pt>
                <c:pt idx="5">
                  <c:v>1297891950.8099999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18008607027.469997</c:v>
                </c:pt>
                <c:pt idx="1">
                  <c:v>15340854021.51</c:v>
                </c:pt>
                <c:pt idx="2">
                  <c:v>9801515508.0500011</c:v>
                </c:pt>
                <c:pt idx="3">
                  <c:v>6728921162.8100004</c:v>
                </c:pt>
                <c:pt idx="4">
                  <c:v>7261735265.7699995</c:v>
                </c:pt>
                <c:pt idx="5">
                  <c:v>7960960371.5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1435450920.5799999</c:v>
                </c:pt>
                <c:pt idx="1">
                  <c:v>5905482.2999999998</c:v>
                </c:pt>
                <c:pt idx="2">
                  <c:v>0</c:v>
                </c:pt>
                <c:pt idx="3">
                  <c:v>0</c:v>
                </c:pt>
                <c:pt idx="4">
                  <c:v>0</c:v>
                </c:pt>
                <c:pt idx="5">
                  <c:v>883476678.35000002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1627410716.8899999</c:v>
                </c:pt>
                <c:pt idx="1">
                  <c:v>3832419617.2300005</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1575986609.6199989</c:v>
                </c:pt>
                <c:pt idx="1">
                  <c:v>1164704963.2600002</c:v>
                </c:pt>
                <c:pt idx="2">
                  <c:v>1528127586.9300003</c:v>
                </c:pt>
                <c:pt idx="3">
                  <c:v>3357835137.5600023</c:v>
                </c:pt>
                <c:pt idx="4">
                  <c:v>1855396028.5500002</c:v>
                </c:pt>
                <c:pt idx="5">
                  <c:v>414415272.46000004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-1575986609.6199999</c:v>
                </c:pt>
                <c:pt idx="1">
                  <c:v>-1164704963.26</c:v>
                </c:pt>
                <c:pt idx="2">
                  <c:v>-1528127586.9300003</c:v>
                </c:pt>
                <c:pt idx="3">
                  <c:v>-3357835137.5600004</c:v>
                </c:pt>
                <c:pt idx="4">
                  <c:v>-1855396028.55</c:v>
                </c:pt>
                <c:pt idx="5">
                  <c:v>-414415272.45999992</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0.59437335395105717</c:v>
                </c:pt>
                <c:pt idx="1">
                  <c:v>0.60389626807302099</c:v>
                </c:pt>
                <c:pt idx="2">
                  <c:v>0.59899180089437221</c:v>
                </c:pt>
                <c:pt idx="3">
                  <c:v>0.61376308072072916</c:v>
                </c:pt>
                <c:pt idx="4">
                  <c:v>0.63432271820522446</c:v>
                </c:pt>
                <c:pt idx="5">
                  <c:v>0.61046085032937913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1.308831042378952E-2</c:v>
                </c:pt>
                <c:pt idx="1">
                  <c:v>1.0743009580207432E-2</c:v>
                </c:pt>
                <c:pt idx="2">
                  <c:v>8.1264286930567316E-3</c:v>
                </c:pt>
                <c:pt idx="3">
                  <c:v>8.4385761085874027E-3</c:v>
                </c:pt>
                <c:pt idx="4">
                  <c:v>9.2957866371194461E-3</c:v>
                </c:pt>
                <c:pt idx="5">
                  <c:v>3.5611723755438196E-2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1.3065942293635637E-2</c:v>
                </c:pt>
                <c:pt idx="1">
                  <c:v>1.637752519642947E-2</c:v>
                </c:pt>
                <c:pt idx="2">
                  <c:v>1.831276969876117E-2</c:v>
                </c:pt>
                <c:pt idx="3">
                  <c:v>1.6767023561610618E-2</c:v>
                </c:pt>
                <c:pt idx="4">
                  <c:v>1.6222945315402495E-2</c:v>
                </c:pt>
                <c:pt idx="5">
                  <c:v>1.7534088001550735E-2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6.2575313082950432E-2</c:v>
                </c:pt>
                <c:pt idx="1">
                  <c:v>6.3727746974118649E-2</c:v>
                </c:pt>
                <c:pt idx="2">
                  <c:v>8.1083277164825523E-2</c:v>
                </c:pt>
                <c:pt idx="3">
                  <c:v>8.2470513347814106E-2</c:v>
                </c:pt>
                <c:pt idx="4">
                  <c:v>8.4871980505091496E-2</c:v>
                </c:pt>
                <c:pt idx="5">
                  <c:v>8.2824063560630254E-2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2.7772839173896904E-3</c:v>
                </c:pt>
                <c:pt idx="1">
                  <c:v>3.123945220580366E-3</c:v>
                </c:pt>
                <c:pt idx="2">
                  <c:v>-5.7557897429552467E-3</c:v>
                </c:pt>
                <c:pt idx="3">
                  <c:v>1.725546820120512E-3</c:v>
                </c:pt>
                <c:pt idx="4">
                  <c:v>-7.8922246887333785E-4</c:v>
                </c:pt>
                <c:pt idx="5">
                  <c:v>-2.4479918276741979E-3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1.7372422611690343E-3</c:v>
                </c:pt>
                <c:pt idx="1">
                  <c:v>1.9488327615723893E-3</c:v>
                </c:pt>
                <c:pt idx="2">
                  <c:v>4.7201615606389219E-4</c:v>
                </c:pt>
                <c:pt idx="3">
                  <c:v>5.5032033031679668E-4</c:v>
                </c:pt>
                <c:pt idx="4">
                  <c:v>6.6223352718497615E-4</c:v>
                </c:pt>
                <c:pt idx="5">
                  <c:v>1.2554190251670703E-3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1.2503760981888255E-4</c:v>
                </c:pt>
                <c:pt idx="1">
                  <c:v>8.4197206387105143E-4</c:v>
                </c:pt>
                <c:pt idx="2">
                  <c:v>8.7776750844451165E-4</c:v>
                </c:pt>
                <c:pt idx="3">
                  <c:v>-4.7598752381807158E-3</c:v>
                </c:pt>
                <c:pt idx="4">
                  <c:v>-5.0366723847244345E-3</c:v>
                </c:pt>
                <c:pt idx="5">
                  <c:v>-1.7222589843105339E-2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9.336912958875318E-2</c:v>
                </c:pt>
                <c:pt idx="1">
                  <c:v>9.676303179677935E-2</c:v>
                </c:pt>
                <c:pt idx="2">
                  <c:v>0.10311646947819658</c:v>
                </c:pt>
                <c:pt idx="3">
                  <c:v>0.1051921049302687</c:v>
                </c:pt>
                <c:pt idx="4">
                  <c:v>0.10522705113120064</c:v>
                </c:pt>
                <c:pt idx="5">
                  <c:v>0.11755471267200671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0.23051494641534059</c:v>
                </c:pt>
                <c:pt idx="1">
                  <c:v>0.22290084688167114</c:v>
                </c:pt>
                <c:pt idx="2">
                  <c:v>0.22609286695567021</c:v>
                </c:pt>
                <c:pt idx="3">
                  <c:v>0.22173785544676392</c:v>
                </c:pt>
                <c:pt idx="4">
                  <c:v>0.18161436086392008</c:v>
                </c:pt>
                <c:pt idx="5">
                  <c:v>0.16923301259480553</c:v>
                </c:pt>
                <c:pt idx="6">
                  <c:v>0.16161726588677114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2.4303539385711059E-2</c:v>
                </c:pt>
                <c:pt idx="1">
                  <c:v>5.8231093768595921E-3</c:v>
                </c:pt>
                <c:pt idx="2">
                  <c:v>1.9086087946397212E-3</c:v>
                </c:pt>
                <c:pt idx="3">
                  <c:v>1.7580785385761244E-3</c:v>
                </c:pt>
                <c:pt idx="4">
                  <c:v>1.8697582305895022E-2</c:v>
                </c:pt>
                <c:pt idx="5">
                  <c:v>5.9991543094357502E-2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4018885671.1100001</c:v>
                </c:pt>
                <c:pt idx="1">
                  <c:v>3724036883.98</c:v>
                </c:pt>
                <c:pt idx="2">
                  <c:v>3366175400.3800001</c:v>
                </c:pt>
                <c:pt idx="3">
                  <c:v>3392685032.23</c:v>
                </c:pt>
                <c:pt idx="4">
                  <c:v>3261251903.25</c:v>
                </c:pt>
                <c:pt idx="5">
                  <c:v>2852876091.1100001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2742665203.2599998</c:v>
                </c:pt>
                <c:pt idx="1">
                  <c:v>2442646172.1399999</c:v>
                </c:pt>
                <c:pt idx="2">
                  <c:v>2253559953.8499994</c:v>
                </c:pt>
                <c:pt idx="3">
                  <c:v>2134993544.0800004</c:v>
                </c:pt>
                <c:pt idx="4">
                  <c:v>1880061516.0100002</c:v>
                </c:pt>
                <c:pt idx="5">
                  <c:v>1820439305.8899999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0.17715905892312633</c:v>
                </c:pt>
                <c:pt idx="1">
                  <c:v>0.22447748885280328</c:v>
                </c:pt>
                <c:pt idx="2">
                  <c:v>9.8710328199461975E-2</c:v>
                </c:pt>
                <c:pt idx="3">
                  <c:v>2.524994045833109E-2</c:v>
                </c:pt>
                <c:pt idx="4">
                  <c:v>-5.6912883383938451E-3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7.0397336218994194E-3</c:v>
                </c:pt>
                <c:pt idx="1">
                  <c:v>7.3290932804863087E-3</c:v>
                </c:pt>
                <c:pt idx="2">
                  <c:v>1.4563659945434106E-2</c:v>
                </c:pt>
                <c:pt idx="3">
                  <c:v>3.1827611186900924E-2</c:v>
                </c:pt>
                <c:pt idx="4">
                  <c:v>2.0952353443609334E-3</c:v>
                </c:pt>
                <c:pt idx="5">
                  <c:v>1.5533623558727283E-2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-2.2122914252402732</c:v>
                </c:pt>
                <c:pt idx="1">
                  <c:v>-3.2328517274189696</c:v>
                </c:pt>
                <c:pt idx="2">
                  <c:v>-3.403239179378438</c:v>
                </c:pt>
                <c:pt idx="3">
                  <c:v>-4.2045243339584184</c:v>
                </c:pt>
                <c:pt idx="4">
                  <c:v>-4.3803408072442673</c:v>
                </c:pt>
                <c:pt idx="5">
                  <c:v>-4.8709369818860253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0.37546218117015129</c:v>
                </c:pt>
                <c:pt idx="1">
                  <c:v>0.40197781997491516</c:v>
                </c:pt>
                <c:pt idx="2">
                  <c:v>0.57335371755668818</c:v>
                </c:pt>
                <c:pt idx="3">
                  <c:v>0.82148065678951121</c:v>
                </c:pt>
                <c:pt idx="4">
                  <c:v>0.70800066803520967</c:v>
                </c:pt>
                <c:pt idx="5">
                  <c:v>0.58702909936976067</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2.2452901003465087</c:v>
                </c:pt>
                <c:pt idx="1">
                  <c:v>5.2679207498186678</c:v>
                </c:pt>
                <c:pt idx="2">
                  <c:v>3.6775302025140557</c:v>
                </c:pt>
                <c:pt idx="3">
                  <c:v>1.6462030891506887</c:v>
                </c:pt>
                <c:pt idx="4">
                  <c:v>2.771005941668399</c:v>
                </c:pt>
                <c:pt idx="5">
                  <c:v>3.6006968022903876</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33.915647475692758</c:v>
                </c:pt>
                <c:pt idx="1">
                  <c:v>52.634821171685019</c:v>
                </c:pt>
                <c:pt idx="2">
                  <c:v>55.851707648102305</c:v>
                </c:pt>
                <c:pt idx="3">
                  <c:v>60.953546464112847</c:v>
                </c:pt>
                <c:pt idx="4">
                  <c:v>58.161688598054702</c:v>
                </c:pt>
                <c:pt idx="5">
                  <c:v>65.452596596638656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0.37085159270870049</c:v>
                </c:pt>
                <c:pt idx="1">
                  <c:v>0.39833795900704605</c:v>
                </c:pt>
                <c:pt idx="2">
                  <c:v>0.56600873449644218</c:v>
                </c:pt>
                <c:pt idx="3">
                  <c:v>0.80659835996538809</c:v>
                </c:pt>
                <c:pt idx="4">
                  <c:v>0.69857634524189338</c:v>
                </c:pt>
                <c:pt idx="5">
                  <c:v>0.73835937949923169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0.78590814550984089</c:v>
                </c:pt>
                <c:pt idx="1">
                  <c:v>0.87895088292279822</c:v>
                </c:pt>
                <c:pt idx="2">
                  <c:v>0.75949329842014268</c:v>
                </c:pt>
                <c:pt idx="3">
                  <c:v>0.84598578240672928</c:v>
                </c:pt>
                <c:pt idx="4">
                  <c:v>0.71830299593637592</c:v>
                </c:pt>
                <c:pt idx="5">
                  <c:v>0.59698555775141637</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0.74353153776500769</c:v>
                </c:pt>
                <c:pt idx="1">
                  <c:v>0.77587435265185667</c:v>
                </c:pt>
                <c:pt idx="2">
                  <c:v>2.6682245281108732</c:v>
                </c:pt>
                <c:pt idx="3">
                  <c:v>397.36778941022294</c:v>
                </c:pt>
                <c:pt idx="4">
                  <c:v>536.37648384030922</c:v>
                </c:pt>
                <c:pt idx="5">
                  <c:v>127.05195098282445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241.96301840395984</c:v>
                </c:pt>
                <c:pt idx="1">
                  <c:v>276.45947768728303</c:v>
                </c:pt>
                <c:pt idx="2">
                  <c:v>246.46178139857631</c:v>
                </c:pt>
                <c:pt idx="3">
                  <c:v>260.54711379038065</c:v>
                </c:pt>
                <c:pt idx="4">
                  <c:v>253.42988548850818</c:v>
                </c:pt>
                <c:pt idx="5">
                  <c:v>216.99945593368753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8.5081182010715981</c:v>
                </c:pt>
                <c:pt idx="1">
                  <c:v>9.7993173724418252</c:v>
                </c:pt>
                <c:pt idx="2">
                  <c:v>10.377531081090265</c:v>
                </c:pt>
                <c:pt idx="3">
                  <c:v>10.448640294101942</c:v>
                </c:pt>
                <c:pt idx="4">
                  <c:v>9.9992535859758629</c:v>
                </c:pt>
                <c:pt idx="5">
                  <c:v>7.9662271558109428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53.264273094649546</c:v>
                </c:pt>
                <c:pt idx="1">
                  <c:v>51.325826487156675</c:v>
                </c:pt>
                <c:pt idx="2">
                  <c:v>48.706968813273598</c:v>
                </c:pt>
                <c:pt idx="3">
                  <c:v>57.702900539531917</c:v>
                </c:pt>
                <c:pt idx="4">
                  <c:v>60.722436120415018</c:v>
                </c:pt>
                <c:pt idx="5">
                  <c:v>58.317161577812968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18.038442772973859</c:v>
                </c:pt>
                <c:pt idx="1">
                  <c:v>25.513476231970291</c:v>
                </c:pt>
                <c:pt idx="2">
                  <c:v>33.158620310722171</c:v>
                </c:pt>
                <c:pt idx="3">
                  <c:v>33.195960298030876</c:v>
                </c:pt>
                <c:pt idx="4">
                  <c:v>30.464903903074195</c:v>
                </c:pt>
                <c:pt idx="5">
                  <c:v>31.427454744665898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0.14131892387310357</c:v>
                </c:pt>
                <c:pt idx="1">
                  <c:v>0.13818770473531689</c:v>
                </c:pt>
                <c:pt idx="2">
                  <c:v>0.20661248666260859</c:v>
                </c:pt>
                <c:pt idx="3">
                  <c:v>0.27721487591403654</c:v>
                </c:pt>
                <c:pt idx="4">
                  <c:v>0.21144280085131029</c:v>
                </c:pt>
                <c:pt idx="5">
                  <c:v>0.15855042540386724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0.31250759167982739</c:v>
                </c:pt>
                <c:pt idx="1">
                  <c:v>0.30102464425794173</c:v>
                </c:pt>
                <c:pt idx="2">
                  <c:v>0.29964726464432029</c:v>
                </c:pt>
                <c:pt idx="3">
                  <c:v>0.27152506387264069</c:v>
                </c:pt>
                <c:pt idx="4">
                  <c:v>0.2503768858941261</c:v>
                </c:pt>
                <c:pt idx="5">
                  <c:v>0.23753925731240341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2113035979.7699997</c:v>
                </c:pt>
                <c:pt idx="1">
                  <c:v>1856323573.2199998</c:v>
                </c:pt>
                <c:pt idx="2">
                  <c:v>1683938326.9199996</c:v>
                </c:pt>
                <c:pt idx="3">
                  <c:v>1500903278.5000005</c:v>
                </c:pt>
                <c:pt idx="4">
                  <c:v>1287266043.3200004</c:v>
                </c:pt>
                <c:pt idx="5">
                  <c:v>1110095868.5899997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35319095.43</c:v>
                </c:pt>
                <c:pt idx="1">
                  <c:v>26299728.890000001</c:v>
                </c:pt>
                <c:pt idx="2">
                  <c:v>9932121.0500000007</c:v>
                </c:pt>
                <c:pt idx="3">
                  <c:v>2289834.85</c:v>
                </c:pt>
                <c:pt idx="4">
                  <c:v>-503092.29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0.88853720191413921</c:v>
                </c:pt>
                <c:pt idx="1">
                  <c:v>0.86768121784471663</c:v>
                </c:pt>
                <c:pt idx="2">
                  <c:v>0.89438258737037402</c:v>
                </c:pt>
                <c:pt idx="3">
                  <c:v>0.89755835039717924</c:v>
                </c:pt>
                <c:pt idx="4">
                  <c:v>0.90608584066889697</c:v>
                </c:pt>
                <c:pt idx="5">
                  <c:v>0.87137968228666685</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0.82737962569614365</c:v>
                </c:pt>
                <c:pt idx="1">
                  <c:v>0.81026827077027674</c:v>
                </c:pt>
                <c:pt idx="2">
                  <c:v>0.78601635874597187</c:v>
                </c:pt>
                <c:pt idx="3">
                  <c:v>0.70826972309198077</c:v>
                </c:pt>
                <c:pt idx="4">
                  <c:v>0.69017764654250646</c:v>
                </c:pt>
                <c:pt idx="5">
                  <c:v>0.62859711379867367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1.388007172628954</c:v>
                </c:pt>
                <c:pt idx="1">
                  <c:v>1.446841597445</c:v>
                </c:pt>
                <c:pt idx="2">
                  <c:v>1.4048003058976599</c:v>
                </c:pt>
                <c:pt idx="3">
                  <c:v>1.6045431302353073</c:v>
                </c:pt>
                <c:pt idx="4">
                  <c:v>2.0816475958460003</c:v>
                </c:pt>
                <c:pt idx="5">
                  <c:v>2.1840035452695279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1.381377945143881</c:v>
                </c:pt>
                <c:pt idx="1">
                  <c:v>1.4230745225232866</c:v>
                </c:pt>
                <c:pt idx="2">
                  <c:v>1.36875248935694</c:v>
                </c:pt>
                <c:pt idx="3">
                  <c:v>1.4879708831475928</c:v>
                </c:pt>
                <c:pt idx="4">
                  <c:v>2.1054861213580129</c:v>
                </c:pt>
                <c:pt idx="5">
                  <c:v>2.2717243824800222</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0.13004863517864129</c:v>
                </c:pt>
                <c:pt idx="1">
                  <c:v>0.11256601397929161</c:v>
                </c:pt>
                <c:pt idx="2">
                  <c:v>9.4842288293953442E-2</c:v>
                </c:pt>
                <c:pt idx="3">
                  <c:v>-0.10786845600264998</c:v>
                </c:pt>
                <c:pt idx="4">
                  <c:v>0.23182163943529746</c:v>
                </c:pt>
                <c:pt idx="5">
                  <c:v>0.53551711373906241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2153068900.1399999</c:v>
                </c:pt>
                <c:pt idx="1">
                  <c:v>1956099715.6600001</c:v>
                </c:pt>
                <c:pt idx="2">
                  <c:v>1739112381.8800001</c:v>
                </c:pt>
                <c:pt idx="3">
                  <c:v>1823799354.1500001</c:v>
                </c:pt>
                <c:pt idx="4">
                  <c:v>1965968927.28</c:v>
                </c:pt>
                <c:pt idx="5">
                  <c:v>1796659660.9200001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1551194361.6703229</c:v>
                </c:pt>
                <c:pt idx="1">
                  <c:v>1351979179.41695</c:v>
                </c:pt>
                <c:pt idx="2">
                  <c:v>1237978362.1763356</c:v>
                </c:pt>
                <c:pt idx="3">
                  <c:v>1136647136.3612013</c:v>
                </c:pt>
                <c:pt idx="4">
                  <c:v>944429273.81328082</c:v>
                </c:pt>
                <c:pt idx="5">
                  <c:v>822645029.4970901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P85"/>
  <sheetViews>
    <sheetView workbookViewId="0">
      <selection activeCell="Y25" sqref="Y25"/>
    </sheetView>
  </sheetViews>
  <sheetFormatPr defaultRowHeight="14.4" x14ac:dyDescent="0.25"/>
  <cols>
    <col min="1" max="1" width="35.886718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7" width="12.77734375" style="189" bestFit="1" customWidth="1"/>
    <col min="68" max="68" width="9.5546875" style="189" hidden="1" customWidth="1"/>
    <col min="69" max="16384" width="8.88671875" style="189"/>
  </cols>
  <sheetData>
    <row r="1" spans="1:68"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row>
    <row r="2" spans="1:68"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row>
    <row r="3" spans="1:68" x14ac:dyDescent="0.25">
      <c r="A3" s="189" t="s">
        <v>107</v>
      </c>
    </row>
    <row r="4" spans="1:68" x14ac:dyDescent="0.25">
      <c r="A4" s="189" t="s">
        <v>108</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row>
    <row r="5" spans="1:68"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row>
    <row r="6" spans="1:68"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row>
    <row r="7" spans="1:68" x14ac:dyDescent="0.25">
      <c r="A7" s="189" t="s">
        <v>111</v>
      </c>
      <c r="B7" s="189">
        <v>44110119.700000003</v>
      </c>
      <c r="C7" s="189">
        <v>44110119.700000003</v>
      </c>
      <c r="D7" s="189">
        <v>44110119.700000003</v>
      </c>
      <c r="E7" s="189">
        <v>60478799.729999997</v>
      </c>
      <c r="F7" s="189">
        <v>0</v>
      </c>
      <c r="G7" s="189">
        <v>0</v>
      </c>
      <c r="H7" s="189">
        <v>0</v>
      </c>
      <c r="I7" s="189">
        <v>0</v>
      </c>
      <c r="J7" s="189">
        <v>0</v>
      </c>
      <c r="K7" s="189">
        <v>0</v>
      </c>
      <c r="L7" s="189">
        <v>0</v>
      </c>
      <c r="M7" s="189">
        <v>0</v>
      </c>
      <c r="N7" s="189">
        <v>2000000</v>
      </c>
      <c r="O7" s="189">
        <v>2000000</v>
      </c>
      <c r="P7" s="189">
        <v>6000000</v>
      </c>
      <c r="Q7" s="189">
        <v>9462869.6999999993</v>
      </c>
      <c r="R7" s="189">
        <v>6000000</v>
      </c>
      <c r="S7" s="189">
        <v>6000000</v>
      </c>
      <c r="T7" s="189">
        <v>6000000</v>
      </c>
      <c r="U7" s="189">
        <v>4000000</v>
      </c>
      <c r="V7" s="189">
        <v>0</v>
      </c>
      <c r="W7" s="189">
        <v>0</v>
      </c>
      <c r="X7" s="189">
        <v>0</v>
      </c>
      <c r="Y7" s="189">
        <v>0</v>
      </c>
      <c r="Z7" s="189">
        <v>0</v>
      </c>
      <c r="AA7" s="189">
        <v>0</v>
      </c>
      <c r="AB7" s="189">
        <v>0</v>
      </c>
      <c r="AC7" s="189">
        <v>0</v>
      </c>
      <c r="AD7" s="189">
        <v>0</v>
      </c>
      <c r="AE7" s="189">
        <v>0</v>
      </c>
      <c r="AF7" s="189">
        <v>0</v>
      </c>
      <c r="AG7" s="189">
        <v>0</v>
      </c>
      <c r="AH7" s="189">
        <v>0</v>
      </c>
      <c r="AI7" s="189">
        <v>0</v>
      </c>
      <c r="AJ7" s="189">
        <v>21824585.039999999</v>
      </c>
      <c r="AK7" s="189">
        <v>25024048.039999999</v>
      </c>
      <c r="AL7" s="189">
        <v>5908085.5</v>
      </c>
      <c r="AM7" s="189">
        <v>0</v>
      </c>
      <c r="AN7" s="189">
        <v>0</v>
      </c>
      <c r="AO7" s="189">
        <v>0</v>
      </c>
      <c r="AP7" s="189">
        <v>0</v>
      </c>
      <c r="AQ7" s="189">
        <v>0</v>
      </c>
      <c r="AR7" s="189">
        <v>1130024.5</v>
      </c>
      <c r="AS7" s="189">
        <v>3278844.5</v>
      </c>
      <c r="AT7" s="189">
        <v>5186568.5</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row>
    <row r="8" spans="1:68" x14ac:dyDescent="0.25">
      <c r="A8" s="189" t="s">
        <v>112</v>
      </c>
      <c r="B8" s="189">
        <v>979658214.70000005</v>
      </c>
      <c r="C8" s="189">
        <v>1364491019.77</v>
      </c>
      <c r="D8" s="189">
        <v>1346254402.1099999</v>
      </c>
      <c r="E8" s="189">
        <v>821335742.14999998</v>
      </c>
      <c r="F8" s="189">
        <v>957439060.87</v>
      </c>
      <c r="G8" s="189">
        <v>767650066.65999997</v>
      </c>
      <c r="H8" s="189">
        <v>1148185399.71</v>
      </c>
      <c r="I8" s="189">
        <v>772783112</v>
      </c>
      <c r="J8" s="189">
        <v>862282289.27999997</v>
      </c>
      <c r="K8" s="189">
        <v>633462110.35000002</v>
      </c>
      <c r="L8" s="189">
        <v>937887932.20000005</v>
      </c>
      <c r="M8" s="189">
        <v>591686519.64999998</v>
      </c>
      <c r="N8" s="189">
        <v>833397874.95000005</v>
      </c>
      <c r="O8" s="189">
        <v>688787023.71000004</v>
      </c>
      <c r="P8" s="189">
        <v>1051645933.64</v>
      </c>
      <c r="Q8" s="189">
        <v>657734435.67999995</v>
      </c>
      <c r="R8" s="189">
        <v>847188540.98000002</v>
      </c>
      <c r="S8" s="189">
        <v>668684210.65999997</v>
      </c>
      <c r="T8" s="189">
        <v>910700869.08000004</v>
      </c>
      <c r="U8" s="189">
        <v>578314837.76999998</v>
      </c>
      <c r="V8" s="189">
        <v>830179814.28999996</v>
      </c>
      <c r="W8" s="189">
        <v>743825344.79999995</v>
      </c>
      <c r="X8" s="189">
        <v>939769184.10000002</v>
      </c>
      <c r="Y8" s="189">
        <v>627287789.86000001</v>
      </c>
      <c r="Z8" s="189">
        <v>879473988.23000002</v>
      </c>
      <c r="AA8" s="189">
        <v>737544843.07000005</v>
      </c>
      <c r="AB8" s="189">
        <v>934291876.63</v>
      </c>
      <c r="AC8" s="189">
        <v>699689778.27999997</v>
      </c>
      <c r="AD8" s="189">
        <v>924797371.14999998</v>
      </c>
      <c r="AE8" s="189">
        <v>856237975.25</v>
      </c>
      <c r="AF8" s="189">
        <v>1031457526.11</v>
      </c>
      <c r="AG8" s="189">
        <v>805453239.03999996</v>
      </c>
      <c r="AH8" s="189">
        <v>718693001.22000003</v>
      </c>
      <c r="AI8" s="189">
        <v>1030411698.4400001</v>
      </c>
      <c r="AJ8" s="189">
        <v>1053166512</v>
      </c>
      <c r="AK8" s="189">
        <v>946518215.45000005</v>
      </c>
      <c r="AL8" s="189">
        <v>1077178655.5699999</v>
      </c>
      <c r="AM8" s="189">
        <v>1254550102.3599999</v>
      </c>
      <c r="AN8" s="189">
        <v>1220123832.4400001</v>
      </c>
      <c r="AO8" s="189">
        <v>961883320.84000003</v>
      </c>
      <c r="AP8" s="189">
        <v>1137584933.76</v>
      </c>
      <c r="AQ8" s="189">
        <v>1073049325.95</v>
      </c>
      <c r="AR8" s="189">
        <v>890822850.30999994</v>
      </c>
      <c r="AS8" s="189">
        <v>679050446.41999996</v>
      </c>
      <c r="AT8" s="189">
        <v>886297091.65999997</v>
      </c>
      <c r="AU8" s="189">
        <v>1109824187.96</v>
      </c>
      <c r="AV8" s="189">
        <v>1073022134.87</v>
      </c>
      <c r="AW8" s="189">
        <v>863362772.99000001</v>
      </c>
      <c r="AX8" s="189">
        <v>1220738984.1400001</v>
      </c>
      <c r="AY8" s="189">
        <v>1136381646.4400001</v>
      </c>
      <c r="AZ8" s="189">
        <v>1082094350.76</v>
      </c>
      <c r="BA8" s="189">
        <v>956021043.10000002</v>
      </c>
      <c r="BB8" s="189">
        <v>837495582.88</v>
      </c>
      <c r="BC8" s="189">
        <v>856127376.59000003</v>
      </c>
      <c r="BD8" s="189">
        <v>761568583.03999996</v>
      </c>
      <c r="BE8" s="189">
        <v>561929402.90999997</v>
      </c>
      <c r="BF8" s="189">
        <v>523940839.94</v>
      </c>
      <c r="BG8" s="189">
        <v>533755326.69</v>
      </c>
      <c r="BH8" s="189">
        <v>494218333.77999997</v>
      </c>
      <c r="BI8" s="189">
        <v>397413931.14999998</v>
      </c>
      <c r="BJ8" s="189">
        <v>346920294.94999999</v>
      </c>
      <c r="BK8" s="189">
        <v>238366345.74000001</v>
      </c>
      <c r="BL8" s="189">
        <v>293698326.14999998</v>
      </c>
      <c r="BM8" s="189">
        <v>246878522.49000001</v>
      </c>
      <c r="BN8" s="189">
        <v>122343992.23</v>
      </c>
      <c r="BO8" s="189">
        <v>138716627.03999999</v>
      </c>
      <c r="BP8" s="189">
        <v>0</v>
      </c>
    </row>
    <row r="9" spans="1:68" x14ac:dyDescent="0.25">
      <c r="A9" s="189" t="s">
        <v>113</v>
      </c>
      <c r="B9" s="189">
        <v>53564365.030000001</v>
      </c>
      <c r="C9" s="189">
        <v>44254351.859999999</v>
      </c>
      <c r="D9" s="189">
        <v>32482046.850000001</v>
      </c>
      <c r="E9" s="189">
        <v>10881245.119999999</v>
      </c>
      <c r="F9" s="189">
        <v>38458532.090000004</v>
      </c>
      <c r="G9" s="189">
        <v>43650890.140000001</v>
      </c>
      <c r="H9" s="189">
        <v>42307780.670000002</v>
      </c>
      <c r="I9" s="189">
        <v>21977628.920000002</v>
      </c>
      <c r="J9" s="189">
        <v>28768696.75</v>
      </c>
      <c r="K9" s="189">
        <v>21153564.079999998</v>
      </c>
      <c r="L9" s="189">
        <v>18920265.149999999</v>
      </c>
      <c r="M9" s="189">
        <v>12079665.869999999</v>
      </c>
      <c r="N9" s="189">
        <v>25022952.010000002</v>
      </c>
      <c r="O9" s="189">
        <v>30674316.079999998</v>
      </c>
      <c r="P9" s="189">
        <v>23499405.57</v>
      </c>
      <c r="Q9" s="189">
        <v>15375992.199999999</v>
      </c>
      <c r="R9" s="189">
        <v>22286359.079999998</v>
      </c>
      <c r="S9" s="189">
        <v>25055899.579999998</v>
      </c>
      <c r="T9" s="189">
        <v>16483774.449999999</v>
      </c>
      <c r="U9" s="189">
        <v>14263174.66</v>
      </c>
      <c r="V9" s="189">
        <v>27754208.420000002</v>
      </c>
      <c r="W9" s="189">
        <v>29625321.34</v>
      </c>
      <c r="X9" s="189">
        <v>31679433.440000001</v>
      </c>
      <c r="Y9" s="189">
        <v>14017867.99</v>
      </c>
      <c r="Z9" s="189">
        <v>43323370.770000003</v>
      </c>
      <c r="AA9" s="189">
        <v>34683501.850000001</v>
      </c>
      <c r="AB9" s="189">
        <v>36667831.25</v>
      </c>
      <c r="AC9" s="189">
        <v>33584281.119999997</v>
      </c>
      <c r="AD9" s="189">
        <v>25914171.539999999</v>
      </c>
      <c r="AE9" s="189">
        <v>19933393.850000001</v>
      </c>
      <c r="AF9" s="189">
        <v>30905745.300000001</v>
      </c>
      <c r="AG9" s="189">
        <v>17563470.300000001</v>
      </c>
      <c r="AH9" s="189">
        <v>28180963.899999999</v>
      </c>
      <c r="AI9" s="189">
        <v>20633777.02</v>
      </c>
      <c r="AJ9" s="189">
        <v>16233683.93</v>
      </c>
      <c r="AK9" s="189">
        <v>13556784.66</v>
      </c>
      <c r="AL9" s="189">
        <v>25610066</v>
      </c>
      <c r="AM9" s="189">
        <v>16186170.960000001</v>
      </c>
      <c r="AN9" s="189">
        <v>5087726.6399999997</v>
      </c>
      <c r="AO9" s="189">
        <v>12556542.6</v>
      </c>
      <c r="AP9" s="189">
        <v>23090283.57</v>
      </c>
      <c r="AQ9" s="189">
        <v>13896841.51</v>
      </c>
      <c r="AR9" s="189">
        <v>36069940.039999999</v>
      </c>
      <c r="AS9" s="189">
        <v>8290509.2599999998</v>
      </c>
      <c r="AT9" s="189">
        <v>11160659.41</v>
      </c>
      <c r="AU9" s="189">
        <v>9592951.2799999993</v>
      </c>
      <c r="AV9" s="189">
        <v>10234498.300000001</v>
      </c>
      <c r="AW9" s="189">
        <v>10548226.199999999</v>
      </c>
      <c r="AX9" s="189">
        <v>12746597.25</v>
      </c>
      <c r="AY9" s="189">
        <v>20063784.010000002</v>
      </c>
      <c r="AZ9" s="189">
        <v>35965959.119999997</v>
      </c>
      <c r="BA9" s="189">
        <v>19105604.489999998</v>
      </c>
      <c r="BB9" s="189">
        <v>42959645.229999997</v>
      </c>
      <c r="BC9" s="189">
        <v>22680432.510000002</v>
      </c>
      <c r="BD9" s="189">
        <v>49766608.32</v>
      </c>
      <c r="BE9" s="189">
        <v>33412258.91</v>
      </c>
      <c r="BF9" s="189">
        <v>21423172.280000001</v>
      </c>
      <c r="BG9" s="189">
        <v>30888860.800000001</v>
      </c>
      <c r="BH9" s="189">
        <v>9659983.7100000009</v>
      </c>
      <c r="BI9" s="189">
        <v>11419337.93</v>
      </c>
      <c r="BJ9" s="189">
        <v>9236196.5800000001</v>
      </c>
      <c r="BK9" s="189">
        <v>5910628.7199999997</v>
      </c>
      <c r="BL9" s="189">
        <v>16793278.280000001</v>
      </c>
      <c r="BM9" s="189">
        <v>7279078.7300000004</v>
      </c>
      <c r="BN9" s="189">
        <v>12668987.08</v>
      </c>
      <c r="BO9" s="189">
        <v>9336114.6899999995</v>
      </c>
      <c r="BP9" s="189">
        <v>0</v>
      </c>
    </row>
    <row r="10" spans="1:68" x14ac:dyDescent="0.25">
      <c r="A10" s="189" t="s">
        <v>114</v>
      </c>
      <c r="B10" s="189">
        <v>375680</v>
      </c>
      <c r="C10" s="189">
        <v>478569.18</v>
      </c>
      <c r="D10" s="189">
        <v>1519871.17</v>
      </c>
      <c r="E10" s="189">
        <v>0</v>
      </c>
      <c r="F10" s="189">
        <v>1286525.3600000001</v>
      </c>
      <c r="G10" s="189">
        <v>2689142.78</v>
      </c>
      <c r="H10" s="189">
        <v>1216365.8899999999</v>
      </c>
      <c r="I10" s="189">
        <v>0</v>
      </c>
      <c r="J10" s="189">
        <v>9218562.4900000002</v>
      </c>
      <c r="K10" s="189">
        <v>6345715</v>
      </c>
      <c r="L10" s="189">
        <v>1315460</v>
      </c>
      <c r="M10" s="189">
        <v>9574593.3800000008</v>
      </c>
      <c r="N10" s="189">
        <v>4686000</v>
      </c>
      <c r="O10" s="189">
        <v>2470500</v>
      </c>
      <c r="P10" s="189">
        <v>15182709.09</v>
      </c>
      <c r="Q10" s="189">
        <v>14857968.84</v>
      </c>
      <c r="R10" s="189">
        <v>0</v>
      </c>
      <c r="S10" s="189">
        <v>0</v>
      </c>
      <c r="T10" s="189">
        <v>0</v>
      </c>
      <c r="U10" s="189">
        <v>512467.18</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row>
    <row r="11" spans="1:68"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row>
    <row r="12" spans="1:68" x14ac:dyDescent="0.25">
      <c r="A12" s="189" t="s">
        <v>116</v>
      </c>
      <c r="B12" s="189">
        <v>176147272.09999999</v>
      </c>
      <c r="C12" s="189">
        <v>154668107.83000001</v>
      </c>
      <c r="D12" s="189">
        <v>144400136.38</v>
      </c>
      <c r="E12" s="189">
        <v>137692598.16999999</v>
      </c>
      <c r="F12" s="189">
        <v>298049036.19999999</v>
      </c>
      <c r="G12" s="189">
        <v>194994596.94</v>
      </c>
      <c r="H12" s="189">
        <v>307544291.20999998</v>
      </c>
      <c r="I12" s="189">
        <v>144656146.47999999</v>
      </c>
      <c r="J12" s="189">
        <v>227978564.19</v>
      </c>
      <c r="K12" s="189">
        <v>223858048.18000001</v>
      </c>
      <c r="L12" s="189">
        <v>214451373</v>
      </c>
      <c r="M12" s="189">
        <v>176005420.83000001</v>
      </c>
      <c r="N12" s="189">
        <v>132676833.39</v>
      </c>
      <c r="O12" s="189">
        <v>134135574.01000001</v>
      </c>
      <c r="P12" s="189">
        <v>134900643.72999999</v>
      </c>
      <c r="Q12" s="189">
        <v>115242410.5</v>
      </c>
      <c r="R12" s="189">
        <v>104312088.22</v>
      </c>
      <c r="S12" s="189">
        <v>99377285.099999994</v>
      </c>
      <c r="T12" s="189">
        <v>98682378.299999997</v>
      </c>
      <c r="U12" s="189">
        <v>81785127.400000006</v>
      </c>
      <c r="V12" s="189">
        <v>119997547.84</v>
      </c>
      <c r="W12" s="189">
        <v>106953974.72</v>
      </c>
      <c r="X12" s="189">
        <v>120700986.76000001</v>
      </c>
      <c r="Y12" s="189">
        <v>104002870.23</v>
      </c>
      <c r="Z12" s="189">
        <v>168465274.53999999</v>
      </c>
      <c r="AA12" s="189">
        <v>163555327.38</v>
      </c>
      <c r="AB12" s="189">
        <v>160502112.05000001</v>
      </c>
      <c r="AC12" s="189">
        <v>152229769.65000001</v>
      </c>
      <c r="AD12" s="189">
        <v>211290205.22</v>
      </c>
      <c r="AE12" s="189">
        <v>205790806.77000001</v>
      </c>
      <c r="AF12" s="189">
        <v>214131081.56999999</v>
      </c>
      <c r="AG12" s="189">
        <v>194682441.12</v>
      </c>
      <c r="AH12" s="189">
        <v>45609008.450000003</v>
      </c>
      <c r="AI12" s="189">
        <v>53917296.850000001</v>
      </c>
      <c r="AJ12" s="189">
        <v>49946485.590000004</v>
      </c>
      <c r="AK12" s="189">
        <v>41605800.039999999</v>
      </c>
      <c r="AL12" s="189">
        <v>80906355.260000005</v>
      </c>
      <c r="AM12" s="189">
        <v>75292183.359999999</v>
      </c>
      <c r="AN12" s="189">
        <v>78744289.769999996</v>
      </c>
      <c r="AO12" s="189">
        <v>59948903.210000001</v>
      </c>
      <c r="AP12" s="189">
        <v>54173743.490000002</v>
      </c>
      <c r="AQ12" s="189">
        <v>85761128.269999996</v>
      </c>
      <c r="AR12" s="189">
        <v>87706619.180000007</v>
      </c>
      <c r="AS12" s="189">
        <v>46430422.520000003</v>
      </c>
      <c r="AT12" s="189">
        <v>69970251.609999999</v>
      </c>
      <c r="AU12" s="189">
        <v>88661826.989999995</v>
      </c>
      <c r="AV12" s="189">
        <v>102957640.81</v>
      </c>
      <c r="AW12" s="189">
        <v>44844209.549999997</v>
      </c>
      <c r="AX12" s="189">
        <v>93540631.879999995</v>
      </c>
      <c r="AY12" s="189">
        <v>75205354.900000006</v>
      </c>
      <c r="AZ12" s="189">
        <v>58016070.75</v>
      </c>
      <c r="BA12" s="189">
        <v>51996459.18</v>
      </c>
      <c r="BB12" s="189">
        <v>118660840.42</v>
      </c>
      <c r="BC12" s="189">
        <v>79250271.109999999</v>
      </c>
      <c r="BD12" s="189">
        <v>139706047.18000001</v>
      </c>
      <c r="BE12" s="189">
        <v>75226191.5</v>
      </c>
      <c r="BF12" s="189">
        <v>64138463</v>
      </c>
      <c r="BG12" s="189">
        <v>47723996.280000001</v>
      </c>
      <c r="BH12" s="189">
        <v>40952173.060000002</v>
      </c>
      <c r="BI12" s="189">
        <v>40156786.07</v>
      </c>
      <c r="BJ12" s="189">
        <v>50031943.280000001</v>
      </c>
      <c r="BK12" s="189">
        <v>43789903</v>
      </c>
      <c r="BL12" s="189">
        <v>47757664.869999997</v>
      </c>
      <c r="BM12" s="189">
        <v>30800383.66</v>
      </c>
      <c r="BN12" s="189">
        <v>23627843.699999999</v>
      </c>
      <c r="BO12" s="189">
        <v>241554887.77000001</v>
      </c>
      <c r="BP12" s="189">
        <v>0</v>
      </c>
    </row>
    <row r="13" spans="1:68"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row>
    <row r="14" spans="1:68" x14ac:dyDescent="0.25">
      <c r="A14" s="189" t="s">
        <v>118</v>
      </c>
      <c r="B14" s="189">
        <v>74695068.040000007</v>
      </c>
      <c r="C14" s="189">
        <v>81317048.390000001</v>
      </c>
      <c r="D14" s="189">
        <v>83471879.969999999</v>
      </c>
      <c r="E14" s="189">
        <v>79148787.310000002</v>
      </c>
      <c r="F14" s="189">
        <v>71474017.950000003</v>
      </c>
      <c r="G14" s="189">
        <v>70876801.890000001</v>
      </c>
      <c r="H14" s="189">
        <v>80187849.689999998</v>
      </c>
      <c r="I14" s="189">
        <v>71754827.349999994</v>
      </c>
      <c r="J14" s="189">
        <v>67993801.489999995</v>
      </c>
      <c r="K14" s="189">
        <v>68514692.730000004</v>
      </c>
      <c r="L14" s="189">
        <v>72342541.420000002</v>
      </c>
      <c r="M14" s="189">
        <v>73358739.790000007</v>
      </c>
      <c r="N14" s="189">
        <v>69821217.659999996</v>
      </c>
      <c r="O14" s="189">
        <v>69825242.069999993</v>
      </c>
      <c r="P14" s="189">
        <v>67006081.200000003</v>
      </c>
      <c r="Q14" s="189">
        <v>64862770.700000003</v>
      </c>
      <c r="R14" s="189">
        <v>63264645.82</v>
      </c>
      <c r="S14" s="189">
        <v>59364863.170000002</v>
      </c>
      <c r="T14" s="189">
        <v>53525338.32</v>
      </c>
      <c r="U14" s="189">
        <v>52728719.520000003</v>
      </c>
      <c r="V14" s="189">
        <v>62116239.270000003</v>
      </c>
      <c r="W14" s="189">
        <v>56598672.490000002</v>
      </c>
      <c r="X14" s="189">
        <v>55976182.25</v>
      </c>
      <c r="Y14" s="189">
        <v>54686335.329999998</v>
      </c>
      <c r="Z14" s="189">
        <v>44721411.130000003</v>
      </c>
      <c r="AA14" s="189">
        <v>47577707.799999997</v>
      </c>
      <c r="AB14" s="189">
        <v>45756144.789999999</v>
      </c>
      <c r="AC14" s="189">
        <v>43153683.420000002</v>
      </c>
      <c r="AD14" s="189">
        <v>42294242.909999996</v>
      </c>
      <c r="AE14" s="189">
        <v>44050116.390000001</v>
      </c>
      <c r="AF14" s="189">
        <v>37867571.469999999</v>
      </c>
      <c r="AG14" s="189">
        <v>31807821.579999998</v>
      </c>
      <c r="AH14" s="189">
        <v>28608479.899999999</v>
      </c>
      <c r="AI14" s="189">
        <v>26948127.77</v>
      </c>
      <c r="AJ14" s="189">
        <v>26696324.02</v>
      </c>
      <c r="AK14" s="189">
        <v>25991163.460000001</v>
      </c>
      <c r="AL14" s="189">
        <v>27653653.690000001</v>
      </c>
      <c r="AM14" s="189">
        <v>29418361.690000001</v>
      </c>
      <c r="AN14" s="189">
        <v>30980621.489999998</v>
      </c>
      <c r="AO14" s="189">
        <v>29258612.16</v>
      </c>
      <c r="AP14" s="189">
        <v>24417478.210000001</v>
      </c>
      <c r="AQ14" s="189">
        <v>21673637.079999998</v>
      </c>
      <c r="AR14" s="189">
        <v>20265747.760000002</v>
      </c>
      <c r="AS14" s="189">
        <v>28059017.120000001</v>
      </c>
      <c r="AT14" s="189">
        <v>29501988.68</v>
      </c>
      <c r="AU14" s="189">
        <v>25267886.050000001</v>
      </c>
      <c r="AV14" s="189">
        <v>25807123.25</v>
      </c>
      <c r="AW14" s="189">
        <v>26823802.629999999</v>
      </c>
      <c r="AX14" s="189">
        <v>26656300.170000002</v>
      </c>
      <c r="AY14" s="189">
        <v>26678391.969999999</v>
      </c>
      <c r="AZ14" s="189">
        <v>23334071.149999999</v>
      </c>
      <c r="BA14" s="189">
        <v>30206592.789999999</v>
      </c>
      <c r="BB14" s="189">
        <v>26950714.239999998</v>
      </c>
      <c r="BC14" s="189">
        <v>22741853.620000001</v>
      </c>
      <c r="BD14" s="189">
        <v>21847556.370000001</v>
      </c>
      <c r="BE14" s="189">
        <v>20420305.530000001</v>
      </c>
      <c r="BF14" s="189">
        <v>17983790.41</v>
      </c>
      <c r="BG14" s="189">
        <v>15942963.779999999</v>
      </c>
      <c r="BH14" s="189">
        <v>16511887.57</v>
      </c>
      <c r="BI14" s="189">
        <v>14804201.789999999</v>
      </c>
      <c r="BJ14" s="189">
        <v>17291820.800000001</v>
      </c>
      <c r="BK14" s="189">
        <v>16540681.689999999</v>
      </c>
      <c r="BL14" s="189">
        <v>16204439.9</v>
      </c>
      <c r="BM14" s="189">
        <v>16743899.869999999</v>
      </c>
      <c r="BN14" s="189">
        <v>16371309.98</v>
      </c>
      <c r="BO14" s="189">
        <v>13337807.710000001</v>
      </c>
      <c r="BP14" s="189">
        <v>0</v>
      </c>
    </row>
    <row r="15" spans="1:68" x14ac:dyDescent="0.25">
      <c r="A15" s="189" t="s">
        <v>119</v>
      </c>
      <c r="B15" s="189">
        <v>0</v>
      </c>
      <c r="C15" s="189">
        <v>0</v>
      </c>
      <c r="D15" s="189">
        <v>0</v>
      </c>
      <c r="E15" s="189">
        <v>0</v>
      </c>
      <c r="F15" s="189">
        <v>0</v>
      </c>
      <c r="G15" s="189">
        <v>0</v>
      </c>
      <c r="H15" s="189">
        <v>0</v>
      </c>
      <c r="I15" s="189">
        <v>12000000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row>
    <row r="16" spans="1:68"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row>
    <row r="17" spans="1:68"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2344824.04</v>
      </c>
      <c r="AY17" s="189">
        <v>3955891.4</v>
      </c>
      <c r="AZ17" s="189">
        <v>5211431.3899999997</v>
      </c>
      <c r="BA17" s="189">
        <v>1193497.06</v>
      </c>
      <c r="BB17" s="189">
        <v>2051136.99</v>
      </c>
      <c r="BC17" s="189">
        <v>3186665.39</v>
      </c>
      <c r="BD17" s="189">
        <v>3497101.26</v>
      </c>
      <c r="BE17" s="189">
        <v>4828371.8499999996</v>
      </c>
      <c r="BF17" s="189">
        <v>3041085.11</v>
      </c>
      <c r="BG17" s="189">
        <v>1966041.99</v>
      </c>
      <c r="BH17" s="189">
        <v>1960694.82</v>
      </c>
      <c r="BI17" s="189">
        <v>1588797.1</v>
      </c>
      <c r="BJ17" s="189">
        <v>1879155.13</v>
      </c>
      <c r="BK17" s="189">
        <v>3376128.69</v>
      </c>
      <c r="BL17" s="189">
        <v>2538846.92</v>
      </c>
      <c r="BM17" s="189">
        <v>2795981.62</v>
      </c>
      <c r="BN17" s="189">
        <v>2107309.41</v>
      </c>
      <c r="BO17" s="189">
        <v>2070310.97</v>
      </c>
      <c r="BP17" s="189">
        <v>0</v>
      </c>
    </row>
    <row r="18" spans="1:68"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row>
    <row r="19" spans="1:68" x14ac:dyDescent="0.25">
      <c r="A19" s="189" t="s">
        <v>123</v>
      </c>
      <c r="B19" s="189">
        <v>0</v>
      </c>
      <c r="C19" s="189">
        <v>0</v>
      </c>
      <c r="D19" s="189">
        <v>0</v>
      </c>
      <c r="E19" s="189">
        <v>166066565.88999999</v>
      </c>
      <c r="F19" s="189">
        <v>0</v>
      </c>
      <c r="G19" s="189">
        <v>0</v>
      </c>
      <c r="H19" s="189">
        <v>3959611.85</v>
      </c>
      <c r="I19" s="189">
        <v>80647629.739999995</v>
      </c>
      <c r="J19" s="189">
        <v>0</v>
      </c>
      <c r="K19" s="189">
        <v>0</v>
      </c>
      <c r="L19" s="189">
        <v>1528.87</v>
      </c>
      <c r="M19" s="189">
        <v>14788564.880000001</v>
      </c>
      <c r="N19" s="189">
        <v>0</v>
      </c>
      <c r="O19" s="189">
        <v>0</v>
      </c>
      <c r="P19" s="189">
        <v>0</v>
      </c>
      <c r="Q19" s="189">
        <v>309733.13</v>
      </c>
      <c r="R19" s="189">
        <v>0</v>
      </c>
      <c r="S19" s="189">
        <v>0</v>
      </c>
      <c r="T19" s="189">
        <v>0</v>
      </c>
      <c r="U19" s="189">
        <v>3550293.63</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row>
    <row r="20" spans="1:68" x14ac:dyDescent="0.25">
      <c r="A20" s="189" t="s">
        <v>124</v>
      </c>
      <c r="B20" s="189">
        <v>4809712703.8400002</v>
      </c>
      <c r="C20" s="189">
        <v>4720359305.54</v>
      </c>
      <c r="D20" s="189">
        <v>4458325690.21</v>
      </c>
      <c r="E20" s="189">
        <v>4112561153.0700002</v>
      </c>
      <c r="F20" s="189">
        <v>2371593390.6300001</v>
      </c>
      <c r="G20" s="189">
        <v>2396581492.3400002</v>
      </c>
      <c r="H20" s="189">
        <v>2219049056.7199998</v>
      </c>
      <c r="I20" s="189">
        <v>2093981085.95</v>
      </c>
      <c r="J20" s="189">
        <v>3629693548.5500002</v>
      </c>
      <c r="K20" s="189">
        <v>4029058230.9000001</v>
      </c>
      <c r="L20" s="189">
        <v>3967028223.1799998</v>
      </c>
      <c r="M20" s="189">
        <v>2213380895.5500002</v>
      </c>
      <c r="N20" s="189">
        <v>2840583843</v>
      </c>
      <c r="O20" s="189">
        <v>3204413261.5700002</v>
      </c>
      <c r="P20" s="189">
        <v>4645257239.1999998</v>
      </c>
      <c r="Q20" s="189">
        <v>4010585580.6700001</v>
      </c>
      <c r="R20" s="189">
        <v>3468023767.7600002</v>
      </c>
      <c r="S20" s="189">
        <v>3399983928</v>
      </c>
      <c r="T20" s="189">
        <v>2922758850.48</v>
      </c>
      <c r="U20" s="189">
        <v>2475283956.77</v>
      </c>
      <c r="V20" s="189">
        <v>2254586600.0999999</v>
      </c>
      <c r="W20" s="189">
        <v>2728910946.8400002</v>
      </c>
      <c r="X20" s="189">
        <v>2330370946.98</v>
      </c>
      <c r="Y20" s="189">
        <v>1963686814.22</v>
      </c>
      <c r="Z20" s="189">
        <v>1974043912.54</v>
      </c>
      <c r="AA20" s="189">
        <v>2144202429.9000001</v>
      </c>
      <c r="AB20" s="189">
        <v>1788799890.1900001</v>
      </c>
      <c r="AC20" s="189">
        <v>1792914617.5599999</v>
      </c>
      <c r="AD20" s="189">
        <v>3201790420.23</v>
      </c>
      <c r="AE20" s="189">
        <v>2247623937.1300001</v>
      </c>
      <c r="AF20" s="189">
        <v>2096822531.6700001</v>
      </c>
      <c r="AG20" s="189">
        <v>1991878147.51</v>
      </c>
      <c r="AH20" s="189">
        <v>1787856066.95</v>
      </c>
      <c r="AI20" s="189">
        <v>1880306514.1199999</v>
      </c>
      <c r="AJ20" s="189">
        <v>2520947878.29</v>
      </c>
      <c r="AK20" s="189">
        <v>2209792250.3000002</v>
      </c>
      <c r="AL20" s="189">
        <v>2012961792.1600001</v>
      </c>
      <c r="AM20" s="189">
        <v>2363036394.1599998</v>
      </c>
      <c r="AN20" s="189">
        <v>2013354543.78</v>
      </c>
      <c r="AO20" s="189">
        <v>1624392318.2</v>
      </c>
      <c r="AP20" s="189">
        <v>1874083036.6300001</v>
      </c>
      <c r="AQ20" s="189">
        <v>1778908869.6199999</v>
      </c>
      <c r="AR20" s="189">
        <v>1453060652.8699999</v>
      </c>
      <c r="AS20" s="189">
        <v>1320759149.28</v>
      </c>
      <c r="AT20" s="189">
        <v>1526333125.1199999</v>
      </c>
      <c r="AU20" s="189">
        <v>1661967302.3699999</v>
      </c>
      <c r="AV20" s="189">
        <v>1730152167.75</v>
      </c>
      <c r="AW20" s="189">
        <v>1428733138.95</v>
      </c>
      <c r="AX20" s="189">
        <v>1840395996.03</v>
      </c>
      <c r="AY20" s="189">
        <v>1679504514.4400001</v>
      </c>
      <c r="AZ20" s="189">
        <v>1714569741.46</v>
      </c>
      <c r="BA20" s="189">
        <v>1434127700.4200001</v>
      </c>
      <c r="BB20" s="189">
        <v>1621216557.3099999</v>
      </c>
      <c r="BC20" s="189">
        <v>1484035919.0899999</v>
      </c>
      <c r="BD20" s="189">
        <v>2026226037.5699999</v>
      </c>
      <c r="BE20" s="189">
        <v>1713968723.73</v>
      </c>
      <c r="BF20" s="189">
        <v>1695292289.27</v>
      </c>
      <c r="BG20" s="189">
        <v>1744572754.21</v>
      </c>
      <c r="BH20" s="189">
        <v>1651945901.75</v>
      </c>
      <c r="BI20" s="189">
        <v>1412541619.77</v>
      </c>
      <c r="BJ20" s="189">
        <v>1288661025.75</v>
      </c>
      <c r="BK20" s="189">
        <v>1105252843.78</v>
      </c>
      <c r="BL20" s="189">
        <v>1426437818.9400001</v>
      </c>
      <c r="BM20" s="189">
        <v>1238722806.8800001</v>
      </c>
      <c r="BN20" s="189">
        <v>1000828210.49</v>
      </c>
      <c r="BO20" s="189">
        <v>795601854.62</v>
      </c>
      <c r="BP20" s="189">
        <v>0</v>
      </c>
    </row>
    <row r="21" spans="1:68" x14ac:dyDescent="0.25">
      <c r="A21" s="189" t="s">
        <v>125</v>
      </c>
    </row>
    <row r="22" spans="1:68"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row>
    <row r="23" spans="1:68" x14ac:dyDescent="0.25">
      <c r="A23" s="189" t="s">
        <v>127</v>
      </c>
      <c r="B23" s="189">
        <v>0</v>
      </c>
      <c r="C23" s="189">
        <v>157678326.59999999</v>
      </c>
      <c r="D23" s="189">
        <v>175772560.80000001</v>
      </c>
      <c r="E23" s="189">
        <v>174480115.5</v>
      </c>
      <c r="F23" s="189">
        <v>174480115.5</v>
      </c>
      <c r="G23" s="189">
        <v>174480115.5</v>
      </c>
      <c r="H23" s="189">
        <v>177065006.09999999</v>
      </c>
      <c r="I23" s="189">
        <v>168448704.09999999</v>
      </c>
      <c r="J23" s="189">
        <v>163278922.90000001</v>
      </c>
      <c r="K23" s="189">
        <v>161986477.59999999</v>
      </c>
      <c r="L23" s="189">
        <v>161555662.5</v>
      </c>
      <c r="M23" s="189">
        <v>182665602.40000001</v>
      </c>
      <c r="N23" s="189">
        <v>167156258.80000001</v>
      </c>
      <c r="O23" s="189">
        <v>230916893.59999999</v>
      </c>
      <c r="P23" s="189">
        <v>203775542.30000001</v>
      </c>
      <c r="Q23" s="189">
        <v>210237768.80000001</v>
      </c>
      <c r="R23" s="189">
        <v>119335782.7</v>
      </c>
      <c r="S23" s="189">
        <v>109427035.40000001</v>
      </c>
      <c r="T23" s="189">
        <v>106988901.28</v>
      </c>
      <c r="U23" s="189">
        <v>114754224.76000001</v>
      </c>
      <c r="V23" s="189">
        <v>125400000</v>
      </c>
      <c r="W23" s="189">
        <v>127160000</v>
      </c>
      <c r="X23" s="189">
        <v>141680000</v>
      </c>
      <c r="Y23" s="189">
        <v>134200000</v>
      </c>
      <c r="Z23" s="189">
        <v>117040000</v>
      </c>
      <c r="AA23" s="189">
        <v>124960000</v>
      </c>
      <c r="AB23" s="189">
        <v>125400000</v>
      </c>
      <c r="AC23" s="189">
        <v>126720000</v>
      </c>
      <c r="AD23" s="189">
        <v>129800000</v>
      </c>
      <c r="AE23" s="189">
        <v>147400000</v>
      </c>
      <c r="AF23" s="189">
        <v>168520000</v>
      </c>
      <c r="AG23" s="189">
        <v>174240000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row>
    <row r="24" spans="1:68" x14ac:dyDescent="0.25">
      <c r="A24" s="189" t="s">
        <v>128</v>
      </c>
      <c r="B24" s="189">
        <v>168448704.09999999</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row>
    <row r="25" spans="1:68"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row>
    <row r="26" spans="1:68" x14ac:dyDescent="0.25">
      <c r="A26" s="189" t="s">
        <v>130</v>
      </c>
      <c r="B26" s="189">
        <v>227520976.59</v>
      </c>
      <c r="C26" s="189">
        <v>217148977.66999999</v>
      </c>
      <c r="D26" s="189">
        <v>208148048.09</v>
      </c>
      <c r="E26" s="189">
        <v>199363756.19</v>
      </c>
      <c r="F26" s="189">
        <v>182388942.75999999</v>
      </c>
      <c r="G26" s="189">
        <v>135981855.31</v>
      </c>
      <c r="H26" s="189">
        <v>126030121.05</v>
      </c>
      <c r="I26" s="189">
        <v>117159760.76000001</v>
      </c>
      <c r="J26" s="189">
        <v>105806328.04000001</v>
      </c>
      <c r="K26" s="189">
        <v>113224597.06</v>
      </c>
      <c r="L26" s="189">
        <v>101700344.11</v>
      </c>
      <c r="M26" s="189">
        <v>100618863.61</v>
      </c>
      <c r="N26" s="189">
        <v>92431767.959999993</v>
      </c>
      <c r="O26" s="189">
        <v>91776405.010000005</v>
      </c>
      <c r="P26" s="189">
        <v>90424122.680000007</v>
      </c>
      <c r="Q26" s="189">
        <v>90686742.560000002</v>
      </c>
      <c r="R26" s="189">
        <v>89927265.230000004</v>
      </c>
      <c r="S26" s="189">
        <v>89600938.909999996</v>
      </c>
      <c r="T26" s="189">
        <v>88396907.709999993</v>
      </c>
      <c r="U26" s="189">
        <v>88396907.709999993</v>
      </c>
      <c r="V26" s="189">
        <v>84900000</v>
      </c>
      <c r="W26" s="189">
        <v>84900000</v>
      </c>
      <c r="X26" s="189">
        <v>71400000</v>
      </c>
      <c r="Y26" s="189">
        <v>71400000</v>
      </c>
      <c r="Z26" s="189">
        <v>71400000</v>
      </c>
      <c r="AA26" s="189">
        <v>71400000</v>
      </c>
      <c r="AB26" s="189">
        <v>71400000</v>
      </c>
      <c r="AC26" s="189">
        <v>71400000</v>
      </c>
      <c r="AD26" s="189">
        <v>71400000</v>
      </c>
      <c r="AE26" s="189">
        <v>71400000</v>
      </c>
      <c r="AF26" s="189">
        <v>71400000</v>
      </c>
      <c r="AG26" s="189">
        <v>71400000</v>
      </c>
      <c r="AH26" s="189">
        <v>149400000</v>
      </c>
      <c r="AI26" s="189">
        <v>149400000</v>
      </c>
      <c r="AJ26" s="189">
        <v>149400000</v>
      </c>
      <c r="AK26" s="189">
        <v>149400000</v>
      </c>
      <c r="AL26" s="189">
        <v>149400000</v>
      </c>
      <c r="AM26" s="189">
        <v>149400000</v>
      </c>
      <c r="AN26" s="189">
        <v>149400000</v>
      </c>
      <c r="AO26" s="189">
        <v>149400000</v>
      </c>
      <c r="AP26" s="189">
        <v>149400000</v>
      </c>
      <c r="AQ26" s="189">
        <v>149400000</v>
      </c>
      <c r="AR26" s="189">
        <v>149565157.53999999</v>
      </c>
      <c r="AS26" s="189">
        <v>150225787.72</v>
      </c>
      <c r="AT26" s="189">
        <v>150302311.50999999</v>
      </c>
      <c r="AU26" s="189">
        <v>150302311.50999999</v>
      </c>
      <c r="AV26" s="189">
        <v>152863688.18000001</v>
      </c>
      <c r="AW26" s="189">
        <v>161841545.03</v>
      </c>
      <c r="AX26" s="189">
        <v>159235799.11000001</v>
      </c>
      <c r="AY26" s="189">
        <v>161370819.78999999</v>
      </c>
      <c r="AZ26" s="189">
        <v>162987834.63</v>
      </c>
      <c r="BA26" s="189">
        <v>178443266.62</v>
      </c>
      <c r="BB26" s="189">
        <v>164438763.06</v>
      </c>
      <c r="BC26" s="189">
        <v>164785381.40000001</v>
      </c>
      <c r="BD26" s="189">
        <v>166665316.06999999</v>
      </c>
      <c r="BE26" s="189">
        <v>166178896.41999999</v>
      </c>
      <c r="BF26" s="189">
        <v>174069628.75</v>
      </c>
      <c r="BG26" s="189">
        <v>121467921.09</v>
      </c>
      <c r="BH26" s="189">
        <v>106672040.59</v>
      </c>
      <c r="BI26" s="189">
        <v>107118691.08</v>
      </c>
      <c r="BJ26" s="189">
        <v>102198220.47</v>
      </c>
      <c r="BK26" s="189">
        <v>102625599.48999999</v>
      </c>
      <c r="BL26" s="189">
        <v>103052978.54000001</v>
      </c>
      <c r="BM26" s="189">
        <v>103480357.58</v>
      </c>
      <c r="BN26" s="189">
        <v>98086814.290000007</v>
      </c>
      <c r="BO26" s="189">
        <v>21796330.390000001</v>
      </c>
      <c r="BP26" s="189">
        <v>0</v>
      </c>
    </row>
    <row r="27" spans="1:68"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41361846.020000003</v>
      </c>
      <c r="AV27" s="189">
        <v>41940824.740000002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row>
    <row r="28" spans="1:68" x14ac:dyDescent="0.25">
      <c r="A28" s="189" t="s">
        <v>132</v>
      </c>
      <c r="B28" s="189">
        <v>21442114167.91</v>
      </c>
      <c r="C28" s="189">
        <v>21743420345.73</v>
      </c>
      <c r="D28" s="189">
        <v>8471088498.8800001</v>
      </c>
      <c r="E28" s="189">
        <v>8603487459.7000008</v>
      </c>
      <c r="F28" s="189">
        <v>6820651352.54</v>
      </c>
      <c r="G28" s="189">
        <v>6892944250.2700005</v>
      </c>
      <c r="H28" s="189">
        <v>6982823988.5100002</v>
      </c>
      <c r="I28" s="189">
        <v>7015958657</v>
      </c>
      <c r="J28" s="189">
        <v>7121957028.8699999</v>
      </c>
      <c r="K28" s="189">
        <v>7219270043.6199999</v>
      </c>
      <c r="L28" s="189">
        <v>7301861890.9099998</v>
      </c>
      <c r="M28" s="189">
        <v>7399321845.1300001</v>
      </c>
      <c r="N28" s="189">
        <v>6198758922.4300003</v>
      </c>
      <c r="O28" s="189">
        <v>6287816541.5799999</v>
      </c>
      <c r="P28" s="189">
        <v>6393351995.7399998</v>
      </c>
      <c r="Q28" s="189">
        <v>6534008834.7399998</v>
      </c>
      <c r="R28" s="189">
        <v>6701316113.8100004</v>
      </c>
      <c r="S28" s="189">
        <v>6829912982.1400003</v>
      </c>
      <c r="T28" s="189">
        <v>7007296271.4799995</v>
      </c>
      <c r="U28" s="189">
        <v>7157583148.54</v>
      </c>
      <c r="V28" s="189">
        <v>7349867366.9799995</v>
      </c>
      <c r="W28" s="189">
        <v>7495389943.5600004</v>
      </c>
      <c r="X28" s="189">
        <v>7650104976.1300001</v>
      </c>
      <c r="Y28" s="189">
        <v>7828188364.5600004</v>
      </c>
      <c r="Z28" s="189">
        <v>7971168153.7600002</v>
      </c>
      <c r="AA28" s="189">
        <v>8124608680.3000002</v>
      </c>
      <c r="AB28" s="189">
        <v>8272458240.5799999</v>
      </c>
      <c r="AC28" s="189">
        <v>8409646564.9700003</v>
      </c>
      <c r="AD28" s="189">
        <v>8072113244.3000002</v>
      </c>
      <c r="AE28" s="189">
        <v>8205825703.5799999</v>
      </c>
      <c r="AF28" s="189">
        <v>8336942320.3100004</v>
      </c>
      <c r="AG28" s="189">
        <v>8493606648.6199999</v>
      </c>
      <c r="AH28" s="189">
        <v>8229523090.0100002</v>
      </c>
      <c r="AI28" s="189">
        <v>8322920967.3699999</v>
      </c>
      <c r="AJ28" s="189">
        <v>6618114496.2600002</v>
      </c>
      <c r="AK28" s="189">
        <v>6723331067.0500002</v>
      </c>
      <c r="AL28" s="189">
        <v>6811901391.2299995</v>
      </c>
      <c r="AM28" s="189">
        <v>6887834895.04</v>
      </c>
      <c r="AN28" s="189">
        <v>6993197084.3699999</v>
      </c>
      <c r="AO28" s="189">
        <v>7100304503.6099997</v>
      </c>
      <c r="AP28" s="189">
        <v>7207110624.3599997</v>
      </c>
      <c r="AQ28" s="189">
        <v>7296759047.4700003</v>
      </c>
      <c r="AR28" s="189">
        <v>7404783094.5100002</v>
      </c>
      <c r="AS28" s="189">
        <v>7503091099.54</v>
      </c>
      <c r="AT28" s="189">
        <v>5578045219.0600004</v>
      </c>
      <c r="AU28" s="189">
        <v>5567832036.8000002</v>
      </c>
      <c r="AV28" s="189">
        <v>5659280072.0500002</v>
      </c>
      <c r="AW28" s="189">
        <v>5779098508.0299997</v>
      </c>
      <c r="AX28" s="189">
        <v>5816969600.5900002</v>
      </c>
      <c r="AY28" s="189">
        <v>5902521307.1700001</v>
      </c>
      <c r="AZ28" s="189">
        <v>5986295329.3400002</v>
      </c>
      <c r="BA28" s="189">
        <v>6036917234.96</v>
      </c>
      <c r="BB28" s="189">
        <v>6046021039.0100002</v>
      </c>
      <c r="BC28" s="189">
        <v>6111353174.9200001</v>
      </c>
      <c r="BD28" s="189">
        <v>5756415416.46</v>
      </c>
      <c r="BE28" s="189">
        <v>5814684973.4799995</v>
      </c>
      <c r="BF28" s="189">
        <v>5062240099.5100002</v>
      </c>
      <c r="BG28" s="189">
        <v>219218680.94999999</v>
      </c>
      <c r="BH28" s="189">
        <v>226924695.55000001</v>
      </c>
      <c r="BI28" s="189">
        <v>233581290.53999999</v>
      </c>
      <c r="BJ28" s="189">
        <v>235392971.25</v>
      </c>
      <c r="BK28" s="189">
        <v>241433677.91999999</v>
      </c>
      <c r="BL28" s="189">
        <v>249561160.59999999</v>
      </c>
      <c r="BM28" s="189">
        <v>257653081.69999999</v>
      </c>
      <c r="BN28" s="189">
        <v>277053806.48000002</v>
      </c>
      <c r="BO28" s="189">
        <v>295895549.43000001</v>
      </c>
      <c r="BP28" s="189">
        <v>0</v>
      </c>
    </row>
    <row r="29" spans="1:68" x14ac:dyDescent="0.25">
      <c r="A29" s="189" t="s">
        <v>133</v>
      </c>
      <c r="B29" s="189">
        <v>430021845.06999999</v>
      </c>
      <c r="C29" s="189">
        <v>337794918.68000001</v>
      </c>
      <c r="D29" s="189">
        <v>9842817895.4500008</v>
      </c>
      <c r="E29" s="189">
        <v>9093831977.4500008</v>
      </c>
      <c r="F29" s="189">
        <v>10222274379.129999</v>
      </c>
      <c r="G29" s="189">
        <v>9374748126.2800007</v>
      </c>
      <c r="H29" s="189">
        <v>8716116991.5799999</v>
      </c>
      <c r="I29" s="189">
        <v>7948043436.4700003</v>
      </c>
      <c r="J29" s="189">
        <v>5605191680.3299999</v>
      </c>
      <c r="K29" s="189">
        <v>4766309036.4499998</v>
      </c>
      <c r="L29" s="189">
        <v>4290151696.1500001</v>
      </c>
      <c r="M29" s="189">
        <v>2106170337.25</v>
      </c>
      <c r="N29" s="189">
        <v>2207704318.8000002</v>
      </c>
      <c r="O29" s="189">
        <v>1774476781.4300001</v>
      </c>
      <c r="P29" s="189">
        <v>16199619.300000001</v>
      </c>
      <c r="Q29" s="189">
        <v>13910736.41</v>
      </c>
      <c r="R29" s="189">
        <v>7967184.9000000004</v>
      </c>
      <c r="S29" s="189">
        <v>15712946.23</v>
      </c>
      <c r="T29" s="189">
        <v>13635684.43</v>
      </c>
      <c r="U29" s="189">
        <v>9585270</v>
      </c>
      <c r="V29" s="189">
        <v>71593575.569999993</v>
      </c>
      <c r="W29" s="189">
        <v>48850460.579999998</v>
      </c>
      <c r="X29" s="189">
        <v>42903240.469999999</v>
      </c>
      <c r="Y29" s="189">
        <v>36782712.590000004</v>
      </c>
      <c r="Z29" s="189">
        <v>87104331.849999994</v>
      </c>
      <c r="AA29" s="189">
        <v>79021950.540000007</v>
      </c>
      <c r="AB29" s="189">
        <v>87637949.290000007</v>
      </c>
      <c r="AC29" s="189">
        <v>103240907.25</v>
      </c>
      <c r="AD29" s="189">
        <v>428980511.29000002</v>
      </c>
      <c r="AE29" s="189">
        <v>415025616.94999999</v>
      </c>
      <c r="AF29" s="189">
        <v>420621516.19999999</v>
      </c>
      <c r="AG29" s="189">
        <v>410837028.81</v>
      </c>
      <c r="AH29" s="189">
        <v>176312113.53</v>
      </c>
      <c r="AI29" s="189">
        <v>189955032.40000001</v>
      </c>
      <c r="AJ29" s="189">
        <v>2013718655.01</v>
      </c>
      <c r="AK29" s="189">
        <v>2011890180.51</v>
      </c>
      <c r="AL29" s="189">
        <v>107546146.05</v>
      </c>
      <c r="AM29" s="189">
        <v>23926506.719999999</v>
      </c>
      <c r="AN29" s="189">
        <v>21862083.100000001</v>
      </c>
      <c r="AO29" s="189">
        <v>27747466.859999999</v>
      </c>
      <c r="AP29" s="189">
        <v>2813543.1</v>
      </c>
      <c r="AQ29" s="189">
        <v>1927543.1</v>
      </c>
      <c r="AR29" s="189">
        <v>3327543.1</v>
      </c>
      <c r="AS29" s="189">
        <v>10379126.800000001</v>
      </c>
      <c r="AT29" s="189">
        <v>22656754.199999999</v>
      </c>
      <c r="AU29" s="189">
        <v>22656754.199999999</v>
      </c>
      <c r="AV29" s="189">
        <v>21534077.59</v>
      </c>
      <c r="AW29" s="189">
        <v>20964439.59</v>
      </c>
      <c r="AX29" s="189">
        <v>62908890.109999999</v>
      </c>
      <c r="AY29" s="189">
        <v>62012981.509999998</v>
      </c>
      <c r="AZ29" s="189">
        <v>60016603.950000003</v>
      </c>
      <c r="BA29" s="189">
        <v>75565270.569999993</v>
      </c>
      <c r="BB29" s="189">
        <v>52773412.890000001</v>
      </c>
      <c r="BC29" s="189">
        <v>43447645.100000001</v>
      </c>
      <c r="BD29" s="189">
        <v>27075932.940000001</v>
      </c>
      <c r="BE29" s="189">
        <v>34133853.090000004</v>
      </c>
      <c r="BF29" s="189">
        <v>25110832.949999999</v>
      </c>
      <c r="BG29" s="189">
        <v>2500044073.6399999</v>
      </c>
      <c r="BH29" s="189">
        <v>2500273960.96</v>
      </c>
      <c r="BI29" s="189">
        <v>2500150296.5999999</v>
      </c>
      <c r="BJ29" s="189">
        <v>2500122219.8899999</v>
      </c>
      <c r="BK29" s="189">
        <v>0</v>
      </c>
      <c r="BL29" s="189">
        <v>97098.6</v>
      </c>
      <c r="BM29" s="189">
        <v>0</v>
      </c>
      <c r="BN29" s="189">
        <v>433916.08</v>
      </c>
      <c r="BO29" s="189">
        <v>3983020.15</v>
      </c>
      <c r="BP29" s="189">
        <v>0</v>
      </c>
    </row>
    <row r="30" spans="1:68"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163800</v>
      </c>
      <c r="BD30" s="189">
        <v>0</v>
      </c>
      <c r="BE30" s="189">
        <v>0</v>
      </c>
      <c r="BF30" s="189">
        <v>0</v>
      </c>
      <c r="BG30" s="189">
        <v>0</v>
      </c>
      <c r="BH30" s="189">
        <v>0</v>
      </c>
      <c r="BI30" s="189">
        <v>0</v>
      </c>
      <c r="BJ30" s="189">
        <v>0</v>
      </c>
      <c r="BK30" s="189">
        <v>2500122219.8899999</v>
      </c>
      <c r="BL30" s="189">
        <v>0</v>
      </c>
      <c r="BM30" s="189">
        <v>0</v>
      </c>
      <c r="BN30" s="189">
        <v>0</v>
      </c>
      <c r="BO30" s="189">
        <v>0</v>
      </c>
      <c r="BP30" s="189">
        <v>0</v>
      </c>
    </row>
    <row r="31" spans="1:68" x14ac:dyDescent="0.25">
      <c r="A31" s="189" t="s">
        <v>135</v>
      </c>
      <c r="B31" s="189">
        <v>0</v>
      </c>
      <c r="C31" s="189">
        <v>0</v>
      </c>
      <c r="D31" s="189">
        <v>0</v>
      </c>
      <c r="E31" s="189">
        <v>0</v>
      </c>
      <c r="F31" s="189">
        <v>0</v>
      </c>
      <c r="G31" s="189">
        <v>0</v>
      </c>
      <c r="H31" s="189">
        <v>0</v>
      </c>
      <c r="I31" s="189">
        <v>0</v>
      </c>
      <c r="J31" s="189">
        <v>568057.24</v>
      </c>
      <c r="K31" s="189">
        <v>546668.44999999995</v>
      </c>
      <c r="L31" s="189">
        <v>46551.54</v>
      </c>
      <c r="M31" s="189">
        <v>0</v>
      </c>
      <c r="N31" s="189">
        <v>99836.89</v>
      </c>
      <c r="O31" s="189">
        <v>99970.35</v>
      </c>
      <c r="P31" s="189">
        <v>75288.62</v>
      </c>
      <c r="Q31" s="189">
        <v>0</v>
      </c>
      <c r="R31" s="189">
        <v>151471.22</v>
      </c>
      <c r="S31" s="189">
        <v>64696.53</v>
      </c>
      <c r="T31" s="189">
        <v>27216.83</v>
      </c>
      <c r="U31" s="189">
        <v>0</v>
      </c>
      <c r="V31" s="189">
        <v>4004.29</v>
      </c>
      <c r="W31" s="189">
        <v>69708.81</v>
      </c>
      <c r="X31" s="189">
        <v>0</v>
      </c>
      <c r="Y31" s="189">
        <v>0</v>
      </c>
      <c r="Z31" s="189">
        <v>163474.51</v>
      </c>
      <c r="AA31" s="189">
        <v>315694.67</v>
      </c>
      <c r="AB31" s="189">
        <v>61594.93</v>
      </c>
      <c r="AC31" s="189">
        <v>0</v>
      </c>
      <c r="AD31" s="189">
        <v>515044.62</v>
      </c>
      <c r="AE31" s="189">
        <v>484853.4</v>
      </c>
      <c r="AF31" s="189">
        <v>457936.21</v>
      </c>
      <c r="AG31" s="189">
        <v>0</v>
      </c>
      <c r="AH31" s="189">
        <v>208533.5</v>
      </c>
      <c r="AI31" s="189">
        <v>81313.63</v>
      </c>
      <c r="AJ31" s="189">
        <v>109873.63</v>
      </c>
      <c r="AK31" s="189">
        <v>0</v>
      </c>
      <c r="AL31" s="189">
        <v>109264.33</v>
      </c>
      <c r="AM31" s="189">
        <v>13865.6</v>
      </c>
      <c r="AN31" s="189">
        <v>1323.6</v>
      </c>
      <c r="AO31" s="189">
        <v>0</v>
      </c>
      <c r="AP31" s="189">
        <v>0</v>
      </c>
      <c r="AQ31" s="189">
        <v>460697.63</v>
      </c>
      <c r="AR31" s="189">
        <v>-25884.6</v>
      </c>
      <c r="AS31" s="189">
        <v>0</v>
      </c>
      <c r="AT31" s="189">
        <v>1055430.42</v>
      </c>
      <c r="AU31" s="189">
        <v>117461.77</v>
      </c>
      <c r="AV31" s="189">
        <v>178880.58</v>
      </c>
      <c r="AW31" s="189">
        <v>0</v>
      </c>
      <c r="AX31" s="189">
        <v>1618553.51</v>
      </c>
      <c r="AY31" s="189">
        <v>1852428.04</v>
      </c>
      <c r="AZ31" s="189">
        <v>-499401.36</v>
      </c>
      <c r="BA31" s="189">
        <v>0</v>
      </c>
      <c r="BB31" s="189">
        <v>-557354.99</v>
      </c>
      <c r="BC31" s="189">
        <v>0</v>
      </c>
      <c r="BD31" s="189">
        <v>-38886.980000000003</v>
      </c>
      <c r="BE31" s="189">
        <v>0</v>
      </c>
      <c r="BF31" s="189">
        <v>0</v>
      </c>
      <c r="BG31" s="189">
        <v>28832.62</v>
      </c>
      <c r="BH31" s="189">
        <v>7742.32</v>
      </c>
      <c r="BI31" s="189">
        <v>0</v>
      </c>
      <c r="BJ31" s="189">
        <v>65108.34</v>
      </c>
      <c r="BK31" s="189">
        <v>70849.8</v>
      </c>
      <c r="BL31" s="189">
        <v>51161.96</v>
      </c>
      <c r="BM31" s="189">
        <v>0</v>
      </c>
      <c r="BN31" s="189">
        <v>0</v>
      </c>
      <c r="BO31" s="189">
        <v>115469.25</v>
      </c>
      <c r="BP31" s="189">
        <v>0</v>
      </c>
    </row>
    <row r="32" spans="1:68"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row>
    <row r="33" spans="1:68"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row>
    <row r="34" spans="1:68"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row>
    <row r="35" spans="1:68" x14ac:dyDescent="0.25">
      <c r="A35" s="189" t="s">
        <v>139</v>
      </c>
      <c r="B35" s="189">
        <v>559735738.38999999</v>
      </c>
      <c r="C35" s="189">
        <v>574409007.54999995</v>
      </c>
      <c r="D35" s="189">
        <v>28170512.32</v>
      </c>
      <c r="E35" s="189">
        <v>27944563.260000002</v>
      </c>
      <c r="F35" s="189">
        <v>22525769.120000001</v>
      </c>
      <c r="G35" s="189">
        <v>21438822.09</v>
      </c>
      <c r="H35" s="189">
        <v>21725423.510000002</v>
      </c>
      <c r="I35" s="189">
        <v>22305920.23</v>
      </c>
      <c r="J35" s="189">
        <v>22312321.550000001</v>
      </c>
      <c r="K35" s="189">
        <v>22892818.27</v>
      </c>
      <c r="L35" s="189">
        <v>22237427.149999999</v>
      </c>
      <c r="M35" s="189">
        <v>22801650.309999999</v>
      </c>
      <c r="N35" s="189">
        <v>20398259.789999999</v>
      </c>
      <c r="O35" s="189">
        <v>20613316.469999999</v>
      </c>
      <c r="P35" s="189">
        <v>20828373.149999999</v>
      </c>
      <c r="Q35" s="189">
        <v>21215658.449999999</v>
      </c>
      <c r="R35" s="189">
        <v>19660759.82</v>
      </c>
      <c r="S35" s="189">
        <v>19907755.02</v>
      </c>
      <c r="T35" s="189">
        <v>20097340.68</v>
      </c>
      <c r="U35" s="189">
        <v>20286926.34</v>
      </c>
      <c r="V35" s="189">
        <v>20216836.170000002</v>
      </c>
      <c r="W35" s="189">
        <v>20540724.329999998</v>
      </c>
      <c r="X35" s="189">
        <v>21200055.489999998</v>
      </c>
      <c r="Y35" s="189">
        <v>21536069.649999999</v>
      </c>
      <c r="Z35" s="189">
        <v>22020004.649999999</v>
      </c>
      <c r="AA35" s="189">
        <v>22521542.07</v>
      </c>
      <c r="AB35" s="189">
        <v>22598528.289999999</v>
      </c>
      <c r="AC35" s="189">
        <v>23029009.289999999</v>
      </c>
      <c r="AD35" s="189">
        <v>23518204.609999999</v>
      </c>
      <c r="AE35" s="189">
        <v>23999199.23</v>
      </c>
      <c r="AF35" s="189">
        <v>24480193.850000001</v>
      </c>
      <c r="AG35" s="189">
        <v>24952979.469999999</v>
      </c>
      <c r="AH35" s="189">
        <v>23744751.190000001</v>
      </c>
      <c r="AI35" s="189">
        <v>25629982.960000001</v>
      </c>
      <c r="AJ35" s="189">
        <v>27335218.73</v>
      </c>
      <c r="AK35" s="189">
        <v>29033786.489999998</v>
      </c>
      <c r="AL35" s="189">
        <v>26913139.18</v>
      </c>
      <c r="AM35" s="189">
        <v>27784703.379999999</v>
      </c>
      <c r="AN35" s="189">
        <v>28656267.579999998</v>
      </c>
      <c r="AO35" s="189">
        <v>29527831.780000001</v>
      </c>
      <c r="AP35" s="189">
        <v>30520624.98</v>
      </c>
      <c r="AQ35" s="189">
        <v>31392189.18</v>
      </c>
      <c r="AR35" s="189">
        <v>33000101.579999998</v>
      </c>
      <c r="AS35" s="189">
        <v>30274852.579999998</v>
      </c>
      <c r="AT35" s="189">
        <v>31033700.780000001</v>
      </c>
      <c r="AU35" s="189">
        <v>54551686.740000002</v>
      </c>
      <c r="AV35" s="189">
        <v>55543675.950000003</v>
      </c>
      <c r="AW35" s="189">
        <v>56535665.159999996</v>
      </c>
      <c r="AX35" s="189">
        <v>57768154.350000001</v>
      </c>
      <c r="AY35" s="189">
        <v>58639893.57</v>
      </c>
      <c r="AZ35" s="189">
        <v>59339404.170000002</v>
      </c>
      <c r="BA35" s="189">
        <v>60503622</v>
      </c>
      <c r="BB35" s="189">
        <v>48881103.409999996</v>
      </c>
      <c r="BC35" s="189">
        <v>49443275.920000002</v>
      </c>
      <c r="BD35" s="189">
        <v>49833219.43</v>
      </c>
      <c r="BE35" s="189">
        <v>50223162.939999998</v>
      </c>
      <c r="BF35" s="189">
        <v>50408439.770000003</v>
      </c>
      <c r="BG35" s="189">
        <v>50901383.299999997</v>
      </c>
      <c r="BH35" s="189">
        <v>51166326.829999998</v>
      </c>
      <c r="BI35" s="189">
        <v>51545270.359999999</v>
      </c>
      <c r="BJ35" s="189">
        <v>51924213.890000001</v>
      </c>
      <c r="BK35" s="189">
        <v>52303157.420000002</v>
      </c>
      <c r="BL35" s="189">
        <v>52682100.950000003</v>
      </c>
      <c r="BM35" s="189">
        <v>53061044.479999997</v>
      </c>
      <c r="BN35" s="189">
        <v>53594318.600000001</v>
      </c>
      <c r="BO35" s="189">
        <v>52670611.759999998</v>
      </c>
      <c r="BP35" s="189">
        <v>0</v>
      </c>
    </row>
    <row r="36" spans="1:68"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row>
    <row r="37" spans="1:68"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row>
    <row r="38" spans="1:68" x14ac:dyDescent="0.25">
      <c r="A38" s="189" t="s">
        <v>142</v>
      </c>
      <c r="B38" s="189">
        <v>15928936.460000001</v>
      </c>
      <c r="C38" s="189">
        <v>3846196.45</v>
      </c>
      <c r="D38" s="189">
        <v>13295146.449999999</v>
      </c>
      <c r="E38" s="189">
        <v>22744096.449999999</v>
      </c>
      <c r="F38" s="189">
        <v>29239827.600000001</v>
      </c>
      <c r="G38" s="189">
        <v>29239827.600000001</v>
      </c>
      <c r="H38" s="189">
        <v>16991161.719999999</v>
      </c>
      <c r="I38" s="189">
        <v>29224071.850000001</v>
      </c>
      <c r="J38" s="189">
        <v>35117004.840000004</v>
      </c>
      <c r="K38" s="189">
        <v>36017175.229999997</v>
      </c>
      <c r="L38" s="189">
        <v>30921722.670000002</v>
      </c>
      <c r="M38" s="189">
        <v>39262022.600000001</v>
      </c>
      <c r="N38" s="189">
        <v>2193929.0699999998</v>
      </c>
      <c r="O38" s="189">
        <v>2606925.54</v>
      </c>
      <c r="P38" s="189">
        <v>21783922.010000002</v>
      </c>
      <c r="Q38" s="189">
        <v>3432919.59</v>
      </c>
      <c r="R38" s="189">
        <v>21971376.920000002</v>
      </c>
      <c r="S38" s="189">
        <v>4062632.25</v>
      </c>
      <c r="T38" s="189">
        <v>3848167.26</v>
      </c>
      <c r="U38" s="189">
        <v>4840609.09</v>
      </c>
      <c r="V38" s="189">
        <v>3625368.05</v>
      </c>
      <c r="W38" s="189">
        <v>4628222.4800000004</v>
      </c>
      <c r="X38" s="189">
        <v>5631076.9100000001</v>
      </c>
      <c r="Y38" s="189">
        <v>4571183.74</v>
      </c>
      <c r="Z38" s="189">
        <v>6609693.6100000003</v>
      </c>
      <c r="AA38" s="189">
        <v>7471491.3700000001</v>
      </c>
      <c r="AB38" s="189">
        <v>7108713.0700000003</v>
      </c>
      <c r="AC38" s="189">
        <v>7684383.7000000002</v>
      </c>
      <c r="AD38" s="189">
        <v>7440967.0300000003</v>
      </c>
      <c r="AE38" s="189">
        <v>7997461.4500000002</v>
      </c>
      <c r="AF38" s="189">
        <v>9155795.8300000001</v>
      </c>
      <c r="AG38" s="189">
        <v>10359334.75</v>
      </c>
      <c r="AH38" s="189">
        <v>15295647.67</v>
      </c>
      <c r="AI38" s="189">
        <v>17516881.850000001</v>
      </c>
      <c r="AJ38" s="189">
        <v>19725802.899999999</v>
      </c>
      <c r="AK38" s="189">
        <v>18542553.829999998</v>
      </c>
      <c r="AL38" s="189">
        <v>20635689.550000001</v>
      </c>
      <c r="AM38" s="189">
        <v>21873553.059999999</v>
      </c>
      <c r="AN38" s="189">
        <v>23099569.030000001</v>
      </c>
      <c r="AO38" s="189">
        <v>24139169.719999999</v>
      </c>
      <c r="AP38" s="189">
        <v>45741879.259999998</v>
      </c>
      <c r="AQ38" s="189">
        <v>46477873.659999996</v>
      </c>
      <c r="AR38" s="189">
        <v>24548119</v>
      </c>
      <c r="AS38" s="189">
        <v>46482555.329999998</v>
      </c>
      <c r="AT38" s="189">
        <v>49513090.68</v>
      </c>
      <c r="AU38" s="189">
        <v>51755798.109999999</v>
      </c>
      <c r="AV38" s="189">
        <v>54402599.439999998</v>
      </c>
      <c r="AW38" s="189">
        <v>53803704.520000003</v>
      </c>
      <c r="AX38" s="189">
        <v>60898049.32</v>
      </c>
      <c r="AY38" s="189">
        <v>61055464.310000002</v>
      </c>
      <c r="AZ38" s="189">
        <v>61183762.979999997</v>
      </c>
      <c r="BA38" s="189">
        <v>60659740.719999999</v>
      </c>
      <c r="BB38" s="189">
        <v>38662352.729999997</v>
      </c>
      <c r="BC38" s="189">
        <v>54062386.299999997</v>
      </c>
      <c r="BD38" s="189">
        <v>37124412.840000004</v>
      </c>
      <c r="BE38" s="189">
        <v>32578152.879999999</v>
      </c>
      <c r="BF38" s="189">
        <v>22247043.559999999</v>
      </c>
      <c r="BG38" s="189">
        <v>11410999.65</v>
      </c>
      <c r="BH38" s="189">
        <v>11111866.279999999</v>
      </c>
      <c r="BI38" s="189">
        <v>11640000.35</v>
      </c>
      <c r="BJ38" s="189">
        <v>12253595.24</v>
      </c>
      <c r="BK38" s="189">
        <v>13056439.960000001</v>
      </c>
      <c r="BL38" s="189">
        <v>13826626.359999999</v>
      </c>
      <c r="BM38" s="189">
        <v>15174387.6</v>
      </c>
      <c r="BN38" s="189">
        <v>12126489.65</v>
      </c>
      <c r="BO38" s="189">
        <v>7349117.21</v>
      </c>
      <c r="BP38" s="189">
        <v>0</v>
      </c>
    </row>
    <row r="39" spans="1:68" x14ac:dyDescent="0.25">
      <c r="A39" s="189" t="s">
        <v>143</v>
      </c>
      <c r="B39" s="189">
        <v>277531093.81999999</v>
      </c>
      <c r="C39" s="189">
        <v>277531093.81999999</v>
      </c>
      <c r="D39" s="189">
        <v>277531093.81999999</v>
      </c>
      <c r="E39" s="189">
        <v>277171417.5</v>
      </c>
      <c r="F39" s="189">
        <v>348341072.30000001</v>
      </c>
      <c r="G39" s="189">
        <v>348341072.30000001</v>
      </c>
      <c r="H39" s="189">
        <v>348240385.06999999</v>
      </c>
      <c r="I39" s="189">
        <v>348341072.30000001</v>
      </c>
      <c r="J39" s="189">
        <v>258030973</v>
      </c>
      <c r="K39" s="189">
        <v>258030973</v>
      </c>
      <c r="L39" s="189">
        <v>258030973</v>
      </c>
      <c r="M39" s="189">
        <v>258030973</v>
      </c>
      <c r="N39" s="189">
        <v>170237006.18000001</v>
      </c>
      <c r="O39" s="189">
        <v>158168478.84</v>
      </c>
      <c r="P39" s="189">
        <v>169550180.55000001</v>
      </c>
      <c r="Q39" s="189">
        <v>169550180.55000001</v>
      </c>
      <c r="R39" s="189">
        <v>95651148.519999996</v>
      </c>
      <c r="S39" s="189">
        <v>93933801.400000006</v>
      </c>
      <c r="T39" s="189">
        <v>79008700.329999998</v>
      </c>
      <c r="U39" s="189">
        <v>79008700.329999998</v>
      </c>
      <c r="V39" s="189">
        <v>91921720.189999998</v>
      </c>
      <c r="W39" s="189">
        <v>90378412.439999998</v>
      </c>
      <c r="X39" s="189">
        <v>81016294.930000007</v>
      </c>
      <c r="Y39" s="189">
        <v>83932040.959999993</v>
      </c>
      <c r="Z39" s="189">
        <v>116836570.53</v>
      </c>
      <c r="AA39" s="189">
        <v>114297339.98</v>
      </c>
      <c r="AB39" s="189">
        <v>102975056.84999999</v>
      </c>
      <c r="AC39" s="189">
        <v>104829367.45999999</v>
      </c>
      <c r="AD39" s="189">
        <v>119748439.36</v>
      </c>
      <c r="AE39" s="189">
        <v>117967059.08</v>
      </c>
      <c r="AF39" s="189">
        <v>116351756.48999999</v>
      </c>
      <c r="AG39" s="189">
        <v>113233546.34</v>
      </c>
      <c r="AH39" s="189">
        <v>101882750.23</v>
      </c>
      <c r="AI39" s="189">
        <v>98751449.170000002</v>
      </c>
      <c r="AJ39" s="189">
        <v>91505244.560000002</v>
      </c>
      <c r="AK39" s="189">
        <v>89366081.060000002</v>
      </c>
      <c r="AL39" s="189">
        <v>70108212.819999993</v>
      </c>
      <c r="AM39" s="189">
        <v>69179152.129999995</v>
      </c>
      <c r="AN39" s="189">
        <v>67304509.439999998</v>
      </c>
      <c r="AO39" s="189">
        <v>65562369.329999998</v>
      </c>
      <c r="AP39" s="189">
        <v>53709128.07</v>
      </c>
      <c r="AQ39" s="189">
        <v>52554901.270000003</v>
      </c>
      <c r="AR39" s="189">
        <v>51374753.600000001</v>
      </c>
      <c r="AS39" s="189">
        <v>50012805.700000003</v>
      </c>
      <c r="AT39" s="189">
        <v>29552929.489999998</v>
      </c>
      <c r="AU39" s="189">
        <v>28877037.690000001</v>
      </c>
      <c r="AV39" s="189">
        <v>28271084.300000001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row>
    <row r="40" spans="1:68" x14ac:dyDescent="0.25">
      <c r="A40" s="189" t="s">
        <v>144</v>
      </c>
      <c r="B40" s="189">
        <v>0</v>
      </c>
      <c r="C40" s="189">
        <v>0</v>
      </c>
      <c r="D40" s="189">
        <v>0</v>
      </c>
      <c r="E40" s="189">
        <v>7954600.0499999998</v>
      </c>
      <c r="F40" s="189">
        <v>0</v>
      </c>
      <c r="G40" s="189">
        <v>0</v>
      </c>
      <c r="H40" s="189">
        <v>0</v>
      </c>
      <c r="I40" s="189">
        <v>0</v>
      </c>
      <c r="J40" s="189">
        <v>2235061.5</v>
      </c>
      <c r="K40" s="189">
        <v>2235061.5</v>
      </c>
      <c r="L40" s="189">
        <v>2235061.5</v>
      </c>
      <c r="M40" s="189">
        <v>2502138.4300000002</v>
      </c>
      <c r="N40" s="189">
        <v>18764000</v>
      </c>
      <c r="O40" s="189">
        <v>20136000</v>
      </c>
      <c r="P40" s="189">
        <v>0</v>
      </c>
      <c r="Q40" s="189">
        <v>20269333.34</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80596</v>
      </c>
      <c r="BG40" s="189">
        <v>0</v>
      </c>
      <c r="BH40" s="189">
        <v>0</v>
      </c>
      <c r="BI40" s="189">
        <v>0</v>
      </c>
      <c r="BJ40" s="189">
        <v>0</v>
      </c>
      <c r="BK40" s="189">
        <v>0</v>
      </c>
      <c r="BL40" s="189">
        <v>0</v>
      </c>
      <c r="BM40" s="189">
        <v>0</v>
      </c>
      <c r="BN40" s="189">
        <v>0</v>
      </c>
      <c r="BO40" s="189">
        <v>0</v>
      </c>
      <c r="BP40" s="189">
        <v>0</v>
      </c>
    </row>
    <row r="41" spans="1:68" x14ac:dyDescent="0.25">
      <c r="A41" s="189" t="s">
        <v>145</v>
      </c>
      <c r="B41" s="189">
        <v>23121301462.34</v>
      </c>
      <c r="C41" s="189">
        <v>23311828866.5</v>
      </c>
      <c r="D41" s="189">
        <v>19016823755.810001</v>
      </c>
      <c r="E41" s="189">
        <v>18406977986.099998</v>
      </c>
      <c r="F41" s="189">
        <v>17799901458.950001</v>
      </c>
      <c r="G41" s="189">
        <v>16977174069.35</v>
      </c>
      <c r="H41" s="189">
        <v>16388993077.540001</v>
      </c>
      <c r="I41" s="189">
        <v>15649481622.709999</v>
      </c>
      <c r="J41" s="189">
        <v>13314497378.27</v>
      </c>
      <c r="K41" s="189">
        <v>12580512851.18</v>
      </c>
      <c r="L41" s="189">
        <v>12168741329.530001</v>
      </c>
      <c r="M41" s="189">
        <v>10111373432.73</v>
      </c>
      <c r="N41" s="189">
        <v>8877744299.9200001</v>
      </c>
      <c r="O41" s="189">
        <v>8586611312.8199997</v>
      </c>
      <c r="P41" s="189">
        <v>6915989044.3500004</v>
      </c>
      <c r="Q41" s="189">
        <v>7063312174.4399996</v>
      </c>
      <c r="R41" s="189">
        <v>7055981103.1199999</v>
      </c>
      <c r="S41" s="189">
        <v>7162622787.8800001</v>
      </c>
      <c r="T41" s="189">
        <v>7319299190</v>
      </c>
      <c r="U41" s="189">
        <v>7474455786.7700005</v>
      </c>
      <c r="V41" s="189">
        <v>7747528871.25</v>
      </c>
      <c r="W41" s="189">
        <v>7871917472.1999998</v>
      </c>
      <c r="X41" s="189">
        <v>8013935643.9300003</v>
      </c>
      <c r="Y41" s="189">
        <v>8180610371.5</v>
      </c>
      <c r="Z41" s="189">
        <v>8392342228.9099998</v>
      </c>
      <c r="AA41" s="189">
        <v>8544596698.9300003</v>
      </c>
      <c r="AB41" s="189">
        <v>8689640083.0100002</v>
      </c>
      <c r="AC41" s="189">
        <v>8846550232.6700001</v>
      </c>
      <c r="AD41" s="189">
        <v>8853516411.2099991</v>
      </c>
      <c r="AE41" s="189">
        <v>8990099893.6900005</v>
      </c>
      <c r="AF41" s="189">
        <v>9147929518.8899994</v>
      </c>
      <c r="AG41" s="189">
        <v>9298629537.9899998</v>
      </c>
      <c r="AH41" s="189">
        <v>8696366886.1299992</v>
      </c>
      <c r="AI41" s="189">
        <v>8804255627.3799992</v>
      </c>
      <c r="AJ41" s="189">
        <v>8919909291.0900002</v>
      </c>
      <c r="AK41" s="189">
        <v>9021563668.9400005</v>
      </c>
      <c r="AL41" s="189">
        <v>7186613843.1599998</v>
      </c>
      <c r="AM41" s="189">
        <v>7180012675.9300003</v>
      </c>
      <c r="AN41" s="189">
        <v>7283520837.1199999</v>
      </c>
      <c r="AO41" s="189">
        <v>7396681341.3000002</v>
      </c>
      <c r="AP41" s="189">
        <v>7489295799.7700005</v>
      </c>
      <c r="AQ41" s="189">
        <v>7578972252.3100004</v>
      </c>
      <c r="AR41" s="189">
        <v>7666572884.7299995</v>
      </c>
      <c r="AS41" s="189">
        <v>7790466227.6700001</v>
      </c>
      <c r="AT41" s="189">
        <v>5862159436.1400003</v>
      </c>
      <c r="AU41" s="189">
        <v>5917454932.8400002</v>
      </c>
      <c r="AV41" s="189">
        <v>6014014902.8299999</v>
      </c>
      <c r="AW41" s="189">
        <v>6072243862.3299999</v>
      </c>
      <c r="AX41" s="189">
        <v>6159399046.9899998</v>
      </c>
      <c r="AY41" s="189">
        <v>6247452894.3900003</v>
      </c>
      <c r="AZ41" s="189">
        <v>6329323533.71</v>
      </c>
      <c r="BA41" s="189">
        <v>6412089134.8699999</v>
      </c>
      <c r="BB41" s="189">
        <v>6350219316.1099997</v>
      </c>
      <c r="BC41" s="189">
        <v>6423255663.6400003</v>
      </c>
      <c r="BD41" s="189">
        <v>6037075410.7600002</v>
      </c>
      <c r="BE41" s="189">
        <v>6097799038.8100004</v>
      </c>
      <c r="BF41" s="189">
        <v>5334156640.54</v>
      </c>
      <c r="BG41" s="189">
        <v>2903071891.25</v>
      </c>
      <c r="BH41" s="189">
        <v>2896156632.5300002</v>
      </c>
      <c r="BI41" s="189">
        <v>2904035548.9299998</v>
      </c>
      <c r="BJ41" s="189">
        <v>2901956329.0799999</v>
      </c>
      <c r="BK41" s="189">
        <v>2909611944.48</v>
      </c>
      <c r="BL41" s="189">
        <v>419271127.00999999</v>
      </c>
      <c r="BM41" s="189">
        <v>429368871.36000001</v>
      </c>
      <c r="BN41" s="189">
        <v>441295345.10000002</v>
      </c>
      <c r="BO41" s="189">
        <v>381810098.19</v>
      </c>
      <c r="BP41" s="189">
        <v>0</v>
      </c>
    </row>
    <row r="42" spans="1:68" x14ac:dyDescent="0.25">
      <c r="A42" s="189" t="s">
        <v>146</v>
      </c>
      <c r="B42" s="189">
        <v>27931014166.18</v>
      </c>
      <c r="C42" s="189">
        <v>28032188172.040001</v>
      </c>
      <c r="D42" s="189">
        <v>23475149446.02</v>
      </c>
      <c r="E42" s="189">
        <v>22519539139.169998</v>
      </c>
      <c r="F42" s="189">
        <v>20171494849.580002</v>
      </c>
      <c r="G42" s="189">
        <v>19373755561.689999</v>
      </c>
      <c r="H42" s="189">
        <v>18608042134.259998</v>
      </c>
      <c r="I42" s="189">
        <v>17743462708.66</v>
      </c>
      <c r="J42" s="189">
        <v>16944190926.82</v>
      </c>
      <c r="K42" s="189">
        <v>16609571082.08</v>
      </c>
      <c r="L42" s="189">
        <v>16135769552.709999</v>
      </c>
      <c r="M42" s="189">
        <v>12324754328.280001</v>
      </c>
      <c r="N42" s="189">
        <v>11718328142.92</v>
      </c>
      <c r="O42" s="189">
        <v>11791024574.389999</v>
      </c>
      <c r="P42" s="189">
        <v>11561246283.549999</v>
      </c>
      <c r="Q42" s="189">
        <v>11073897755.110001</v>
      </c>
      <c r="R42" s="189">
        <v>10524004870.879999</v>
      </c>
      <c r="S42" s="189">
        <v>10562606715.879999</v>
      </c>
      <c r="T42" s="189">
        <v>10242058040.48</v>
      </c>
      <c r="U42" s="189">
        <v>9949739743.5400009</v>
      </c>
      <c r="V42" s="189">
        <v>10002115471.35</v>
      </c>
      <c r="W42" s="189">
        <v>10600828419.040001</v>
      </c>
      <c r="X42" s="189">
        <v>10344306590.91</v>
      </c>
      <c r="Y42" s="189">
        <v>10144297185.719999</v>
      </c>
      <c r="Z42" s="189">
        <v>10366386141.450001</v>
      </c>
      <c r="AA42" s="189">
        <v>10688799128.83</v>
      </c>
      <c r="AB42" s="189">
        <v>10478439973.200001</v>
      </c>
      <c r="AC42" s="189">
        <v>10639464850.23</v>
      </c>
      <c r="AD42" s="189">
        <v>12055306831.440001</v>
      </c>
      <c r="AE42" s="189">
        <v>11237723830.82</v>
      </c>
      <c r="AF42" s="189">
        <v>11244752050.559999</v>
      </c>
      <c r="AG42" s="189">
        <v>11290507685.5</v>
      </c>
      <c r="AH42" s="189">
        <v>10484222953.08</v>
      </c>
      <c r="AI42" s="189">
        <v>10684562141.5</v>
      </c>
      <c r="AJ42" s="189">
        <v>11440857169.379999</v>
      </c>
      <c r="AK42" s="189">
        <v>11231355919.24</v>
      </c>
      <c r="AL42" s="189">
        <v>9199575635.3199997</v>
      </c>
      <c r="AM42" s="189">
        <v>9543049070.0900002</v>
      </c>
      <c r="AN42" s="189">
        <v>9296875380.8999996</v>
      </c>
      <c r="AO42" s="189">
        <v>9021073659.5</v>
      </c>
      <c r="AP42" s="189">
        <v>9363378836.3999996</v>
      </c>
      <c r="AQ42" s="189">
        <v>9357881121.9300003</v>
      </c>
      <c r="AR42" s="189">
        <v>9119633537.6000004</v>
      </c>
      <c r="AS42" s="189">
        <v>9111225376.9500008</v>
      </c>
      <c r="AT42" s="189">
        <v>7388492561.2600002</v>
      </c>
      <c r="AU42" s="189">
        <v>7579422235.21</v>
      </c>
      <c r="AV42" s="189">
        <v>7744167070.5799999</v>
      </c>
      <c r="AW42" s="189">
        <v>7500977001.2799997</v>
      </c>
      <c r="AX42" s="189">
        <v>7999795043.0200005</v>
      </c>
      <c r="AY42" s="189">
        <v>7926957408.8299999</v>
      </c>
      <c r="AZ42" s="189">
        <v>8043893275.1700001</v>
      </c>
      <c r="BA42" s="189">
        <v>7846216835.29</v>
      </c>
      <c r="BB42" s="189">
        <v>7971435873.4200001</v>
      </c>
      <c r="BC42" s="189">
        <v>7907291582.7299995</v>
      </c>
      <c r="BD42" s="189">
        <v>8063301448.3299999</v>
      </c>
      <c r="BE42" s="189">
        <v>7811767762.54</v>
      </c>
      <c r="BF42" s="189">
        <v>7029448929.8100004</v>
      </c>
      <c r="BG42" s="189">
        <v>4647644645.46</v>
      </c>
      <c r="BH42" s="189">
        <v>4548102534.2799997</v>
      </c>
      <c r="BI42" s="189">
        <v>4316577168.6999998</v>
      </c>
      <c r="BJ42" s="189">
        <v>4190617354.8299999</v>
      </c>
      <c r="BK42" s="189">
        <v>4014864788.2600002</v>
      </c>
      <c r="BL42" s="189">
        <v>1845708945.95</v>
      </c>
      <c r="BM42" s="189">
        <v>1668091678.24</v>
      </c>
      <c r="BN42" s="189">
        <v>1442123555.5899999</v>
      </c>
      <c r="BO42" s="189">
        <v>1177411952.8099999</v>
      </c>
      <c r="BP42" s="189">
        <v>0</v>
      </c>
    </row>
    <row r="43" spans="1:68" x14ac:dyDescent="0.25">
      <c r="A43" s="189" t="s">
        <v>147</v>
      </c>
    </row>
    <row r="44" spans="1:68" x14ac:dyDescent="0.25">
      <c r="A44" s="189" t="s">
        <v>148</v>
      </c>
      <c r="B44" s="189">
        <v>500000000</v>
      </c>
      <c r="C44" s="189">
        <v>1000000000</v>
      </c>
      <c r="D44" s="189">
        <v>1400000000</v>
      </c>
      <c r="E44" s="189">
        <v>1400000000</v>
      </c>
      <c r="F44" s="189">
        <v>1550000000</v>
      </c>
      <c r="G44" s="189">
        <v>200000000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700000000</v>
      </c>
      <c r="X44" s="189">
        <v>700000000</v>
      </c>
      <c r="Y44" s="189">
        <v>800000000</v>
      </c>
      <c r="Z44" s="189">
        <v>800000000</v>
      </c>
      <c r="AA44" s="189">
        <v>0</v>
      </c>
      <c r="AB44" s="189">
        <v>50000000</v>
      </c>
      <c r="AC44" s="189">
        <v>0</v>
      </c>
      <c r="AD44" s="189">
        <v>0</v>
      </c>
      <c r="AE44" s="189">
        <v>0</v>
      </c>
      <c r="AF44" s="189">
        <v>0</v>
      </c>
      <c r="AG44" s="189">
        <v>600000000</v>
      </c>
      <c r="AH44" s="189">
        <v>1000000000</v>
      </c>
      <c r="AI44" s="189">
        <v>0</v>
      </c>
      <c r="AJ44" s="189">
        <v>0</v>
      </c>
      <c r="AK44" s="189">
        <v>0</v>
      </c>
      <c r="AL44" s="189">
        <v>0</v>
      </c>
      <c r="AM44" s="189">
        <v>648000000</v>
      </c>
      <c r="AN44" s="189">
        <v>648000000</v>
      </c>
      <c r="AO44" s="189">
        <v>648000000</v>
      </c>
      <c r="AP44" s="189">
        <v>1100000000</v>
      </c>
      <c r="AQ44" s="189">
        <v>100000000</v>
      </c>
      <c r="AR44" s="189">
        <v>1000000000</v>
      </c>
      <c r="AS44" s="189">
        <v>1300000000</v>
      </c>
      <c r="AT44" s="189">
        <v>0</v>
      </c>
      <c r="AU44" s="189">
        <v>300000000</v>
      </c>
      <c r="AV44" s="189">
        <v>300000000</v>
      </c>
      <c r="AW44" s="189">
        <v>403250000</v>
      </c>
      <c r="AX44" s="189">
        <v>1401640000</v>
      </c>
      <c r="AY44" s="189">
        <v>1404960000</v>
      </c>
      <c r="AZ44" s="189">
        <v>1503320000</v>
      </c>
      <c r="BA44" s="189">
        <v>1528025591.77</v>
      </c>
      <c r="BB44" s="189">
        <v>1100000000</v>
      </c>
      <c r="BC44" s="189">
        <v>1100000000</v>
      </c>
      <c r="BD44" s="189">
        <v>0</v>
      </c>
      <c r="BE44" s="189">
        <v>0</v>
      </c>
      <c r="BF44" s="189">
        <v>0</v>
      </c>
      <c r="BG44" s="189">
        <v>0</v>
      </c>
      <c r="BH44" s="189">
        <v>0</v>
      </c>
      <c r="BI44" s="189">
        <v>0</v>
      </c>
      <c r="BJ44" s="189">
        <v>0</v>
      </c>
      <c r="BK44" s="189">
        <v>0</v>
      </c>
      <c r="BL44" s="189">
        <v>0</v>
      </c>
      <c r="BM44" s="189">
        <v>0</v>
      </c>
      <c r="BN44" s="189">
        <v>0</v>
      </c>
      <c r="BO44" s="189">
        <v>0</v>
      </c>
      <c r="BP44" s="189">
        <v>0</v>
      </c>
    </row>
    <row r="45" spans="1:68"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500000000</v>
      </c>
      <c r="AO45" s="189">
        <v>500000000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row>
    <row r="46" spans="1:68" x14ac:dyDescent="0.25">
      <c r="A46" s="189" t="s">
        <v>150</v>
      </c>
      <c r="B46" s="189">
        <v>0</v>
      </c>
      <c r="C46" s="189">
        <v>10860000</v>
      </c>
      <c r="D46" s="189">
        <v>20460000</v>
      </c>
      <c r="E46" s="189">
        <v>9600000</v>
      </c>
      <c r="F46" s="189">
        <v>9600000</v>
      </c>
      <c r="G46" s="189">
        <v>9600000</v>
      </c>
      <c r="H46" s="189">
        <v>9600000</v>
      </c>
      <c r="I46" s="189">
        <v>12200000</v>
      </c>
      <c r="J46" s="189">
        <v>12200000</v>
      </c>
      <c r="K46" s="189">
        <v>12000000</v>
      </c>
      <c r="L46" s="189">
        <v>12000000</v>
      </c>
      <c r="M46" s="189">
        <v>12000000</v>
      </c>
      <c r="N46" s="189">
        <v>23200000</v>
      </c>
      <c r="O46" s="189">
        <v>23200000</v>
      </c>
      <c r="P46" s="189">
        <v>23200000</v>
      </c>
      <c r="Q46" s="189">
        <v>23200000</v>
      </c>
      <c r="R46" s="189">
        <v>0</v>
      </c>
      <c r="S46" s="189">
        <v>23600000</v>
      </c>
      <c r="T46" s="189">
        <v>23600000</v>
      </c>
      <c r="U46" s="189">
        <v>23600000</v>
      </c>
      <c r="V46" s="189">
        <v>0</v>
      </c>
      <c r="W46" s="189">
        <v>14100000</v>
      </c>
      <c r="X46" s="189">
        <v>14100000</v>
      </c>
      <c r="Y46" s="189">
        <v>14100000</v>
      </c>
      <c r="Z46" s="189">
        <v>23700000</v>
      </c>
      <c r="AA46" s="189">
        <v>23700000</v>
      </c>
      <c r="AB46" s="189">
        <v>23700000</v>
      </c>
      <c r="AC46" s="189">
        <v>23700000</v>
      </c>
      <c r="AD46" s="189">
        <v>0</v>
      </c>
      <c r="AE46" s="189">
        <v>0</v>
      </c>
      <c r="AF46" s="189">
        <v>22000000</v>
      </c>
      <c r="AG46" s="189">
        <v>22000000</v>
      </c>
      <c r="AH46" s="189">
        <v>0</v>
      </c>
      <c r="AI46" s="189">
        <v>0</v>
      </c>
      <c r="AJ46" s="189">
        <v>0</v>
      </c>
      <c r="AK46" s="189">
        <v>0</v>
      </c>
      <c r="AL46" s="189">
        <v>20101470.039999999</v>
      </c>
      <c r="AM46" s="189">
        <v>355791992.02999997</v>
      </c>
      <c r="AN46" s="189">
        <v>335690521.99000001</v>
      </c>
      <c r="AO46" s="189">
        <v>70645647.120000005</v>
      </c>
      <c r="AP46" s="189">
        <v>0</v>
      </c>
      <c r="AQ46" s="189">
        <v>10000000</v>
      </c>
      <c r="AR46" s="189">
        <v>10000000</v>
      </c>
      <c r="AS46" s="189">
        <v>9000000</v>
      </c>
      <c r="AT46" s="189">
        <v>36014200</v>
      </c>
      <c r="AU46" s="189">
        <v>42000000</v>
      </c>
      <c r="AV46" s="189">
        <v>315901716.75</v>
      </c>
      <c r="AW46" s="189">
        <v>201553449.16</v>
      </c>
      <c r="AX46" s="189">
        <v>78836454.950000003</v>
      </c>
      <c r="AY46" s="189">
        <v>53647913.289999999</v>
      </c>
      <c r="AZ46" s="189">
        <v>140363114.81999999</v>
      </c>
      <c r="BA46" s="189">
        <v>108557523.05</v>
      </c>
      <c r="BB46" s="189">
        <v>400000000</v>
      </c>
      <c r="BC46" s="189">
        <v>400000000</v>
      </c>
      <c r="BD46" s="189">
        <v>0</v>
      </c>
      <c r="BE46" s="189">
        <v>17955000</v>
      </c>
      <c r="BF46" s="189">
        <v>0</v>
      </c>
      <c r="BG46" s="189">
        <v>0</v>
      </c>
      <c r="BH46" s="189">
        <v>0</v>
      </c>
      <c r="BI46" s="189">
        <v>0</v>
      </c>
      <c r="BJ46" s="189">
        <v>0</v>
      </c>
      <c r="BK46" s="189">
        <v>0</v>
      </c>
      <c r="BL46" s="189">
        <v>0</v>
      </c>
      <c r="BM46" s="189">
        <v>0</v>
      </c>
      <c r="BN46" s="189">
        <v>0</v>
      </c>
      <c r="BO46" s="189">
        <v>0</v>
      </c>
      <c r="BP46" s="189">
        <v>0</v>
      </c>
    </row>
    <row r="47" spans="1:68" x14ac:dyDescent="0.25">
      <c r="A47" s="189" t="s">
        <v>151</v>
      </c>
      <c r="B47" s="189">
        <v>0</v>
      </c>
      <c r="C47" s="189">
        <v>447801747.45999998</v>
      </c>
      <c r="D47" s="189">
        <v>333007957.44999999</v>
      </c>
      <c r="E47" s="189">
        <v>261819016.86000001</v>
      </c>
      <c r="F47" s="189">
        <v>202766663.59</v>
      </c>
      <c r="G47" s="189">
        <v>188795380.18000001</v>
      </c>
      <c r="H47" s="189">
        <v>173662547.78</v>
      </c>
      <c r="I47" s="189">
        <v>194831056.12</v>
      </c>
      <c r="J47" s="189">
        <v>83226110.900000006</v>
      </c>
      <c r="K47" s="189">
        <v>93135256.239999995</v>
      </c>
      <c r="L47" s="189">
        <v>102649492.12</v>
      </c>
      <c r="M47" s="189">
        <v>106953285.39</v>
      </c>
      <c r="N47" s="189">
        <v>88634379.730000004</v>
      </c>
      <c r="O47" s="189">
        <v>101793374.17</v>
      </c>
      <c r="P47" s="189">
        <v>97794367.780000001</v>
      </c>
      <c r="Q47" s="189">
        <v>88337080.930000007</v>
      </c>
      <c r="R47" s="189">
        <v>100539121.03</v>
      </c>
      <c r="S47" s="189">
        <v>79883495.670000002</v>
      </c>
      <c r="T47" s="189">
        <v>83218371.489999995</v>
      </c>
      <c r="U47" s="189">
        <v>98905573.689999998</v>
      </c>
      <c r="V47" s="189">
        <v>117638516.8</v>
      </c>
      <c r="W47" s="189">
        <v>111193763.77</v>
      </c>
      <c r="X47" s="189">
        <v>101462729.8</v>
      </c>
      <c r="Y47" s="189">
        <v>105774414.66</v>
      </c>
      <c r="Z47" s="189">
        <v>87761366.629999995</v>
      </c>
      <c r="AA47" s="189">
        <v>88187624.349999994</v>
      </c>
      <c r="AB47" s="189">
        <v>106586211.23999999</v>
      </c>
      <c r="AC47" s="189">
        <v>85580845.530000001</v>
      </c>
      <c r="AD47" s="189">
        <v>79766409.099999994</v>
      </c>
      <c r="AE47" s="189">
        <v>74240533.409999996</v>
      </c>
      <c r="AF47" s="189">
        <v>65941653.890000001</v>
      </c>
      <c r="AG47" s="189">
        <v>73808991.739999995</v>
      </c>
      <c r="AH47" s="189">
        <v>59348361.060000002</v>
      </c>
      <c r="AI47" s="189">
        <v>48163506.399999999</v>
      </c>
      <c r="AJ47" s="189">
        <v>41232994.979999997</v>
      </c>
      <c r="AK47" s="189">
        <v>55554751.170000002</v>
      </c>
      <c r="AL47" s="189">
        <v>50825756.909999996</v>
      </c>
      <c r="AM47" s="189">
        <v>48567331.549999997</v>
      </c>
      <c r="AN47" s="189">
        <v>52751301.18</v>
      </c>
      <c r="AO47" s="189">
        <v>43801957.670000002</v>
      </c>
      <c r="AP47" s="189">
        <v>42390132.850000001</v>
      </c>
      <c r="AQ47" s="189">
        <v>36177889.149999999</v>
      </c>
      <c r="AR47" s="189">
        <v>62679757.609999999</v>
      </c>
      <c r="AS47" s="189">
        <v>67153227.269999996</v>
      </c>
      <c r="AT47" s="189">
        <v>72690559.849999994</v>
      </c>
      <c r="AU47" s="189">
        <v>59232904.579999998</v>
      </c>
      <c r="AV47" s="189">
        <v>58649315.049999997</v>
      </c>
      <c r="AW47" s="189">
        <v>57886028.850000001</v>
      </c>
      <c r="AX47" s="189">
        <v>80952748.049999997</v>
      </c>
      <c r="AY47" s="189">
        <v>77340570.890000001</v>
      </c>
      <c r="AZ47" s="189">
        <v>78069624.719999999</v>
      </c>
      <c r="BA47" s="189">
        <v>57425496.509999998</v>
      </c>
      <c r="BB47" s="189">
        <v>72099652.909999996</v>
      </c>
      <c r="BC47" s="189">
        <v>74750729.299999997</v>
      </c>
      <c r="BD47" s="189">
        <v>64012131.990000002</v>
      </c>
      <c r="BE47" s="189">
        <v>49936818.130000003</v>
      </c>
      <c r="BF47" s="189">
        <v>54649133.149999999</v>
      </c>
      <c r="BG47" s="189">
        <v>16432699.539999999</v>
      </c>
      <c r="BH47" s="189">
        <v>14711044.220000001</v>
      </c>
      <c r="BI47" s="189">
        <v>19376960.309999999</v>
      </c>
      <c r="BJ47" s="189">
        <v>12858640.550000001</v>
      </c>
      <c r="BK47" s="189">
        <v>9862846.7899999991</v>
      </c>
      <c r="BL47" s="189">
        <v>39388557.780000001</v>
      </c>
      <c r="BM47" s="189">
        <v>34104770.740000002</v>
      </c>
      <c r="BN47" s="189">
        <v>19056212.079999998</v>
      </c>
      <c r="BO47" s="189">
        <v>13360494.42</v>
      </c>
      <c r="BP47" s="189">
        <v>0</v>
      </c>
    </row>
    <row r="48" spans="1:68" x14ac:dyDescent="0.25">
      <c r="A48" s="189" t="s">
        <v>152</v>
      </c>
      <c r="B48" s="189">
        <v>178354078.28</v>
      </c>
      <c r="C48" s="189">
        <v>227905572.43000001</v>
      </c>
      <c r="D48" s="189">
        <v>58366097.350000001</v>
      </c>
      <c r="E48" s="189">
        <v>33207575.510000002</v>
      </c>
      <c r="F48" s="189">
        <v>37403728.619999997</v>
      </c>
      <c r="G48" s="189">
        <v>44237263.979999997</v>
      </c>
      <c r="H48" s="189">
        <v>42908969.409999996</v>
      </c>
      <c r="I48" s="189">
        <v>31954973.079999998</v>
      </c>
      <c r="J48" s="189">
        <v>81046523.200000003</v>
      </c>
      <c r="K48" s="189">
        <v>66027433.189999998</v>
      </c>
      <c r="L48" s="189">
        <v>75003066.409999996</v>
      </c>
      <c r="M48" s="189">
        <v>73920243.930000007</v>
      </c>
      <c r="N48" s="189">
        <v>96344297.109999999</v>
      </c>
      <c r="O48" s="189">
        <v>79468974.650000006</v>
      </c>
      <c r="P48" s="189">
        <v>86707075.689999998</v>
      </c>
      <c r="Q48" s="189">
        <v>101905325.66</v>
      </c>
      <c r="R48" s="189">
        <v>85435857.310000002</v>
      </c>
      <c r="S48" s="189">
        <v>86641348</v>
      </c>
      <c r="T48" s="189">
        <v>96558331.400000006</v>
      </c>
      <c r="U48" s="189">
        <v>89540232.609999999</v>
      </c>
      <c r="V48" s="189">
        <v>97999845.379999995</v>
      </c>
      <c r="W48" s="189">
        <v>92511997.060000002</v>
      </c>
      <c r="X48" s="189">
        <v>96190779.849999994</v>
      </c>
      <c r="Y48" s="189">
        <v>91722954.469999999</v>
      </c>
      <c r="Z48" s="189">
        <v>74905045.890000001</v>
      </c>
      <c r="AA48" s="189">
        <v>78517451.129999995</v>
      </c>
      <c r="AB48" s="189">
        <v>73897607.189999998</v>
      </c>
      <c r="AC48" s="189">
        <v>61972630.719999999</v>
      </c>
      <c r="AD48" s="189">
        <v>48874331.140000001</v>
      </c>
      <c r="AE48" s="189">
        <v>54626219.299999997</v>
      </c>
      <c r="AF48" s="189">
        <v>76325683.969999999</v>
      </c>
      <c r="AG48" s="189">
        <v>72286219.609999999</v>
      </c>
      <c r="AH48" s="189">
        <v>51633203.619999997</v>
      </c>
      <c r="AI48" s="189">
        <v>46071666.549999997</v>
      </c>
      <c r="AJ48" s="189">
        <v>47534893.479999997</v>
      </c>
      <c r="AK48" s="189">
        <v>31763044.199999999</v>
      </c>
      <c r="AL48" s="189">
        <v>39181717.950000003</v>
      </c>
      <c r="AM48" s="189">
        <v>39255820.450000003</v>
      </c>
      <c r="AN48" s="189">
        <v>40429012.159999996</v>
      </c>
      <c r="AO48" s="189">
        <v>33134452.059999999</v>
      </c>
      <c r="AP48" s="189">
        <v>49461663.18</v>
      </c>
      <c r="AQ48" s="189">
        <v>49653685.789999999</v>
      </c>
      <c r="AR48" s="189">
        <v>43706039.700000003</v>
      </c>
      <c r="AS48" s="189">
        <v>30035852.82</v>
      </c>
      <c r="AT48" s="189">
        <v>32835950.68</v>
      </c>
      <c r="AU48" s="189">
        <v>29647416.109999999</v>
      </c>
      <c r="AV48" s="189">
        <v>36663309.140000001</v>
      </c>
      <c r="AW48" s="189">
        <v>35721465.240000002</v>
      </c>
      <c r="AX48" s="189">
        <v>67424866.670000002</v>
      </c>
      <c r="AY48" s="189">
        <v>38549761.350000001</v>
      </c>
      <c r="AZ48" s="189">
        <v>31831242.359999999</v>
      </c>
      <c r="BA48" s="189">
        <v>36366795.359999999</v>
      </c>
      <c r="BB48" s="189">
        <v>32200195.579999998</v>
      </c>
      <c r="BC48" s="189">
        <v>25819330</v>
      </c>
      <c r="BD48" s="189">
        <v>37383615.130000003</v>
      </c>
      <c r="BE48" s="189">
        <v>30101826.91</v>
      </c>
      <c r="BF48" s="189">
        <v>38856922.200000003</v>
      </c>
      <c r="BG48" s="189">
        <v>3973473.13</v>
      </c>
      <c r="BH48" s="189">
        <v>16114781.32</v>
      </c>
      <c r="BI48" s="189">
        <v>5999387.6500000004</v>
      </c>
      <c r="BJ48" s="189">
        <v>26982231.800000001</v>
      </c>
      <c r="BK48" s="189">
        <v>23588099.780000001</v>
      </c>
      <c r="BL48" s="189">
        <v>21037009.23</v>
      </c>
      <c r="BM48" s="189">
        <v>8531708.4900000002</v>
      </c>
      <c r="BN48" s="189">
        <v>9190970.3900000006</v>
      </c>
      <c r="BO48" s="189">
        <v>6601646.6100000003</v>
      </c>
      <c r="BP48" s="189">
        <v>0</v>
      </c>
    </row>
    <row r="49" spans="1:68"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row>
    <row r="50" spans="1:68" x14ac:dyDescent="0.25">
      <c r="A50" s="189" t="s">
        <v>154</v>
      </c>
      <c r="B50" s="189">
        <v>326249188.20999998</v>
      </c>
      <c r="C50" s="189">
        <v>285774419.89999998</v>
      </c>
      <c r="D50" s="189">
        <v>235817970.63</v>
      </c>
      <c r="E50" s="189">
        <v>244904236.87</v>
      </c>
      <c r="F50" s="189">
        <v>358313773.75</v>
      </c>
      <c r="G50" s="189">
        <v>298164372.49000001</v>
      </c>
      <c r="H50" s="189">
        <v>249865695.13999999</v>
      </c>
      <c r="I50" s="189">
        <v>210469690.18000001</v>
      </c>
      <c r="J50" s="189">
        <v>344061553.70999998</v>
      </c>
      <c r="K50" s="189">
        <v>277772544.83999997</v>
      </c>
      <c r="L50" s="189">
        <v>228224755.41999999</v>
      </c>
      <c r="M50" s="189">
        <v>192393439.50999999</v>
      </c>
      <c r="N50" s="189">
        <v>314912646.00999999</v>
      </c>
      <c r="O50" s="189">
        <v>250668244</v>
      </c>
      <c r="P50" s="189">
        <v>182599942.05000001</v>
      </c>
      <c r="Q50" s="189">
        <v>208550589.71000001</v>
      </c>
      <c r="R50" s="189">
        <v>297819949.30000001</v>
      </c>
      <c r="S50" s="189">
        <v>266334386.13</v>
      </c>
      <c r="T50" s="189">
        <v>249097189.22999999</v>
      </c>
      <c r="U50" s="189">
        <v>209102432.97</v>
      </c>
      <c r="V50" s="189">
        <v>295942563.33999997</v>
      </c>
      <c r="W50" s="189">
        <v>250530335.16999999</v>
      </c>
      <c r="X50" s="189">
        <v>196838463.11000001</v>
      </c>
      <c r="Y50" s="189">
        <v>205230185.66</v>
      </c>
      <c r="Z50" s="189">
        <v>293295806.10000002</v>
      </c>
      <c r="AA50" s="189">
        <v>257684104.24000001</v>
      </c>
      <c r="AB50" s="189">
        <v>211008411.77000001</v>
      </c>
      <c r="AC50" s="189">
        <v>209894506.33000001</v>
      </c>
      <c r="AD50" s="189">
        <v>291187573.5</v>
      </c>
      <c r="AE50" s="189">
        <v>264366044.38999999</v>
      </c>
      <c r="AF50" s="189">
        <v>227325025.72</v>
      </c>
      <c r="AG50" s="189">
        <v>260078400.08000001</v>
      </c>
      <c r="AH50" s="189">
        <v>259334766.41</v>
      </c>
      <c r="AI50" s="189">
        <v>236690581</v>
      </c>
      <c r="AJ50" s="189">
        <v>185090401.27000001</v>
      </c>
      <c r="AK50" s="189">
        <v>190947395.43000001</v>
      </c>
      <c r="AL50" s="189">
        <v>204089173.72</v>
      </c>
      <c r="AM50" s="189">
        <v>225454955.27000001</v>
      </c>
      <c r="AN50" s="189">
        <v>201653856.83000001</v>
      </c>
      <c r="AO50" s="189">
        <v>201042844.34999999</v>
      </c>
      <c r="AP50" s="189">
        <v>191659108.97999999</v>
      </c>
      <c r="AQ50" s="189">
        <v>162956666.68000001</v>
      </c>
      <c r="AR50" s="189">
        <v>130188307.45999999</v>
      </c>
      <c r="AS50" s="189">
        <v>167560377.75999999</v>
      </c>
      <c r="AT50" s="189">
        <v>27258996.539999999</v>
      </c>
      <c r="AU50" s="189">
        <v>26611161.899999999</v>
      </c>
      <c r="AV50" s="189">
        <v>41900886.049999997</v>
      </c>
      <c r="AW50" s="189">
        <v>39150725.640000001</v>
      </c>
      <c r="AX50" s="189">
        <v>36176698.579999998</v>
      </c>
      <c r="AY50" s="189">
        <v>43134311.049999997</v>
      </c>
      <c r="AZ50" s="189">
        <v>34148117.039999999</v>
      </c>
      <c r="BA50" s="189">
        <v>36941456.289999999</v>
      </c>
      <c r="BB50" s="189">
        <v>28748002.989999998</v>
      </c>
      <c r="BC50" s="189">
        <v>34347940.140000001</v>
      </c>
      <c r="BD50" s="189">
        <v>32396922.23</v>
      </c>
      <c r="BE50" s="189">
        <v>32418172.829999998</v>
      </c>
      <c r="BF50" s="189">
        <v>9070252.5399999991</v>
      </c>
      <c r="BG50" s="189">
        <v>7228825.3600000003</v>
      </c>
      <c r="BH50" s="189">
        <v>16545655.390000001</v>
      </c>
      <c r="BI50" s="189">
        <v>15963368.23</v>
      </c>
      <c r="BJ50" s="189">
        <v>11494280.810000001</v>
      </c>
      <c r="BK50" s="189">
        <v>18925783.73</v>
      </c>
      <c r="BL50" s="189">
        <v>16022401.560000001</v>
      </c>
      <c r="BM50" s="189">
        <v>21294613.949999999</v>
      </c>
      <c r="BN50" s="189">
        <v>13028435.93</v>
      </c>
      <c r="BO50" s="189">
        <v>6625120.1799999997</v>
      </c>
      <c r="BP50" s="189">
        <v>0</v>
      </c>
    </row>
    <row r="51" spans="1:68" x14ac:dyDescent="0.25">
      <c r="A51" s="189" t="s">
        <v>155</v>
      </c>
      <c r="B51" s="189">
        <v>88853004.180000007</v>
      </c>
      <c r="C51" s="189">
        <v>-140308371.09</v>
      </c>
      <c r="D51" s="189">
        <v>94777246.819999993</v>
      </c>
      <c r="E51" s="189">
        <v>95580040.019999996</v>
      </c>
      <c r="F51" s="189">
        <v>58717201.109999999</v>
      </c>
      <c r="G51" s="189">
        <v>234828833.49000001</v>
      </c>
      <c r="H51" s="189">
        <v>386904779.73000002</v>
      </c>
      <c r="I51" s="189">
        <v>198201912.22</v>
      </c>
      <c r="J51" s="189">
        <v>160203894.47999999</v>
      </c>
      <c r="K51" s="189">
        <v>195338203.22</v>
      </c>
      <c r="L51" s="189">
        <v>274724525.20999998</v>
      </c>
      <c r="M51" s="189">
        <v>260077483.38</v>
      </c>
      <c r="N51" s="189">
        <v>213197673.22</v>
      </c>
      <c r="O51" s="189">
        <v>223690995.25999999</v>
      </c>
      <c r="P51" s="189">
        <v>227579202.24000001</v>
      </c>
      <c r="Q51" s="189">
        <v>216517382.06999999</v>
      </c>
      <c r="R51" s="189">
        <v>115724755.54000001</v>
      </c>
      <c r="S51" s="189">
        <v>83727893.439999998</v>
      </c>
      <c r="T51" s="189">
        <v>281693789.01999998</v>
      </c>
      <c r="U51" s="189">
        <v>278004851.13</v>
      </c>
      <c r="V51" s="189">
        <v>227539748.22</v>
      </c>
      <c r="W51" s="189">
        <v>170786422.33000001</v>
      </c>
      <c r="X51" s="189">
        <v>230917252.43000001</v>
      </c>
      <c r="Y51" s="189">
        <v>224142292.88999999</v>
      </c>
      <c r="Z51" s="189">
        <v>177925553.44</v>
      </c>
      <c r="AA51" s="189">
        <v>141289005.18000001</v>
      </c>
      <c r="AB51" s="189">
        <v>173143691.96000001</v>
      </c>
      <c r="AC51" s="189">
        <v>197353946.19999999</v>
      </c>
      <c r="AD51" s="189">
        <v>183123457.41</v>
      </c>
      <c r="AE51" s="189">
        <v>144578156.12</v>
      </c>
      <c r="AF51" s="189">
        <v>191909143.13</v>
      </c>
      <c r="AG51" s="189">
        <v>243379180.03999999</v>
      </c>
      <c r="AH51" s="189">
        <v>184360395.81999999</v>
      </c>
      <c r="AI51" s="189">
        <v>171310089.33000001</v>
      </c>
      <c r="AJ51" s="189">
        <v>187647628.08000001</v>
      </c>
      <c r="AK51" s="189">
        <v>214588488.72</v>
      </c>
      <c r="AL51" s="189">
        <v>209687373.83000001</v>
      </c>
      <c r="AM51" s="189">
        <v>167184072.83000001</v>
      </c>
      <c r="AN51" s="189">
        <v>181406767.99000001</v>
      </c>
      <c r="AO51" s="189">
        <v>176264204.94</v>
      </c>
      <c r="AP51" s="189">
        <v>188016542.36000001</v>
      </c>
      <c r="AQ51" s="189">
        <v>150105488.97999999</v>
      </c>
      <c r="AR51" s="189">
        <v>204122076.59999999</v>
      </c>
      <c r="AS51" s="189">
        <v>201211583.97999999</v>
      </c>
      <c r="AT51" s="189">
        <v>199527811.02000001</v>
      </c>
      <c r="AU51" s="189">
        <v>129498940.98</v>
      </c>
      <c r="AV51" s="189">
        <v>148705840.09999999</v>
      </c>
      <c r="AW51" s="189">
        <v>127573452.51000001</v>
      </c>
      <c r="AX51" s="189">
        <v>131977853.84</v>
      </c>
      <c r="AY51" s="189">
        <v>93427575.239999995</v>
      </c>
      <c r="AZ51" s="189">
        <v>159127962.37</v>
      </c>
      <c r="BA51" s="189">
        <v>102431770.2</v>
      </c>
      <c r="BB51" s="189">
        <v>154327081.53999999</v>
      </c>
      <c r="BC51" s="189">
        <v>96215791.140000001</v>
      </c>
      <c r="BD51" s="189">
        <v>43049765.630000003</v>
      </c>
      <c r="BE51" s="189">
        <v>12010993.109999999</v>
      </c>
      <c r="BF51" s="189">
        <v>47618813.920000002</v>
      </c>
      <c r="BG51" s="189">
        <v>146309994.34</v>
      </c>
      <c r="BH51" s="189">
        <v>132705058.14</v>
      </c>
      <c r="BI51" s="189">
        <v>111943900.87</v>
      </c>
      <c r="BJ51" s="189">
        <v>89717057.670000002</v>
      </c>
      <c r="BK51" s="189">
        <v>61116387.170000002</v>
      </c>
      <c r="BL51" s="189">
        <v>56206342.759999998</v>
      </c>
      <c r="BM51" s="189">
        <v>37427977.609999999</v>
      </c>
      <c r="BN51" s="189">
        <v>2204647.25</v>
      </c>
      <c r="BO51" s="189">
        <v>38863204.689999998</v>
      </c>
      <c r="BP51" s="189">
        <v>0</v>
      </c>
    </row>
    <row r="52" spans="1:68" x14ac:dyDescent="0.25">
      <c r="A52" s="189" t="s">
        <v>156</v>
      </c>
      <c r="B52" s="189">
        <v>1890446.26</v>
      </c>
      <c r="C52" s="189">
        <v>2019770.61</v>
      </c>
      <c r="D52" s="189">
        <v>32818187.359999999</v>
      </c>
      <c r="E52" s="189">
        <v>15450920.58</v>
      </c>
      <c r="F52" s="189">
        <v>0</v>
      </c>
      <c r="G52" s="189">
        <v>5926709.6600000001</v>
      </c>
      <c r="H52" s="189">
        <v>7455134.0499999998</v>
      </c>
      <c r="I52" s="189">
        <v>5905482.2999999998</v>
      </c>
      <c r="J52" s="189">
        <v>0</v>
      </c>
      <c r="K52" s="189">
        <v>0</v>
      </c>
      <c r="L52" s="189">
        <v>0</v>
      </c>
      <c r="M52" s="189">
        <v>0</v>
      </c>
      <c r="N52" s="189">
        <v>0</v>
      </c>
      <c r="O52" s="189">
        <v>0</v>
      </c>
      <c r="P52" s="189">
        <v>0</v>
      </c>
      <c r="Q52" s="189">
        <v>0</v>
      </c>
      <c r="R52" s="189">
        <v>0</v>
      </c>
      <c r="S52" s="189">
        <v>0</v>
      </c>
      <c r="T52" s="189">
        <v>0</v>
      </c>
      <c r="U52" s="189">
        <v>0</v>
      </c>
      <c r="V52" s="189">
        <v>3590098.35</v>
      </c>
      <c r="W52" s="189">
        <v>3064725.02</v>
      </c>
      <c r="X52" s="189">
        <v>11045438.35</v>
      </c>
      <c r="Y52" s="189">
        <v>1476678.35</v>
      </c>
      <c r="Z52" s="189">
        <v>8774065.0099999998</v>
      </c>
      <c r="AA52" s="189">
        <v>52174742.810000002</v>
      </c>
      <c r="AB52" s="189">
        <v>38371669.350000001</v>
      </c>
      <c r="AC52" s="189">
        <v>37714702.049999997</v>
      </c>
      <c r="AD52" s="189">
        <v>47015154.979999997</v>
      </c>
      <c r="AE52" s="189">
        <v>28592975.190000001</v>
      </c>
      <c r="AF52" s="189">
        <v>15094610.98</v>
      </c>
      <c r="AG52" s="189">
        <v>5925439.5899999999</v>
      </c>
      <c r="AH52" s="189">
        <v>38077700.759999998</v>
      </c>
      <c r="AI52" s="189">
        <v>62497779.18</v>
      </c>
      <c r="AJ52" s="189">
        <v>27190221.379999999</v>
      </c>
      <c r="AK52" s="189">
        <v>7968303.5599999996</v>
      </c>
      <c r="AL52" s="189">
        <v>54192305.780000001</v>
      </c>
      <c r="AM52" s="189">
        <v>51631905.829999998</v>
      </c>
      <c r="AN52" s="189">
        <v>31163914.52</v>
      </c>
      <c r="AO52" s="189">
        <v>10205706.75</v>
      </c>
      <c r="AP52" s="189">
        <v>18435303.809999999</v>
      </c>
      <c r="AQ52" s="189">
        <v>24682682.75</v>
      </c>
      <c r="AR52" s="189">
        <v>25064365.52</v>
      </c>
      <c r="AS52" s="189">
        <v>2860000.52</v>
      </c>
      <c r="AT52" s="189">
        <v>34183381.539999999</v>
      </c>
      <c r="AU52" s="189">
        <v>20471984.870000001</v>
      </c>
      <c r="AV52" s="189">
        <v>39341448.299999997</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row>
    <row r="53" spans="1:68" x14ac:dyDescent="0.25">
      <c r="A53" s="189" t="s">
        <v>157</v>
      </c>
      <c r="B53" s="189">
        <v>0</v>
      </c>
      <c r="C53" s="189">
        <v>0</v>
      </c>
      <c r="D53" s="189">
        <v>0</v>
      </c>
      <c r="E53" s="189">
        <v>403156.54</v>
      </c>
      <c r="F53" s="189">
        <v>7418585.6500000004</v>
      </c>
      <c r="G53" s="189">
        <v>536351107.39999998</v>
      </c>
      <c r="H53" s="189">
        <v>8317596.8799999999</v>
      </c>
      <c r="I53" s="189">
        <v>8317596.8799999999</v>
      </c>
      <c r="J53" s="189">
        <v>234584973.08000001</v>
      </c>
      <c r="K53" s="189">
        <v>374555706.51999998</v>
      </c>
      <c r="L53" s="189">
        <v>2337706.52</v>
      </c>
      <c r="M53" s="189">
        <v>6337706.5199999996</v>
      </c>
      <c r="N53" s="189">
        <v>6157706.5199999996</v>
      </c>
      <c r="O53" s="189">
        <v>211658683.91</v>
      </c>
      <c r="P53" s="189">
        <v>7387706.5199999996</v>
      </c>
      <c r="Q53" s="189">
        <v>6157706.5199999996</v>
      </c>
      <c r="R53" s="189">
        <v>6202103.4100000001</v>
      </c>
      <c r="S53" s="189">
        <v>431702103.41000003</v>
      </c>
      <c r="T53" s="189">
        <v>6202103.4100000001</v>
      </c>
      <c r="U53" s="189">
        <v>5418558.6299999999</v>
      </c>
      <c r="V53" s="189">
        <v>4568558.63</v>
      </c>
      <c r="W53" s="189">
        <v>384068558.63</v>
      </c>
      <c r="X53" s="189">
        <v>13365428.75</v>
      </c>
      <c r="Y53" s="189">
        <v>14655428.75</v>
      </c>
      <c r="Z53" s="189">
        <v>15417929.75</v>
      </c>
      <c r="AA53" s="189">
        <v>417917929.75</v>
      </c>
      <c r="AB53" s="189">
        <v>12183405.98</v>
      </c>
      <c r="AC53" s="189">
        <v>11945618.25</v>
      </c>
      <c r="AD53" s="189">
        <v>11644154.68</v>
      </c>
      <c r="AE53" s="189">
        <v>357793227.11000001</v>
      </c>
      <c r="AF53" s="189">
        <v>8551453.6899999995</v>
      </c>
      <c r="AG53" s="189">
        <v>9696379.2599999998</v>
      </c>
      <c r="AH53" s="189">
        <v>201797796.52000001</v>
      </c>
      <c r="AI53" s="189">
        <v>307096379.25999999</v>
      </c>
      <c r="AJ53" s="189">
        <v>8096379.2599999998</v>
      </c>
      <c r="AK53" s="189">
        <v>11696379.26</v>
      </c>
      <c r="AL53" s="189">
        <v>138715330.78</v>
      </c>
      <c r="AM53" s="189">
        <v>206420840.38</v>
      </c>
      <c r="AN53" s="189">
        <v>10920840.380000001</v>
      </c>
      <c r="AO53" s="189">
        <v>13520840.380000001</v>
      </c>
      <c r="AP53" s="189">
        <v>145021822.81</v>
      </c>
      <c r="AQ53" s="189">
        <v>217920840.38</v>
      </c>
      <c r="AR53" s="189">
        <v>10920840.380000001</v>
      </c>
      <c r="AS53" s="189">
        <v>10920840.380000001</v>
      </c>
      <c r="AT53" s="189">
        <v>41865113.969999999</v>
      </c>
      <c r="AU53" s="189">
        <v>161196455.94999999</v>
      </c>
      <c r="AV53" s="189">
        <v>159009080.61000001</v>
      </c>
      <c r="AW53" s="189">
        <v>12666999.01</v>
      </c>
      <c r="AX53" s="189">
        <v>9539998.0500000007</v>
      </c>
      <c r="AY53" s="189">
        <v>111648720.31999999</v>
      </c>
      <c r="AZ53" s="189">
        <v>6990801.9100000001</v>
      </c>
      <c r="BA53" s="189">
        <v>17238642.25</v>
      </c>
      <c r="BB53" s="189">
        <v>159604041.90000001</v>
      </c>
      <c r="BC53" s="189">
        <v>255648563.15000001</v>
      </c>
      <c r="BD53" s="189">
        <v>5648563.1500000004</v>
      </c>
      <c r="BE53" s="189">
        <v>5648563.1500000004</v>
      </c>
      <c r="BF53" s="189">
        <v>9862022.0399999991</v>
      </c>
      <c r="BG53" s="189">
        <v>2706311.07</v>
      </c>
      <c r="BH53" s="189">
        <v>2706311.07</v>
      </c>
      <c r="BI53" s="189">
        <v>2706311.07</v>
      </c>
      <c r="BJ53" s="189">
        <v>3417396.66</v>
      </c>
      <c r="BK53" s="189">
        <v>3417396.66</v>
      </c>
      <c r="BL53" s="189">
        <v>144331387.66</v>
      </c>
      <c r="BM53" s="189">
        <v>1771387.66</v>
      </c>
      <c r="BN53" s="189">
        <v>145119559.50999999</v>
      </c>
      <c r="BO53" s="189">
        <v>42880173.100000001</v>
      </c>
      <c r="BP53" s="189">
        <v>0</v>
      </c>
    </row>
    <row r="54" spans="1:68" x14ac:dyDescent="0.25">
      <c r="A54" s="189" t="s">
        <v>158</v>
      </c>
      <c r="B54" s="189">
        <v>5574333018.4099998</v>
      </c>
      <c r="C54" s="189">
        <v>6318727483.0200005</v>
      </c>
      <c r="D54" s="189">
        <v>1699147026.01</v>
      </c>
      <c r="E54" s="189">
        <v>1301710809.8599999</v>
      </c>
      <c r="F54" s="189">
        <v>2155202216.5700002</v>
      </c>
      <c r="G54" s="189">
        <v>2472284337.2199998</v>
      </c>
      <c r="H54" s="189">
        <v>2163268605.77</v>
      </c>
      <c r="I54" s="189">
        <v>1946637414.74</v>
      </c>
      <c r="J54" s="189">
        <v>2005302399.27</v>
      </c>
      <c r="K54" s="189">
        <v>1924144074.97</v>
      </c>
      <c r="L54" s="189">
        <v>1712095206.3800001</v>
      </c>
      <c r="M54" s="189">
        <v>1717352340.46</v>
      </c>
      <c r="N54" s="189">
        <v>1369644719.4300001</v>
      </c>
      <c r="O54" s="189">
        <v>1538328959</v>
      </c>
      <c r="P54" s="189">
        <v>1565846420.6099999</v>
      </c>
      <c r="Q54" s="189">
        <v>1367490064.9400001</v>
      </c>
      <c r="R54" s="189">
        <v>1342003019.97</v>
      </c>
      <c r="S54" s="189">
        <v>1256964406.5799999</v>
      </c>
      <c r="T54" s="189">
        <v>1030628127.8200001</v>
      </c>
      <c r="U54" s="189">
        <v>1025022821.79</v>
      </c>
      <c r="V54" s="189">
        <v>1259625270.47</v>
      </c>
      <c r="W54" s="189">
        <v>1099995176.4400001</v>
      </c>
      <c r="X54" s="189">
        <v>1053002297.33</v>
      </c>
      <c r="Y54" s="189">
        <v>910498730.07000005</v>
      </c>
      <c r="Z54" s="189">
        <v>1305482417.27</v>
      </c>
      <c r="AA54" s="189">
        <v>1236357163.6400001</v>
      </c>
      <c r="AB54" s="189">
        <v>1199510843.71</v>
      </c>
      <c r="AC54" s="189">
        <v>1102089596.5</v>
      </c>
      <c r="AD54" s="189">
        <v>1685113519.8199999</v>
      </c>
      <c r="AE54" s="189">
        <v>1741049454.1600001</v>
      </c>
      <c r="AF54" s="189">
        <v>1856807164.47</v>
      </c>
      <c r="AG54" s="189">
        <v>1801908578.8900001</v>
      </c>
      <c r="AH54" s="189">
        <v>1824304699.72</v>
      </c>
      <c r="AI54" s="189">
        <v>1724610716.0999999</v>
      </c>
      <c r="AJ54" s="189">
        <v>2641739263</v>
      </c>
      <c r="AK54" s="189">
        <v>2583465976.3800001</v>
      </c>
      <c r="AL54" s="189">
        <v>769957923.14999998</v>
      </c>
      <c r="AM54" s="189">
        <v>842777862.55999994</v>
      </c>
      <c r="AN54" s="189">
        <v>781974272.01999998</v>
      </c>
      <c r="AO54" s="189">
        <v>940303483.42999995</v>
      </c>
      <c r="AP54" s="189">
        <v>1313449205.8900001</v>
      </c>
      <c r="AQ54" s="189">
        <v>1416385151.5599999</v>
      </c>
      <c r="AR54" s="189">
        <v>1322909336.74</v>
      </c>
      <c r="AS54" s="189">
        <v>1266390343.9000001</v>
      </c>
      <c r="AT54" s="189">
        <v>551674092.63</v>
      </c>
      <c r="AU54" s="189">
        <v>523937375.99000001</v>
      </c>
      <c r="AV54" s="189">
        <v>444118826.49000001</v>
      </c>
      <c r="AW54" s="189">
        <v>384275469.87</v>
      </c>
      <c r="AX54" s="189">
        <v>508858061.5</v>
      </c>
      <c r="AY54" s="189">
        <v>476083732.12</v>
      </c>
      <c r="AZ54" s="189">
        <v>418800404.05000001</v>
      </c>
      <c r="BA54" s="189">
        <v>393727995.41000003</v>
      </c>
      <c r="BB54" s="189">
        <v>930405860.32000005</v>
      </c>
      <c r="BC54" s="189">
        <v>895093386.17999995</v>
      </c>
      <c r="BD54" s="189">
        <v>3663741869.9299998</v>
      </c>
      <c r="BE54" s="189">
        <v>3501817256.52</v>
      </c>
      <c r="BF54" s="189">
        <v>2708130938.3400002</v>
      </c>
      <c r="BG54" s="189">
        <v>314553204.63</v>
      </c>
      <c r="BH54" s="189">
        <v>292017899.55000001</v>
      </c>
      <c r="BI54" s="189">
        <v>235101792.72999999</v>
      </c>
      <c r="BJ54" s="189">
        <v>215726851.97999999</v>
      </c>
      <c r="BK54" s="189">
        <v>191134316.36000001</v>
      </c>
      <c r="BL54" s="189">
        <v>143662647.99000001</v>
      </c>
      <c r="BM54" s="189">
        <v>79745255.5</v>
      </c>
      <c r="BN54" s="189">
        <v>48976222.549999997</v>
      </c>
      <c r="BO54" s="189">
        <v>36933985.450000003</v>
      </c>
      <c r="BP54" s="189">
        <v>0</v>
      </c>
    </row>
    <row r="55" spans="1:68"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16407338.300000001</v>
      </c>
      <c r="AX55" s="189">
        <v>20958867.5</v>
      </c>
      <c r="AY55" s="189">
        <v>20212736.039999999</v>
      </c>
      <c r="AZ55" s="189">
        <v>18276813.300000001</v>
      </c>
      <c r="BA55" s="189">
        <v>9674317.7699999996</v>
      </c>
      <c r="BB55" s="189">
        <v>12191970.32</v>
      </c>
      <c r="BC55" s="189">
        <v>9575213.6099999994</v>
      </c>
      <c r="BD55" s="189">
        <v>8481555.0600000005</v>
      </c>
      <c r="BE55" s="189">
        <v>3041436.69</v>
      </c>
      <c r="BF55" s="189">
        <v>46087276.509999998</v>
      </c>
      <c r="BG55" s="189">
        <v>9503003.5</v>
      </c>
      <c r="BH55" s="189">
        <v>5703556.3399999999</v>
      </c>
      <c r="BI55" s="189">
        <v>1193625.49</v>
      </c>
      <c r="BJ55" s="189">
        <v>13150493.880000001</v>
      </c>
      <c r="BK55" s="189">
        <v>15081740.720000001</v>
      </c>
      <c r="BL55" s="189">
        <v>11739128.91</v>
      </c>
      <c r="BM55" s="189">
        <v>3107295.09</v>
      </c>
      <c r="BN55" s="189">
        <v>2578121.2999999998</v>
      </c>
      <c r="BO55" s="189">
        <v>1101381.6000000001</v>
      </c>
      <c r="BP55" s="189">
        <v>0</v>
      </c>
    </row>
    <row r="56" spans="1:68"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row>
    <row r="57" spans="1:68"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1000000000</v>
      </c>
      <c r="AB57" s="189">
        <v>1000000000</v>
      </c>
      <c r="AC57" s="189">
        <v>1500000000</v>
      </c>
      <c r="AD57" s="189">
        <v>2500000000</v>
      </c>
      <c r="AE57" s="189">
        <v>1500000000</v>
      </c>
      <c r="AF57" s="189">
        <v>1500000000</v>
      </c>
      <c r="AG57" s="189">
        <v>1000000000</v>
      </c>
      <c r="AH57" s="189">
        <v>0</v>
      </c>
      <c r="AI57" s="189">
        <v>1500000000</v>
      </c>
      <c r="AJ57" s="189">
        <v>1500000000</v>
      </c>
      <c r="AK57" s="189">
        <v>1500000000</v>
      </c>
      <c r="AL57" s="189">
        <v>1200000000</v>
      </c>
      <c r="AM57" s="189">
        <v>500000000</v>
      </c>
      <c r="AN57" s="189">
        <v>0</v>
      </c>
      <c r="AO57" s="189">
        <v>0</v>
      </c>
      <c r="AP57" s="189">
        <v>0</v>
      </c>
      <c r="AQ57" s="189">
        <v>1000000000</v>
      </c>
      <c r="AR57" s="189">
        <v>0</v>
      </c>
      <c r="AS57" s="189">
        <v>0</v>
      </c>
      <c r="AT57" s="189">
        <v>0</v>
      </c>
      <c r="AU57" s="189">
        <v>0</v>
      </c>
      <c r="AV57" s="189">
        <v>0</v>
      </c>
      <c r="AW57" s="189">
        <v>1500000000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row>
    <row r="58" spans="1:68" x14ac:dyDescent="0.25">
      <c r="A58" s="189" t="s">
        <v>162</v>
      </c>
      <c r="B58" s="189">
        <v>0</v>
      </c>
      <c r="C58" s="189">
        <v>0</v>
      </c>
      <c r="D58" s="189">
        <v>20000000</v>
      </c>
      <c r="E58" s="189">
        <v>20000000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82000000</v>
      </c>
      <c r="Z58" s="189">
        <v>0</v>
      </c>
      <c r="AA58" s="189">
        <v>0</v>
      </c>
      <c r="AB58" s="189">
        <v>0</v>
      </c>
      <c r="AC58" s="189">
        <v>0</v>
      </c>
      <c r="AD58" s="189">
        <v>0</v>
      </c>
      <c r="AE58" s="189">
        <v>0</v>
      </c>
      <c r="AF58" s="189">
        <v>0</v>
      </c>
      <c r="AG58" s="189">
        <v>80000000</v>
      </c>
      <c r="AH58" s="189">
        <v>40000000</v>
      </c>
      <c r="AI58" s="189">
        <v>40000000</v>
      </c>
      <c r="AJ58" s="189">
        <v>80000000</v>
      </c>
      <c r="AK58" s="189">
        <v>80000000</v>
      </c>
      <c r="AL58" s="189">
        <v>40000000</v>
      </c>
      <c r="AM58" s="189">
        <v>80000000</v>
      </c>
      <c r="AN58" s="189">
        <v>80000000</v>
      </c>
      <c r="AO58" s="189">
        <v>80000000</v>
      </c>
      <c r="AP58" s="189">
        <v>80000000</v>
      </c>
      <c r="AQ58" s="189">
        <v>80000000</v>
      </c>
      <c r="AR58" s="189">
        <v>80000000</v>
      </c>
      <c r="AS58" s="189">
        <v>80000000</v>
      </c>
      <c r="AT58" s="189">
        <v>40000000</v>
      </c>
      <c r="AU58" s="189">
        <v>40000000</v>
      </c>
      <c r="AV58" s="189">
        <v>40000000</v>
      </c>
      <c r="AW58" s="189">
        <v>40000000</v>
      </c>
      <c r="AX58" s="189">
        <v>0</v>
      </c>
      <c r="AY58" s="189">
        <v>40000000</v>
      </c>
      <c r="AZ58" s="189">
        <v>40000000</v>
      </c>
      <c r="BA58" s="189">
        <v>40000000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row>
    <row r="59" spans="1:68" x14ac:dyDescent="0.25">
      <c r="A59" s="189" t="s">
        <v>163</v>
      </c>
      <c r="B59" s="189">
        <v>0</v>
      </c>
      <c r="C59" s="189">
        <v>2014446328.74</v>
      </c>
      <c r="D59" s="189">
        <v>1999151388.9000001</v>
      </c>
      <c r="E59" s="189">
        <v>1999151388.9000001</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2574.6</v>
      </c>
      <c r="AS59" s="189">
        <v>0</v>
      </c>
      <c r="AT59" s="189">
        <v>1500000000</v>
      </c>
      <c r="AU59" s="189">
        <v>1500000000</v>
      </c>
      <c r="AV59" s="189">
        <v>1500000000</v>
      </c>
      <c r="AW59" s="189">
        <v>0</v>
      </c>
      <c r="AX59" s="189">
        <v>1000000000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row>
    <row r="60" spans="1:68" x14ac:dyDescent="0.25">
      <c r="A60" s="189" t="s">
        <v>164</v>
      </c>
      <c r="B60" s="189">
        <v>7068826688.2200003</v>
      </c>
      <c r="C60" s="189">
        <v>10167226951.07</v>
      </c>
      <c r="D60" s="189">
        <v>5893545874.5200005</v>
      </c>
      <c r="E60" s="189">
        <v>5381827145.1400003</v>
      </c>
      <c r="F60" s="189">
        <v>4379422169.29</v>
      </c>
      <c r="G60" s="189">
        <v>3990188004.4200001</v>
      </c>
      <c r="H60" s="189">
        <v>3041983328.7600002</v>
      </c>
      <c r="I60" s="189">
        <v>2608518125.52</v>
      </c>
      <c r="J60" s="189">
        <v>2920625454.6399999</v>
      </c>
      <c r="K60" s="189">
        <v>2942973218.98</v>
      </c>
      <c r="L60" s="189">
        <v>2407034752.0599999</v>
      </c>
      <c r="M60" s="189">
        <v>2369034499.1900001</v>
      </c>
      <c r="N60" s="189">
        <v>2112091422.02</v>
      </c>
      <c r="O60" s="189">
        <v>2428809230.9899998</v>
      </c>
      <c r="P60" s="189">
        <v>2191114714.8899999</v>
      </c>
      <c r="Q60" s="189">
        <v>2012158149.8299999</v>
      </c>
      <c r="R60" s="189">
        <v>1947724806.5599999</v>
      </c>
      <c r="S60" s="189">
        <v>2228853633.23</v>
      </c>
      <c r="T60" s="189">
        <v>1770997912.3699999</v>
      </c>
      <c r="U60" s="189">
        <v>1729594470.8199999</v>
      </c>
      <c r="V60" s="189">
        <v>2006904601.1900001</v>
      </c>
      <c r="W60" s="189">
        <v>2826250978.4200001</v>
      </c>
      <c r="X60" s="189">
        <v>2416922389.6199999</v>
      </c>
      <c r="Y60" s="189">
        <v>2449600684.8499999</v>
      </c>
      <c r="Z60" s="189">
        <v>2787262184.0900002</v>
      </c>
      <c r="AA60" s="189">
        <v>3295828021.0999999</v>
      </c>
      <c r="AB60" s="189">
        <v>2888401841.1999998</v>
      </c>
      <c r="AC60" s="189">
        <v>3230251845.5799999</v>
      </c>
      <c r="AD60" s="189">
        <v>4846724600.6300001</v>
      </c>
      <c r="AE60" s="189">
        <v>4165246609.6799998</v>
      </c>
      <c r="AF60" s="189">
        <v>3963954735.8499999</v>
      </c>
      <c r="AG60" s="189">
        <v>4169083189.21</v>
      </c>
      <c r="AH60" s="189">
        <v>3658856923.9099998</v>
      </c>
      <c r="AI60" s="189">
        <v>4136440717.8200002</v>
      </c>
      <c r="AJ60" s="189">
        <v>4718531781.4499998</v>
      </c>
      <c r="AK60" s="189">
        <v>4675984338.7200003</v>
      </c>
      <c r="AL60" s="189">
        <v>2726751052.1599998</v>
      </c>
      <c r="AM60" s="189">
        <v>3165084780.9000001</v>
      </c>
      <c r="AN60" s="189">
        <v>2863990487.0700002</v>
      </c>
      <c r="AO60" s="189">
        <v>2716919136.6999998</v>
      </c>
      <c r="AP60" s="189">
        <v>3128433779.8800001</v>
      </c>
      <c r="AQ60" s="189">
        <v>3247882405.29</v>
      </c>
      <c r="AR60" s="189">
        <v>2889593298.6100001</v>
      </c>
      <c r="AS60" s="189">
        <v>3135132226.6300001</v>
      </c>
      <c r="AT60" s="189">
        <v>2550469278.3699999</v>
      </c>
      <c r="AU60" s="189">
        <v>2842920757.0500002</v>
      </c>
      <c r="AV60" s="189">
        <v>3095835826.27</v>
      </c>
      <c r="AW60" s="189">
        <v>2823157368.7399998</v>
      </c>
      <c r="AX60" s="189">
        <v>3338866557.5700002</v>
      </c>
      <c r="AY60" s="189">
        <v>2362389099.8000002</v>
      </c>
      <c r="AZ60" s="189">
        <v>2434054703.4699998</v>
      </c>
      <c r="BA60" s="189">
        <v>2333118995.98</v>
      </c>
      <c r="BB60" s="189">
        <v>2892472529.5500002</v>
      </c>
      <c r="BC60" s="189">
        <v>2894454112.2399998</v>
      </c>
      <c r="BD60" s="189">
        <v>3864042995.71</v>
      </c>
      <c r="BE60" s="189">
        <v>3686833954.3299999</v>
      </c>
      <c r="BF60" s="189">
        <v>2946713401.98</v>
      </c>
      <c r="BG60" s="189">
        <v>532787065.51999998</v>
      </c>
      <c r="BH60" s="189">
        <v>530566474.44999999</v>
      </c>
      <c r="BI60" s="189">
        <v>426277147</v>
      </c>
      <c r="BJ60" s="189">
        <v>402035807.5</v>
      </c>
      <c r="BK60" s="189">
        <v>340937303.39999998</v>
      </c>
      <c r="BL60" s="189">
        <v>473871214.92000002</v>
      </c>
      <c r="BM60" s="189">
        <v>234761148.63999999</v>
      </c>
      <c r="BN60" s="189">
        <v>312426793.02999997</v>
      </c>
      <c r="BO60" s="189">
        <v>204925772.28</v>
      </c>
      <c r="BP60" s="189">
        <v>0</v>
      </c>
    </row>
    <row r="61" spans="1:68" x14ac:dyDescent="0.25">
      <c r="A61" s="189" t="s">
        <v>165</v>
      </c>
    </row>
    <row r="62" spans="1:68" x14ac:dyDescent="0.25">
      <c r="A62" s="189" t="s">
        <v>166</v>
      </c>
      <c r="B62" s="189">
        <v>903380000</v>
      </c>
      <c r="C62" s="189">
        <v>961690000</v>
      </c>
      <c r="D62" s="189">
        <v>950000000</v>
      </c>
      <c r="E62" s="189">
        <v>950000000</v>
      </c>
      <c r="F62" s="189">
        <v>20000000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82000000</v>
      </c>
      <c r="AA62" s="189">
        <v>82000000</v>
      </c>
      <c r="AB62" s="189">
        <v>85000000</v>
      </c>
      <c r="AC62" s="189">
        <v>85000000</v>
      </c>
      <c r="AD62" s="189">
        <v>90000000</v>
      </c>
      <c r="AE62" s="189">
        <v>90000000</v>
      </c>
      <c r="AF62" s="189">
        <v>90000000</v>
      </c>
      <c r="AG62" s="189">
        <v>90000000</v>
      </c>
      <c r="AH62" s="189">
        <v>170000000</v>
      </c>
      <c r="AI62" s="189">
        <v>170000000</v>
      </c>
      <c r="AJ62" s="189">
        <v>170000000</v>
      </c>
      <c r="AK62" s="189">
        <v>170000000</v>
      </c>
      <c r="AL62" s="189">
        <v>250000000</v>
      </c>
      <c r="AM62" s="189">
        <v>270000000</v>
      </c>
      <c r="AN62" s="189">
        <v>270000000</v>
      </c>
      <c r="AO62" s="189">
        <v>270000000</v>
      </c>
      <c r="AP62" s="189">
        <v>310000000</v>
      </c>
      <c r="AQ62" s="189">
        <v>310000000</v>
      </c>
      <c r="AR62" s="189">
        <v>350000000</v>
      </c>
      <c r="AS62" s="189">
        <v>240000000</v>
      </c>
      <c r="AT62" s="189">
        <v>320000000</v>
      </c>
      <c r="AU62" s="189">
        <v>320000000</v>
      </c>
      <c r="AV62" s="189">
        <v>320000000</v>
      </c>
      <c r="AW62" s="189">
        <v>320000000</v>
      </c>
      <c r="AX62" s="189">
        <v>360000000</v>
      </c>
      <c r="AY62" s="189">
        <v>1360000000</v>
      </c>
      <c r="AZ62" s="189">
        <v>1360000000</v>
      </c>
      <c r="BA62" s="189">
        <v>1360000000</v>
      </c>
      <c r="BB62" s="189">
        <v>1000000000</v>
      </c>
      <c r="BC62" s="189">
        <v>1000000000</v>
      </c>
      <c r="BD62" s="189">
        <v>0</v>
      </c>
      <c r="BE62" s="189">
        <v>0</v>
      </c>
      <c r="BF62" s="189">
        <v>0</v>
      </c>
      <c r="BG62" s="189">
        <v>0</v>
      </c>
      <c r="BH62" s="189">
        <v>0</v>
      </c>
      <c r="BI62" s="189">
        <v>0</v>
      </c>
      <c r="BJ62" s="189">
        <v>0</v>
      </c>
      <c r="BK62" s="189">
        <v>0</v>
      </c>
      <c r="BL62" s="189">
        <v>0</v>
      </c>
      <c r="BM62" s="189">
        <v>0</v>
      </c>
      <c r="BN62" s="189">
        <v>0</v>
      </c>
      <c r="BO62" s="189">
        <v>0</v>
      </c>
      <c r="BP62" s="189">
        <v>0</v>
      </c>
    </row>
    <row r="63" spans="1:68" x14ac:dyDescent="0.25">
      <c r="A63" s="189" t="s">
        <v>167</v>
      </c>
      <c r="B63" s="189">
        <v>3036339808.1399999</v>
      </c>
      <c r="C63" s="189">
        <v>0</v>
      </c>
      <c r="D63" s="189">
        <v>0</v>
      </c>
      <c r="E63" s="189">
        <v>0</v>
      </c>
      <c r="F63" s="189">
        <v>0</v>
      </c>
      <c r="G63" s="189">
        <v>0</v>
      </c>
      <c r="H63" s="189">
        <v>3085979265.5799999</v>
      </c>
      <c r="I63" s="189">
        <v>3157986287.7600002</v>
      </c>
      <c r="J63" s="189">
        <v>3065900935.4699998</v>
      </c>
      <c r="K63" s="189">
        <v>3065970533</v>
      </c>
      <c r="L63" s="189">
        <v>3065970533</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row>
    <row r="64" spans="1:68" x14ac:dyDescent="0.25">
      <c r="A64" s="189" t="s">
        <v>168</v>
      </c>
      <c r="B64" s="189">
        <v>677410716.88999999</v>
      </c>
      <c r="C64" s="189">
        <v>677410716.88999999</v>
      </c>
      <c r="D64" s="189">
        <v>677410716.88999999</v>
      </c>
      <c r="E64" s="189">
        <v>677410716.88999999</v>
      </c>
      <c r="F64" s="189">
        <v>674433329.47000003</v>
      </c>
      <c r="G64" s="189">
        <v>674433329.47000003</v>
      </c>
      <c r="H64" s="189">
        <v>692097798.27999997</v>
      </c>
      <c r="I64" s="189">
        <v>674433329.47000003</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row>
    <row r="65" spans="1:68" x14ac:dyDescent="0.25">
      <c r="A65" s="189" t="s">
        <v>169</v>
      </c>
      <c r="B65" s="189">
        <v>275714837.31999999</v>
      </c>
      <c r="C65" s="189">
        <v>275714837.31999999</v>
      </c>
      <c r="D65" s="189">
        <v>275714837.31999999</v>
      </c>
      <c r="E65" s="189">
        <v>275714837.31999999</v>
      </c>
      <c r="F65" s="189">
        <v>279952145</v>
      </c>
      <c r="G65" s="189">
        <v>279952145</v>
      </c>
      <c r="H65" s="189">
        <v>279952145</v>
      </c>
      <c r="I65" s="189">
        <v>279952145</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row>
    <row r="66" spans="1:68"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row>
    <row r="67" spans="1:68"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row>
    <row r="68" spans="1:68" x14ac:dyDescent="0.25">
      <c r="A68" s="189" t="s">
        <v>172</v>
      </c>
      <c r="B68" s="189">
        <v>23019234.09</v>
      </c>
      <c r="C68" s="189">
        <v>20326639.710000001</v>
      </c>
      <c r="D68" s="189">
        <v>24850198.27</v>
      </c>
      <c r="E68" s="189">
        <v>24527086.940000001</v>
      </c>
      <c r="F68" s="189">
        <v>24526989.190000001</v>
      </c>
      <c r="G68" s="189">
        <v>24526989.190000001</v>
      </c>
      <c r="H68" s="189">
        <v>25173211.84</v>
      </c>
      <c r="I68" s="189">
        <v>23019136.34</v>
      </c>
      <c r="J68" s="189">
        <v>21726788.789999999</v>
      </c>
      <c r="K68" s="189">
        <v>21403677.469999999</v>
      </c>
      <c r="L68" s="189">
        <v>21295973.690000001</v>
      </c>
      <c r="M68" s="189">
        <v>26573458.670000002</v>
      </c>
      <c r="N68" s="189">
        <v>22696122.77</v>
      </c>
      <c r="O68" s="189">
        <v>38636281.469999999</v>
      </c>
      <c r="P68" s="189">
        <v>31850943.640000001</v>
      </c>
      <c r="Q68" s="189">
        <v>33466500.27</v>
      </c>
      <c r="R68" s="189">
        <v>10735234.09</v>
      </c>
      <c r="S68" s="189">
        <v>8258047.2599999998</v>
      </c>
      <c r="T68" s="189">
        <v>7628057.6600000001</v>
      </c>
      <c r="U68" s="189">
        <v>9569388.5299999993</v>
      </c>
      <c r="V68" s="189">
        <v>11850000</v>
      </c>
      <c r="W68" s="189">
        <v>12290000</v>
      </c>
      <c r="X68" s="189">
        <v>15920000</v>
      </c>
      <c r="Y68" s="189">
        <v>14050000</v>
      </c>
      <c r="Z68" s="189">
        <v>9760000</v>
      </c>
      <c r="AA68" s="189">
        <v>11740000</v>
      </c>
      <c r="AB68" s="189">
        <v>11850000</v>
      </c>
      <c r="AC68" s="189">
        <v>12180000</v>
      </c>
      <c r="AD68" s="189">
        <v>12950000</v>
      </c>
      <c r="AE68" s="189">
        <v>17350000</v>
      </c>
      <c r="AF68" s="189">
        <v>22630000</v>
      </c>
      <c r="AG68" s="189">
        <v>24060000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row>
    <row r="69" spans="1:68" x14ac:dyDescent="0.25">
      <c r="A69" s="189" t="s">
        <v>173</v>
      </c>
      <c r="B69" s="189">
        <v>122653189.78</v>
      </c>
      <c r="C69" s="189">
        <v>128526176.8</v>
      </c>
      <c r="D69" s="189">
        <v>104399163.81999999</v>
      </c>
      <c r="E69" s="189">
        <v>110272150.84</v>
      </c>
      <c r="F69" s="189">
        <v>107254879.31999999</v>
      </c>
      <c r="G69" s="189">
        <v>113195866.34999999</v>
      </c>
      <c r="H69" s="189">
        <v>119136853.38</v>
      </c>
      <c r="I69" s="189">
        <v>125077840.41</v>
      </c>
      <c r="J69" s="189">
        <v>138689312.91</v>
      </c>
      <c r="K69" s="189">
        <v>144630299.94</v>
      </c>
      <c r="L69" s="189">
        <v>150571286.97</v>
      </c>
      <c r="M69" s="189">
        <v>156512274</v>
      </c>
      <c r="N69" s="189">
        <v>153862532.44999999</v>
      </c>
      <c r="O69" s="189">
        <v>159803519.47999999</v>
      </c>
      <c r="P69" s="189">
        <v>165744506.50999999</v>
      </c>
      <c r="Q69" s="189">
        <v>171685493.53999999</v>
      </c>
      <c r="R69" s="189">
        <v>166367801.49000001</v>
      </c>
      <c r="S69" s="189">
        <v>172308788.52000001</v>
      </c>
      <c r="T69" s="189">
        <v>178249775.55000001</v>
      </c>
      <c r="U69" s="189">
        <v>184190762.58000001</v>
      </c>
      <c r="V69" s="189">
        <v>190131749.61000001</v>
      </c>
      <c r="W69" s="189">
        <v>196072736.63999999</v>
      </c>
      <c r="X69" s="189">
        <v>202013723.66999999</v>
      </c>
      <c r="Y69" s="189">
        <v>207954710.69999999</v>
      </c>
      <c r="Z69" s="189">
        <v>206306550.53999999</v>
      </c>
      <c r="AA69" s="189">
        <v>212006550.53999999</v>
      </c>
      <c r="AB69" s="189">
        <v>217706550.53999999</v>
      </c>
      <c r="AC69" s="189">
        <v>223406550.53999999</v>
      </c>
      <c r="AD69" s="189">
        <v>229106550.53999999</v>
      </c>
      <c r="AE69" s="189">
        <v>234806550.53999999</v>
      </c>
      <c r="AF69" s="189">
        <v>240506550.53999999</v>
      </c>
      <c r="AG69" s="189">
        <v>246206550.53999999</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row>
    <row r="70" spans="1:68"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100000000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row>
    <row r="71" spans="1:68" x14ac:dyDescent="0.25">
      <c r="A71" s="189" t="s">
        <v>175</v>
      </c>
      <c r="B71" s="189">
        <v>5038517786.2200003</v>
      </c>
      <c r="C71" s="189">
        <v>2063668370.72</v>
      </c>
      <c r="D71" s="189">
        <v>2032374916.3</v>
      </c>
      <c r="E71" s="189">
        <v>2037924791.99</v>
      </c>
      <c r="F71" s="189">
        <v>1106167342.98</v>
      </c>
      <c r="G71" s="189">
        <v>1092108330.01</v>
      </c>
      <c r="H71" s="189">
        <v>4202339274.0799999</v>
      </c>
      <c r="I71" s="189">
        <v>4260468738.98</v>
      </c>
      <c r="J71" s="189">
        <v>3226317037.1700001</v>
      </c>
      <c r="K71" s="189">
        <v>3232004510.4099998</v>
      </c>
      <c r="L71" s="189">
        <v>3237837793.6599998</v>
      </c>
      <c r="M71" s="189">
        <v>183085732.66999999</v>
      </c>
      <c r="N71" s="189">
        <v>176558655.22</v>
      </c>
      <c r="O71" s="189">
        <v>198439800.94999999</v>
      </c>
      <c r="P71" s="189">
        <v>197595450.15000001</v>
      </c>
      <c r="Q71" s="189">
        <v>205151993.81</v>
      </c>
      <c r="R71" s="189">
        <v>177103035.58000001</v>
      </c>
      <c r="S71" s="189">
        <v>180566835.78</v>
      </c>
      <c r="T71" s="189">
        <v>185877833.21000001</v>
      </c>
      <c r="U71" s="189">
        <v>193760151.11000001</v>
      </c>
      <c r="V71" s="189">
        <v>201981749.61000001</v>
      </c>
      <c r="W71" s="189">
        <v>208362736.63999999</v>
      </c>
      <c r="X71" s="189">
        <v>217933723.66999999</v>
      </c>
      <c r="Y71" s="189">
        <v>222004710.69999999</v>
      </c>
      <c r="Z71" s="189">
        <v>298066550.54000002</v>
      </c>
      <c r="AA71" s="189">
        <v>305746550.54000002</v>
      </c>
      <c r="AB71" s="189">
        <v>314556550.54000002</v>
      </c>
      <c r="AC71" s="189">
        <v>320586550.54000002</v>
      </c>
      <c r="AD71" s="189">
        <v>332056550.54000002</v>
      </c>
      <c r="AE71" s="189">
        <v>342156550.54000002</v>
      </c>
      <c r="AF71" s="189">
        <v>353136550.54000002</v>
      </c>
      <c r="AG71" s="189">
        <v>360266550.54000002</v>
      </c>
      <c r="AH71" s="189">
        <v>270000000</v>
      </c>
      <c r="AI71" s="189">
        <v>170000000</v>
      </c>
      <c r="AJ71" s="189">
        <v>170000000</v>
      </c>
      <c r="AK71" s="189">
        <v>170000000</v>
      </c>
      <c r="AL71" s="189">
        <v>250000000</v>
      </c>
      <c r="AM71" s="189">
        <v>270000000</v>
      </c>
      <c r="AN71" s="189">
        <v>270000000</v>
      </c>
      <c r="AO71" s="189">
        <v>270000000</v>
      </c>
      <c r="AP71" s="189">
        <v>310000000</v>
      </c>
      <c r="AQ71" s="189">
        <v>310000000</v>
      </c>
      <c r="AR71" s="189">
        <v>350000000</v>
      </c>
      <c r="AS71" s="189">
        <v>240000000</v>
      </c>
      <c r="AT71" s="189">
        <v>320000000</v>
      </c>
      <c r="AU71" s="189">
        <v>320000000</v>
      </c>
      <c r="AV71" s="189">
        <v>320000000</v>
      </c>
      <c r="AW71" s="189">
        <v>320000000</v>
      </c>
      <c r="AX71" s="189">
        <v>360000000</v>
      </c>
      <c r="AY71" s="189">
        <v>1360000000</v>
      </c>
      <c r="AZ71" s="189">
        <v>1360000000</v>
      </c>
      <c r="BA71" s="189">
        <v>1360000000</v>
      </c>
      <c r="BB71" s="189">
        <v>1000000000</v>
      </c>
      <c r="BC71" s="189">
        <v>1000000000</v>
      </c>
      <c r="BD71" s="189">
        <v>0</v>
      </c>
      <c r="BE71" s="189">
        <v>0</v>
      </c>
      <c r="BF71" s="189">
        <v>0</v>
      </c>
      <c r="BG71" s="189">
        <v>0</v>
      </c>
      <c r="BH71" s="189">
        <v>0</v>
      </c>
      <c r="BI71" s="189">
        <v>0</v>
      </c>
      <c r="BJ71" s="189">
        <v>0</v>
      </c>
      <c r="BK71" s="189">
        <v>0</v>
      </c>
      <c r="BL71" s="189">
        <v>0</v>
      </c>
      <c r="BM71" s="189">
        <v>0</v>
      </c>
      <c r="BN71" s="189">
        <v>0</v>
      </c>
      <c r="BO71" s="189">
        <v>0</v>
      </c>
      <c r="BP71" s="189">
        <v>0</v>
      </c>
    </row>
    <row r="72" spans="1:68" x14ac:dyDescent="0.25">
      <c r="A72" s="189" t="s">
        <v>176</v>
      </c>
      <c r="B72" s="189">
        <v>12107344474.440001</v>
      </c>
      <c r="C72" s="189">
        <v>12230895321.790001</v>
      </c>
      <c r="D72" s="189">
        <v>7925920790.8199997</v>
      </c>
      <c r="E72" s="189">
        <v>7419751937.1300001</v>
      </c>
      <c r="F72" s="189">
        <v>5485589512.2700005</v>
      </c>
      <c r="G72" s="189">
        <v>5082296334.4300003</v>
      </c>
      <c r="H72" s="189">
        <v>7244322602.8400002</v>
      </c>
      <c r="I72" s="189">
        <v>6868986864.5</v>
      </c>
      <c r="J72" s="189">
        <v>6146942491.8100004</v>
      </c>
      <c r="K72" s="189">
        <v>6174977729.3900003</v>
      </c>
      <c r="L72" s="189">
        <v>5644872545.7200003</v>
      </c>
      <c r="M72" s="189">
        <v>2552120231.8600001</v>
      </c>
      <c r="N72" s="189">
        <v>2288650077.2399998</v>
      </c>
      <c r="O72" s="189">
        <v>2627249031.9400001</v>
      </c>
      <c r="P72" s="189">
        <v>2388710165.04</v>
      </c>
      <c r="Q72" s="189">
        <v>2217310143.6399999</v>
      </c>
      <c r="R72" s="189">
        <v>2124827842.1400001</v>
      </c>
      <c r="S72" s="189">
        <v>2409420469.0100002</v>
      </c>
      <c r="T72" s="189">
        <v>1956875745.5799999</v>
      </c>
      <c r="U72" s="189">
        <v>1923354621.9300001</v>
      </c>
      <c r="V72" s="189">
        <v>2208886350.8000002</v>
      </c>
      <c r="W72" s="189">
        <v>3034613715.0599999</v>
      </c>
      <c r="X72" s="189">
        <v>2634856113.29</v>
      </c>
      <c r="Y72" s="189">
        <v>2671605395.5500002</v>
      </c>
      <c r="Z72" s="189">
        <v>3085328734.6300001</v>
      </c>
      <c r="AA72" s="189">
        <v>3601574571.6399999</v>
      </c>
      <c r="AB72" s="189">
        <v>3202958391.7399998</v>
      </c>
      <c r="AC72" s="189">
        <v>3550838396.1199999</v>
      </c>
      <c r="AD72" s="189">
        <v>5178781151.1700001</v>
      </c>
      <c r="AE72" s="189">
        <v>4507403160.2200003</v>
      </c>
      <c r="AF72" s="189">
        <v>4317091286.3900003</v>
      </c>
      <c r="AG72" s="189">
        <v>4529349739.75</v>
      </c>
      <c r="AH72" s="189">
        <v>3928856923.9099998</v>
      </c>
      <c r="AI72" s="189">
        <v>4306440717.8199997</v>
      </c>
      <c r="AJ72" s="189">
        <v>4888531781.4499998</v>
      </c>
      <c r="AK72" s="189">
        <v>4845984338.7200003</v>
      </c>
      <c r="AL72" s="189">
        <v>2976751052.1599998</v>
      </c>
      <c r="AM72" s="189">
        <v>3435084780.9000001</v>
      </c>
      <c r="AN72" s="189">
        <v>3133990487.0700002</v>
      </c>
      <c r="AO72" s="189">
        <v>2986919136.6999998</v>
      </c>
      <c r="AP72" s="189">
        <v>3438433779.8800001</v>
      </c>
      <c r="AQ72" s="189">
        <v>3557882405.29</v>
      </c>
      <c r="AR72" s="189">
        <v>3239593298.6100001</v>
      </c>
      <c r="AS72" s="189">
        <v>3375132226.6300001</v>
      </c>
      <c r="AT72" s="189">
        <v>2870469278.3699999</v>
      </c>
      <c r="AU72" s="189">
        <v>3162920757.0500002</v>
      </c>
      <c r="AV72" s="189">
        <v>3415835826.27</v>
      </c>
      <c r="AW72" s="189">
        <v>3143157368.7399998</v>
      </c>
      <c r="AX72" s="189">
        <v>3698866557.5700002</v>
      </c>
      <c r="AY72" s="189">
        <v>3722389099.8000002</v>
      </c>
      <c r="AZ72" s="189">
        <v>3794054703.4699998</v>
      </c>
      <c r="BA72" s="189">
        <v>3693118995.98</v>
      </c>
      <c r="BB72" s="189">
        <v>3892472529.5500002</v>
      </c>
      <c r="BC72" s="189">
        <v>3894454112.2399998</v>
      </c>
      <c r="BD72" s="189">
        <v>3864042995.71</v>
      </c>
      <c r="BE72" s="189">
        <v>3686833954.3299999</v>
      </c>
      <c r="BF72" s="189">
        <v>2946713401.98</v>
      </c>
      <c r="BG72" s="189">
        <v>532787065.51999998</v>
      </c>
      <c r="BH72" s="189">
        <v>530566474.44999999</v>
      </c>
      <c r="BI72" s="189">
        <v>426277147</v>
      </c>
      <c r="BJ72" s="189">
        <v>402035807.5</v>
      </c>
      <c r="BK72" s="189">
        <v>340937303.39999998</v>
      </c>
      <c r="BL72" s="189">
        <v>473871214.92000002</v>
      </c>
      <c r="BM72" s="189">
        <v>234761148.63999999</v>
      </c>
      <c r="BN72" s="189">
        <v>312426793.02999997</v>
      </c>
      <c r="BO72" s="189">
        <v>204925772.28</v>
      </c>
      <c r="BP72" s="189">
        <v>0</v>
      </c>
    </row>
    <row r="73" spans="1:68" x14ac:dyDescent="0.25">
      <c r="A73" s="189" t="s">
        <v>177</v>
      </c>
    </row>
    <row r="74" spans="1:68" x14ac:dyDescent="0.25">
      <c r="A74" s="189" t="s">
        <v>178</v>
      </c>
      <c r="B74" s="189">
        <v>2069320514</v>
      </c>
      <c r="C74" s="189">
        <v>2069320514</v>
      </c>
      <c r="D74" s="189">
        <v>2069320514</v>
      </c>
      <c r="E74" s="189">
        <v>2069320514</v>
      </c>
      <c r="F74" s="189">
        <v>2069320514</v>
      </c>
      <c r="G74" s="189">
        <v>1427117596</v>
      </c>
      <c r="H74" s="189">
        <v>1156416852</v>
      </c>
      <c r="I74" s="189">
        <v>1150064467</v>
      </c>
      <c r="J74" s="189">
        <v>1150026103</v>
      </c>
      <c r="K74" s="189">
        <v>1150000000</v>
      </c>
      <c r="L74" s="189">
        <v>1150000000</v>
      </c>
      <c r="M74" s="189">
        <v>1150000000</v>
      </c>
      <c r="N74" s="189">
        <v>1150000000</v>
      </c>
      <c r="O74" s="189">
        <v>1150000000</v>
      </c>
      <c r="P74" s="189">
        <v>1150000000</v>
      </c>
      <c r="Q74" s="189">
        <v>1150000000</v>
      </c>
      <c r="R74" s="189">
        <v>1150000000</v>
      </c>
      <c r="S74" s="189">
        <v>1150000000</v>
      </c>
      <c r="T74" s="189">
        <v>1150000000</v>
      </c>
      <c r="U74" s="189">
        <v>1150000000</v>
      </c>
      <c r="V74" s="189">
        <v>1150000000</v>
      </c>
      <c r="W74" s="189">
        <v>1150000000</v>
      </c>
      <c r="X74" s="189">
        <v>1150000000</v>
      </c>
      <c r="Y74" s="189">
        <v>1150000000</v>
      </c>
      <c r="Z74" s="189">
        <v>1150000000</v>
      </c>
      <c r="AA74" s="189">
        <v>1150000000</v>
      </c>
      <c r="AB74" s="189">
        <v>1150000000</v>
      </c>
      <c r="AC74" s="189">
        <v>1150000000</v>
      </c>
      <c r="AD74" s="189">
        <v>1150000000</v>
      </c>
      <c r="AE74" s="189">
        <v>1150000000</v>
      </c>
      <c r="AF74" s="189">
        <v>1150000000</v>
      </c>
      <c r="AG74" s="189">
        <v>1150000000</v>
      </c>
      <c r="AH74" s="189">
        <v>1150000000</v>
      </c>
      <c r="AI74" s="189">
        <v>1150000000</v>
      </c>
      <c r="AJ74" s="189">
        <v>1150000000</v>
      </c>
      <c r="AK74" s="189">
        <v>1150000000</v>
      </c>
      <c r="AL74" s="189">
        <v>1150000000</v>
      </c>
      <c r="AM74" s="189">
        <v>1150000000</v>
      </c>
      <c r="AN74" s="189">
        <v>1150000000</v>
      </c>
      <c r="AO74" s="189">
        <v>1150000000</v>
      </c>
      <c r="AP74" s="189">
        <v>1150000000</v>
      </c>
      <c r="AQ74" s="189">
        <v>1150000000</v>
      </c>
      <c r="AR74" s="189">
        <v>1150000000</v>
      </c>
      <c r="AS74" s="189">
        <v>1150000000</v>
      </c>
      <c r="AT74" s="189">
        <v>1000000000</v>
      </c>
      <c r="AU74" s="189">
        <v>1000000000</v>
      </c>
      <c r="AV74" s="189">
        <v>1000000000</v>
      </c>
      <c r="AW74" s="189">
        <v>1000000000</v>
      </c>
      <c r="AX74" s="189">
        <v>1000000000</v>
      </c>
      <c r="AY74" s="189">
        <v>1000000000</v>
      </c>
      <c r="AZ74" s="189">
        <v>1000000000</v>
      </c>
      <c r="BA74" s="189">
        <v>1000000000</v>
      </c>
      <c r="BB74" s="189">
        <v>1000000000</v>
      </c>
      <c r="BC74" s="189">
        <v>1000000000</v>
      </c>
      <c r="BD74" s="189">
        <v>1000000000</v>
      </c>
      <c r="BE74" s="189">
        <v>1000000000</v>
      </c>
      <c r="BF74" s="189">
        <v>1000000000</v>
      </c>
      <c r="BG74" s="189">
        <v>1000000000</v>
      </c>
      <c r="BH74" s="189">
        <v>1000000000</v>
      </c>
      <c r="BI74" s="189">
        <v>1000000000</v>
      </c>
      <c r="BJ74" s="189">
        <v>1000000000</v>
      </c>
      <c r="BK74" s="189">
        <v>1000000000</v>
      </c>
      <c r="BL74" s="189">
        <v>600000000</v>
      </c>
      <c r="BM74" s="189">
        <v>600000000</v>
      </c>
      <c r="BN74" s="189">
        <v>600000000</v>
      </c>
      <c r="BO74" s="189">
        <v>600000000</v>
      </c>
      <c r="BP74" s="189">
        <v>0</v>
      </c>
    </row>
    <row r="75" spans="1:68" x14ac:dyDescent="0.25">
      <c r="A75" s="189" t="s">
        <v>179</v>
      </c>
      <c r="B75" s="189">
        <v>6672345527.9799995</v>
      </c>
      <c r="C75" s="189">
        <v>6660302063.8199997</v>
      </c>
      <c r="D75" s="189">
        <v>6676758244.3500004</v>
      </c>
      <c r="E75" s="189">
        <v>6676758244.3500004</v>
      </c>
      <c r="F75" s="189">
        <v>6297925758.0900002</v>
      </c>
      <c r="G75" s="189">
        <v>6297925758.0900002</v>
      </c>
      <c r="H75" s="189">
        <v>3463088904.0700002</v>
      </c>
      <c r="I75" s="189">
        <v>3396822390.8099999</v>
      </c>
      <c r="J75" s="189">
        <v>3785382372.54</v>
      </c>
      <c r="K75" s="189">
        <v>3785338878.0100002</v>
      </c>
      <c r="L75" s="189">
        <v>3785338878.0100002</v>
      </c>
      <c r="M75" s="189">
        <v>3396568411.0100002</v>
      </c>
      <c r="N75" s="189">
        <v>3403154025.5799999</v>
      </c>
      <c r="O75" s="189">
        <v>3403154025.5799999</v>
      </c>
      <c r="P75" s="189">
        <v>3214848605.5999999</v>
      </c>
      <c r="Q75" s="189">
        <v>3214848605.5999999</v>
      </c>
      <c r="R75" s="189">
        <v>3218264307.8499999</v>
      </c>
      <c r="S75" s="189">
        <v>3210832747.3699999</v>
      </c>
      <c r="T75" s="189">
        <v>3208942778.5799999</v>
      </c>
      <c r="U75" s="189">
        <v>3214766771.1900001</v>
      </c>
      <c r="V75" s="189">
        <v>3221608605.5999999</v>
      </c>
      <c r="W75" s="189">
        <v>3222928605.5999999</v>
      </c>
      <c r="X75" s="189">
        <v>3233818605.5999999</v>
      </c>
      <c r="Y75" s="189">
        <v>3228208605.5999999</v>
      </c>
      <c r="Z75" s="189">
        <v>3215338605.5999999</v>
      </c>
      <c r="AA75" s="189">
        <v>3221278605.5999999</v>
      </c>
      <c r="AB75" s="189">
        <v>3221608605.5999999</v>
      </c>
      <c r="AC75" s="189">
        <v>3222598605.5999999</v>
      </c>
      <c r="AD75" s="189">
        <v>3224908605.5999999</v>
      </c>
      <c r="AE75" s="189">
        <v>3238108605.5999999</v>
      </c>
      <c r="AF75" s="189">
        <v>3253948605.5999999</v>
      </c>
      <c r="AG75" s="189">
        <v>3258238605.5999999</v>
      </c>
      <c r="AH75" s="189">
        <v>3186058605.5999999</v>
      </c>
      <c r="AI75" s="189">
        <v>3186058605.5999999</v>
      </c>
      <c r="AJ75" s="189">
        <v>3186058605.5999999</v>
      </c>
      <c r="AK75" s="189">
        <v>3186058605.5999999</v>
      </c>
      <c r="AL75" s="189">
        <v>3186058605.5999999</v>
      </c>
      <c r="AM75" s="189">
        <v>3186058605.5999999</v>
      </c>
      <c r="AN75" s="189">
        <v>3186058605.5999999</v>
      </c>
      <c r="AO75" s="189">
        <v>3186058605.5999999</v>
      </c>
      <c r="AP75" s="189">
        <v>3186058605.5999999</v>
      </c>
      <c r="AQ75" s="189">
        <v>3186058605.5999999</v>
      </c>
      <c r="AR75" s="189">
        <v>3186058605.5999999</v>
      </c>
      <c r="AS75" s="189">
        <v>3186058605.5999999</v>
      </c>
      <c r="AT75" s="189">
        <v>2186918490.9000001</v>
      </c>
      <c r="AU75" s="189">
        <v>2186918490.9000001</v>
      </c>
      <c r="AV75" s="189">
        <v>2186918490.9000001</v>
      </c>
      <c r="AW75" s="189">
        <v>2186918490.9000001</v>
      </c>
      <c r="AX75" s="189">
        <v>2184740990.9000001</v>
      </c>
      <c r="AY75" s="189">
        <v>2187253490.9000001</v>
      </c>
      <c r="AZ75" s="189">
        <v>2187253490.9000001</v>
      </c>
      <c r="BA75" s="189">
        <v>2187253490.9000001</v>
      </c>
      <c r="BB75" s="189">
        <v>2186345565.4400001</v>
      </c>
      <c r="BC75" s="189">
        <v>2186345565.4400001</v>
      </c>
      <c r="BD75" s="189">
        <v>2186296183.1700001</v>
      </c>
      <c r="BE75" s="189">
        <v>2186296183.1700001</v>
      </c>
      <c r="BF75" s="189">
        <v>2186177696.9899998</v>
      </c>
      <c r="BG75" s="189">
        <v>2183628979.98</v>
      </c>
      <c r="BH75" s="189">
        <v>2182614256.9699998</v>
      </c>
      <c r="BI75" s="189">
        <v>2182614256.9699998</v>
      </c>
      <c r="BJ75" s="189">
        <v>2182614256.9699998</v>
      </c>
      <c r="BK75" s="189">
        <v>2182614256.9699998</v>
      </c>
      <c r="BL75" s="189">
        <v>299978256.97000003</v>
      </c>
      <c r="BM75" s="189">
        <v>299978256.97000003</v>
      </c>
      <c r="BN75" s="189">
        <v>299978256.97000003</v>
      </c>
      <c r="BO75" s="189">
        <v>299978256.97000003</v>
      </c>
      <c r="BP75" s="189">
        <v>0</v>
      </c>
    </row>
    <row r="76" spans="1:68"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row>
    <row r="77" spans="1:68" x14ac:dyDescent="0.25">
      <c r="A77" s="189" t="s">
        <v>181</v>
      </c>
      <c r="B77" s="189">
        <v>68290677.5</v>
      </c>
      <c r="C77" s="189">
        <v>60212894.369999997</v>
      </c>
      <c r="D77" s="189">
        <v>73783570.030000001</v>
      </c>
      <c r="E77" s="189">
        <v>72814236.049999997</v>
      </c>
      <c r="F77" s="189">
        <v>73581358.579999998</v>
      </c>
      <c r="G77" s="189">
        <v>73581358.579999998</v>
      </c>
      <c r="H77" s="189">
        <v>75520026.530000001</v>
      </c>
      <c r="I77" s="189">
        <v>69057800.030000001</v>
      </c>
      <c r="J77" s="189">
        <v>65180366.369999997</v>
      </c>
      <c r="K77" s="189">
        <v>64211032.399999999</v>
      </c>
      <c r="L77" s="189">
        <v>63887921.07</v>
      </c>
      <c r="M77" s="189">
        <v>79720376</v>
      </c>
      <c r="N77" s="189">
        <v>68088368.299999997</v>
      </c>
      <c r="O77" s="189">
        <v>115908844.40000001</v>
      </c>
      <c r="P77" s="189">
        <v>95552830.920000002</v>
      </c>
      <c r="Q77" s="189">
        <v>100399500.8</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row>
    <row r="78" spans="1:68"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row>
    <row r="79" spans="1:68" x14ac:dyDescent="0.25">
      <c r="A79" s="189" t="s">
        <v>183</v>
      </c>
      <c r="B79" s="189">
        <v>860380966.80999994</v>
      </c>
      <c r="C79" s="189">
        <v>714260848.36000001</v>
      </c>
      <c r="D79" s="189">
        <v>714260848.36000001</v>
      </c>
      <c r="E79" s="189">
        <v>714260848.36000001</v>
      </c>
      <c r="F79" s="189">
        <v>575000000</v>
      </c>
      <c r="G79" s="189">
        <v>575000000</v>
      </c>
      <c r="H79" s="189">
        <v>575000000</v>
      </c>
      <c r="I79" s="189">
        <v>575000000</v>
      </c>
      <c r="J79" s="189">
        <v>575000000</v>
      </c>
      <c r="K79" s="189">
        <v>575000000</v>
      </c>
      <c r="L79" s="189">
        <v>575000000</v>
      </c>
      <c r="M79" s="189">
        <v>575000000</v>
      </c>
      <c r="N79" s="189">
        <v>575000000</v>
      </c>
      <c r="O79" s="189">
        <v>575000000</v>
      </c>
      <c r="P79" s="189">
        <v>575000000</v>
      </c>
      <c r="Q79" s="189">
        <v>575000000</v>
      </c>
      <c r="R79" s="189">
        <v>575000000</v>
      </c>
      <c r="S79" s="189">
        <v>575000000</v>
      </c>
      <c r="T79" s="189">
        <v>575000000</v>
      </c>
      <c r="U79" s="189">
        <v>575000000</v>
      </c>
      <c r="V79" s="189">
        <v>557276249.66999996</v>
      </c>
      <c r="W79" s="189">
        <v>557276249.66999996</v>
      </c>
      <c r="X79" s="189">
        <v>557276249.66999996</v>
      </c>
      <c r="Y79" s="189">
        <v>557276249.66999996</v>
      </c>
      <c r="Z79" s="189">
        <v>488757632.07999998</v>
      </c>
      <c r="AA79" s="189">
        <v>488757632.07999998</v>
      </c>
      <c r="AB79" s="189">
        <v>488757632.07999998</v>
      </c>
      <c r="AC79" s="189">
        <v>488757632.07999998</v>
      </c>
      <c r="AD79" s="189">
        <v>426551471.44999999</v>
      </c>
      <c r="AE79" s="189">
        <v>426551471.44999999</v>
      </c>
      <c r="AF79" s="189">
        <v>426551471.44999999</v>
      </c>
      <c r="AG79" s="189">
        <v>426551471.44999999</v>
      </c>
      <c r="AH79" s="189">
        <v>372948981.64999998</v>
      </c>
      <c r="AI79" s="189">
        <v>372948981.64999998</v>
      </c>
      <c r="AJ79" s="189">
        <v>372948981.64999998</v>
      </c>
      <c r="AK79" s="189">
        <v>372948981.64999998</v>
      </c>
      <c r="AL79" s="189">
        <v>320155755.52999997</v>
      </c>
      <c r="AM79" s="189">
        <v>320155755.52999997</v>
      </c>
      <c r="AN79" s="189">
        <v>320155755.52999997</v>
      </c>
      <c r="AO79" s="189">
        <v>320155755.52999997</v>
      </c>
      <c r="AP79" s="189">
        <v>273918155.05000001</v>
      </c>
      <c r="AQ79" s="189">
        <v>273918155.05000001</v>
      </c>
      <c r="AR79" s="189">
        <v>273918155.05000001</v>
      </c>
      <c r="AS79" s="189">
        <v>273918155.05000001</v>
      </c>
      <c r="AT79" s="189">
        <v>270783723.82999998</v>
      </c>
      <c r="AU79" s="189">
        <v>270783723.82999998</v>
      </c>
      <c r="AV79" s="189">
        <v>270783723.82999998</v>
      </c>
      <c r="AW79" s="189">
        <v>270783723.82999998</v>
      </c>
      <c r="AX79" s="189">
        <v>237266120.81999999</v>
      </c>
      <c r="AY79" s="189">
        <v>237266120.81999999</v>
      </c>
      <c r="AZ79" s="189">
        <v>237266120.81999999</v>
      </c>
      <c r="BA79" s="189">
        <v>237266120.81999999</v>
      </c>
      <c r="BB79" s="189">
        <v>193200173.75</v>
      </c>
      <c r="BC79" s="189">
        <v>193200173.75</v>
      </c>
      <c r="BD79" s="189">
        <v>193200173.75</v>
      </c>
      <c r="BE79" s="189">
        <v>193200173.75</v>
      </c>
      <c r="BF79" s="189">
        <v>144361857.28</v>
      </c>
      <c r="BG79" s="189">
        <v>144361857.28</v>
      </c>
      <c r="BH79" s="189">
        <v>144361857.28</v>
      </c>
      <c r="BI79" s="189">
        <v>144361857.28</v>
      </c>
      <c r="BJ79" s="189">
        <v>93900493.370000005</v>
      </c>
      <c r="BK79" s="189">
        <v>93900493.370000005</v>
      </c>
      <c r="BL79" s="189">
        <v>93900493.370000005</v>
      </c>
      <c r="BM79" s="189">
        <v>93900493.370000005</v>
      </c>
      <c r="BN79" s="189">
        <v>49969624.899999999</v>
      </c>
      <c r="BO79" s="189">
        <v>5701248.6600000001</v>
      </c>
      <c r="BP79" s="189">
        <v>0</v>
      </c>
    </row>
    <row r="80" spans="1:68"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row>
    <row r="81" spans="1:68" x14ac:dyDescent="0.25">
      <c r="A81" s="189" t="s">
        <v>185</v>
      </c>
      <c r="B81" s="189">
        <v>6038752087.1599998</v>
      </c>
      <c r="C81" s="189">
        <v>6176094716.0699997</v>
      </c>
      <c r="D81" s="189">
        <v>5905223870.6199999</v>
      </c>
      <c r="E81" s="189">
        <v>5473043481.0699997</v>
      </c>
      <c r="F81" s="189">
        <v>5171575771.3199997</v>
      </c>
      <c r="G81" s="189">
        <v>5431680891.7600002</v>
      </c>
      <c r="H81" s="189">
        <v>5594975520.21</v>
      </c>
      <c r="I81" s="189">
        <v>5187128970.7399998</v>
      </c>
      <c r="J81" s="189">
        <v>5059012303.8599997</v>
      </c>
      <c r="K81" s="189">
        <v>4697105868.3100004</v>
      </c>
      <c r="L81" s="189">
        <v>4715870980.0799999</v>
      </c>
      <c r="M81" s="189">
        <v>4370079927.46</v>
      </c>
      <c r="N81" s="189">
        <v>4043266216.46</v>
      </c>
      <c r="O81" s="189">
        <v>3735234115.1500001</v>
      </c>
      <c r="P81" s="189">
        <v>3759940381.4400001</v>
      </c>
      <c r="Q81" s="189">
        <v>3450488867.75</v>
      </c>
      <c r="R81" s="189">
        <v>3108237645.3400002</v>
      </c>
      <c r="S81" s="189">
        <v>2887191256.1700001</v>
      </c>
      <c r="T81" s="189">
        <v>3037500324.02</v>
      </c>
      <c r="U81" s="189">
        <v>2788346292.23</v>
      </c>
      <c r="V81" s="189">
        <v>2575747842.9000001</v>
      </c>
      <c r="W81" s="189">
        <v>2362458130.1399999</v>
      </c>
      <c r="X81" s="189">
        <v>2506987444.23</v>
      </c>
      <c r="Y81" s="189">
        <v>2290612426.8800001</v>
      </c>
      <c r="Z81" s="189">
        <v>2182294050.6900001</v>
      </c>
      <c r="AA81" s="189">
        <v>1995144468.27</v>
      </c>
      <c r="AB81" s="189">
        <v>2188756864.4299998</v>
      </c>
      <c r="AC81" s="189">
        <v>2008541254.6300001</v>
      </c>
      <c r="AD81" s="189">
        <v>1867944015.01</v>
      </c>
      <c r="AE81" s="189">
        <v>1701771917.9200001</v>
      </c>
      <c r="AF81" s="189">
        <v>1885243310.51</v>
      </c>
      <c r="AG81" s="189">
        <v>1718644936.3699999</v>
      </c>
      <c r="AH81" s="189">
        <v>1640620200.5799999</v>
      </c>
      <c r="AI81" s="189">
        <v>1458482004.71</v>
      </c>
      <c r="AJ81" s="189">
        <v>1641025708.1300001</v>
      </c>
      <c r="AK81" s="189">
        <v>1483468855.6300001</v>
      </c>
      <c r="AL81" s="189">
        <v>1371053169.0999999</v>
      </c>
      <c r="AM81" s="189">
        <v>1246272715.6099999</v>
      </c>
      <c r="AN81" s="189">
        <v>1308229584.3800001</v>
      </c>
      <c r="AO81" s="189">
        <v>1187867425.0699999</v>
      </c>
      <c r="AP81" s="189">
        <v>1123585241.02</v>
      </c>
      <c r="AQ81" s="189">
        <v>998565668.12</v>
      </c>
      <c r="AR81" s="189">
        <v>1088161007.76</v>
      </c>
      <c r="AS81" s="189">
        <v>955330562.79999995</v>
      </c>
      <c r="AT81" s="189">
        <v>885490268.42999995</v>
      </c>
      <c r="AU81" s="189">
        <v>769591847.00999999</v>
      </c>
      <c r="AV81" s="189">
        <v>679462000.38</v>
      </c>
      <c r="AW81" s="189">
        <v>570099905.33000004</v>
      </c>
      <c r="AX81" s="189">
        <v>680714034.54999995</v>
      </c>
      <c r="AY81" s="189">
        <v>589840921.47000003</v>
      </c>
      <c r="AZ81" s="189">
        <v>533177114.98000002</v>
      </c>
      <c r="BA81" s="189">
        <v>461413048.60000002</v>
      </c>
      <c r="BB81" s="189">
        <v>530586221.77999997</v>
      </c>
      <c r="BC81" s="189">
        <v>466728865.89999998</v>
      </c>
      <c r="BD81" s="189">
        <v>399678811.07999998</v>
      </c>
      <c r="BE81" s="189">
        <v>337147119.61000001</v>
      </c>
      <c r="BF81" s="189">
        <v>615621628.64999998</v>
      </c>
      <c r="BG81" s="189">
        <v>575616578.16999996</v>
      </c>
      <c r="BH81" s="189">
        <v>473381994.29000002</v>
      </c>
      <c r="BI81" s="189">
        <v>352413767.85000002</v>
      </c>
      <c r="BJ81" s="189">
        <v>408426797.02999997</v>
      </c>
      <c r="BK81" s="189">
        <v>300001234.55000001</v>
      </c>
      <c r="BL81" s="189">
        <v>278435235.27999997</v>
      </c>
      <c r="BM81" s="189">
        <v>206731368.12</v>
      </c>
      <c r="BN81" s="189">
        <v>107981932.09</v>
      </c>
      <c r="BO81" s="189">
        <v>-6539860.9699999997</v>
      </c>
      <c r="BP81" s="189">
        <v>0</v>
      </c>
    </row>
    <row r="82" spans="1:68" x14ac:dyDescent="0.25">
      <c r="A82" s="189" t="s">
        <v>186</v>
      </c>
      <c r="B82" s="189">
        <v>15709089773.450001</v>
      </c>
      <c r="C82" s="189">
        <v>15680191036.620001</v>
      </c>
      <c r="D82" s="189">
        <v>15439347047.360001</v>
      </c>
      <c r="E82" s="189">
        <v>15006197323.83</v>
      </c>
      <c r="F82" s="189">
        <v>14562919222.959999</v>
      </c>
      <c r="G82" s="189">
        <v>14180821425.4</v>
      </c>
      <c r="H82" s="189">
        <v>11253071398.389999</v>
      </c>
      <c r="I82" s="189">
        <v>10766755600.24</v>
      </c>
      <c r="J82" s="189">
        <v>10634601145.77</v>
      </c>
      <c r="K82" s="189">
        <v>10271655778.719999</v>
      </c>
      <c r="L82" s="189">
        <v>10290097779.16</v>
      </c>
      <c r="M82" s="189">
        <v>9571368714.4699993</v>
      </c>
      <c r="N82" s="189">
        <v>9239508610.3400002</v>
      </c>
      <c r="O82" s="189">
        <v>8979296985.1299992</v>
      </c>
      <c r="P82" s="189">
        <v>8795341817.9599991</v>
      </c>
      <c r="Q82" s="189">
        <v>8490736974.1499996</v>
      </c>
      <c r="R82" s="189">
        <v>8051501953.1899996</v>
      </c>
      <c r="S82" s="189">
        <v>7823024003.54</v>
      </c>
      <c r="T82" s="189">
        <v>7971443102.6000004</v>
      </c>
      <c r="U82" s="189">
        <v>7728113063.4200001</v>
      </c>
      <c r="V82" s="189">
        <v>7504632698.1700001</v>
      </c>
      <c r="W82" s="189">
        <v>7292662985.4099998</v>
      </c>
      <c r="X82" s="189">
        <v>7448082299.5</v>
      </c>
      <c r="Y82" s="189">
        <v>7226097282.1499996</v>
      </c>
      <c r="Z82" s="189">
        <v>7036390288.3699999</v>
      </c>
      <c r="AA82" s="189">
        <v>6855180705.9499998</v>
      </c>
      <c r="AB82" s="189">
        <v>7049123102.1099997</v>
      </c>
      <c r="AC82" s="189">
        <v>6869897492.3100004</v>
      </c>
      <c r="AD82" s="189">
        <v>6669404092.0600004</v>
      </c>
      <c r="AE82" s="189">
        <v>6516431994.9700003</v>
      </c>
      <c r="AF82" s="189">
        <v>6715743387.5600004</v>
      </c>
      <c r="AG82" s="189">
        <v>6553435013.4200001</v>
      </c>
      <c r="AH82" s="189">
        <v>6349627787.8299999</v>
      </c>
      <c r="AI82" s="189">
        <v>6167489591.96</v>
      </c>
      <c r="AJ82" s="189">
        <v>6350033295.3800001</v>
      </c>
      <c r="AK82" s="189">
        <v>6192476442.8800001</v>
      </c>
      <c r="AL82" s="189">
        <v>6027267530.2299995</v>
      </c>
      <c r="AM82" s="189">
        <v>5902487076.7399998</v>
      </c>
      <c r="AN82" s="189">
        <v>5964443945.5100002</v>
      </c>
      <c r="AO82" s="189">
        <v>5844081786.1999998</v>
      </c>
      <c r="AP82" s="189">
        <v>5732129998.3699999</v>
      </c>
      <c r="AQ82" s="189">
        <v>5607110425.4700003</v>
      </c>
      <c r="AR82" s="189">
        <v>5696737548.7600002</v>
      </c>
      <c r="AS82" s="189">
        <v>5563907103.8000002</v>
      </c>
      <c r="AT82" s="189">
        <v>4342503427.46</v>
      </c>
      <c r="AU82" s="189">
        <v>4226789992.8000002</v>
      </c>
      <c r="AV82" s="189">
        <v>4137164215.1100001</v>
      </c>
      <c r="AW82" s="189">
        <v>4177802120.0599999</v>
      </c>
      <c r="AX82" s="189">
        <v>4102721146.27</v>
      </c>
      <c r="AY82" s="189">
        <v>4014360533.1900001</v>
      </c>
      <c r="AZ82" s="189">
        <v>4057696726.71</v>
      </c>
      <c r="BA82" s="189">
        <v>3985932660.3200002</v>
      </c>
      <c r="BB82" s="189">
        <v>3910131960.9699998</v>
      </c>
      <c r="BC82" s="189">
        <v>3846274605.0900002</v>
      </c>
      <c r="BD82" s="189">
        <v>4029175168</v>
      </c>
      <c r="BE82" s="189">
        <v>3966643476.5300002</v>
      </c>
      <c r="BF82" s="189">
        <v>3946161182.9200001</v>
      </c>
      <c r="BG82" s="189">
        <v>4003607415.4000001</v>
      </c>
      <c r="BH82" s="189">
        <v>3900358108.54</v>
      </c>
      <c r="BI82" s="189">
        <v>3779389882.0999999</v>
      </c>
      <c r="BJ82" s="189">
        <v>3684941547.3899999</v>
      </c>
      <c r="BK82" s="189">
        <v>3576515984.8899999</v>
      </c>
      <c r="BL82" s="189">
        <v>1272313985.6199999</v>
      </c>
      <c r="BM82" s="189">
        <v>1344610118.46</v>
      </c>
      <c r="BN82" s="189">
        <v>1057929813.96</v>
      </c>
      <c r="BO82" s="189">
        <v>899139644.65999997</v>
      </c>
      <c r="BP82" s="189">
        <v>0</v>
      </c>
    </row>
    <row r="83" spans="1:68" x14ac:dyDescent="0.25">
      <c r="A83" s="189" t="s">
        <v>187</v>
      </c>
      <c r="B83" s="189">
        <v>114579918.29000001</v>
      </c>
      <c r="C83" s="189">
        <v>121101813.63</v>
      </c>
      <c r="D83" s="189">
        <v>109881607.84</v>
      </c>
      <c r="E83" s="189">
        <v>93589878.209999993</v>
      </c>
      <c r="F83" s="189">
        <v>122986114.34999999</v>
      </c>
      <c r="G83" s="189">
        <v>110637801.86</v>
      </c>
      <c r="H83" s="189">
        <v>110648133.03</v>
      </c>
      <c r="I83" s="189">
        <v>107720243.92</v>
      </c>
      <c r="J83" s="189">
        <v>162647289.24000001</v>
      </c>
      <c r="K83" s="189">
        <v>162937573.97</v>
      </c>
      <c r="L83" s="189">
        <v>200799227.83000001</v>
      </c>
      <c r="M83" s="189">
        <v>201265381.94999999</v>
      </c>
      <c r="N83" s="189">
        <v>190169455.34</v>
      </c>
      <c r="O83" s="189">
        <v>184478557.31999999</v>
      </c>
      <c r="P83" s="189">
        <v>377194300.55000001</v>
      </c>
      <c r="Q83" s="189">
        <v>365850637.31999999</v>
      </c>
      <c r="R83" s="189">
        <v>347675075.55000001</v>
      </c>
      <c r="S83" s="189">
        <v>330162243.32999998</v>
      </c>
      <c r="T83" s="189">
        <v>313739192.30000001</v>
      </c>
      <c r="U83" s="189">
        <v>298272058.19</v>
      </c>
      <c r="V83" s="189">
        <v>288596422.38</v>
      </c>
      <c r="W83" s="189">
        <v>273551718.56999999</v>
      </c>
      <c r="X83" s="189">
        <v>261368178.12</v>
      </c>
      <c r="Y83" s="189">
        <v>246594508.02000001</v>
      </c>
      <c r="Z83" s="189">
        <v>244667118.44999999</v>
      </c>
      <c r="AA83" s="189">
        <v>232043851.24000001</v>
      </c>
      <c r="AB83" s="189">
        <v>226358479.34999999</v>
      </c>
      <c r="AC83" s="189">
        <v>218728961.80000001</v>
      </c>
      <c r="AD83" s="189">
        <v>207121588.21000001</v>
      </c>
      <c r="AE83" s="189">
        <v>213888675.63</v>
      </c>
      <c r="AF83" s="189">
        <v>211917376.61000001</v>
      </c>
      <c r="AG83" s="189">
        <v>207722932.33000001</v>
      </c>
      <c r="AH83" s="189">
        <v>205738241.34</v>
      </c>
      <c r="AI83" s="189">
        <v>210631831.72</v>
      </c>
      <c r="AJ83" s="189">
        <v>202292092.55000001</v>
      </c>
      <c r="AK83" s="189">
        <v>192895137.63999999</v>
      </c>
      <c r="AL83" s="189">
        <v>195557052.93000001</v>
      </c>
      <c r="AM83" s="189">
        <v>205477212.44999999</v>
      </c>
      <c r="AN83" s="189">
        <v>198440948.31999999</v>
      </c>
      <c r="AO83" s="189">
        <v>190072736.59999999</v>
      </c>
      <c r="AP83" s="189">
        <v>192815058.15000001</v>
      </c>
      <c r="AQ83" s="189">
        <v>192888291.16999999</v>
      </c>
      <c r="AR83" s="189">
        <v>183302690.22999999</v>
      </c>
      <c r="AS83" s="189">
        <v>172186046.52000001</v>
      </c>
      <c r="AT83" s="189">
        <v>175519855.43000001</v>
      </c>
      <c r="AU83" s="189">
        <v>189711485.36000001</v>
      </c>
      <c r="AV83" s="189">
        <v>191167029.19999999</v>
      </c>
      <c r="AW83" s="189">
        <v>180017512.47999999</v>
      </c>
      <c r="AX83" s="189">
        <v>198207339.18000001</v>
      </c>
      <c r="AY83" s="189">
        <v>190207775.84</v>
      </c>
      <c r="AZ83" s="189">
        <v>192141844.99000001</v>
      </c>
      <c r="BA83" s="189">
        <v>167165178.99000001</v>
      </c>
      <c r="BB83" s="189">
        <v>168831382.90000001</v>
      </c>
      <c r="BC83" s="189">
        <v>166562865.40000001</v>
      </c>
      <c r="BD83" s="189">
        <v>170083284.62</v>
      </c>
      <c r="BE83" s="189">
        <v>158290331.68000001</v>
      </c>
      <c r="BF83" s="189">
        <v>136574344.91</v>
      </c>
      <c r="BG83" s="189">
        <v>111250164.54000001</v>
      </c>
      <c r="BH83" s="189">
        <v>117177951.29000001</v>
      </c>
      <c r="BI83" s="189">
        <v>110910139.59999999</v>
      </c>
      <c r="BJ83" s="189">
        <v>103639999.94</v>
      </c>
      <c r="BK83" s="189">
        <v>97411499.969999999</v>
      </c>
      <c r="BL83" s="189">
        <v>99523745.409999996</v>
      </c>
      <c r="BM83" s="189">
        <v>88720411.140000001</v>
      </c>
      <c r="BN83" s="189">
        <v>71766948.599999994</v>
      </c>
      <c r="BO83" s="189">
        <v>73346535.870000005</v>
      </c>
      <c r="BP83" s="189">
        <v>0</v>
      </c>
    </row>
    <row r="84" spans="1:68" x14ac:dyDescent="0.25">
      <c r="A84" s="189" t="s">
        <v>188</v>
      </c>
      <c r="B84" s="189">
        <v>15823669691.74</v>
      </c>
      <c r="C84" s="189">
        <v>15801292850.25</v>
      </c>
      <c r="D84" s="189">
        <v>15549228655.200001</v>
      </c>
      <c r="E84" s="189">
        <v>15099787202.040001</v>
      </c>
      <c r="F84" s="189">
        <v>14685905337.309999</v>
      </c>
      <c r="G84" s="189">
        <v>14291459227.26</v>
      </c>
      <c r="H84" s="189">
        <v>11363719531.42</v>
      </c>
      <c r="I84" s="189">
        <v>10874475844.16</v>
      </c>
      <c r="J84" s="189">
        <v>10797248435.01</v>
      </c>
      <c r="K84" s="189">
        <v>10434593352.690001</v>
      </c>
      <c r="L84" s="189">
        <v>10490897006.99</v>
      </c>
      <c r="M84" s="189">
        <v>9772634096.4200001</v>
      </c>
      <c r="N84" s="189">
        <v>9429678065.6800003</v>
      </c>
      <c r="O84" s="189">
        <v>9163775542.4500008</v>
      </c>
      <c r="P84" s="189">
        <v>9172536118.5100002</v>
      </c>
      <c r="Q84" s="189">
        <v>8856587611.4699993</v>
      </c>
      <c r="R84" s="189">
        <v>8399177028.7399998</v>
      </c>
      <c r="S84" s="189">
        <v>8153186246.8699999</v>
      </c>
      <c r="T84" s="189">
        <v>8285182294.8999996</v>
      </c>
      <c r="U84" s="189">
        <v>8026385121.6099997</v>
      </c>
      <c r="V84" s="189">
        <v>7793229120.5500002</v>
      </c>
      <c r="W84" s="189">
        <v>7566214703.9799995</v>
      </c>
      <c r="X84" s="189">
        <v>7709450477.6199999</v>
      </c>
      <c r="Y84" s="189">
        <v>7472691790.1700001</v>
      </c>
      <c r="Z84" s="189">
        <v>7281057406.8199997</v>
      </c>
      <c r="AA84" s="189">
        <v>7087224557.1899996</v>
      </c>
      <c r="AB84" s="189">
        <v>7275481581.46</v>
      </c>
      <c r="AC84" s="189">
        <v>7088626454.1099997</v>
      </c>
      <c r="AD84" s="189">
        <v>6876525680.2700005</v>
      </c>
      <c r="AE84" s="189">
        <v>6730320670.6000004</v>
      </c>
      <c r="AF84" s="189">
        <v>6927660764.1700001</v>
      </c>
      <c r="AG84" s="189">
        <v>6761157945.75</v>
      </c>
      <c r="AH84" s="189">
        <v>6555366029.1700001</v>
      </c>
      <c r="AI84" s="189">
        <v>6378121423.6800003</v>
      </c>
      <c r="AJ84" s="189">
        <v>6552325387.9300003</v>
      </c>
      <c r="AK84" s="189">
        <v>6385371580.5200005</v>
      </c>
      <c r="AL84" s="189">
        <v>6222824583.1599998</v>
      </c>
      <c r="AM84" s="189">
        <v>6107964289.1899996</v>
      </c>
      <c r="AN84" s="189">
        <v>6162884893.8299999</v>
      </c>
      <c r="AO84" s="189">
        <v>6034154522.8000002</v>
      </c>
      <c r="AP84" s="189">
        <v>5924945056.5200005</v>
      </c>
      <c r="AQ84" s="189">
        <v>5799998716.6400003</v>
      </c>
      <c r="AR84" s="189">
        <v>5880040238.9899998</v>
      </c>
      <c r="AS84" s="189">
        <v>5736093150.3199997</v>
      </c>
      <c r="AT84" s="189">
        <v>4518023282.8900003</v>
      </c>
      <c r="AU84" s="189">
        <v>4416501478.1599998</v>
      </c>
      <c r="AV84" s="189">
        <v>4328331244.3100004</v>
      </c>
      <c r="AW84" s="189">
        <v>4357819632.54</v>
      </c>
      <c r="AX84" s="189">
        <v>4300928485.4499998</v>
      </c>
      <c r="AY84" s="189">
        <v>4204568309.0300002</v>
      </c>
      <c r="AZ84" s="189">
        <v>4249838571.6999998</v>
      </c>
      <c r="BA84" s="189">
        <v>4153097839.3099999</v>
      </c>
      <c r="BB84" s="189">
        <v>4078963343.8699999</v>
      </c>
      <c r="BC84" s="189">
        <v>4012837470.4899998</v>
      </c>
      <c r="BD84" s="189">
        <v>4199258452.6199999</v>
      </c>
      <c r="BE84" s="189">
        <v>4124933808.21</v>
      </c>
      <c r="BF84" s="189">
        <v>4082735527.8299999</v>
      </c>
      <c r="BG84" s="189">
        <v>4114857579.9400001</v>
      </c>
      <c r="BH84" s="189">
        <v>4017536059.8299999</v>
      </c>
      <c r="BI84" s="189">
        <v>3890300021.6999998</v>
      </c>
      <c r="BJ84" s="189">
        <v>3788581547.3299999</v>
      </c>
      <c r="BK84" s="189">
        <v>3673927484.8600001</v>
      </c>
      <c r="BL84" s="189">
        <v>1371837731.03</v>
      </c>
      <c r="BM84" s="189">
        <v>1433330529.5999999</v>
      </c>
      <c r="BN84" s="189">
        <v>1129696762.5599999</v>
      </c>
      <c r="BO84" s="189">
        <v>972486180.52999997</v>
      </c>
      <c r="BP84" s="189">
        <v>0</v>
      </c>
    </row>
    <row r="85" spans="1:68" x14ac:dyDescent="0.25">
      <c r="A85" s="189" t="s">
        <v>189</v>
      </c>
      <c r="B85" s="189">
        <v>27931014166.18</v>
      </c>
      <c r="C85" s="189">
        <v>28032188172.040001</v>
      </c>
      <c r="D85" s="189">
        <v>23475149446.02</v>
      </c>
      <c r="E85" s="189">
        <v>22519539139.169998</v>
      </c>
      <c r="F85" s="189">
        <v>20171494849.580002</v>
      </c>
      <c r="G85" s="189">
        <v>19373755561.689999</v>
      </c>
      <c r="H85" s="189">
        <v>18608042134.259998</v>
      </c>
      <c r="I85" s="189">
        <v>17743462708.66</v>
      </c>
      <c r="J85" s="189">
        <v>16944190926.82</v>
      </c>
      <c r="K85" s="189">
        <v>16609571082.08</v>
      </c>
      <c r="L85" s="189">
        <v>16135769552.709999</v>
      </c>
      <c r="M85" s="189">
        <v>12324754328.280001</v>
      </c>
      <c r="N85" s="189">
        <v>11718328142.92</v>
      </c>
      <c r="O85" s="189">
        <v>11791024574.389999</v>
      </c>
      <c r="P85" s="189">
        <v>11561246283.549999</v>
      </c>
      <c r="Q85" s="189">
        <v>11073897755.110001</v>
      </c>
      <c r="R85" s="189">
        <v>10524004870.879999</v>
      </c>
      <c r="S85" s="189">
        <v>10562606715.879999</v>
      </c>
      <c r="T85" s="189">
        <v>10242058040.48</v>
      </c>
      <c r="U85" s="189">
        <v>9949739743.5400009</v>
      </c>
      <c r="V85" s="189">
        <v>10002115471.35</v>
      </c>
      <c r="W85" s="189">
        <v>10600828419.040001</v>
      </c>
      <c r="X85" s="189">
        <v>10344306590.91</v>
      </c>
      <c r="Y85" s="189">
        <v>10144297185.719999</v>
      </c>
      <c r="Z85" s="189">
        <v>10366386141.450001</v>
      </c>
      <c r="AA85" s="189">
        <v>10688799128.83</v>
      </c>
      <c r="AB85" s="189">
        <v>10478439973.200001</v>
      </c>
      <c r="AC85" s="189">
        <v>10639464850.23</v>
      </c>
      <c r="AD85" s="189">
        <v>12055306831.440001</v>
      </c>
      <c r="AE85" s="189">
        <v>11237723830.82</v>
      </c>
      <c r="AF85" s="189">
        <v>11244752050.559999</v>
      </c>
      <c r="AG85" s="189">
        <v>11290507685.5</v>
      </c>
      <c r="AH85" s="189">
        <v>10484222953.08</v>
      </c>
      <c r="AI85" s="189">
        <v>10684562141.5</v>
      </c>
      <c r="AJ85" s="189">
        <v>11440857169.379999</v>
      </c>
      <c r="AK85" s="189">
        <v>11231355919.24</v>
      </c>
      <c r="AL85" s="189">
        <v>9199575635.3199997</v>
      </c>
      <c r="AM85" s="189">
        <v>9543049070.0900002</v>
      </c>
      <c r="AN85" s="189">
        <v>9296875380.8999996</v>
      </c>
      <c r="AO85" s="189">
        <v>9021073659.5</v>
      </c>
      <c r="AP85" s="189">
        <v>9363378836.3999996</v>
      </c>
      <c r="AQ85" s="189">
        <v>9357881121.9300003</v>
      </c>
      <c r="AR85" s="189">
        <v>9119633537.6000004</v>
      </c>
      <c r="AS85" s="189">
        <v>9111225376.9500008</v>
      </c>
      <c r="AT85" s="189">
        <v>7388492561.2600002</v>
      </c>
      <c r="AU85" s="189">
        <v>7579422235.21</v>
      </c>
      <c r="AV85" s="189">
        <v>7744167070.5799999</v>
      </c>
      <c r="AW85" s="189">
        <v>7500977001.2799997</v>
      </c>
      <c r="AX85" s="189">
        <v>7999795043.0200005</v>
      </c>
      <c r="AY85" s="189">
        <v>7926957408.8299999</v>
      </c>
      <c r="AZ85" s="189">
        <v>8043893275.1700001</v>
      </c>
      <c r="BA85" s="189">
        <v>7846216835.29</v>
      </c>
      <c r="BB85" s="189">
        <v>7971435873.4200001</v>
      </c>
      <c r="BC85" s="189">
        <v>7907291582.7299995</v>
      </c>
      <c r="BD85" s="189">
        <v>8063301448.3299999</v>
      </c>
      <c r="BE85" s="189">
        <v>7811767762.54</v>
      </c>
      <c r="BF85" s="189">
        <v>7029448929.8100004</v>
      </c>
      <c r="BG85" s="189">
        <v>4647644645.46</v>
      </c>
      <c r="BH85" s="189">
        <v>4548102534.2799997</v>
      </c>
      <c r="BI85" s="189">
        <v>4316577168.6999998</v>
      </c>
      <c r="BJ85" s="189">
        <v>4190617354.8299999</v>
      </c>
      <c r="BK85" s="189">
        <v>4014864788.2600002</v>
      </c>
      <c r="BL85" s="189">
        <v>1845708945.95</v>
      </c>
      <c r="BM85" s="189">
        <v>1668091678.24</v>
      </c>
      <c r="BN85" s="189">
        <v>1442123555.5899999</v>
      </c>
      <c r="BO85" s="189">
        <v>1177411952.8099999</v>
      </c>
      <c r="BP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Q31"/>
  <sheetViews>
    <sheetView workbookViewId="0">
      <selection activeCell="A2" sqref="A2"/>
    </sheetView>
  </sheetViews>
  <sheetFormatPr defaultRowHeight="14.4" x14ac:dyDescent="0.25"/>
  <cols>
    <col min="1" max="1" width="39.1093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7" width="12.77734375" style="189" hidden="1" customWidth="1"/>
    <col min="8" max="8" width="13.88671875" style="189" hidden="1" customWidth="1"/>
    <col min="9" max="9" width="13.88671875" style="189" bestFit="1" customWidth="1"/>
    <col min="10" max="12" width="13.886718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4" width="12.77734375" style="189" hidden="1" customWidth="1"/>
    <col min="25" max="25" width="12.77734375" style="189" bestFit="1" customWidth="1"/>
    <col min="26" max="28" width="12.77734375" style="189" hidden="1" customWidth="1"/>
    <col min="29" max="29" width="13.886718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2.77734375" style="189" bestFit="1" customWidth="1"/>
    <col min="66" max="66" width="12.77734375" style="189" hidden="1" customWidth="1"/>
    <col min="67" max="68" width="12.77734375" style="189" bestFit="1" customWidth="1"/>
    <col min="69" max="69" width="9.5546875" style="189" hidden="1" customWidth="1"/>
    <col min="70" max="16384" width="8.88671875" style="189"/>
  </cols>
  <sheetData>
    <row r="1" spans="1:69"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20001231</v>
      </c>
      <c r="BQ1" s="189">
        <v>19700101</v>
      </c>
    </row>
    <row r="2" spans="1:6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row>
    <row r="3" spans="1:69" x14ac:dyDescent="0.25">
      <c r="A3" s="189" t="s">
        <v>190</v>
      </c>
      <c r="B3" s="189">
        <v>5803394924.71</v>
      </c>
      <c r="C3" s="189">
        <v>3720615775.0599999</v>
      </c>
      <c r="D3" s="189">
        <v>1723798620.1700001</v>
      </c>
      <c r="E3" s="189">
        <v>6761550874.3699999</v>
      </c>
      <c r="F3" s="189">
        <v>4918489181.8699999</v>
      </c>
      <c r="G3" s="189">
        <v>3213661518.3800001</v>
      </c>
      <c r="H3" s="189">
        <v>1583747526.6900001</v>
      </c>
      <c r="I3" s="189">
        <v>6166683056.1199999</v>
      </c>
      <c r="J3" s="189">
        <v>4534592334.7799997</v>
      </c>
      <c r="K3" s="189">
        <v>2984650287.6599998</v>
      </c>
      <c r="L3" s="189">
        <v>1442696919.48</v>
      </c>
      <c r="M3" s="189">
        <v>5619735354.2299995</v>
      </c>
      <c r="N3" s="189">
        <v>4196487790.0300002</v>
      </c>
      <c r="O3" s="189">
        <v>2773932728.75</v>
      </c>
      <c r="P3" s="189">
        <v>1389542513.23</v>
      </c>
      <c r="Q3" s="189">
        <v>5527678576.3100004</v>
      </c>
      <c r="R3" s="189">
        <v>4079988837.6900001</v>
      </c>
      <c r="S3" s="189">
        <v>2681437778.79</v>
      </c>
      <c r="T3" s="189">
        <v>1288196061.04</v>
      </c>
      <c r="U3" s="189">
        <v>5141313419.2600002</v>
      </c>
      <c r="V3" s="189">
        <v>3796730790.04</v>
      </c>
      <c r="W3" s="189">
        <v>2462324707.5300002</v>
      </c>
      <c r="X3" s="189">
        <v>1184294457.5799999</v>
      </c>
      <c r="Y3" s="189">
        <v>4673315397</v>
      </c>
      <c r="Z3" s="189">
        <v>3460081754.52</v>
      </c>
      <c r="AA3" s="189">
        <v>2289404113.9400001</v>
      </c>
      <c r="AB3" s="189">
        <v>1111786173.6600001</v>
      </c>
      <c r="AC3" s="189">
        <v>4239351634.9299998</v>
      </c>
      <c r="AD3" s="189">
        <v>3105533447.9099998</v>
      </c>
      <c r="AE3" s="189">
        <v>2028306165.1800001</v>
      </c>
      <c r="AF3" s="189">
        <v>986571753.74000001</v>
      </c>
      <c r="AG3" s="189">
        <v>3865479479.1999998</v>
      </c>
      <c r="AH3" s="189">
        <v>2735574710.4200001</v>
      </c>
      <c r="AI3" s="189">
        <v>1772855408.4400001</v>
      </c>
      <c r="AJ3" s="189">
        <v>866730658.66999996</v>
      </c>
      <c r="AK3" s="189">
        <v>3306089482.5799999</v>
      </c>
      <c r="AL3" s="189">
        <v>2349252600.0599999</v>
      </c>
      <c r="AM3" s="189">
        <v>1549833425.46</v>
      </c>
      <c r="AN3" s="189">
        <v>768414498.45000005</v>
      </c>
      <c r="AO3" s="189">
        <v>3049701649.1599998</v>
      </c>
      <c r="AP3" s="189">
        <v>2265222000.3400002</v>
      </c>
      <c r="AQ3" s="189">
        <v>1511455848.98</v>
      </c>
      <c r="AR3" s="189">
        <v>754796835.00999999</v>
      </c>
      <c r="AS3" s="189">
        <v>2683440041.75</v>
      </c>
      <c r="AT3" s="189">
        <v>1953381247.0799999</v>
      </c>
      <c r="AU3" s="189">
        <v>1274734794.4300001</v>
      </c>
      <c r="AV3" s="189">
        <v>621061130.22000003</v>
      </c>
      <c r="AW3" s="189">
        <v>2409797561.5500002</v>
      </c>
      <c r="AX3" s="189">
        <v>1782559040.05</v>
      </c>
      <c r="AY3" s="189">
        <v>1187910368.9100001</v>
      </c>
      <c r="AZ3" s="189">
        <v>589704365.50999999</v>
      </c>
      <c r="BA3" s="189">
        <v>2149308234.9299998</v>
      </c>
      <c r="BB3" s="189">
        <v>1520411535.9000001</v>
      </c>
      <c r="BC3" s="189">
        <v>979579514.60000002</v>
      </c>
      <c r="BD3" s="189">
        <v>446053032.56999999</v>
      </c>
      <c r="BE3" s="189">
        <v>1540782654.2</v>
      </c>
      <c r="BF3" s="189">
        <v>1093635054.0999999</v>
      </c>
      <c r="BG3" s="189">
        <v>714288559.48000002</v>
      </c>
      <c r="BH3" s="189">
        <v>349186247.05000001</v>
      </c>
      <c r="BI3" s="189">
        <v>1074704071.1199999</v>
      </c>
      <c r="BJ3" s="189">
        <v>707547899.46000004</v>
      </c>
      <c r="BK3" s="189">
        <v>403001804.17000002</v>
      </c>
      <c r="BL3" s="189">
        <v>251104992.19</v>
      </c>
      <c r="BM3" s="189">
        <v>953267504.29999995</v>
      </c>
      <c r="BN3" s="189">
        <v>438115290.63</v>
      </c>
      <c r="BO3" s="189">
        <v>851587747.67999995</v>
      </c>
      <c r="BP3" s="189">
        <v>783349967.97000003</v>
      </c>
      <c r="BQ3" s="189">
        <v>0</v>
      </c>
    </row>
    <row r="4" spans="1:69" x14ac:dyDescent="0.25">
      <c r="A4" s="189" t="s">
        <v>191</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row>
    <row r="5" spans="1:69" x14ac:dyDescent="0.25">
      <c r="A5" s="189" t="s">
        <v>192</v>
      </c>
      <c r="B5" s="189">
        <v>4639023458.9099998</v>
      </c>
      <c r="C5" s="189">
        <v>2827659086.8299999</v>
      </c>
      <c r="D5" s="189">
        <v>1143989444.9200001</v>
      </c>
      <c r="E5" s="189">
        <v>4676282519.8999996</v>
      </c>
      <c r="F5" s="189">
        <v>3379648080.3699999</v>
      </c>
      <c r="G5" s="189">
        <v>2193721979.5300002</v>
      </c>
      <c r="H5" s="189">
        <v>1083057259.8499999</v>
      </c>
      <c r="I5" s="189">
        <v>4297098365.8900003</v>
      </c>
      <c r="J5" s="189">
        <v>3144787863.0700002</v>
      </c>
      <c r="K5" s="189">
        <v>2071280099.24</v>
      </c>
      <c r="L5" s="189">
        <v>987695553.55999994</v>
      </c>
      <c r="M5" s="189">
        <v>3890342442.4299998</v>
      </c>
      <c r="N5" s="189">
        <v>2922531397.73</v>
      </c>
      <c r="O5" s="189">
        <v>1921963843.27</v>
      </c>
      <c r="P5" s="189">
        <v>959915021.17999995</v>
      </c>
      <c r="Q5" s="189">
        <v>3961419574.6900001</v>
      </c>
      <c r="R5" s="189">
        <v>3052362503.6599998</v>
      </c>
      <c r="S5" s="189">
        <v>1980701849.98</v>
      </c>
      <c r="T5" s="189">
        <v>942245089.00999999</v>
      </c>
      <c r="U5" s="189">
        <v>3827968044.52</v>
      </c>
      <c r="V5" s="189">
        <v>2875850278.2800002</v>
      </c>
      <c r="W5" s="189">
        <v>1840802770.54</v>
      </c>
      <c r="X5" s="189">
        <v>876138737.59000003</v>
      </c>
      <c r="Y5" s="189">
        <v>3531216533.52</v>
      </c>
      <c r="Z5" s="189">
        <v>2681512803.1999998</v>
      </c>
      <c r="AA5" s="189">
        <v>1769334812.25</v>
      </c>
      <c r="AB5" s="189">
        <v>872552738.75999999</v>
      </c>
      <c r="AC5" s="189">
        <v>3289189793.4099998</v>
      </c>
      <c r="AD5" s="189">
        <v>2399503923.8200002</v>
      </c>
      <c r="AE5" s="189">
        <v>1564615630.01</v>
      </c>
      <c r="AF5" s="189">
        <v>760778114.63</v>
      </c>
      <c r="AG5" s="189">
        <v>3034051569.7399998</v>
      </c>
      <c r="AH5" s="189">
        <v>2085893753.03</v>
      </c>
      <c r="AI5" s="189">
        <v>1379440693.9400001</v>
      </c>
      <c r="AJ5" s="189">
        <v>642326171.09000003</v>
      </c>
      <c r="AK5" s="189">
        <v>2553120529.5700002</v>
      </c>
      <c r="AL5" s="189">
        <v>1806742862.1800001</v>
      </c>
      <c r="AM5" s="189">
        <v>1190660991.54</v>
      </c>
      <c r="AN5" s="189">
        <v>593418074.99000001</v>
      </c>
      <c r="AO5" s="189">
        <v>2341595780.9699998</v>
      </c>
      <c r="AP5" s="189">
        <v>1709630227.9400001</v>
      </c>
      <c r="AQ5" s="189">
        <v>1141254015.2</v>
      </c>
      <c r="AR5" s="189">
        <v>565231062</v>
      </c>
      <c r="AS5" s="189">
        <v>2088946561.71</v>
      </c>
      <c r="AT5" s="189">
        <v>1443003437.0699999</v>
      </c>
      <c r="AU5" s="189">
        <v>968434725.99000001</v>
      </c>
      <c r="AV5" s="189">
        <v>467357823.94</v>
      </c>
      <c r="AW5" s="189">
        <v>1936858801.02</v>
      </c>
      <c r="AX5" s="189">
        <v>1414902665.26</v>
      </c>
      <c r="AY5" s="189">
        <v>970482777.76999998</v>
      </c>
      <c r="AZ5" s="189">
        <v>469200480.31999999</v>
      </c>
      <c r="BA5" s="189">
        <v>1749645338.4200001</v>
      </c>
      <c r="BB5" s="189">
        <v>1204651242.5699999</v>
      </c>
      <c r="BC5" s="189">
        <v>764455505.87</v>
      </c>
      <c r="BD5" s="189">
        <v>351559523.19</v>
      </c>
      <c r="BE5" s="189">
        <v>1091506342.45</v>
      </c>
      <c r="BF5" s="189">
        <v>674923650.5</v>
      </c>
      <c r="BG5" s="189">
        <v>362078237.83999997</v>
      </c>
      <c r="BH5" s="189">
        <v>160408066.69</v>
      </c>
      <c r="BI5" s="189">
        <v>605314683.53999996</v>
      </c>
      <c r="BJ5" s="189">
        <v>391289373.19</v>
      </c>
      <c r="BK5" s="189">
        <v>260232819.78999999</v>
      </c>
      <c r="BL5" s="189">
        <v>139095172.77000001</v>
      </c>
      <c r="BM5" s="189">
        <v>581293157.72000003</v>
      </c>
      <c r="BN5" s="189">
        <v>266415027.19999999</v>
      </c>
      <c r="BO5" s="189">
        <v>531782586.66000003</v>
      </c>
      <c r="BP5" s="189">
        <v>465476576.44</v>
      </c>
      <c r="BQ5" s="189">
        <v>0</v>
      </c>
    </row>
    <row r="6" spans="1:69" x14ac:dyDescent="0.25">
      <c r="A6" s="189" t="s">
        <v>193</v>
      </c>
      <c r="B6" s="189">
        <v>4145927467.3800001</v>
      </c>
      <c r="C6" s="189">
        <v>2524410387.1399999</v>
      </c>
      <c r="D6" s="189">
        <v>1039236420.46</v>
      </c>
      <c r="E6" s="189">
        <v>4018885671.1100001</v>
      </c>
      <c r="F6" s="189">
        <v>3002665926.9299998</v>
      </c>
      <c r="G6" s="189">
        <v>1945463196.1800001</v>
      </c>
      <c r="H6" s="189">
        <v>971224272.83000004</v>
      </c>
      <c r="I6" s="189">
        <v>3724036883.98</v>
      </c>
      <c r="J6" s="189">
        <v>2749765918.6599998</v>
      </c>
      <c r="K6" s="189">
        <v>1815901788.3</v>
      </c>
      <c r="L6" s="189">
        <v>867913057.74000001</v>
      </c>
      <c r="M6" s="189">
        <v>3366175400.3800001</v>
      </c>
      <c r="N6" s="189">
        <v>2517395939.8499999</v>
      </c>
      <c r="O6" s="189">
        <v>1668575136.21</v>
      </c>
      <c r="P6" s="189">
        <v>838067151.16999996</v>
      </c>
      <c r="Q6" s="189">
        <v>3392685032.23</v>
      </c>
      <c r="R6" s="189">
        <v>2677452727.9299998</v>
      </c>
      <c r="S6" s="189">
        <v>1743613893.3199999</v>
      </c>
      <c r="T6" s="189">
        <v>824476872.63</v>
      </c>
      <c r="U6" s="189">
        <v>3261251903.25</v>
      </c>
      <c r="V6" s="189">
        <v>2498174227.54</v>
      </c>
      <c r="W6" s="189">
        <v>1592668691.73</v>
      </c>
      <c r="X6" s="189">
        <v>755928102.26999998</v>
      </c>
      <c r="Y6" s="189">
        <v>2852876091.1100001</v>
      </c>
      <c r="Z6" s="189">
        <v>2168564062.7800002</v>
      </c>
      <c r="AA6" s="189">
        <v>1442906245.6199999</v>
      </c>
      <c r="AB6" s="189">
        <v>699965846.80999994</v>
      </c>
      <c r="AC6" s="189">
        <v>2654413969.4099998</v>
      </c>
      <c r="AD6" s="189">
        <v>1917839834.2</v>
      </c>
      <c r="AE6" s="189">
        <v>1256174881.8900001</v>
      </c>
      <c r="AF6" s="189">
        <v>593893100.21000004</v>
      </c>
      <c r="AG6" s="189">
        <v>2452525912.1199999</v>
      </c>
      <c r="AH6" s="189">
        <v>1660920523.8699999</v>
      </c>
      <c r="AI6" s="189">
        <v>1083542723.5899999</v>
      </c>
      <c r="AJ6" s="189">
        <v>506191413.54000002</v>
      </c>
      <c r="AK6" s="189">
        <v>1899423599.27</v>
      </c>
      <c r="AL6" s="189">
        <v>1352172928.6800001</v>
      </c>
      <c r="AM6" s="189">
        <v>884672269.42999995</v>
      </c>
      <c r="AN6" s="189">
        <v>460544269.88999999</v>
      </c>
      <c r="AO6" s="189">
        <v>1763487215.6800001</v>
      </c>
      <c r="AP6" s="189">
        <v>1279522189.3599999</v>
      </c>
      <c r="AQ6" s="189">
        <v>847681923.76999998</v>
      </c>
      <c r="AR6" s="189">
        <v>411365648.81</v>
      </c>
      <c r="AS6" s="189">
        <v>1428817493.7</v>
      </c>
      <c r="AT6" s="189">
        <v>1011694595.3</v>
      </c>
      <c r="AU6" s="189">
        <v>669408137.97000003</v>
      </c>
      <c r="AV6" s="189">
        <v>319436716.14999998</v>
      </c>
      <c r="AW6" s="189">
        <v>1261005099.5</v>
      </c>
      <c r="AX6" s="189">
        <v>929014676.63999999</v>
      </c>
      <c r="AY6" s="189">
        <v>634601482.57000005</v>
      </c>
      <c r="AZ6" s="189">
        <v>304009835.44</v>
      </c>
      <c r="BA6" s="189">
        <v>1186017320.75</v>
      </c>
      <c r="BB6" s="189">
        <v>809111428.25</v>
      </c>
      <c r="BC6" s="189">
        <v>495517793.13999999</v>
      </c>
      <c r="BD6" s="189">
        <v>223402857.93000001</v>
      </c>
      <c r="BE6" s="189">
        <v>702627418.32000005</v>
      </c>
      <c r="BF6" s="189">
        <v>425396369.06</v>
      </c>
      <c r="BG6" s="189">
        <v>216560112.52000001</v>
      </c>
      <c r="BH6" s="189">
        <v>103015076.8</v>
      </c>
      <c r="BI6" s="189">
        <v>378786711.06999999</v>
      </c>
      <c r="BJ6" s="189">
        <v>253324099.94</v>
      </c>
      <c r="BK6" s="189">
        <v>166822223.65000001</v>
      </c>
      <c r="BL6" s="189">
        <v>87977754.920000002</v>
      </c>
      <c r="BM6" s="189">
        <v>366154973.02999997</v>
      </c>
      <c r="BN6" s="189">
        <v>166437524.66</v>
      </c>
      <c r="BO6" s="189">
        <v>343845482.26999998</v>
      </c>
      <c r="BP6" s="189">
        <v>313875163.81999999</v>
      </c>
      <c r="BQ6" s="189">
        <v>0</v>
      </c>
    </row>
    <row r="7" spans="1:69" x14ac:dyDescent="0.25">
      <c r="A7" s="189" t="s">
        <v>194</v>
      </c>
      <c r="B7" s="189">
        <v>49920321.509999998</v>
      </c>
      <c r="C7" s="189">
        <v>34745327.32</v>
      </c>
      <c r="D7" s="189">
        <v>16911540.640000001</v>
      </c>
      <c r="E7" s="189">
        <v>88497276.790000007</v>
      </c>
      <c r="F7" s="189">
        <v>34517828.649999999</v>
      </c>
      <c r="G7" s="189">
        <v>24856226</v>
      </c>
      <c r="H7" s="189">
        <v>13498270.630000001</v>
      </c>
      <c r="I7" s="189">
        <v>66248735.149999999</v>
      </c>
      <c r="J7" s="189">
        <v>15786416.99</v>
      </c>
      <c r="K7" s="189">
        <v>12429837.359999999</v>
      </c>
      <c r="L7" s="189">
        <v>10726445.859999999</v>
      </c>
      <c r="M7" s="189">
        <v>45668378.630000003</v>
      </c>
      <c r="N7" s="189">
        <v>34357856.170000002</v>
      </c>
      <c r="O7" s="189">
        <v>23760269.260000002</v>
      </c>
      <c r="P7" s="189">
        <v>12043357.199999999</v>
      </c>
      <c r="Q7" s="189">
        <v>46645736.369999997</v>
      </c>
      <c r="R7" s="189">
        <v>35792743.100000001</v>
      </c>
      <c r="S7" s="189">
        <v>24157734.989999998</v>
      </c>
      <c r="T7" s="189">
        <v>12220718.98</v>
      </c>
      <c r="U7" s="189">
        <v>47792552.579999998</v>
      </c>
      <c r="V7" s="189">
        <v>35097895.82</v>
      </c>
      <c r="W7" s="189">
        <v>24011125.850000001</v>
      </c>
      <c r="X7" s="189">
        <v>12174046.9</v>
      </c>
      <c r="Y7" s="189">
        <v>166424816.94</v>
      </c>
      <c r="Z7" s="189">
        <v>139283693.12</v>
      </c>
      <c r="AA7" s="189">
        <v>92408832.439999998</v>
      </c>
      <c r="AB7" s="189">
        <v>45573545.920000002</v>
      </c>
      <c r="AC7" s="189">
        <v>169200364.30000001</v>
      </c>
      <c r="AD7" s="189">
        <v>122723176.72</v>
      </c>
      <c r="AE7" s="189">
        <v>80552794.989999995</v>
      </c>
      <c r="AF7" s="189">
        <v>39214724.990000002</v>
      </c>
      <c r="AG7" s="189">
        <v>152582492.87</v>
      </c>
      <c r="AH7" s="189">
        <v>106783888.64</v>
      </c>
      <c r="AI7" s="189">
        <v>69099331.670000002</v>
      </c>
      <c r="AJ7" s="189">
        <v>34029503.170000002</v>
      </c>
      <c r="AK7" s="189">
        <v>127395848.56</v>
      </c>
      <c r="AL7" s="189">
        <v>90368840.230000004</v>
      </c>
      <c r="AM7" s="189">
        <v>59840232.649999999</v>
      </c>
      <c r="AN7" s="189">
        <v>29863950.399999999</v>
      </c>
      <c r="AO7" s="189">
        <v>118431827.86</v>
      </c>
      <c r="AP7" s="189">
        <v>86587155.549999997</v>
      </c>
      <c r="AQ7" s="189">
        <v>58295818.299999997</v>
      </c>
      <c r="AR7" s="189">
        <v>27824671.039999999</v>
      </c>
      <c r="AS7" s="189">
        <v>102107616.62</v>
      </c>
      <c r="AT7" s="189">
        <v>70643760.450000003</v>
      </c>
      <c r="AU7" s="189">
        <v>46694223.850000001</v>
      </c>
      <c r="AV7" s="189">
        <v>22359372.82</v>
      </c>
      <c r="AW7" s="189">
        <v>87761551.019999996</v>
      </c>
      <c r="AX7" s="189">
        <v>61597734.390000001</v>
      </c>
      <c r="AY7" s="189">
        <v>40658815.710000001</v>
      </c>
      <c r="AZ7" s="189">
        <v>19622694.5</v>
      </c>
      <c r="BA7" s="189">
        <v>76417388.680000007</v>
      </c>
      <c r="BB7" s="189">
        <v>53116111.219999999</v>
      </c>
      <c r="BC7" s="189">
        <v>34727464.689999998</v>
      </c>
      <c r="BD7" s="189">
        <v>14936893.83</v>
      </c>
      <c r="BE7" s="189">
        <v>53465533.909999996</v>
      </c>
      <c r="BF7" s="189">
        <v>36805575.740000002</v>
      </c>
      <c r="BG7" s="189">
        <v>23550724.350000001</v>
      </c>
      <c r="BH7" s="189">
        <v>11140954.43</v>
      </c>
      <c r="BI7" s="189">
        <v>33658697.229999997</v>
      </c>
      <c r="BJ7" s="189">
        <v>22267457.57</v>
      </c>
      <c r="BK7" s="189">
        <v>12810024.34</v>
      </c>
      <c r="BL7" s="189">
        <v>8041250.4400000004</v>
      </c>
      <c r="BM7" s="189">
        <v>32429301.510000002</v>
      </c>
      <c r="BN7" s="189">
        <v>14596900.119999999</v>
      </c>
      <c r="BO7" s="189">
        <v>29422726.68</v>
      </c>
      <c r="BP7" s="189">
        <v>26973430.960000001</v>
      </c>
      <c r="BQ7" s="189">
        <v>0</v>
      </c>
    </row>
    <row r="8" spans="1:69" x14ac:dyDescent="0.25">
      <c r="A8" s="189" t="s">
        <v>195</v>
      </c>
      <c r="B8" s="189">
        <v>21521618.899999999</v>
      </c>
      <c r="C8" s="189">
        <v>16058592.17</v>
      </c>
      <c r="D8" s="189">
        <v>13675219.710000001</v>
      </c>
      <c r="E8" s="189">
        <v>88346033.540000007</v>
      </c>
      <c r="F8" s="189">
        <v>51892699.420000002</v>
      </c>
      <c r="G8" s="189">
        <v>35551715.840000004</v>
      </c>
      <c r="H8" s="189">
        <v>17129339.449999999</v>
      </c>
      <c r="I8" s="189">
        <v>100995007.13</v>
      </c>
      <c r="J8" s="189">
        <v>61680867.380000003</v>
      </c>
      <c r="K8" s="189">
        <v>40640309.130000003</v>
      </c>
      <c r="L8" s="189">
        <v>20076273.859999999</v>
      </c>
      <c r="M8" s="189">
        <v>102912919.31</v>
      </c>
      <c r="N8" s="189">
        <v>64985735.950000003</v>
      </c>
      <c r="O8" s="189">
        <v>41442020.189999998</v>
      </c>
      <c r="P8" s="189">
        <v>21367767.329999998</v>
      </c>
      <c r="Q8" s="189">
        <v>92682716.930000007</v>
      </c>
      <c r="R8" s="189">
        <v>61917201.149999999</v>
      </c>
      <c r="S8" s="189">
        <v>39927187.939999998</v>
      </c>
      <c r="T8" s="189">
        <v>18053894.469999999</v>
      </c>
      <c r="U8" s="189">
        <v>83407246.450000003</v>
      </c>
      <c r="V8" s="189">
        <v>57642664.75</v>
      </c>
      <c r="W8" s="189">
        <v>36701262.729999997</v>
      </c>
      <c r="X8" s="189">
        <v>17373827.649999999</v>
      </c>
      <c r="Y8" s="189">
        <v>81942323.430000007</v>
      </c>
      <c r="Z8" s="189">
        <v>52502798.219999999</v>
      </c>
      <c r="AA8" s="189">
        <v>34749475.560000002</v>
      </c>
      <c r="AB8" s="189">
        <v>16458861.560000001</v>
      </c>
      <c r="AC8" s="189">
        <v>79814451.209999993</v>
      </c>
      <c r="AD8" s="189">
        <v>48924578.799999997</v>
      </c>
      <c r="AE8" s="189">
        <v>30216828.109999999</v>
      </c>
      <c r="AF8" s="189">
        <v>15557984.369999999</v>
      </c>
      <c r="AG8" s="189">
        <v>67428980.969999999</v>
      </c>
      <c r="AH8" s="189">
        <v>43454439.25</v>
      </c>
      <c r="AI8" s="189">
        <v>29674073.93</v>
      </c>
      <c r="AJ8" s="189">
        <v>12812477.4</v>
      </c>
      <c r="AK8" s="189">
        <v>65774131.609999999</v>
      </c>
      <c r="AL8" s="189">
        <v>42380496.229999997</v>
      </c>
      <c r="AM8" s="189">
        <v>26870669.620000001</v>
      </c>
      <c r="AN8" s="189">
        <v>12569236.4</v>
      </c>
      <c r="AO8" s="189">
        <v>75545843.230000004</v>
      </c>
      <c r="AP8" s="189">
        <v>46665882.57</v>
      </c>
      <c r="AQ8" s="189">
        <v>33802889.579999998</v>
      </c>
      <c r="AR8" s="189">
        <v>29765027.510000002</v>
      </c>
      <c r="AS8" s="189">
        <v>137147759.13999999</v>
      </c>
      <c r="AT8" s="189">
        <v>78003260.709999993</v>
      </c>
      <c r="AU8" s="189">
        <v>59803642.780000001</v>
      </c>
      <c r="AV8" s="189">
        <v>35355127.969999999</v>
      </c>
      <c r="AW8" s="189">
        <v>124460487.72</v>
      </c>
      <c r="AX8" s="189">
        <v>78190214.439999998</v>
      </c>
      <c r="AY8" s="189">
        <v>54991117.420000002</v>
      </c>
      <c r="AZ8" s="189">
        <v>31669450.59</v>
      </c>
      <c r="BA8" s="189">
        <v>130997928.13</v>
      </c>
      <c r="BB8" s="189">
        <v>86596110.730000004</v>
      </c>
      <c r="BC8" s="189">
        <v>51132273.850000001</v>
      </c>
      <c r="BD8" s="189">
        <v>32506050.199999999</v>
      </c>
      <c r="BE8" s="189">
        <v>119220500.42</v>
      </c>
      <c r="BF8" s="189">
        <v>68503698.090000004</v>
      </c>
      <c r="BG8" s="189">
        <v>42265455.289999999</v>
      </c>
      <c r="BH8" s="189">
        <v>21236144.390000001</v>
      </c>
      <c r="BI8" s="189">
        <v>87086378.620000005</v>
      </c>
      <c r="BJ8" s="189">
        <v>60305886.82</v>
      </c>
      <c r="BK8" s="189">
        <v>42042691.340000004</v>
      </c>
      <c r="BL8" s="189">
        <v>21612863.420000002</v>
      </c>
      <c r="BM8" s="189">
        <v>95786708.530000001</v>
      </c>
      <c r="BN8" s="189">
        <v>44661365.219999999</v>
      </c>
      <c r="BO8" s="189">
        <v>80849191.870000005</v>
      </c>
      <c r="BP8" s="189">
        <v>68453581.040000007</v>
      </c>
      <c r="BQ8" s="189">
        <v>0</v>
      </c>
    </row>
    <row r="9" spans="1:69" x14ac:dyDescent="0.25">
      <c r="A9" s="189" t="s">
        <v>196</v>
      </c>
      <c r="B9" s="189">
        <v>337278554.45999998</v>
      </c>
      <c r="C9" s="189">
        <v>188584639.56</v>
      </c>
      <c r="D9" s="189">
        <v>67359452.909999996</v>
      </c>
      <c r="E9" s="189">
        <v>423106162.88999999</v>
      </c>
      <c r="F9" s="189">
        <v>284589272.5</v>
      </c>
      <c r="G9" s="189">
        <v>188651299.72999999</v>
      </c>
      <c r="H9" s="189">
        <v>73484374.579999998</v>
      </c>
      <c r="I9" s="189">
        <v>392988817.47000003</v>
      </c>
      <c r="J9" s="189">
        <v>327590784.36000001</v>
      </c>
      <c r="K9" s="189">
        <v>216845498.27000001</v>
      </c>
      <c r="L9" s="189">
        <v>89286502.950000003</v>
      </c>
      <c r="M9" s="189">
        <v>455666559.31999999</v>
      </c>
      <c r="N9" s="189">
        <v>322818634.85000002</v>
      </c>
      <c r="O9" s="189">
        <v>209557360.25999999</v>
      </c>
      <c r="P9" s="189">
        <v>84681239.599999994</v>
      </c>
      <c r="Q9" s="189">
        <v>455870489.81</v>
      </c>
      <c r="R9" s="189">
        <v>281980813.13</v>
      </c>
      <c r="S9" s="189">
        <v>179989960.66999999</v>
      </c>
      <c r="T9" s="189">
        <v>86358624.719999999</v>
      </c>
      <c r="U9" s="189">
        <v>436353452.29000002</v>
      </c>
      <c r="V9" s="189">
        <v>262839330.08000001</v>
      </c>
      <c r="W9" s="189">
        <v>164194897.00999999</v>
      </c>
      <c r="X9" s="189">
        <v>76310427.370000005</v>
      </c>
      <c r="Y9" s="189">
        <v>387062971.48000002</v>
      </c>
      <c r="Z9" s="189">
        <v>260234192.06</v>
      </c>
      <c r="AA9" s="189">
        <v>155355234.15000001</v>
      </c>
      <c r="AB9" s="189">
        <v>85626509.780000001</v>
      </c>
      <c r="AC9" s="189">
        <v>338756450.43000001</v>
      </c>
      <c r="AD9" s="189">
        <v>245199400.41999999</v>
      </c>
      <c r="AE9" s="189">
        <v>158370424.96000001</v>
      </c>
      <c r="AF9" s="189">
        <v>89286653.439999998</v>
      </c>
      <c r="AG9" s="189">
        <v>311857687.66000003</v>
      </c>
      <c r="AH9" s="189">
        <v>198214841.53</v>
      </c>
      <c r="AI9" s="189">
        <v>126727324.89</v>
      </c>
      <c r="AJ9" s="189">
        <v>63373600.039999999</v>
      </c>
      <c r="AK9" s="189">
        <v>311473450.31999999</v>
      </c>
      <c r="AL9" s="189">
        <v>185716818.49000001</v>
      </c>
      <c r="AM9" s="189">
        <v>120528199.76000001</v>
      </c>
      <c r="AN9" s="189">
        <v>55646948.100000001</v>
      </c>
      <c r="AO9" s="189">
        <v>264302441.94999999</v>
      </c>
      <c r="AP9" s="189">
        <v>202891718.09</v>
      </c>
      <c r="AQ9" s="189">
        <v>131828549.09999999</v>
      </c>
      <c r="AR9" s="189">
        <v>62528258.32</v>
      </c>
      <c r="AS9" s="189">
        <v>316943006.45999998</v>
      </c>
      <c r="AT9" s="189">
        <v>197815182.84</v>
      </c>
      <c r="AU9" s="189">
        <v>130839109.81999999</v>
      </c>
      <c r="AV9" s="189">
        <v>65076056.170000002</v>
      </c>
      <c r="AW9" s="189">
        <v>310538507.25999999</v>
      </c>
      <c r="AX9" s="189">
        <v>223543034.24000001</v>
      </c>
      <c r="AY9" s="189">
        <v>161455075.41</v>
      </c>
      <c r="AZ9" s="189">
        <v>73114370.700000003</v>
      </c>
      <c r="BA9" s="189">
        <v>265805389.63</v>
      </c>
      <c r="BB9" s="189">
        <v>200453074.44999999</v>
      </c>
      <c r="BC9" s="189">
        <v>153442825.65000001</v>
      </c>
      <c r="BD9" s="189">
        <v>64704028.07</v>
      </c>
      <c r="BE9" s="189">
        <v>208076532.65000001</v>
      </c>
      <c r="BF9" s="189">
        <v>131649559.81999999</v>
      </c>
      <c r="BG9" s="189">
        <v>85028547.609999999</v>
      </c>
      <c r="BH9" s="189">
        <v>26984979.5</v>
      </c>
      <c r="BI9" s="189">
        <v>128960330.62</v>
      </c>
      <c r="BJ9" s="189">
        <v>75597284.420000002</v>
      </c>
      <c r="BK9" s="189">
        <v>55702496.810000002</v>
      </c>
      <c r="BL9" s="189">
        <v>27066088.969999999</v>
      </c>
      <c r="BM9" s="189">
        <v>96118093.340000004</v>
      </c>
      <c r="BN9" s="189">
        <v>43744713.18</v>
      </c>
      <c r="BO9" s="189">
        <v>87647162.879999995</v>
      </c>
      <c r="BP9" s="189">
        <v>65587939.369999997</v>
      </c>
      <c r="BQ9" s="189">
        <v>0</v>
      </c>
    </row>
    <row r="10" spans="1:69" x14ac:dyDescent="0.25">
      <c r="A10" s="189" t="s">
        <v>197</v>
      </c>
      <c r="B10" s="189">
        <v>72485135.280000001</v>
      </c>
      <c r="C10" s="189">
        <v>32046137.949999999</v>
      </c>
      <c r="D10" s="189">
        <v>-5158955.5</v>
      </c>
      <c r="E10" s="189">
        <v>38668629.07</v>
      </c>
      <c r="F10" s="189">
        <v>-2303141.86</v>
      </c>
      <c r="G10" s="189">
        <v>-3117221.25</v>
      </c>
      <c r="H10" s="189">
        <v>-2101679.75</v>
      </c>
      <c r="I10" s="189">
        <v>-6435457.9000000004</v>
      </c>
      <c r="J10" s="189">
        <v>-20281104.280000001</v>
      </c>
      <c r="K10" s="189">
        <v>-16399062.109999999</v>
      </c>
      <c r="L10" s="189">
        <v>-8682249.0500000007</v>
      </c>
      <c r="M10" s="189">
        <v>-47734800.100000001</v>
      </c>
      <c r="N10" s="189">
        <v>-28916349.989999998</v>
      </c>
      <c r="O10" s="189">
        <v>-25955306.32</v>
      </c>
      <c r="P10" s="189">
        <v>-8760256.5399999991</v>
      </c>
      <c r="Q10" s="189">
        <v>-36002668.840000004</v>
      </c>
      <c r="R10" s="189">
        <v>-16430831.49</v>
      </c>
      <c r="S10" s="189">
        <v>-12277882.140000001</v>
      </c>
      <c r="T10" s="189">
        <v>-3727444.49</v>
      </c>
      <c r="U10" s="189">
        <v>3220530.02</v>
      </c>
      <c r="V10" s="189">
        <v>13889266.6</v>
      </c>
      <c r="W10" s="189">
        <v>15825813.43</v>
      </c>
      <c r="X10" s="189">
        <v>10336895.300000001</v>
      </c>
      <c r="Y10" s="189">
        <v>54350568.460000001</v>
      </c>
      <c r="Z10" s="189">
        <v>50611229.920000002</v>
      </c>
      <c r="AA10" s="189">
        <v>37221777.189999998</v>
      </c>
      <c r="AB10" s="189">
        <v>21595824.09</v>
      </c>
      <c r="AC10" s="189">
        <v>68694385.090000004</v>
      </c>
      <c r="AD10" s="189">
        <v>51444733.259999998</v>
      </c>
      <c r="AE10" s="189">
        <v>30088294.530000001</v>
      </c>
      <c r="AF10" s="189">
        <v>16575824.01</v>
      </c>
      <c r="AG10" s="189">
        <v>50233359.189999998</v>
      </c>
      <c r="AH10" s="189">
        <v>68024574.780000001</v>
      </c>
      <c r="AI10" s="189">
        <v>56768289.770000003</v>
      </c>
      <c r="AJ10" s="189">
        <v>20471371.890000001</v>
      </c>
      <c r="AK10" s="189">
        <v>69891490.420000002</v>
      </c>
      <c r="AL10" s="189">
        <v>83814293.609999999</v>
      </c>
      <c r="AM10" s="189">
        <v>59993111.18</v>
      </c>
      <c r="AN10" s="189">
        <v>27101058.879999999</v>
      </c>
      <c r="AO10" s="189">
        <v>97131125.260000005</v>
      </c>
      <c r="AP10" s="189">
        <v>84779381.450000003</v>
      </c>
      <c r="AQ10" s="189">
        <v>62395250.950000003</v>
      </c>
      <c r="AR10" s="189">
        <v>30601963.32</v>
      </c>
      <c r="AS10" s="189">
        <v>101186228.40000001</v>
      </c>
      <c r="AT10" s="189">
        <v>80834009.540000007</v>
      </c>
      <c r="AU10" s="189">
        <v>57676983.340000004</v>
      </c>
      <c r="AV10" s="189">
        <v>25130550.829999998</v>
      </c>
      <c r="AW10" s="189">
        <v>153093155.52000001</v>
      </c>
      <c r="AX10" s="189">
        <v>122557005.55</v>
      </c>
      <c r="AY10" s="189">
        <v>78776286.659999996</v>
      </c>
      <c r="AZ10" s="189">
        <v>40784129.090000004</v>
      </c>
      <c r="BA10" s="189">
        <v>90407311.230000004</v>
      </c>
      <c r="BB10" s="189">
        <v>55374517.920000002</v>
      </c>
      <c r="BC10" s="189">
        <v>29635148.539999999</v>
      </c>
      <c r="BD10" s="189">
        <v>16009693.16</v>
      </c>
      <c r="BE10" s="189">
        <v>8116357.1500000004</v>
      </c>
      <c r="BF10" s="189">
        <v>12568447.789999999</v>
      </c>
      <c r="BG10" s="189">
        <v>-5326601.93</v>
      </c>
      <c r="BH10" s="189">
        <v>-1969088.43</v>
      </c>
      <c r="BI10" s="189">
        <v>-23177434</v>
      </c>
      <c r="BJ10" s="189">
        <v>-20205355.559999999</v>
      </c>
      <c r="BK10" s="189">
        <v>-17144616.350000001</v>
      </c>
      <c r="BL10" s="189">
        <v>-5602784.9800000004</v>
      </c>
      <c r="BM10" s="189">
        <v>-9195918.6899999995</v>
      </c>
      <c r="BN10" s="189">
        <v>-3025475.98</v>
      </c>
      <c r="BO10" s="189">
        <v>-9981977.0399999991</v>
      </c>
      <c r="BP10" s="189">
        <v>-9413538.75</v>
      </c>
      <c r="BQ10" s="189">
        <v>0</v>
      </c>
    </row>
    <row r="11" spans="1:69" x14ac:dyDescent="0.25">
      <c r="A11" s="189" t="s">
        <v>198</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row>
    <row r="12" spans="1:69"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row>
    <row r="13" spans="1:69" x14ac:dyDescent="0.25">
      <c r="A13" s="189" t="s">
        <v>200</v>
      </c>
      <c r="B13" s="189">
        <v>35859554.469999999</v>
      </c>
      <c r="C13" s="189">
        <v>17785221.48</v>
      </c>
      <c r="D13" s="189">
        <v>8784291.9000000004</v>
      </c>
      <c r="E13" s="189">
        <v>45618283.409999996</v>
      </c>
      <c r="F13" s="189">
        <v>37229182</v>
      </c>
      <c r="G13" s="189">
        <v>18822094.550000001</v>
      </c>
      <c r="H13" s="189">
        <v>8870360.2899999991</v>
      </c>
      <c r="I13" s="189">
        <v>29932347.940000001</v>
      </c>
      <c r="J13" s="189">
        <v>5187464.43</v>
      </c>
      <c r="K13" s="189">
        <v>12605733.449999999</v>
      </c>
      <c r="L13" s="189">
        <v>1081480.5</v>
      </c>
      <c r="M13" s="189">
        <v>17945281.91</v>
      </c>
      <c r="N13" s="189">
        <v>1745025.4</v>
      </c>
      <c r="O13" s="189">
        <v>1089662.45</v>
      </c>
      <c r="P13" s="189">
        <v>-262619.87</v>
      </c>
      <c r="Q13" s="189">
        <v>9699854.5700000003</v>
      </c>
      <c r="R13" s="189">
        <v>1530357.52</v>
      </c>
      <c r="S13" s="189">
        <v>1204031.2</v>
      </c>
      <c r="T13" s="189">
        <v>0</v>
      </c>
      <c r="U13" s="189">
        <v>2048907.71</v>
      </c>
      <c r="V13" s="189">
        <v>0</v>
      </c>
      <c r="W13" s="189">
        <v>0</v>
      </c>
      <c r="X13" s="189">
        <v>0</v>
      </c>
      <c r="Y13" s="189">
        <v>5852000</v>
      </c>
      <c r="Z13" s="189">
        <v>0</v>
      </c>
      <c r="AA13" s="189">
        <v>0</v>
      </c>
      <c r="AB13" s="189">
        <v>0</v>
      </c>
      <c r="AC13" s="189">
        <v>4162400</v>
      </c>
      <c r="AD13" s="189">
        <v>0</v>
      </c>
      <c r="AE13" s="189">
        <v>0</v>
      </c>
      <c r="AF13" s="189">
        <v>0</v>
      </c>
      <c r="AG13" s="189">
        <v>1796315.34</v>
      </c>
      <c r="AH13" s="189">
        <v>1796315.34</v>
      </c>
      <c r="AI13" s="189">
        <v>0</v>
      </c>
      <c r="AJ13" s="189">
        <v>0</v>
      </c>
      <c r="AK13" s="189">
        <v>3371225.25</v>
      </c>
      <c r="AL13" s="189">
        <v>3371225.25</v>
      </c>
      <c r="AM13" s="189">
        <v>0</v>
      </c>
      <c r="AN13" s="189">
        <v>0</v>
      </c>
      <c r="AO13" s="189">
        <v>-35196.129999999997</v>
      </c>
      <c r="AP13" s="189">
        <v>-35196.129999999997</v>
      </c>
      <c r="AQ13" s="189">
        <v>-35196.129999999997</v>
      </c>
      <c r="AR13" s="189">
        <v>129961.41</v>
      </c>
      <c r="AS13" s="189">
        <v>-76523.789999999994</v>
      </c>
      <c r="AT13" s="189">
        <v>3894218.07</v>
      </c>
      <c r="AU13" s="189">
        <v>0</v>
      </c>
      <c r="AV13" s="189">
        <v>0</v>
      </c>
      <c r="AW13" s="189">
        <v>-2274644.3199999998</v>
      </c>
      <c r="AX13" s="189">
        <v>-4307467.5</v>
      </c>
      <c r="AY13" s="189">
        <v>-2072446.83</v>
      </c>
      <c r="AZ13" s="189">
        <v>-455432.01</v>
      </c>
      <c r="BA13" s="189">
        <v>-2871791.97</v>
      </c>
      <c r="BB13" s="189">
        <v>-1876295.55</v>
      </c>
      <c r="BC13" s="189">
        <v>-1529677.19</v>
      </c>
      <c r="BD13" s="189">
        <v>-542580.31999999995</v>
      </c>
      <c r="BE13" s="189">
        <v>-6167739.1100000003</v>
      </c>
      <c r="BF13" s="189">
        <v>-1028846.4</v>
      </c>
      <c r="BG13" s="189">
        <v>-875054.97</v>
      </c>
      <c r="BH13" s="189">
        <v>-524208.47</v>
      </c>
      <c r="BI13" s="189">
        <v>1253739.29</v>
      </c>
      <c r="BJ13" s="189">
        <v>534427.34</v>
      </c>
      <c r="BK13" s="189">
        <v>-851513.87</v>
      </c>
      <c r="BL13" s="189">
        <v>-427379.04</v>
      </c>
      <c r="BM13" s="189">
        <v>-2080674.95</v>
      </c>
      <c r="BN13" s="189">
        <v>-449758.05</v>
      </c>
      <c r="BO13" s="189">
        <v>-2402516.1</v>
      </c>
      <c r="BP13" s="189">
        <v>117566.98</v>
      </c>
      <c r="BQ13" s="189">
        <v>0</v>
      </c>
    </row>
    <row r="14" spans="1:69" x14ac:dyDescent="0.25">
      <c r="A14" s="189" t="s">
        <v>201</v>
      </c>
      <c r="B14" s="189">
        <v>35859554.469999999</v>
      </c>
      <c r="C14" s="189">
        <v>17785221.48</v>
      </c>
      <c r="D14" s="189">
        <v>8784291.9000000004</v>
      </c>
      <c r="E14" s="189">
        <v>35319095.43</v>
      </c>
      <c r="F14" s="189">
        <v>37229182</v>
      </c>
      <c r="G14" s="189">
        <v>18822094.550000001</v>
      </c>
      <c r="H14" s="189">
        <v>8870360.2899999991</v>
      </c>
      <c r="I14" s="189">
        <v>26299728.890000001</v>
      </c>
      <c r="J14" s="189">
        <v>5187464.43</v>
      </c>
      <c r="K14" s="189">
        <v>12605733.449999999</v>
      </c>
      <c r="L14" s="189">
        <v>0</v>
      </c>
      <c r="M14" s="189">
        <v>9932121.0500000007</v>
      </c>
      <c r="N14" s="189">
        <v>1745025.4</v>
      </c>
      <c r="O14" s="189">
        <v>1089662.45</v>
      </c>
      <c r="P14" s="189">
        <v>0</v>
      </c>
      <c r="Q14" s="189">
        <v>2289834.85</v>
      </c>
      <c r="R14" s="189">
        <v>0</v>
      </c>
      <c r="S14" s="189">
        <v>0</v>
      </c>
      <c r="T14" s="189">
        <v>0</v>
      </c>
      <c r="U14" s="189">
        <v>-503092.29</v>
      </c>
      <c r="V14" s="189">
        <v>0</v>
      </c>
      <c r="W14" s="189">
        <v>0</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c r="AQ14" s="189">
        <v>0</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row>
    <row r="15" spans="1:69"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row>
    <row r="16" spans="1:69" x14ac:dyDescent="0.25">
      <c r="A16" s="189" t="s">
        <v>203</v>
      </c>
      <c r="B16" s="189">
        <v>1247170227.6300001</v>
      </c>
      <c r="C16" s="189">
        <v>951928844.35000002</v>
      </c>
      <c r="D16" s="189">
        <v>594946239.91999996</v>
      </c>
      <c r="E16" s="189">
        <v>2164936622.04</v>
      </c>
      <c r="F16" s="189">
        <v>1607031101.9100001</v>
      </c>
      <c r="G16" s="189">
        <v>1050402178.86</v>
      </c>
      <c r="H16" s="189">
        <v>509560627.13</v>
      </c>
      <c r="I16" s="189">
        <v>1899517038.1700001</v>
      </c>
      <c r="J16" s="189">
        <v>1394991936.1400001</v>
      </c>
      <c r="K16" s="189">
        <v>925975921.87</v>
      </c>
      <c r="L16" s="189">
        <v>456082846.42000002</v>
      </c>
      <c r="M16" s="189">
        <v>1747338193.71</v>
      </c>
      <c r="N16" s="189">
        <v>1275701417.7</v>
      </c>
      <c r="O16" s="189">
        <v>853058547.92999995</v>
      </c>
      <c r="P16" s="189">
        <v>429364872.18000001</v>
      </c>
      <c r="Q16" s="189">
        <v>1575958856.1900001</v>
      </c>
      <c r="R16" s="189">
        <v>1029156691.55</v>
      </c>
      <c r="S16" s="189">
        <v>701939960.00999999</v>
      </c>
      <c r="T16" s="189">
        <v>345950972.02999997</v>
      </c>
      <c r="U16" s="189">
        <v>1315394282.45</v>
      </c>
      <c r="V16" s="189">
        <v>920880511.75999999</v>
      </c>
      <c r="W16" s="189">
        <v>621521936.99000001</v>
      </c>
      <c r="X16" s="189">
        <v>308155719.99000001</v>
      </c>
      <c r="Y16" s="189">
        <v>1147950863.48</v>
      </c>
      <c r="Z16" s="189">
        <v>778568951.32000005</v>
      </c>
      <c r="AA16" s="189">
        <v>520069301.69</v>
      </c>
      <c r="AB16" s="189">
        <v>239233434.90000001</v>
      </c>
      <c r="AC16" s="189">
        <v>954324241.51999998</v>
      </c>
      <c r="AD16" s="189">
        <v>706029524.09000003</v>
      </c>
      <c r="AE16" s="189">
        <v>463690535.17000002</v>
      </c>
      <c r="AF16" s="189">
        <v>225793639.11000001</v>
      </c>
      <c r="AG16" s="189">
        <v>833224224.79999995</v>
      </c>
      <c r="AH16" s="189">
        <v>651477272.73000002</v>
      </c>
      <c r="AI16" s="189">
        <v>393414714.5</v>
      </c>
      <c r="AJ16" s="189">
        <v>224404487.58000001</v>
      </c>
      <c r="AK16" s="189">
        <v>756340178.25999999</v>
      </c>
      <c r="AL16" s="189">
        <v>545880963.13</v>
      </c>
      <c r="AM16" s="189">
        <v>359172433.92000002</v>
      </c>
      <c r="AN16" s="189">
        <v>174996423.46000001</v>
      </c>
      <c r="AO16" s="189">
        <v>708070672.05999994</v>
      </c>
      <c r="AP16" s="189">
        <v>555556576.26999998</v>
      </c>
      <c r="AQ16" s="189">
        <v>370166637.64999998</v>
      </c>
      <c r="AR16" s="189">
        <v>189695734.41999999</v>
      </c>
      <c r="AS16" s="189">
        <v>594416956.25</v>
      </c>
      <c r="AT16" s="189">
        <v>514272028.07999998</v>
      </c>
      <c r="AU16" s="189">
        <v>306300068.44</v>
      </c>
      <c r="AV16" s="189">
        <v>153703306.28</v>
      </c>
      <c r="AW16" s="189">
        <v>470862527.92000002</v>
      </c>
      <c r="AX16" s="189">
        <v>363538074.81</v>
      </c>
      <c r="AY16" s="189">
        <v>215544311.83000001</v>
      </c>
      <c r="AZ16" s="189">
        <v>120048453.18000001</v>
      </c>
      <c r="BA16" s="189">
        <v>397493774.49000001</v>
      </c>
      <c r="BB16" s="189">
        <v>314586667.73000002</v>
      </c>
      <c r="BC16" s="189">
        <v>213882745.08000001</v>
      </c>
      <c r="BD16" s="189">
        <v>93950929.060000002</v>
      </c>
      <c r="BE16" s="189">
        <v>443161860.94999999</v>
      </c>
      <c r="BF16" s="189">
        <v>417682557.19999999</v>
      </c>
      <c r="BG16" s="189">
        <v>351335266.67000002</v>
      </c>
      <c r="BH16" s="189">
        <v>188253971.88999999</v>
      </c>
      <c r="BI16" s="189">
        <v>470643126.87</v>
      </c>
      <c r="BJ16" s="189">
        <v>316792953.61000001</v>
      </c>
      <c r="BK16" s="189">
        <v>141917470.50999999</v>
      </c>
      <c r="BL16" s="189">
        <v>111582440.38</v>
      </c>
      <c r="BM16" s="189">
        <v>369893671.63</v>
      </c>
      <c r="BN16" s="189">
        <v>171250505.38</v>
      </c>
      <c r="BO16" s="189">
        <v>317402644.92000002</v>
      </c>
      <c r="BP16" s="189">
        <v>317990958.50999999</v>
      </c>
      <c r="BQ16" s="189">
        <v>0</v>
      </c>
    </row>
    <row r="17" spans="1:69" x14ac:dyDescent="0.25">
      <c r="A17" s="189" t="s">
        <v>204</v>
      </c>
      <c r="B17" s="189">
        <v>8460244.4299999997</v>
      </c>
      <c r="C17" s="189">
        <v>3765064.92</v>
      </c>
      <c r="D17" s="189">
        <v>2061398.31</v>
      </c>
      <c r="E17" s="189">
        <v>7690436.9400000004</v>
      </c>
      <c r="F17" s="189">
        <v>7094261.3700000001</v>
      </c>
      <c r="G17" s="189">
        <v>5607449.4000000004</v>
      </c>
      <c r="H17" s="189">
        <v>7065715.3700000001</v>
      </c>
      <c r="I17" s="189">
        <v>10695858.779999999</v>
      </c>
      <c r="J17" s="189">
        <v>27547272.800000001</v>
      </c>
      <c r="K17" s="189">
        <v>13748565.109999999</v>
      </c>
      <c r="L17" s="189">
        <v>7759315.0099999998</v>
      </c>
      <c r="M17" s="189">
        <v>32747044.91</v>
      </c>
      <c r="N17" s="189">
        <v>23338423.379999999</v>
      </c>
      <c r="O17" s="189">
        <v>14385794.35</v>
      </c>
      <c r="P17" s="189">
        <v>7135249.6399999997</v>
      </c>
      <c r="Q17" s="189">
        <v>39203744.979999997</v>
      </c>
      <c r="R17" s="189">
        <v>25627083.609999999</v>
      </c>
      <c r="S17" s="189">
        <v>18513690.91</v>
      </c>
      <c r="T17" s="189">
        <v>11300971.25</v>
      </c>
      <c r="U17" s="189">
        <v>40366573.490000002</v>
      </c>
      <c r="V17" s="189">
        <v>21366068.760000002</v>
      </c>
      <c r="W17" s="189">
        <v>14043038.439999999</v>
      </c>
      <c r="X17" s="189">
        <v>7006795.8300000001</v>
      </c>
      <c r="Y17" s="189">
        <v>44393307.350000001</v>
      </c>
      <c r="Z17" s="189">
        <v>35189721.409999996</v>
      </c>
      <c r="AA17" s="189">
        <v>28493139.59</v>
      </c>
      <c r="AB17" s="189">
        <v>21027873.32</v>
      </c>
      <c r="AC17" s="189">
        <v>27887978.260000002</v>
      </c>
      <c r="AD17" s="189">
        <v>20465152.18</v>
      </c>
      <c r="AE17" s="189">
        <v>13612145.07</v>
      </c>
      <c r="AF17" s="189">
        <v>7144468.1500000004</v>
      </c>
      <c r="AG17" s="189">
        <v>10638084.890000001</v>
      </c>
      <c r="AH17" s="189">
        <v>5990516.3799999999</v>
      </c>
      <c r="AI17" s="189">
        <v>5582679.9000000004</v>
      </c>
      <c r="AJ17" s="189">
        <v>950605.02</v>
      </c>
      <c r="AK17" s="189">
        <v>3863156.34</v>
      </c>
      <c r="AL17" s="189">
        <v>3595145.61</v>
      </c>
      <c r="AM17" s="189">
        <v>3393548.65</v>
      </c>
      <c r="AN17" s="189">
        <v>2179346.87</v>
      </c>
      <c r="AO17" s="189">
        <v>894377.63</v>
      </c>
      <c r="AP17" s="189">
        <v>755545.47</v>
      </c>
      <c r="AQ17" s="189">
        <v>704928.07</v>
      </c>
      <c r="AR17" s="189">
        <v>282823.5</v>
      </c>
      <c r="AS17" s="189">
        <v>4929231.45</v>
      </c>
      <c r="AT17" s="189">
        <v>1178879.44</v>
      </c>
      <c r="AU17" s="189">
        <v>911358.35</v>
      </c>
      <c r="AV17" s="189">
        <v>201839.09</v>
      </c>
      <c r="AW17" s="189">
        <v>2480466.16</v>
      </c>
      <c r="AX17" s="189">
        <v>1885867.17</v>
      </c>
      <c r="AY17" s="189">
        <v>1410796.42</v>
      </c>
      <c r="AZ17" s="189">
        <v>728313.36</v>
      </c>
      <c r="BA17" s="189">
        <v>3173548.1</v>
      </c>
      <c r="BB17" s="189">
        <v>2481797.98</v>
      </c>
      <c r="BC17" s="189">
        <v>1219742.26</v>
      </c>
      <c r="BD17" s="189">
        <v>521125.81</v>
      </c>
      <c r="BE17" s="189">
        <v>980056.17</v>
      </c>
      <c r="BF17" s="189">
        <v>157596.88</v>
      </c>
      <c r="BG17" s="189">
        <v>91634.04</v>
      </c>
      <c r="BH17" s="189">
        <v>58384.04</v>
      </c>
      <c r="BI17" s="189">
        <v>488598.98</v>
      </c>
      <c r="BJ17" s="189">
        <v>345408.38</v>
      </c>
      <c r="BK17" s="189">
        <v>272732.88</v>
      </c>
      <c r="BL17" s="189">
        <v>3714.62</v>
      </c>
      <c r="BM17" s="189">
        <v>959799.43</v>
      </c>
      <c r="BN17" s="189">
        <v>703503.22</v>
      </c>
      <c r="BO17" s="189">
        <v>1298004.83</v>
      </c>
      <c r="BP17" s="189">
        <v>259915.99</v>
      </c>
      <c r="BQ17" s="189">
        <v>0</v>
      </c>
    </row>
    <row r="18" spans="1:69" x14ac:dyDescent="0.25">
      <c r="A18" s="189" t="s">
        <v>205</v>
      </c>
      <c r="B18" s="189">
        <v>3106009.25</v>
      </c>
      <c r="C18" s="189">
        <v>730145.62</v>
      </c>
      <c r="D18" s="189">
        <v>618666.41</v>
      </c>
      <c r="E18" s="189">
        <v>6844988.7800000003</v>
      </c>
      <c r="F18" s="189">
        <v>36831966.939999998</v>
      </c>
      <c r="G18" s="189">
        <v>4803955.45</v>
      </c>
      <c r="H18" s="189">
        <v>-29598184.539999999</v>
      </c>
      <c r="I18" s="189">
        <v>5503683.9199999999</v>
      </c>
      <c r="J18" s="189">
        <v>1649621.69</v>
      </c>
      <c r="K18" s="189">
        <v>1264214.69</v>
      </c>
      <c r="L18" s="189">
        <v>1468797.39</v>
      </c>
      <c r="M18" s="189">
        <v>27814223.809999999</v>
      </c>
      <c r="N18" s="189">
        <v>4921208.46</v>
      </c>
      <c r="O18" s="189">
        <v>2074299.22</v>
      </c>
      <c r="P18" s="189">
        <v>756882.67</v>
      </c>
      <c r="Q18" s="189">
        <v>65514805.359999999</v>
      </c>
      <c r="R18" s="189">
        <v>3489455.45</v>
      </c>
      <c r="S18" s="189">
        <v>2427403.94</v>
      </c>
      <c r="T18" s="189">
        <v>555677.32999999996</v>
      </c>
      <c r="U18" s="189">
        <v>66261684.810000002</v>
      </c>
      <c r="V18" s="189">
        <v>733561.15</v>
      </c>
      <c r="W18" s="189">
        <v>214816.1</v>
      </c>
      <c r="X18" s="189">
        <v>126214.49</v>
      </c>
      <c r="Y18" s="189">
        <v>124879901.64</v>
      </c>
      <c r="Z18" s="189">
        <v>1029197.32</v>
      </c>
      <c r="AA18" s="189">
        <v>255273.45</v>
      </c>
      <c r="AB18" s="189">
        <v>208339.44</v>
      </c>
      <c r="AC18" s="189">
        <v>5258154.58</v>
      </c>
      <c r="AD18" s="189">
        <v>1288340.08</v>
      </c>
      <c r="AE18" s="189">
        <v>1006604.71</v>
      </c>
      <c r="AF18" s="189">
        <v>581222.15</v>
      </c>
      <c r="AG18" s="189">
        <v>9300504.0299999993</v>
      </c>
      <c r="AH18" s="189">
        <v>872732.83</v>
      </c>
      <c r="AI18" s="189">
        <v>350758.43</v>
      </c>
      <c r="AJ18" s="189">
        <v>464187.2</v>
      </c>
      <c r="AK18" s="189">
        <v>2943806.28</v>
      </c>
      <c r="AL18" s="189">
        <v>296755.78000000003</v>
      </c>
      <c r="AM18" s="189">
        <v>260676.42</v>
      </c>
      <c r="AN18" s="189">
        <v>127358</v>
      </c>
      <c r="AO18" s="189">
        <v>4172023.33</v>
      </c>
      <c r="AP18" s="189">
        <v>1652595.33</v>
      </c>
      <c r="AQ18" s="189">
        <v>1447888.34</v>
      </c>
      <c r="AR18" s="189">
        <v>183149.55</v>
      </c>
      <c r="AS18" s="189">
        <v>736070.66</v>
      </c>
      <c r="AT18" s="189">
        <v>394429.44</v>
      </c>
      <c r="AU18" s="189">
        <v>313208.38</v>
      </c>
      <c r="AV18" s="189">
        <v>70466.22</v>
      </c>
      <c r="AW18" s="189">
        <v>2640923.52</v>
      </c>
      <c r="AX18" s="189">
        <v>790561.96</v>
      </c>
      <c r="AY18" s="189">
        <v>716898.06</v>
      </c>
      <c r="AZ18" s="189">
        <v>436421.41</v>
      </c>
      <c r="BA18" s="189">
        <v>1929376.17</v>
      </c>
      <c r="BB18" s="189">
        <v>713114.85</v>
      </c>
      <c r="BC18" s="189">
        <v>393737.6</v>
      </c>
      <c r="BD18" s="189">
        <v>284427.77</v>
      </c>
      <c r="BE18" s="189">
        <v>2565822.54</v>
      </c>
      <c r="BF18" s="189">
        <v>3045793.37</v>
      </c>
      <c r="BG18" s="189">
        <v>3484112.46</v>
      </c>
      <c r="BH18" s="189">
        <v>2110262.63</v>
      </c>
      <c r="BI18" s="189">
        <v>9890445.6999999993</v>
      </c>
      <c r="BJ18" s="189">
        <v>983211.45</v>
      </c>
      <c r="BK18" s="189">
        <v>686927.74</v>
      </c>
      <c r="BL18" s="189">
        <v>195561.1</v>
      </c>
      <c r="BM18" s="189">
        <v>2043247.3</v>
      </c>
      <c r="BN18" s="189">
        <v>509473.1</v>
      </c>
      <c r="BO18" s="189">
        <v>3856488.35</v>
      </c>
      <c r="BP18" s="189">
        <v>8960895.4900000002</v>
      </c>
      <c r="BQ18" s="189">
        <v>0</v>
      </c>
    </row>
    <row r="19" spans="1:69" x14ac:dyDescent="0.25">
      <c r="A19" s="189" t="s">
        <v>206</v>
      </c>
      <c r="B19" s="189">
        <v>0</v>
      </c>
      <c r="C19" s="189">
        <v>77995.41</v>
      </c>
      <c r="D19" s="189">
        <v>0</v>
      </c>
      <c r="E19" s="189">
        <v>0</v>
      </c>
      <c r="F19" s="189">
        <v>0</v>
      </c>
      <c r="G19" s="189">
        <v>1944667.32</v>
      </c>
      <c r="H19" s="189">
        <v>0</v>
      </c>
      <c r="I19" s="189">
        <v>1786608.72</v>
      </c>
      <c r="J19" s="189">
        <v>0</v>
      </c>
      <c r="K19" s="189">
        <v>160539.18</v>
      </c>
      <c r="L19" s="189">
        <v>0</v>
      </c>
      <c r="M19" s="189">
        <v>263746.09999999998</v>
      </c>
      <c r="N19" s="189">
        <v>0</v>
      </c>
      <c r="O19" s="189">
        <v>32178.81</v>
      </c>
      <c r="P19" s="189">
        <v>0</v>
      </c>
      <c r="Q19" s="189">
        <v>36600626.859999999</v>
      </c>
      <c r="R19" s="189">
        <v>0</v>
      </c>
      <c r="S19" s="189">
        <v>0</v>
      </c>
      <c r="T19" s="189">
        <v>0</v>
      </c>
      <c r="U19" s="189">
        <v>56075122.979999997</v>
      </c>
      <c r="V19" s="189">
        <v>0</v>
      </c>
      <c r="W19" s="189">
        <v>0</v>
      </c>
      <c r="X19" s="189">
        <v>0</v>
      </c>
      <c r="Y19" s="189">
        <v>111913117.39</v>
      </c>
      <c r="Z19" s="189">
        <v>0</v>
      </c>
      <c r="AA19" s="189">
        <v>0</v>
      </c>
      <c r="AB19" s="189">
        <v>0</v>
      </c>
      <c r="AC19" s="189">
        <v>2402007.6800000002</v>
      </c>
      <c r="AD19" s="189">
        <v>0</v>
      </c>
      <c r="AE19" s="189">
        <v>0</v>
      </c>
      <c r="AF19" s="189">
        <v>0</v>
      </c>
      <c r="AG19" s="189">
        <v>335411.02</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row>
    <row r="20" spans="1:69" x14ac:dyDescent="0.25">
      <c r="A20" s="189" t="s">
        <v>207</v>
      </c>
      <c r="B20" s="189">
        <v>1252524462.8099999</v>
      </c>
      <c r="C20" s="189">
        <v>954963763.64999998</v>
      </c>
      <c r="D20" s="189">
        <v>596388971.82000005</v>
      </c>
      <c r="E20" s="189">
        <v>2165782070.1999998</v>
      </c>
      <c r="F20" s="189">
        <v>1577293396.3399999</v>
      </c>
      <c r="G20" s="189">
        <v>1051205672.8099999</v>
      </c>
      <c r="H20" s="189">
        <v>546224527.03999996</v>
      </c>
      <c r="I20" s="189">
        <v>1904709213.03</v>
      </c>
      <c r="J20" s="189">
        <v>1420889587.25</v>
      </c>
      <c r="K20" s="189">
        <v>938460272.28999996</v>
      </c>
      <c r="L20" s="189">
        <v>462373364.04000002</v>
      </c>
      <c r="M20" s="189">
        <v>1752271014.8099999</v>
      </c>
      <c r="N20" s="189">
        <v>1294118632.6199999</v>
      </c>
      <c r="O20" s="189">
        <v>865370043.05999994</v>
      </c>
      <c r="P20" s="189">
        <v>435743239.14999998</v>
      </c>
      <c r="Q20" s="189">
        <v>1549647795.8099999</v>
      </c>
      <c r="R20" s="189">
        <v>1051294319.71</v>
      </c>
      <c r="S20" s="189">
        <v>718026246.98000002</v>
      </c>
      <c r="T20" s="189">
        <v>356696265.94999999</v>
      </c>
      <c r="U20" s="189">
        <v>1289499171.1300001</v>
      </c>
      <c r="V20" s="189">
        <v>941513019.37</v>
      </c>
      <c r="W20" s="189">
        <v>635350159.33000004</v>
      </c>
      <c r="X20" s="189">
        <v>315036301.32999998</v>
      </c>
      <c r="Y20" s="189">
        <v>1067464269.1900001</v>
      </c>
      <c r="Z20" s="189">
        <v>812729475.40999997</v>
      </c>
      <c r="AA20" s="189">
        <v>548307167.83000004</v>
      </c>
      <c r="AB20" s="189">
        <v>260052968.78</v>
      </c>
      <c r="AC20" s="189">
        <v>976954065.20000005</v>
      </c>
      <c r="AD20" s="189">
        <v>725206336.19000006</v>
      </c>
      <c r="AE20" s="189">
        <v>476296075.52999997</v>
      </c>
      <c r="AF20" s="189">
        <v>232356885.11000001</v>
      </c>
      <c r="AG20" s="189">
        <v>834561805.65999997</v>
      </c>
      <c r="AH20" s="189">
        <v>656595056.27999997</v>
      </c>
      <c r="AI20" s="189">
        <v>398646635.97000003</v>
      </c>
      <c r="AJ20" s="189">
        <v>224890905.40000001</v>
      </c>
      <c r="AK20" s="189">
        <v>757259528.32000005</v>
      </c>
      <c r="AL20" s="189">
        <v>549179352.96000004</v>
      </c>
      <c r="AM20" s="189">
        <v>362305306.14999998</v>
      </c>
      <c r="AN20" s="189">
        <v>177048412.33000001</v>
      </c>
      <c r="AO20" s="189">
        <v>704793026.36000001</v>
      </c>
      <c r="AP20" s="189">
        <v>554659526.40999997</v>
      </c>
      <c r="AQ20" s="189">
        <v>369423677.38</v>
      </c>
      <c r="AR20" s="189">
        <v>189795408.37</v>
      </c>
      <c r="AS20" s="189">
        <v>598610117.03999996</v>
      </c>
      <c r="AT20" s="189">
        <v>515056478.07999998</v>
      </c>
      <c r="AU20" s="189">
        <v>306898218.41000003</v>
      </c>
      <c r="AV20" s="189">
        <v>153834679.15000001</v>
      </c>
      <c r="AW20" s="189">
        <v>470702070.56</v>
      </c>
      <c r="AX20" s="189">
        <v>364633380.01999998</v>
      </c>
      <c r="AY20" s="189">
        <v>216238210.19</v>
      </c>
      <c r="AZ20" s="189">
        <v>120340345.13</v>
      </c>
      <c r="BA20" s="189">
        <v>398737946.42000002</v>
      </c>
      <c r="BB20" s="189">
        <v>316355350.86000001</v>
      </c>
      <c r="BC20" s="189">
        <v>214708749.74000001</v>
      </c>
      <c r="BD20" s="189">
        <v>94187627.099999994</v>
      </c>
      <c r="BE20" s="189">
        <v>441576094.57999998</v>
      </c>
      <c r="BF20" s="189">
        <v>414794360.70999998</v>
      </c>
      <c r="BG20" s="189">
        <v>347942788.25</v>
      </c>
      <c r="BH20" s="189">
        <v>186202093.30000001</v>
      </c>
      <c r="BI20" s="189">
        <v>461241280.14999998</v>
      </c>
      <c r="BJ20" s="189">
        <v>316155150.54000002</v>
      </c>
      <c r="BK20" s="189">
        <v>141503275.65000001</v>
      </c>
      <c r="BL20" s="189">
        <v>111390593.90000001</v>
      </c>
      <c r="BM20" s="189">
        <v>368810223.75999999</v>
      </c>
      <c r="BN20" s="189">
        <v>171444535.5</v>
      </c>
      <c r="BO20" s="189">
        <v>314844161.39999998</v>
      </c>
      <c r="BP20" s="189">
        <v>309289979.00999999</v>
      </c>
      <c r="BQ20" s="189">
        <v>0</v>
      </c>
    </row>
    <row r="21" spans="1:69" x14ac:dyDescent="0.25">
      <c r="A21" s="189" t="s">
        <v>208</v>
      </c>
      <c r="B21" s="189">
        <v>312893396.74000001</v>
      </c>
      <c r="C21" s="189">
        <v>239172814.25</v>
      </c>
      <c r="D21" s="189">
        <v>159952657.62</v>
      </c>
      <c r="E21" s="189">
        <v>564537893.88</v>
      </c>
      <c r="F21" s="189">
        <v>397243514</v>
      </c>
      <c r="G21" s="189">
        <v>264754267.06</v>
      </c>
      <c r="H21" s="189">
        <v>135450088.46000001</v>
      </c>
      <c r="I21" s="189">
        <v>512767558.44</v>
      </c>
      <c r="J21" s="189">
        <v>361196177.08999997</v>
      </c>
      <c r="K21" s="189">
        <v>240383012.94999999</v>
      </c>
      <c r="L21" s="189">
        <v>117048465.54000001</v>
      </c>
      <c r="M21" s="189">
        <v>457704880.73000002</v>
      </c>
      <c r="N21" s="189">
        <v>330851984.33999997</v>
      </c>
      <c r="O21" s="189">
        <v>215826394.11000001</v>
      </c>
      <c r="P21" s="189">
        <v>111873062.23</v>
      </c>
      <c r="Q21" s="189">
        <v>392793096.38</v>
      </c>
      <c r="R21" s="189">
        <v>255606404.49000001</v>
      </c>
      <c r="S21" s="189">
        <v>160397553.15000001</v>
      </c>
      <c r="T21" s="189">
        <v>90681555.269999996</v>
      </c>
      <c r="U21" s="189">
        <v>338955137.13999999</v>
      </c>
      <c r="V21" s="189">
        <v>234245841.41</v>
      </c>
      <c r="W21" s="189">
        <v>156417397.94</v>
      </c>
      <c r="X21" s="189">
        <v>83887613.879999995</v>
      </c>
      <c r="Y21" s="189">
        <v>276351152.68000001</v>
      </c>
      <c r="Z21" s="189">
        <v>204310273.06999999</v>
      </c>
      <c r="AA21" s="189">
        <v>139660815.12</v>
      </c>
      <c r="AB21" s="189">
        <v>69214115.569999993</v>
      </c>
      <c r="AC21" s="189">
        <v>246602089.97</v>
      </c>
      <c r="AD21" s="189">
        <v>209152560.78</v>
      </c>
      <c r="AE21" s="189">
        <v>137306502.83000001</v>
      </c>
      <c r="AF21" s="189">
        <v>61108992.270000003</v>
      </c>
      <c r="AG21" s="189">
        <v>211965685.37</v>
      </c>
      <c r="AH21" s="189">
        <v>171610852.56999999</v>
      </c>
      <c r="AI21" s="189">
        <v>106108938.78</v>
      </c>
      <c r="AJ21" s="189">
        <v>57937097.990000002</v>
      </c>
      <c r="AK21" s="189">
        <v>190844656.52000001</v>
      </c>
      <c r="AL21" s="189">
        <v>148911478.52000001</v>
      </c>
      <c r="AM21" s="189">
        <v>92995539.760000005</v>
      </c>
      <c r="AN21" s="189">
        <v>48318041.299999997</v>
      </c>
      <c r="AO21" s="189">
        <v>187438506.90000001</v>
      </c>
      <c r="AP21" s="189">
        <v>150182469.93000001</v>
      </c>
      <c r="AQ21" s="189">
        <v>98486327.409999996</v>
      </c>
      <c r="AR21" s="189">
        <v>45848319.700000003</v>
      </c>
      <c r="AS21" s="189">
        <v>206272752.88999999</v>
      </c>
      <c r="AT21" s="189">
        <v>176775761.86000001</v>
      </c>
      <c r="AU21" s="189">
        <v>109645933.31</v>
      </c>
      <c r="AV21" s="189">
        <v>52616294.829999998</v>
      </c>
      <c r="AW21" s="189">
        <v>167426582</v>
      </c>
      <c r="AX21" s="189">
        <v>122166894.5</v>
      </c>
      <c r="AY21" s="189">
        <v>72644401.099999994</v>
      </c>
      <c r="AZ21" s="189">
        <v>38599612.770000003</v>
      </c>
      <c r="BA21" s="189">
        <v>137179840.69</v>
      </c>
      <c r="BB21" s="189">
        <v>119138346.31</v>
      </c>
      <c r="BC21" s="189">
        <v>83858977.530000001</v>
      </c>
      <c r="BD21" s="189">
        <v>32362982.66</v>
      </c>
      <c r="BE21" s="189">
        <v>141342176.59999999</v>
      </c>
      <c r="BF21" s="189">
        <v>137050805.11000001</v>
      </c>
      <c r="BG21" s="189">
        <v>113549304.54000001</v>
      </c>
      <c r="BH21" s="189">
        <v>58966055.18</v>
      </c>
      <c r="BI21" s="189">
        <v>149091404.65000001</v>
      </c>
      <c r="BJ21" s="189">
        <v>106834123.59999999</v>
      </c>
      <c r="BK21" s="189">
        <v>46836311.390000001</v>
      </c>
      <c r="BL21" s="189">
        <v>36383392.469999999</v>
      </c>
      <c r="BM21" s="189">
        <v>72220179.099999994</v>
      </c>
      <c r="BN21" s="189">
        <v>30833384.02</v>
      </c>
      <c r="BO21" s="189">
        <v>13866841.029999999</v>
      </c>
      <c r="BP21" s="189">
        <v>107360658.65000001</v>
      </c>
      <c r="BQ21" s="189">
        <v>0</v>
      </c>
    </row>
    <row r="22" spans="1:69" x14ac:dyDescent="0.25">
      <c r="A22" s="189" t="s">
        <v>209</v>
      </c>
      <c r="B22" s="189">
        <v>939631066.07000005</v>
      </c>
      <c r="C22" s="189">
        <v>715790949.39999998</v>
      </c>
      <c r="D22" s="189">
        <v>436436314.19999999</v>
      </c>
      <c r="E22" s="189">
        <v>1601244176.3199999</v>
      </c>
      <c r="F22" s="189">
        <v>1180049882.3399999</v>
      </c>
      <c r="G22" s="189">
        <v>786451405.75</v>
      </c>
      <c r="H22" s="189">
        <v>410774438.57999998</v>
      </c>
      <c r="I22" s="189">
        <v>1391941654.5899999</v>
      </c>
      <c r="J22" s="189">
        <v>1059693410.16</v>
      </c>
      <c r="K22" s="189">
        <v>698077259.34000003</v>
      </c>
      <c r="L22" s="189">
        <v>345324898.5</v>
      </c>
      <c r="M22" s="189">
        <v>1294566134.0799999</v>
      </c>
      <c r="N22" s="189">
        <v>963266648.27999997</v>
      </c>
      <c r="O22" s="189">
        <v>649543648.95000005</v>
      </c>
      <c r="P22" s="189">
        <v>323870176.92000002</v>
      </c>
      <c r="Q22" s="189">
        <v>1156854699.4300001</v>
      </c>
      <c r="R22" s="189">
        <v>795687915.22000003</v>
      </c>
      <c r="S22" s="189">
        <v>557628693.83000004</v>
      </c>
      <c r="T22" s="189">
        <v>266014710.68000001</v>
      </c>
      <c r="U22" s="189">
        <v>950544033.99000001</v>
      </c>
      <c r="V22" s="189">
        <v>707267177.96000004</v>
      </c>
      <c r="W22" s="189">
        <v>478932761.38999999</v>
      </c>
      <c r="X22" s="189">
        <v>231148687.44999999</v>
      </c>
      <c r="Y22" s="189">
        <v>791113116.50999999</v>
      </c>
      <c r="Z22" s="189">
        <v>608419202.34000003</v>
      </c>
      <c r="AA22" s="189">
        <v>408646352.70999998</v>
      </c>
      <c r="AB22" s="189">
        <v>190838853.21000001</v>
      </c>
      <c r="AC22" s="189">
        <v>730351975.23000002</v>
      </c>
      <c r="AD22" s="189">
        <v>516053775.41000003</v>
      </c>
      <c r="AE22" s="189">
        <v>338989572.69999999</v>
      </c>
      <c r="AF22" s="189">
        <v>171247892.84</v>
      </c>
      <c r="AG22" s="189">
        <v>622596120.28999996</v>
      </c>
      <c r="AH22" s="189">
        <v>484984203.70999998</v>
      </c>
      <c r="AI22" s="189">
        <v>292537697.19</v>
      </c>
      <c r="AJ22" s="189">
        <v>166953807.41</v>
      </c>
      <c r="AK22" s="189">
        <v>566414871.79999995</v>
      </c>
      <c r="AL22" s="189">
        <v>400267874.44</v>
      </c>
      <c r="AM22" s="189">
        <v>269309766.38999999</v>
      </c>
      <c r="AN22" s="189">
        <v>128730371.03</v>
      </c>
      <c r="AO22" s="189">
        <v>517354519.45999998</v>
      </c>
      <c r="AP22" s="189">
        <v>404477056.48000002</v>
      </c>
      <c r="AQ22" s="189">
        <v>270937349.97000003</v>
      </c>
      <c r="AR22" s="189">
        <v>143947088.66999999</v>
      </c>
      <c r="AS22" s="189">
        <v>392337364.14999998</v>
      </c>
      <c r="AT22" s="189">
        <v>338280716.22000003</v>
      </c>
      <c r="AU22" s="189">
        <v>197252285.09999999</v>
      </c>
      <c r="AV22" s="189">
        <v>101218384.31999999</v>
      </c>
      <c r="AW22" s="189">
        <v>303275488.56</v>
      </c>
      <c r="AX22" s="189">
        <v>242466485.52000001</v>
      </c>
      <c r="AY22" s="189">
        <v>143593809.09</v>
      </c>
      <c r="AZ22" s="189">
        <v>81740732.359999999</v>
      </c>
      <c r="BA22" s="189">
        <v>261558105.72999999</v>
      </c>
      <c r="BB22" s="189">
        <v>197217004.55000001</v>
      </c>
      <c r="BC22" s="189">
        <v>130849772.20999999</v>
      </c>
      <c r="BD22" s="189">
        <v>61824644.439999998</v>
      </c>
      <c r="BE22" s="189">
        <v>300233917.98000002</v>
      </c>
      <c r="BF22" s="189">
        <v>277743555.60000002</v>
      </c>
      <c r="BG22" s="189">
        <v>234393483.71000001</v>
      </c>
      <c r="BH22" s="189">
        <v>127236038.12</v>
      </c>
      <c r="BI22" s="189">
        <v>312149875.5</v>
      </c>
      <c r="BJ22" s="189">
        <v>209321026.94</v>
      </c>
      <c r="BK22" s="189">
        <v>94666964.260000005</v>
      </c>
      <c r="BL22" s="189">
        <v>75007201.430000007</v>
      </c>
      <c r="BM22" s="189">
        <v>296590044.66000003</v>
      </c>
      <c r="BN22" s="189">
        <v>140611151.47999999</v>
      </c>
      <c r="BO22" s="189">
        <v>300977320.37</v>
      </c>
      <c r="BP22" s="189">
        <v>201929320.36000001</v>
      </c>
      <c r="BQ22" s="189">
        <v>0</v>
      </c>
    </row>
    <row r="23" spans="1:69" x14ac:dyDescent="0.25">
      <c r="A23" s="189" t="s">
        <v>210</v>
      </c>
      <c r="B23" s="189">
        <v>918641025.99000001</v>
      </c>
      <c r="C23" s="189">
        <v>703051235</v>
      </c>
      <c r="D23" s="189">
        <v>432826612.20999998</v>
      </c>
      <c r="E23" s="189">
        <v>1595784592.5899999</v>
      </c>
      <c r="F23" s="189">
        <v>1176700708.3199999</v>
      </c>
      <c r="G23" s="189">
        <v>780903028.41999996</v>
      </c>
      <c r="H23" s="189">
        <v>407846549.47000003</v>
      </c>
      <c r="I23" s="189">
        <v>1393853026.3699999</v>
      </c>
      <c r="J23" s="189">
        <v>1056932376.4</v>
      </c>
      <c r="K23" s="189">
        <v>695025940.85000002</v>
      </c>
      <c r="L23" s="189">
        <v>345791052.62</v>
      </c>
      <c r="M23" s="189">
        <v>1253091059.71</v>
      </c>
      <c r="N23" s="189">
        <v>926277348.71000004</v>
      </c>
      <c r="O23" s="189">
        <v>618245247.39999998</v>
      </c>
      <c r="P23" s="189">
        <v>309451513.69</v>
      </c>
      <c r="Q23" s="189">
        <v>1087642575.52</v>
      </c>
      <c r="R23" s="189">
        <v>744891353.11000001</v>
      </c>
      <c r="S23" s="189">
        <v>524344963.94</v>
      </c>
      <c r="T23" s="189">
        <v>249154031.78999999</v>
      </c>
      <c r="U23" s="189">
        <v>894957615.67999995</v>
      </c>
      <c r="V23" s="189">
        <v>664635416.01999998</v>
      </c>
      <c r="W23" s="189">
        <v>451345703.25999999</v>
      </c>
      <c r="X23" s="189">
        <v>216375017.34999999</v>
      </c>
      <c r="Y23" s="189">
        <v>753089789.84000003</v>
      </c>
      <c r="Z23" s="189">
        <v>576252796.05999994</v>
      </c>
      <c r="AA23" s="189">
        <v>389103213.63999999</v>
      </c>
      <c r="AB23" s="189">
        <v>180215609.80000001</v>
      </c>
      <c r="AC23" s="189">
        <v>697102478.88999999</v>
      </c>
      <c r="AD23" s="189">
        <v>494608509.16000003</v>
      </c>
      <c r="AE23" s="189">
        <v>328126981.55000001</v>
      </c>
      <c r="AF23" s="189">
        <v>166598374.13999999</v>
      </c>
      <c r="AG23" s="189">
        <v>587778570.53999996</v>
      </c>
      <c r="AH23" s="189">
        <v>456151344.94999999</v>
      </c>
      <c r="AI23" s="189">
        <v>274013149.07999998</v>
      </c>
      <c r="AJ23" s="189">
        <v>157556852.5</v>
      </c>
      <c r="AK23" s="189">
        <v>543894656.67999995</v>
      </c>
      <c r="AL23" s="189">
        <v>378685744.02999997</v>
      </c>
      <c r="AM23" s="189">
        <v>253905290.53999999</v>
      </c>
      <c r="AN23" s="189">
        <v>120362159.31</v>
      </c>
      <c r="AO23" s="189">
        <v>485774462.75</v>
      </c>
      <c r="AP23" s="189">
        <v>375066200.54000002</v>
      </c>
      <c r="AQ23" s="189">
        <v>250235105.31999999</v>
      </c>
      <c r="AR23" s="189">
        <v>132641967.28</v>
      </c>
      <c r="AS23" s="189">
        <v>360862631.91000003</v>
      </c>
      <c r="AT23" s="189">
        <v>302777791.60000002</v>
      </c>
      <c r="AU23" s="189">
        <v>186879370.18000001</v>
      </c>
      <c r="AV23" s="189">
        <v>95421081.159999996</v>
      </c>
      <c r="AW23" s="189">
        <v>292204459.74000001</v>
      </c>
      <c r="AX23" s="189">
        <v>219300985.94999999</v>
      </c>
      <c r="AY23" s="189">
        <v>128427872.87</v>
      </c>
      <c r="AZ23" s="189">
        <v>71764066.379999995</v>
      </c>
      <c r="BA23" s="189">
        <v>251512856.24000001</v>
      </c>
      <c r="BB23" s="189">
        <v>193439102.16999999</v>
      </c>
      <c r="BC23" s="189">
        <v>129581746.29000001</v>
      </c>
      <c r="BD23" s="189">
        <v>62531691.469999999</v>
      </c>
      <c r="BE23" s="189">
        <v>283571668.23000002</v>
      </c>
      <c r="BF23" s="189">
        <v>263207860.80000001</v>
      </c>
      <c r="BG23" s="189">
        <v>223202810.31999999</v>
      </c>
      <c r="BH23" s="189">
        <v>120968226.44</v>
      </c>
      <c r="BI23" s="189">
        <v>296143763.63999999</v>
      </c>
      <c r="BJ23" s="189">
        <v>201695428.91</v>
      </c>
      <c r="BK23" s="189">
        <v>93269866.430000007</v>
      </c>
      <c r="BL23" s="189">
        <v>71703867.159999996</v>
      </c>
      <c r="BM23" s="189">
        <v>286680304.5</v>
      </c>
      <c r="BN23" s="189">
        <v>136567896.71000001</v>
      </c>
      <c r="BO23" s="189">
        <v>296790169.30000001</v>
      </c>
      <c r="BP23" s="189">
        <v>196757724.33000001</v>
      </c>
      <c r="BQ23" s="189">
        <v>0</v>
      </c>
    </row>
    <row r="24" spans="1:69" x14ac:dyDescent="0.25">
      <c r="A24" s="189" t="s">
        <v>211</v>
      </c>
      <c r="B24" s="189">
        <v>20990040.079999998</v>
      </c>
      <c r="C24" s="189">
        <v>12739714.4</v>
      </c>
      <c r="D24" s="189">
        <v>3609701.99</v>
      </c>
      <c r="E24" s="189">
        <v>5459583.7300000004</v>
      </c>
      <c r="F24" s="189">
        <v>3349174.02</v>
      </c>
      <c r="G24" s="189">
        <v>5548377.3300000001</v>
      </c>
      <c r="H24" s="189">
        <v>2927889.11</v>
      </c>
      <c r="I24" s="189">
        <v>-1911371.78</v>
      </c>
      <c r="J24" s="189">
        <v>2761033.76</v>
      </c>
      <c r="K24" s="189">
        <v>3051318.49</v>
      </c>
      <c r="L24" s="189">
        <v>-466154.12</v>
      </c>
      <c r="M24" s="189">
        <v>41475074.369999997</v>
      </c>
      <c r="N24" s="189">
        <v>36989299.57</v>
      </c>
      <c r="O24" s="189">
        <v>31298401.550000001</v>
      </c>
      <c r="P24" s="189">
        <v>14418663.23</v>
      </c>
      <c r="Q24" s="189">
        <v>69212123.909999996</v>
      </c>
      <c r="R24" s="189">
        <v>50796562.109999999</v>
      </c>
      <c r="S24" s="189">
        <v>33283729.890000001</v>
      </c>
      <c r="T24" s="189">
        <v>16860678.890000001</v>
      </c>
      <c r="U24" s="189">
        <v>55586418.310000002</v>
      </c>
      <c r="V24" s="189">
        <v>42631761.939999998</v>
      </c>
      <c r="W24" s="189">
        <v>27587058.129999999</v>
      </c>
      <c r="X24" s="189">
        <v>14773670.1</v>
      </c>
      <c r="Y24" s="189">
        <v>38023326.670000002</v>
      </c>
      <c r="Z24" s="189">
        <v>32166406.280000001</v>
      </c>
      <c r="AA24" s="189">
        <v>19543139.07</v>
      </c>
      <c r="AB24" s="189">
        <v>10623243.41</v>
      </c>
      <c r="AC24" s="189">
        <v>33249496.34</v>
      </c>
      <c r="AD24" s="189">
        <v>21445266.25</v>
      </c>
      <c r="AE24" s="189">
        <v>10862591.15</v>
      </c>
      <c r="AF24" s="189">
        <v>4649518.7</v>
      </c>
      <c r="AG24" s="189">
        <v>34817549.75</v>
      </c>
      <c r="AH24" s="189">
        <v>28832858.760000002</v>
      </c>
      <c r="AI24" s="189">
        <v>18524548.109999999</v>
      </c>
      <c r="AJ24" s="189">
        <v>9396954.9100000001</v>
      </c>
      <c r="AK24" s="189">
        <v>22520215.120000001</v>
      </c>
      <c r="AL24" s="189">
        <v>21582130.41</v>
      </c>
      <c r="AM24" s="189">
        <v>15404475.85</v>
      </c>
      <c r="AN24" s="189">
        <v>8368211.7199999997</v>
      </c>
      <c r="AO24" s="189">
        <v>31580056.710000001</v>
      </c>
      <c r="AP24" s="189">
        <v>29410855.940000001</v>
      </c>
      <c r="AQ24" s="189">
        <v>20702244.649999999</v>
      </c>
      <c r="AR24" s="189">
        <v>11305121.390000001</v>
      </c>
      <c r="AS24" s="189">
        <v>31474732.239999998</v>
      </c>
      <c r="AT24" s="189">
        <v>35502924.619999997</v>
      </c>
      <c r="AU24" s="189">
        <v>10372914.92</v>
      </c>
      <c r="AV24" s="189">
        <v>0</v>
      </c>
      <c r="AW24" s="189">
        <v>11071028.82</v>
      </c>
      <c r="AX24" s="189">
        <v>23165499.57</v>
      </c>
      <c r="AY24" s="189">
        <v>15165936.220000001</v>
      </c>
      <c r="AZ24" s="189">
        <v>9976665.9800000004</v>
      </c>
      <c r="BA24" s="189">
        <v>10045249.49</v>
      </c>
      <c r="BB24" s="189">
        <v>3777902.38</v>
      </c>
      <c r="BC24" s="189">
        <v>1268025.92</v>
      </c>
      <c r="BD24" s="189">
        <v>-707047.03</v>
      </c>
      <c r="BE24" s="189">
        <v>16662249.75</v>
      </c>
      <c r="BF24" s="189">
        <v>14535694.800000001</v>
      </c>
      <c r="BG24" s="189">
        <v>11190673.390000001</v>
      </c>
      <c r="BH24" s="189">
        <v>6267811.6799999997</v>
      </c>
      <c r="BI24" s="189">
        <v>16006111.859999999</v>
      </c>
      <c r="BJ24" s="189">
        <v>7625598.0300000003</v>
      </c>
      <c r="BK24" s="189">
        <v>1397097.83</v>
      </c>
      <c r="BL24" s="189">
        <v>3303334.27</v>
      </c>
      <c r="BM24" s="189">
        <v>9909740.1600000001</v>
      </c>
      <c r="BN24" s="189">
        <v>4043254.77</v>
      </c>
      <c r="BO24" s="189">
        <v>4187151.07</v>
      </c>
      <c r="BP24" s="189">
        <v>5171596.03</v>
      </c>
      <c r="BQ24" s="189">
        <v>0</v>
      </c>
    </row>
    <row r="25" spans="1:69" x14ac:dyDescent="0.25">
      <c r="A25" s="189" t="s">
        <v>212</v>
      </c>
    </row>
    <row r="26" spans="1:69" x14ac:dyDescent="0.25">
      <c r="A26" s="189" t="s">
        <v>213</v>
      </c>
      <c r="B26" s="189">
        <v>0.44</v>
      </c>
      <c r="C26" s="189">
        <v>0.34</v>
      </c>
      <c r="D26" s="189">
        <v>0.21</v>
      </c>
      <c r="E26" s="189">
        <v>0.82</v>
      </c>
      <c r="F26" s="189">
        <v>0.56999999999999995</v>
      </c>
      <c r="G26" s="189">
        <v>0.55000000000000004</v>
      </c>
      <c r="H26" s="189">
        <v>0.35</v>
      </c>
      <c r="I26" s="189">
        <v>1.21</v>
      </c>
      <c r="J26" s="189">
        <v>0.92</v>
      </c>
      <c r="K26" s="189">
        <v>0.6</v>
      </c>
      <c r="L26" s="189">
        <v>0.3</v>
      </c>
      <c r="M26" s="189">
        <v>1.0900000000000001</v>
      </c>
      <c r="N26" s="189">
        <v>0.81</v>
      </c>
      <c r="O26" s="189">
        <v>0.54</v>
      </c>
      <c r="P26" s="189">
        <v>0.26900000000000002</v>
      </c>
      <c r="Q26" s="189">
        <v>0.95</v>
      </c>
      <c r="R26" s="189">
        <v>0.64800000000000002</v>
      </c>
      <c r="S26" s="189">
        <v>0.46</v>
      </c>
      <c r="T26" s="189">
        <v>0.217</v>
      </c>
      <c r="U26" s="189">
        <v>0.78</v>
      </c>
      <c r="V26" s="189">
        <v>0.57799999999999996</v>
      </c>
      <c r="W26" s="189">
        <v>0.39200000000000002</v>
      </c>
      <c r="X26" s="189">
        <v>0.188</v>
      </c>
      <c r="Y26" s="189">
        <v>0.65</v>
      </c>
      <c r="Z26" s="189">
        <v>0.501</v>
      </c>
      <c r="AA26" s="189">
        <v>0.33800000000000002</v>
      </c>
      <c r="AB26" s="189">
        <v>0.157</v>
      </c>
      <c r="AC26" s="189">
        <v>0.61</v>
      </c>
      <c r="AD26" s="189">
        <v>0.43</v>
      </c>
      <c r="AE26" s="189">
        <v>0.28499999999999998</v>
      </c>
      <c r="AF26" s="189">
        <v>0.14499999999999999</v>
      </c>
      <c r="AG26" s="189">
        <v>0.51</v>
      </c>
      <c r="AH26" s="189">
        <v>0.4</v>
      </c>
      <c r="AI26" s="189">
        <v>0.23799999999999999</v>
      </c>
      <c r="AJ26" s="189">
        <v>0.13700000000000001</v>
      </c>
      <c r="AK26" s="189">
        <v>0.47</v>
      </c>
      <c r="AL26" s="189">
        <v>0.32900000000000001</v>
      </c>
      <c r="AM26" s="189">
        <v>0.221</v>
      </c>
      <c r="AN26" s="189">
        <v>0.105</v>
      </c>
      <c r="AO26" s="189">
        <v>0.42</v>
      </c>
      <c r="AP26" s="189">
        <v>0.32600000000000001</v>
      </c>
      <c r="AQ26" s="189">
        <v>0.22</v>
      </c>
      <c r="AR26" s="189">
        <v>0.115</v>
      </c>
      <c r="AS26" s="189">
        <v>0.36</v>
      </c>
      <c r="AT26" s="189">
        <v>0.30299999999999999</v>
      </c>
      <c r="AU26" s="189">
        <v>0.187</v>
      </c>
      <c r="AV26" s="189">
        <v>9.5000000000000001E-2</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row>
    <row r="27" spans="1:69" x14ac:dyDescent="0.25">
      <c r="A27" s="189" t="s">
        <v>214</v>
      </c>
      <c r="B27" s="189">
        <v>0.44</v>
      </c>
      <c r="C27" s="189">
        <v>0.34</v>
      </c>
      <c r="D27" s="189">
        <v>0.21</v>
      </c>
      <c r="E27" s="189">
        <v>0.82</v>
      </c>
      <c r="F27" s="189">
        <v>0.56999999999999995</v>
      </c>
      <c r="G27" s="189">
        <v>0.55000000000000004</v>
      </c>
      <c r="H27" s="189">
        <v>0.28999999999999998</v>
      </c>
      <c r="I27" s="189">
        <v>0.98</v>
      </c>
      <c r="J27" s="189">
        <v>0.92</v>
      </c>
      <c r="K27" s="189">
        <v>0.6</v>
      </c>
      <c r="L27" s="189">
        <v>0.3</v>
      </c>
      <c r="M27" s="189">
        <v>1.0900000000000001</v>
      </c>
      <c r="N27" s="189">
        <v>0.81</v>
      </c>
      <c r="O27" s="189">
        <v>0.54</v>
      </c>
      <c r="P27" s="189">
        <v>0.26900000000000002</v>
      </c>
      <c r="Q27" s="189">
        <v>0.95</v>
      </c>
      <c r="R27" s="189">
        <v>0.64800000000000002</v>
      </c>
      <c r="S27" s="189">
        <v>0.46</v>
      </c>
      <c r="T27" s="189">
        <v>0.217</v>
      </c>
      <c r="U27" s="189">
        <v>0.78</v>
      </c>
      <c r="V27" s="189">
        <v>0.57799999999999996</v>
      </c>
      <c r="W27" s="189">
        <v>0.39200000000000002</v>
      </c>
      <c r="X27" s="189">
        <v>0.188</v>
      </c>
      <c r="Y27" s="189">
        <v>0.65</v>
      </c>
      <c r="Z27" s="189">
        <v>0.501</v>
      </c>
      <c r="AA27" s="189">
        <v>0.33800000000000002</v>
      </c>
      <c r="AB27" s="189">
        <v>0.157</v>
      </c>
      <c r="AC27" s="189">
        <v>0.61</v>
      </c>
      <c r="AD27" s="189">
        <v>0.43</v>
      </c>
      <c r="AE27" s="189">
        <v>0.28499999999999998</v>
      </c>
      <c r="AF27" s="189">
        <v>0.14499999999999999</v>
      </c>
      <c r="AG27" s="189">
        <v>0.51</v>
      </c>
      <c r="AH27" s="189">
        <v>0.4</v>
      </c>
      <c r="AI27" s="189">
        <v>0.23799999999999999</v>
      </c>
      <c r="AJ27" s="189">
        <v>0.13700000000000001</v>
      </c>
      <c r="AK27" s="189">
        <v>0.47</v>
      </c>
      <c r="AL27" s="189">
        <v>0.32900000000000001</v>
      </c>
      <c r="AM27" s="189">
        <v>0.221</v>
      </c>
      <c r="AN27" s="189">
        <v>0.105</v>
      </c>
      <c r="AO27" s="189">
        <v>0.42</v>
      </c>
      <c r="AP27" s="189">
        <v>0.32600000000000001</v>
      </c>
      <c r="AQ27" s="189">
        <v>0.22</v>
      </c>
      <c r="AR27" s="189">
        <v>0.115</v>
      </c>
      <c r="AS27" s="189">
        <v>0.36</v>
      </c>
      <c r="AT27" s="189">
        <v>0.30299999999999999</v>
      </c>
      <c r="AU27" s="189">
        <v>0.187</v>
      </c>
      <c r="AV27" s="189">
        <v>9.5000000000000001E-2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row>
    <row r="28" spans="1:69" x14ac:dyDescent="0.25">
      <c r="A28" s="189" t="s">
        <v>215</v>
      </c>
      <c r="B28" s="189">
        <v>-4523558.55</v>
      </c>
      <c r="C28" s="189">
        <v>-12601341.68</v>
      </c>
      <c r="D28" s="189">
        <v>969333.98</v>
      </c>
      <c r="E28" s="189">
        <v>3232658.49</v>
      </c>
      <c r="F28" s="189">
        <v>4523558.55</v>
      </c>
      <c r="G28" s="189">
        <v>4523558.55</v>
      </c>
      <c r="H28" s="189">
        <v>6462226.5</v>
      </c>
      <c r="I28" s="189">
        <v>-10662575.970000001</v>
      </c>
      <c r="J28" s="189">
        <v>-14540009.630000001</v>
      </c>
      <c r="K28" s="189">
        <v>-15509343.6</v>
      </c>
      <c r="L28" s="189">
        <v>-15832454.93</v>
      </c>
      <c r="M28" s="189">
        <v>-20679124.800000001</v>
      </c>
      <c r="N28" s="189">
        <v>-32311132.5</v>
      </c>
      <c r="O28" s="189">
        <v>15509343.6</v>
      </c>
      <c r="P28" s="189">
        <v>-4846669.88</v>
      </c>
      <c r="Q28" s="189">
        <v>71691335.209999993</v>
      </c>
      <c r="R28" s="189">
        <v>3497536.66</v>
      </c>
      <c r="S28" s="189">
        <v>-3934023.82</v>
      </c>
      <c r="T28" s="189">
        <v>-5823992.6100000003</v>
      </c>
      <c r="U28" s="189">
        <v>-13441834.41</v>
      </c>
      <c r="V28" s="189">
        <v>0</v>
      </c>
      <c r="W28" s="189">
        <v>-5280000</v>
      </c>
      <c r="X28" s="189">
        <v>5610000</v>
      </c>
      <c r="Y28" s="189">
        <v>5610000</v>
      </c>
      <c r="Z28" s="189">
        <v>0</v>
      </c>
      <c r="AA28" s="189">
        <v>-1320000</v>
      </c>
      <c r="AB28" s="189">
        <v>-990000</v>
      </c>
      <c r="AC28" s="189">
        <v>-35640000</v>
      </c>
      <c r="AD28" s="189">
        <v>0</v>
      </c>
      <c r="AE28" s="189">
        <v>-20130000</v>
      </c>
      <c r="AF28" s="189">
        <v>-4290000</v>
      </c>
      <c r="AG28" s="189">
        <v>72180000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row>
    <row r="29" spans="1:69" x14ac:dyDescent="0.25">
      <c r="A29" s="189" t="s">
        <v>216</v>
      </c>
      <c r="B29" s="189">
        <v>935107507.51999998</v>
      </c>
      <c r="C29" s="189">
        <v>703189607.72000003</v>
      </c>
      <c r="D29" s="189">
        <v>437405648.18000001</v>
      </c>
      <c r="E29" s="189">
        <v>1604476834.8099999</v>
      </c>
      <c r="F29" s="189">
        <v>1184573440.8900001</v>
      </c>
      <c r="G29" s="189">
        <v>790974964.29999995</v>
      </c>
      <c r="H29" s="189">
        <v>417236665.07999998</v>
      </c>
      <c r="I29" s="189">
        <v>1381279078.6199999</v>
      </c>
      <c r="J29" s="189">
        <v>1045153400.53</v>
      </c>
      <c r="K29" s="189">
        <v>682567915.74000001</v>
      </c>
      <c r="L29" s="189">
        <v>329492443.56999999</v>
      </c>
      <c r="M29" s="189">
        <v>1273887009.28</v>
      </c>
      <c r="N29" s="189">
        <v>930955515.77999997</v>
      </c>
      <c r="O29" s="189">
        <v>665052992.54999995</v>
      </c>
      <c r="P29" s="189">
        <v>319023507.04000002</v>
      </c>
      <c r="Q29" s="189">
        <v>1228546034.6400001</v>
      </c>
      <c r="R29" s="189">
        <v>799185451.88</v>
      </c>
      <c r="S29" s="189">
        <v>553694670.00999999</v>
      </c>
      <c r="T29" s="189">
        <v>260190718.06999999</v>
      </c>
      <c r="U29" s="189">
        <v>937102199.58000004</v>
      </c>
      <c r="V29" s="189">
        <v>0</v>
      </c>
      <c r="W29" s="189">
        <v>473652761.38999999</v>
      </c>
      <c r="X29" s="189">
        <v>236758687.44999999</v>
      </c>
      <c r="Y29" s="189">
        <v>796723116.50999999</v>
      </c>
      <c r="Z29" s="189">
        <v>0</v>
      </c>
      <c r="AA29" s="189">
        <v>407326352.70999998</v>
      </c>
      <c r="AB29" s="189">
        <v>189848853.21000001</v>
      </c>
      <c r="AC29" s="189">
        <v>694711975.23000002</v>
      </c>
      <c r="AD29" s="189">
        <v>0</v>
      </c>
      <c r="AE29" s="189">
        <v>318859572.69999999</v>
      </c>
      <c r="AF29" s="189">
        <v>166957892.84</v>
      </c>
      <c r="AG29" s="189">
        <v>694776120.28999996</v>
      </c>
      <c r="AH29" s="189">
        <v>0</v>
      </c>
      <c r="AI29" s="189">
        <v>292537697.19</v>
      </c>
      <c r="AJ29" s="189">
        <v>166953807.41</v>
      </c>
      <c r="AK29" s="189">
        <v>566414871.79999995</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row>
    <row r="30" spans="1:69" x14ac:dyDescent="0.25">
      <c r="A30" s="189" t="s">
        <v>217</v>
      </c>
      <c r="B30" s="189">
        <v>914117467.44000006</v>
      </c>
      <c r="C30" s="189">
        <v>690449893.32000005</v>
      </c>
      <c r="D30" s="189">
        <v>433795946.19</v>
      </c>
      <c r="E30" s="189">
        <v>1599541028.6099999</v>
      </c>
      <c r="F30" s="189">
        <v>1181224266.8699999</v>
      </c>
      <c r="G30" s="189">
        <v>785426586.97000003</v>
      </c>
      <c r="H30" s="189">
        <v>414308775.97000003</v>
      </c>
      <c r="I30" s="189">
        <v>1383190450.4000001</v>
      </c>
      <c r="J30" s="189">
        <v>1042392366.77</v>
      </c>
      <c r="K30" s="189">
        <v>679516597.25</v>
      </c>
      <c r="L30" s="189">
        <v>329958597.69</v>
      </c>
      <c r="M30" s="189">
        <v>1232411934.9100001</v>
      </c>
      <c r="N30" s="189">
        <v>893966216.21000004</v>
      </c>
      <c r="O30" s="189">
        <v>633754591</v>
      </c>
      <c r="P30" s="189">
        <v>304604843.81</v>
      </c>
      <c r="Q30" s="189">
        <v>1159333910.73</v>
      </c>
      <c r="R30" s="189">
        <v>748388889.76999998</v>
      </c>
      <c r="S30" s="189">
        <v>520410940.12</v>
      </c>
      <c r="T30" s="189">
        <v>243330039.18000001</v>
      </c>
      <c r="U30" s="189">
        <v>881515781.26999998</v>
      </c>
      <c r="V30" s="189">
        <v>0</v>
      </c>
      <c r="W30" s="189">
        <v>446065703.25999999</v>
      </c>
      <c r="X30" s="189">
        <v>221985017.34999999</v>
      </c>
      <c r="Y30" s="189">
        <v>758699789.84000003</v>
      </c>
      <c r="Z30" s="189">
        <v>0</v>
      </c>
      <c r="AA30" s="189">
        <v>387783213.63999999</v>
      </c>
      <c r="AB30" s="189">
        <v>179225609.80000001</v>
      </c>
      <c r="AC30" s="189">
        <v>661462478.88999999</v>
      </c>
      <c r="AD30" s="189">
        <v>0</v>
      </c>
      <c r="AE30" s="189">
        <v>307996981.55000001</v>
      </c>
      <c r="AF30" s="189">
        <v>162308374.13999999</v>
      </c>
      <c r="AG30" s="189">
        <v>659958570.53999996</v>
      </c>
      <c r="AH30" s="189">
        <v>0</v>
      </c>
      <c r="AI30" s="189">
        <v>274013149.07999998</v>
      </c>
      <c r="AJ30" s="189">
        <v>157556852.5</v>
      </c>
      <c r="AK30" s="189">
        <v>543894656.67999995</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row>
    <row r="31" spans="1:69" x14ac:dyDescent="0.25">
      <c r="A31" s="189" t="s">
        <v>218</v>
      </c>
      <c r="B31" s="189">
        <v>20990040.079999998</v>
      </c>
      <c r="C31" s="189">
        <v>12739714.4</v>
      </c>
      <c r="D31" s="189">
        <v>3609701.99</v>
      </c>
      <c r="E31" s="189">
        <v>4935806.2</v>
      </c>
      <c r="F31" s="189">
        <v>3349174.02</v>
      </c>
      <c r="G31" s="189">
        <v>5548377.3300000001</v>
      </c>
      <c r="H31" s="189">
        <v>2927889.11</v>
      </c>
      <c r="I31" s="189">
        <v>-1911371.78</v>
      </c>
      <c r="J31" s="189">
        <v>2761033.76</v>
      </c>
      <c r="K31" s="189">
        <v>3051318.49</v>
      </c>
      <c r="L31" s="189">
        <v>-466154.12</v>
      </c>
      <c r="M31" s="189">
        <v>41475074.369999997</v>
      </c>
      <c r="N31" s="189">
        <v>36989299.57</v>
      </c>
      <c r="O31" s="189">
        <v>31298401.550000001</v>
      </c>
      <c r="P31" s="189">
        <v>14418663.23</v>
      </c>
      <c r="Q31" s="189">
        <v>69212123.909999996</v>
      </c>
      <c r="R31" s="189">
        <v>50796562.109999999</v>
      </c>
      <c r="S31" s="189">
        <v>33283729.890000001</v>
      </c>
      <c r="T31" s="189">
        <v>16860678.890000001</v>
      </c>
      <c r="U31" s="189">
        <v>55586418.310000002</v>
      </c>
      <c r="V31" s="189">
        <v>0</v>
      </c>
      <c r="W31" s="189">
        <v>27587058.129999999</v>
      </c>
      <c r="X31" s="189">
        <v>14773670.1</v>
      </c>
      <c r="Y31" s="189">
        <v>38023326.670000002</v>
      </c>
      <c r="Z31" s="189">
        <v>0</v>
      </c>
      <c r="AA31" s="189">
        <v>19543139.07</v>
      </c>
      <c r="AB31" s="189">
        <v>10623243.41</v>
      </c>
      <c r="AC31" s="189">
        <v>33249496.34</v>
      </c>
      <c r="AD31" s="189">
        <v>0</v>
      </c>
      <c r="AE31" s="189">
        <v>10862591.15</v>
      </c>
      <c r="AF31" s="189">
        <v>4649518.7</v>
      </c>
      <c r="AG31" s="189">
        <v>34817549.75</v>
      </c>
      <c r="AH31" s="189">
        <v>0</v>
      </c>
      <c r="AI31" s="189">
        <v>18524548.109999999</v>
      </c>
      <c r="AJ31" s="189">
        <v>9396954.9100000001</v>
      </c>
      <c r="AK31" s="189">
        <v>22520215.120000001</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O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6" width="12.77734375" style="189" hidden="1" customWidth="1"/>
    <col min="7" max="8" width="13.88671875" style="189" hidden="1" customWidth="1"/>
    <col min="9" max="9" width="13.88671875" style="189" bestFit="1" customWidth="1"/>
    <col min="10" max="10" width="12.77734375" style="189" hidden="1" customWidth="1"/>
    <col min="11" max="11" width="13.88671875" style="189" hidden="1" customWidth="1"/>
    <col min="12" max="12" width="12.777343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20" width="13.88671875" style="189" hidden="1" customWidth="1"/>
    <col min="21" max="21" width="12.77734375" style="189" bestFit="1" customWidth="1"/>
    <col min="22" max="23" width="13.88671875" style="189" hidden="1" customWidth="1"/>
    <col min="24" max="24" width="12.777343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2.77734375" style="189" hidden="1" customWidth="1"/>
    <col min="67" max="67" width="9.5546875" style="189" hidden="1" customWidth="1"/>
    <col min="68" max="16384" width="8.88671875" style="189"/>
  </cols>
  <sheetData>
    <row r="1" spans="1:67"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19700101</v>
      </c>
    </row>
    <row r="2" spans="1:67"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row>
    <row r="3" spans="1:67" x14ac:dyDescent="0.25">
      <c r="A3" s="189" t="s">
        <v>219</v>
      </c>
    </row>
    <row r="4" spans="1:67" x14ac:dyDescent="0.25">
      <c r="A4" s="189" t="s">
        <v>220</v>
      </c>
      <c r="B4" s="189">
        <v>5877994678.1499996</v>
      </c>
      <c r="C4" s="189">
        <v>3936362517.1999998</v>
      </c>
      <c r="D4" s="189">
        <v>1653058831.3399999</v>
      </c>
      <c r="E4" s="189">
        <v>7029230708.5799999</v>
      </c>
      <c r="F4" s="189">
        <v>4715182016.2399998</v>
      </c>
      <c r="G4" s="189">
        <v>3790812156.7399998</v>
      </c>
      <c r="H4" s="189">
        <v>1427502353.99</v>
      </c>
      <c r="I4" s="189">
        <v>6260336625.1099997</v>
      </c>
      <c r="J4" s="189">
        <v>4398519488.8999996</v>
      </c>
      <c r="K4" s="189">
        <v>3105419322.5900002</v>
      </c>
      <c r="L4" s="189">
        <v>1169156787.8</v>
      </c>
      <c r="M4" s="189">
        <v>5880646332.3500004</v>
      </c>
      <c r="N4" s="189">
        <v>4183998348.0799999</v>
      </c>
      <c r="O4" s="189">
        <v>3034521738.8899999</v>
      </c>
      <c r="P4" s="189">
        <v>1136842589.3499999</v>
      </c>
      <c r="Q4" s="189">
        <v>5804854455.4399996</v>
      </c>
      <c r="R4" s="189">
        <v>3967893767.79</v>
      </c>
      <c r="S4" s="189">
        <v>2639611629.7600002</v>
      </c>
      <c r="T4" s="189">
        <v>1053263138.72</v>
      </c>
      <c r="U4" s="189">
        <v>5450411411.21</v>
      </c>
      <c r="V4" s="189">
        <v>3841975921.4400001</v>
      </c>
      <c r="W4" s="189">
        <v>2623965119.3600001</v>
      </c>
      <c r="X4" s="189">
        <v>986263766.64999998</v>
      </c>
      <c r="Y4" s="189">
        <v>4764511540.46</v>
      </c>
      <c r="Z4" s="189">
        <v>3574576602.6399999</v>
      </c>
      <c r="AA4" s="189">
        <v>2389596853.48</v>
      </c>
      <c r="AB4" s="189">
        <v>943985409.41999996</v>
      </c>
      <c r="AC4" s="189">
        <v>4208520955.9299998</v>
      </c>
      <c r="AD4" s="189">
        <v>2933914184.46</v>
      </c>
      <c r="AE4" s="189">
        <v>1934560081.8</v>
      </c>
      <c r="AF4" s="189">
        <v>816087556.67999995</v>
      </c>
      <c r="AG4" s="189">
        <v>4059509993.1100001</v>
      </c>
      <c r="AH4" s="189">
        <v>3110527481.6799998</v>
      </c>
      <c r="AI4" s="189">
        <v>1836845159.1900001</v>
      </c>
      <c r="AJ4" s="189">
        <v>802230754.64999998</v>
      </c>
      <c r="AK4" s="189">
        <v>3203297230.4000001</v>
      </c>
      <c r="AL4" s="189">
        <v>2212156675.0999999</v>
      </c>
      <c r="AM4" s="189">
        <v>1407964880.26</v>
      </c>
      <c r="AN4" s="189">
        <v>614599246.90999997</v>
      </c>
      <c r="AO4" s="189">
        <v>2881747433.27</v>
      </c>
      <c r="AP4" s="189">
        <v>1910389033</v>
      </c>
      <c r="AQ4" s="189">
        <v>1211026390.8599999</v>
      </c>
      <c r="AR4" s="189">
        <v>584478223.75</v>
      </c>
      <c r="AS4" s="189">
        <v>2816124417.9400001</v>
      </c>
      <c r="AT4" s="189">
        <v>2118946847.98</v>
      </c>
      <c r="AU4" s="189">
        <v>1198379204.76</v>
      </c>
      <c r="AV4" s="189">
        <v>541363650.22000003</v>
      </c>
      <c r="AW4" s="189">
        <v>2706181816.02</v>
      </c>
      <c r="AX4" s="189">
        <v>1687642501.01</v>
      </c>
      <c r="AY4" s="189">
        <v>1153450640.8800001</v>
      </c>
      <c r="AZ4" s="189">
        <v>526804356.55000001</v>
      </c>
      <c r="BA4" s="189">
        <v>1744977492.04</v>
      </c>
      <c r="BB4" s="189">
        <v>1335199097.3900001</v>
      </c>
      <c r="BC4" s="189">
        <v>678861702.76999998</v>
      </c>
      <c r="BD4" s="189">
        <v>313972736.26999998</v>
      </c>
      <c r="BE4" s="189">
        <v>1291210398.6300001</v>
      </c>
      <c r="BF4" s="189">
        <v>951130490.48000002</v>
      </c>
      <c r="BG4" s="189">
        <v>706769181.01999998</v>
      </c>
      <c r="BH4" s="189">
        <v>274425034.69999999</v>
      </c>
      <c r="BI4" s="189">
        <v>952285720.61000001</v>
      </c>
      <c r="BJ4" s="189">
        <v>709574550.54999995</v>
      </c>
      <c r="BK4" s="189">
        <v>421242492.20999998</v>
      </c>
      <c r="BL4" s="189">
        <v>329966569.63</v>
      </c>
      <c r="BM4" s="189">
        <v>834657884.22000003</v>
      </c>
      <c r="BN4" s="189">
        <v>0</v>
      </c>
      <c r="BO4" s="189">
        <v>0</v>
      </c>
    </row>
    <row r="5" spans="1:67" x14ac:dyDescent="0.25">
      <c r="A5" s="189" t="s">
        <v>221</v>
      </c>
      <c r="B5" s="189">
        <v>0</v>
      </c>
      <c r="C5" s="189">
        <v>0</v>
      </c>
      <c r="D5" s="189">
        <v>0</v>
      </c>
      <c r="E5" s="189">
        <v>0</v>
      </c>
      <c r="F5" s="189">
        <v>0</v>
      </c>
      <c r="G5" s="189">
        <v>0</v>
      </c>
      <c r="H5" s="189">
        <v>0</v>
      </c>
      <c r="I5" s="189">
        <v>1808971.5</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444833.63</v>
      </c>
      <c r="AC5" s="189">
        <v>302802.59000000003</v>
      </c>
      <c r="AD5" s="189">
        <v>302802.63</v>
      </c>
      <c r="AE5" s="189">
        <v>302802.63</v>
      </c>
      <c r="AF5" s="189">
        <v>0</v>
      </c>
      <c r="AG5" s="189">
        <v>146604.64000000001</v>
      </c>
      <c r="AH5" s="189">
        <v>30947.53</v>
      </c>
      <c r="AI5" s="189">
        <v>25188.07</v>
      </c>
      <c r="AJ5" s="189">
        <v>110691.92</v>
      </c>
      <c r="AK5" s="189">
        <v>10407.370000000001</v>
      </c>
      <c r="AL5" s="189">
        <v>10407.370000000001</v>
      </c>
      <c r="AM5" s="189">
        <v>10407.370000000001</v>
      </c>
      <c r="AN5" s="189">
        <v>0</v>
      </c>
      <c r="AO5" s="189">
        <v>199651.32</v>
      </c>
      <c r="AP5" s="189">
        <v>392815.61</v>
      </c>
      <c r="AQ5" s="189">
        <v>183216.33</v>
      </c>
      <c r="AR5" s="189">
        <v>0</v>
      </c>
      <c r="AS5" s="189">
        <v>306810.59999999998</v>
      </c>
      <c r="AT5" s="189">
        <v>286468.71999999997</v>
      </c>
      <c r="AU5" s="189">
        <v>0</v>
      </c>
      <c r="AV5" s="189">
        <v>0</v>
      </c>
      <c r="AW5" s="189">
        <v>3073628.69</v>
      </c>
      <c r="AX5" s="189">
        <v>5271863.76</v>
      </c>
      <c r="AY5" s="189">
        <v>430496.71</v>
      </c>
      <c r="AZ5" s="189">
        <v>241329.19</v>
      </c>
      <c r="BA5" s="189">
        <v>1682970.58</v>
      </c>
      <c r="BB5" s="189">
        <v>1682970.58</v>
      </c>
      <c r="BC5" s="189">
        <v>288413.53999999998</v>
      </c>
      <c r="BD5" s="189">
        <v>0</v>
      </c>
      <c r="BE5" s="189">
        <v>53288.31</v>
      </c>
      <c r="BF5" s="189">
        <v>0</v>
      </c>
      <c r="BG5" s="189">
        <v>0</v>
      </c>
      <c r="BH5" s="189">
        <v>0</v>
      </c>
      <c r="BI5" s="189">
        <v>0</v>
      </c>
      <c r="BJ5" s="189">
        <v>54374.07</v>
      </c>
      <c r="BK5" s="189">
        <v>54374.07</v>
      </c>
      <c r="BL5" s="189">
        <v>54374.07</v>
      </c>
      <c r="BM5" s="189">
        <v>2342900.13</v>
      </c>
      <c r="BN5" s="189">
        <v>0</v>
      </c>
      <c r="BO5" s="189">
        <v>0</v>
      </c>
    </row>
    <row r="6" spans="1:67" x14ac:dyDescent="0.25">
      <c r="A6" s="189" t="s">
        <v>222</v>
      </c>
      <c r="B6" s="189">
        <v>100012955.13</v>
      </c>
      <c r="C6" s="189">
        <v>96098333.730000004</v>
      </c>
      <c r="D6" s="189">
        <v>87374531.549999997</v>
      </c>
      <c r="E6" s="189">
        <v>329893877.18000001</v>
      </c>
      <c r="F6" s="189">
        <v>80512803.969999999</v>
      </c>
      <c r="G6" s="189">
        <v>63584843.859999999</v>
      </c>
      <c r="H6" s="189">
        <v>83833846.170000002</v>
      </c>
      <c r="I6" s="189">
        <v>169148674.94</v>
      </c>
      <c r="J6" s="189">
        <v>62715528.829999998</v>
      </c>
      <c r="K6" s="189">
        <v>55818457.75</v>
      </c>
      <c r="L6" s="189">
        <v>42581421.789999999</v>
      </c>
      <c r="M6" s="189">
        <v>131880592.54000001</v>
      </c>
      <c r="N6" s="189">
        <v>56201374.479999997</v>
      </c>
      <c r="O6" s="189">
        <v>51639460.659999996</v>
      </c>
      <c r="P6" s="189">
        <v>40319970.780000001</v>
      </c>
      <c r="Q6" s="189">
        <v>55079639.399999999</v>
      </c>
      <c r="R6" s="189">
        <v>63405943.289999999</v>
      </c>
      <c r="S6" s="189">
        <v>40647231.829999998</v>
      </c>
      <c r="T6" s="189">
        <v>34782105.299999997</v>
      </c>
      <c r="U6" s="189">
        <v>57301347.82</v>
      </c>
      <c r="V6" s="189">
        <v>60229195.810000002</v>
      </c>
      <c r="W6" s="189">
        <v>33750990.549999997</v>
      </c>
      <c r="X6" s="189">
        <v>26819221.690000001</v>
      </c>
      <c r="Y6" s="189">
        <v>22282584.559999999</v>
      </c>
      <c r="Z6" s="189">
        <v>63102102.520000003</v>
      </c>
      <c r="AA6" s="189">
        <v>54469635.969999999</v>
      </c>
      <c r="AB6" s="189">
        <v>34914972.079999998</v>
      </c>
      <c r="AC6" s="189">
        <v>50111754.340000004</v>
      </c>
      <c r="AD6" s="189">
        <v>63268473.359999999</v>
      </c>
      <c r="AE6" s="189">
        <v>54326492.979999997</v>
      </c>
      <c r="AF6" s="189">
        <v>18381662.379999999</v>
      </c>
      <c r="AG6" s="189">
        <v>52903219.32</v>
      </c>
      <c r="AH6" s="189">
        <v>166833325.06</v>
      </c>
      <c r="AI6" s="189">
        <v>39288295.340000004</v>
      </c>
      <c r="AJ6" s="189">
        <v>17567929.34</v>
      </c>
      <c r="AK6" s="189">
        <v>38365177.299999997</v>
      </c>
      <c r="AL6" s="189">
        <v>71134537.010000005</v>
      </c>
      <c r="AM6" s="189">
        <v>56695349.210000001</v>
      </c>
      <c r="AN6" s="189">
        <v>20762757.600000001</v>
      </c>
      <c r="AO6" s="189">
        <v>53542586.340000004</v>
      </c>
      <c r="AP6" s="189">
        <v>88392377.709999993</v>
      </c>
      <c r="AQ6" s="189">
        <v>36379789.939999998</v>
      </c>
      <c r="AR6" s="189">
        <v>3830063.58</v>
      </c>
      <c r="AS6" s="189">
        <v>47671153.25</v>
      </c>
      <c r="AT6" s="189">
        <v>139552515.38999999</v>
      </c>
      <c r="AU6" s="189">
        <v>120016452.42</v>
      </c>
      <c r="AV6" s="189">
        <v>92843307.859999999</v>
      </c>
      <c r="AW6" s="189">
        <v>28585683.07</v>
      </c>
      <c r="AX6" s="189">
        <v>173499204.38999999</v>
      </c>
      <c r="AY6" s="189">
        <v>122651421.13</v>
      </c>
      <c r="AZ6" s="189">
        <v>64197331.880000003</v>
      </c>
      <c r="BA6" s="189">
        <v>242724916.84999999</v>
      </c>
      <c r="BB6" s="189">
        <v>126245283.23999999</v>
      </c>
      <c r="BC6" s="189">
        <v>75644932.340000004</v>
      </c>
      <c r="BD6" s="189">
        <v>58972429.420000002</v>
      </c>
      <c r="BE6" s="189">
        <v>131035941.84999999</v>
      </c>
      <c r="BF6" s="189">
        <v>198139972.96000001</v>
      </c>
      <c r="BG6" s="189">
        <v>117934933.78</v>
      </c>
      <c r="BH6" s="189">
        <v>131965848.92</v>
      </c>
      <c r="BI6" s="189">
        <v>151765808.66999999</v>
      </c>
      <c r="BJ6" s="189">
        <v>78487809.680000007</v>
      </c>
      <c r="BK6" s="189">
        <v>101882876.01000001</v>
      </c>
      <c r="BL6" s="189">
        <v>15405463.99</v>
      </c>
      <c r="BM6" s="189">
        <v>39981923.869999997</v>
      </c>
      <c r="BN6" s="189">
        <v>0</v>
      </c>
      <c r="BO6" s="189">
        <v>0</v>
      </c>
    </row>
    <row r="7" spans="1:67" x14ac:dyDescent="0.25">
      <c r="A7" s="189" t="s">
        <v>223</v>
      </c>
      <c r="B7" s="189">
        <v>5978007633.2799997</v>
      </c>
      <c r="C7" s="189">
        <v>4032460850.9299998</v>
      </c>
      <c r="D7" s="189">
        <v>1740433362.8900001</v>
      </c>
      <c r="E7" s="189">
        <v>7359124585.7600002</v>
      </c>
      <c r="F7" s="189">
        <v>4795694820.21</v>
      </c>
      <c r="G7" s="189">
        <v>3854397000.5999999</v>
      </c>
      <c r="H7" s="189">
        <v>1511336200.1600001</v>
      </c>
      <c r="I7" s="189">
        <v>6431294271.5500002</v>
      </c>
      <c r="J7" s="189">
        <v>4461235017.7299995</v>
      </c>
      <c r="K7" s="189">
        <v>3161237780.3400002</v>
      </c>
      <c r="L7" s="189">
        <v>1211738209.5899999</v>
      </c>
      <c r="M7" s="189">
        <v>6012526924.8900003</v>
      </c>
      <c r="N7" s="189">
        <v>4240199722.5599999</v>
      </c>
      <c r="O7" s="189">
        <v>3086161199.5500002</v>
      </c>
      <c r="P7" s="189">
        <v>1177162560.1300001</v>
      </c>
      <c r="Q7" s="189">
        <v>5859934094.8400002</v>
      </c>
      <c r="R7" s="189">
        <v>4031299711.0799999</v>
      </c>
      <c r="S7" s="189">
        <v>2680258861.5900002</v>
      </c>
      <c r="T7" s="189">
        <v>1088045244.02</v>
      </c>
      <c r="U7" s="189">
        <v>5507712759.0299997</v>
      </c>
      <c r="V7" s="189">
        <v>3902205117.25</v>
      </c>
      <c r="W7" s="189">
        <v>2657716109.9099998</v>
      </c>
      <c r="X7" s="189">
        <v>1013082988.34</v>
      </c>
      <c r="Y7" s="189">
        <v>4786794125.0200005</v>
      </c>
      <c r="Z7" s="189">
        <v>3637678705.1599998</v>
      </c>
      <c r="AA7" s="189">
        <v>2444066489.4499998</v>
      </c>
      <c r="AB7" s="189">
        <v>979345215.13</v>
      </c>
      <c r="AC7" s="189">
        <v>4258935512.8600001</v>
      </c>
      <c r="AD7" s="189">
        <v>2997485460.4499998</v>
      </c>
      <c r="AE7" s="189">
        <v>1989189377.4100001</v>
      </c>
      <c r="AF7" s="189">
        <v>834469219.05999994</v>
      </c>
      <c r="AG7" s="189">
        <v>4112559817.0700002</v>
      </c>
      <c r="AH7" s="189">
        <v>3277391754.27</v>
      </c>
      <c r="AI7" s="189">
        <v>1876158642.5999999</v>
      </c>
      <c r="AJ7" s="189">
        <v>819909375.90999997</v>
      </c>
      <c r="AK7" s="189">
        <v>3241672815.0700002</v>
      </c>
      <c r="AL7" s="189">
        <v>2283301619.48</v>
      </c>
      <c r="AM7" s="189">
        <v>1464670636.8399999</v>
      </c>
      <c r="AN7" s="189">
        <v>635362004.50999999</v>
      </c>
      <c r="AO7" s="189">
        <v>2935489670.9299998</v>
      </c>
      <c r="AP7" s="189">
        <v>1999174226.3199999</v>
      </c>
      <c r="AQ7" s="189">
        <v>1247589397.1300001</v>
      </c>
      <c r="AR7" s="189">
        <v>588308287.33000004</v>
      </c>
      <c r="AS7" s="189">
        <v>2864102381.79</v>
      </c>
      <c r="AT7" s="189">
        <v>2258785832.0900002</v>
      </c>
      <c r="AU7" s="189">
        <v>1318395657.1800001</v>
      </c>
      <c r="AV7" s="189">
        <v>634206958.08000004</v>
      </c>
      <c r="AW7" s="189">
        <v>2737841127.7800002</v>
      </c>
      <c r="AX7" s="189">
        <v>1866413569.1600001</v>
      </c>
      <c r="AY7" s="189">
        <v>1276532558.72</v>
      </c>
      <c r="AZ7" s="189">
        <v>591243017.62</v>
      </c>
      <c r="BA7" s="189">
        <v>1989385379.47</v>
      </c>
      <c r="BB7" s="189">
        <v>1463127351.21</v>
      </c>
      <c r="BC7" s="189">
        <v>754795048.64999998</v>
      </c>
      <c r="BD7" s="189">
        <v>372945165.69</v>
      </c>
      <c r="BE7" s="189">
        <v>1422299628.79</v>
      </c>
      <c r="BF7" s="189">
        <v>1149270463.4400001</v>
      </c>
      <c r="BG7" s="189">
        <v>824704114.79999995</v>
      </c>
      <c r="BH7" s="189">
        <v>406390883.62</v>
      </c>
      <c r="BI7" s="189">
        <v>1104051529.28</v>
      </c>
      <c r="BJ7" s="189">
        <v>788116734.29999995</v>
      </c>
      <c r="BK7" s="189">
        <v>523179742.29000002</v>
      </c>
      <c r="BL7" s="189">
        <v>345426407.69</v>
      </c>
      <c r="BM7" s="189">
        <v>876982708.22000003</v>
      </c>
      <c r="BN7" s="189">
        <v>0</v>
      </c>
      <c r="BO7" s="189">
        <v>0</v>
      </c>
    </row>
    <row r="8" spans="1:67" x14ac:dyDescent="0.25">
      <c r="A8" s="189" t="s">
        <v>224</v>
      </c>
      <c r="B8" s="189">
        <v>1305612414.6700001</v>
      </c>
      <c r="C8" s="189">
        <v>872046151.76999998</v>
      </c>
      <c r="D8" s="189">
        <v>474007549.73000002</v>
      </c>
      <c r="E8" s="189">
        <v>1857078960.4200001</v>
      </c>
      <c r="F8" s="189">
        <v>1219479815.6600001</v>
      </c>
      <c r="G8" s="189">
        <v>844553167.47000003</v>
      </c>
      <c r="H8" s="189">
        <v>466667351.06999999</v>
      </c>
      <c r="I8" s="189">
        <v>1671800500.5799999</v>
      </c>
      <c r="J8" s="189">
        <v>1203998042.3</v>
      </c>
      <c r="K8" s="189">
        <v>818185077.20000005</v>
      </c>
      <c r="L8" s="189">
        <v>450909493.82999998</v>
      </c>
      <c r="M8" s="189">
        <v>1405719517.2</v>
      </c>
      <c r="N8" s="189">
        <v>1127880921.3599999</v>
      </c>
      <c r="O8" s="189">
        <v>730180150.47000003</v>
      </c>
      <c r="P8" s="189">
        <v>321888499.16000003</v>
      </c>
      <c r="Q8" s="189">
        <v>1312132076.8299999</v>
      </c>
      <c r="R8" s="189">
        <v>1106687192.29</v>
      </c>
      <c r="S8" s="189">
        <v>709428820.03999996</v>
      </c>
      <c r="T8" s="189">
        <v>333649909</v>
      </c>
      <c r="U8" s="189">
        <v>1241180395.8499999</v>
      </c>
      <c r="V8" s="189">
        <v>922489266.64999998</v>
      </c>
      <c r="W8" s="189">
        <v>636466577.73000002</v>
      </c>
      <c r="X8" s="189">
        <v>254485814.84999999</v>
      </c>
      <c r="Y8" s="189">
        <v>988278326.88</v>
      </c>
      <c r="Z8" s="189">
        <v>925813333.74000001</v>
      </c>
      <c r="AA8" s="189">
        <v>540976082.16999996</v>
      </c>
      <c r="AB8" s="189">
        <v>203965122.03999999</v>
      </c>
      <c r="AC8" s="189">
        <v>1080771340.3699999</v>
      </c>
      <c r="AD8" s="189">
        <v>789151223.75999999</v>
      </c>
      <c r="AE8" s="189">
        <v>518781923.56999999</v>
      </c>
      <c r="AF8" s="189">
        <v>247539446.50999999</v>
      </c>
      <c r="AG8" s="189">
        <v>861619540.16999996</v>
      </c>
      <c r="AH8" s="189">
        <v>530456217.83999997</v>
      </c>
      <c r="AI8" s="189">
        <v>387494281.66000003</v>
      </c>
      <c r="AJ8" s="189">
        <v>193719791.72999999</v>
      </c>
      <c r="AK8" s="189">
        <v>625794097.24000001</v>
      </c>
      <c r="AL8" s="189">
        <v>637608561.52999997</v>
      </c>
      <c r="AM8" s="189">
        <v>283793028.91000003</v>
      </c>
      <c r="AN8" s="189">
        <v>151018096.34</v>
      </c>
      <c r="AO8" s="189">
        <v>617234738.15999997</v>
      </c>
      <c r="AP8" s="189">
        <v>326271784.36000001</v>
      </c>
      <c r="AQ8" s="189">
        <v>204361430</v>
      </c>
      <c r="AR8" s="189">
        <v>157138013.19</v>
      </c>
      <c r="AS8" s="189">
        <v>566170896.11000001</v>
      </c>
      <c r="AT8" s="189">
        <v>277003226.93000001</v>
      </c>
      <c r="AU8" s="189">
        <v>239275765.80000001</v>
      </c>
      <c r="AV8" s="189">
        <v>111572632.72</v>
      </c>
      <c r="AW8" s="189">
        <v>635848315.63</v>
      </c>
      <c r="AX8" s="189">
        <v>344396955.37</v>
      </c>
      <c r="AY8" s="189">
        <v>248782103</v>
      </c>
      <c r="AZ8" s="189">
        <v>127508787.73999999</v>
      </c>
      <c r="BA8" s="189">
        <v>390692149.77999997</v>
      </c>
      <c r="BB8" s="189">
        <v>315344535.75999999</v>
      </c>
      <c r="BC8" s="189">
        <v>187862185.24000001</v>
      </c>
      <c r="BD8" s="189">
        <v>82458809.390000001</v>
      </c>
      <c r="BE8" s="189">
        <v>305358830.06</v>
      </c>
      <c r="BF8" s="189">
        <v>240198401.34</v>
      </c>
      <c r="BG8" s="189">
        <v>149749110.90000001</v>
      </c>
      <c r="BH8" s="189">
        <v>69674307.909999996</v>
      </c>
      <c r="BI8" s="189">
        <v>249691303.58000001</v>
      </c>
      <c r="BJ8" s="189">
        <v>137993335.81999999</v>
      </c>
      <c r="BK8" s="189">
        <v>83903547.859999999</v>
      </c>
      <c r="BL8" s="189">
        <v>90260441.670000002</v>
      </c>
      <c r="BM8" s="189">
        <v>233403275.22999999</v>
      </c>
      <c r="BN8" s="189">
        <v>0</v>
      </c>
      <c r="BO8" s="189">
        <v>0</v>
      </c>
    </row>
    <row r="9" spans="1:67" x14ac:dyDescent="0.25">
      <c r="A9" s="189" t="s">
        <v>225</v>
      </c>
      <c r="B9" s="189">
        <v>1373723233.53</v>
      </c>
      <c r="C9" s="189">
        <v>966534347.84000003</v>
      </c>
      <c r="D9" s="189">
        <v>416323795.5</v>
      </c>
      <c r="E9" s="189">
        <v>2234283118.1500001</v>
      </c>
      <c r="F9" s="189">
        <v>1308161410.46</v>
      </c>
      <c r="G9" s="189">
        <v>962170247.53999996</v>
      </c>
      <c r="H9" s="189">
        <v>409709267.54000002</v>
      </c>
      <c r="I9" s="189">
        <v>2042518276.95</v>
      </c>
      <c r="J9" s="189">
        <v>1281291601.27</v>
      </c>
      <c r="K9" s="189">
        <v>910265331.5</v>
      </c>
      <c r="L9" s="189">
        <v>437397520.60000002</v>
      </c>
      <c r="M9" s="189">
        <v>1919347958.8299999</v>
      </c>
      <c r="N9" s="189">
        <v>1228553937.5999999</v>
      </c>
      <c r="O9" s="189">
        <v>836934004.44000006</v>
      </c>
      <c r="P9" s="189">
        <v>405515350.81</v>
      </c>
      <c r="Q9" s="189">
        <v>1703017071.3900001</v>
      </c>
      <c r="R9" s="189">
        <v>1233575920.04</v>
      </c>
      <c r="S9" s="189">
        <v>761729090.63999999</v>
      </c>
      <c r="T9" s="189">
        <v>411911623.63</v>
      </c>
      <c r="U9" s="189">
        <v>1581717785.48</v>
      </c>
      <c r="V9" s="189">
        <v>995604126.85000002</v>
      </c>
      <c r="W9" s="189">
        <v>704223452.83000004</v>
      </c>
      <c r="X9" s="189">
        <v>335833447.93000001</v>
      </c>
      <c r="Y9" s="189">
        <v>1348056880.5599999</v>
      </c>
      <c r="Z9" s="189">
        <v>930856968.38999999</v>
      </c>
      <c r="AA9" s="189">
        <v>628217914.58000004</v>
      </c>
      <c r="AB9" s="189">
        <v>308259256.44999999</v>
      </c>
      <c r="AC9" s="189">
        <v>1248008345.24</v>
      </c>
      <c r="AD9" s="189">
        <v>853453947.42999995</v>
      </c>
      <c r="AE9" s="189">
        <v>582516904.72000003</v>
      </c>
      <c r="AF9" s="189">
        <v>299094837.64999998</v>
      </c>
      <c r="AG9" s="189">
        <v>1104257677.8699999</v>
      </c>
      <c r="AH9" s="189">
        <v>700617567.50999999</v>
      </c>
      <c r="AI9" s="189">
        <v>481144948.43000001</v>
      </c>
      <c r="AJ9" s="189">
        <v>228871812.38</v>
      </c>
      <c r="AK9" s="189">
        <v>990315327.80999994</v>
      </c>
      <c r="AL9" s="189">
        <v>634877571.98000002</v>
      </c>
      <c r="AM9" s="189">
        <v>441327623.58999997</v>
      </c>
      <c r="AN9" s="189">
        <v>201182100.83000001</v>
      </c>
      <c r="AO9" s="189">
        <v>816255263.5</v>
      </c>
      <c r="AP9" s="189">
        <v>483457809.72000003</v>
      </c>
      <c r="AQ9" s="189">
        <v>337890574.06999999</v>
      </c>
      <c r="AR9" s="189">
        <v>184802965.16999999</v>
      </c>
      <c r="AS9" s="189">
        <v>708636557.77999997</v>
      </c>
      <c r="AT9" s="189">
        <v>397733325.35000002</v>
      </c>
      <c r="AU9" s="189">
        <v>289641114.51999998</v>
      </c>
      <c r="AV9" s="189">
        <v>145483670.72</v>
      </c>
      <c r="AW9" s="189">
        <v>665075846.10000002</v>
      </c>
      <c r="AX9" s="189">
        <v>353061338.12</v>
      </c>
      <c r="AY9" s="189">
        <v>248287511.69999999</v>
      </c>
      <c r="AZ9" s="189">
        <v>133421835.53</v>
      </c>
      <c r="BA9" s="189">
        <v>507697724.41000003</v>
      </c>
      <c r="BB9" s="189">
        <v>279392779.06</v>
      </c>
      <c r="BC9" s="189">
        <v>175507665.13999999</v>
      </c>
      <c r="BD9" s="189">
        <v>109966285.3</v>
      </c>
      <c r="BE9" s="189">
        <v>292267778.94999999</v>
      </c>
      <c r="BF9" s="189">
        <v>232862208.21000001</v>
      </c>
      <c r="BG9" s="189">
        <v>123482605.36</v>
      </c>
      <c r="BH9" s="189">
        <v>54238408.710000001</v>
      </c>
      <c r="BI9" s="189">
        <v>232404146.40000001</v>
      </c>
      <c r="BJ9" s="189">
        <v>128610098.27</v>
      </c>
      <c r="BK9" s="189">
        <v>95167261.170000002</v>
      </c>
      <c r="BL9" s="189">
        <v>52033189.939999998</v>
      </c>
      <c r="BM9" s="189">
        <v>157541341.87</v>
      </c>
      <c r="BN9" s="189">
        <v>0</v>
      </c>
      <c r="BO9" s="189">
        <v>0</v>
      </c>
    </row>
    <row r="10" spans="1:67" x14ac:dyDescent="0.25">
      <c r="A10" s="189" t="s">
        <v>226</v>
      </c>
      <c r="B10" s="189">
        <v>639511554.77999997</v>
      </c>
      <c r="C10" s="189">
        <v>407061952.66000003</v>
      </c>
      <c r="D10" s="189">
        <v>165200465.36000001</v>
      </c>
      <c r="E10" s="189">
        <v>774692190.67999995</v>
      </c>
      <c r="F10" s="189">
        <v>597563330.61000001</v>
      </c>
      <c r="G10" s="189">
        <v>388928589.44</v>
      </c>
      <c r="H10" s="189">
        <v>149100121.15000001</v>
      </c>
      <c r="I10" s="189">
        <v>627585291.21000004</v>
      </c>
      <c r="J10" s="189">
        <v>583843507.46000004</v>
      </c>
      <c r="K10" s="189">
        <v>376531158.18000001</v>
      </c>
      <c r="L10" s="189">
        <v>191583026.5</v>
      </c>
      <c r="M10" s="189">
        <v>770581260.96000004</v>
      </c>
      <c r="N10" s="189">
        <v>600809472.75</v>
      </c>
      <c r="O10" s="189">
        <v>409521495.52999997</v>
      </c>
      <c r="P10" s="189">
        <v>187849190.58000001</v>
      </c>
      <c r="Q10" s="189">
        <v>815205147.51999998</v>
      </c>
      <c r="R10" s="189">
        <v>479014460.54000002</v>
      </c>
      <c r="S10" s="189">
        <v>336886609.45999998</v>
      </c>
      <c r="T10" s="189">
        <v>193104081.13999999</v>
      </c>
      <c r="U10" s="189">
        <v>540998105.74000001</v>
      </c>
      <c r="V10" s="189">
        <v>484675121.29000002</v>
      </c>
      <c r="W10" s="189">
        <v>375298303.62</v>
      </c>
      <c r="X10" s="189">
        <v>170281817.78</v>
      </c>
      <c r="Y10" s="189">
        <v>525197711.85000002</v>
      </c>
      <c r="Z10" s="189">
        <v>474934839.25</v>
      </c>
      <c r="AA10" s="189">
        <v>343994390.04000002</v>
      </c>
      <c r="AB10" s="189">
        <v>160439064.38999999</v>
      </c>
      <c r="AC10" s="189">
        <v>505380238.89999998</v>
      </c>
      <c r="AD10" s="189">
        <v>502662841.01999998</v>
      </c>
      <c r="AE10" s="189">
        <v>379145991.38</v>
      </c>
      <c r="AF10" s="189">
        <v>185554390.59999999</v>
      </c>
      <c r="AG10" s="189">
        <v>423910190.99000001</v>
      </c>
      <c r="AH10" s="189">
        <v>401150583</v>
      </c>
      <c r="AI10" s="189">
        <v>278539976.18000001</v>
      </c>
      <c r="AJ10" s="189">
        <v>150070524.71000001</v>
      </c>
      <c r="AK10" s="189">
        <v>389299176.48000002</v>
      </c>
      <c r="AL10" s="189">
        <v>307002007.44</v>
      </c>
      <c r="AM10" s="189">
        <v>221283497.09</v>
      </c>
      <c r="AN10" s="189">
        <v>102885783.62</v>
      </c>
      <c r="AO10" s="189">
        <v>411543868.10000002</v>
      </c>
      <c r="AP10" s="189">
        <v>326423683.73000002</v>
      </c>
      <c r="AQ10" s="189">
        <v>256433193.13999999</v>
      </c>
      <c r="AR10" s="189">
        <v>96167910.349999994</v>
      </c>
      <c r="AS10" s="189">
        <v>341553066.31</v>
      </c>
      <c r="AT10" s="189">
        <v>253372623.83000001</v>
      </c>
      <c r="AU10" s="189">
        <v>198696310.16999999</v>
      </c>
      <c r="AV10" s="189">
        <v>78211747.290000007</v>
      </c>
      <c r="AW10" s="189">
        <v>312604135.42000002</v>
      </c>
      <c r="AX10" s="189">
        <v>211001488.22999999</v>
      </c>
      <c r="AY10" s="189">
        <v>157509437.33000001</v>
      </c>
      <c r="AZ10" s="189">
        <v>18729503.780000001</v>
      </c>
      <c r="BA10" s="189">
        <v>238979327.69999999</v>
      </c>
      <c r="BB10" s="189">
        <v>123056850.18000001</v>
      </c>
      <c r="BC10" s="189">
        <v>66591483.32</v>
      </c>
      <c r="BD10" s="189">
        <v>23650510.940000001</v>
      </c>
      <c r="BE10" s="189">
        <v>342624441.35000002</v>
      </c>
      <c r="BF10" s="189">
        <v>264808227.53999999</v>
      </c>
      <c r="BG10" s="189">
        <v>251399015.44</v>
      </c>
      <c r="BH10" s="189">
        <v>50445315.170000002</v>
      </c>
      <c r="BI10" s="189">
        <v>124661327.98999999</v>
      </c>
      <c r="BJ10" s="189">
        <v>91752898.709999993</v>
      </c>
      <c r="BK10" s="189">
        <v>47233782.890000001</v>
      </c>
      <c r="BL10" s="189">
        <v>33187432.25</v>
      </c>
      <c r="BM10" s="189">
        <v>93522724.870000005</v>
      </c>
      <c r="BN10" s="189">
        <v>0</v>
      </c>
      <c r="BO10" s="189">
        <v>0</v>
      </c>
    </row>
    <row r="11" spans="1:67" x14ac:dyDescent="0.25">
      <c r="A11" s="189" t="s">
        <v>227</v>
      </c>
      <c r="B11" s="189">
        <v>80283156.590000004</v>
      </c>
      <c r="C11" s="189">
        <v>61179026.68</v>
      </c>
      <c r="D11" s="189">
        <v>48365889.130000003</v>
      </c>
      <c r="E11" s="189">
        <v>340001416.37</v>
      </c>
      <c r="F11" s="189">
        <v>79000301</v>
      </c>
      <c r="G11" s="189">
        <v>50991941.670000002</v>
      </c>
      <c r="H11" s="189">
        <v>42121127.670000002</v>
      </c>
      <c r="I11" s="189">
        <v>133290487.15000001</v>
      </c>
      <c r="J11" s="189">
        <v>77209422.890000001</v>
      </c>
      <c r="K11" s="189">
        <v>52443020.640000001</v>
      </c>
      <c r="L11" s="189">
        <v>41778182.119999997</v>
      </c>
      <c r="M11" s="189">
        <v>177765806.02000001</v>
      </c>
      <c r="N11" s="189">
        <v>73946406.730000004</v>
      </c>
      <c r="O11" s="189">
        <v>44805741.219999999</v>
      </c>
      <c r="P11" s="189">
        <v>37822023.490000002</v>
      </c>
      <c r="Q11" s="189">
        <v>205780444.94999999</v>
      </c>
      <c r="R11" s="189">
        <v>70047991.170000002</v>
      </c>
      <c r="S11" s="189">
        <v>44722120.380000003</v>
      </c>
      <c r="T11" s="189">
        <v>38964758.390000001</v>
      </c>
      <c r="U11" s="189">
        <v>177847544.68000001</v>
      </c>
      <c r="V11" s="189">
        <v>73519221.900000006</v>
      </c>
      <c r="W11" s="189">
        <v>45951173.030000001</v>
      </c>
      <c r="X11" s="189">
        <v>35492931.460000001</v>
      </c>
      <c r="Y11" s="189">
        <v>128601544.81</v>
      </c>
      <c r="Z11" s="189">
        <v>74209936.730000004</v>
      </c>
      <c r="AA11" s="189">
        <v>52275008.950000003</v>
      </c>
      <c r="AB11" s="189">
        <v>41665486.869999997</v>
      </c>
      <c r="AC11" s="189">
        <v>114652241.47</v>
      </c>
      <c r="AD11" s="189">
        <v>93090439.819999993</v>
      </c>
      <c r="AE11" s="189">
        <v>56079258.700000003</v>
      </c>
      <c r="AF11" s="189">
        <v>42001602.149999999</v>
      </c>
      <c r="AG11" s="189">
        <v>76318075.329999998</v>
      </c>
      <c r="AH11" s="189">
        <v>63665788.289999999</v>
      </c>
      <c r="AI11" s="189">
        <v>54167254.270000003</v>
      </c>
      <c r="AJ11" s="189">
        <v>32956206.73</v>
      </c>
      <c r="AK11" s="189">
        <v>81023346.709999993</v>
      </c>
      <c r="AL11" s="189">
        <v>73443256.439999998</v>
      </c>
      <c r="AM11" s="189">
        <v>47251886.140000001</v>
      </c>
      <c r="AN11" s="189">
        <v>31143716.899999999</v>
      </c>
      <c r="AO11" s="189">
        <v>94080720.709999993</v>
      </c>
      <c r="AP11" s="189">
        <v>337007046.67000002</v>
      </c>
      <c r="AQ11" s="189">
        <v>221299171.06</v>
      </c>
      <c r="AR11" s="189">
        <v>72957660.170000002</v>
      </c>
      <c r="AS11" s="189">
        <v>104077445.09999999</v>
      </c>
      <c r="AT11" s="189">
        <v>422884280.19999999</v>
      </c>
      <c r="AU11" s="189">
        <v>346722831.49000001</v>
      </c>
      <c r="AV11" s="189">
        <v>130447271.64</v>
      </c>
      <c r="AW11" s="189">
        <v>82594066.920000002</v>
      </c>
      <c r="AX11" s="189">
        <v>350989904.36000001</v>
      </c>
      <c r="AY11" s="189">
        <v>261291454.27000001</v>
      </c>
      <c r="AZ11" s="189">
        <v>134740140.61000001</v>
      </c>
      <c r="BA11" s="189">
        <v>386911844.19999999</v>
      </c>
      <c r="BB11" s="189">
        <v>283999826.38</v>
      </c>
      <c r="BC11" s="189">
        <v>142123782.40000001</v>
      </c>
      <c r="BD11" s="189">
        <v>75227572.260000005</v>
      </c>
      <c r="BE11" s="189">
        <v>190569202.77000001</v>
      </c>
      <c r="BF11" s="189">
        <v>135475956.81999999</v>
      </c>
      <c r="BG11" s="189">
        <v>101662867.92</v>
      </c>
      <c r="BH11" s="189">
        <v>89076856.790000007</v>
      </c>
      <c r="BI11" s="189">
        <v>115301913.59</v>
      </c>
      <c r="BJ11" s="189">
        <v>153578020.65000001</v>
      </c>
      <c r="BK11" s="189">
        <v>86690670.090000004</v>
      </c>
      <c r="BL11" s="189">
        <v>56282638.909999996</v>
      </c>
      <c r="BM11" s="189">
        <v>108156542.56999999</v>
      </c>
      <c r="BN11" s="189">
        <v>0</v>
      </c>
      <c r="BO11" s="189">
        <v>0</v>
      </c>
    </row>
    <row r="12" spans="1:67" x14ac:dyDescent="0.25">
      <c r="A12" s="189" t="s">
        <v>228</v>
      </c>
      <c r="B12" s="189">
        <v>3399130359.5700002</v>
      </c>
      <c r="C12" s="189">
        <v>2306821478.9499998</v>
      </c>
      <c r="D12" s="189">
        <v>1103897699.72</v>
      </c>
      <c r="E12" s="189">
        <v>5206055685.6199999</v>
      </c>
      <c r="F12" s="189">
        <v>3204204857.73</v>
      </c>
      <c r="G12" s="189">
        <v>2246643946.1199999</v>
      </c>
      <c r="H12" s="189">
        <v>1067597867.4299999</v>
      </c>
      <c r="I12" s="189">
        <v>4475194555.8900003</v>
      </c>
      <c r="J12" s="189">
        <v>3146342573.9200001</v>
      </c>
      <c r="K12" s="189">
        <v>2157424587.52</v>
      </c>
      <c r="L12" s="189">
        <v>1121668223.05</v>
      </c>
      <c r="M12" s="189">
        <v>4273414543.0100002</v>
      </c>
      <c r="N12" s="189">
        <v>3031190738.4400001</v>
      </c>
      <c r="O12" s="189">
        <v>2021441391.6600001</v>
      </c>
      <c r="P12" s="189">
        <v>953075064.03999996</v>
      </c>
      <c r="Q12" s="189">
        <v>4036134740.6900001</v>
      </c>
      <c r="R12" s="189">
        <v>2889325564.04</v>
      </c>
      <c r="S12" s="189">
        <v>1852766640.52</v>
      </c>
      <c r="T12" s="189">
        <v>977630372.15999997</v>
      </c>
      <c r="U12" s="189">
        <v>3541743831.75</v>
      </c>
      <c r="V12" s="189">
        <v>2476287736.6900001</v>
      </c>
      <c r="W12" s="189">
        <v>1761939507.21</v>
      </c>
      <c r="X12" s="189">
        <v>796094012.01999998</v>
      </c>
      <c r="Y12" s="189">
        <v>2990134464.0999999</v>
      </c>
      <c r="Z12" s="189">
        <v>2405815078.1100001</v>
      </c>
      <c r="AA12" s="189">
        <v>1565463395.74</v>
      </c>
      <c r="AB12" s="189">
        <v>714328929.75</v>
      </c>
      <c r="AC12" s="189">
        <v>2948812165.98</v>
      </c>
      <c r="AD12" s="189">
        <v>2238358452.0300002</v>
      </c>
      <c r="AE12" s="189">
        <v>1536524078.3699999</v>
      </c>
      <c r="AF12" s="189">
        <v>774190276.90999997</v>
      </c>
      <c r="AG12" s="189">
        <v>2466105484.3600001</v>
      </c>
      <c r="AH12" s="189">
        <v>1695890156.6400001</v>
      </c>
      <c r="AI12" s="189">
        <v>1201346460.54</v>
      </c>
      <c r="AJ12" s="189">
        <v>605618335.54999995</v>
      </c>
      <c r="AK12" s="189">
        <v>2086431948.24</v>
      </c>
      <c r="AL12" s="189">
        <v>1652931397.3900001</v>
      </c>
      <c r="AM12" s="189">
        <v>993656035.73000002</v>
      </c>
      <c r="AN12" s="189">
        <v>486229697.69</v>
      </c>
      <c r="AO12" s="189">
        <v>1939114590.47</v>
      </c>
      <c r="AP12" s="189">
        <v>1473160324.48</v>
      </c>
      <c r="AQ12" s="189">
        <v>1019984368.27</v>
      </c>
      <c r="AR12" s="189">
        <v>511066548.88</v>
      </c>
      <c r="AS12" s="189">
        <v>1720437965.3</v>
      </c>
      <c r="AT12" s="189">
        <v>1350993456.3099999</v>
      </c>
      <c r="AU12" s="189">
        <v>1074336021.98</v>
      </c>
      <c r="AV12" s="189">
        <v>465715322.37</v>
      </c>
      <c r="AW12" s="189">
        <v>1696122364.0699999</v>
      </c>
      <c r="AX12" s="189">
        <v>1259449686.0799999</v>
      </c>
      <c r="AY12" s="189">
        <v>915870506.29999995</v>
      </c>
      <c r="AZ12" s="189">
        <v>414400267.66000003</v>
      </c>
      <c r="BA12" s="189">
        <v>1524281046.0899999</v>
      </c>
      <c r="BB12" s="189">
        <v>1001793991.38</v>
      </c>
      <c r="BC12" s="189">
        <v>572085116.10000002</v>
      </c>
      <c r="BD12" s="189">
        <v>291303177.88999999</v>
      </c>
      <c r="BE12" s="189">
        <v>1130820253.1300001</v>
      </c>
      <c r="BF12" s="189">
        <v>873344793.90999997</v>
      </c>
      <c r="BG12" s="189">
        <v>626293599.62</v>
      </c>
      <c r="BH12" s="189">
        <v>263434888.58000001</v>
      </c>
      <c r="BI12" s="189">
        <v>722058691.55999994</v>
      </c>
      <c r="BJ12" s="189">
        <v>511934353.44999999</v>
      </c>
      <c r="BK12" s="189">
        <v>312995262.00999999</v>
      </c>
      <c r="BL12" s="189">
        <v>231763702.77000001</v>
      </c>
      <c r="BM12" s="189">
        <v>592623884.53999996</v>
      </c>
      <c r="BN12" s="189">
        <v>0</v>
      </c>
      <c r="BO12" s="189">
        <v>0</v>
      </c>
    </row>
    <row r="13" spans="1:67" x14ac:dyDescent="0.25">
      <c r="A13" s="189" t="s">
        <v>229</v>
      </c>
      <c r="B13" s="189">
        <v>2578877273.71</v>
      </c>
      <c r="C13" s="189">
        <v>1725639371.98</v>
      </c>
      <c r="D13" s="189">
        <v>636535663.16999996</v>
      </c>
      <c r="E13" s="189">
        <v>2153068900.1399999</v>
      </c>
      <c r="F13" s="189">
        <v>1591489962.48</v>
      </c>
      <c r="G13" s="189">
        <v>1607753054.48</v>
      </c>
      <c r="H13" s="189">
        <v>443738332.73000002</v>
      </c>
      <c r="I13" s="189">
        <v>1956099715.6600001</v>
      </c>
      <c r="J13" s="189">
        <v>1314892443.8099999</v>
      </c>
      <c r="K13" s="189">
        <v>1003813192.8200001</v>
      </c>
      <c r="L13" s="189">
        <v>90069986.540000007</v>
      </c>
      <c r="M13" s="189">
        <v>1739112381.8800001</v>
      </c>
      <c r="N13" s="189">
        <v>1209008984.1199999</v>
      </c>
      <c r="O13" s="189">
        <v>1064719807.89</v>
      </c>
      <c r="P13" s="189">
        <v>224087496.09</v>
      </c>
      <c r="Q13" s="189">
        <v>1823799354.1500001</v>
      </c>
      <c r="R13" s="189">
        <v>1141974147.04</v>
      </c>
      <c r="S13" s="189">
        <v>827492221.07000005</v>
      </c>
      <c r="T13" s="189">
        <v>110414871.86</v>
      </c>
      <c r="U13" s="189">
        <v>1965968927.28</v>
      </c>
      <c r="V13" s="189">
        <v>1425917380.5599999</v>
      </c>
      <c r="W13" s="189">
        <v>895776602.70000005</v>
      </c>
      <c r="X13" s="189">
        <v>216988976.31999999</v>
      </c>
      <c r="Y13" s="189">
        <v>1796659660.9200001</v>
      </c>
      <c r="Z13" s="189">
        <v>1231863627.05</v>
      </c>
      <c r="AA13" s="189">
        <v>878603093.71000004</v>
      </c>
      <c r="AB13" s="189">
        <v>265016285.38</v>
      </c>
      <c r="AC13" s="189">
        <v>1310123346.8800001</v>
      </c>
      <c r="AD13" s="189">
        <v>759127008.41999996</v>
      </c>
      <c r="AE13" s="189">
        <v>452665299.04000002</v>
      </c>
      <c r="AF13" s="189">
        <v>60278942.149999999</v>
      </c>
      <c r="AG13" s="189">
        <v>1646454332.71</v>
      </c>
      <c r="AH13" s="189">
        <v>1581501597.6300001</v>
      </c>
      <c r="AI13" s="189">
        <v>674812182.05999994</v>
      </c>
      <c r="AJ13" s="189">
        <v>214291040.36000001</v>
      </c>
      <c r="AK13" s="189">
        <v>1155240866.8299999</v>
      </c>
      <c r="AL13" s="189">
        <v>630370222.09000003</v>
      </c>
      <c r="AM13" s="189">
        <v>471014601.11000001</v>
      </c>
      <c r="AN13" s="189">
        <v>149132306.81999999</v>
      </c>
      <c r="AO13" s="189">
        <v>996375080.46000004</v>
      </c>
      <c r="AP13" s="189">
        <v>526013901.83999997</v>
      </c>
      <c r="AQ13" s="189">
        <v>227605028.86000001</v>
      </c>
      <c r="AR13" s="189">
        <v>77241738.450000003</v>
      </c>
      <c r="AS13" s="189">
        <v>1143664416.49</v>
      </c>
      <c r="AT13" s="189">
        <v>907792375.77999997</v>
      </c>
      <c r="AU13" s="189">
        <v>244059635.19999999</v>
      </c>
      <c r="AV13" s="189">
        <v>168491635.71000001</v>
      </c>
      <c r="AW13" s="189">
        <v>1041718763.71</v>
      </c>
      <c r="AX13" s="189">
        <v>606963883.08000004</v>
      </c>
      <c r="AY13" s="189">
        <v>360662052.42000002</v>
      </c>
      <c r="AZ13" s="189">
        <v>176842749.96000001</v>
      </c>
      <c r="BA13" s="189">
        <v>465104333.38</v>
      </c>
      <c r="BB13" s="189">
        <v>461333359.82999998</v>
      </c>
      <c r="BC13" s="189">
        <v>182709932.55000001</v>
      </c>
      <c r="BD13" s="189">
        <v>81641987.799999997</v>
      </c>
      <c r="BE13" s="189">
        <v>291479375.66000003</v>
      </c>
      <c r="BF13" s="189">
        <v>275925669.52999997</v>
      </c>
      <c r="BG13" s="189">
        <v>198410515.18000001</v>
      </c>
      <c r="BH13" s="189">
        <v>142955995.03999999</v>
      </c>
      <c r="BI13" s="189">
        <v>381992837.72000003</v>
      </c>
      <c r="BJ13" s="189">
        <v>276182380.85000002</v>
      </c>
      <c r="BK13" s="189">
        <v>210184480.28</v>
      </c>
      <c r="BL13" s="189">
        <v>113662704.92</v>
      </c>
      <c r="BM13" s="189">
        <v>284358823.68000001</v>
      </c>
      <c r="BN13" s="189">
        <v>124769472.61</v>
      </c>
      <c r="BO13" s="189">
        <v>0</v>
      </c>
    </row>
    <row r="14" spans="1:67" x14ac:dyDescent="0.25">
      <c r="A14" s="189" t="s">
        <v>230</v>
      </c>
    </row>
    <row r="15" spans="1:67" x14ac:dyDescent="0.25">
      <c r="A15" s="189" t="s">
        <v>231</v>
      </c>
      <c r="B15" s="189">
        <v>0</v>
      </c>
      <c r="C15" s="189">
        <v>0</v>
      </c>
      <c r="D15" s="189">
        <v>0</v>
      </c>
      <c r="E15" s="189">
        <v>18077200</v>
      </c>
      <c r="F15" s="189">
        <v>0</v>
      </c>
      <c r="G15" s="189">
        <v>0</v>
      </c>
      <c r="H15" s="189">
        <v>0</v>
      </c>
      <c r="I15" s="189">
        <v>2352472.5499999998</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158118.32</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4690000</v>
      </c>
      <c r="BF15" s="189">
        <v>2690000</v>
      </c>
      <c r="BG15" s="189">
        <v>200000</v>
      </c>
      <c r="BH15" s="189">
        <v>200000</v>
      </c>
      <c r="BI15" s="189">
        <v>9005595</v>
      </c>
      <c r="BJ15" s="189">
        <v>283600</v>
      </c>
      <c r="BK15" s="189">
        <v>100000</v>
      </c>
      <c r="BL15" s="189">
        <v>0</v>
      </c>
      <c r="BM15" s="189">
        <v>117441.76</v>
      </c>
      <c r="BN15" s="189">
        <v>0</v>
      </c>
      <c r="BO15" s="189">
        <v>0</v>
      </c>
    </row>
    <row r="16" spans="1:67" x14ac:dyDescent="0.25">
      <c r="A16" s="189" t="s">
        <v>232</v>
      </c>
      <c r="B16" s="189">
        <v>0</v>
      </c>
      <c r="C16" s="189">
        <v>0</v>
      </c>
      <c r="D16" s="189">
        <v>0</v>
      </c>
      <c r="E16" s="189">
        <v>5971987.9800000004</v>
      </c>
      <c r="F16" s="189">
        <v>0</v>
      </c>
      <c r="G16" s="189">
        <v>0</v>
      </c>
      <c r="H16" s="189">
        <v>0</v>
      </c>
      <c r="I16" s="189">
        <v>30137012.559999999</v>
      </c>
      <c r="J16" s="189">
        <v>0</v>
      </c>
      <c r="K16" s="189">
        <v>0</v>
      </c>
      <c r="L16" s="189">
        <v>0</v>
      </c>
      <c r="M16" s="189">
        <v>8013160.8600000003</v>
      </c>
      <c r="N16" s="189">
        <v>0</v>
      </c>
      <c r="O16" s="189">
        <v>0</v>
      </c>
      <c r="P16" s="189">
        <v>0</v>
      </c>
      <c r="Q16" s="189">
        <v>7410019.7199999997</v>
      </c>
      <c r="R16" s="189">
        <v>0</v>
      </c>
      <c r="S16" s="189">
        <v>0</v>
      </c>
      <c r="T16" s="189">
        <v>0</v>
      </c>
      <c r="U16" s="189">
        <v>2552000</v>
      </c>
      <c r="V16" s="189">
        <v>0</v>
      </c>
      <c r="W16" s="189">
        <v>0</v>
      </c>
      <c r="X16" s="189">
        <v>0</v>
      </c>
      <c r="Y16" s="189">
        <v>5852000</v>
      </c>
      <c r="Z16" s="189">
        <v>0</v>
      </c>
      <c r="AA16" s="189">
        <v>0</v>
      </c>
      <c r="AB16" s="189">
        <v>0</v>
      </c>
      <c r="AC16" s="189">
        <v>4162400</v>
      </c>
      <c r="AD16" s="189">
        <v>0</v>
      </c>
      <c r="AE16" s="189">
        <v>0</v>
      </c>
      <c r="AF16" s="189">
        <v>0</v>
      </c>
      <c r="AG16" s="189">
        <v>1796315.34</v>
      </c>
      <c r="AH16" s="189">
        <v>1796315.34</v>
      </c>
      <c r="AI16" s="189">
        <v>0</v>
      </c>
      <c r="AJ16" s="189">
        <v>0</v>
      </c>
      <c r="AK16" s="189">
        <v>3371225.25</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1483319.31</v>
      </c>
      <c r="BF16" s="189">
        <v>697737.78</v>
      </c>
      <c r="BG16" s="189">
        <v>6447.03</v>
      </c>
      <c r="BH16" s="189">
        <v>6447.03</v>
      </c>
      <c r="BI16" s="189">
        <v>2159140.7000000002</v>
      </c>
      <c r="BJ16" s="189">
        <v>56564.22</v>
      </c>
      <c r="BK16" s="189">
        <v>3244.22</v>
      </c>
      <c r="BL16" s="189">
        <v>0</v>
      </c>
      <c r="BM16" s="189">
        <v>0</v>
      </c>
      <c r="BN16" s="189">
        <v>0</v>
      </c>
      <c r="BO16" s="189">
        <v>0</v>
      </c>
    </row>
    <row r="17" spans="1:67" x14ac:dyDescent="0.25">
      <c r="A17" s="189" t="s">
        <v>233</v>
      </c>
      <c r="B17" s="189">
        <v>0</v>
      </c>
      <c r="C17" s="189">
        <v>0</v>
      </c>
      <c r="D17" s="189">
        <v>0</v>
      </c>
      <c r="E17" s="189">
        <v>2415711.02</v>
      </c>
      <c r="F17" s="189">
        <v>0</v>
      </c>
      <c r="G17" s="189">
        <v>0</v>
      </c>
      <c r="H17" s="189">
        <v>0</v>
      </c>
      <c r="I17" s="189">
        <v>1159491.98</v>
      </c>
      <c r="J17" s="189">
        <v>0</v>
      </c>
      <c r="K17" s="189">
        <v>0</v>
      </c>
      <c r="L17" s="189">
        <v>0</v>
      </c>
      <c r="M17" s="189">
        <v>666190.74</v>
      </c>
      <c r="N17" s="189">
        <v>0</v>
      </c>
      <c r="O17" s="189">
        <v>0</v>
      </c>
      <c r="P17" s="189">
        <v>0</v>
      </c>
      <c r="Q17" s="189">
        <v>933305.71</v>
      </c>
      <c r="R17" s="189">
        <v>0</v>
      </c>
      <c r="S17" s="189">
        <v>0</v>
      </c>
      <c r="T17" s="189">
        <v>0</v>
      </c>
      <c r="U17" s="189">
        <v>557965.42000000004</v>
      </c>
      <c r="V17" s="189">
        <v>411308</v>
      </c>
      <c r="W17" s="189">
        <v>300058</v>
      </c>
      <c r="X17" s="189">
        <v>102800</v>
      </c>
      <c r="Y17" s="189">
        <v>274929.78000000003</v>
      </c>
      <c r="Z17" s="189">
        <v>80795</v>
      </c>
      <c r="AA17" s="189">
        <v>71195</v>
      </c>
      <c r="AB17" s="189">
        <v>47195</v>
      </c>
      <c r="AC17" s="189">
        <v>709504.19</v>
      </c>
      <c r="AD17" s="189">
        <v>220226.26</v>
      </c>
      <c r="AE17" s="189">
        <v>34700</v>
      </c>
      <c r="AF17" s="189">
        <v>0</v>
      </c>
      <c r="AG17" s="189">
        <v>301158.01</v>
      </c>
      <c r="AH17" s="189">
        <v>53750</v>
      </c>
      <c r="AI17" s="189">
        <v>53750</v>
      </c>
      <c r="AJ17" s="189">
        <v>53750</v>
      </c>
      <c r="AK17" s="189">
        <v>406063.45</v>
      </c>
      <c r="AL17" s="189">
        <v>107163.45</v>
      </c>
      <c r="AM17" s="189">
        <v>92300</v>
      </c>
      <c r="AN17" s="189">
        <v>86500</v>
      </c>
      <c r="AO17" s="189">
        <v>4160503.94</v>
      </c>
      <c r="AP17" s="189">
        <v>504400</v>
      </c>
      <c r="AQ17" s="189">
        <v>504400</v>
      </c>
      <c r="AR17" s="189">
        <v>120000</v>
      </c>
      <c r="AS17" s="189">
        <v>6134588.0499999998</v>
      </c>
      <c r="AT17" s="189">
        <v>5875088.0499999998</v>
      </c>
      <c r="AU17" s="189">
        <v>5867088.0499999998</v>
      </c>
      <c r="AV17" s="189">
        <v>0</v>
      </c>
      <c r="AW17" s="189">
        <v>1771254.6</v>
      </c>
      <c r="AX17" s="189">
        <v>734470</v>
      </c>
      <c r="AY17" s="189">
        <v>658970</v>
      </c>
      <c r="AZ17" s="189">
        <v>430668</v>
      </c>
      <c r="BA17" s="189">
        <v>1702814.32</v>
      </c>
      <c r="BB17" s="189">
        <v>1589307.91</v>
      </c>
      <c r="BC17" s="189">
        <v>981547.9</v>
      </c>
      <c r="BD17" s="189">
        <v>0</v>
      </c>
      <c r="BE17" s="189">
        <v>878340.24</v>
      </c>
      <c r="BF17" s="189">
        <v>26340</v>
      </c>
      <c r="BG17" s="189">
        <v>5600</v>
      </c>
      <c r="BH17" s="189">
        <v>0</v>
      </c>
      <c r="BI17" s="189">
        <v>257655</v>
      </c>
      <c r="BJ17" s="189">
        <v>248650</v>
      </c>
      <c r="BK17" s="189">
        <v>204550</v>
      </c>
      <c r="BL17" s="189">
        <v>950</v>
      </c>
      <c r="BM17" s="189">
        <v>1793779.54</v>
      </c>
      <c r="BN17" s="189">
        <v>0</v>
      </c>
      <c r="BO17" s="189">
        <v>0</v>
      </c>
    </row>
    <row r="18" spans="1:67" x14ac:dyDescent="0.25">
      <c r="A18" s="189" t="s">
        <v>234</v>
      </c>
      <c r="B18" s="189">
        <v>0</v>
      </c>
      <c r="C18" s="189">
        <v>0</v>
      </c>
      <c r="D18" s="189">
        <v>0</v>
      </c>
      <c r="E18" s="189">
        <v>0</v>
      </c>
      <c r="F18" s="189">
        <v>0</v>
      </c>
      <c r="G18" s="189">
        <v>0</v>
      </c>
      <c r="H18" s="189">
        <v>0</v>
      </c>
      <c r="I18" s="189">
        <v>-83848786.379999995</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158118.32</v>
      </c>
      <c r="AQ18" s="189">
        <v>158118.32</v>
      </c>
      <c r="AR18" s="189">
        <v>158118.32</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row>
    <row r="19" spans="1:67" x14ac:dyDescent="0.25">
      <c r="A19" s="189" t="s">
        <v>235</v>
      </c>
      <c r="B19" s="189">
        <v>0</v>
      </c>
      <c r="C19" s="189">
        <v>0</v>
      </c>
      <c r="D19" s="189">
        <v>0</v>
      </c>
      <c r="E19" s="189">
        <v>0</v>
      </c>
      <c r="F19" s="189">
        <v>0</v>
      </c>
      <c r="G19" s="189">
        <v>0</v>
      </c>
      <c r="H19" s="189">
        <v>0</v>
      </c>
      <c r="I19" s="189">
        <v>0</v>
      </c>
      <c r="J19" s="189">
        <v>0</v>
      </c>
      <c r="K19" s="189">
        <v>0</v>
      </c>
      <c r="L19" s="189">
        <v>0</v>
      </c>
      <c r="M19" s="189">
        <v>10020000</v>
      </c>
      <c r="N19" s="189">
        <v>0</v>
      </c>
      <c r="O19" s="189">
        <v>0</v>
      </c>
      <c r="P19" s="189">
        <v>0</v>
      </c>
      <c r="Q19" s="189">
        <v>12710000</v>
      </c>
      <c r="R19" s="189">
        <v>0</v>
      </c>
      <c r="S19" s="189">
        <v>0</v>
      </c>
      <c r="T19" s="189">
        <v>0</v>
      </c>
      <c r="U19" s="189">
        <v>10000000</v>
      </c>
      <c r="V19" s="189">
        <v>0</v>
      </c>
      <c r="W19" s="189">
        <v>0</v>
      </c>
      <c r="X19" s="189">
        <v>0</v>
      </c>
      <c r="Y19" s="189">
        <v>72050530.439999998</v>
      </c>
      <c r="Z19" s="189">
        <v>0</v>
      </c>
      <c r="AA19" s="189">
        <v>0</v>
      </c>
      <c r="AB19" s="189">
        <v>0</v>
      </c>
      <c r="AC19" s="189">
        <v>50000000</v>
      </c>
      <c r="AD19" s="189">
        <v>0</v>
      </c>
      <c r="AE19" s="189">
        <v>0</v>
      </c>
      <c r="AF19" s="189">
        <v>0</v>
      </c>
      <c r="AG19" s="189">
        <v>100000000</v>
      </c>
      <c r="AH19" s="189">
        <v>0</v>
      </c>
      <c r="AI19" s="189">
        <v>0</v>
      </c>
      <c r="AJ19" s="189">
        <v>0</v>
      </c>
      <c r="AK19" s="189">
        <v>0</v>
      </c>
      <c r="AL19" s="189">
        <v>0</v>
      </c>
      <c r="AM19" s="189">
        <v>0</v>
      </c>
      <c r="AN19" s="189">
        <v>0</v>
      </c>
      <c r="AO19" s="189">
        <v>0</v>
      </c>
      <c r="AP19" s="189">
        <v>0</v>
      </c>
      <c r="AQ19" s="189">
        <v>0</v>
      </c>
      <c r="AR19" s="189">
        <v>1012502</v>
      </c>
      <c r="AS19" s="189">
        <v>0</v>
      </c>
      <c r="AT19" s="189">
        <v>0</v>
      </c>
      <c r="AU19" s="189">
        <v>0</v>
      </c>
      <c r="AV19" s="189">
        <v>0</v>
      </c>
      <c r="AW19" s="189">
        <v>0</v>
      </c>
      <c r="AX19" s="189">
        <v>0</v>
      </c>
      <c r="AY19" s="189">
        <v>0</v>
      </c>
      <c r="AZ19" s="189">
        <v>0</v>
      </c>
      <c r="BA19" s="189">
        <v>0</v>
      </c>
      <c r="BB19" s="189">
        <v>8821860.7200000007</v>
      </c>
      <c r="BC19" s="189">
        <v>0</v>
      </c>
      <c r="BD19" s="189">
        <v>0</v>
      </c>
      <c r="BE19" s="189">
        <v>0</v>
      </c>
      <c r="BF19" s="189">
        <v>0</v>
      </c>
      <c r="BG19" s="189">
        <v>33626.76</v>
      </c>
      <c r="BH19" s="189">
        <v>0</v>
      </c>
      <c r="BI19" s="189">
        <v>0</v>
      </c>
      <c r="BJ19" s="189">
        <v>0</v>
      </c>
      <c r="BK19" s="189">
        <v>0</v>
      </c>
      <c r="BL19" s="189">
        <v>0</v>
      </c>
      <c r="BM19" s="189">
        <v>0</v>
      </c>
      <c r="BN19" s="189">
        <v>0</v>
      </c>
      <c r="BO19" s="189">
        <v>0</v>
      </c>
    </row>
    <row r="20" spans="1:67" x14ac:dyDescent="0.25">
      <c r="A20" s="189" t="s">
        <v>236</v>
      </c>
      <c r="B20" s="189">
        <v>0</v>
      </c>
      <c r="C20" s="189">
        <v>0</v>
      </c>
      <c r="D20" s="189">
        <v>0</v>
      </c>
      <c r="E20" s="189">
        <v>26464899</v>
      </c>
      <c r="F20" s="189">
        <v>0</v>
      </c>
      <c r="G20" s="189">
        <v>0</v>
      </c>
      <c r="H20" s="189">
        <v>0</v>
      </c>
      <c r="I20" s="189">
        <v>-50199809.289999999</v>
      </c>
      <c r="J20" s="189">
        <v>0</v>
      </c>
      <c r="K20" s="189">
        <v>0</v>
      </c>
      <c r="L20" s="189">
        <v>0</v>
      </c>
      <c r="M20" s="189">
        <v>18699351.600000001</v>
      </c>
      <c r="N20" s="189">
        <v>0</v>
      </c>
      <c r="O20" s="189">
        <v>0</v>
      </c>
      <c r="P20" s="189">
        <v>0</v>
      </c>
      <c r="Q20" s="189">
        <v>21053325.43</v>
      </c>
      <c r="R20" s="189">
        <v>0</v>
      </c>
      <c r="S20" s="189">
        <v>0</v>
      </c>
      <c r="T20" s="189">
        <v>0</v>
      </c>
      <c r="U20" s="189">
        <v>13109965.42</v>
      </c>
      <c r="V20" s="189">
        <v>411308</v>
      </c>
      <c r="W20" s="189">
        <v>300058</v>
      </c>
      <c r="X20" s="189">
        <v>102800</v>
      </c>
      <c r="Y20" s="189">
        <v>78177460.219999999</v>
      </c>
      <c r="Z20" s="189">
        <v>80795</v>
      </c>
      <c r="AA20" s="189">
        <v>71195</v>
      </c>
      <c r="AB20" s="189">
        <v>47195</v>
      </c>
      <c r="AC20" s="189">
        <v>54871904.189999998</v>
      </c>
      <c r="AD20" s="189">
        <v>220226.26</v>
      </c>
      <c r="AE20" s="189">
        <v>34700</v>
      </c>
      <c r="AF20" s="189">
        <v>0</v>
      </c>
      <c r="AG20" s="189">
        <v>102097473.34999999</v>
      </c>
      <c r="AH20" s="189">
        <v>1850065.34</v>
      </c>
      <c r="AI20" s="189">
        <v>53750</v>
      </c>
      <c r="AJ20" s="189">
        <v>53750</v>
      </c>
      <c r="AK20" s="189">
        <v>3777288.7</v>
      </c>
      <c r="AL20" s="189">
        <v>107163.45</v>
      </c>
      <c r="AM20" s="189">
        <v>92300</v>
      </c>
      <c r="AN20" s="189">
        <v>86500</v>
      </c>
      <c r="AO20" s="189">
        <v>4318622.26</v>
      </c>
      <c r="AP20" s="189">
        <v>662518.31999999995</v>
      </c>
      <c r="AQ20" s="189">
        <v>662518.31999999995</v>
      </c>
      <c r="AR20" s="189">
        <v>278118.32</v>
      </c>
      <c r="AS20" s="189">
        <v>6134588.0499999998</v>
      </c>
      <c r="AT20" s="189">
        <v>5875088.0499999998</v>
      </c>
      <c r="AU20" s="189">
        <v>5867088.0499999998</v>
      </c>
      <c r="AV20" s="189">
        <v>0</v>
      </c>
      <c r="AW20" s="189">
        <v>1771254.6</v>
      </c>
      <c r="AX20" s="189">
        <v>734470</v>
      </c>
      <c r="AY20" s="189">
        <v>658970</v>
      </c>
      <c r="AZ20" s="189">
        <v>430668</v>
      </c>
      <c r="BA20" s="189">
        <v>1702814.32</v>
      </c>
      <c r="BB20" s="189">
        <v>10411168.630000001</v>
      </c>
      <c r="BC20" s="189">
        <v>981547.9</v>
      </c>
      <c r="BD20" s="189">
        <v>0</v>
      </c>
      <c r="BE20" s="189">
        <v>7051659.5499999998</v>
      </c>
      <c r="BF20" s="189">
        <v>3414077.78</v>
      </c>
      <c r="BG20" s="189">
        <v>245673.79</v>
      </c>
      <c r="BH20" s="189">
        <v>206447.03</v>
      </c>
      <c r="BI20" s="189">
        <v>11422390.699999999</v>
      </c>
      <c r="BJ20" s="189">
        <v>588814.22</v>
      </c>
      <c r="BK20" s="189">
        <v>307794.21999999997</v>
      </c>
      <c r="BL20" s="189">
        <v>950</v>
      </c>
      <c r="BM20" s="189">
        <v>1911221.3</v>
      </c>
      <c r="BN20" s="189">
        <v>0</v>
      </c>
      <c r="BO20" s="189">
        <v>0</v>
      </c>
    </row>
    <row r="21" spans="1:67" x14ac:dyDescent="0.25">
      <c r="A21" s="189" t="s">
        <v>237</v>
      </c>
      <c r="B21" s="189">
        <v>1338934866.6300001</v>
      </c>
      <c r="C21" s="189">
        <v>1055128945.11</v>
      </c>
      <c r="D21" s="189">
        <v>665183274.40999997</v>
      </c>
      <c r="E21" s="189">
        <v>4036630236.2199998</v>
      </c>
      <c r="F21" s="189">
        <v>2592432493.0700002</v>
      </c>
      <c r="G21" s="189">
        <v>1454659886.3699999</v>
      </c>
      <c r="H21" s="189">
        <v>785337946.10000002</v>
      </c>
      <c r="I21" s="189">
        <v>5294366221.9200001</v>
      </c>
      <c r="J21" s="189">
        <v>3527524548.3400002</v>
      </c>
      <c r="K21" s="189">
        <v>2670019711.3800001</v>
      </c>
      <c r="L21" s="189">
        <v>2156251140.5599999</v>
      </c>
      <c r="M21" s="189">
        <v>3165891273.71</v>
      </c>
      <c r="N21" s="189">
        <v>2215300722.8099999</v>
      </c>
      <c r="O21" s="189">
        <v>1772933166.3699999</v>
      </c>
      <c r="P21" s="189">
        <v>9804430.0399999991</v>
      </c>
      <c r="Q21" s="189">
        <v>96884841.489999995</v>
      </c>
      <c r="R21" s="189">
        <v>38553786.420000002</v>
      </c>
      <c r="S21" s="189">
        <v>26131207.510000002</v>
      </c>
      <c r="T21" s="189">
        <v>13177718.140000001</v>
      </c>
      <c r="U21" s="189">
        <v>89677492.920000002</v>
      </c>
      <c r="V21" s="189">
        <v>73921431.549999997</v>
      </c>
      <c r="W21" s="189">
        <v>29289593.73</v>
      </c>
      <c r="X21" s="189">
        <v>13021406.699999999</v>
      </c>
      <c r="Y21" s="189">
        <v>361344371</v>
      </c>
      <c r="Z21" s="189">
        <v>64919613.020000003</v>
      </c>
      <c r="AA21" s="189">
        <v>52089640.950000003</v>
      </c>
      <c r="AB21" s="189">
        <v>32267371.870000001</v>
      </c>
      <c r="AC21" s="189">
        <v>846141915.25</v>
      </c>
      <c r="AD21" s="189">
        <v>156144762.66999999</v>
      </c>
      <c r="AE21" s="189">
        <v>60269677.560000002</v>
      </c>
      <c r="AF21" s="189">
        <v>31736731.149999999</v>
      </c>
      <c r="AG21" s="189">
        <v>1605086734.3</v>
      </c>
      <c r="AH21" s="189">
        <v>1074542552.9000001</v>
      </c>
      <c r="AI21" s="189">
        <v>1032713909.0700001</v>
      </c>
      <c r="AJ21" s="189">
        <v>15055941.300000001</v>
      </c>
      <c r="AK21" s="189">
        <v>527315390.29000002</v>
      </c>
      <c r="AL21" s="189">
        <v>264331174.80000001</v>
      </c>
      <c r="AM21" s="189">
        <v>20761650.289999999</v>
      </c>
      <c r="AN21" s="189">
        <v>11389382.130000001</v>
      </c>
      <c r="AO21" s="189">
        <v>566708815.69000006</v>
      </c>
      <c r="AP21" s="189">
        <v>163285606.25999999</v>
      </c>
      <c r="AQ21" s="189">
        <v>27149726.370000001</v>
      </c>
      <c r="AR21" s="189">
        <v>15642922.15</v>
      </c>
      <c r="AS21" s="189">
        <v>351868069.95999998</v>
      </c>
      <c r="AT21" s="189">
        <v>55459487.469999999</v>
      </c>
      <c r="AU21" s="189">
        <v>38595170.280000001</v>
      </c>
      <c r="AV21" s="189">
        <v>11243549.68</v>
      </c>
      <c r="AW21" s="189">
        <v>69718907.319999993</v>
      </c>
      <c r="AX21" s="189">
        <v>62555593.5</v>
      </c>
      <c r="AY21" s="189">
        <v>50389115.990000002</v>
      </c>
      <c r="AZ21" s="189">
        <v>24570590.390000001</v>
      </c>
      <c r="BA21" s="189">
        <v>3329407071.3099999</v>
      </c>
      <c r="BB21" s="189">
        <v>2903382323.8099999</v>
      </c>
      <c r="BC21" s="189">
        <v>2806832189.73</v>
      </c>
      <c r="BD21" s="189">
        <v>48925039.43</v>
      </c>
      <c r="BE21" s="189">
        <v>162039291.47</v>
      </c>
      <c r="BF21" s="189">
        <v>65133009.579999998</v>
      </c>
      <c r="BG21" s="189">
        <v>5185542.57</v>
      </c>
      <c r="BH21" s="189">
        <v>1478178.99</v>
      </c>
      <c r="BI21" s="189">
        <v>2514745591.4299998</v>
      </c>
      <c r="BJ21" s="189">
        <v>2508704474.3299999</v>
      </c>
      <c r="BK21" s="189">
        <v>2503544544.8600001</v>
      </c>
      <c r="BL21" s="189">
        <v>4278537.5999999996</v>
      </c>
      <c r="BM21" s="189">
        <v>33099963.039999999</v>
      </c>
      <c r="BN21" s="189">
        <v>0</v>
      </c>
      <c r="BO21" s="189">
        <v>0</v>
      </c>
    </row>
    <row r="22" spans="1:67" x14ac:dyDescent="0.25">
      <c r="A22" s="189" t="s">
        <v>238</v>
      </c>
      <c r="B22" s="189">
        <v>0</v>
      </c>
      <c r="C22" s="189">
        <v>0</v>
      </c>
      <c r="D22" s="189">
        <v>0</v>
      </c>
      <c r="E22" s="189">
        <v>47679794.5</v>
      </c>
      <c r="F22" s="189">
        <v>0</v>
      </c>
      <c r="G22" s="189">
        <v>0</v>
      </c>
      <c r="H22" s="189">
        <v>0</v>
      </c>
      <c r="I22" s="189">
        <v>0</v>
      </c>
      <c r="J22" s="189">
        <v>0</v>
      </c>
      <c r="K22" s="189">
        <v>0</v>
      </c>
      <c r="L22" s="189">
        <v>0</v>
      </c>
      <c r="M22" s="189">
        <v>0</v>
      </c>
      <c r="N22" s="189">
        <v>16664105.449999999</v>
      </c>
      <c r="O22" s="189">
        <v>16664105.449999999</v>
      </c>
      <c r="P22" s="189">
        <v>0</v>
      </c>
      <c r="Q22" s="189">
        <v>0</v>
      </c>
      <c r="R22" s="189">
        <v>0</v>
      </c>
      <c r="S22" s="189">
        <v>0</v>
      </c>
      <c r="T22" s="189">
        <v>0</v>
      </c>
      <c r="U22" s="189">
        <v>17500000</v>
      </c>
      <c r="V22" s="189">
        <v>13500000</v>
      </c>
      <c r="W22" s="189">
        <v>13500000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3250000</v>
      </c>
      <c r="AX22" s="189">
        <v>100000</v>
      </c>
      <c r="AY22" s="189">
        <v>0</v>
      </c>
      <c r="AZ22" s="189">
        <v>0</v>
      </c>
      <c r="BA22" s="189">
        <v>15325967.560000001</v>
      </c>
      <c r="BB22" s="189">
        <v>1029000</v>
      </c>
      <c r="BC22" s="189">
        <v>1029000</v>
      </c>
      <c r="BD22" s="189">
        <v>1029000</v>
      </c>
      <c r="BE22" s="189">
        <v>3500000</v>
      </c>
      <c r="BF22" s="189">
        <v>18646727</v>
      </c>
      <c r="BG22" s="189">
        <v>15282999</v>
      </c>
      <c r="BH22" s="189">
        <v>0</v>
      </c>
      <c r="BI22" s="189">
        <v>11171600</v>
      </c>
      <c r="BJ22" s="189">
        <v>16994409.629999999</v>
      </c>
      <c r="BK22" s="189">
        <v>4200000</v>
      </c>
      <c r="BL22" s="189">
        <v>0</v>
      </c>
      <c r="BM22" s="189">
        <v>7240000</v>
      </c>
      <c r="BN22" s="189">
        <v>0</v>
      </c>
      <c r="BO22" s="189">
        <v>0</v>
      </c>
    </row>
    <row r="23" spans="1:67"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row>
    <row r="24" spans="1:67"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1297.1500000000001</v>
      </c>
      <c r="BK24" s="189">
        <v>1297.1500000000001</v>
      </c>
      <c r="BL24" s="189">
        <v>1297.1500000000001</v>
      </c>
      <c r="BM24" s="189">
        <v>0</v>
      </c>
      <c r="BN24" s="189">
        <v>0</v>
      </c>
      <c r="BO24" s="189">
        <v>0</v>
      </c>
    </row>
    <row r="25" spans="1:67" x14ac:dyDescent="0.25">
      <c r="A25" s="189" t="s">
        <v>241</v>
      </c>
      <c r="B25" s="189">
        <v>1338934866.6300001</v>
      </c>
      <c r="C25" s="189">
        <v>1055128945.11</v>
      </c>
      <c r="D25" s="189">
        <v>665183274.40999997</v>
      </c>
      <c r="E25" s="189">
        <v>4084310030.7199998</v>
      </c>
      <c r="F25" s="189">
        <v>2592432493.0700002</v>
      </c>
      <c r="G25" s="189">
        <v>1454659886.3699999</v>
      </c>
      <c r="H25" s="189">
        <v>785337946.10000002</v>
      </c>
      <c r="I25" s="189">
        <v>5294366221.9200001</v>
      </c>
      <c r="J25" s="189">
        <v>3527524548.3400002</v>
      </c>
      <c r="K25" s="189">
        <v>2670019711.3800001</v>
      </c>
      <c r="L25" s="189">
        <v>2156251140.5599999</v>
      </c>
      <c r="M25" s="189">
        <v>3165891273.71</v>
      </c>
      <c r="N25" s="189">
        <v>2231964828.2600002</v>
      </c>
      <c r="O25" s="189">
        <v>1789597271.8199999</v>
      </c>
      <c r="P25" s="189">
        <v>9804430.0399999991</v>
      </c>
      <c r="Q25" s="189">
        <v>96884841.489999995</v>
      </c>
      <c r="R25" s="189">
        <v>38553786.420000002</v>
      </c>
      <c r="S25" s="189">
        <v>26131207.510000002</v>
      </c>
      <c r="T25" s="189">
        <v>13177718.140000001</v>
      </c>
      <c r="U25" s="189">
        <v>107177492.92</v>
      </c>
      <c r="V25" s="189">
        <v>87421431.549999997</v>
      </c>
      <c r="W25" s="189">
        <v>42789593.729999997</v>
      </c>
      <c r="X25" s="189">
        <v>13021406.699999999</v>
      </c>
      <c r="Y25" s="189">
        <v>361344371</v>
      </c>
      <c r="Z25" s="189">
        <v>64919613.020000003</v>
      </c>
      <c r="AA25" s="189">
        <v>52089640.950000003</v>
      </c>
      <c r="AB25" s="189">
        <v>32267371.870000001</v>
      </c>
      <c r="AC25" s="189">
        <v>846141915.25</v>
      </c>
      <c r="AD25" s="189">
        <v>156144762.66999999</v>
      </c>
      <c r="AE25" s="189">
        <v>60269677.560000002</v>
      </c>
      <c r="AF25" s="189">
        <v>31736731.149999999</v>
      </c>
      <c r="AG25" s="189">
        <v>1605086734.3</v>
      </c>
      <c r="AH25" s="189">
        <v>1074542552.9000001</v>
      </c>
      <c r="AI25" s="189">
        <v>1032713909.0700001</v>
      </c>
      <c r="AJ25" s="189">
        <v>15055941.300000001</v>
      </c>
      <c r="AK25" s="189">
        <v>527315390.29000002</v>
      </c>
      <c r="AL25" s="189">
        <v>264331174.80000001</v>
      </c>
      <c r="AM25" s="189">
        <v>20761650.289999999</v>
      </c>
      <c r="AN25" s="189">
        <v>11389382.130000001</v>
      </c>
      <c r="AO25" s="189">
        <v>566708815.69000006</v>
      </c>
      <c r="AP25" s="189">
        <v>163285606.25999999</v>
      </c>
      <c r="AQ25" s="189">
        <v>27149726.370000001</v>
      </c>
      <c r="AR25" s="189">
        <v>15642922.15</v>
      </c>
      <c r="AS25" s="189">
        <v>351868069.95999998</v>
      </c>
      <c r="AT25" s="189">
        <v>55459487.469999999</v>
      </c>
      <c r="AU25" s="189">
        <v>38595170.280000001</v>
      </c>
      <c r="AV25" s="189">
        <v>11243549.68</v>
      </c>
      <c r="AW25" s="189">
        <v>72968907.319999993</v>
      </c>
      <c r="AX25" s="189">
        <v>62655593.5</v>
      </c>
      <c r="AY25" s="189">
        <v>50389115.990000002</v>
      </c>
      <c r="AZ25" s="189">
        <v>24570590.390000001</v>
      </c>
      <c r="BA25" s="189">
        <v>3344733038.8699999</v>
      </c>
      <c r="BB25" s="189">
        <v>2904411323.8099999</v>
      </c>
      <c r="BC25" s="189">
        <v>2807861189.73</v>
      </c>
      <c r="BD25" s="189">
        <v>49954039.43</v>
      </c>
      <c r="BE25" s="189">
        <v>165539291.47</v>
      </c>
      <c r="BF25" s="189">
        <v>83779736.579999998</v>
      </c>
      <c r="BG25" s="189">
        <v>20468541.57</v>
      </c>
      <c r="BH25" s="189">
        <v>1478178.99</v>
      </c>
      <c r="BI25" s="189">
        <v>2525917191.4299998</v>
      </c>
      <c r="BJ25" s="189">
        <v>2525700181.1100001</v>
      </c>
      <c r="BK25" s="189">
        <v>2507745842.0100002</v>
      </c>
      <c r="BL25" s="189">
        <v>4279834.75</v>
      </c>
      <c r="BM25" s="189">
        <v>40339963.039999999</v>
      </c>
      <c r="BN25" s="189">
        <v>0</v>
      </c>
      <c r="BO25" s="189">
        <v>0</v>
      </c>
    </row>
    <row r="26" spans="1:67" x14ac:dyDescent="0.25">
      <c r="A26" s="189" t="s">
        <v>242</v>
      </c>
      <c r="B26" s="189">
        <v>-1338934866.6300001</v>
      </c>
      <c r="C26" s="189">
        <v>-1055128945.11</v>
      </c>
      <c r="D26" s="189">
        <v>-665183274.40999997</v>
      </c>
      <c r="E26" s="189">
        <v>-4057845131.7199998</v>
      </c>
      <c r="F26" s="189">
        <v>-2592432493.0700002</v>
      </c>
      <c r="G26" s="189">
        <v>-1454659886.3699999</v>
      </c>
      <c r="H26" s="189">
        <v>-785337946.10000002</v>
      </c>
      <c r="I26" s="189">
        <v>-5344566031.21</v>
      </c>
      <c r="J26" s="189">
        <v>-3527524548.3400002</v>
      </c>
      <c r="K26" s="189">
        <v>-2670019711.3800001</v>
      </c>
      <c r="L26" s="189">
        <v>-2156251140.5599999</v>
      </c>
      <c r="M26" s="189">
        <v>-3147191922.1100001</v>
      </c>
      <c r="N26" s="189">
        <v>-2231964828.2600002</v>
      </c>
      <c r="O26" s="189">
        <v>-1789597271.8199999</v>
      </c>
      <c r="P26" s="189">
        <v>-9804430.0399999991</v>
      </c>
      <c r="Q26" s="189">
        <v>-75831516.060000002</v>
      </c>
      <c r="R26" s="189">
        <v>-38553786.420000002</v>
      </c>
      <c r="S26" s="189">
        <v>-26131207.510000002</v>
      </c>
      <c r="T26" s="189">
        <v>-13177718.140000001</v>
      </c>
      <c r="U26" s="189">
        <v>-94067527.5</v>
      </c>
      <c r="V26" s="189">
        <v>-87010123.549999997</v>
      </c>
      <c r="W26" s="189">
        <v>-42489535.729999997</v>
      </c>
      <c r="X26" s="189">
        <v>-12918606.699999999</v>
      </c>
      <c r="Y26" s="189">
        <v>-283166910.77999997</v>
      </c>
      <c r="Z26" s="189">
        <v>-64838818.020000003</v>
      </c>
      <c r="AA26" s="189">
        <v>-52018445.950000003</v>
      </c>
      <c r="AB26" s="189">
        <v>-32220176.870000001</v>
      </c>
      <c r="AC26" s="189">
        <v>-791270011.05999994</v>
      </c>
      <c r="AD26" s="189">
        <v>-155924536.41</v>
      </c>
      <c r="AE26" s="189">
        <v>-60234977.560000002</v>
      </c>
      <c r="AF26" s="189">
        <v>-31736731.149999999</v>
      </c>
      <c r="AG26" s="189">
        <v>-1502989260.95</v>
      </c>
      <c r="AH26" s="189">
        <v>-1072692487.5599999</v>
      </c>
      <c r="AI26" s="189">
        <v>-1032660159.0700001</v>
      </c>
      <c r="AJ26" s="189">
        <v>-15002191.300000001</v>
      </c>
      <c r="AK26" s="189">
        <v>-523538101.58999997</v>
      </c>
      <c r="AL26" s="189">
        <v>-264224011.34999999</v>
      </c>
      <c r="AM26" s="189">
        <v>-20669350.289999999</v>
      </c>
      <c r="AN26" s="189">
        <v>-11302882.130000001</v>
      </c>
      <c r="AO26" s="189">
        <v>-562390193.42999995</v>
      </c>
      <c r="AP26" s="189">
        <v>-162623087.94</v>
      </c>
      <c r="AQ26" s="189">
        <v>-26487208.050000001</v>
      </c>
      <c r="AR26" s="189">
        <v>-15364803.83</v>
      </c>
      <c r="AS26" s="189">
        <v>-345733481.91000003</v>
      </c>
      <c r="AT26" s="189">
        <v>-49584399.420000002</v>
      </c>
      <c r="AU26" s="189">
        <v>-32728082.23</v>
      </c>
      <c r="AV26" s="189">
        <v>-11243549.68</v>
      </c>
      <c r="AW26" s="189">
        <v>-71197652.719999999</v>
      </c>
      <c r="AX26" s="189">
        <v>-61921123.5</v>
      </c>
      <c r="AY26" s="189">
        <v>-49730145.990000002</v>
      </c>
      <c r="AZ26" s="189">
        <v>-24139922.390000001</v>
      </c>
      <c r="BA26" s="189">
        <v>-3343030224.5500002</v>
      </c>
      <c r="BB26" s="189">
        <v>-2894000155.1799998</v>
      </c>
      <c r="BC26" s="189">
        <v>-2806879641.8299999</v>
      </c>
      <c r="BD26" s="189">
        <v>-49954039.43</v>
      </c>
      <c r="BE26" s="189">
        <v>-158487631.91999999</v>
      </c>
      <c r="BF26" s="189">
        <v>-80365658.799999997</v>
      </c>
      <c r="BG26" s="189">
        <v>-20222867.780000001</v>
      </c>
      <c r="BH26" s="189">
        <v>-1271731.96</v>
      </c>
      <c r="BI26" s="189">
        <v>-2514494800.73</v>
      </c>
      <c r="BJ26" s="189">
        <v>-2525111366.8899999</v>
      </c>
      <c r="BK26" s="189">
        <v>-2507438047.79</v>
      </c>
      <c r="BL26" s="189">
        <v>-4278884.75</v>
      </c>
      <c r="BM26" s="189">
        <v>-38428741.740000002</v>
      </c>
      <c r="BN26" s="189">
        <v>0</v>
      </c>
      <c r="BO26" s="189">
        <v>0</v>
      </c>
    </row>
    <row r="27" spans="1:67" x14ac:dyDescent="0.25">
      <c r="A27" s="189" t="s">
        <v>243</v>
      </c>
    </row>
    <row r="28" spans="1:67" x14ac:dyDescent="0.25">
      <c r="A28" s="189" t="s">
        <v>244</v>
      </c>
      <c r="B28" s="189">
        <v>0</v>
      </c>
      <c r="C28" s="189">
        <v>0</v>
      </c>
      <c r="D28" s="189">
        <v>0</v>
      </c>
      <c r="E28" s="189">
        <v>500000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206880000</v>
      </c>
      <c r="AT28" s="189">
        <v>0</v>
      </c>
      <c r="AU28" s="189">
        <v>0</v>
      </c>
      <c r="AV28" s="189">
        <v>0</v>
      </c>
      <c r="AW28" s="189">
        <v>29277718</v>
      </c>
      <c r="AX28" s="189">
        <v>29277718</v>
      </c>
      <c r="AY28" s="189">
        <v>29277718</v>
      </c>
      <c r="AZ28" s="189">
        <v>15000000</v>
      </c>
      <c r="BA28" s="189">
        <v>12500000</v>
      </c>
      <c r="BB28" s="189">
        <v>12500000</v>
      </c>
      <c r="BC28" s="189">
        <v>12500000</v>
      </c>
      <c r="BD28" s="189">
        <v>0</v>
      </c>
      <c r="BE28" s="189">
        <v>50479092</v>
      </c>
      <c r="BF28" s="189">
        <v>40774749.439999998</v>
      </c>
      <c r="BG28" s="189">
        <v>0</v>
      </c>
      <c r="BH28" s="189">
        <v>0</v>
      </c>
      <c r="BI28" s="189">
        <v>2290136000</v>
      </c>
      <c r="BJ28" s="189">
        <v>2297109800</v>
      </c>
      <c r="BK28" s="189">
        <v>2288700000</v>
      </c>
      <c r="BL28" s="189">
        <v>7500000</v>
      </c>
      <c r="BM28" s="189">
        <v>2670000</v>
      </c>
      <c r="BN28" s="189">
        <v>0</v>
      </c>
      <c r="BO28" s="189">
        <v>0</v>
      </c>
    </row>
    <row r="29" spans="1:67" x14ac:dyDescent="0.25">
      <c r="A29" s="189" t="s">
        <v>245</v>
      </c>
      <c r="B29" s="189">
        <v>0</v>
      </c>
      <c r="C29" s="189">
        <v>0</v>
      </c>
      <c r="D29" s="189">
        <v>0</v>
      </c>
      <c r="E29" s="189">
        <v>500000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row>
    <row r="30" spans="1:67" x14ac:dyDescent="0.25">
      <c r="A30" s="189" t="s">
        <v>246</v>
      </c>
      <c r="B30" s="189">
        <v>450000000</v>
      </c>
      <c r="C30" s="189">
        <v>450000000</v>
      </c>
      <c r="D30" s="189">
        <v>450000000</v>
      </c>
      <c r="E30" s="189">
        <v>2370000000</v>
      </c>
      <c r="F30" s="189">
        <v>1570000000</v>
      </c>
      <c r="G30" s="189">
        <v>200000000</v>
      </c>
      <c r="H30" s="189">
        <v>0</v>
      </c>
      <c r="I30" s="189">
        <v>350000000</v>
      </c>
      <c r="J30" s="189">
        <v>350000000</v>
      </c>
      <c r="K30" s="189">
        <v>3808000000</v>
      </c>
      <c r="L30" s="189">
        <v>3808000000</v>
      </c>
      <c r="M30" s="189">
        <v>0</v>
      </c>
      <c r="N30" s="189">
        <v>0</v>
      </c>
      <c r="O30" s="189">
        <v>0</v>
      </c>
      <c r="P30" s="189">
        <v>0</v>
      </c>
      <c r="Q30" s="189">
        <v>0</v>
      </c>
      <c r="R30" s="189">
        <v>0</v>
      </c>
      <c r="S30" s="189">
        <v>0</v>
      </c>
      <c r="T30" s="189">
        <v>0</v>
      </c>
      <c r="U30" s="189">
        <v>0</v>
      </c>
      <c r="V30" s="189">
        <v>0</v>
      </c>
      <c r="W30" s="189">
        <v>0</v>
      </c>
      <c r="X30" s="189">
        <v>0</v>
      </c>
      <c r="Y30" s="189">
        <v>1100000000</v>
      </c>
      <c r="Z30" s="189">
        <v>1100000000</v>
      </c>
      <c r="AA30" s="189">
        <v>300000000</v>
      </c>
      <c r="AB30" s="189">
        <v>300000000</v>
      </c>
      <c r="AC30" s="189">
        <v>0</v>
      </c>
      <c r="AD30" s="189">
        <v>1500000000</v>
      </c>
      <c r="AE30" s="189">
        <v>0</v>
      </c>
      <c r="AF30" s="189">
        <v>500000000</v>
      </c>
      <c r="AG30" s="189">
        <v>1000000000</v>
      </c>
      <c r="AH30" s="189">
        <v>1000000000</v>
      </c>
      <c r="AI30" s="189">
        <v>0</v>
      </c>
      <c r="AJ30" s="189">
        <v>0</v>
      </c>
      <c r="AK30" s="189">
        <v>2000000000</v>
      </c>
      <c r="AL30" s="189">
        <v>800000000</v>
      </c>
      <c r="AM30" s="189">
        <v>100000000</v>
      </c>
      <c r="AN30" s="189">
        <v>0</v>
      </c>
      <c r="AO30" s="189">
        <v>2758000000</v>
      </c>
      <c r="AP30" s="189">
        <v>2210000000</v>
      </c>
      <c r="AQ30" s="189">
        <v>1210000000</v>
      </c>
      <c r="AR30" s="189">
        <v>110000000</v>
      </c>
      <c r="AS30" s="189">
        <v>3300000000</v>
      </c>
      <c r="AT30" s="189">
        <v>2000000000</v>
      </c>
      <c r="AU30" s="189">
        <v>2000000000</v>
      </c>
      <c r="AV30" s="189">
        <v>0</v>
      </c>
      <c r="AW30" s="189">
        <v>2910000000</v>
      </c>
      <c r="AX30" s="189">
        <v>2010000000</v>
      </c>
      <c r="AY30" s="189">
        <v>1008320000</v>
      </c>
      <c r="AZ30" s="189">
        <v>3320000</v>
      </c>
      <c r="BA30" s="189">
        <v>2528025591.77</v>
      </c>
      <c r="BB30" s="189">
        <v>2100000000</v>
      </c>
      <c r="BC30" s="189">
        <v>2100000000</v>
      </c>
      <c r="BD30" s="189">
        <v>0</v>
      </c>
      <c r="BE30" s="189">
        <v>0</v>
      </c>
      <c r="BF30" s="189">
        <v>0</v>
      </c>
      <c r="BG30" s="189">
        <v>0</v>
      </c>
      <c r="BH30" s="189">
        <v>0</v>
      </c>
      <c r="BI30" s="189">
        <v>0</v>
      </c>
      <c r="BJ30" s="189">
        <v>0</v>
      </c>
      <c r="BK30" s="189">
        <v>0</v>
      </c>
      <c r="BL30" s="189">
        <v>0</v>
      </c>
      <c r="BM30" s="189">
        <v>0</v>
      </c>
      <c r="BN30" s="189">
        <v>0</v>
      </c>
      <c r="BO30" s="189">
        <v>0</v>
      </c>
    </row>
    <row r="31" spans="1:67" x14ac:dyDescent="0.25">
      <c r="A31" s="189" t="s">
        <v>247</v>
      </c>
      <c r="B31" s="189">
        <v>2999680000</v>
      </c>
      <c r="C31" s="189">
        <v>1999930000</v>
      </c>
      <c r="D31" s="189">
        <v>0</v>
      </c>
      <c r="E31" s="189">
        <v>3000000000</v>
      </c>
      <c r="F31" s="189">
        <v>1000000000</v>
      </c>
      <c r="G31" s="189">
        <v>1000000000</v>
      </c>
      <c r="H31" s="189">
        <v>1000000000</v>
      </c>
      <c r="I31" s="189">
        <v>3454569679.21</v>
      </c>
      <c r="J31" s="189">
        <v>3458000000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1500000000</v>
      </c>
      <c r="AD31" s="189">
        <v>0</v>
      </c>
      <c r="AE31" s="189">
        <v>500000000</v>
      </c>
      <c r="AF31" s="189">
        <v>0</v>
      </c>
      <c r="AG31" s="189">
        <v>1000000000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row>
    <row r="32" spans="1:67" x14ac:dyDescent="0.25">
      <c r="A32" s="189" t="s">
        <v>248</v>
      </c>
      <c r="B32" s="189">
        <v>0</v>
      </c>
      <c r="C32" s="189">
        <v>0</v>
      </c>
      <c r="D32" s="189">
        <v>0</v>
      </c>
      <c r="E32" s="189">
        <v>0</v>
      </c>
      <c r="F32" s="189">
        <v>0</v>
      </c>
      <c r="G32" s="189">
        <v>0</v>
      </c>
      <c r="H32" s="189">
        <v>0</v>
      </c>
      <c r="I32" s="189">
        <v>0</v>
      </c>
      <c r="J32" s="189">
        <v>0</v>
      </c>
      <c r="K32" s="189">
        <v>0</v>
      </c>
      <c r="L32" s="189">
        <v>0</v>
      </c>
      <c r="M32" s="189">
        <v>11200000</v>
      </c>
      <c r="N32" s="189">
        <v>0</v>
      </c>
      <c r="O32" s="189">
        <v>0</v>
      </c>
      <c r="P32" s="189">
        <v>0</v>
      </c>
      <c r="Q32" s="189">
        <v>29190000</v>
      </c>
      <c r="R32" s="189">
        <v>0</v>
      </c>
      <c r="S32" s="189">
        <v>0</v>
      </c>
      <c r="T32" s="189">
        <v>0</v>
      </c>
      <c r="U32" s="189">
        <v>0</v>
      </c>
      <c r="V32" s="189">
        <v>0</v>
      </c>
      <c r="W32" s="189">
        <v>0</v>
      </c>
      <c r="X32" s="189">
        <v>0</v>
      </c>
      <c r="Y32" s="189">
        <v>9600000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477652</v>
      </c>
      <c r="BA32" s="189">
        <v>0</v>
      </c>
      <c r="BB32" s="189">
        <v>0</v>
      </c>
      <c r="BC32" s="189">
        <v>0</v>
      </c>
      <c r="BD32" s="189">
        <v>0</v>
      </c>
      <c r="BE32" s="189">
        <v>3563440.02</v>
      </c>
      <c r="BF32" s="189">
        <v>0</v>
      </c>
      <c r="BG32" s="189">
        <v>0</v>
      </c>
      <c r="BH32" s="189">
        <v>0</v>
      </c>
      <c r="BI32" s="189">
        <v>0</v>
      </c>
      <c r="BJ32" s="189">
        <v>14735674.93</v>
      </c>
      <c r="BK32" s="189">
        <v>11224624.109999999</v>
      </c>
      <c r="BL32" s="189">
        <v>87020.95</v>
      </c>
      <c r="BM32" s="189">
        <v>0</v>
      </c>
      <c r="BN32" s="189">
        <v>0</v>
      </c>
      <c r="BO32" s="189">
        <v>0</v>
      </c>
    </row>
    <row r="33" spans="1:67" x14ac:dyDescent="0.25">
      <c r="A33" s="189" t="s">
        <v>249</v>
      </c>
      <c r="B33" s="189">
        <v>3449680000</v>
      </c>
      <c r="C33" s="189">
        <v>2449930000</v>
      </c>
      <c r="D33" s="189">
        <v>450000000</v>
      </c>
      <c r="E33" s="189">
        <v>5370500000</v>
      </c>
      <c r="F33" s="189">
        <v>2570000000</v>
      </c>
      <c r="G33" s="189">
        <v>1200000000</v>
      </c>
      <c r="H33" s="189">
        <v>1000000000</v>
      </c>
      <c r="I33" s="189">
        <v>3804569679.21</v>
      </c>
      <c r="J33" s="189">
        <v>3808000000</v>
      </c>
      <c r="K33" s="189">
        <v>3808000000</v>
      </c>
      <c r="L33" s="189">
        <v>3808000000</v>
      </c>
      <c r="M33" s="189">
        <v>11200000</v>
      </c>
      <c r="N33" s="189">
        <v>0</v>
      </c>
      <c r="O33" s="189">
        <v>0</v>
      </c>
      <c r="P33" s="189">
        <v>0</v>
      </c>
      <c r="Q33" s="189">
        <v>29190000</v>
      </c>
      <c r="R33" s="189">
        <v>0</v>
      </c>
      <c r="S33" s="189">
        <v>0</v>
      </c>
      <c r="T33" s="189">
        <v>0</v>
      </c>
      <c r="U33" s="189">
        <v>0</v>
      </c>
      <c r="V33" s="189">
        <v>0</v>
      </c>
      <c r="W33" s="189">
        <v>0</v>
      </c>
      <c r="X33" s="189">
        <v>0</v>
      </c>
      <c r="Y33" s="189">
        <v>1109600000</v>
      </c>
      <c r="Z33" s="189">
        <v>1100000000</v>
      </c>
      <c r="AA33" s="189">
        <v>300000000</v>
      </c>
      <c r="AB33" s="189">
        <v>300000000</v>
      </c>
      <c r="AC33" s="189">
        <v>1500000000</v>
      </c>
      <c r="AD33" s="189">
        <v>1500000000</v>
      </c>
      <c r="AE33" s="189">
        <v>500000000</v>
      </c>
      <c r="AF33" s="189">
        <v>500000000</v>
      </c>
      <c r="AG33" s="189">
        <v>2000000000</v>
      </c>
      <c r="AH33" s="189">
        <v>1000000000</v>
      </c>
      <c r="AI33" s="189">
        <v>0</v>
      </c>
      <c r="AJ33" s="189">
        <v>0</v>
      </c>
      <c r="AK33" s="189">
        <v>2000000000</v>
      </c>
      <c r="AL33" s="189">
        <v>800000000</v>
      </c>
      <c r="AM33" s="189">
        <v>100000000</v>
      </c>
      <c r="AN33" s="189">
        <v>0</v>
      </c>
      <c r="AO33" s="189">
        <v>2758000000</v>
      </c>
      <c r="AP33" s="189">
        <v>2210000000</v>
      </c>
      <c r="AQ33" s="189">
        <v>1210000000</v>
      </c>
      <c r="AR33" s="189">
        <v>110000000</v>
      </c>
      <c r="AS33" s="189">
        <v>3506880000</v>
      </c>
      <c r="AT33" s="189">
        <v>2000000000</v>
      </c>
      <c r="AU33" s="189">
        <v>2000000000</v>
      </c>
      <c r="AV33" s="189">
        <v>0</v>
      </c>
      <c r="AW33" s="189">
        <v>2939277718</v>
      </c>
      <c r="AX33" s="189">
        <v>2039277718</v>
      </c>
      <c r="AY33" s="189">
        <v>1037597718</v>
      </c>
      <c r="AZ33" s="189">
        <v>18797652</v>
      </c>
      <c r="BA33" s="189">
        <v>2540525591.77</v>
      </c>
      <c r="BB33" s="189">
        <v>2112500000</v>
      </c>
      <c r="BC33" s="189">
        <v>2112500000</v>
      </c>
      <c r="BD33" s="189">
        <v>0</v>
      </c>
      <c r="BE33" s="189">
        <v>54042532.020000003</v>
      </c>
      <c r="BF33" s="189">
        <v>40774749.439999998</v>
      </c>
      <c r="BG33" s="189">
        <v>0</v>
      </c>
      <c r="BH33" s="189">
        <v>0</v>
      </c>
      <c r="BI33" s="189">
        <v>2290136000</v>
      </c>
      <c r="BJ33" s="189">
        <v>2311845474.9299998</v>
      </c>
      <c r="BK33" s="189">
        <v>2299924624.1100001</v>
      </c>
      <c r="BL33" s="189">
        <v>7587020.9500000002</v>
      </c>
      <c r="BM33" s="189">
        <v>2670000</v>
      </c>
      <c r="BN33" s="189">
        <v>0</v>
      </c>
      <c r="BO33" s="189">
        <v>0</v>
      </c>
    </row>
    <row r="34" spans="1:67" x14ac:dyDescent="0.25">
      <c r="A34" s="189" t="s">
        <v>250</v>
      </c>
      <c r="B34" s="189">
        <v>3444935284.8000002</v>
      </c>
      <c r="C34" s="189">
        <v>2851893802.3000002</v>
      </c>
      <c r="D34" s="189">
        <v>450000000</v>
      </c>
      <c r="E34" s="189">
        <v>1000000000</v>
      </c>
      <c r="F34" s="189">
        <v>1000000000</v>
      </c>
      <c r="G34" s="189">
        <v>1000000000</v>
      </c>
      <c r="H34" s="189">
        <v>1000000000</v>
      </c>
      <c r="I34" s="189">
        <v>350000000</v>
      </c>
      <c r="J34" s="189">
        <v>350000000</v>
      </c>
      <c r="K34" s="189">
        <v>350000000</v>
      </c>
      <c r="L34" s="189">
        <v>355597114.58999997</v>
      </c>
      <c r="M34" s="189">
        <v>0</v>
      </c>
      <c r="N34" s="189">
        <v>0</v>
      </c>
      <c r="O34" s="189">
        <v>0</v>
      </c>
      <c r="P34" s="189">
        <v>0</v>
      </c>
      <c r="Q34" s="189">
        <v>0</v>
      </c>
      <c r="R34" s="189">
        <v>0</v>
      </c>
      <c r="S34" s="189">
        <v>0</v>
      </c>
      <c r="T34" s="189">
        <v>0</v>
      </c>
      <c r="U34" s="189">
        <v>882000000</v>
      </c>
      <c r="V34" s="189">
        <v>882000000</v>
      </c>
      <c r="W34" s="189">
        <v>182000000</v>
      </c>
      <c r="X34" s="189">
        <v>182000000</v>
      </c>
      <c r="Y34" s="189">
        <v>1803000000</v>
      </c>
      <c r="Z34" s="189">
        <v>1803000000</v>
      </c>
      <c r="AA34" s="189">
        <v>803000000</v>
      </c>
      <c r="AB34" s="189">
        <v>750000000</v>
      </c>
      <c r="AC34" s="189">
        <v>1685000000</v>
      </c>
      <c r="AD34" s="189">
        <v>680000000</v>
      </c>
      <c r="AE34" s="189">
        <v>680000000</v>
      </c>
      <c r="AF34" s="189">
        <v>680000000</v>
      </c>
      <c r="AG34" s="189">
        <v>1980000000</v>
      </c>
      <c r="AH34" s="189">
        <v>1540000000</v>
      </c>
      <c r="AI34" s="189">
        <v>40000000</v>
      </c>
      <c r="AJ34" s="189">
        <v>0</v>
      </c>
      <c r="AK34" s="189">
        <v>1748000000</v>
      </c>
      <c r="AL34" s="189">
        <v>808000000</v>
      </c>
      <c r="AM34" s="189">
        <v>100000000</v>
      </c>
      <c r="AN34" s="189">
        <v>0</v>
      </c>
      <c r="AO34" s="189">
        <v>2880000000</v>
      </c>
      <c r="AP34" s="189">
        <v>2350000000</v>
      </c>
      <c r="AQ34" s="189">
        <v>1340000000</v>
      </c>
      <c r="AR34" s="189">
        <v>300000000</v>
      </c>
      <c r="AS34" s="189">
        <v>3943250000</v>
      </c>
      <c r="AT34" s="189">
        <v>2620897667.3099999</v>
      </c>
      <c r="AU34" s="189">
        <v>2204220378.8400002</v>
      </c>
      <c r="AV34" s="189">
        <v>111475380.09</v>
      </c>
      <c r="AW34" s="189">
        <v>3550000000</v>
      </c>
      <c r="AX34" s="189">
        <v>2285333714.8200002</v>
      </c>
      <c r="AY34" s="189">
        <v>1240333714.8199999</v>
      </c>
      <c r="AZ34" s="189">
        <v>0</v>
      </c>
      <c r="BA34" s="189">
        <v>0</v>
      </c>
      <c r="BB34" s="189">
        <v>0</v>
      </c>
      <c r="BC34" s="189">
        <v>0</v>
      </c>
      <c r="BD34" s="189">
        <v>0</v>
      </c>
      <c r="BE34" s="189">
        <v>0</v>
      </c>
      <c r="BF34" s="189">
        <v>0</v>
      </c>
      <c r="BG34" s="189">
        <v>0</v>
      </c>
      <c r="BH34" s="189">
        <v>0</v>
      </c>
      <c r="BI34" s="189">
        <v>0</v>
      </c>
      <c r="BJ34" s="189">
        <v>0</v>
      </c>
      <c r="BK34" s="189">
        <v>0</v>
      </c>
      <c r="BL34" s="189">
        <v>1440000</v>
      </c>
      <c r="BM34" s="189">
        <v>0</v>
      </c>
      <c r="BN34" s="189">
        <v>0</v>
      </c>
      <c r="BO34" s="189">
        <v>0</v>
      </c>
    </row>
    <row r="35" spans="1:67" x14ac:dyDescent="0.25">
      <c r="A35" s="189" t="s">
        <v>552</v>
      </c>
      <c r="B35" s="189">
        <v>600106872.71000004</v>
      </c>
      <c r="C35" s="189">
        <v>74522862.870000005</v>
      </c>
      <c r="D35" s="189">
        <v>2222569.4300000002</v>
      </c>
      <c r="E35" s="189">
        <v>579568147.75999999</v>
      </c>
      <c r="F35" s="189">
        <v>554332992.71000004</v>
      </c>
      <c r="G35" s="189">
        <v>26299482.190000001</v>
      </c>
      <c r="H35" s="189">
        <v>12914370.390000001</v>
      </c>
      <c r="I35" s="189">
        <v>413298859.02999997</v>
      </c>
      <c r="J35" s="189">
        <v>147803652.27000001</v>
      </c>
      <c r="K35" s="189">
        <v>42758241.060000002</v>
      </c>
      <c r="L35" s="189">
        <v>0</v>
      </c>
      <c r="M35" s="189">
        <v>336830130.04000002</v>
      </c>
      <c r="N35" s="189">
        <v>336804590.79000002</v>
      </c>
      <c r="O35" s="189">
        <v>131303613.40000001</v>
      </c>
      <c r="P35" s="189">
        <v>0</v>
      </c>
      <c r="Q35" s="189">
        <v>425180067.97000003</v>
      </c>
      <c r="R35" s="189">
        <v>418577563.56999999</v>
      </c>
      <c r="S35" s="189">
        <v>0</v>
      </c>
      <c r="T35" s="189">
        <v>0</v>
      </c>
      <c r="U35" s="189">
        <v>421102688.23000002</v>
      </c>
      <c r="V35" s="189">
        <v>406060417.54000002</v>
      </c>
      <c r="W35" s="189">
        <v>28557833.84</v>
      </c>
      <c r="X35" s="189">
        <v>3517160</v>
      </c>
      <c r="Y35" s="189">
        <v>506581069.94999999</v>
      </c>
      <c r="Z35" s="189">
        <v>488972076.25</v>
      </c>
      <c r="AA35" s="189">
        <v>25806788.129999999</v>
      </c>
      <c r="AB35" s="189">
        <v>25471288.129999999</v>
      </c>
      <c r="AC35" s="189">
        <v>405538856.88</v>
      </c>
      <c r="AD35" s="189">
        <v>361979218.06999999</v>
      </c>
      <c r="AE35" s="189">
        <v>9274704.8900000006</v>
      </c>
      <c r="AF35" s="189">
        <v>6452779.25</v>
      </c>
      <c r="AG35" s="189">
        <v>374844959.07999998</v>
      </c>
      <c r="AH35" s="189">
        <v>159140735.24000001</v>
      </c>
      <c r="AI35" s="189">
        <v>10786520</v>
      </c>
      <c r="AJ35" s="189">
        <v>3304800</v>
      </c>
      <c r="AK35" s="189">
        <v>281090165.26999998</v>
      </c>
      <c r="AL35" s="189">
        <v>120386173.98999999</v>
      </c>
      <c r="AM35" s="189">
        <v>23495830.640000001</v>
      </c>
      <c r="AN35" s="189">
        <v>20156290.640000001</v>
      </c>
      <c r="AO35" s="189">
        <v>300131807.19</v>
      </c>
      <c r="AP35" s="189">
        <v>139974125.75999999</v>
      </c>
      <c r="AQ35" s="189">
        <v>37304100</v>
      </c>
      <c r="AR35" s="189">
        <v>10461373</v>
      </c>
      <c r="AS35" s="189">
        <v>282106906.56999999</v>
      </c>
      <c r="AT35" s="189">
        <v>192247871.37</v>
      </c>
      <c r="AU35" s="189">
        <v>57644851.619999997</v>
      </c>
      <c r="AV35" s="189">
        <v>10796063</v>
      </c>
      <c r="AW35" s="189">
        <v>245389171.05000001</v>
      </c>
      <c r="AX35" s="189">
        <v>186222608.00999999</v>
      </c>
      <c r="AY35" s="189">
        <v>66580967.689999998</v>
      </c>
      <c r="AZ35" s="189">
        <v>37157125.079999998</v>
      </c>
      <c r="BA35" s="189">
        <v>305478235.41000003</v>
      </c>
      <c r="BB35" s="189">
        <v>104886760.13</v>
      </c>
      <c r="BC35" s="189">
        <v>6433163.8799999999</v>
      </c>
      <c r="BD35" s="189">
        <v>0</v>
      </c>
      <c r="BE35" s="189">
        <v>114850648.45999999</v>
      </c>
      <c r="BF35" s="189">
        <v>119538387.37</v>
      </c>
      <c r="BG35" s="189">
        <v>10850648.460000001</v>
      </c>
      <c r="BH35" s="189">
        <v>0</v>
      </c>
      <c r="BI35" s="189">
        <v>144498794.86000001</v>
      </c>
      <c r="BJ35" s="189">
        <v>145013270.59999999</v>
      </c>
      <c r="BK35" s="189">
        <v>145013270.59999999</v>
      </c>
      <c r="BL35" s="189">
        <v>0</v>
      </c>
      <c r="BM35" s="189">
        <v>138974449.96000001</v>
      </c>
      <c r="BN35" s="189">
        <v>0</v>
      </c>
      <c r="BO35" s="189">
        <v>0</v>
      </c>
    </row>
    <row r="36" spans="1:67" x14ac:dyDescent="0.25">
      <c r="A36" s="189" t="s">
        <v>251</v>
      </c>
      <c r="B36" s="189">
        <v>0</v>
      </c>
      <c r="C36" s="189">
        <v>0</v>
      </c>
      <c r="D36" s="189">
        <v>0</v>
      </c>
      <c r="E36" s="189">
        <v>7553515.5300000003</v>
      </c>
      <c r="F36" s="189">
        <v>0</v>
      </c>
      <c r="G36" s="189">
        <v>0</v>
      </c>
      <c r="H36" s="189">
        <v>0</v>
      </c>
      <c r="I36" s="189">
        <v>43401450.079999998</v>
      </c>
      <c r="J36" s="189">
        <v>0</v>
      </c>
      <c r="K36" s="189">
        <v>0</v>
      </c>
      <c r="L36" s="189">
        <v>0</v>
      </c>
      <c r="M36" s="189">
        <v>3330130.04</v>
      </c>
      <c r="N36" s="189">
        <v>0</v>
      </c>
      <c r="O36" s="189">
        <v>2074590.79</v>
      </c>
      <c r="P36" s="189">
        <v>0</v>
      </c>
      <c r="Q36" s="189">
        <v>894396.89</v>
      </c>
      <c r="R36" s="189">
        <v>0</v>
      </c>
      <c r="S36" s="189">
        <v>0</v>
      </c>
      <c r="T36" s="189">
        <v>0</v>
      </c>
      <c r="U36" s="189">
        <v>11675738.26</v>
      </c>
      <c r="V36" s="189">
        <v>0</v>
      </c>
      <c r="W36" s="189">
        <v>0</v>
      </c>
      <c r="X36" s="189">
        <v>0</v>
      </c>
      <c r="Y36" s="189">
        <v>7447969.96</v>
      </c>
      <c r="Z36" s="189">
        <v>0</v>
      </c>
      <c r="AA36" s="189">
        <v>0</v>
      </c>
      <c r="AB36" s="189">
        <v>0</v>
      </c>
      <c r="AC36" s="189">
        <v>19994227.879999999</v>
      </c>
      <c r="AD36" s="189">
        <v>0</v>
      </c>
      <c r="AE36" s="189">
        <v>0</v>
      </c>
      <c r="AF36" s="189">
        <v>0</v>
      </c>
      <c r="AG36" s="189">
        <v>21989755.059999999</v>
      </c>
      <c r="AH36" s="189">
        <v>0</v>
      </c>
      <c r="AI36" s="189">
        <v>0</v>
      </c>
      <c r="AJ36" s="189">
        <v>0</v>
      </c>
      <c r="AK36" s="189">
        <v>21522275.210000001</v>
      </c>
      <c r="AL36" s="189">
        <v>0</v>
      </c>
      <c r="AM36" s="189">
        <v>0</v>
      </c>
      <c r="AN36" s="189">
        <v>0</v>
      </c>
      <c r="AO36" s="189">
        <v>11093366.630000001</v>
      </c>
      <c r="AP36" s="189">
        <v>0</v>
      </c>
      <c r="AQ36" s="189">
        <v>0</v>
      </c>
      <c r="AR36" s="189">
        <v>0</v>
      </c>
      <c r="AS36" s="189">
        <v>15158631.220000001</v>
      </c>
      <c r="AT36" s="189">
        <v>0</v>
      </c>
      <c r="AU36" s="189">
        <v>0</v>
      </c>
      <c r="AV36" s="189">
        <v>0</v>
      </c>
      <c r="AW36" s="189">
        <v>5180569.75</v>
      </c>
      <c r="AX36" s="189">
        <v>0</v>
      </c>
      <c r="AY36" s="189">
        <v>0</v>
      </c>
      <c r="AZ36" s="189">
        <v>0</v>
      </c>
      <c r="BA36" s="189">
        <v>0</v>
      </c>
      <c r="BB36" s="189">
        <v>0</v>
      </c>
      <c r="BC36" s="189">
        <v>3078163.88</v>
      </c>
      <c r="BD36" s="189">
        <v>0</v>
      </c>
      <c r="BE36" s="189">
        <v>0</v>
      </c>
      <c r="BF36" s="189">
        <v>0</v>
      </c>
      <c r="BG36" s="189">
        <v>0</v>
      </c>
      <c r="BH36" s="189">
        <v>0</v>
      </c>
      <c r="BI36" s="189">
        <v>0</v>
      </c>
      <c r="BJ36" s="189">
        <v>0</v>
      </c>
      <c r="BK36" s="189">
        <v>0</v>
      </c>
      <c r="BL36" s="189">
        <v>0</v>
      </c>
      <c r="BM36" s="189">
        <v>974449.96</v>
      </c>
      <c r="BN36" s="189">
        <v>0</v>
      </c>
      <c r="BO36" s="189">
        <v>0</v>
      </c>
    </row>
    <row r="37" spans="1:67" x14ac:dyDescent="0.25">
      <c r="A37" s="189" t="s">
        <v>252</v>
      </c>
      <c r="B37" s="189">
        <v>0</v>
      </c>
      <c r="C37" s="189">
        <v>0</v>
      </c>
      <c r="D37" s="189">
        <v>0</v>
      </c>
      <c r="E37" s="189">
        <v>37573578.219999999</v>
      </c>
      <c r="F37" s="189">
        <v>0</v>
      </c>
      <c r="G37" s="189">
        <v>0</v>
      </c>
      <c r="H37" s="189">
        <v>0</v>
      </c>
      <c r="I37" s="189">
        <v>1057000</v>
      </c>
      <c r="J37" s="189">
        <v>0</v>
      </c>
      <c r="K37" s="189">
        <v>0</v>
      </c>
      <c r="L37" s="189">
        <v>0</v>
      </c>
      <c r="M37" s="189">
        <v>21196094.5</v>
      </c>
      <c r="N37" s="189">
        <v>0</v>
      </c>
      <c r="O37" s="189">
        <v>0</v>
      </c>
      <c r="P37" s="189">
        <v>0</v>
      </c>
      <c r="Q37" s="189">
        <v>463366.07</v>
      </c>
      <c r="R37" s="189">
        <v>0</v>
      </c>
      <c r="S37" s="189">
        <v>0</v>
      </c>
      <c r="T37" s="189">
        <v>0</v>
      </c>
      <c r="U37" s="189">
        <v>10931528.67</v>
      </c>
      <c r="V37" s="189">
        <v>0</v>
      </c>
      <c r="W37" s="189">
        <v>0</v>
      </c>
      <c r="X37" s="189">
        <v>0</v>
      </c>
      <c r="Y37" s="189">
        <v>2557264.6800000002</v>
      </c>
      <c r="Z37" s="189">
        <v>0</v>
      </c>
      <c r="AA37" s="189">
        <v>0</v>
      </c>
      <c r="AB37" s="189">
        <v>0</v>
      </c>
      <c r="AC37" s="189">
        <v>8202816.0899999999</v>
      </c>
      <c r="AD37" s="189">
        <v>6100000</v>
      </c>
      <c r="AE37" s="189">
        <v>2000000</v>
      </c>
      <c r="AF37" s="189">
        <v>2000000</v>
      </c>
      <c r="AG37" s="189">
        <v>26452583.699999999</v>
      </c>
      <c r="AH37" s="189">
        <v>0</v>
      </c>
      <c r="AI37" s="189">
        <v>0</v>
      </c>
      <c r="AJ37" s="189">
        <v>0</v>
      </c>
      <c r="AK37" s="189">
        <v>6255170</v>
      </c>
      <c r="AL37" s="189">
        <v>2800000</v>
      </c>
      <c r="AM37" s="189">
        <v>0</v>
      </c>
      <c r="AN37" s="189">
        <v>0</v>
      </c>
      <c r="AO37" s="189">
        <v>6085768.7699999996</v>
      </c>
      <c r="AP37" s="189">
        <v>4250000</v>
      </c>
      <c r="AQ37" s="189">
        <v>4250000</v>
      </c>
      <c r="AR37" s="189">
        <v>0</v>
      </c>
      <c r="AS37" s="189">
        <v>5260935.17</v>
      </c>
      <c r="AT37" s="189">
        <v>4000000</v>
      </c>
      <c r="AU37" s="189">
        <v>4000000</v>
      </c>
      <c r="AV37" s="189">
        <v>0</v>
      </c>
      <c r="AW37" s="189">
        <v>6000000</v>
      </c>
      <c r="AX37" s="189">
        <v>4000000</v>
      </c>
      <c r="AY37" s="189">
        <v>10247840.34</v>
      </c>
      <c r="AZ37" s="189">
        <v>0</v>
      </c>
      <c r="BA37" s="189">
        <v>0</v>
      </c>
      <c r="BB37" s="189">
        <v>0</v>
      </c>
      <c r="BC37" s="189">
        <v>0</v>
      </c>
      <c r="BD37" s="189">
        <v>0</v>
      </c>
      <c r="BE37" s="189">
        <v>0</v>
      </c>
      <c r="BF37" s="189">
        <v>0</v>
      </c>
      <c r="BG37" s="189">
        <v>0</v>
      </c>
      <c r="BH37" s="189">
        <v>0</v>
      </c>
      <c r="BI37" s="189">
        <v>0</v>
      </c>
      <c r="BJ37" s="189">
        <v>1169543.79</v>
      </c>
      <c r="BK37" s="189">
        <v>1166841.17</v>
      </c>
      <c r="BL37" s="189">
        <v>310518.81</v>
      </c>
      <c r="BM37" s="189">
        <v>0</v>
      </c>
      <c r="BN37" s="189">
        <v>0</v>
      </c>
      <c r="BO37" s="189">
        <v>0</v>
      </c>
    </row>
    <row r="38" spans="1:67" x14ac:dyDescent="0.25">
      <c r="A38" s="189" t="s">
        <v>253</v>
      </c>
      <c r="B38" s="189">
        <v>4045042157.5100002</v>
      </c>
      <c r="C38" s="189">
        <v>2926416665.1700001</v>
      </c>
      <c r="D38" s="189">
        <v>452222569.43000001</v>
      </c>
      <c r="E38" s="189">
        <v>1617141725.98</v>
      </c>
      <c r="F38" s="189">
        <v>1554332992.71</v>
      </c>
      <c r="G38" s="189">
        <v>1026299482.1900001</v>
      </c>
      <c r="H38" s="189">
        <v>1012914370.39</v>
      </c>
      <c r="I38" s="189">
        <v>764355859.02999997</v>
      </c>
      <c r="J38" s="189">
        <v>497803652.26999998</v>
      </c>
      <c r="K38" s="189">
        <v>392758241.06</v>
      </c>
      <c r="L38" s="189">
        <v>355597114.58999997</v>
      </c>
      <c r="M38" s="189">
        <v>358026224.54000002</v>
      </c>
      <c r="N38" s="189">
        <v>336804590.79000002</v>
      </c>
      <c r="O38" s="189">
        <v>131303613.40000001</v>
      </c>
      <c r="P38" s="189">
        <v>0</v>
      </c>
      <c r="Q38" s="189">
        <v>425643434.04000002</v>
      </c>
      <c r="R38" s="189">
        <v>418577563.56999999</v>
      </c>
      <c r="S38" s="189">
        <v>0</v>
      </c>
      <c r="T38" s="189">
        <v>0</v>
      </c>
      <c r="U38" s="189">
        <v>1314034216.9000001</v>
      </c>
      <c r="V38" s="189">
        <v>1288060417.54</v>
      </c>
      <c r="W38" s="189">
        <v>210557833.84</v>
      </c>
      <c r="X38" s="189">
        <v>185517160</v>
      </c>
      <c r="Y38" s="189">
        <v>2312138334.6300001</v>
      </c>
      <c r="Z38" s="189">
        <v>2291972076.25</v>
      </c>
      <c r="AA38" s="189">
        <v>828806788.13</v>
      </c>
      <c r="AB38" s="189">
        <v>775471288.13</v>
      </c>
      <c r="AC38" s="189">
        <v>2098741672.97</v>
      </c>
      <c r="AD38" s="189">
        <v>1048079218.0700001</v>
      </c>
      <c r="AE38" s="189">
        <v>691274704.88999999</v>
      </c>
      <c r="AF38" s="189">
        <v>688452779.25</v>
      </c>
      <c r="AG38" s="189">
        <v>2381297542.7800002</v>
      </c>
      <c r="AH38" s="189">
        <v>1699140735.24</v>
      </c>
      <c r="AI38" s="189">
        <v>50786520</v>
      </c>
      <c r="AJ38" s="189">
        <v>3304800</v>
      </c>
      <c r="AK38" s="189">
        <v>2035345335.27</v>
      </c>
      <c r="AL38" s="189">
        <v>931186173.99000001</v>
      </c>
      <c r="AM38" s="189">
        <v>123495830.64</v>
      </c>
      <c r="AN38" s="189">
        <v>20156290.640000001</v>
      </c>
      <c r="AO38" s="189">
        <v>3186217575.96</v>
      </c>
      <c r="AP38" s="189">
        <v>2494224125.7600002</v>
      </c>
      <c r="AQ38" s="189">
        <v>1381554100</v>
      </c>
      <c r="AR38" s="189">
        <v>310461373</v>
      </c>
      <c r="AS38" s="189">
        <v>4230617841.7399998</v>
      </c>
      <c r="AT38" s="189">
        <v>2817145538.6799998</v>
      </c>
      <c r="AU38" s="189">
        <v>2265865230.46</v>
      </c>
      <c r="AV38" s="189">
        <v>122271443.09</v>
      </c>
      <c r="AW38" s="189">
        <v>3801389171.0500002</v>
      </c>
      <c r="AX38" s="189">
        <v>2475556322.8299999</v>
      </c>
      <c r="AY38" s="189">
        <v>1306914682.51</v>
      </c>
      <c r="AZ38" s="189">
        <v>37157125.079999998</v>
      </c>
      <c r="BA38" s="189">
        <v>305478235.41000003</v>
      </c>
      <c r="BB38" s="189">
        <v>104886760.13</v>
      </c>
      <c r="BC38" s="189">
        <v>6433163.8799999999</v>
      </c>
      <c r="BD38" s="189">
        <v>0</v>
      </c>
      <c r="BE38" s="189">
        <v>114850648.45999999</v>
      </c>
      <c r="BF38" s="189">
        <v>119538387.37</v>
      </c>
      <c r="BG38" s="189">
        <v>10850648.460000001</v>
      </c>
      <c r="BH38" s="189">
        <v>0</v>
      </c>
      <c r="BI38" s="189">
        <v>144498794.86000001</v>
      </c>
      <c r="BJ38" s="189">
        <v>146182814.38999999</v>
      </c>
      <c r="BK38" s="189">
        <v>146180111.77000001</v>
      </c>
      <c r="BL38" s="189">
        <v>1750518.81</v>
      </c>
      <c r="BM38" s="189">
        <v>138974449.96000001</v>
      </c>
      <c r="BN38" s="189">
        <v>0</v>
      </c>
      <c r="BO38" s="189">
        <v>0</v>
      </c>
    </row>
    <row r="39" spans="1:67" x14ac:dyDescent="0.25">
      <c r="A39" s="189" t="s">
        <v>254</v>
      </c>
      <c r="B39" s="189">
        <v>-595362157.50999999</v>
      </c>
      <c r="C39" s="189">
        <v>-476486665.17000002</v>
      </c>
      <c r="D39" s="189">
        <v>-2222569.4300000002</v>
      </c>
      <c r="E39" s="189">
        <v>3753358274.02</v>
      </c>
      <c r="F39" s="189">
        <v>1015667007.29</v>
      </c>
      <c r="G39" s="189">
        <v>173700517.81</v>
      </c>
      <c r="H39" s="189">
        <v>-12914370.390000001</v>
      </c>
      <c r="I39" s="189">
        <v>3040213820.1799998</v>
      </c>
      <c r="J39" s="189">
        <v>3310196347.73</v>
      </c>
      <c r="K39" s="189">
        <v>3415241758.9400001</v>
      </c>
      <c r="L39" s="189">
        <v>3452402885.4099998</v>
      </c>
      <c r="M39" s="189">
        <v>-346826224.54000002</v>
      </c>
      <c r="N39" s="189">
        <v>-336804590.79000002</v>
      </c>
      <c r="O39" s="189">
        <v>-131303613.40000001</v>
      </c>
      <c r="P39" s="189">
        <v>0</v>
      </c>
      <c r="Q39" s="189">
        <v>-396453434.04000002</v>
      </c>
      <c r="R39" s="189">
        <v>-418577563.56999999</v>
      </c>
      <c r="S39" s="189">
        <v>0</v>
      </c>
      <c r="T39" s="189">
        <v>0</v>
      </c>
      <c r="U39" s="189">
        <v>-1314034216.9000001</v>
      </c>
      <c r="V39" s="189">
        <v>-1288060417.54</v>
      </c>
      <c r="W39" s="189">
        <v>-210557833.84</v>
      </c>
      <c r="X39" s="189">
        <v>-185517160</v>
      </c>
      <c r="Y39" s="189">
        <v>-1202538334.6300001</v>
      </c>
      <c r="Z39" s="189">
        <v>-1191972076.25</v>
      </c>
      <c r="AA39" s="189">
        <v>-528806788.13</v>
      </c>
      <c r="AB39" s="189">
        <v>-475471288.13</v>
      </c>
      <c r="AC39" s="189">
        <v>-598741672.97000003</v>
      </c>
      <c r="AD39" s="189">
        <v>451920781.93000001</v>
      </c>
      <c r="AE39" s="189">
        <v>-191274704.88999999</v>
      </c>
      <c r="AF39" s="189">
        <v>-188452779.25</v>
      </c>
      <c r="AG39" s="189">
        <v>-381297542.77999997</v>
      </c>
      <c r="AH39" s="189">
        <v>-699140735.24000001</v>
      </c>
      <c r="AI39" s="189">
        <v>-50786520</v>
      </c>
      <c r="AJ39" s="189">
        <v>-3304800</v>
      </c>
      <c r="AK39" s="189">
        <v>-35345335.270000003</v>
      </c>
      <c r="AL39" s="189">
        <v>-131186173.98999999</v>
      </c>
      <c r="AM39" s="189">
        <v>-23495830.640000001</v>
      </c>
      <c r="AN39" s="189">
        <v>-20156290.640000001</v>
      </c>
      <c r="AO39" s="189">
        <v>-428217575.95999998</v>
      </c>
      <c r="AP39" s="189">
        <v>-284224125.75999999</v>
      </c>
      <c r="AQ39" s="189">
        <v>-171554100</v>
      </c>
      <c r="AR39" s="189">
        <v>-200461373</v>
      </c>
      <c r="AS39" s="189">
        <v>-723737841.74000001</v>
      </c>
      <c r="AT39" s="189">
        <v>-817145538.67999995</v>
      </c>
      <c r="AU39" s="189">
        <v>-265865230.46000001</v>
      </c>
      <c r="AV39" s="189">
        <v>-122271443.09</v>
      </c>
      <c r="AW39" s="189">
        <v>-862111453.04999995</v>
      </c>
      <c r="AX39" s="189">
        <v>-436278604.82999998</v>
      </c>
      <c r="AY39" s="189">
        <v>-269316964.50999999</v>
      </c>
      <c r="AZ39" s="189">
        <v>-18359473.079999998</v>
      </c>
      <c r="BA39" s="189">
        <v>2235047356.3600001</v>
      </c>
      <c r="BB39" s="189">
        <v>2007613239.8699999</v>
      </c>
      <c r="BC39" s="189">
        <v>2106066836.1199999</v>
      </c>
      <c r="BD39" s="189">
        <v>0</v>
      </c>
      <c r="BE39" s="189">
        <v>-60808116.439999998</v>
      </c>
      <c r="BF39" s="189">
        <v>-78763637.930000007</v>
      </c>
      <c r="BG39" s="189">
        <v>-10850648.460000001</v>
      </c>
      <c r="BH39" s="189">
        <v>0</v>
      </c>
      <c r="BI39" s="189">
        <v>2145637205.1400001</v>
      </c>
      <c r="BJ39" s="189">
        <v>2165662660.54</v>
      </c>
      <c r="BK39" s="189">
        <v>2153744512.3400002</v>
      </c>
      <c r="BL39" s="189">
        <v>5836502.1399999997</v>
      </c>
      <c r="BM39" s="189">
        <v>-136304449.96000001</v>
      </c>
      <c r="BN39" s="189">
        <v>0</v>
      </c>
      <c r="BO39" s="189">
        <v>0</v>
      </c>
    </row>
    <row r="40" spans="1:67" x14ac:dyDescent="0.25">
      <c r="A40" s="189" t="s">
        <v>255</v>
      </c>
      <c r="B40" s="189">
        <v>0</v>
      </c>
      <c r="C40" s="189">
        <v>58912.41</v>
      </c>
      <c r="D40" s="189">
        <v>0</v>
      </c>
      <c r="E40" s="189">
        <v>32727</v>
      </c>
      <c r="F40" s="189">
        <v>0</v>
      </c>
      <c r="G40" s="189">
        <v>-235433.45</v>
      </c>
      <c r="H40" s="189">
        <v>0</v>
      </c>
      <c r="I40" s="189">
        <v>-5612099.2400000002</v>
      </c>
      <c r="J40" s="189">
        <v>0</v>
      </c>
      <c r="K40" s="189">
        <v>100269.03</v>
      </c>
      <c r="L40" s="189">
        <v>0</v>
      </c>
      <c r="M40" s="189">
        <v>-777614.6</v>
      </c>
      <c r="N40" s="189">
        <v>0</v>
      </c>
      <c r="O40" s="189">
        <v>-37716.89</v>
      </c>
      <c r="P40" s="189">
        <v>0</v>
      </c>
      <c r="Q40" s="189">
        <v>196859.26</v>
      </c>
      <c r="R40" s="189">
        <v>0</v>
      </c>
      <c r="S40" s="189">
        <v>11319.32</v>
      </c>
      <c r="T40" s="189">
        <v>0</v>
      </c>
      <c r="U40" s="189">
        <v>72724.75</v>
      </c>
      <c r="V40" s="189">
        <v>0</v>
      </c>
      <c r="W40" s="189">
        <v>-112228.62</v>
      </c>
      <c r="X40" s="189">
        <v>0</v>
      </c>
      <c r="Y40" s="189">
        <v>-70333.350000000006</v>
      </c>
      <c r="Z40" s="189">
        <v>0</v>
      </c>
      <c r="AA40" s="189">
        <v>56055.08</v>
      </c>
      <c r="AB40" s="189">
        <v>0</v>
      </c>
      <c r="AC40" s="189">
        <v>-525733.23</v>
      </c>
      <c r="AD40" s="189">
        <v>0</v>
      </c>
      <c r="AE40" s="189">
        <v>-350451.93</v>
      </c>
      <c r="AF40" s="189">
        <v>0</v>
      </c>
      <c r="AG40" s="189">
        <v>-443150.43</v>
      </c>
      <c r="AH40" s="189">
        <v>0</v>
      </c>
      <c r="AI40" s="189">
        <v>-66127.600000000006</v>
      </c>
      <c r="AJ40" s="189">
        <v>0</v>
      </c>
      <c r="AK40" s="189">
        <v>-6130.71</v>
      </c>
      <c r="AL40" s="189">
        <v>0</v>
      </c>
      <c r="AM40" s="189">
        <v>-4783.78</v>
      </c>
      <c r="AN40" s="189">
        <v>0</v>
      </c>
      <c r="AO40" s="189">
        <v>-672281.14</v>
      </c>
      <c r="AP40" s="189">
        <v>0</v>
      </c>
      <c r="AQ40" s="189">
        <v>-685693.46</v>
      </c>
      <c r="AR40" s="189">
        <v>0</v>
      </c>
      <c r="AS40" s="189">
        <v>-1697310.96</v>
      </c>
      <c r="AT40" s="189">
        <v>0</v>
      </c>
      <c r="AU40" s="189">
        <v>0</v>
      </c>
      <c r="AV40" s="189">
        <v>0</v>
      </c>
      <c r="AW40" s="189">
        <v>-860034.16</v>
      </c>
      <c r="AX40" s="189">
        <v>0</v>
      </c>
      <c r="AY40" s="189">
        <v>0</v>
      </c>
      <c r="AZ40" s="189">
        <v>0</v>
      </c>
      <c r="BA40" s="189">
        <v>330845.58</v>
      </c>
      <c r="BB40" s="189">
        <v>0</v>
      </c>
      <c r="BC40" s="189">
        <v>0</v>
      </c>
      <c r="BD40" s="189">
        <v>0</v>
      </c>
      <c r="BE40" s="189">
        <v>0</v>
      </c>
      <c r="BF40" s="189">
        <v>0</v>
      </c>
      <c r="BG40" s="189">
        <v>0</v>
      </c>
      <c r="BH40" s="189">
        <v>0</v>
      </c>
      <c r="BI40" s="189">
        <v>1477718.09</v>
      </c>
      <c r="BJ40" s="189">
        <v>0</v>
      </c>
      <c r="BK40" s="189">
        <v>0</v>
      </c>
      <c r="BL40" s="189">
        <v>0</v>
      </c>
      <c r="BM40" s="189">
        <v>1126205.4399999999</v>
      </c>
      <c r="BN40" s="189">
        <v>0</v>
      </c>
      <c r="BO40" s="189">
        <v>0</v>
      </c>
    </row>
    <row r="41" spans="1:67" x14ac:dyDescent="0.25">
      <c r="A41" s="189" t="s">
        <v>256</v>
      </c>
      <c r="B41" s="189">
        <v>644580249.57000005</v>
      </c>
      <c r="C41" s="189">
        <v>194082674.11000001</v>
      </c>
      <c r="D41" s="189">
        <v>-30870180.670000002</v>
      </c>
      <c r="E41" s="189">
        <v>1848614769.4400001</v>
      </c>
      <c r="F41" s="189">
        <v>14724476.699999999</v>
      </c>
      <c r="G41" s="189">
        <v>326558252.47000003</v>
      </c>
      <c r="H41" s="189">
        <v>-354513983.75999999</v>
      </c>
      <c r="I41" s="189">
        <v>-353864594.61000001</v>
      </c>
      <c r="J41" s="189">
        <v>1097564243.2</v>
      </c>
      <c r="K41" s="189">
        <v>1749135509.4100001</v>
      </c>
      <c r="L41" s="189">
        <v>1386221731.3900001</v>
      </c>
      <c r="M41" s="189">
        <v>-1755683379.3699999</v>
      </c>
      <c r="N41" s="189">
        <v>-1359760434.9300001</v>
      </c>
      <c r="O41" s="189">
        <v>-856218794.22000003</v>
      </c>
      <c r="P41" s="189">
        <v>214283066.05000001</v>
      </c>
      <c r="Q41" s="189">
        <v>1351711263.3099999</v>
      </c>
      <c r="R41" s="189">
        <v>684842797.04999995</v>
      </c>
      <c r="S41" s="189">
        <v>801372332.88</v>
      </c>
      <c r="T41" s="189">
        <v>97237153.719999999</v>
      </c>
      <c r="U41" s="189">
        <v>557939907.63</v>
      </c>
      <c r="V41" s="189">
        <v>50846839.469999999</v>
      </c>
      <c r="W41" s="189">
        <v>642617004.50999999</v>
      </c>
      <c r="X41" s="189">
        <v>18553209.620000001</v>
      </c>
      <c r="Y41" s="189">
        <v>310884082.16000003</v>
      </c>
      <c r="Z41" s="189">
        <v>-24947267.219999999</v>
      </c>
      <c r="AA41" s="189">
        <v>297833914.70999998</v>
      </c>
      <c r="AB41" s="189">
        <v>-242675179.62</v>
      </c>
      <c r="AC41" s="189">
        <v>-80414070.379999995</v>
      </c>
      <c r="AD41" s="189">
        <v>1055123253.9400001</v>
      </c>
      <c r="AE41" s="189">
        <v>200805164.66</v>
      </c>
      <c r="AF41" s="189">
        <v>-159910568.25</v>
      </c>
      <c r="AG41" s="189">
        <v>-238275621.44999999</v>
      </c>
      <c r="AH41" s="189">
        <v>-190331625.16999999</v>
      </c>
      <c r="AI41" s="189">
        <v>-408700624.61000001</v>
      </c>
      <c r="AJ41" s="189">
        <v>195984049.06</v>
      </c>
      <c r="AK41" s="189">
        <v>596351299.25999999</v>
      </c>
      <c r="AL41" s="189">
        <v>234960036.75</v>
      </c>
      <c r="AM41" s="189">
        <v>426844636.39999998</v>
      </c>
      <c r="AN41" s="189">
        <v>117673134.05</v>
      </c>
      <c r="AO41" s="189">
        <v>5095029.93</v>
      </c>
      <c r="AP41" s="189">
        <v>79166688.140000001</v>
      </c>
      <c r="AQ41" s="189">
        <v>28878027.350000001</v>
      </c>
      <c r="AR41" s="189">
        <v>-138584438.38</v>
      </c>
      <c r="AS41" s="189">
        <v>72495781.879999995</v>
      </c>
      <c r="AT41" s="189">
        <v>41062437.68</v>
      </c>
      <c r="AU41" s="189">
        <v>-54533677.490000002</v>
      </c>
      <c r="AV41" s="189">
        <v>34976642.939999998</v>
      </c>
      <c r="AW41" s="189">
        <v>107549623.78</v>
      </c>
      <c r="AX41" s="189">
        <v>108764154.75</v>
      </c>
      <c r="AY41" s="189">
        <v>41614941.920000002</v>
      </c>
      <c r="AZ41" s="189">
        <v>134343354.49000001</v>
      </c>
      <c r="BA41" s="189">
        <v>-642547689.23000002</v>
      </c>
      <c r="BB41" s="189">
        <v>-425053555.48000002</v>
      </c>
      <c r="BC41" s="189">
        <v>-518102873.16000003</v>
      </c>
      <c r="BD41" s="189">
        <v>31687948.370000001</v>
      </c>
      <c r="BE41" s="189">
        <v>72183627.299999997</v>
      </c>
      <c r="BF41" s="189">
        <v>116796372.8</v>
      </c>
      <c r="BG41" s="189">
        <v>167336998.94</v>
      </c>
      <c r="BH41" s="189">
        <v>141684263.08000001</v>
      </c>
      <c r="BI41" s="189">
        <v>14612960.220000001</v>
      </c>
      <c r="BJ41" s="189">
        <v>-83266325.5</v>
      </c>
      <c r="BK41" s="189">
        <v>-143509055.16999999</v>
      </c>
      <c r="BL41" s="189">
        <v>115220322.31</v>
      </c>
      <c r="BM41" s="189">
        <v>110751837.42</v>
      </c>
      <c r="BN41" s="189">
        <v>0</v>
      </c>
      <c r="BO41" s="189">
        <v>0</v>
      </c>
    </row>
    <row r="42" spans="1:67" x14ac:dyDescent="0.25">
      <c r="A42" s="189" t="s">
        <v>257</v>
      </c>
      <c r="B42" s="189">
        <v>2807706501.4000001</v>
      </c>
      <c r="C42" s="189">
        <v>2807706501.4000001</v>
      </c>
      <c r="D42" s="189">
        <v>2807706501.4000001</v>
      </c>
      <c r="E42" s="189">
        <v>959091731.96000004</v>
      </c>
      <c r="F42" s="189">
        <v>990161741.46000004</v>
      </c>
      <c r="G42" s="189">
        <v>990161741.46000004</v>
      </c>
      <c r="H42" s="189">
        <v>990161741.46000004</v>
      </c>
      <c r="I42" s="189">
        <v>1312956326.5699999</v>
      </c>
      <c r="J42" s="189">
        <v>1303258420.55</v>
      </c>
      <c r="K42" s="189">
        <v>1303258420.55</v>
      </c>
      <c r="L42" s="189">
        <v>1303258420.55</v>
      </c>
      <c r="M42" s="189">
        <v>3058941799.9200001</v>
      </c>
      <c r="N42" s="189">
        <v>3058941799.9200001</v>
      </c>
      <c r="O42" s="189">
        <v>3058941799.9200001</v>
      </c>
      <c r="P42" s="189">
        <v>3058941799.9200001</v>
      </c>
      <c r="Q42" s="189">
        <v>1707230536.6099999</v>
      </c>
      <c r="R42" s="189">
        <v>1707230536.6099999</v>
      </c>
      <c r="S42" s="189">
        <v>1707230536.6099999</v>
      </c>
      <c r="T42" s="189">
        <v>1707230536.6099999</v>
      </c>
      <c r="U42" s="189">
        <v>1149290628.98</v>
      </c>
      <c r="V42" s="189">
        <v>1149290628.98</v>
      </c>
      <c r="W42" s="189">
        <v>1149290628.98</v>
      </c>
      <c r="X42" s="189">
        <v>1149290628.98</v>
      </c>
      <c r="Y42" s="189">
        <v>838406546.82000005</v>
      </c>
      <c r="Z42" s="189">
        <v>838406546.82000005</v>
      </c>
      <c r="AA42" s="189">
        <v>838406546.82000005</v>
      </c>
      <c r="AB42" s="189">
        <v>854257105.09000003</v>
      </c>
      <c r="AC42" s="189">
        <v>918820617.20000005</v>
      </c>
      <c r="AD42" s="189">
        <v>942371175.47000003</v>
      </c>
      <c r="AE42" s="189">
        <v>918820617.20000005</v>
      </c>
      <c r="AF42" s="189">
        <v>942371175.47000003</v>
      </c>
      <c r="AG42" s="189">
        <v>1157096238.6500001</v>
      </c>
      <c r="AH42" s="189">
        <v>1157096238.6500001</v>
      </c>
      <c r="AI42" s="189">
        <v>1157096238.6500001</v>
      </c>
      <c r="AJ42" s="189">
        <v>1157096238.6500001</v>
      </c>
      <c r="AK42" s="189">
        <v>560744939.38999999</v>
      </c>
      <c r="AL42" s="189">
        <v>560744939.38999999</v>
      </c>
      <c r="AM42" s="189">
        <v>560744939.38999999</v>
      </c>
      <c r="AN42" s="189">
        <v>560744939.38999999</v>
      </c>
      <c r="AO42" s="189">
        <v>555649909.46000004</v>
      </c>
      <c r="AP42" s="189">
        <v>555649909.46000004</v>
      </c>
      <c r="AQ42" s="189">
        <v>555649909.46000004</v>
      </c>
      <c r="AR42" s="189">
        <v>555649909.46000004</v>
      </c>
      <c r="AS42" s="189">
        <v>483154127.57999998</v>
      </c>
      <c r="AT42" s="189">
        <v>483154127.57999998</v>
      </c>
      <c r="AU42" s="189">
        <v>483154127.57999998</v>
      </c>
      <c r="AV42" s="189">
        <v>483154127.57999998</v>
      </c>
      <c r="AW42" s="189">
        <v>375604503.80000001</v>
      </c>
      <c r="AX42" s="189">
        <v>375604503.80000001</v>
      </c>
      <c r="AY42" s="189">
        <v>375604503.80000001</v>
      </c>
      <c r="AZ42" s="189">
        <v>375604503.80000001</v>
      </c>
      <c r="BA42" s="189">
        <v>1018152193.03</v>
      </c>
      <c r="BB42" s="189">
        <v>1018152193.03</v>
      </c>
      <c r="BC42" s="189">
        <v>1018152193.03</v>
      </c>
      <c r="BD42" s="189">
        <v>1018152193.03</v>
      </c>
      <c r="BE42" s="189">
        <v>945968565.73000002</v>
      </c>
      <c r="BF42" s="189">
        <v>945968565.73000002</v>
      </c>
      <c r="BG42" s="189">
        <v>945968565.73000002</v>
      </c>
      <c r="BH42" s="189">
        <v>945968565.73000002</v>
      </c>
      <c r="BI42" s="189">
        <v>931355605.50999999</v>
      </c>
      <c r="BJ42" s="189">
        <v>931355605.50999999</v>
      </c>
      <c r="BK42" s="189">
        <v>931355605.50999999</v>
      </c>
      <c r="BL42" s="189">
        <v>931355605.50999999</v>
      </c>
      <c r="BM42" s="189">
        <v>820603768.09000003</v>
      </c>
      <c r="BN42" s="189">
        <v>0</v>
      </c>
      <c r="BO42" s="189">
        <v>0</v>
      </c>
    </row>
    <row r="43" spans="1:67" x14ac:dyDescent="0.25">
      <c r="A43" s="189" t="s">
        <v>258</v>
      </c>
      <c r="B43" s="189">
        <v>3452286750.9699998</v>
      </c>
      <c r="C43" s="189">
        <v>3001789175.5100002</v>
      </c>
      <c r="D43" s="189">
        <v>2776836320.73</v>
      </c>
      <c r="E43" s="189">
        <v>2807706501.4000001</v>
      </c>
      <c r="F43" s="189">
        <v>1004886218.16</v>
      </c>
      <c r="G43" s="189">
        <v>1316719993.9300001</v>
      </c>
      <c r="H43" s="189">
        <v>635647757.70000005</v>
      </c>
      <c r="I43" s="189">
        <v>959091731.96000004</v>
      </c>
      <c r="J43" s="189">
        <v>2400822663.75</v>
      </c>
      <c r="K43" s="189">
        <v>3052393929.96</v>
      </c>
      <c r="L43" s="189">
        <v>2689480151.9400001</v>
      </c>
      <c r="M43" s="189">
        <v>1303258420.55</v>
      </c>
      <c r="N43" s="189">
        <v>1699181364.99</v>
      </c>
      <c r="O43" s="189">
        <v>2202723005.6999998</v>
      </c>
      <c r="P43" s="189">
        <v>3273224865.9699998</v>
      </c>
      <c r="Q43" s="189">
        <v>3058941799.9200001</v>
      </c>
      <c r="R43" s="189">
        <v>2392073333.6599998</v>
      </c>
      <c r="S43" s="189">
        <v>2508602869.4899998</v>
      </c>
      <c r="T43" s="189">
        <v>1804467690.3299999</v>
      </c>
      <c r="U43" s="189">
        <v>1707230536.6099999</v>
      </c>
      <c r="V43" s="189">
        <v>1200137468.45</v>
      </c>
      <c r="W43" s="189">
        <v>1791907633.49</v>
      </c>
      <c r="X43" s="189">
        <v>1167843838.5999999</v>
      </c>
      <c r="Y43" s="189">
        <v>1149290628.98</v>
      </c>
      <c r="Z43" s="189">
        <v>813459279.60000002</v>
      </c>
      <c r="AA43" s="189">
        <v>1136240461.53</v>
      </c>
      <c r="AB43" s="189">
        <v>611581925.47000003</v>
      </c>
      <c r="AC43" s="189">
        <v>838406546.82000005</v>
      </c>
      <c r="AD43" s="189">
        <v>1997494429.4100001</v>
      </c>
      <c r="AE43" s="189">
        <v>1119625781.8599999</v>
      </c>
      <c r="AF43" s="189">
        <v>782460607.22000003</v>
      </c>
      <c r="AG43" s="189">
        <v>918820617.20000005</v>
      </c>
      <c r="AH43" s="189">
        <v>966764613.48000002</v>
      </c>
      <c r="AI43" s="189">
        <v>748395614.03999996</v>
      </c>
      <c r="AJ43" s="189">
        <v>1353080287.71</v>
      </c>
      <c r="AK43" s="189">
        <v>1157096238.6500001</v>
      </c>
      <c r="AL43" s="189">
        <v>795704976.13999999</v>
      </c>
      <c r="AM43" s="189">
        <v>987589575.78999996</v>
      </c>
      <c r="AN43" s="189">
        <v>678418073.44000006</v>
      </c>
      <c r="AO43" s="189">
        <v>560744939.38999999</v>
      </c>
      <c r="AP43" s="189">
        <v>634816597.60000002</v>
      </c>
      <c r="AQ43" s="189">
        <v>584527936.80999994</v>
      </c>
      <c r="AR43" s="189">
        <v>417065471.07999998</v>
      </c>
      <c r="AS43" s="189">
        <v>555649909.46000004</v>
      </c>
      <c r="AT43" s="189">
        <v>524216565.25999999</v>
      </c>
      <c r="AU43" s="189">
        <v>428620450.08999997</v>
      </c>
      <c r="AV43" s="189">
        <v>518130770.51999998</v>
      </c>
      <c r="AW43" s="189">
        <v>483154127.57999998</v>
      </c>
      <c r="AX43" s="189">
        <v>484368658.55000001</v>
      </c>
      <c r="AY43" s="189">
        <v>417219445.72000003</v>
      </c>
      <c r="AZ43" s="189">
        <v>509947858.29000002</v>
      </c>
      <c r="BA43" s="189">
        <v>375604503.80000001</v>
      </c>
      <c r="BB43" s="189">
        <v>593098637.54999995</v>
      </c>
      <c r="BC43" s="189">
        <v>500049319.87</v>
      </c>
      <c r="BD43" s="189">
        <v>1049840141.4</v>
      </c>
      <c r="BE43" s="189">
        <v>1018152193.03</v>
      </c>
      <c r="BF43" s="189">
        <v>1062764938.53</v>
      </c>
      <c r="BG43" s="189">
        <v>1113305564.6700001</v>
      </c>
      <c r="BH43" s="189">
        <v>1087652828.8099999</v>
      </c>
      <c r="BI43" s="189">
        <v>945968565.73000002</v>
      </c>
      <c r="BJ43" s="189">
        <v>848089280.00999999</v>
      </c>
      <c r="BK43" s="189">
        <v>787846550.34000003</v>
      </c>
      <c r="BL43" s="189">
        <v>1046575927.8200001</v>
      </c>
      <c r="BM43" s="189">
        <v>931355605.50999999</v>
      </c>
      <c r="BN43" s="189">
        <v>0</v>
      </c>
      <c r="BO43" s="189">
        <v>0</v>
      </c>
    </row>
    <row r="44" spans="1:67" x14ac:dyDescent="0.25">
      <c r="A44" s="189" t="s">
        <v>259</v>
      </c>
    </row>
    <row r="45" spans="1:67" x14ac:dyDescent="0.25">
      <c r="A45" s="189" t="s">
        <v>260</v>
      </c>
      <c r="B45" s="189">
        <v>0</v>
      </c>
      <c r="C45" s="189">
        <v>715790949.39999998</v>
      </c>
      <c r="D45" s="189">
        <v>0</v>
      </c>
      <c r="E45" s="189">
        <v>1601244176.3199999</v>
      </c>
      <c r="F45" s="189">
        <v>0</v>
      </c>
      <c r="G45" s="189">
        <v>786451405.75</v>
      </c>
      <c r="H45" s="189">
        <v>0</v>
      </c>
      <c r="I45" s="189">
        <v>1391941654.5899999</v>
      </c>
      <c r="J45" s="189">
        <v>0</v>
      </c>
      <c r="K45" s="189">
        <v>698077259.34000003</v>
      </c>
      <c r="L45" s="189">
        <v>0</v>
      </c>
      <c r="M45" s="189">
        <v>1294566134.0799999</v>
      </c>
      <c r="N45" s="189">
        <v>0</v>
      </c>
      <c r="O45" s="189">
        <v>649543648.95000005</v>
      </c>
      <c r="P45" s="189">
        <v>0</v>
      </c>
      <c r="Q45" s="189">
        <v>1156854699.4300001</v>
      </c>
      <c r="R45" s="189">
        <v>0</v>
      </c>
      <c r="S45" s="189">
        <v>557628693.83000004</v>
      </c>
      <c r="T45" s="189">
        <v>0</v>
      </c>
      <c r="U45" s="189">
        <v>950544033.99000001</v>
      </c>
      <c r="V45" s="189">
        <v>0</v>
      </c>
      <c r="W45" s="189">
        <v>478932761.38999999</v>
      </c>
      <c r="X45" s="189">
        <v>0</v>
      </c>
      <c r="Y45" s="189">
        <v>791113116.50999999</v>
      </c>
      <c r="Z45" s="189">
        <v>0</v>
      </c>
      <c r="AA45" s="189">
        <v>408646352.70999998</v>
      </c>
      <c r="AB45" s="189">
        <v>0</v>
      </c>
      <c r="AC45" s="189">
        <v>730351975.23000002</v>
      </c>
      <c r="AD45" s="189">
        <v>0</v>
      </c>
      <c r="AE45" s="189">
        <v>338989572.69999999</v>
      </c>
      <c r="AF45" s="189">
        <v>0</v>
      </c>
      <c r="AG45" s="189">
        <v>622596120.28999996</v>
      </c>
      <c r="AH45" s="189">
        <v>0</v>
      </c>
      <c r="AI45" s="189">
        <v>292537697.19</v>
      </c>
      <c r="AJ45" s="189">
        <v>0</v>
      </c>
      <c r="AK45" s="189">
        <v>566414871.79999995</v>
      </c>
      <c r="AL45" s="189">
        <v>0</v>
      </c>
      <c r="AM45" s="189">
        <v>269309766.38999999</v>
      </c>
      <c r="AN45" s="189">
        <v>0</v>
      </c>
      <c r="AO45" s="189">
        <v>517354519.45999998</v>
      </c>
      <c r="AP45" s="189">
        <v>0</v>
      </c>
      <c r="AQ45" s="189">
        <v>270937349.97000003</v>
      </c>
      <c r="AR45" s="189">
        <v>0</v>
      </c>
      <c r="AS45" s="189">
        <v>392337364.14999998</v>
      </c>
      <c r="AT45" s="189">
        <v>0</v>
      </c>
      <c r="AU45" s="189">
        <v>197252285.09999999</v>
      </c>
      <c r="AV45" s="189">
        <v>0</v>
      </c>
      <c r="AW45" s="189">
        <v>292204459.74000001</v>
      </c>
      <c r="AX45" s="189">
        <v>219300985.94999999</v>
      </c>
      <c r="AY45" s="189">
        <v>128427872.87</v>
      </c>
      <c r="AZ45" s="189">
        <v>71764066.379999995</v>
      </c>
      <c r="BA45" s="189">
        <v>251512856.24000001</v>
      </c>
      <c r="BB45" s="189">
        <v>193439102.16999999</v>
      </c>
      <c r="BC45" s="189">
        <v>129581746.29000001</v>
      </c>
      <c r="BD45" s="189">
        <v>62531691.469999999</v>
      </c>
      <c r="BE45" s="189">
        <v>283571668.23000002</v>
      </c>
      <c r="BF45" s="189">
        <v>263207860.80000001</v>
      </c>
      <c r="BG45" s="189">
        <v>223202810.31999999</v>
      </c>
      <c r="BH45" s="189">
        <v>120968226.44</v>
      </c>
      <c r="BI45" s="189">
        <v>296143763.63999999</v>
      </c>
      <c r="BJ45" s="189">
        <v>201695428.91</v>
      </c>
      <c r="BK45" s="189">
        <v>93269866.430000007</v>
      </c>
      <c r="BL45" s="189">
        <v>71703867.159999996</v>
      </c>
      <c r="BM45" s="189">
        <v>286680304.5</v>
      </c>
      <c r="BN45" s="189">
        <v>0</v>
      </c>
      <c r="BO45" s="189">
        <v>0</v>
      </c>
    </row>
    <row r="46" spans="1:67"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11071028.82</v>
      </c>
      <c r="AX46" s="189">
        <v>23165499.57</v>
      </c>
      <c r="AY46" s="189">
        <v>15165936.220000001</v>
      </c>
      <c r="AZ46" s="189">
        <v>9976665.9800000004</v>
      </c>
      <c r="BA46" s="189">
        <v>10045249.49</v>
      </c>
      <c r="BB46" s="189">
        <v>3777902.38</v>
      </c>
      <c r="BC46" s="189">
        <v>1268025.92</v>
      </c>
      <c r="BD46" s="189">
        <v>-707047.03</v>
      </c>
      <c r="BE46" s="189">
        <v>16662249.75</v>
      </c>
      <c r="BF46" s="189">
        <v>14535694.800000001</v>
      </c>
      <c r="BG46" s="189">
        <v>11190673.390000001</v>
      </c>
      <c r="BH46" s="189">
        <v>6267811.6799999997</v>
      </c>
      <c r="BI46" s="189">
        <v>16006111.859999999</v>
      </c>
      <c r="BJ46" s="189">
        <v>7625598.0300000003</v>
      </c>
      <c r="BK46" s="189">
        <v>1397097.83</v>
      </c>
      <c r="BL46" s="189">
        <v>3303334.27</v>
      </c>
      <c r="BM46" s="189">
        <v>9909740.1600000001</v>
      </c>
      <c r="BN46" s="189">
        <v>0</v>
      </c>
      <c r="BO46" s="189">
        <v>0</v>
      </c>
    </row>
    <row r="47" spans="1:67"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row>
    <row r="48" spans="1:67" x14ac:dyDescent="0.25">
      <c r="A48" s="189" t="s">
        <v>262</v>
      </c>
      <c r="B48" s="189">
        <v>0</v>
      </c>
      <c r="C48" s="189">
        <v>29148604.27</v>
      </c>
      <c r="D48" s="189">
        <v>0</v>
      </c>
      <c r="E48" s="189">
        <v>18778746.5</v>
      </c>
      <c r="F48" s="189">
        <v>0</v>
      </c>
      <c r="G48" s="189">
        <v>2316763.0299999998</v>
      </c>
      <c r="H48" s="189">
        <v>0</v>
      </c>
      <c r="I48" s="189">
        <v>19264380.059999999</v>
      </c>
      <c r="J48" s="189">
        <v>0</v>
      </c>
      <c r="K48" s="189">
        <v>1861728.29</v>
      </c>
      <c r="L48" s="189">
        <v>0</v>
      </c>
      <c r="M48" s="189">
        <v>-32346015.109999999</v>
      </c>
      <c r="N48" s="189">
        <v>0</v>
      </c>
      <c r="O48" s="189">
        <v>4584363.67</v>
      </c>
      <c r="P48" s="189">
        <v>0</v>
      </c>
      <c r="Q48" s="189">
        <v>9538268.1899999995</v>
      </c>
      <c r="R48" s="189">
        <v>0</v>
      </c>
      <c r="S48" s="189">
        <v>5290955.2</v>
      </c>
      <c r="T48" s="189">
        <v>0</v>
      </c>
      <c r="U48" s="189">
        <v>-4057640.07</v>
      </c>
      <c r="V48" s="189">
        <v>0</v>
      </c>
      <c r="W48" s="189">
        <v>7400979.79</v>
      </c>
      <c r="X48" s="189">
        <v>0</v>
      </c>
      <c r="Y48" s="189">
        <v>-11440237.9</v>
      </c>
      <c r="Z48" s="189">
        <v>0</v>
      </c>
      <c r="AA48" s="189">
        <v>6693247.29</v>
      </c>
      <c r="AB48" s="189">
        <v>0</v>
      </c>
      <c r="AC48" s="189">
        <v>-21689827.030000001</v>
      </c>
      <c r="AD48" s="189">
        <v>0</v>
      </c>
      <c r="AE48" s="189">
        <v>9212405.5299999993</v>
      </c>
      <c r="AF48" s="189">
        <v>0</v>
      </c>
      <c r="AG48" s="189">
        <v>-576863.06999999995</v>
      </c>
      <c r="AH48" s="189">
        <v>0</v>
      </c>
      <c r="AI48" s="189">
        <v>13628950.09</v>
      </c>
      <c r="AJ48" s="189">
        <v>0</v>
      </c>
      <c r="AK48" s="189">
        <v>79162009.390000001</v>
      </c>
      <c r="AL48" s="189">
        <v>0</v>
      </c>
      <c r="AM48" s="189">
        <v>38756508.899999999</v>
      </c>
      <c r="AN48" s="189">
        <v>0</v>
      </c>
      <c r="AO48" s="189">
        <v>22697326.989999998</v>
      </c>
      <c r="AP48" s="189">
        <v>0</v>
      </c>
      <c r="AQ48" s="189">
        <v>7249583.5</v>
      </c>
      <c r="AR48" s="189">
        <v>0</v>
      </c>
      <c r="AS48" s="189">
        <v>2744457.39</v>
      </c>
      <c r="AT48" s="189">
        <v>0</v>
      </c>
      <c r="AU48" s="189">
        <v>3860779.94</v>
      </c>
      <c r="AV48" s="189">
        <v>0</v>
      </c>
      <c r="AW48" s="189">
        <v>-4674788.8600000003</v>
      </c>
      <c r="AX48" s="189">
        <v>1353612.08</v>
      </c>
      <c r="AY48" s="189">
        <v>1353612.08</v>
      </c>
      <c r="AZ48" s="189">
        <v>0</v>
      </c>
      <c r="BA48" s="189">
        <v>10407751.460000001</v>
      </c>
      <c r="BB48" s="189">
        <v>0</v>
      </c>
      <c r="BC48" s="189">
        <v>17210796.75</v>
      </c>
      <c r="BD48" s="189">
        <v>0</v>
      </c>
      <c r="BE48" s="189">
        <v>2234817.5699999998</v>
      </c>
      <c r="BF48" s="189">
        <v>12961853.65</v>
      </c>
      <c r="BG48" s="189">
        <v>0</v>
      </c>
      <c r="BH48" s="189">
        <v>0</v>
      </c>
      <c r="BI48" s="189">
        <v>8185649.8899999997</v>
      </c>
      <c r="BJ48" s="189">
        <v>0</v>
      </c>
      <c r="BK48" s="189">
        <v>0</v>
      </c>
      <c r="BL48" s="189">
        <v>0</v>
      </c>
      <c r="BM48" s="189">
        <v>6873878.5300000003</v>
      </c>
      <c r="BN48" s="189">
        <v>0</v>
      </c>
      <c r="BO48" s="189">
        <v>0</v>
      </c>
    </row>
    <row r="49" spans="1:67" x14ac:dyDescent="0.25">
      <c r="A49" s="189" t="s">
        <v>263</v>
      </c>
      <c r="B49" s="189">
        <v>0</v>
      </c>
      <c r="C49" s="189">
        <v>553756984.70000005</v>
      </c>
      <c r="D49" s="189">
        <v>0</v>
      </c>
      <c r="E49" s="189">
        <v>602740417.44000006</v>
      </c>
      <c r="F49" s="189">
        <v>0</v>
      </c>
      <c r="G49" s="189">
        <v>298861050.58999997</v>
      </c>
      <c r="H49" s="189">
        <v>0</v>
      </c>
      <c r="I49" s="189">
        <v>578699065.53999996</v>
      </c>
      <c r="J49" s="189">
        <v>0</v>
      </c>
      <c r="K49" s="189">
        <v>257941781.93000001</v>
      </c>
      <c r="L49" s="189">
        <v>0</v>
      </c>
      <c r="M49" s="189">
        <v>554001669.40999997</v>
      </c>
      <c r="N49" s="189">
        <v>0</v>
      </c>
      <c r="O49" s="189">
        <v>261301133.19</v>
      </c>
      <c r="P49" s="189">
        <v>0</v>
      </c>
      <c r="Q49" s="189">
        <v>669341948.50999999</v>
      </c>
      <c r="R49" s="189">
        <v>0</v>
      </c>
      <c r="S49" s="189">
        <v>346822215.80000001</v>
      </c>
      <c r="T49" s="189">
        <v>0</v>
      </c>
      <c r="U49" s="189">
        <v>670561998.42999995</v>
      </c>
      <c r="V49" s="189">
        <v>0</v>
      </c>
      <c r="W49" s="189">
        <v>354147725.81999999</v>
      </c>
      <c r="X49" s="189">
        <v>0</v>
      </c>
      <c r="Y49" s="189">
        <v>685319190.36000001</v>
      </c>
      <c r="Z49" s="189">
        <v>0</v>
      </c>
      <c r="AA49" s="189">
        <v>356830938.12</v>
      </c>
      <c r="AB49" s="189">
        <v>0</v>
      </c>
      <c r="AC49" s="189">
        <v>668498798.09000003</v>
      </c>
      <c r="AD49" s="189">
        <v>0</v>
      </c>
      <c r="AE49" s="189">
        <v>322032594.37</v>
      </c>
      <c r="AF49" s="189">
        <v>0</v>
      </c>
      <c r="AG49" s="189">
        <v>603370677.09000003</v>
      </c>
      <c r="AH49" s="189">
        <v>0</v>
      </c>
      <c r="AI49" s="189">
        <v>259177568.11000001</v>
      </c>
      <c r="AJ49" s="189">
        <v>0</v>
      </c>
      <c r="AK49" s="189">
        <v>481542632.08999997</v>
      </c>
      <c r="AL49" s="189">
        <v>0</v>
      </c>
      <c r="AM49" s="189">
        <v>226635929.24000001</v>
      </c>
      <c r="AN49" s="189">
        <v>0</v>
      </c>
      <c r="AO49" s="189">
        <v>451601595.08999997</v>
      </c>
      <c r="AP49" s="189">
        <v>0</v>
      </c>
      <c r="AQ49" s="189">
        <v>224857555.62</v>
      </c>
      <c r="AR49" s="189">
        <v>0</v>
      </c>
      <c r="AS49" s="189">
        <v>378140494.27999997</v>
      </c>
      <c r="AT49" s="189">
        <v>0</v>
      </c>
      <c r="AU49" s="189">
        <v>188541210.53999999</v>
      </c>
      <c r="AV49" s="189">
        <v>0</v>
      </c>
      <c r="AW49" s="189">
        <v>367626722.87</v>
      </c>
      <c r="AX49" s="189">
        <v>275652970.64999998</v>
      </c>
      <c r="AY49" s="189">
        <v>183641321.5</v>
      </c>
      <c r="AZ49" s="189">
        <v>92274277.849999994</v>
      </c>
      <c r="BA49" s="189">
        <v>364538167.36000001</v>
      </c>
      <c r="BB49" s="189">
        <v>265159596.05000001</v>
      </c>
      <c r="BC49" s="189">
        <v>173397518.30000001</v>
      </c>
      <c r="BD49" s="189">
        <v>82462455.340000004</v>
      </c>
      <c r="BE49" s="189">
        <v>124650766.03</v>
      </c>
      <c r="BF49" s="189">
        <v>46326515.770000003</v>
      </c>
      <c r="BG49" s="189">
        <v>18857970.699999999</v>
      </c>
      <c r="BH49" s="189">
        <v>10015518</v>
      </c>
      <c r="BI49" s="189">
        <v>37052146.119999997</v>
      </c>
      <c r="BJ49" s="189">
        <v>25413169.170000002</v>
      </c>
      <c r="BK49" s="189">
        <v>18914811.73</v>
      </c>
      <c r="BL49" s="189">
        <v>6591475.3899999997</v>
      </c>
      <c r="BM49" s="189">
        <v>39291961.590000004</v>
      </c>
      <c r="BN49" s="189">
        <v>0</v>
      </c>
      <c r="BO49" s="189">
        <v>0</v>
      </c>
    </row>
    <row r="50" spans="1:67" x14ac:dyDescent="0.25">
      <c r="A50" s="189" t="s">
        <v>264</v>
      </c>
      <c r="B50" s="189">
        <v>0</v>
      </c>
      <c r="C50" s="189">
        <v>270166.32</v>
      </c>
      <c r="D50" s="189">
        <v>0</v>
      </c>
      <c r="E50" s="189">
        <v>1348925.1</v>
      </c>
      <c r="F50" s="189">
        <v>0</v>
      </c>
      <c r="G50" s="189">
        <v>867098.14</v>
      </c>
      <c r="H50" s="189">
        <v>0</v>
      </c>
      <c r="I50" s="189">
        <v>1146673.48</v>
      </c>
      <c r="J50" s="189">
        <v>0</v>
      </c>
      <c r="K50" s="189">
        <v>559775.43999999994</v>
      </c>
      <c r="L50" s="189">
        <v>0</v>
      </c>
      <c r="M50" s="189">
        <v>898760.6</v>
      </c>
      <c r="N50" s="189">
        <v>0</v>
      </c>
      <c r="O50" s="189">
        <v>374208.38</v>
      </c>
      <c r="P50" s="189">
        <v>0</v>
      </c>
      <c r="Q50" s="189">
        <v>748416.75</v>
      </c>
      <c r="R50" s="189">
        <v>0</v>
      </c>
      <c r="S50" s="189">
        <v>379171.32</v>
      </c>
      <c r="T50" s="189">
        <v>0</v>
      </c>
      <c r="U50" s="189">
        <v>901574.31</v>
      </c>
      <c r="V50" s="189">
        <v>0</v>
      </c>
      <c r="W50" s="189">
        <v>647776.31999999995</v>
      </c>
      <c r="X50" s="189">
        <v>0</v>
      </c>
      <c r="Y50" s="189">
        <v>1903795.64</v>
      </c>
      <c r="Z50" s="189">
        <v>0</v>
      </c>
      <c r="AA50" s="189">
        <v>918323.22</v>
      </c>
      <c r="AB50" s="189">
        <v>0</v>
      </c>
      <c r="AC50" s="189">
        <v>1923970.18</v>
      </c>
      <c r="AD50" s="189">
        <v>0</v>
      </c>
      <c r="AE50" s="189">
        <v>953780.24</v>
      </c>
      <c r="AF50" s="189">
        <v>0</v>
      </c>
      <c r="AG50" s="189">
        <v>4916504.0199999996</v>
      </c>
      <c r="AH50" s="189">
        <v>0</v>
      </c>
      <c r="AI50" s="189">
        <v>3403803.53</v>
      </c>
      <c r="AJ50" s="189">
        <v>0</v>
      </c>
      <c r="AK50" s="189">
        <v>3874162.57</v>
      </c>
      <c r="AL50" s="189">
        <v>0</v>
      </c>
      <c r="AM50" s="189">
        <v>1743128.4</v>
      </c>
      <c r="AN50" s="189">
        <v>0</v>
      </c>
      <c r="AO50" s="189">
        <v>3607485.8</v>
      </c>
      <c r="AP50" s="189">
        <v>0</v>
      </c>
      <c r="AQ50" s="189">
        <v>1743128.4</v>
      </c>
      <c r="AR50" s="189">
        <v>0</v>
      </c>
      <c r="AS50" s="189">
        <v>3657102.16</v>
      </c>
      <c r="AT50" s="189">
        <v>0</v>
      </c>
      <c r="AU50" s="189">
        <v>2328435.66</v>
      </c>
      <c r="AV50" s="189">
        <v>0</v>
      </c>
      <c r="AW50" s="189">
        <v>3967956.84</v>
      </c>
      <c r="AX50" s="189">
        <v>3252153.51</v>
      </c>
      <c r="AY50" s="189">
        <v>2208185.67</v>
      </c>
      <c r="AZ50" s="189">
        <v>1164217.83</v>
      </c>
      <c r="BA50" s="189">
        <v>1760455.89</v>
      </c>
      <c r="BB50" s="189">
        <v>1686516.78</v>
      </c>
      <c r="BC50" s="189">
        <v>779887.02</v>
      </c>
      <c r="BD50" s="189">
        <v>389943.51</v>
      </c>
      <c r="BE50" s="189">
        <v>1542107.42</v>
      </c>
      <c r="BF50" s="189">
        <v>1211273.92</v>
      </c>
      <c r="BG50" s="189">
        <v>763887.06</v>
      </c>
      <c r="BH50" s="189">
        <v>378943.53</v>
      </c>
      <c r="BI50" s="189">
        <v>1515774.12</v>
      </c>
      <c r="BJ50" s="189">
        <v>1136830.5900000001</v>
      </c>
      <c r="BK50" s="189">
        <v>757887.06</v>
      </c>
      <c r="BL50" s="189">
        <v>378943.53</v>
      </c>
      <c r="BM50" s="189">
        <v>1433274.12</v>
      </c>
      <c r="BN50" s="189">
        <v>0</v>
      </c>
      <c r="BO50" s="189">
        <v>0</v>
      </c>
    </row>
    <row r="51" spans="1:67" x14ac:dyDescent="0.25">
      <c r="A51" s="189" t="s">
        <v>265</v>
      </c>
      <c r="B51" s="189">
        <v>0</v>
      </c>
      <c r="C51" s="189">
        <v>18897900</v>
      </c>
      <c r="D51" s="189">
        <v>0</v>
      </c>
      <c r="E51" s="189">
        <v>9381141.8499999996</v>
      </c>
      <c r="F51" s="189">
        <v>0</v>
      </c>
      <c r="G51" s="189">
        <v>15755.75</v>
      </c>
      <c r="H51" s="189">
        <v>0</v>
      </c>
      <c r="I51" s="189">
        <v>9440144.1099999994</v>
      </c>
      <c r="J51" s="189">
        <v>0</v>
      </c>
      <c r="K51" s="189">
        <v>6758183.5099999998</v>
      </c>
      <c r="L51" s="189">
        <v>0</v>
      </c>
      <c r="M51" s="189">
        <v>8266296.9900000002</v>
      </c>
      <c r="N51" s="189">
        <v>0</v>
      </c>
      <c r="O51" s="189">
        <v>825994.05</v>
      </c>
      <c r="P51" s="189">
        <v>0</v>
      </c>
      <c r="Q51" s="189">
        <v>3594146.29</v>
      </c>
      <c r="R51" s="189">
        <v>0</v>
      </c>
      <c r="S51" s="189">
        <v>1802763.16</v>
      </c>
      <c r="T51" s="189">
        <v>0</v>
      </c>
      <c r="U51" s="189">
        <v>4569235.32</v>
      </c>
      <c r="V51" s="189">
        <v>0</v>
      </c>
      <c r="W51" s="189">
        <v>2005708.86</v>
      </c>
      <c r="X51" s="189">
        <v>0</v>
      </c>
      <c r="Y51" s="189">
        <v>3990590.36</v>
      </c>
      <c r="Z51" s="189">
        <v>0</v>
      </c>
      <c r="AA51" s="189">
        <v>1411892.33</v>
      </c>
      <c r="AB51" s="189">
        <v>0</v>
      </c>
      <c r="AC51" s="189">
        <v>4592925.83</v>
      </c>
      <c r="AD51" s="189">
        <v>0</v>
      </c>
      <c r="AE51" s="189">
        <v>2361873.2999999998</v>
      </c>
      <c r="AF51" s="189">
        <v>0</v>
      </c>
      <c r="AG51" s="189">
        <v>12388219.08</v>
      </c>
      <c r="AH51" s="189">
        <v>0</v>
      </c>
      <c r="AI51" s="189">
        <v>5352984.46</v>
      </c>
      <c r="AJ51" s="189">
        <v>0</v>
      </c>
      <c r="AK51" s="189">
        <v>9637201.8699999992</v>
      </c>
      <c r="AL51" s="189">
        <v>0</v>
      </c>
      <c r="AM51" s="189">
        <v>4523927.51</v>
      </c>
      <c r="AN51" s="189">
        <v>0</v>
      </c>
      <c r="AO51" s="189">
        <v>10650859.42</v>
      </c>
      <c r="AP51" s="189">
        <v>0</v>
      </c>
      <c r="AQ51" s="189">
        <v>5020764.6900000004</v>
      </c>
      <c r="AR51" s="189">
        <v>0</v>
      </c>
      <c r="AS51" s="189">
        <v>10528653.810000001</v>
      </c>
      <c r="AT51" s="189">
        <v>0</v>
      </c>
      <c r="AU51" s="189">
        <v>2047906.41</v>
      </c>
      <c r="AV51" s="189">
        <v>0</v>
      </c>
      <c r="AW51" s="189">
        <v>6856036.2000000002</v>
      </c>
      <c r="AX51" s="189">
        <v>447590.8</v>
      </c>
      <c r="AY51" s="189">
        <v>447590.8</v>
      </c>
      <c r="AZ51" s="189">
        <v>231472.72</v>
      </c>
      <c r="BA51" s="189">
        <v>10781792.43</v>
      </c>
      <c r="BB51" s="189">
        <v>5618148.6200000001</v>
      </c>
      <c r="BC51" s="189">
        <v>5233003.3899999997</v>
      </c>
      <c r="BD51" s="189">
        <v>0</v>
      </c>
      <c r="BE51" s="189">
        <v>7545930.1399999997</v>
      </c>
      <c r="BF51" s="189">
        <v>5878366.6699999999</v>
      </c>
      <c r="BG51" s="189">
        <v>3707989.21</v>
      </c>
      <c r="BH51" s="189">
        <v>1939657.63</v>
      </c>
      <c r="BI51" s="189">
        <v>7484230.4299999997</v>
      </c>
      <c r="BJ51" s="189">
        <v>2920792.36</v>
      </c>
      <c r="BK51" s="189">
        <v>2117947.64</v>
      </c>
      <c r="BL51" s="189">
        <v>1347761.24</v>
      </c>
      <c r="BM51" s="189">
        <v>5066096.38</v>
      </c>
      <c r="BN51" s="189">
        <v>0</v>
      </c>
      <c r="BO51" s="189">
        <v>0</v>
      </c>
    </row>
    <row r="52" spans="1:67"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1193497.06</v>
      </c>
      <c r="AX52" s="189">
        <v>-1151326.98</v>
      </c>
      <c r="AY52" s="189">
        <v>-2762394.34</v>
      </c>
      <c r="AZ52" s="189">
        <v>-4017934.33</v>
      </c>
      <c r="BA52" s="189">
        <v>3634874.79</v>
      </c>
      <c r="BB52" s="189">
        <v>2777234.86</v>
      </c>
      <c r="BC52" s="189">
        <v>1641706.46</v>
      </c>
      <c r="BD52" s="189">
        <v>-4546259.96</v>
      </c>
      <c r="BE52" s="189">
        <v>-3239574.75</v>
      </c>
      <c r="BF52" s="189">
        <v>-1452288.01</v>
      </c>
      <c r="BG52" s="189">
        <v>-377244.89</v>
      </c>
      <c r="BH52" s="189">
        <v>-371897.72</v>
      </c>
      <c r="BI52" s="189">
        <v>1207184.52</v>
      </c>
      <c r="BJ52" s="189">
        <v>916826.49</v>
      </c>
      <c r="BK52" s="189">
        <v>-580147.06999999995</v>
      </c>
      <c r="BL52" s="189">
        <v>25713.47</v>
      </c>
      <c r="BM52" s="189">
        <v>-688672.21</v>
      </c>
      <c r="BN52" s="189">
        <v>0</v>
      </c>
      <c r="BO52" s="189">
        <v>0</v>
      </c>
    </row>
    <row r="53" spans="1:67"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-5169996.59</v>
      </c>
      <c r="AX53" s="189">
        <v>11284549.73</v>
      </c>
      <c r="AY53" s="189">
        <v>10538418.27</v>
      </c>
      <c r="AZ53" s="189">
        <v>8602495.5299999993</v>
      </c>
      <c r="BA53" s="189">
        <v>2128634.9</v>
      </c>
      <c r="BB53" s="189">
        <v>9150533.6300000008</v>
      </c>
      <c r="BC53" s="189">
        <v>6533776.9199999999</v>
      </c>
      <c r="BD53" s="189">
        <v>37950918.469999999</v>
      </c>
      <c r="BE53" s="189">
        <v>1847811.2</v>
      </c>
      <c r="BF53" s="189">
        <v>23911443.559999999</v>
      </c>
      <c r="BG53" s="189">
        <v>8309378.0099999998</v>
      </c>
      <c r="BH53" s="189">
        <v>4509930.8499999996</v>
      </c>
      <c r="BI53" s="189">
        <v>-1913669.6</v>
      </c>
      <c r="BJ53" s="189">
        <v>10043198.789999999</v>
      </c>
      <c r="BK53" s="189">
        <v>11974445.630000001</v>
      </c>
      <c r="BL53" s="189">
        <v>8631833.8200000003</v>
      </c>
      <c r="BM53" s="189">
        <v>529173.79</v>
      </c>
      <c r="BN53" s="189">
        <v>0</v>
      </c>
      <c r="BO53" s="189">
        <v>0</v>
      </c>
    </row>
    <row r="54" spans="1:67" x14ac:dyDescent="0.25">
      <c r="A54" s="189" t="s">
        <v>268</v>
      </c>
      <c r="B54" s="189">
        <v>0</v>
      </c>
      <c r="C54" s="189">
        <v>0</v>
      </c>
      <c r="D54" s="189">
        <v>0</v>
      </c>
      <c r="E54" s="189">
        <v>-1333193.6000000001</v>
      </c>
      <c r="F54" s="189">
        <v>0</v>
      </c>
      <c r="G54" s="189">
        <v>0</v>
      </c>
      <c r="H54" s="189">
        <v>0</v>
      </c>
      <c r="I54" s="189">
        <v>232597.95</v>
      </c>
      <c r="J54" s="189">
        <v>0</v>
      </c>
      <c r="K54" s="189">
        <v>0</v>
      </c>
      <c r="L54" s="189">
        <v>0</v>
      </c>
      <c r="M54" s="189">
        <v>-1082361.19</v>
      </c>
      <c r="N54" s="189">
        <v>0</v>
      </c>
      <c r="O54" s="189">
        <v>0</v>
      </c>
      <c r="P54" s="189">
        <v>0</v>
      </c>
      <c r="Q54" s="189">
        <v>35966308.520000003</v>
      </c>
      <c r="R54" s="189">
        <v>0</v>
      </c>
      <c r="S54" s="189">
        <v>0</v>
      </c>
      <c r="T54" s="189">
        <v>0</v>
      </c>
      <c r="U54" s="189">
        <v>55824037.210000001</v>
      </c>
      <c r="V54" s="189">
        <v>0</v>
      </c>
      <c r="W54" s="189">
        <v>0</v>
      </c>
      <c r="X54" s="189">
        <v>0</v>
      </c>
      <c r="Y54" s="189">
        <v>111713937.40000001</v>
      </c>
      <c r="Z54" s="189">
        <v>0</v>
      </c>
      <c r="AA54" s="189">
        <v>0</v>
      </c>
      <c r="AB54" s="189">
        <v>0</v>
      </c>
      <c r="AC54" s="189">
        <v>2194934.7999999998</v>
      </c>
      <c r="AD54" s="189">
        <v>0</v>
      </c>
      <c r="AE54" s="189">
        <v>0</v>
      </c>
      <c r="AF54" s="189">
        <v>0</v>
      </c>
      <c r="AG54" s="189">
        <v>0</v>
      </c>
      <c r="AH54" s="189">
        <v>0</v>
      </c>
      <c r="AI54" s="189">
        <v>11090.98</v>
      </c>
      <c r="AJ54" s="189">
        <v>0</v>
      </c>
      <c r="AK54" s="189">
        <v>-17671.34</v>
      </c>
      <c r="AL54" s="189">
        <v>0</v>
      </c>
      <c r="AM54" s="189">
        <v>-2500</v>
      </c>
      <c r="AN54" s="189">
        <v>0</v>
      </c>
      <c r="AO54" s="189">
        <v>-158555.29</v>
      </c>
      <c r="AP54" s="189">
        <v>0</v>
      </c>
      <c r="AQ54" s="189">
        <v>-99752</v>
      </c>
      <c r="AR54" s="189">
        <v>0</v>
      </c>
      <c r="AS54" s="189">
        <v>-3255083.53</v>
      </c>
      <c r="AT54" s="189">
        <v>0</v>
      </c>
      <c r="AU54" s="189">
        <v>109004.2</v>
      </c>
      <c r="AV54" s="189">
        <v>0</v>
      </c>
      <c r="AW54" s="189">
        <v>-1079085.8600000001</v>
      </c>
      <c r="AX54" s="189">
        <v>-894832.11</v>
      </c>
      <c r="AY54" s="189">
        <v>-385014.11</v>
      </c>
      <c r="AZ54" s="189">
        <v>-428601.89</v>
      </c>
      <c r="BA54" s="189">
        <v>-785708.5</v>
      </c>
      <c r="BB54" s="189">
        <v>-860001.45</v>
      </c>
      <c r="BC54" s="189">
        <v>-757259.59</v>
      </c>
      <c r="BD54" s="189">
        <v>-315107.46000000002</v>
      </c>
      <c r="BE54" s="189">
        <v>1905251.57</v>
      </c>
      <c r="BF54" s="189">
        <v>2528176.2000000002</v>
      </c>
      <c r="BG54" s="189">
        <v>3295457.57</v>
      </c>
      <c r="BH54" s="189">
        <v>1989257.14</v>
      </c>
      <c r="BI54" s="189">
        <v>337437.76</v>
      </c>
      <c r="BJ54" s="189">
        <v>-216016.53</v>
      </c>
      <c r="BK54" s="189">
        <v>-201206.53</v>
      </c>
      <c r="BL54" s="189">
        <v>-950</v>
      </c>
      <c r="BM54" s="189">
        <v>-520360.84</v>
      </c>
      <c r="BN54" s="189">
        <v>0</v>
      </c>
      <c r="BO54" s="189">
        <v>0</v>
      </c>
    </row>
    <row r="55" spans="1:67" x14ac:dyDescent="0.25">
      <c r="A55" s="189" t="s">
        <v>269</v>
      </c>
      <c r="B55" s="189">
        <v>0</v>
      </c>
      <c r="C55" s="189">
        <v>77995.41</v>
      </c>
      <c r="D55" s="189">
        <v>0</v>
      </c>
      <c r="E55" s="189">
        <v>831440.32</v>
      </c>
      <c r="F55" s="189">
        <v>0</v>
      </c>
      <c r="G55" s="189">
        <v>1944667.32</v>
      </c>
      <c r="H55" s="189">
        <v>0</v>
      </c>
      <c r="I55" s="189">
        <v>904204.62</v>
      </c>
      <c r="J55" s="189">
        <v>0</v>
      </c>
      <c r="K55" s="189">
        <v>31460.06</v>
      </c>
      <c r="L55" s="189">
        <v>0</v>
      </c>
      <c r="M55" s="189">
        <v>0</v>
      </c>
      <c r="N55" s="189">
        <v>0</v>
      </c>
      <c r="O55" s="189">
        <v>-300373.88</v>
      </c>
      <c r="P55" s="189">
        <v>0</v>
      </c>
      <c r="Q55" s="189">
        <v>0</v>
      </c>
      <c r="R55" s="189">
        <v>0</v>
      </c>
      <c r="S55" s="189">
        <v>-45262.78</v>
      </c>
      <c r="T55" s="189">
        <v>0</v>
      </c>
      <c r="U55" s="189">
        <v>0</v>
      </c>
      <c r="V55" s="189">
        <v>0</v>
      </c>
      <c r="W55" s="189">
        <v>-115027.89</v>
      </c>
      <c r="X55" s="189">
        <v>0</v>
      </c>
      <c r="Y55" s="189">
        <v>9487.25</v>
      </c>
      <c r="Z55" s="189">
        <v>0</v>
      </c>
      <c r="AA55" s="189">
        <v>49772.82</v>
      </c>
      <c r="AB55" s="189">
        <v>0</v>
      </c>
      <c r="AC55" s="189">
        <v>0</v>
      </c>
      <c r="AD55" s="189">
        <v>0</v>
      </c>
      <c r="AE55" s="189">
        <v>115929.99</v>
      </c>
      <c r="AF55" s="189">
        <v>0</v>
      </c>
      <c r="AG55" s="189">
        <v>282642.39</v>
      </c>
      <c r="AH55" s="189">
        <v>0</v>
      </c>
      <c r="AI55" s="189">
        <v>33996.94</v>
      </c>
      <c r="AJ55" s="189">
        <v>0</v>
      </c>
      <c r="AK55" s="189">
        <v>37267.9</v>
      </c>
      <c r="AL55" s="189">
        <v>0</v>
      </c>
      <c r="AM55" s="189">
        <v>-27568.19</v>
      </c>
      <c r="AN55" s="189">
        <v>0</v>
      </c>
      <c r="AO55" s="189">
        <v>8620.3799999999992</v>
      </c>
      <c r="AP55" s="189">
        <v>0</v>
      </c>
      <c r="AQ55" s="189">
        <v>1790</v>
      </c>
      <c r="AR55" s="189">
        <v>0</v>
      </c>
      <c r="AS55" s="189">
        <v>161892.99</v>
      </c>
      <c r="AT55" s="189">
        <v>0</v>
      </c>
      <c r="AU55" s="189">
        <v>0</v>
      </c>
      <c r="AV55" s="189">
        <v>0</v>
      </c>
      <c r="AW55" s="189">
        <v>122936.25</v>
      </c>
      <c r="AX55" s="189">
        <v>0</v>
      </c>
      <c r="AY55" s="189">
        <v>0</v>
      </c>
      <c r="AZ55" s="189">
        <v>0</v>
      </c>
      <c r="BA55" s="189">
        <v>0</v>
      </c>
      <c r="BB55" s="189">
        <v>0</v>
      </c>
      <c r="BC55" s="189">
        <v>0</v>
      </c>
      <c r="BD55" s="189">
        <v>0</v>
      </c>
      <c r="BE55" s="189">
        <v>0</v>
      </c>
      <c r="BF55" s="189">
        <v>11071.69</v>
      </c>
      <c r="BG55" s="189">
        <v>0</v>
      </c>
      <c r="BH55" s="189">
        <v>0</v>
      </c>
      <c r="BI55" s="189">
        <v>1086887.46</v>
      </c>
      <c r="BJ55" s="189">
        <v>25093.32</v>
      </c>
      <c r="BK55" s="189">
        <v>0</v>
      </c>
      <c r="BL55" s="189">
        <v>0</v>
      </c>
      <c r="BM55" s="189">
        <v>161381.81</v>
      </c>
      <c r="BN55" s="189">
        <v>0</v>
      </c>
      <c r="BO55" s="189">
        <v>0</v>
      </c>
    </row>
    <row r="56" spans="1:67"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row>
    <row r="57" spans="1:67"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row>
    <row r="58" spans="1:67"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row>
    <row r="59" spans="1:67" x14ac:dyDescent="0.25">
      <c r="A59" s="189" t="s">
        <v>197</v>
      </c>
      <c r="B59" s="189">
        <v>0</v>
      </c>
      <c r="C59" s="189">
        <v>32046137.949999999</v>
      </c>
      <c r="D59" s="189">
        <v>0</v>
      </c>
      <c r="E59" s="189">
        <v>49920399.43</v>
      </c>
      <c r="F59" s="189">
        <v>0</v>
      </c>
      <c r="G59" s="189">
        <v>376934.91</v>
      </c>
      <c r="H59" s="189">
        <v>0</v>
      </c>
      <c r="I59" s="189">
        <v>13862039.93</v>
      </c>
      <c r="J59" s="189">
        <v>0</v>
      </c>
      <c r="K59" s="189">
        <v>148373.84</v>
      </c>
      <c r="L59" s="189">
        <v>0</v>
      </c>
      <c r="M59" s="189">
        <v>1143577.29</v>
      </c>
      <c r="N59" s="189">
        <v>0</v>
      </c>
      <c r="O59" s="189">
        <v>-38035.230000000003</v>
      </c>
      <c r="P59" s="189">
        <v>0</v>
      </c>
      <c r="Q59" s="189">
        <v>266506.81</v>
      </c>
      <c r="R59" s="189">
        <v>0</v>
      </c>
      <c r="S59" s="189">
        <v>-122852.5</v>
      </c>
      <c r="T59" s="189">
        <v>0</v>
      </c>
      <c r="U59" s="189">
        <v>21223940.739999998</v>
      </c>
      <c r="V59" s="189">
        <v>0</v>
      </c>
      <c r="W59" s="189">
        <v>21116753.34</v>
      </c>
      <c r="X59" s="189">
        <v>0</v>
      </c>
      <c r="Y59" s="189">
        <v>65011201.229999997</v>
      </c>
      <c r="Z59" s="189">
        <v>0</v>
      </c>
      <c r="AA59" s="189">
        <v>41062376.229999997</v>
      </c>
      <c r="AB59" s="189">
        <v>0</v>
      </c>
      <c r="AC59" s="189">
        <v>81802264.280000001</v>
      </c>
      <c r="AD59" s="189">
        <v>0</v>
      </c>
      <c r="AE59" s="189">
        <v>32875320.359999999</v>
      </c>
      <c r="AF59" s="189">
        <v>0</v>
      </c>
      <c r="AG59" s="189">
        <v>58910242.759999998</v>
      </c>
      <c r="AH59" s="189">
        <v>0</v>
      </c>
      <c r="AI59" s="189">
        <v>60894923.219999999</v>
      </c>
      <c r="AJ59" s="189">
        <v>0</v>
      </c>
      <c r="AK59" s="189">
        <v>74512736.060000002</v>
      </c>
      <c r="AL59" s="189">
        <v>0</v>
      </c>
      <c r="AM59" s="189">
        <v>62817974.039999999</v>
      </c>
      <c r="AN59" s="189">
        <v>0</v>
      </c>
      <c r="AO59" s="189">
        <v>96142197.950000003</v>
      </c>
      <c r="AP59" s="189">
        <v>0</v>
      </c>
      <c r="AQ59" s="189">
        <v>59021574.259999998</v>
      </c>
      <c r="AR59" s="189">
        <v>0</v>
      </c>
      <c r="AS59" s="189">
        <v>95667604.260000005</v>
      </c>
      <c r="AT59" s="189">
        <v>0</v>
      </c>
      <c r="AU59" s="189">
        <v>56330821.579999998</v>
      </c>
      <c r="AV59" s="189">
        <v>0</v>
      </c>
      <c r="AW59" s="189">
        <v>148078926.87</v>
      </c>
      <c r="AX59" s="189">
        <v>117138549.73999999</v>
      </c>
      <c r="AY59" s="189">
        <v>77828903.670000002</v>
      </c>
      <c r="AZ59" s="189">
        <v>40344042.140000001</v>
      </c>
      <c r="BA59" s="189">
        <v>101231972.28</v>
      </c>
      <c r="BB59" s="189">
        <v>0</v>
      </c>
      <c r="BC59" s="189">
        <v>38058021.399999999</v>
      </c>
      <c r="BD59" s="189">
        <v>16009693.16</v>
      </c>
      <c r="BE59" s="189">
        <v>0</v>
      </c>
      <c r="BF59" s="189">
        <v>20982207.460000001</v>
      </c>
      <c r="BG59" s="189">
        <v>0</v>
      </c>
      <c r="BH59" s="189">
        <v>0</v>
      </c>
      <c r="BI59" s="189">
        <v>0</v>
      </c>
      <c r="BJ59" s="189">
        <v>-3724624.11</v>
      </c>
      <c r="BK59" s="189">
        <v>-3724624.11</v>
      </c>
      <c r="BL59" s="189">
        <v>0</v>
      </c>
      <c r="BM59" s="189">
        <v>0</v>
      </c>
      <c r="BN59" s="189">
        <v>0</v>
      </c>
      <c r="BO59" s="189">
        <v>0</v>
      </c>
    </row>
    <row r="60" spans="1:67" x14ac:dyDescent="0.25">
      <c r="A60" s="189" t="s">
        <v>273</v>
      </c>
      <c r="B60" s="189">
        <v>0</v>
      </c>
      <c r="C60" s="189">
        <v>-17785221.48</v>
      </c>
      <c r="D60" s="189">
        <v>0</v>
      </c>
      <c r="E60" s="189">
        <v>-45618283.409999996</v>
      </c>
      <c r="F60" s="189">
        <v>0</v>
      </c>
      <c r="G60" s="189">
        <v>-18822094.550000001</v>
      </c>
      <c r="H60" s="189">
        <v>0</v>
      </c>
      <c r="I60" s="189">
        <v>-29932347.940000001</v>
      </c>
      <c r="J60" s="189">
        <v>0</v>
      </c>
      <c r="K60" s="189">
        <v>-12605733.449999999</v>
      </c>
      <c r="L60" s="189">
        <v>0</v>
      </c>
      <c r="M60" s="189">
        <v>-17945281.91</v>
      </c>
      <c r="N60" s="189">
        <v>0</v>
      </c>
      <c r="O60" s="189">
        <v>0</v>
      </c>
      <c r="P60" s="189">
        <v>0</v>
      </c>
      <c r="Q60" s="189">
        <v>-9699854.5700000003</v>
      </c>
      <c r="R60" s="189">
        <v>0</v>
      </c>
      <c r="S60" s="189">
        <v>0</v>
      </c>
      <c r="T60" s="189">
        <v>0</v>
      </c>
      <c r="U60" s="189">
        <v>-2048907.71</v>
      </c>
      <c r="V60" s="189">
        <v>0</v>
      </c>
      <c r="W60" s="189">
        <v>0</v>
      </c>
      <c r="X60" s="189">
        <v>0</v>
      </c>
      <c r="Y60" s="189">
        <v>-5852000</v>
      </c>
      <c r="Z60" s="189">
        <v>0</v>
      </c>
      <c r="AA60" s="189">
        <v>0</v>
      </c>
      <c r="AB60" s="189">
        <v>0</v>
      </c>
      <c r="AC60" s="189">
        <v>-4162400</v>
      </c>
      <c r="AD60" s="189">
        <v>0</v>
      </c>
      <c r="AE60" s="189">
        <v>0</v>
      </c>
      <c r="AF60" s="189">
        <v>0</v>
      </c>
      <c r="AG60" s="189">
        <v>-1796315.34</v>
      </c>
      <c r="AH60" s="189">
        <v>0</v>
      </c>
      <c r="AI60" s="189">
        <v>0</v>
      </c>
      <c r="AJ60" s="189">
        <v>0</v>
      </c>
      <c r="AK60" s="189">
        <v>-3371225.25</v>
      </c>
      <c r="AL60" s="189">
        <v>0</v>
      </c>
      <c r="AM60" s="189">
        <v>0</v>
      </c>
      <c r="AN60" s="189">
        <v>0</v>
      </c>
      <c r="AO60" s="189">
        <v>35196.129999999997</v>
      </c>
      <c r="AP60" s="189">
        <v>0</v>
      </c>
      <c r="AQ60" s="189">
        <v>35196.129999999997</v>
      </c>
      <c r="AR60" s="189">
        <v>0</v>
      </c>
      <c r="AS60" s="189">
        <v>76523.789999999994</v>
      </c>
      <c r="AT60" s="189">
        <v>0</v>
      </c>
      <c r="AU60" s="189">
        <v>0</v>
      </c>
      <c r="AV60" s="189">
        <v>0</v>
      </c>
      <c r="AW60" s="189">
        <v>2274644.3199999998</v>
      </c>
      <c r="AX60" s="189">
        <v>4307467.5</v>
      </c>
      <c r="AY60" s="189">
        <v>2072446.83</v>
      </c>
      <c r="AZ60" s="189">
        <v>-455432.01</v>
      </c>
      <c r="BA60" s="189">
        <v>2871791.97</v>
      </c>
      <c r="BB60" s="189">
        <v>55374517.920000002</v>
      </c>
      <c r="BC60" s="189">
        <v>1529677.19</v>
      </c>
      <c r="BD60" s="189">
        <v>-542580.31999999995</v>
      </c>
      <c r="BE60" s="189">
        <v>6167739.1100000003</v>
      </c>
      <c r="BF60" s="189">
        <v>1028846.4</v>
      </c>
      <c r="BG60" s="189">
        <v>875054.97</v>
      </c>
      <c r="BH60" s="189">
        <v>524208.47</v>
      </c>
      <c r="BI60" s="189">
        <v>-1253739.29</v>
      </c>
      <c r="BJ60" s="189">
        <v>-534427.34</v>
      </c>
      <c r="BK60" s="189">
        <v>851513.87</v>
      </c>
      <c r="BL60" s="189">
        <v>427379.04</v>
      </c>
      <c r="BM60" s="189">
        <v>2080674.95</v>
      </c>
      <c r="BN60" s="189">
        <v>0</v>
      </c>
      <c r="BO60" s="189">
        <v>0</v>
      </c>
    </row>
    <row r="61" spans="1:67" x14ac:dyDescent="0.25">
      <c r="A61" s="189" t="s">
        <v>274</v>
      </c>
      <c r="B61" s="189">
        <v>0</v>
      </c>
      <c r="C61" s="189">
        <v>0</v>
      </c>
      <c r="D61" s="189">
        <v>0</v>
      </c>
      <c r="E61" s="189">
        <v>71169654.799999997</v>
      </c>
      <c r="F61" s="189">
        <v>0</v>
      </c>
      <c r="G61" s="189">
        <v>0</v>
      </c>
      <c r="H61" s="189">
        <v>0</v>
      </c>
      <c r="I61" s="189">
        <v>-15697673.359999999</v>
      </c>
      <c r="J61" s="189">
        <v>0</v>
      </c>
      <c r="K61" s="189">
        <v>0</v>
      </c>
      <c r="L61" s="189">
        <v>0</v>
      </c>
      <c r="M61" s="189">
        <v>-88480792.450000003</v>
      </c>
      <c r="N61" s="189">
        <v>0</v>
      </c>
      <c r="O61" s="189">
        <v>11381701.710000001</v>
      </c>
      <c r="P61" s="189">
        <v>0</v>
      </c>
      <c r="Q61" s="189">
        <v>-90541480.219999999</v>
      </c>
      <c r="R61" s="189">
        <v>0</v>
      </c>
      <c r="S61" s="189">
        <v>-14925101.07</v>
      </c>
      <c r="T61" s="189">
        <v>0</v>
      </c>
      <c r="U61" s="189">
        <v>4923340.63</v>
      </c>
      <c r="V61" s="189">
        <v>0</v>
      </c>
      <c r="W61" s="189">
        <v>-6446371.4800000004</v>
      </c>
      <c r="X61" s="189">
        <v>0</v>
      </c>
      <c r="Y61" s="189">
        <v>20897326.5</v>
      </c>
      <c r="Z61" s="189">
        <v>0</v>
      </c>
      <c r="AA61" s="189">
        <v>-9467972.5199999996</v>
      </c>
      <c r="AB61" s="189">
        <v>0</v>
      </c>
      <c r="AC61" s="189">
        <v>8404178.8800000008</v>
      </c>
      <c r="AD61" s="189">
        <v>0</v>
      </c>
      <c r="AE61" s="189">
        <v>-4733512.74</v>
      </c>
      <c r="AF61" s="189">
        <v>0</v>
      </c>
      <c r="AG61" s="189">
        <v>-23867465.280000001</v>
      </c>
      <c r="AH61" s="189">
        <v>0</v>
      </c>
      <c r="AI61" s="189">
        <v>-9385368.1099999994</v>
      </c>
      <c r="AJ61" s="189">
        <v>0</v>
      </c>
      <c r="AK61" s="189">
        <v>-23803711.73</v>
      </c>
      <c r="AL61" s="189">
        <v>0</v>
      </c>
      <c r="AM61" s="189">
        <v>-3616782.8</v>
      </c>
      <c r="AN61" s="189">
        <v>0</v>
      </c>
      <c r="AO61" s="189">
        <v>-15549563.630000001</v>
      </c>
      <c r="AP61" s="189">
        <v>0</v>
      </c>
      <c r="AQ61" s="189">
        <v>-2542095.5699999998</v>
      </c>
      <c r="AR61" s="189">
        <v>0</v>
      </c>
      <c r="AS61" s="189">
        <v>-23070163.780000001</v>
      </c>
      <c r="AT61" s="189">
        <v>0</v>
      </c>
      <c r="AU61" s="189">
        <v>-1934395.77</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row>
    <row r="62" spans="1:67" x14ac:dyDescent="0.25">
      <c r="A62" s="189" t="s">
        <v>275</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-4480611.47</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1876295.55</v>
      </c>
      <c r="BC62" s="189">
        <v>0</v>
      </c>
      <c r="BD62" s="189">
        <v>0</v>
      </c>
      <c r="BE62" s="189">
        <v>0</v>
      </c>
      <c r="BF62" s="189">
        <v>0</v>
      </c>
      <c r="BG62" s="189">
        <v>0</v>
      </c>
      <c r="BH62" s="189">
        <v>0</v>
      </c>
      <c r="BI62" s="189">
        <v>0</v>
      </c>
      <c r="BJ62" s="189">
        <v>0</v>
      </c>
      <c r="BK62" s="189">
        <v>0</v>
      </c>
      <c r="BL62" s="189">
        <v>0</v>
      </c>
      <c r="BM62" s="189">
        <v>0</v>
      </c>
      <c r="BN62" s="189">
        <v>0</v>
      </c>
      <c r="BO62" s="189">
        <v>0</v>
      </c>
    </row>
    <row r="63" spans="1:67" x14ac:dyDescent="0.25">
      <c r="A63" s="189" t="s">
        <v>276</v>
      </c>
      <c r="B63" s="189">
        <v>0</v>
      </c>
      <c r="C63" s="189">
        <v>-2168261.08</v>
      </c>
      <c r="D63" s="189">
        <v>0</v>
      </c>
      <c r="E63" s="189">
        <v>-5007619.1100000003</v>
      </c>
      <c r="F63" s="189">
        <v>0</v>
      </c>
      <c r="G63" s="189">
        <v>878025.46</v>
      </c>
      <c r="H63" s="189">
        <v>0</v>
      </c>
      <c r="I63" s="189">
        <v>5607810.54</v>
      </c>
      <c r="J63" s="189">
        <v>0</v>
      </c>
      <c r="K63" s="189">
        <v>4844047.0599999996</v>
      </c>
      <c r="L63" s="189">
        <v>0</v>
      </c>
      <c r="M63" s="189">
        <v>-8495969.0899999999</v>
      </c>
      <c r="N63" s="189">
        <v>0</v>
      </c>
      <c r="O63" s="189">
        <v>-4962471.37</v>
      </c>
      <c r="P63" s="189">
        <v>0</v>
      </c>
      <c r="Q63" s="189">
        <v>-11582582.68</v>
      </c>
      <c r="R63" s="189">
        <v>0</v>
      </c>
      <c r="S63" s="189">
        <v>-6636143.6500000004</v>
      </c>
      <c r="T63" s="189">
        <v>0</v>
      </c>
      <c r="U63" s="189">
        <v>1957615.81</v>
      </c>
      <c r="V63" s="189">
        <v>0</v>
      </c>
      <c r="W63" s="189">
        <v>-1912337.16</v>
      </c>
      <c r="X63" s="189">
        <v>0</v>
      </c>
      <c r="Y63" s="189">
        <v>-11532651.91</v>
      </c>
      <c r="Z63" s="189">
        <v>0</v>
      </c>
      <c r="AA63" s="189">
        <v>-4424024.38</v>
      </c>
      <c r="AB63" s="189">
        <v>0</v>
      </c>
      <c r="AC63" s="189">
        <v>-11345861.84</v>
      </c>
      <c r="AD63" s="189">
        <v>0</v>
      </c>
      <c r="AE63" s="189">
        <v>-12242294.810000001</v>
      </c>
      <c r="AF63" s="189">
        <v>0</v>
      </c>
      <c r="AG63" s="189">
        <v>-5816658.1200000001</v>
      </c>
      <c r="AH63" s="189">
        <v>0</v>
      </c>
      <c r="AI63" s="189">
        <v>-956964.31</v>
      </c>
      <c r="AJ63" s="189">
        <v>0</v>
      </c>
      <c r="AK63" s="189">
        <v>2796879.8</v>
      </c>
      <c r="AL63" s="189">
        <v>0</v>
      </c>
      <c r="AM63" s="189">
        <v>-159749.53</v>
      </c>
      <c r="AN63" s="189">
        <v>0</v>
      </c>
      <c r="AO63" s="189">
        <v>-1199595.04</v>
      </c>
      <c r="AP63" s="189">
        <v>0</v>
      </c>
      <c r="AQ63" s="189">
        <v>6385380.04</v>
      </c>
      <c r="AR63" s="189">
        <v>0</v>
      </c>
      <c r="AS63" s="189">
        <v>-2486814.5699999998</v>
      </c>
      <c r="AT63" s="189">
        <v>0</v>
      </c>
      <c r="AU63" s="189">
        <v>1555916.58</v>
      </c>
      <c r="AV63" s="189">
        <v>0</v>
      </c>
      <c r="AW63" s="189">
        <v>3382790.16</v>
      </c>
      <c r="AX63" s="189">
        <v>3550292.62</v>
      </c>
      <c r="AY63" s="189">
        <v>3528200.82</v>
      </c>
      <c r="AZ63" s="189">
        <v>6872521.6399999997</v>
      </c>
      <c r="BA63" s="189">
        <v>-9786287.2599999998</v>
      </c>
      <c r="BB63" s="189">
        <v>-6530408.71</v>
      </c>
      <c r="BC63" s="189">
        <v>-2321548.09</v>
      </c>
      <c r="BD63" s="189">
        <v>-1427250.84</v>
      </c>
      <c r="BE63" s="189">
        <v>-5616103.7400000002</v>
      </c>
      <c r="BF63" s="189">
        <v>-3179588.62</v>
      </c>
      <c r="BG63" s="189">
        <v>-1138761.99</v>
      </c>
      <c r="BH63" s="189">
        <v>-1707685.78</v>
      </c>
      <c r="BI63" s="189">
        <v>1939698.08</v>
      </c>
      <c r="BJ63" s="189">
        <v>-547920.93000000005</v>
      </c>
      <c r="BK63" s="189">
        <v>203218.18</v>
      </c>
      <c r="BL63" s="189">
        <v>539459.97</v>
      </c>
      <c r="BM63" s="189">
        <v>-372589.89</v>
      </c>
      <c r="BN63" s="189">
        <v>0</v>
      </c>
      <c r="BO63" s="189">
        <v>0</v>
      </c>
    </row>
    <row r="64" spans="1:67" x14ac:dyDescent="0.25">
      <c r="A64" s="189" t="s">
        <v>277</v>
      </c>
      <c r="B64" s="189">
        <v>0</v>
      </c>
      <c r="C64" s="189">
        <v>-584480788.52999997</v>
      </c>
      <c r="D64" s="189">
        <v>0</v>
      </c>
      <c r="E64" s="189">
        <v>-109750244.28</v>
      </c>
      <c r="F64" s="189">
        <v>0</v>
      </c>
      <c r="G64" s="189">
        <v>-68008521.849999994</v>
      </c>
      <c r="H64" s="189">
        <v>0</v>
      </c>
      <c r="I64" s="189">
        <v>-207755979.16999999</v>
      </c>
      <c r="J64" s="189">
        <v>0</v>
      </c>
      <c r="K64" s="189">
        <v>-99382757.079999998</v>
      </c>
      <c r="L64" s="189">
        <v>0</v>
      </c>
      <c r="M64" s="189">
        <v>54301492.299999997</v>
      </c>
      <c r="N64" s="189">
        <v>0</v>
      </c>
      <c r="O64" s="189">
        <v>-76635063.730000004</v>
      </c>
      <c r="P64" s="189">
        <v>0</v>
      </c>
      <c r="Q64" s="189">
        <v>-135039411.00999999</v>
      </c>
      <c r="R64" s="189">
        <v>0</v>
      </c>
      <c r="S64" s="189">
        <v>-116151370.40000001</v>
      </c>
      <c r="T64" s="189">
        <v>0</v>
      </c>
      <c r="U64" s="189">
        <v>61992771.219999999</v>
      </c>
      <c r="V64" s="189">
        <v>0</v>
      </c>
      <c r="W64" s="189">
        <v>-125337228.27</v>
      </c>
      <c r="X64" s="189">
        <v>0</v>
      </c>
      <c r="Y64" s="189">
        <v>111482613.67</v>
      </c>
      <c r="Z64" s="189">
        <v>0</v>
      </c>
      <c r="AA64" s="189">
        <v>-39329049.399999999</v>
      </c>
      <c r="AB64" s="189">
        <v>0</v>
      </c>
      <c r="AC64" s="189">
        <v>159592370.37</v>
      </c>
      <c r="AD64" s="189">
        <v>0</v>
      </c>
      <c r="AE64" s="189">
        <v>-87989947.930000007</v>
      </c>
      <c r="AF64" s="189">
        <v>0</v>
      </c>
      <c r="AG64" s="189">
        <v>203908227.81999999</v>
      </c>
      <c r="AH64" s="189">
        <v>0</v>
      </c>
      <c r="AI64" s="189">
        <v>-30143997.510000002</v>
      </c>
      <c r="AJ64" s="189">
        <v>0</v>
      </c>
      <c r="AK64" s="189">
        <v>-71421777.829999998</v>
      </c>
      <c r="AL64" s="189">
        <v>0</v>
      </c>
      <c r="AM64" s="189">
        <v>-345932357.27999997</v>
      </c>
      <c r="AN64" s="189">
        <v>0</v>
      </c>
      <c r="AO64" s="189">
        <v>-316203952.04000002</v>
      </c>
      <c r="AP64" s="189">
        <v>0</v>
      </c>
      <c r="AQ64" s="189">
        <v>-396112271</v>
      </c>
      <c r="AR64" s="189">
        <v>0</v>
      </c>
      <c r="AS64" s="189">
        <v>168214118.49000001</v>
      </c>
      <c r="AT64" s="189">
        <v>0</v>
      </c>
      <c r="AU64" s="189">
        <v>-289323757.49000001</v>
      </c>
      <c r="AV64" s="189">
        <v>0</v>
      </c>
      <c r="AW64" s="189">
        <v>112867051.95</v>
      </c>
      <c r="AX64" s="189">
        <v>-299903106.5</v>
      </c>
      <c r="AY64" s="189">
        <v>-204527678.58000001</v>
      </c>
      <c r="AZ64" s="189">
        <v>-148953273.86000001</v>
      </c>
      <c r="BA64" s="189">
        <v>-339995554.41000003</v>
      </c>
      <c r="BB64" s="189">
        <v>-328548215.20999998</v>
      </c>
      <c r="BC64" s="189">
        <v>-320339681.79000002</v>
      </c>
      <c r="BD64" s="189">
        <v>-280473385.22000003</v>
      </c>
      <c r="BE64" s="189">
        <v>-255897148.96000001</v>
      </c>
      <c r="BF64" s="189">
        <v>-130612904.81999999</v>
      </c>
      <c r="BG64" s="189">
        <v>-144037096.87</v>
      </c>
      <c r="BH64" s="189">
        <v>-97809523.829999998</v>
      </c>
      <c r="BI64" s="189">
        <v>-164599588.34</v>
      </c>
      <c r="BJ64" s="189">
        <v>-118098138.61</v>
      </c>
      <c r="BK64" s="189">
        <v>-21938747.260000002</v>
      </c>
      <c r="BL64" s="189">
        <v>-63777084.869999997</v>
      </c>
      <c r="BM64" s="189">
        <v>-139240210.65000001</v>
      </c>
      <c r="BN64" s="189">
        <v>0</v>
      </c>
      <c r="BO64" s="189">
        <v>0</v>
      </c>
    </row>
    <row r="65" spans="1:67" x14ac:dyDescent="0.25">
      <c r="A65" s="189" t="s">
        <v>278</v>
      </c>
      <c r="B65" s="189">
        <v>0</v>
      </c>
      <c r="C65" s="189">
        <v>980084905.01999998</v>
      </c>
      <c r="D65" s="189">
        <v>0</v>
      </c>
      <c r="E65" s="189">
        <v>-40636661.219999999</v>
      </c>
      <c r="F65" s="189">
        <v>0</v>
      </c>
      <c r="G65" s="189">
        <v>602871969.92999995</v>
      </c>
      <c r="H65" s="189">
        <v>0</v>
      </c>
      <c r="I65" s="189">
        <v>188387145.31</v>
      </c>
      <c r="J65" s="189">
        <v>0</v>
      </c>
      <c r="K65" s="189">
        <v>145579073.88</v>
      </c>
      <c r="L65" s="189">
        <v>0</v>
      </c>
      <c r="M65" s="189">
        <v>-25715129.039999999</v>
      </c>
      <c r="N65" s="189">
        <v>0</v>
      </c>
      <c r="O65" s="189">
        <v>218644702.15000001</v>
      </c>
      <c r="P65" s="189">
        <v>0</v>
      </c>
      <c r="Q65" s="189">
        <v>194352388.13</v>
      </c>
      <c r="R65" s="189">
        <v>0</v>
      </c>
      <c r="S65" s="189">
        <v>53449152.159999996</v>
      </c>
      <c r="T65" s="189">
        <v>0</v>
      </c>
      <c r="U65" s="189">
        <v>204057538.87</v>
      </c>
      <c r="V65" s="189">
        <v>0</v>
      </c>
      <c r="W65" s="189">
        <v>165335861.97999999</v>
      </c>
      <c r="X65" s="189">
        <v>0</v>
      </c>
      <c r="Y65" s="189">
        <v>34043291.810000002</v>
      </c>
      <c r="Z65" s="189">
        <v>0</v>
      </c>
      <c r="AA65" s="189">
        <v>116211237.29000001</v>
      </c>
      <c r="AB65" s="189">
        <v>0</v>
      </c>
      <c r="AC65" s="189">
        <v>-310039981.91000003</v>
      </c>
      <c r="AD65" s="189">
        <v>0</v>
      </c>
      <c r="AE65" s="189">
        <v>-148910421.97</v>
      </c>
      <c r="AF65" s="189">
        <v>0</v>
      </c>
      <c r="AG65" s="189">
        <v>172139001.06999999</v>
      </c>
      <c r="AH65" s="189">
        <v>0</v>
      </c>
      <c r="AI65" s="189">
        <v>80257497.469999999</v>
      </c>
      <c r="AJ65" s="189">
        <v>0</v>
      </c>
      <c r="AK65" s="189">
        <v>35877491.5</v>
      </c>
      <c r="AL65" s="189">
        <v>0</v>
      </c>
      <c r="AM65" s="189">
        <v>216966324.43000001</v>
      </c>
      <c r="AN65" s="189">
        <v>0</v>
      </c>
      <c r="AO65" s="189">
        <v>227388945.24000001</v>
      </c>
      <c r="AP65" s="189">
        <v>0</v>
      </c>
      <c r="AQ65" s="189">
        <v>51106824.82</v>
      </c>
      <c r="AR65" s="189">
        <v>0</v>
      </c>
      <c r="AS65" s="189">
        <v>120948267.05</v>
      </c>
      <c r="AT65" s="189">
        <v>0</v>
      </c>
      <c r="AU65" s="189">
        <v>83291428.450000003</v>
      </c>
      <c r="AV65" s="189">
        <v>0</v>
      </c>
      <c r="AW65" s="189">
        <v>102996583.94</v>
      </c>
      <c r="AX65" s="189">
        <v>249459476.52000001</v>
      </c>
      <c r="AY65" s="189">
        <v>143124650.72</v>
      </c>
      <c r="AZ65" s="189">
        <v>99468231.980000004</v>
      </c>
      <c r="BA65" s="189">
        <v>56758336.740000002</v>
      </c>
      <c r="BB65" s="189">
        <v>258412137.24000001</v>
      </c>
      <c r="BC65" s="189">
        <v>130894262.38</v>
      </c>
      <c r="BD65" s="189">
        <v>170308916.68000001</v>
      </c>
      <c r="BE65" s="189">
        <v>110103862.09</v>
      </c>
      <c r="BF65" s="189">
        <v>18587140.059999999</v>
      </c>
      <c r="BG65" s="189">
        <v>73760397.700000003</v>
      </c>
      <c r="BH65" s="189">
        <v>96251548.629999995</v>
      </c>
      <c r="BI65" s="189">
        <v>178800951.06999999</v>
      </c>
      <c r="BJ65" s="189">
        <v>149526570.71000001</v>
      </c>
      <c r="BK65" s="189">
        <v>107142416.88</v>
      </c>
      <c r="BL65" s="189">
        <v>84490971.900000006</v>
      </c>
      <c r="BM65" s="189">
        <v>73154171.439999998</v>
      </c>
      <c r="BN65" s="189">
        <v>0</v>
      </c>
      <c r="BO65" s="189">
        <v>0</v>
      </c>
    </row>
    <row r="66" spans="1:67"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row>
    <row r="67" spans="1:67"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row>
    <row r="68" spans="1:67"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row>
    <row r="69" spans="1:67" x14ac:dyDescent="0.25">
      <c r="A69" s="189" t="s">
        <v>282</v>
      </c>
      <c r="B69" s="189">
        <v>0</v>
      </c>
      <c r="C69" s="189">
        <v>1725639371.98</v>
      </c>
      <c r="D69" s="189">
        <v>0</v>
      </c>
      <c r="E69" s="189">
        <v>2153068900.1399999</v>
      </c>
      <c r="F69" s="189">
        <v>0</v>
      </c>
      <c r="G69" s="189">
        <v>1607753054.48</v>
      </c>
      <c r="H69" s="189">
        <v>0</v>
      </c>
      <c r="I69" s="189">
        <v>1956099715.6600001</v>
      </c>
      <c r="J69" s="189">
        <v>0</v>
      </c>
      <c r="K69" s="189">
        <v>1003813192.8200001</v>
      </c>
      <c r="L69" s="189">
        <v>0</v>
      </c>
      <c r="M69" s="189">
        <v>1739112381.8800001</v>
      </c>
      <c r="N69" s="189">
        <v>0</v>
      </c>
      <c r="O69" s="189">
        <v>1064719807.89</v>
      </c>
      <c r="P69" s="189">
        <v>0</v>
      </c>
      <c r="Q69" s="189">
        <v>1823799354.1500001</v>
      </c>
      <c r="R69" s="189">
        <v>0</v>
      </c>
      <c r="S69" s="189">
        <v>827492221.07000005</v>
      </c>
      <c r="T69" s="189">
        <v>0</v>
      </c>
      <c r="U69" s="189">
        <v>1965968927.28</v>
      </c>
      <c r="V69" s="189">
        <v>0</v>
      </c>
      <c r="W69" s="189">
        <v>895776602.70000005</v>
      </c>
      <c r="X69" s="189">
        <v>0</v>
      </c>
      <c r="Y69" s="189">
        <v>1796659660.9200001</v>
      </c>
      <c r="Z69" s="189">
        <v>0</v>
      </c>
      <c r="AA69" s="189">
        <v>878603093.71000004</v>
      </c>
      <c r="AB69" s="189">
        <v>0</v>
      </c>
      <c r="AC69" s="189">
        <v>1310123346.8800001</v>
      </c>
      <c r="AD69" s="189">
        <v>0</v>
      </c>
      <c r="AE69" s="189">
        <v>452665299.04000002</v>
      </c>
      <c r="AF69" s="189">
        <v>0</v>
      </c>
      <c r="AG69" s="189">
        <v>1646454332.71</v>
      </c>
      <c r="AH69" s="189">
        <v>0</v>
      </c>
      <c r="AI69" s="189">
        <v>674812182.05999994</v>
      </c>
      <c r="AJ69" s="189">
        <v>0</v>
      </c>
      <c r="AK69" s="189">
        <v>1155240866.8299999</v>
      </c>
      <c r="AL69" s="189">
        <v>0</v>
      </c>
      <c r="AM69" s="189">
        <v>471014601.11000001</v>
      </c>
      <c r="AN69" s="189">
        <v>0</v>
      </c>
      <c r="AO69" s="189">
        <v>996375080.46000004</v>
      </c>
      <c r="AP69" s="189">
        <v>0</v>
      </c>
      <c r="AQ69" s="189">
        <v>227605028.86000001</v>
      </c>
      <c r="AR69" s="189">
        <v>0</v>
      </c>
      <c r="AS69" s="189">
        <v>1143664416.49</v>
      </c>
      <c r="AT69" s="189">
        <v>0</v>
      </c>
      <c r="AU69" s="189">
        <v>244059635.19999999</v>
      </c>
      <c r="AV69" s="189">
        <v>0</v>
      </c>
      <c r="AW69" s="189">
        <v>1041718763.71</v>
      </c>
      <c r="AX69" s="189">
        <v>606963883.08000004</v>
      </c>
      <c r="AY69" s="189">
        <v>360662052.42000002</v>
      </c>
      <c r="AZ69" s="189">
        <v>176842749.96000001</v>
      </c>
      <c r="BA69" s="189">
        <v>465104333.38</v>
      </c>
      <c r="BB69" s="189">
        <v>461333359.82999998</v>
      </c>
      <c r="BC69" s="189">
        <v>182709932.55000001</v>
      </c>
      <c r="BD69" s="189">
        <v>81641987.799999997</v>
      </c>
      <c r="BE69" s="189">
        <v>291479375.66000003</v>
      </c>
      <c r="BF69" s="189">
        <v>275925669.52999997</v>
      </c>
      <c r="BG69" s="189">
        <v>198410515.18000001</v>
      </c>
      <c r="BH69" s="189">
        <v>142955995.03999999</v>
      </c>
      <c r="BI69" s="189">
        <v>381992837.72000003</v>
      </c>
      <c r="BJ69" s="189">
        <v>276182380.85000002</v>
      </c>
      <c r="BK69" s="189">
        <v>210184480.28</v>
      </c>
      <c r="BL69" s="189">
        <v>113662704.92</v>
      </c>
      <c r="BM69" s="189">
        <v>284358823.68000001</v>
      </c>
      <c r="BN69" s="189">
        <v>0</v>
      </c>
      <c r="BO69" s="189">
        <v>0</v>
      </c>
    </row>
    <row r="70" spans="1:67"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row>
    <row r="71" spans="1:67"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row>
    <row r="72" spans="1:67"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row>
    <row r="73" spans="1:67" x14ac:dyDescent="0.25">
      <c r="A73" s="189" t="s">
        <v>286</v>
      </c>
      <c r="B73" s="189">
        <v>0</v>
      </c>
      <c r="C73" s="189">
        <v>3001789175.5100002</v>
      </c>
      <c r="D73" s="189">
        <v>0</v>
      </c>
      <c r="E73" s="189">
        <v>2807706501.4000001</v>
      </c>
      <c r="F73" s="189">
        <v>0</v>
      </c>
      <c r="G73" s="189">
        <v>1316719993.9300001</v>
      </c>
      <c r="H73" s="189">
        <v>0</v>
      </c>
      <c r="I73" s="189">
        <v>959091731.96000004</v>
      </c>
      <c r="J73" s="189">
        <v>0</v>
      </c>
      <c r="K73" s="189">
        <v>3052393929.96</v>
      </c>
      <c r="L73" s="189">
        <v>0</v>
      </c>
      <c r="M73" s="189">
        <v>1303258420.55</v>
      </c>
      <c r="N73" s="189">
        <v>0</v>
      </c>
      <c r="O73" s="189">
        <v>2202723005.6999998</v>
      </c>
      <c r="P73" s="189">
        <v>0</v>
      </c>
      <c r="Q73" s="189">
        <v>3058941799.9200001</v>
      </c>
      <c r="R73" s="189">
        <v>0</v>
      </c>
      <c r="S73" s="189">
        <v>2508602869.4899998</v>
      </c>
      <c r="T73" s="189">
        <v>0</v>
      </c>
      <c r="U73" s="189">
        <v>1707230536.6099999</v>
      </c>
      <c r="V73" s="189">
        <v>0</v>
      </c>
      <c r="W73" s="189">
        <v>1791907633.49</v>
      </c>
      <c r="X73" s="189">
        <v>0</v>
      </c>
      <c r="Y73" s="189">
        <v>1149290628.98</v>
      </c>
      <c r="Z73" s="189">
        <v>0</v>
      </c>
      <c r="AA73" s="189">
        <v>1136240461.53</v>
      </c>
      <c r="AB73" s="189">
        <v>0</v>
      </c>
      <c r="AC73" s="189">
        <v>828406546.82000005</v>
      </c>
      <c r="AD73" s="189">
        <v>0</v>
      </c>
      <c r="AE73" s="189">
        <v>1119625781.8599999</v>
      </c>
      <c r="AF73" s="189">
        <v>782460607.22000003</v>
      </c>
      <c r="AG73" s="189">
        <v>918820617.20000005</v>
      </c>
      <c r="AH73" s="189">
        <v>966764613.48000002</v>
      </c>
      <c r="AI73" s="189">
        <v>748395614.03999996</v>
      </c>
      <c r="AJ73" s="189">
        <v>1353080287.71</v>
      </c>
      <c r="AK73" s="189">
        <v>1157096238.6500001</v>
      </c>
      <c r="AL73" s="189">
        <v>795704976.13999999</v>
      </c>
      <c r="AM73" s="189">
        <v>987589575.78999996</v>
      </c>
      <c r="AN73" s="189">
        <v>678418073.44000006</v>
      </c>
      <c r="AO73" s="189">
        <v>560744939.38999999</v>
      </c>
      <c r="AP73" s="189">
        <v>634816597.60000002</v>
      </c>
      <c r="AQ73" s="189">
        <v>584527936.80999994</v>
      </c>
      <c r="AR73" s="189">
        <v>417065471.07999998</v>
      </c>
      <c r="AS73" s="189">
        <v>555649909.46000004</v>
      </c>
      <c r="AT73" s="189">
        <v>524216565.25999999</v>
      </c>
      <c r="AU73" s="189">
        <v>428620450.08999997</v>
      </c>
      <c r="AV73" s="189">
        <v>518130770.51999998</v>
      </c>
      <c r="AW73" s="189">
        <v>483154127.57999998</v>
      </c>
      <c r="AX73" s="189">
        <v>484368658.55000001</v>
      </c>
      <c r="AY73" s="189">
        <v>417219445.72000003</v>
      </c>
      <c r="AZ73" s="189">
        <v>509947858.29000002</v>
      </c>
      <c r="BA73" s="189">
        <v>375604503.80000001</v>
      </c>
      <c r="BB73" s="189">
        <v>593098637.54999995</v>
      </c>
      <c r="BC73" s="189">
        <v>500049319.87</v>
      </c>
      <c r="BD73" s="189">
        <v>1049840141.4</v>
      </c>
      <c r="BE73" s="189">
        <v>1018152193.03</v>
      </c>
      <c r="BF73" s="189">
        <v>1062764938.53</v>
      </c>
      <c r="BG73" s="189">
        <v>1113305564.6700001</v>
      </c>
      <c r="BH73" s="189">
        <v>1087652828.8099999</v>
      </c>
      <c r="BI73" s="189">
        <v>945968565.73000002</v>
      </c>
      <c r="BJ73" s="189">
        <v>848089280.00999999</v>
      </c>
      <c r="BK73" s="189">
        <v>787846550.34000003</v>
      </c>
      <c r="BL73" s="189">
        <v>1046575927.8200001</v>
      </c>
      <c r="BM73" s="189">
        <v>931355605.50999999</v>
      </c>
      <c r="BN73" s="189">
        <v>0</v>
      </c>
      <c r="BO73" s="189">
        <v>0</v>
      </c>
    </row>
    <row r="74" spans="1:67" x14ac:dyDescent="0.25">
      <c r="A74" s="189" t="s">
        <v>287</v>
      </c>
      <c r="B74" s="189">
        <v>0</v>
      </c>
      <c r="C74" s="189">
        <v>2807706501.4000001</v>
      </c>
      <c r="D74" s="189">
        <v>0</v>
      </c>
      <c r="E74" s="189">
        <v>959091731.96000004</v>
      </c>
      <c r="F74" s="189">
        <v>0</v>
      </c>
      <c r="G74" s="189">
        <v>990161741.46000004</v>
      </c>
      <c r="H74" s="189">
        <v>0</v>
      </c>
      <c r="I74" s="189">
        <v>1312956326.5699999</v>
      </c>
      <c r="J74" s="189">
        <v>0</v>
      </c>
      <c r="K74" s="189">
        <v>1303258420.55</v>
      </c>
      <c r="L74" s="189">
        <v>0</v>
      </c>
      <c r="M74" s="189">
        <v>3058941799.9200001</v>
      </c>
      <c r="N74" s="189">
        <v>0</v>
      </c>
      <c r="O74" s="189">
        <v>3058941799.9200001</v>
      </c>
      <c r="P74" s="189">
        <v>0</v>
      </c>
      <c r="Q74" s="189">
        <v>1707230536.6099999</v>
      </c>
      <c r="R74" s="189">
        <v>0</v>
      </c>
      <c r="S74" s="189">
        <v>1707230536.6099999</v>
      </c>
      <c r="T74" s="189">
        <v>0</v>
      </c>
      <c r="U74" s="189">
        <v>1149290628.98</v>
      </c>
      <c r="V74" s="189">
        <v>0</v>
      </c>
      <c r="W74" s="189">
        <v>1149290628.98</v>
      </c>
      <c r="X74" s="189">
        <v>0</v>
      </c>
      <c r="Y74" s="189">
        <v>828406546.82000005</v>
      </c>
      <c r="Z74" s="189">
        <v>0</v>
      </c>
      <c r="AA74" s="189">
        <v>828406546.82000005</v>
      </c>
      <c r="AB74" s="189">
        <v>0</v>
      </c>
      <c r="AC74" s="189">
        <v>918820617.20000005</v>
      </c>
      <c r="AD74" s="189">
        <v>0</v>
      </c>
      <c r="AE74" s="189">
        <v>918820617.20000005</v>
      </c>
      <c r="AF74" s="189">
        <v>942371175.47000003</v>
      </c>
      <c r="AG74" s="189">
        <v>1157096238.6500001</v>
      </c>
      <c r="AH74" s="189">
        <v>1157096238.6500001</v>
      </c>
      <c r="AI74" s="189">
        <v>1157096238.6500001</v>
      </c>
      <c r="AJ74" s="189">
        <v>1157096238.6500001</v>
      </c>
      <c r="AK74" s="189">
        <v>560744939.38999999</v>
      </c>
      <c r="AL74" s="189">
        <v>560744939.38999999</v>
      </c>
      <c r="AM74" s="189">
        <v>560744939.38999999</v>
      </c>
      <c r="AN74" s="189">
        <v>560744939.38999999</v>
      </c>
      <c r="AO74" s="189">
        <v>555649909.46000004</v>
      </c>
      <c r="AP74" s="189">
        <v>555649909.46000004</v>
      </c>
      <c r="AQ74" s="189">
        <v>555649909.46000004</v>
      </c>
      <c r="AR74" s="189">
        <v>555649909.46000004</v>
      </c>
      <c r="AS74" s="189">
        <v>483154127.57999998</v>
      </c>
      <c r="AT74" s="189">
        <v>483154127.57999998</v>
      </c>
      <c r="AU74" s="189">
        <v>483154127.57999998</v>
      </c>
      <c r="AV74" s="189">
        <v>483154127.57999998</v>
      </c>
      <c r="AW74" s="189">
        <v>375604503.80000001</v>
      </c>
      <c r="AX74" s="189">
        <v>375604503.80000001</v>
      </c>
      <c r="AY74" s="189">
        <v>375604503.80000001</v>
      </c>
      <c r="AZ74" s="189">
        <v>375604503.80000001</v>
      </c>
      <c r="BA74" s="189">
        <v>1018152193.03</v>
      </c>
      <c r="BB74" s="189">
        <v>1018152193.03</v>
      </c>
      <c r="BC74" s="189">
        <v>1018152193.03</v>
      </c>
      <c r="BD74" s="189">
        <v>1018152193.03</v>
      </c>
      <c r="BE74" s="189">
        <v>945968565.73000002</v>
      </c>
      <c r="BF74" s="189">
        <v>945968565.73000002</v>
      </c>
      <c r="BG74" s="189">
        <v>945968565.73000002</v>
      </c>
      <c r="BH74" s="189">
        <v>945968565.73000002</v>
      </c>
      <c r="BI74" s="189">
        <v>931355605.50999999</v>
      </c>
      <c r="BJ74" s="189">
        <v>931355605.50999999</v>
      </c>
      <c r="BK74" s="189">
        <v>931355605.50999999</v>
      </c>
      <c r="BL74" s="189">
        <v>931355605.50999999</v>
      </c>
      <c r="BM74" s="189">
        <v>820603768.09000003</v>
      </c>
      <c r="BN74" s="189">
        <v>0</v>
      </c>
      <c r="BO74" s="189">
        <v>0</v>
      </c>
    </row>
    <row r="75" spans="1:67"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10000000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row>
    <row r="76" spans="1:67"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10000000</v>
      </c>
      <c r="Z76" s="189">
        <v>0</v>
      </c>
      <c r="AA76" s="189">
        <v>10000000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row>
    <row r="77" spans="1:67" x14ac:dyDescent="0.25">
      <c r="A77" s="189" t="s">
        <v>290</v>
      </c>
      <c r="B77" s="189">
        <v>0</v>
      </c>
      <c r="C77" s="189">
        <v>194082674.11000001</v>
      </c>
      <c r="D77" s="189">
        <v>0</v>
      </c>
      <c r="E77" s="189">
        <v>1848614769.4400001</v>
      </c>
      <c r="F77" s="189">
        <v>0</v>
      </c>
      <c r="G77" s="189">
        <v>326558252.47000003</v>
      </c>
      <c r="H77" s="189">
        <v>0</v>
      </c>
      <c r="I77" s="189">
        <v>-353864594.61000001</v>
      </c>
      <c r="J77" s="189">
        <v>0</v>
      </c>
      <c r="K77" s="189">
        <v>1749135509.4100001</v>
      </c>
      <c r="L77" s="189">
        <v>0</v>
      </c>
      <c r="M77" s="189">
        <v>-1755683379.3699999</v>
      </c>
      <c r="N77" s="189">
        <v>0</v>
      </c>
      <c r="O77" s="189">
        <v>-856218794.22000003</v>
      </c>
      <c r="P77" s="189">
        <v>0</v>
      </c>
      <c r="Q77" s="189">
        <v>1351711263.3099999</v>
      </c>
      <c r="R77" s="189">
        <v>0</v>
      </c>
      <c r="S77" s="189">
        <v>801372332.88</v>
      </c>
      <c r="T77" s="189">
        <v>0</v>
      </c>
      <c r="U77" s="189">
        <v>557939907.63</v>
      </c>
      <c r="V77" s="189">
        <v>0</v>
      </c>
      <c r="W77" s="189">
        <v>642617004.50999999</v>
      </c>
      <c r="X77" s="189">
        <v>0</v>
      </c>
      <c r="Y77" s="189">
        <v>310884082.16000003</v>
      </c>
      <c r="Z77" s="189">
        <v>0</v>
      </c>
      <c r="AA77" s="189">
        <v>297833914.70999998</v>
      </c>
      <c r="AB77" s="189">
        <v>0</v>
      </c>
      <c r="AC77" s="189">
        <v>-80414070.379999995</v>
      </c>
      <c r="AD77" s="189">
        <v>0</v>
      </c>
      <c r="AE77" s="189">
        <v>200805164.66</v>
      </c>
      <c r="AF77" s="189">
        <v>-159910568.25</v>
      </c>
      <c r="AG77" s="189">
        <v>-238275621.44999999</v>
      </c>
      <c r="AH77" s="189">
        <v>-190331625.16999999</v>
      </c>
      <c r="AI77" s="189">
        <v>-408700624.61000001</v>
      </c>
      <c r="AJ77" s="189">
        <v>195984049.06</v>
      </c>
      <c r="AK77" s="189">
        <v>596351299.25999999</v>
      </c>
      <c r="AL77" s="189">
        <v>234960036.75</v>
      </c>
      <c r="AM77" s="189">
        <v>426844636.39999998</v>
      </c>
      <c r="AN77" s="189">
        <v>117673134.05</v>
      </c>
      <c r="AO77" s="189">
        <v>5095029.93</v>
      </c>
      <c r="AP77" s="189">
        <v>79166688.140000001</v>
      </c>
      <c r="AQ77" s="189">
        <v>28878027.350000001</v>
      </c>
      <c r="AR77" s="189">
        <v>-138584438.38</v>
      </c>
      <c r="AS77" s="189">
        <v>72495781.879999995</v>
      </c>
      <c r="AT77" s="189">
        <v>41062437.68</v>
      </c>
      <c r="AU77" s="189">
        <v>-54533677.490000002</v>
      </c>
      <c r="AV77" s="189">
        <v>34976642.939999998</v>
      </c>
      <c r="AW77" s="189">
        <v>107549623.78</v>
      </c>
      <c r="AX77" s="189">
        <v>108764154.75</v>
      </c>
      <c r="AY77" s="189">
        <v>41614941.920000002</v>
      </c>
      <c r="AZ77" s="189">
        <v>134343354.49000001</v>
      </c>
      <c r="BA77" s="189">
        <v>-642547689.23000002</v>
      </c>
      <c r="BB77" s="189">
        <v>-425053555.48000002</v>
      </c>
      <c r="BC77" s="189">
        <v>-518102873.16000003</v>
      </c>
      <c r="BD77" s="189">
        <v>31687948.370000001</v>
      </c>
      <c r="BE77" s="189">
        <v>72183627.299999997</v>
      </c>
      <c r="BF77" s="189">
        <v>116796372.8</v>
      </c>
      <c r="BG77" s="189">
        <v>167336998.94</v>
      </c>
      <c r="BH77" s="189">
        <v>141684263.08000001</v>
      </c>
      <c r="BI77" s="189">
        <v>14612960.220000001</v>
      </c>
      <c r="BJ77" s="189">
        <v>-83266325.5</v>
      </c>
      <c r="BK77" s="189">
        <v>-143509055.16999999</v>
      </c>
      <c r="BL77" s="189">
        <v>115220322.31</v>
      </c>
      <c r="BM77" s="189">
        <v>110751837.42</v>
      </c>
      <c r="BN77" s="189">
        <v>0</v>
      </c>
      <c r="BO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6" width="21.44140625" hidden="1" customWidth="1"/>
    <col min="7" max="7" width="20.44140625" hidden="1" customWidth="1"/>
    <col min="8" max="8" width="21.44140625" hidden="1" customWidth="1"/>
    <col min="9" max="9" width="21.44140625" bestFit="1" customWidth="1"/>
    <col min="10" max="12" width="21.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6" width="20.441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0.44140625" hidden="1" customWidth="1"/>
    <col min="49" max="49" width="21.44140625" bestFit="1" customWidth="1"/>
    <col min="50" max="52" width="21.44140625" hidden="1" customWidth="1"/>
    <col min="53" max="53" width="21.44140625" bestFit="1" customWidth="1"/>
    <col min="54" max="55" width="21.441406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7" width="19.33203125" bestFit="1" customWidth="1"/>
    <col min="68" max="68" width="9.5546875" hidden="1" customWidth="1"/>
    <col min="6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12000000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x14ac:dyDescent="0.25">
      <c r="A8" s="17" t="s">
        <v>5</v>
      </c>
      <c r="B8" s="189">
        <v>0</v>
      </c>
      <c r="C8" s="189">
        <v>157678326.59999999</v>
      </c>
      <c r="D8" s="189">
        <v>175772560.80000001</v>
      </c>
      <c r="E8" s="189">
        <v>174480115.5</v>
      </c>
      <c r="F8" s="189">
        <v>174480115.5</v>
      </c>
      <c r="G8" s="189">
        <v>174480115.5</v>
      </c>
      <c r="H8" s="189">
        <v>177065006.09999999</v>
      </c>
      <c r="I8" s="189">
        <v>168448704.09999999</v>
      </c>
      <c r="J8" s="189">
        <v>163278922.90000001</v>
      </c>
      <c r="K8" s="189">
        <v>161986477.59999999</v>
      </c>
      <c r="L8" s="189">
        <v>161555662.5</v>
      </c>
      <c r="M8" s="189">
        <v>182665602.40000001</v>
      </c>
      <c r="N8" s="189">
        <v>167156258.80000001</v>
      </c>
      <c r="O8" s="189">
        <v>230916893.59999999</v>
      </c>
      <c r="P8" s="189">
        <v>203775542.30000001</v>
      </c>
      <c r="Q8" s="189">
        <v>210237768.80000001</v>
      </c>
      <c r="R8" s="189">
        <v>119335782.7</v>
      </c>
      <c r="S8" s="189">
        <v>109427035.40000001</v>
      </c>
      <c r="T8" s="189">
        <v>106988901.28</v>
      </c>
      <c r="U8" s="189">
        <v>114754224.76000001</v>
      </c>
      <c r="V8" s="189">
        <v>125400000</v>
      </c>
      <c r="W8" s="189">
        <v>127160000</v>
      </c>
      <c r="X8" s="189">
        <v>141680000</v>
      </c>
      <c r="Y8" s="189">
        <v>134200000</v>
      </c>
      <c r="Z8" s="189">
        <v>117040000</v>
      </c>
      <c r="AA8" s="189">
        <v>124960000</v>
      </c>
      <c r="AB8" s="189">
        <v>125400000</v>
      </c>
      <c r="AC8" s="189">
        <v>126720000</v>
      </c>
      <c r="AD8" s="189">
        <v>129800000</v>
      </c>
      <c r="AE8" s="189">
        <v>147400000</v>
      </c>
      <c r="AF8" s="189">
        <v>168520000</v>
      </c>
      <c r="AG8" s="189">
        <v>174240000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x14ac:dyDescent="0.25">
      <c r="A9" s="17" t="s">
        <v>6</v>
      </c>
      <c r="B9" s="189">
        <v>168448704.09999999</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41361846.020000003</v>
      </c>
      <c r="AV10" s="189">
        <v>41940824.740000002</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x14ac:dyDescent="0.25">
      <c r="A13" s="17" t="s">
        <v>10</v>
      </c>
      <c r="B13" s="189">
        <v>375680</v>
      </c>
      <c r="C13" s="189">
        <v>478569.18</v>
      </c>
      <c r="D13" s="189">
        <v>1519871.17</v>
      </c>
      <c r="E13" s="189">
        <v>0</v>
      </c>
      <c r="F13" s="189">
        <v>1286525.3600000001</v>
      </c>
      <c r="G13" s="189">
        <v>2689142.78</v>
      </c>
      <c r="H13" s="189">
        <v>1216365.8899999999</v>
      </c>
      <c r="I13" s="189">
        <v>0</v>
      </c>
      <c r="J13" s="189">
        <v>9218562.4900000002</v>
      </c>
      <c r="K13" s="189">
        <v>6345715</v>
      </c>
      <c r="L13" s="189">
        <v>1315460</v>
      </c>
      <c r="M13" s="189">
        <v>9574593.3800000008</v>
      </c>
      <c r="N13" s="189">
        <v>4686000</v>
      </c>
      <c r="O13" s="189">
        <v>2470500</v>
      </c>
      <c r="P13" s="189">
        <v>15182709.09</v>
      </c>
      <c r="Q13" s="189">
        <v>14857968.84</v>
      </c>
      <c r="R13" s="189">
        <v>0</v>
      </c>
      <c r="S13" s="189">
        <v>0</v>
      </c>
      <c r="T13" s="189">
        <v>0</v>
      </c>
      <c r="U13" s="189">
        <v>512467.18</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3650362048.3699999</v>
      </c>
      <c r="C17" s="33">
        <f t="shared" ref="C17:BN17" si="0">SUM(C4:C13)</f>
        <v>3189196984.5899997</v>
      </c>
      <c r="D17" s="33">
        <f t="shared" si="0"/>
        <v>2983379666.0000005</v>
      </c>
      <c r="E17" s="33">
        <f t="shared" si="0"/>
        <v>3011437530.1999998</v>
      </c>
      <c r="F17" s="33">
        <f t="shared" si="0"/>
        <v>1180652859.0199997</v>
      </c>
      <c r="G17" s="33">
        <f t="shared" si="0"/>
        <v>1493889252.21</v>
      </c>
      <c r="H17" s="33">
        <f t="shared" si="0"/>
        <v>813929129.69000006</v>
      </c>
      <c r="I17" s="33">
        <f t="shared" si="0"/>
        <v>1170610445.5599999</v>
      </c>
      <c r="J17" s="33">
        <f t="shared" si="0"/>
        <v>2605949119.7399998</v>
      </c>
      <c r="K17" s="33">
        <f t="shared" si="0"/>
        <v>3244056293.1599998</v>
      </c>
      <c r="L17" s="33">
        <f t="shared" si="0"/>
        <v>2884980245.04</v>
      </c>
      <c r="M17" s="33">
        <f t="shared" si="0"/>
        <v>1528127586.9300003</v>
      </c>
      <c r="N17" s="33">
        <f t="shared" si="0"/>
        <v>1944821223.79</v>
      </c>
      <c r="O17" s="33">
        <f t="shared" si="0"/>
        <v>2509907999.2999997</v>
      </c>
      <c r="P17" s="33">
        <f t="shared" si="0"/>
        <v>3565980717.3600001</v>
      </c>
      <c r="Q17" s="33">
        <f t="shared" si="0"/>
        <v>3357835137.5600004</v>
      </c>
      <c r="R17" s="33">
        <f t="shared" si="0"/>
        <v>2544307916.3599997</v>
      </c>
      <c r="S17" s="33">
        <f t="shared" si="0"/>
        <v>2650928704.8899999</v>
      </c>
      <c r="T17" s="33">
        <f t="shared" si="0"/>
        <v>1944355391.6099999</v>
      </c>
      <c r="U17" s="33">
        <f t="shared" si="0"/>
        <v>1855396028.55</v>
      </c>
      <c r="V17" s="33">
        <f t="shared" si="0"/>
        <v>1339938790.28</v>
      </c>
      <c r="W17" s="33">
        <f t="shared" si="0"/>
        <v>1919067633.49</v>
      </c>
      <c r="X17" s="33">
        <f t="shared" si="0"/>
        <v>1323925160.4300001</v>
      </c>
      <c r="Y17" s="33">
        <f t="shared" si="0"/>
        <v>1297891950.8099999</v>
      </c>
      <c r="Z17" s="33">
        <f t="shared" si="0"/>
        <v>955099867.87</v>
      </c>
      <c r="AA17" s="33">
        <f t="shared" si="0"/>
        <v>1285801049.8</v>
      </c>
      <c r="AB17" s="33">
        <f t="shared" si="0"/>
        <v>736981925.47000003</v>
      </c>
      <c r="AC17" s="33">
        <f t="shared" si="0"/>
        <v>990977105.09000003</v>
      </c>
      <c r="AD17" s="33">
        <f t="shared" si="0"/>
        <v>2127294429.4100001</v>
      </c>
      <c r="AE17" s="33">
        <f t="shared" si="0"/>
        <v>1269011644.8699999</v>
      </c>
      <c r="AF17" s="33">
        <f t="shared" si="0"/>
        <v>950980607.22000003</v>
      </c>
      <c r="AG17" s="33">
        <f t="shared" si="0"/>
        <v>1116611175.47</v>
      </c>
      <c r="AH17" s="33">
        <f t="shared" si="0"/>
        <v>966764613.48000002</v>
      </c>
      <c r="AI17" s="33">
        <f t="shared" si="0"/>
        <v>748395614.03999996</v>
      </c>
      <c r="AJ17" s="33">
        <f t="shared" si="0"/>
        <v>1353080287.71</v>
      </c>
      <c r="AK17" s="33">
        <f t="shared" si="0"/>
        <v>1157096238.6500001</v>
      </c>
      <c r="AL17" s="33">
        <f t="shared" si="0"/>
        <v>795704976.13999999</v>
      </c>
      <c r="AM17" s="33">
        <f t="shared" si="0"/>
        <v>987589575.78999996</v>
      </c>
      <c r="AN17" s="33">
        <f t="shared" si="0"/>
        <v>678418073.44000006</v>
      </c>
      <c r="AO17" s="33">
        <f t="shared" si="0"/>
        <v>560744939.38999999</v>
      </c>
      <c r="AP17" s="33">
        <f t="shared" si="0"/>
        <v>634816597.60000002</v>
      </c>
      <c r="AQ17" s="33">
        <f t="shared" si="0"/>
        <v>584527936.80999994</v>
      </c>
      <c r="AR17" s="33">
        <f t="shared" si="0"/>
        <v>417065471.07999998</v>
      </c>
      <c r="AS17" s="33">
        <f t="shared" si="0"/>
        <v>555649909.46000004</v>
      </c>
      <c r="AT17" s="33">
        <f t="shared" si="0"/>
        <v>524216565.25999999</v>
      </c>
      <c r="AU17" s="33">
        <f t="shared" si="0"/>
        <v>469982296.10999995</v>
      </c>
      <c r="AV17" s="33">
        <f t="shared" si="0"/>
        <v>560071595.25999999</v>
      </c>
      <c r="AW17" s="33">
        <f t="shared" si="0"/>
        <v>483154127.57999998</v>
      </c>
      <c r="AX17" s="33">
        <f t="shared" si="0"/>
        <v>484368658.55000001</v>
      </c>
      <c r="AY17" s="33">
        <f t="shared" si="0"/>
        <v>417219445.72000003</v>
      </c>
      <c r="AZ17" s="33">
        <f t="shared" si="0"/>
        <v>509947858.29000002</v>
      </c>
      <c r="BA17" s="33">
        <f t="shared" si="0"/>
        <v>375604503.80000001</v>
      </c>
      <c r="BB17" s="33">
        <f t="shared" si="0"/>
        <v>593098637.54999995</v>
      </c>
      <c r="BC17" s="33">
        <f t="shared" si="0"/>
        <v>500049319.87</v>
      </c>
      <c r="BD17" s="33">
        <f t="shared" si="0"/>
        <v>1049840141.4</v>
      </c>
      <c r="BE17" s="33">
        <f t="shared" si="0"/>
        <v>1018152193.03</v>
      </c>
      <c r="BF17" s="33">
        <f t="shared" si="0"/>
        <v>1064764938.53</v>
      </c>
      <c r="BG17" s="33">
        <f t="shared" si="0"/>
        <v>1114295564.6700001</v>
      </c>
      <c r="BH17" s="33">
        <f t="shared" si="0"/>
        <v>1088642828.8099999</v>
      </c>
      <c r="BI17" s="33">
        <f t="shared" si="0"/>
        <v>947158565.73000002</v>
      </c>
      <c r="BJ17" s="33">
        <f t="shared" si="0"/>
        <v>863301615.00999999</v>
      </c>
      <c r="BK17" s="33">
        <f t="shared" si="0"/>
        <v>797269155.94000006</v>
      </c>
      <c r="BL17" s="33">
        <f t="shared" si="0"/>
        <v>1049445262.8200001</v>
      </c>
      <c r="BM17" s="33">
        <f t="shared" si="0"/>
        <v>934224940.50999999</v>
      </c>
      <c r="BN17" s="33">
        <f t="shared" si="0"/>
        <v>823708768.09000003</v>
      </c>
      <c r="BO17" s="33">
        <f t="shared" ref="BO17:CK17" si="1">SUM(BO4:BO13)</f>
        <v>390586106.44</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9">
        <v>227520976.59</v>
      </c>
      <c r="C19" s="189">
        <v>217148977.66999999</v>
      </c>
      <c r="D19" s="189">
        <v>208148048.09</v>
      </c>
      <c r="E19" s="189">
        <v>199363756.19</v>
      </c>
      <c r="F19" s="189">
        <v>182388942.75999999</v>
      </c>
      <c r="G19" s="189">
        <v>135981855.31</v>
      </c>
      <c r="H19" s="189">
        <v>126030121.05</v>
      </c>
      <c r="I19" s="189">
        <v>117159760.76000001</v>
      </c>
      <c r="J19" s="189">
        <v>105806328.04000001</v>
      </c>
      <c r="K19" s="189">
        <v>113224597.06</v>
      </c>
      <c r="L19" s="189">
        <v>101700344.11</v>
      </c>
      <c r="M19" s="189">
        <v>100618863.61</v>
      </c>
      <c r="N19" s="189">
        <v>92431767.959999993</v>
      </c>
      <c r="O19" s="189">
        <v>91776405.010000005</v>
      </c>
      <c r="P19" s="189">
        <v>90424122.680000007</v>
      </c>
      <c r="Q19" s="189">
        <v>90686742.560000002</v>
      </c>
      <c r="R19" s="189">
        <v>89927265.230000004</v>
      </c>
      <c r="S19" s="189">
        <v>89600938.909999996</v>
      </c>
      <c r="T19" s="189">
        <v>88396907.709999993</v>
      </c>
      <c r="U19" s="189">
        <v>88396907.709999993</v>
      </c>
      <c r="V19" s="189">
        <v>84900000</v>
      </c>
      <c r="W19" s="189">
        <v>84900000</v>
      </c>
      <c r="X19" s="189">
        <v>71400000</v>
      </c>
      <c r="Y19" s="189">
        <v>71400000</v>
      </c>
      <c r="Z19" s="189">
        <v>71400000</v>
      </c>
      <c r="AA19" s="189">
        <v>71400000</v>
      </c>
      <c r="AB19" s="189">
        <v>71400000</v>
      </c>
      <c r="AC19" s="189">
        <v>71400000</v>
      </c>
      <c r="AD19" s="189">
        <v>71400000</v>
      </c>
      <c r="AE19" s="189">
        <v>71400000</v>
      </c>
      <c r="AF19" s="189">
        <v>71400000</v>
      </c>
      <c r="AG19" s="189">
        <v>71400000</v>
      </c>
      <c r="AH19" s="189">
        <v>149400000</v>
      </c>
      <c r="AI19" s="189">
        <v>149400000</v>
      </c>
      <c r="AJ19" s="189">
        <v>149400000</v>
      </c>
      <c r="AK19" s="189">
        <v>149400000</v>
      </c>
      <c r="AL19" s="189">
        <v>149400000</v>
      </c>
      <c r="AM19" s="189">
        <v>149400000</v>
      </c>
      <c r="AN19" s="189">
        <v>149400000</v>
      </c>
      <c r="AO19" s="189">
        <v>149400000</v>
      </c>
      <c r="AP19" s="189">
        <v>149400000</v>
      </c>
      <c r="AQ19" s="189">
        <v>149400000</v>
      </c>
      <c r="AR19" s="189">
        <v>149565157.53999999</v>
      </c>
      <c r="AS19" s="189">
        <v>150225787.72</v>
      </c>
      <c r="AT19" s="189">
        <v>150302311.50999999</v>
      </c>
      <c r="AU19" s="189">
        <v>150302311.50999999</v>
      </c>
      <c r="AV19" s="189">
        <v>152863688.18000001</v>
      </c>
      <c r="AW19" s="189">
        <v>161841545.03</v>
      </c>
      <c r="AX19" s="189">
        <v>159235799.11000001</v>
      </c>
      <c r="AY19" s="189">
        <v>161370819.78999999</v>
      </c>
      <c r="AZ19" s="189">
        <v>162987834.63</v>
      </c>
      <c r="BA19" s="189">
        <v>178443266.62</v>
      </c>
      <c r="BB19" s="189">
        <v>164438763.06</v>
      </c>
      <c r="BC19" s="189">
        <v>164785381.40000001</v>
      </c>
      <c r="BD19" s="189">
        <v>166665316.06999999</v>
      </c>
      <c r="BE19" s="189">
        <v>166178896.41999999</v>
      </c>
      <c r="BF19" s="189">
        <v>174069628.75</v>
      </c>
      <c r="BG19" s="189">
        <v>121467921.09</v>
      </c>
      <c r="BH19" s="189">
        <v>106672040.59</v>
      </c>
      <c r="BI19" s="189">
        <v>107118691.08</v>
      </c>
      <c r="BJ19" s="189">
        <v>102198220.47</v>
      </c>
      <c r="BK19" s="189">
        <v>102625599.48999999</v>
      </c>
      <c r="BL19" s="189">
        <v>103052978.54000001</v>
      </c>
      <c r="BM19" s="189">
        <v>103480357.58</v>
      </c>
      <c r="BN19" s="189">
        <v>98086814.290000007</v>
      </c>
      <c r="BO19" s="189">
        <v>21796330.390000001</v>
      </c>
      <c r="BP19" s="189">
        <v>0</v>
      </c>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44110119.700000003</v>
      </c>
      <c r="C22" s="189">
        <v>44110119.700000003</v>
      </c>
      <c r="D22" s="189">
        <v>44110119.700000003</v>
      </c>
      <c r="E22" s="189">
        <v>60478799.729999997</v>
      </c>
      <c r="F22" s="189">
        <v>0</v>
      </c>
      <c r="G22" s="189">
        <v>0</v>
      </c>
      <c r="H22" s="189">
        <v>0</v>
      </c>
      <c r="I22" s="189">
        <v>0</v>
      </c>
      <c r="J22" s="189">
        <v>0</v>
      </c>
      <c r="K22" s="189">
        <v>0</v>
      </c>
      <c r="L22" s="189">
        <v>0</v>
      </c>
      <c r="M22" s="189">
        <v>0</v>
      </c>
      <c r="N22" s="189">
        <v>2000000</v>
      </c>
      <c r="O22" s="189">
        <v>2000000</v>
      </c>
      <c r="P22" s="189">
        <v>6000000</v>
      </c>
      <c r="Q22" s="189">
        <v>9462869.6999999993</v>
      </c>
      <c r="R22" s="189">
        <v>6000000</v>
      </c>
      <c r="S22" s="189">
        <v>6000000</v>
      </c>
      <c r="T22" s="189">
        <v>6000000</v>
      </c>
      <c r="U22" s="189">
        <v>4000000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21824585.039999999</v>
      </c>
      <c r="AK22" s="189">
        <v>25024048.039999999</v>
      </c>
      <c r="AL22" s="189">
        <v>5908085.5</v>
      </c>
      <c r="AM22" s="189">
        <v>0</v>
      </c>
      <c r="AN22" s="189">
        <v>0</v>
      </c>
      <c r="AO22" s="189">
        <v>0</v>
      </c>
      <c r="AP22" s="189">
        <v>0</v>
      </c>
      <c r="AQ22" s="189">
        <v>0</v>
      </c>
      <c r="AR22" s="189">
        <v>1130024.5</v>
      </c>
      <c r="AS22" s="189">
        <v>3278844.5</v>
      </c>
      <c r="AT22" s="189">
        <v>5186568.5</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x14ac:dyDescent="0.25">
      <c r="A23" s="17" t="s">
        <v>15</v>
      </c>
      <c r="B23" s="189">
        <v>979658214.70000005</v>
      </c>
      <c r="C23" s="189">
        <v>1364491019.77</v>
      </c>
      <c r="D23" s="189">
        <v>1346254402.1099999</v>
      </c>
      <c r="E23" s="189">
        <v>821335742.14999998</v>
      </c>
      <c r="F23" s="189">
        <v>957439060.87</v>
      </c>
      <c r="G23" s="189">
        <v>767650066.65999997</v>
      </c>
      <c r="H23" s="189">
        <v>1148185399.71</v>
      </c>
      <c r="I23" s="189">
        <v>772783112</v>
      </c>
      <c r="J23" s="189">
        <v>862282289.27999997</v>
      </c>
      <c r="K23" s="189">
        <v>633462110.35000002</v>
      </c>
      <c r="L23" s="189">
        <v>937887932.20000005</v>
      </c>
      <c r="M23" s="189">
        <v>591686519.64999998</v>
      </c>
      <c r="N23" s="189">
        <v>833397874.95000005</v>
      </c>
      <c r="O23" s="189">
        <v>688787023.71000004</v>
      </c>
      <c r="P23" s="189">
        <v>1051645933.64</v>
      </c>
      <c r="Q23" s="189">
        <v>657734435.67999995</v>
      </c>
      <c r="R23" s="189">
        <v>847188540.98000002</v>
      </c>
      <c r="S23" s="189">
        <v>668684210.65999997</v>
      </c>
      <c r="T23" s="189">
        <v>910700869.08000004</v>
      </c>
      <c r="U23" s="189">
        <v>578314837.76999998</v>
      </c>
      <c r="V23" s="189">
        <v>830179814.28999996</v>
      </c>
      <c r="W23" s="189">
        <v>743825344.79999995</v>
      </c>
      <c r="X23" s="189">
        <v>939769184.10000002</v>
      </c>
      <c r="Y23" s="189">
        <v>627287789.86000001</v>
      </c>
      <c r="Z23" s="189">
        <v>879473988.23000002</v>
      </c>
      <c r="AA23" s="189">
        <v>737544843.07000005</v>
      </c>
      <c r="AB23" s="189">
        <v>934291876.63</v>
      </c>
      <c r="AC23" s="189">
        <v>699689778.27999997</v>
      </c>
      <c r="AD23" s="189">
        <v>924797371.14999998</v>
      </c>
      <c r="AE23" s="189">
        <v>856237975.25</v>
      </c>
      <c r="AF23" s="189">
        <v>1031457526.11</v>
      </c>
      <c r="AG23" s="189">
        <v>805453239.03999996</v>
      </c>
      <c r="AH23" s="189">
        <v>718693001.22000003</v>
      </c>
      <c r="AI23" s="189">
        <v>1030411698.4400001</v>
      </c>
      <c r="AJ23" s="189">
        <v>1053166512</v>
      </c>
      <c r="AK23" s="189">
        <v>946518215.45000005</v>
      </c>
      <c r="AL23" s="189">
        <v>1077178655.5699999</v>
      </c>
      <c r="AM23" s="189">
        <v>1254550102.3599999</v>
      </c>
      <c r="AN23" s="189">
        <v>1220123832.4400001</v>
      </c>
      <c r="AO23" s="189">
        <v>961883320.84000003</v>
      </c>
      <c r="AP23" s="189">
        <v>1137584933.76</v>
      </c>
      <c r="AQ23" s="189">
        <v>1073049325.95</v>
      </c>
      <c r="AR23" s="189">
        <v>890822850.30999994</v>
      </c>
      <c r="AS23" s="189">
        <v>679050446.41999996</v>
      </c>
      <c r="AT23" s="189">
        <v>886297091.65999997</v>
      </c>
      <c r="AU23" s="189">
        <v>1109824187.96</v>
      </c>
      <c r="AV23" s="189">
        <v>1073022134.87</v>
      </c>
      <c r="AW23" s="189">
        <v>863362772.99000001</v>
      </c>
      <c r="AX23" s="189">
        <v>1220738984.1400001</v>
      </c>
      <c r="AY23" s="189">
        <v>1136381646.4400001</v>
      </c>
      <c r="AZ23" s="189">
        <v>1082094350.76</v>
      </c>
      <c r="BA23" s="189">
        <v>956021043.10000002</v>
      </c>
      <c r="BB23" s="189">
        <v>837495582.88</v>
      </c>
      <c r="BC23" s="189">
        <v>856127376.59000003</v>
      </c>
      <c r="BD23" s="189">
        <v>761568583.03999996</v>
      </c>
      <c r="BE23" s="189">
        <v>561929402.90999997</v>
      </c>
      <c r="BF23" s="189">
        <v>523940839.94</v>
      </c>
      <c r="BG23" s="189">
        <v>533755326.69</v>
      </c>
      <c r="BH23" s="189">
        <v>494218333.77999997</v>
      </c>
      <c r="BI23" s="189">
        <v>397413931.14999998</v>
      </c>
      <c r="BJ23" s="189">
        <v>346920294.94999999</v>
      </c>
      <c r="BK23" s="189">
        <v>238366345.74000001</v>
      </c>
      <c r="BL23" s="189">
        <v>293698326.14999998</v>
      </c>
      <c r="BM23" s="189">
        <v>246878522.49000001</v>
      </c>
      <c r="BN23" s="189">
        <v>122343992.23</v>
      </c>
      <c r="BO23" s="189">
        <v>138716627.03999999</v>
      </c>
      <c r="BP23" s="189">
        <v>0</v>
      </c>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x14ac:dyDescent="0.25">
      <c r="A24" s="17" t="s">
        <v>16</v>
      </c>
      <c r="B24" s="189">
        <v>53564365.030000001</v>
      </c>
      <c r="C24" s="189">
        <v>44254351.859999999</v>
      </c>
      <c r="D24" s="189">
        <v>32482046.850000001</v>
      </c>
      <c r="E24" s="189">
        <v>10881245.119999999</v>
      </c>
      <c r="F24" s="189">
        <v>38458532.090000004</v>
      </c>
      <c r="G24" s="189">
        <v>43650890.140000001</v>
      </c>
      <c r="H24" s="189">
        <v>42307780.670000002</v>
      </c>
      <c r="I24" s="189">
        <v>21977628.920000002</v>
      </c>
      <c r="J24" s="189">
        <v>28768696.75</v>
      </c>
      <c r="K24" s="189">
        <v>21153564.079999998</v>
      </c>
      <c r="L24" s="189">
        <v>18920265.149999999</v>
      </c>
      <c r="M24" s="189">
        <v>12079665.869999999</v>
      </c>
      <c r="N24" s="189">
        <v>25022952.010000002</v>
      </c>
      <c r="O24" s="189">
        <v>30674316.079999998</v>
      </c>
      <c r="P24" s="189">
        <v>23499405.57</v>
      </c>
      <c r="Q24" s="189">
        <v>15375992.199999999</v>
      </c>
      <c r="R24" s="189">
        <v>22286359.079999998</v>
      </c>
      <c r="S24" s="189">
        <v>25055899.579999998</v>
      </c>
      <c r="T24" s="189">
        <v>16483774.449999999</v>
      </c>
      <c r="U24" s="189">
        <v>14263174.66</v>
      </c>
      <c r="V24" s="189">
        <v>27754208.420000002</v>
      </c>
      <c r="W24" s="189">
        <v>29625321.34</v>
      </c>
      <c r="X24" s="189">
        <v>31679433.440000001</v>
      </c>
      <c r="Y24" s="189">
        <v>14017867.99</v>
      </c>
      <c r="Z24" s="189">
        <v>43323370.770000003</v>
      </c>
      <c r="AA24" s="189">
        <v>34683501.850000001</v>
      </c>
      <c r="AB24" s="189">
        <v>36667831.25</v>
      </c>
      <c r="AC24" s="189">
        <v>33584281.119999997</v>
      </c>
      <c r="AD24" s="189">
        <v>25914171.539999999</v>
      </c>
      <c r="AE24" s="189">
        <v>19933393.850000001</v>
      </c>
      <c r="AF24" s="189">
        <v>30905745.300000001</v>
      </c>
      <c r="AG24" s="189">
        <v>17563470.300000001</v>
      </c>
      <c r="AH24" s="189">
        <v>28180963.899999999</v>
      </c>
      <c r="AI24" s="189">
        <v>20633777.02</v>
      </c>
      <c r="AJ24" s="189">
        <v>16233683.93</v>
      </c>
      <c r="AK24" s="189">
        <v>13556784.66</v>
      </c>
      <c r="AL24" s="189">
        <v>25610066</v>
      </c>
      <c r="AM24" s="189">
        <v>16186170.960000001</v>
      </c>
      <c r="AN24" s="189">
        <v>5087726.6399999997</v>
      </c>
      <c r="AO24" s="189">
        <v>12556542.6</v>
      </c>
      <c r="AP24" s="189">
        <v>23090283.57</v>
      </c>
      <c r="AQ24" s="189">
        <v>13896841.51</v>
      </c>
      <c r="AR24" s="189">
        <v>36069940.039999999</v>
      </c>
      <c r="AS24" s="189">
        <v>8290509.2599999998</v>
      </c>
      <c r="AT24" s="189">
        <v>11160659.41</v>
      </c>
      <c r="AU24" s="189">
        <v>9592951.2799999993</v>
      </c>
      <c r="AV24" s="189">
        <v>10234498.300000001</v>
      </c>
      <c r="AW24" s="189">
        <v>10548226.199999999</v>
      </c>
      <c r="AX24" s="189">
        <v>12746597.25</v>
      </c>
      <c r="AY24" s="189">
        <v>20063784.010000002</v>
      </c>
      <c r="AZ24" s="189">
        <v>35965959.119999997</v>
      </c>
      <c r="BA24" s="189">
        <v>19105604.489999998</v>
      </c>
      <c r="BB24" s="189">
        <v>42959645.229999997</v>
      </c>
      <c r="BC24" s="189">
        <v>22680432.510000002</v>
      </c>
      <c r="BD24" s="189">
        <v>49766608.32</v>
      </c>
      <c r="BE24" s="189">
        <v>33412258.91</v>
      </c>
      <c r="BF24" s="189">
        <v>21423172.280000001</v>
      </c>
      <c r="BG24" s="189">
        <v>30888860.800000001</v>
      </c>
      <c r="BH24" s="189">
        <v>9659983.7100000009</v>
      </c>
      <c r="BI24" s="189">
        <v>11419337.93</v>
      </c>
      <c r="BJ24" s="189">
        <v>9236196.5800000001</v>
      </c>
      <c r="BK24" s="189">
        <v>5910628.7199999997</v>
      </c>
      <c r="BL24" s="189">
        <v>16793278.280000001</v>
      </c>
      <c r="BM24" s="189">
        <v>7279078.7300000004</v>
      </c>
      <c r="BN24" s="189">
        <v>12668987.08</v>
      </c>
      <c r="BO24" s="189">
        <v>9336114.6899999995</v>
      </c>
      <c r="BP24" s="189">
        <v>0</v>
      </c>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x14ac:dyDescent="0.25">
      <c r="A25" s="17" t="s">
        <v>17</v>
      </c>
      <c r="B25" s="189">
        <v>176147272.09999999</v>
      </c>
      <c r="C25" s="189">
        <v>154668107.83000001</v>
      </c>
      <c r="D25" s="189">
        <v>144400136.38</v>
      </c>
      <c r="E25" s="189">
        <v>137692598.16999999</v>
      </c>
      <c r="F25" s="189">
        <v>298049036.19999999</v>
      </c>
      <c r="G25" s="189">
        <v>194994596.94</v>
      </c>
      <c r="H25" s="189">
        <v>307544291.20999998</v>
      </c>
      <c r="I25" s="189">
        <v>144656146.47999999</v>
      </c>
      <c r="J25" s="189">
        <v>227978564.19</v>
      </c>
      <c r="K25" s="189">
        <v>223858048.18000001</v>
      </c>
      <c r="L25" s="189">
        <v>214451373</v>
      </c>
      <c r="M25" s="189">
        <v>176005420.83000001</v>
      </c>
      <c r="N25" s="189">
        <v>132676833.39</v>
      </c>
      <c r="O25" s="189">
        <v>134135574.01000001</v>
      </c>
      <c r="P25" s="189">
        <v>134900643.72999999</v>
      </c>
      <c r="Q25" s="189">
        <v>115242410.5</v>
      </c>
      <c r="R25" s="189">
        <v>104312088.22</v>
      </c>
      <c r="S25" s="189">
        <v>99377285.099999994</v>
      </c>
      <c r="T25" s="189">
        <v>98682378.299999997</v>
      </c>
      <c r="U25" s="189">
        <v>81785127.400000006</v>
      </c>
      <c r="V25" s="189">
        <v>119997547.84</v>
      </c>
      <c r="W25" s="189">
        <v>106953974.72</v>
      </c>
      <c r="X25" s="189">
        <v>120700986.76000001</v>
      </c>
      <c r="Y25" s="189">
        <v>104002870.23</v>
      </c>
      <c r="Z25" s="189">
        <v>168465274.53999999</v>
      </c>
      <c r="AA25" s="189">
        <v>163555327.38</v>
      </c>
      <c r="AB25" s="189">
        <v>160502112.05000001</v>
      </c>
      <c r="AC25" s="189">
        <v>152229769.65000001</v>
      </c>
      <c r="AD25" s="189">
        <v>211290205.22</v>
      </c>
      <c r="AE25" s="189">
        <v>205790806.77000001</v>
      </c>
      <c r="AF25" s="189">
        <v>214131081.56999999</v>
      </c>
      <c r="AG25" s="189">
        <v>194682441.12</v>
      </c>
      <c r="AH25" s="189">
        <v>45609008.450000003</v>
      </c>
      <c r="AI25" s="189">
        <v>53917296.850000001</v>
      </c>
      <c r="AJ25" s="189">
        <v>49946485.590000004</v>
      </c>
      <c r="AK25" s="189">
        <v>41605800.039999999</v>
      </c>
      <c r="AL25" s="189">
        <v>80906355.260000005</v>
      </c>
      <c r="AM25" s="189">
        <v>75292183.359999999</v>
      </c>
      <c r="AN25" s="189">
        <v>78744289.769999996</v>
      </c>
      <c r="AO25" s="189">
        <v>59948903.210000001</v>
      </c>
      <c r="AP25" s="189">
        <v>54173743.490000002</v>
      </c>
      <c r="AQ25" s="189">
        <v>85761128.269999996</v>
      </c>
      <c r="AR25" s="189">
        <v>87706619.180000007</v>
      </c>
      <c r="AS25" s="189">
        <v>46430422.520000003</v>
      </c>
      <c r="AT25" s="189">
        <v>69970251.609999999</v>
      </c>
      <c r="AU25" s="189">
        <v>88661826.989999995</v>
      </c>
      <c r="AV25" s="189">
        <v>102957640.81</v>
      </c>
      <c r="AW25" s="189">
        <v>44844209.549999997</v>
      </c>
      <c r="AX25" s="189">
        <v>93540631.879999995</v>
      </c>
      <c r="AY25" s="189">
        <v>75205354.900000006</v>
      </c>
      <c r="AZ25" s="189">
        <v>58016070.75</v>
      </c>
      <c r="BA25" s="189">
        <v>51996459.18</v>
      </c>
      <c r="BB25" s="189">
        <v>118660840.42</v>
      </c>
      <c r="BC25" s="189">
        <v>79250271.109999999</v>
      </c>
      <c r="BD25" s="189">
        <v>139706047.18000001</v>
      </c>
      <c r="BE25" s="189">
        <v>75226191.5</v>
      </c>
      <c r="BF25" s="189">
        <v>64138463</v>
      </c>
      <c r="BG25" s="189">
        <v>47723996.280000001</v>
      </c>
      <c r="BH25" s="189">
        <v>40952173.060000002</v>
      </c>
      <c r="BI25" s="189">
        <v>40156786.07</v>
      </c>
      <c r="BJ25" s="189">
        <v>50031943.280000001</v>
      </c>
      <c r="BK25" s="189">
        <v>43789903</v>
      </c>
      <c r="BL25" s="189">
        <v>47757664.869999997</v>
      </c>
      <c r="BM25" s="189">
        <v>30800383.66</v>
      </c>
      <c r="BN25" s="189">
        <v>23627843.699999999</v>
      </c>
      <c r="BO25" s="189">
        <v>241554887.77000001</v>
      </c>
      <c r="BP25" s="189">
        <v>0</v>
      </c>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x14ac:dyDescent="0.25">
      <c r="A26" s="17" t="s">
        <v>18</v>
      </c>
      <c r="B26" s="189">
        <v>74695068.040000007</v>
      </c>
      <c r="C26" s="189">
        <v>81317048.390000001</v>
      </c>
      <c r="D26" s="189">
        <v>83471879.969999999</v>
      </c>
      <c r="E26" s="189">
        <v>79148787.310000002</v>
      </c>
      <c r="F26" s="189">
        <v>71474017.950000003</v>
      </c>
      <c r="G26" s="189">
        <v>70876801.890000001</v>
      </c>
      <c r="H26" s="189">
        <v>80187849.689999998</v>
      </c>
      <c r="I26" s="189">
        <v>71754827.349999994</v>
      </c>
      <c r="J26" s="189">
        <v>67993801.489999995</v>
      </c>
      <c r="K26" s="189">
        <v>68514692.730000004</v>
      </c>
      <c r="L26" s="189">
        <v>72342541.420000002</v>
      </c>
      <c r="M26" s="189">
        <v>73358739.790000007</v>
      </c>
      <c r="N26" s="189">
        <v>69821217.659999996</v>
      </c>
      <c r="O26" s="189">
        <v>69825242.069999993</v>
      </c>
      <c r="P26" s="189">
        <v>67006081.200000003</v>
      </c>
      <c r="Q26" s="189">
        <v>64862770.700000003</v>
      </c>
      <c r="R26" s="189">
        <v>63264645.82</v>
      </c>
      <c r="S26" s="189">
        <v>59364863.170000002</v>
      </c>
      <c r="T26" s="189">
        <v>53525338.32</v>
      </c>
      <c r="U26" s="189">
        <v>52728719.520000003</v>
      </c>
      <c r="V26" s="189">
        <v>62116239.270000003</v>
      </c>
      <c r="W26" s="189">
        <v>56598672.490000002</v>
      </c>
      <c r="X26" s="189">
        <v>55976182.25</v>
      </c>
      <c r="Y26" s="189">
        <v>54686335.329999998</v>
      </c>
      <c r="Z26" s="189">
        <v>44721411.130000003</v>
      </c>
      <c r="AA26" s="189">
        <v>47577707.799999997</v>
      </c>
      <c r="AB26" s="189">
        <v>45756144.789999999</v>
      </c>
      <c r="AC26" s="189">
        <v>43153683.420000002</v>
      </c>
      <c r="AD26" s="189">
        <v>42294242.909999996</v>
      </c>
      <c r="AE26" s="189">
        <v>44050116.390000001</v>
      </c>
      <c r="AF26" s="189">
        <v>37867571.469999999</v>
      </c>
      <c r="AG26" s="189">
        <v>31807821.579999998</v>
      </c>
      <c r="AH26" s="189">
        <v>28608479.899999999</v>
      </c>
      <c r="AI26" s="189">
        <v>26948127.77</v>
      </c>
      <c r="AJ26" s="189">
        <v>26696324.02</v>
      </c>
      <c r="AK26" s="189">
        <v>25991163.460000001</v>
      </c>
      <c r="AL26" s="189">
        <v>27653653.690000001</v>
      </c>
      <c r="AM26" s="189">
        <v>29418361.690000001</v>
      </c>
      <c r="AN26" s="189">
        <v>30980621.489999998</v>
      </c>
      <c r="AO26" s="189">
        <v>29258612.16</v>
      </c>
      <c r="AP26" s="189">
        <v>24417478.210000001</v>
      </c>
      <c r="AQ26" s="189">
        <v>21673637.079999998</v>
      </c>
      <c r="AR26" s="189">
        <v>20265747.760000002</v>
      </c>
      <c r="AS26" s="189">
        <v>28059017.120000001</v>
      </c>
      <c r="AT26" s="189">
        <v>29501988.68</v>
      </c>
      <c r="AU26" s="189">
        <v>25267886.050000001</v>
      </c>
      <c r="AV26" s="189">
        <v>25807123.25</v>
      </c>
      <c r="AW26" s="189">
        <v>26823802.629999999</v>
      </c>
      <c r="AX26" s="189">
        <v>26656300.170000002</v>
      </c>
      <c r="AY26" s="189">
        <v>26678391.969999999</v>
      </c>
      <c r="AZ26" s="189">
        <v>23334071.149999999</v>
      </c>
      <c r="BA26" s="189">
        <v>30206592.789999999</v>
      </c>
      <c r="BB26" s="189">
        <v>26950714.239999998</v>
      </c>
      <c r="BC26" s="189">
        <v>22741853.620000001</v>
      </c>
      <c r="BD26" s="189">
        <v>21847556.370000001</v>
      </c>
      <c r="BE26" s="189">
        <v>20420305.530000001</v>
      </c>
      <c r="BF26" s="189">
        <v>17983790.41</v>
      </c>
      <c r="BG26" s="189">
        <v>15942963.779999999</v>
      </c>
      <c r="BH26" s="189">
        <v>16511887.57</v>
      </c>
      <c r="BI26" s="189">
        <v>14804201.789999999</v>
      </c>
      <c r="BJ26" s="189">
        <v>17291820.800000001</v>
      </c>
      <c r="BK26" s="189">
        <v>16540681.689999999</v>
      </c>
      <c r="BL26" s="189">
        <v>16204439.9</v>
      </c>
      <c r="BM26" s="189">
        <v>16743899.869999999</v>
      </c>
      <c r="BN26" s="189">
        <v>16371309.98</v>
      </c>
      <c r="BO26" s="189">
        <v>13337807.710000001</v>
      </c>
      <c r="BP26" s="189">
        <v>0</v>
      </c>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x14ac:dyDescent="0.25">
      <c r="A27" s="17" t="s">
        <v>19</v>
      </c>
      <c r="B27" s="189">
        <v>0</v>
      </c>
      <c r="C27" s="189">
        <v>0</v>
      </c>
      <c r="D27" s="189">
        <v>0</v>
      </c>
      <c r="E27" s="189">
        <v>166066565.88999999</v>
      </c>
      <c r="F27" s="189">
        <v>0</v>
      </c>
      <c r="G27" s="189">
        <v>0</v>
      </c>
      <c r="H27" s="189">
        <v>3959611.85</v>
      </c>
      <c r="I27" s="189">
        <v>80647629.739999995</v>
      </c>
      <c r="J27" s="189">
        <v>0</v>
      </c>
      <c r="K27" s="189">
        <v>0</v>
      </c>
      <c r="L27" s="189">
        <v>1528.87</v>
      </c>
      <c r="M27" s="189">
        <v>14788564.880000001</v>
      </c>
      <c r="N27" s="189">
        <v>0</v>
      </c>
      <c r="O27" s="189">
        <v>0</v>
      </c>
      <c r="P27" s="189">
        <v>0</v>
      </c>
      <c r="Q27" s="189">
        <v>309733.13</v>
      </c>
      <c r="R27" s="189">
        <v>0</v>
      </c>
      <c r="S27" s="189">
        <v>0</v>
      </c>
      <c r="T27" s="189">
        <v>0</v>
      </c>
      <c r="U27" s="189">
        <v>3550293.63</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1328175039.5699999</v>
      </c>
      <c r="C33" s="35">
        <f t="shared" ref="C33:BN33" si="2">SUM(C22:C29)</f>
        <v>1688840647.55</v>
      </c>
      <c r="D33" s="35">
        <f t="shared" si="2"/>
        <v>1650718585.01</v>
      </c>
      <c r="E33" s="35">
        <f t="shared" si="2"/>
        <v>1275603738.3699999</v>
      </c>
      <c r="F33" s="35">
        <f t="shared" si="2"/>
        <v>1365420647.1100001</v>
      </c>
      <c r="G33" s="35">
        <f t="shared" si="2"/>
        <v>1077172355.6300001</v>
      </c>
      <c r="H33" s="35">
        <f t="shared" si="2"/>
        <v>1582184933.1300001</v>
      </c>
      <c r="I33" s="35">
        <f t="shared" si="2"/>
        <v>1091819344.49</v>
      </c>
      <c r="J33" s="35">
        <f t="shared" si="2"/>
        <v>1187023351.71</v>
      </c>
      <c r="K33" s="35">
        <f t="shared" si="2"/>
        <v>946988415.34000015</v>
      </c>
      <c r="L33" s="35">
        <f t="shared" si="2"/>
        <v>1243603640.6399999</v>
      </c>
      <c r="M33" s="35">
        <f t="shared" si="2"/>
        <v>867918911.01999998</v>
      </c>
      <c r="N33" s="35">
        <f t="shared" si="2"/>
        <v>1062918878.01</v>
      </c>
      <c r="O33" s="35">
        <f t="shared" si="2"/>
        <v>925422155.87000012</v>
      </c>
      <c r="P33" s="35">
        <f t="shared" si="2"/>
        <v>1283052064.1400001</v>
      </c>
      <c r="Q33" s="35">
        <f t="shared" si="2"/>
        <v>862988211.91000009</v>
      </c>
      <c r="R33" s="35">
        <f t="shared" si="2"/>
        <v>1043051634.1000001</v>
      </c>
      <c r="S33" s="35">
        <f t="shared" si="2"/>
        <v>858482258.50999999</v>
      </c>
      <c r="T33" s="35">
        <f t="shared" si="2"/>
        <v>1085392360.1500001</v>
      </c>
      <c r="U33" s="35">
        <f t="shared" si="2"/>
        <v>734642152.9799999</v>
      </c>
      <c r="V33" s="35">
        <f t="shared" si="2"/>
        <v>1040047809.8199999</v>
      </c>
      <c r="W33" s="35">
        <f t="shared" si="2"/>
        <v>937003313.35000002</v>
      </c>
      <c r="X33" s="35">
        <f t="shared" si="2"/>
        <v>1148125786.5500002</v>
      </c>
      <c r="Y33" s="35">
        <f t="shared" si="2"/>
        <v>799994863.41000009</v>
      </c>
      <c r="Z33" s="35">
        <f t="shared" si="2"/>
        <v>1135984044.6700001</v>
      </c>
      <c r="AA33" s="35">
        <f t="shared" si="2"/>
        <v>983361380.10000002</v>
      </c>
      <c r="AB33" s="35">
        <f t="shared" si="2"/>
        <v>1177217964.72</v>
      </c>
      <c r="AC33" s="35">
        <f t="shared" si="2"/>
        <v>928657512.46999991</v>
      </c>
      <c r="AD33" s="35">
        <f t="shared" si="2"/>
        <v>1204295990.8199999</v>
      </c>
      <c r="AE33" s="35">
        <f t="shared" si="2"/>
        <v>1126012292.2600002</v>
      </c>
      <c r="AF33" s="35">
        <f t="shared" si="2"/>
        <v>1314361924.45</v>
      </c>
      <c r="AG33" s="35">
        <f t="shared" si="2"/>
        <v>1049506972.04</v>
      </c>
      <c r="AH33" s="35">
        <f t="shared" si="2"/>
        <v>821091453.47000003</v>
      </c>
      <c r="AI33" s="35">
        <f t="shared" si="2"/>
        <v>1131910900.0799999</v>
      </c>
      <c r="AJ33" s="35">
        <f t="shared" si="2"/>
        <v>1167867590.5799999</v>
      </c>
      <c r="AK33" s="35">
        <f t="shared" si="2"/>
        <v>1052696011.65</v>
      </c>
      <c r="AL33" s="35">
        <f t="shared" si="2"/>
        <v>1217256816.02</v>
      </c>
      <c r="AM33" s="35">
        <f t="shared" si="2"/>
        <v>1375446818.3699999</v>
      </c>
      <c r="AN33" s="35">
        <f t="shared" si="2"/>
        <v>1334936470.3400002</v>
      </c>
      <c r="AO33" s="35">
        <f t="shared" si="2"/>
        <v>1063647378.8100001</v>
      </c>
      <c r="AP33" s="35">
        <f t="shared" si="2"/>
        <v>1239266439.03</v>
      </c>
      <c r="AQ33" s="35">
        <f t="shared" si="2"/>
        <v>1194380932.8099999</v>
      </c>
      <c r="AR33" s="35">
        <f t="shared" si="2"/>
        <v>1035995181.79</v>
      </c>
      <c r="AS33" s="35">
        <f t="shared" si="2"/>
        <v>765109239.81999993</v>
      </c>
      <c r="AT33" s="35">
        <f t="shared" si="2"/>
        <v>1002116559.8599999</v>
      </c>
      <c r="AU33" s="35">
        <f t="shared" si="2"/>
        <v>1233346852.28</v>
      </c>
      <c r="AV33" s="35">
        <f t="shared" si="2"/>
        <v>1212021397.23</v>
      </c>
      <c r="AW33" s="35">
        <f t="shared" si="2"/>
        <v>945579011.37</v>
      </c>
      <c r="AX33" s="35">
        <f t="shared" si="2"/>
        <v>1353682513.4400001</v>
      </c>
      <c r="AY33" s="35">
        <f t="shared" si="2"/>
        <v>1258329177.3200002</v>
      </c>
      <c r="AZ33" s="35">
        <f t="shared" si="2"/>
        <v>1199410451.78</v>
      </c>
      <c r="BA33" s="35">
        <f t="shared" si="2"/>
        <v>1057329699.5599999</v>
      </c>
      <c r="BB33" s="35">
        <f t="shared" si="2"/>
        <v>1026066782.77</v>
      </c>
      <c r="BC33" s="35">
        <f t="shared" si="2"/>
        <v>980799933.83000004</v>
      </c>
      <c r="BD33" s="35">
        <f t="shared" si="2"/>
        <v>972888794.90999997</v>
      </c>
      <c r="BE33" s="35">
        <f t="shared" si="2"/>
        <v>690988158.8499999</v>
      </c>
      <c r="BF33" s="35">
        <f t="shared" si="2"/>
        <v>627486265.63</v>
      </c>
      <c r="BG33" s="35">
        <f t="shared" si="2"/>
        <v>628311147.54999995</v>
      </c>
      <c r="BH33" s="35">
        <f t="shared" si="2"/>
        <v>561342378.12</v>
      </c>
      <c r="BI33" s="35">
        <f t="shared" si="2"/>
        <v>463794256.94</v>
      </c>
      <c r="BJ33" s="35">
        <f t="shared" si="2"/>
        <v>423480255.60999995</v>
      </c>
      <c r="BK33" s="35">
        <f t="shared" si="2"/>
        <v>304607559.15000004</v>
      </c>
      <c r="BL33" s="35">
        <f t="shared" si="2"/>
        <v>374453709.19999993</v>
      </c>
      <c r="BM33" s="35">
        <f t="shared" si="2"/>
        <v>301701884.75</v>
      </c>
      <c r="BN33" s="35">
        <f t="shared" si="2"/>
        <v>175012132.98999998</v>
      </c>
      <c r="BO33" s="35">
        <f t="shared" ref="BO33:CK33" si="3">SUM(BO22:BO29)</f>
        <v>402945437.20999998</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9">
        <v>0</v>
      </c>
      <c r="C35" s="189">
        <v>10860000</v>
      </c>
      <c r="D35" s="189">
        <v>20460000</v>
      </c>
      <c r="E35" s="189">
        <v>9600000</v>
      </c>
      <c r="F35" s="189">
        <v>9600000</v>
      </c>
      <c r="G35" s="189">
        <v>9600000</v>
      </c>
      <c r="H35" s="189">
        <v>9600000</v>
      </c>
      <c r="I35" s="189">
        <v>12200000</v>
      </c>
      <c r="J35" s="189">
        <v>12200000</v>
      </c>
      <c r="K35" s="189">
        <v>12000000</v>
      </c>
      <c r="L35" s="189">
        <v>12000000</v>
      </c>
      <c r="M35" s="189">
        <v>12000000</v>
      </c>
      <c r="N35" s="189">
        <v>23200000</v>
      </c>
      <c r="O35" s="189">
        <v>23200000</v>
      </c>
      <c r="P35" s="189">
        <v>23200000</v>
      </c>
      <c r="Q35" s="189">
        <v>23200000</v>
      </c>
      <c r="R35" s="189">
        <v>0</v>
      </c>
      <c r="S35" s="189">
        <v>23600000</v>
      </c>
      <c r="T35" s="189">
        <v>23600000</v>
      </c>
      <c r="U35" s="189">
        <v>23600000</v>
      </c>
      <c r="V35" s="189">
        <v>0</v>
      </c>
      <c r="W35" s="189">
        <v>14100000</v>
      </c>
      <c r="X35" s="189">
        <v>14100000</v>
      </c>
      <c r="Y35" s="189">
        <v>14100000</v>
      </c>
      <c r="Z35" s="189">
        <v>23700000</v>
      </c>
      <c r="AA35" s="189">
        <v>23700000</v>
      </c>
      <c r="AB35" s="189">
        <v>23700000</v>
      </c>
      <c r="AC35" s="189">
        <v>23700000</v>
      </c>
      <c r="AD35" s="189">
        <v>0</v>
      </c>
      <c r="AE35" s="189">
        <v>0</v>
      </c>
      <c r="AF35" s="189">
        <v>22000000</v>
      </c>
      <c r="AG35" s="189">
        <v>22000000</v>
      </c>
      <c r="AH35" s="189">
        <v>0</v>
      </c>
      <c r="AI35" s="189">
        <v>0</v>
      </c>
      <c r="AJ35" s="189">
        <v>0</v>
      </c>
      <c r="AK35" s="189">
        <v>0</v>
      </c>
      <c r="AL35" s="189">
        <v>20101470.039999999</v>
      </c>
      <c r="AM35" s="189">
        <v>355791992.02999997</v>
      </c>
      <c r="AN35" s="189">
        <v>335690521.99000001</v>
      </c>
      <c r="AO35" s="189">
        <v>70645647.120000005</v>
      </c>
      <c r="AP35" s="189">
        <v>0</v>
      </c>
      <c r="AQ35" s="189">
        <v>10000000</v>
      </c>
      <c r="AR35" s="189">
        <v>10000000</v>
      </c>
      <c r="AS35" s="189">
        <v>9000000</v>
      </c>
      <c r="AT35" s="189">
        <v>36014200</v>
      </c>
      <c r="AU35" s="189">
        <v>42000000</v>
      </c>
      <c r="AV35" s="189">
        <v>315901716.75</v>
      </c>
      <c r="AW35" s="189">
        <v>201553449.16</v>
      </c>
      <c r="AX35" s="189">
        <v>78836454.950000003</v>
      </c>
      <c r="AY35" s="189">
        <v>53647913.289999999</v>
      </c>
      <c r="AZ35" s="189">
        <v>140363114.81999999</v>
      </c>
      <c r="BA35" s="189">
        <v>108557523.05</v>
      </c>
      <c r="BB35" s="189">
        <v>400000000</v>
      </c>
      <c r="BC35" s="189">
        <v>400000000</v>
      </c>
      <c r="BD35" s="189">
        <v>0</v>
      </c>
      <c r="BE35" s="189">
        <v>17955000</v>
      </c>
      <c r="BF35" s="189">
        <v>0</v>
      </c>
      <c r="BG35" s="189">
        <v>0</v>
      </c>
      <c r="BH35" s="189">
        <v>0</v>
      </c>
      <c r="BI35" s="189">
        <v>0</v>
      </c>
      <c r="BJ35" s="189">
        <v>0</v>
      </c>
      <c r="BK35" s="189">
        <v>0</v>
      </c>
      <c r="BL35" s="189">
        <v>0</v>
      </c>
      <c r="BM35" s="189">
        <v>0</v>
      </c>
      <c r="BN35" s="189">
        <v>0</v>
      </c>
      <c r="BO35" s="189">
        <v>0</v>
      </c>
      <c r="BP35" s="189">
        <v>0</v>
      </c>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447801747.45999998</v>
      </c>
      <c r="D36" s="189">
        <v>333007957.44999999</v>
      </c>
      <c r="E36" s="189">
        <v>261819016.86000001</v>
      </c>
      <c r="F36" s="189">
        <v>202766663.59</v>
      </c>
      <c r="G36" s="189">
        <v>188795380.18000001</v>
      </c>
      <c r="H36" s="189">
        <v>173662547.78</v>
      </c>
      <c r="I36" s="189">
        <v>194831056.12</v>
      </c>
      <c r="J36" s="189">
        <v>83226110.900000006</v>
      </c>
      <c r="K36" s="189">
        <v>93135256.239999995</v>
      </c>
      <c r="L36" s="189">
        <v>102649492.12</v>
      </c>
      <c r="M36" s="189">
        <v>106953285.39</v>
      </c>
      <c r="N36" s="189">
        <v>88634379.730000004</v>
      </c>
      <c r="O36" s="189">
        <v>101793374.17</v>
      </c>
      <c r="P36" s="189">
        <v>97794367.780000001</v>
      </c>
      <c r="Q36" s="189">
        <v>88337080.930000007</v>
      </c>
      <c r="R36" s="189">
        <v>100539121.03</v>
      </c>
      <c r="S36" s="189">
        <v>79883495.670000002</v>
      </c>
      <c r="T36" s="189">
        <v>83218371.489999995</v>
      </c>
      <c r="U36" s="189">
        <v>98905573.689999998</v>
      </c>
      <c r="V36" s="189">
        <v>117638516.8</v>
      </c>
      <c r="W36" s="189">
        <v>111193763.77</v>
      </c>
      <c r="X36" s="189">
        <v>101462729.8</v>
      </c>
      <c r="Y36" s="189">
        <v>105774414.66</v>
      </c>
      <c r="Z36" s="189">
        <v>87761366.629999995</v>
      </c>
      <c r="AA36" s="189">
        <v>88187624.349999994</v>
      </c>
      <c r="AB36" s="189">
        <v>106586211.23999999</v>
      </c>
      <c r="AC36" s="189">
        <v>85580845.530000001</v>
      </c>
      <c r="AD36" s="189">
        <v>79766409.099999994</v>
      </c>
      <c r="AE36" s="189">
        <v>74240533.409999996</v>
      </c>
      <c r="AF36" s="189">
        <v>65941653.890000001</v>
      </c>
      <c r="AG36" s="189">
        <v>73808991.739999995</v>
      </c>
      <c r="AH36" s="189">
        <v>59348361.060000002</v>
      </c>
      <c r="AI36" s="189">
        <v>48163506.399999999</v>
      </c>
      <c r="AJ36" s="189">
        <v>41232994.979999997</v>
      </c>
      <c r="AK36" s="189">
        <v>55554751.170000002</v>
      </c>
      <c r="AL36" s="189">
        <v>50825756.909999996</v>
      </c>
      <c r="AM36" s="189">
        <v>48567331.549999997</v>
      </c>
      <c r="AN36" s="189">
        <v>52751301.18</v>
      </c>
      <c r="AO36" s="189">
        <v>43801957.670000002</v>
      </c>
      <c r="AP36" s="189">
        <v>42390132.850000001</v>
      </c>
      <c r="AQ36" s="189">
        <v>36177889.149999999</v>
      </c>
      <c r="AR36" s="189">
        <v>62679757.609999999</v>
      </c>
      <c r="AS36" s="189">
        <v>67153227.269999996</v>
      </c>
      <c r="AT36" s="189">
        <v>72690559.849999994</v>
      </c>
      <c r="AU36" s="189">
        <v>59232904.579999998</v>
      </c>
      <c r="AV36" s="189">
        <v>58649315.049999997</v>
      </c>
      <c r="AW36" s="189">
        <v>57886028.850000001</v>
      </c>
      <c r="AX36" s="189">
        <v>80952748.049999997</v>
      </c>
      <c r="AY36" s="189">
        <v>77340570.890000001</v>
      </c>
      <c r="AZ36" s="189">
        <v>78069624.719999999</v>
      </c>
      <c r="BA36" s="189">
        <v>57425496.509999998</v>
      </c>
      <c r="BB36" s="189">
        <v>72099652.909999996</v>
      </c>
      <c r="BC36" s="189">
        <v>74750729.299999997</v>
      </c>
      <c r="BD36" s="189">
        <v>64012131.990000002</v>
      </c>
      <c r="BE36" s="189">
        <v>49936818.130000003</v>
      </c>
      <c r="BF36" s="189">
        <v>54649133.149999999</v>
      </c>
      <c r="BG36" s="189">
        <v>16432699.539999999</v>
      </c>
      <c r="BH36" s="189">
        <v>14711044.220000001</v>
      </c>
      <c r="BI36" s="189">
        <v>19376960.309999999</v>
      </c>
      <c r="BJ36" s="189">
        <v>12858640.550000001</v>
      </c>
      <c r="BK36" s="189">
        <v>9862846.7899999991</v>
      </c>
      <c r="BL36" s="189">
        <v>39388557.780000001</v>
      </c>
      <c r="BM36" s="189">
        <v>34104770.740000002</v>
      </c>
      <c r="BN36" s="189">
        <v>19056212.079999998</v>
      </c>
      <c r="BO36" s="189">
        <v>13360494.42</v>
      </c>
      <c r="BP36" s="189">
        <v>0</v>
      </c>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x14ac:dyDescent="0.25">
      <c r="A37" s="17" t="s">
        <v>23</v>
      </c>
      <c r="B37" s="189">
        <v>178354078.28</v>
      </c>
      <c r="C37" s="189">
        <v>227905572.43000001</v>
      </c>
      <c r="D37" s="189">
        <v>58366097.350000001</v>
      </c>
      <c r="E37" s="189">
        <v>33207575.510000002</v>
      </c>
      <c r="F37" s="189">
        <v>37403728.619999997</v>
      </c>
      <c r="G37" s="189">
        <v>44237263.979999997</v>
      </c>
      <c r="H37" s="189">
        <v>42908969.409999996</v>
      </c>
      <c r="I37" s="189">
        <v>31954973.079999998</v>
      </c>
      <c r="J37" s="189">
        <v>81046523.200000003</v>
      </c>
      <c r="K37" s="189">
        <v>66027433.189999998</v>
      </c>
      <c r="L37" s="189">
        <v>75003066.409999996</v>
      </c>
      <c r="M37" s="189">
        <v>73920243.930000007</v>
      </c>
      <c r="N37" s="189">
        <v>96344297.109999999</v>
      </c>
      <c r="O37" s="189">
        <v>79468974.650000006</v>
      </c>
      <c r="P37" s="189">
        <v>86707075.689999998</v>
      </c>
      <c r="Q37" s="189">
        <v>101905325.66</v>
      </c>
      <c r="R37" s="189">
        <v>85435857.310000002</v>
      </c>
      <c r="S37" s="189">
        <v>86641348</v>
      </c>
      <c r="T37" s="189">
        <v>96558331.400000006</v>
      </c>
      <c r="U37" s="189">
        <v>89540232.609999999</v>
      </c>
      <c r="V37" s="189">
        <v>97999845.379999995</v>
      </c>
      <c r="W37" s="189">
        <v>92511997.060000002</v>
      </c>
      <c r="X37" s="189">
        <v>96190779.849999994</v>
      </c>
      <c r="Y37" s="189">
        <v>91722954.469999999</v>
      </c>
      <c r="Z37" s="189">
        <v>74905045.890000001</v>
      </c>
      <c r="AA37" s="189">
        <v>78517451.129999995</v>
      </c>
      <c r="AB37" s="189">
        <v>73897607.189999998</v>
      </c>
      <c r="AC37" s="189">
        <v>61972630.719999999</v>
      </c>
      <c r="AD37" s="189">
        <v>48874331.140000001</v>
      </c>
      <c r="AE37" s="189">
        <v>54626219.299999997</v>
      </c>
      <c r="AF37" s="189">
        <v>76325683.969999999</v>
      </c>
      <c r="AG37" s="189">
        <v>72286219.609999999</v>
      </c>
      <c r="AH37" s="189">
        <v>51633203.619999997</v>
      </c>
      <c r="AI37" s="189">
        <v>46071666.549999997</v>
      </c>
      <c r="AJ37" s="189">
        <v>47534893.479999997</v>
      </c>
      <c r="AK37" s="189">
        <v>31763044.199999999</v>
      </c>
      <c r="AL37" s="189">
        <v>39181717.950000003</v>
      </c>
      <c r="AM37" s="189">
        <v>39255820.450000003</v>
      </c>
      <c r="AN37" s="189">
        <v>40429012.159999996</v>
      </c>
      <c r="AO37" s="189">
        <v>33134452.059999999</v>
      </c>
      <c r="AP37" s="189">
        <v>49461663.18</v>
      </c>
      <c r="AQ37" s="189">
        <v>49653685.789999999</v>
      </c>
      <c r="AR37" s="189">
        <v>43706039.700000003</v>
      </c>
      <c r="AS37" s="189">
        <v>30035852.82</v>
      </c>
      <c r="AT37" s="189">
        <v>32835950.68</v>
      </c>
      <c r="AU37" s="189">
        <v>29647416.109999999</v>
      </c>
      <c r="AV37" s="189">
        <v>36663309.140000001</v>
      </c>
      <c r="AW37" s="189">
        <v>35721465.240000002</v>
      </c>
      <c r="AX37" s="189">
        <v>67424866.670000002</v>
      </c>
      <c r="AY37" s="189">
        <v>38549761.350000001</v>
      </c>
      <c r="AZ37" s="189">
        <v>31831242.359999999</v>
      </c>
      <c r="BA37" s="189">
        <v>36366795.359999999</v>
      </c>
      <c r="BB37" s="189">
        <v>32200195.579999998</v>
      </c>
      <c r="BC37" s="189">
        <v>25819330</v>
      </c>
      <c r="BD37" s="189">
        <v>37383615.130000003</v>
      </c>
      <c r="BE37" s="189">
        <v>30101826.91</v>
      </c>
      <c r="BF37" s="189">
        <v>38856922.200000003</v>
      </c>
      <c r="BG37" s="189">
        <v>3973473.13</v>
      </c>
      <c r="BH37" s="189">
        <v>16114781.32</v>
      </c>
      <c r="BI37" s="189">
        <v>5999387.6500000004</v>
      </c>
      <c r="BJ37" s="189">
        <v>26982231.800000001</v>
      </c>
      <c r="BK37" s="189">
        <v>23588099.780000001</v>
      </c>
      <c r="BL37" s="189">
        <v>21037009.23</v>
      </c>
      <c r="BM37" s="189">
        <v>8531708.4900000002</v>
      </c>
      <c r="BN37" s="189">
        <v>9190970.3900000006</v>
      </c>
      <c r="BO37" s="189">
        <v>6601646.6100000003</v>
      </c>
      <c r="BP37" s="189">
        <v>0</v>
      </c>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x14ac:dyDescent="0.25">
      <c r="A39" s="17" t="s">
        <v>25</v>
      </c>
      <c r="B39" s="189">
        <v>326249188.20999998</v>
      </c>
      <c r="C39" s="189">
        <v>285774419.89999998</v>
      </c>
      <c r="D39" s="189">
        <v>235817970.63</v>
      </c>
      <c r="E39" s="189">
        <v>244904236.87</v>
      </c>
      <c r="F39" s="189">
        <v>358313773.75</v>
      </c>
      <c r="G39" s="189">
        <v>298164372.49000001</v>
      </c>
      <c r="H39" s="189">
        <v>249865695.13999999</v>
      </c>
      <c r="I39" s="189">
        <v>210469690.18000001</v>
      </c>
      <c r="J39" s="189">
        <v>344061553.70999998</v>
      </c>
      <c r="K39" s="189">
        <v>277772544.83999997</v>
      </c>
      <c r="L39" s="189">
        <v>228224755.41999999</v>
      </c>
      <c r="M39" s="189">
        <v>192393439.50999999</v>
      </c>
      <c r="N39" s="189">
        <v>314912646.00999999</v>
      </c>
      <c r="O39" s="189">
        <v>250668244</v>
      </c>
      <c r="P39" s="189">
        <v>182599942.05000001</v>
      </c>
      <c r="Q39" s="189">
        <v>208550589.71000001</v>
      </c>
      <c r="R39" s="189">
        <v>297819949.30000001</v>
      </c>
      <c r="S39" s="189">
        <v>266334386.13</v>
      </c>
      <c r="T39" s="189">
        <v>249097189.22999999</v>
      </c>
      <c r="U39" s="189">
        <v>209102432.97</v>
      </c>
      <c r="V39" s="189">
        <v>295942563.33999997</v>
      </c>
      <c r="W39" s="189">
        <v>250530335.16999999</v>
      </c>
      <c r="X39" s="189">
        <v>196838463.11000001</v>
      </c>
      <c r="Y39" s="189">
        <v>205230185.66</v>
      </c>
      <c r="Z39" s="189">
        <v>293295806.10000002</v>
      </c>
      <c r="AA39" s="189">
        <v>257684104.24000001</v>
      </c>
      <c r="AB39" s="189">
        <v>211008411.77000001</v>
      </c>
      <c r="AC39" s="189">
        <v>209894506.33000001</v>
      </c>
      <c r="AD39" s="189">
        <v>291187573.5</v>
      </c>
      <c r="AE39" s="189">
        <v>264366044.38999999</v>
      </c>
      <c r="AF39" s="189">
        <v>227325025.72</v>
      </c>
      <c r="AG39" s="189">
        <v>260078400.08000001</v>
      </c>
      <c r="AH39" s="189">
        <v>259334766.41</v>
      </c>
      <c r="AI39" s="189">
        <v>236690581</v>
      </c>
      <c r="AJ39" s="189">
        <v>185090401.27000001</v>
      </c>
      <c r="AK39" s="189">
        <v>190947395.43000001</v>
      </c>
      <c r="AL39" s="189">
        <v>204089173.72</v>
      </c>
      <c r="AM39" s="189">
        <v>225454955.27000001</v>
      </c>
      <c r="AN39" s="189">
        <v>201653856.83000001</v>
      </c>
      <c r="AO39" s="189">
        <v>201042844.34999999</v>
      </c>
      <c r="AP39" s="189">
        <v>191659108.97999999</v>
      </c>
      <c r="AQ39" s="189">
        <v>162956666.68000001</v>
      </c>
      <c r="AR39" s="189">
        <v>130188307.45999999</v>
      </c>
      <c r="AS39" s="189">
        <v>167560377.75999999</v>
      </c>
      <c r="AT39" s="189">
        <v>27258996.539999999</v>
      </c>
      <c r="AU39" s="189">
        <v>26611161.899999999</v>
      </c>
      <c r="AV39" s="189">
        <v>41900886.049999997</v>
      </c>
      <c r="AW39" s="189">
        <v>39150725.640000001</v>
      </c>
      <c r="AX39" s="189">
        <v>36176698.579999998</v>
      </c>
      <c r="AY39" s="189">
        <v>43134311.049999997</v>
      </c>
      <c r="AZ39" s="189">
        <v>34148117.039999999</v>
      </c>
      <c r="BA39" s="189">
        <v>36941456.289999999</v>
      </c>
      <c r="BB39" s="189">
        <v>28748002.989999998</v>
      </c>
      <c r="BC39" s="189">
        <v>34347940.140000001</v>
      </c>
      <c r="BD39" s="189">
        <v>32396922.23</v>
      </c>
      <c r="BE39" s="189">
        <v>32418172.829999998</v>
      </c>
      <c r="BF39" s="189">
        <v>9070252.5399999991</v>
      </c>
      <c r="BG39" s="189">
        <v>7228825.3600000003</v>
      </c>
      <c r="BH39" s="189">
        <v>16545655.390000001</v>
      </c>
      <c r="BI39" s="189">
        <v>15963368.23</v>
      </c>
      <c r="BJ39" s="189">
        <v>11494280.810000001</v>
      </c>
      <c r="BK39" s="189">
        <v>18925783.73</v>
      </c>
      <c r="BL39" s="189">
        <v>16022401.560000001</v>
      </c>
      <c r="BM39" s="189">
        <v>21294613.949999999</v>
      </c>
      <c r="BN39" s="189">
        <v>13028435.93</v>
      </c>
      <c r="BO39" s="189">
        <v>6625120.1799999997</v>
      </c>
      <c r="BP39" s="189">
        <v>0</v>
      </c>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x14ac:dyDescent="0.25">
      <c r="A40" s="17" t="s">
        <v>26</v>
      </c>
      <c r="B40" s="189">
        <v>88853004.180000007</v>
      </c>
      <c r="C40" s="189">
        <v>-140308371.09</v>
      </c>
      <c r="D40" s="189">
        <v>94777246.819999993</v>
      </c>
      <c r="E40" s="189">
        <v>95580040.019999996</v>
      </c>
      <c r="F40" s="189">
        <v>58717201.109999999</v>
      </c>
      <c r="G40" s="189">
        <v>234828833.49000001</v>
      </c>
      <c r="H40" s="189">
        <v>386904779.73000002</v>
      </c>
      <c r="I40" s="189">
        <v>198201912.22</v>
      </c>
      <c r="J40" s="189">
        <v>160203894.47999999</v>
      </c>
      <c r="K40" s="189">
        <v>195338203.22</v>
      </c>
      <c r="L40" s="189">
        <v>274724525.20999998</v>
      </c>
      <c r="M40" s="189">
        <v>260077483.38</v>
      </c>
      <c r="N40" s="189">
        <v>213197673.22</v>
      </c>
      <c r="O40" s="189">
        <v>223690995.25999999</v>
      </c>
      <c r="P40" s="189">
        <v>227579202.24000001</v>
      </c>
      <c r="Q40" s="189">
        <v>216517382.06999999</v>
      </c>
      <c r="R40" s="189">
        <v>115724755.54000001</v>
      </c>
      <c r="S40" s="189">
        <v>83727893.439999998</v>
      </c>
      <c r="T40" s="189">
        <v>281693789.01999998</v>
      </c>
      <c r="U40" s="189">
        <v>278004851.13</v>
      </c>
      <c r="V40" s="189">
        <v>227539748.22</v>
      </c>
      <c r="W40" s="189">
        <v>170786422.33000001</v>
      </c>
      <c r="X40" s="189">
        <v>230917252.43000001</v>
      </c>
      <c r="Y40" s="189">
        <v>224142292.88999999</v>
      </c>
      <c r="Z40" s="189">
        <v>177925553.44</v>
      </c>
      <c r="AA40" s="189">
        <v>141289005.18000001</v>
      </c>
      <c r="AB40" s="189">
        <v>173143691.96000001</v>
      </c>
      <c r="AC40" s="189">
        <v>197353946.19999999</v>
      </c>
      <c r="AD40" s="189">
        <v>183123457.41</v>
      </c>
      <c r="AE40" s="189">
        <v>144578156.12</v>
      </c>
      <c r="AF40" s="189">
        <v>191909143.13</v>
      </c>
      <c r="AG40" s="189">
        <v>243379180.03999999</v>
      </c>
      <c r="AH40" s="189">
        <v>184360395.81999999</v>
      </c>
      <c r="AI40" s="189">
        <v>171310089.33000001</v>
      </c>
      <c r="AJ40" s="189">
        <v>187647628.08000001</v>
      </c>
      <c r="AK40" s="189">
        <v>214588488.72</v>
      </c>
      <c r="AL40" s="189">
        <v>209687373.83000001</v>
      </c>
      <c r="AM40" s="189">
        <v>167184072.83000001</v>
      </c>
      <c r="AN40" s="189">
        <v>181406767.99000001</v>
      </c>
      <c r="AO40" s="189">
        <v>176264204.94</v>
      </c>
      <c r="AP40" s="189">
        <v>188016542.36000001</v>
      </c>
      <c r="AQ40" s="189">
        <v>150105488.97999999</v>
      </c>
      <c r="AR40" s="189">
        <v>204122076.59999999</v>
      </c>
      <c r="AS40" s="189">
        <v>201211583.97999999</v>
      </c>
      <c r="AT40" s="189">
        <v>199527811.02000001</v>
      </c>
      <c r="AU40" s="189">
        <v>129498940.98</v>
      </c>
      <c r="AV40" s="189">
        <v>148705840.09999999</v>
      </c>
      <c r="AW40" s="189">
        <v>127573452.51000001</v>
      </c>
      <c r="AX40" s="189">
        <v>131977853.84</v>
      </c>
      <c r="AY40" s="189">
        <v>93427575.239999995</v>
      </c>
      <c r="AZ40" s="189">
        <v>159127962.37</v>
      </c>
      <c r="BA40" s="189">
        <v>102431770.2</v>
      </c>
      <c r="BB40" s="189">
        <v>154327081.53999999</v>
      </c>
      <c r="BC40" s="189">
        <v>96215791.140000001</v>
      </c>
      <c r="BD40" s="189">
        <v>43049765.630000003</v>
      </c>
      <c r="BE40" s="189">
        <v>12010993.109999999</v>
      </c>
      <c r="BF40" s="189">
        <v>47618813.920000002</v>
      </c>
      <c r="BG40" s="189">
        <v>146309994.34</v>
      </c>
      <c r="BH40" s="189">
        <v>132705058.14</v>
      </c>
      <c r="BI40" s="189">
        <v>111943900.87</v>
      </c>
      <c r="BJ40" s="189">
        <v>89717057.670000002</v>
      </c>
      <c r="BK40" s="189">
        <v>61116387.170000002</v>
      </c>
      <c r="BL40" s="189">
        <v>56206342.759999998</v>
      </c>
      <c r="BM40" s="189">
        <v>37427977.609999999</v>
      </c>
      <c r="BN40" s="189">
        <v>2204647.25</v>
      </c>
      <c r="BO40" s="189">
        <v>38863204.689999998</v>
      </c>
      <c r="BP40" s="189">
        <v>0</v>
      </c>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x14ac:dyDescent="0.25">
      <c r="A41" s="17" t="s">
        <v>27</v>
      </c>
      <c r="B41" s="189">
        <v>5574333018.4099998</v>
      </c>
      <c r="C41" s="189">
        <v>6318727483.0200005</v>
      </c>
      <c r="D41" s="189">
        <v>1699147026.01</v>
      </c>
      <c r="E41" s="189">
        <v>1301710809.8599999</v>
      </c>
      <c r="F41" s="189">
        <v>2155202216.5700002</v>
      </c>
      <c r="G41" s="189">
        <v>2472284337.2199998</v>
      </c>
      <c r="H41" s="189">
        <v>2163268605.77</v>
      </c>
      <c r="I41" s="189">
        <v>1946637414.74</v>
      </c>
      <c r="J41" s="189">
        <v>2005302399.27</v>
      </c>
      <c r="K41" s="189">
        <v>1924144074.97</v>
      </c>
      <c r="L41" s="189">
        <v>1712095206.3800001</v>
      </c>
      <c r="M41" s="189">
        <v>1717352340.46</v>
      </c>
      <c r="N41" s="189">
        <v>1369644719.4300001</v>
      </c>
      <c r="O41" s="189">
        <v>1538328959</v>
      </c>
      <c r="P41" s="189">
        <v>1565846420.6099999</v>
      </c>
      <c r="Q41" s="189">
        <v>1367490064.9400001</v>
      </c>
      <c r="R41" s="189">
        <v>1342003019.97</v>
      </c>
      <c r="S41" s="189">
        <v>1256964406.5799999</v>
      </c>
      <c r="T41" s="189">
        <v>1030628127.8200001</v>
      </c>
      <c r="U41" s="189">
        <v>1025022821.79</v>
      </c>
      <c r="V41" s="189">
        <v>1259625270.47</v>
      </c>
      <c r="W41" s="189">
        <v>1099995176.4400001</v>
      </c>
      <c r="X41" s="189">
        <v>1053002297.33</v>
      </c>
      <c r="Y41" s="189">
        <v>910498730.07000005</v>
      </c>
      <c r="Z41" s="189">
        <v>1305482417.27</v>
      </c>
      <c r="AA41" s="189">
        <v>1236357163.6400001</v>
      </c>
      <c r="AB41" s="189">
        <v>1199510843.71</v>
      </c>
      <c r="AC41" s="189">
        <v>1102089596.5</v>
      </c>
      <c r="AD41" s="189">
        <v>1685113519.8199999</v>
      </c>
      <c r="AE41" s="189">
        <v>1741049454.1600001</v>
      </c>
      <c r="AF41" s="189">
        <v>1856807164.47</v>
      </c>
      <c r="AG41" s="189">
        <v>1801908578.8900001</v>
      </c>
      <c r="AH41" s="189">
        <v>1824304699.72</v>
      </c>
      <c r="AI41" s="189">
        <v>1724610716.0999999</v>
      </c>
      <c r="AJ41" s="189">
        <v>2641739263</v>
      </c>
      <c r="AK41" s="189">
        <v>2583465976.3800001</v>
      </c>
      <c r="AL41" s="189">
        <v>769957923.14999998</v>
      </c>
      <c r="AM41" s="189">
        <v>842777862.55999994</v>
      </c>
      <c r="AN41" s="189">
        <v>781974272.01999998</v>
      </c>
      <c r="AO41" s="189">
        <v>940303483.42999995</v>
      </c>
      <c r="AP41" s="189">
        <v>1313449205.8900001</v>
      </c>
      <c r="AQ41" s="189">
        <v>1416385151.5599999</v>
      </c>
      <c r="AR41" s="189">
        <v>1322909336.74</v>
      </c>
      <c r="AS41" s="189">
        <v>1266390343.9000001</v>
      </c>
      <c r="AT41" s="189">
        <v>551674092.63</v>
      </c>
      <c r="AU41" s="189">
        <v>523937375.99000001</v>
      </c>
      <c r="AV41" s="189">
        <v>444118826.49000001</v>
      </c>
      <c r="AW41" s="189">
        <v>384275469.87</v>
      </c>
      <c r="AX41" s="189">
        <v>508858061.5</v>
      </c>
      <c r="AY41" s="189">
        <v>476083732.12</v>
      </c>
      <c r="AZ41" s="189">
        <v>418800404.05000001</v>
      </c>
      <c r="BA41" s="189">
        <v>393727995.41000003</v>
      </c>
      <c r="BB41" s="189">
        <v>930405860.32000005</v>
      </c>
      <c r="BC41" s="189">
        <v>895093386.17999995</v>
      </c>
      <c r="BD41" s="189">
        <v>3663741869.9299998</v>
      </c>
      <c r="BE41" s="189">
        <v>3501817256.52</v>
      </c>
      <c r="BF41" s="189">
        <v>2708130938.3400002</v>
      </c>
      <c r="BG41" s="189">
        <v>314553204.63</v>
      </c>
      <c r="BH41" s="189">
        <v>292017899.55000001</v>
      </c>
      <c r="BI41" s="189">
        <v>235101792.72999999</v>
      </c>
      <c r="BJ41" s="189">
        <v>215726851.97999999</v>
      </c>
      <c r="BK41" s="189">
        <v>191134316.36000001</v>
      </c>
      <c r="BL41" s="189">
        <v>143662647.99000001</v>
      </c>
      <c r="BM41" s="189">
        <v>79745255.5</v>
      </c>
      <c r="BN41" s="189">
        <v>48976222.549999997</v>
      </c>
      <c r="BO41" s="189">
        <v>36933985.450000003</v>
      </c>
      <c r="BP41" s="189">
        <v>0</v>
      </c>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x14ac:dyDescent="0.25">
      <c r="A42" s="123" t="s">
        <v>28</v>
      </c>
      <c r="B42" s="189">
        <v>275714837.31999999</v>
      </c>
      <c r="C42" s="189">
        <v>275714837.31999999</v>
      </c>
      <c r="D42" s="189">
        <v>275714837.31999999</v>
      </c>
      <c r="E42" s="189">
        <v>275714837.31999999</v>
      </c>
      <c r="F42" s="189">
        <v>279952145</v>
      </c>
      <c r="G42" s="189">
        <v>279952145</v>
      </c>
      <c r="H42" s="189">
        <v>279952145</v>
      </c>
      <c r="I42" s="189">
        <v>279952145</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x14ac:dyDescent="0.25">
      <c r="A43" s="17" t="s">
        <v>29</v>
      </c>
      <c r="B43" s="189">
        <v>122653189.78</v>
      </c>
      <c r="C43" s="189">
        <v>128526176.8</v>
      </c>
      <c r="D43" s="189">
        <v>104399163.81999999</v>
      </c>
      <c r="E43" s="189">
        <v>110272150.84</v>
      </c>
      <c r="F43" s="189">
        <v>107254879.31999999</v>
      </c>
      <c r="G43" s="189">
        <v>113195866.34999999</v>
      </c>
      <c r="H43" s="189">
        <v>119136853.38</v>
      </c>
      <c r="I43" s="189">
        <v>125077840.41</v>
      </c>
      <c r="J43" s="189">
        <v>138689312.91</v>
      </c>
      <c r="K43" s="189">
        <v>144630299.94</v>
      </c>
      <c r="L43" s="189">
        <v>150571286.97</v>
      </c>
      <c r="M43" s="189">
        <v>156512274</v>
      </c>
      <c r="N43" s="189">
        <v>153862532.44999999</v>
      </c>
      <c r="O43" s="189">
        <v>159803519.47999999</v>
      </c>
      <c r="P43" s="189">
        <v>165744506.50999999</v>
      </c>
      <c r="Q43" s="189">
        <v>171685493.53999999</v>
      </c>
      <c r="R43" s="189">
        <v>166367801.49000001</v>
      </c>
      <c r="S43" s="189">
        <v>172308788.52000001</v>
      </c>
      <c r="T43" s="189">
        <v>178249775.55000001</v>
      </c>
      <c r="U43" s="189">
        <v>184190762.58000001</v>
      </c>
      <c r="V43" s="189">
        <v>190131749.61000001</v>
      </c>
      <c r="W43" s="189">
        <v>196072736.63999999</v>
      </c>
      <c r="X43" s="189">
        <v>202013723.66999999</v>
      </c>
      <c r="Y43" s="189">
        <v>207954710.69999999</v>
      </c>
      <c r="Z43" s="189">
        <v>206306550.53999999</v>
      </c>
      <c r="AA43" s="189">
        <v>212006550.53999999</v>
      </c>
      <c r="AB43" s="189">
        <v>217706550.53999999</v>
      </c>
      <c r="AC43" s="189">
        <v>223406550.53999999</v>
      </c>
      <c r="AD43" s="189">
        <v>229106550.53999999</v>
      </c>
      <c r="AE43" s="189">
        <v>234806550.53999999</v>
      </c>
      <c r="AF43" s="189">
        <v>240506550.53999999</v>
      </c>
      <c r="AG43" s="189">
        <v>246206550.53999999</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x14ac:dyDescent="0.25">
      <c r="A45" s="17" t="s">
        <v>31</v>
      </c>
      <c r="B45" s="189">
        <v>0</v>
      </c>
      <c r="C45" s="189">
        <v>2014446328.74</v>
      </c>
      <c r="D45" s="189">
        <v>1999151388.9000001</v>
      </c>
      <c r="E45" s="189">
        <v>1999151388.9000001</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2574.6</v>
      </c>
      <c r="AS45" s="189">
        <v>0</v>
      </c>
      <c r="AT45" s="189">
        <v>1500000000</v>
      </c>
      <c r="AU45" s="189">
        <v>1500000000</v>
      </c>
      <c r="AV45" s="189">
        <v>1500000000</v>
      </c>
      <c r="AW45" s="189">
        <v>0</v>
      </c>
      <c r="AX45" s="189">
        <v>1000000000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6290442478.8599997</v>
      </c>
      <c r="C49" s="35">
        <f>SUM(C35:C41)+SUM(C43:C45)</f>
        <v>9293733357.2600002</v>
      </c>
      <c r="D49" s="35">
        <f>SUM(D35:D41)+SUM(D43:D45)</f>
        <v>4545126850.9800005</v>
      </c>
      <c r="E49" s="35">
        <f>SUM(E35:E45)</f>
        <v>4331960056.1800003</v>
      </c>
      <c r="F49" s="35">
        <f t="shared" ref="F49:BQ49" si="4">SUM(F35:F45)</f>
        <v>3209210607.9600005</v>
      </c>
      <c r="G49" s="35">
        <f t="shared" si="4"/>
        <v>3641058198.7099996</v>
      </c>
      <c r="H49" s="35">
        <f t="shared" si="4"/>
        <v>3425299596.21</v>
      </c>
      <c r="I49" s="35">
        <f t="shared" si="4"/>
        <v>2999325031.75</v>
      </c>
      <c r="J49" s="35">
        <f t="shared" si="4"/>
        <v>2824729794.4699998</v>
      </c>
      <c r="K49" s="35">
        <f t="shared" si="4"/>
        <v>2713047812.4000001</v>
      </c>
      <c r="L49" s="35">
        <f t="shared" si="4"/>
        <v>2555268332.5099998</v>
      </c>
      <c r="M49" s="35">
        <f t="shared" si="4"/>
        <v>2519209066.6700001</v>
      </c>
      <c r="N49" s="35">
        <f t="shared" si="4"/>
        <v>2259796247.9499998</v>
      </c>
      <c r="O49" s="35">
        <f t="shared" si="4"/>
        <v>2376954066.5599999</v>
      </c>
      <c r="P49" s="35">
        <f t="shared" si="4"/>
        <v>2349471514.8800001</v>
      </c>
      <c r="Q49" s="35">
        <f t="shared" si="4"/>
        <v>2177685936.8499999</v>
      </c>
      <c r="R49" s="35">
        <f t="shared" si="4"/>
        <v>2107890504.6400001</v>
      </c>
      <c r="S49" s="35">
        <f t="shared" si="4"/>
        <v>1969460318.3399999</v>
      </c>
      <c r="T49" s="35">
        <f t="shared" si="4"/>
        <v>1943045584.51</v>
      </c>
      <c r="U49" s="35">
        <f t="shared" si="4"/>
        <v>1908366674.77</v>
      </c>
      <c r="V49" s="35">
        <f t="shared" si="4"/>
        <v>2188877693.8200002</v>
      </c>
      <c r="W49" s="35">
        <f t="shared" si="4"/>
        <v>1935190431.4099998</v>
      </c>
      <c r="X49" s="35">
        <f t="shared" si="4"/>
        <v>1894525246.1900001</v>
      </c>
      <c r="Y49" s="35">
        <f t="shared" si="4"/>
        <v>1759423288.45</v>
      </c>
      <c r="Z49" s="35">
        <f t="shared" si="4"/>
        <v>2169376739.8699999</v>
      </c>
      <c r="AA49" s="35">
        <f t="shared" si="4"/>
        <v>2037741899.0800002</v>
      </c>
      <c r="AB49" s="35">
        <f t="shared" si="4"/>
        <v>2005553316.4100001</v>
      </c>
      <c r="AC49" s="35">
        <f t="shared" si="4"/>
        <v>1903998075.8199999</v>
      </c>
      <c r="AD49" s="35">
        <f t="shared" si="4"/>
        <v>2517171841.5099998</v>
      </c>
      <c r="AE49" s="35">
        <f t="shared" si="4"/>
        <v>2513666957.9200001</v>
      </c>
      <c r="AF49" s="35">
        <f t="shared" si="4"/>
        <v>2680815221.7200003</v>
      </c>
      <c r="AG49" s="35">
        <f t="shared" si="4"/>
        <v>2719667920.9000001</v>
      </c>
      <c r="AH49" s="35">
        <f t="shared" si="4"/>
        <v>2378981426.6300001</v>
      </c>
      <c r="AI49" s="35">
        <f t="shared" si="4"/>
        <v>2226846559.3800001</v>
      </c>
      <c r="AJ49" s="35">
        <f t="shared" si="4"/>
        <v>3103245180.8099999</v>
      </c>
      <c r="AK49" s="35">
        <f t="shared" si="4"/>
        <v>3076319655.9000001</v>
      </c>
      <c r="AL49" s="35">
        <f t="shared" si="4"/>
        <v>1293843415.5999999</v>
      </c>
      <c r="AM49" s="35">
        <f t="shared" si="4"/>
        <v>1679032034.6900001</v>
      </c>
      <c r="AN49" s="35">
        <f t="shared" si="4"/>
        <v>1593905732.1700001</v>
      </c>
      <c r="AO49" s="35">
        <f t="shared" si="4"/>
        <v>1465192589.5699999</v>
      </c>
      <c r="AP49" s="35">
        <f t="shared" si="4"/>
        <v>1784976653.2600002</v>
      </c>
      <c r="AQ49" s="35">
        <f t="shared" si="4"/>
        <v>1825278882.1599998</v>
      </c>
      <c r="AR49" s="35">
        <f t="shared" si="4"/>
        <v>1773608092.71</v>
      </c>
      <c r="AS49" s="35">
        <f t="shared" si="4"/>
        <v>1741351385.73</v>
      </c>
      <c r="AT49" s="35">
        <f t="shared" si="4"/>
        <v>2420001610.7200003</v>
      </c>
      <c r="AU49" s="35">
        <f t="shared" si="4"/>
        <v>2310927799.5599999</v>
      </c>
      <c r="AV49" s="35">
        <f t="shared" si="4"/>
        <v>2545939893.5799999</v>
      </c>
      <c r="AW49" s="35">
        <f t="shared" si="4"/>
        <v>846160591.26999998</v>
      </c>
      <c r="AX49" s="35">
        <f t="shared" si="4"/>
        <v>1904226683.5900002</v>
      </c>
      <c r="AY49" s="35">
        <f t="shared" si="4"/>
        <v>782183863.94000006</v>
      </c>
      <c r="AZ49" s="35">
        <f t="shared" si="4"/>
        <v>862340465.36000001</v>
      </c>
      <c r="BA49" s="35">
        <f t="shared" si="4"/>
        <v>735451036.82000005</v>
      </c>
      <c r="BB49" s="35">
        <f t="shared" si="4"/>
        <v>1617780793.3400002</v>
      </c>
      <c r="BC49" s="35">
        <f t="shared" si="4"/>
        <v>1526227176.76</v>
      </c>
      <c r="BD49" s="35">
        <f t="shared" si="4"/>
        <v>3840584304.9099998</v>
      </c>
      <c r="BE49" s="35">
        <f t="shared" si="4"/>
        <v>3644240067.5</v>
      </c>
      <c r="BF49" s="35">
        <f t="shared" si="4"/>
        <v>2858326060.1500001</v>
      </c>
      <c r="BG49" s="35">
        <f t="shared" si="4"/>
        <v>488498197</v>
      </c>
      <c r="BH49" s="35">
        <f t="shared" si="4"/>
        <v>472094438.62</v>
      </c>
      <c r="BI49" s="35">
        <f t="shared" si="4"/>
        <v>388385409.78999996</v>
      </c>
      <c r="BJ49" s="35">
        <f t="shared" si="4"/>
        <v>356779062.81</v>
      </c>
      <c r="BK49" s="35">
        <f t="shared" si="4"/>
        <v>304627433.83000004</v>
      </c>
      <c r="BL49" s="35">
        <f t="shared" si="4"/>
        <v>276316959.32000005</v>
      </c>
      <c r="BM49" s="35">
        <f t="shared" si="4"/>
        <v>181104326.29000002</v>
      </c>
      <c r="BN49" s="35">
        <f t="shared" si="4"/>
        <v>92456488.199999988</v>
      </c>
      <c r="BO49" s="35">
        <f t="shared" si="4"/>
        <v>102384451.34999999</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-4962267439.29</v>
      </c>
      <c r="C50" s="36">
        <f t="shared" ref="C50:BN50" si="6">C33-C49</f>
        <v>-7604892709.71</v>
      </c>
      <c r="D50" s="36">
        <f t="shared" si="6"/>
        <v>-2894408265.9700003</v>
      </c>
      <c r="E50" s="36">
        <f t="shared" si="6"/>
        <v>-3056356317.8100004</v>
      </c>
      <c r="F50" s="36">
        <f t="shared" si="6"/>
        <v>-1843789960.8500004</v>
      </c>
      <c r="G50" s="36">
        <f t="shared" si="6"/>
        <v>-2563885843.0799994</v>
      </c>
      <c r="H50" s="36">
        <f t="shared" si="6"/>
        <v>-1843114663.0799999</v>
      </c>
      <c r="I50" s="36">
        <f t="shared" si="6"/>
        <v>-1907505687.26</v>
      </c>
      <c r="J50" s="36">
        <f t="shared" si="6"/>
        <v>-1637706442.7599998</v>
      </c>
      <c r="K50" s="36">
        <f t="shared" si="6"/>
        <v>-1766059397.0599999</v>
      </c>
      <c r="L50" s="36">
        <f t="shared" si="6"/>
        <v>-1311664691.8699999</v>
      </c>
      <c r="M50" s="36">
        <f t="shared" si="6"/>
        <v>-1651290155.6500001</v>
      </c>
      <c r="N50" s="36">
        <f t="shared" si="6"/>
        <v>-1196877369.9399998</v>
      </c>
      <c r="O50" s="36">
        <f t="shared" si="6"/>
        <v>-1451531910.6899998</v>
      </c>
      <c r="P50" s="36">
        <f t="shared" si="6"/>
        <v>-1066419450.74</v>
      </c>
      <c r="Q50" s="36">
        <f t="shared" si="6"/>
        <v>-1314697724.9399998</v>
      </c>
      <c r="R50" s="36">
        <f t="shared" si="6"/>
        <v>-1064838870.54</v>
      </c>
      <c r="S50" s="36">
        <f t="shared" si="6"/>
        <v>-1110978059.8299999</v>
      </c>
      <c r="T50" s="36">
        <f t="shared" si="6"/>
        <v>-857653224.3599999</v>
      </c>
      <c r="U50" s="36">
        <f t="shared" si="6"/>
        <v>-1173724521.79</v>
      </c>
      <c r="V50" s="36">
        <f t="shared" si="6"/>
        <v>-1148829884.0000002</v>
      </c>
      <c r="W50" s="36">
        <f t="shared" si="6"/>
        <v>-998187118.05999982</v>
      </c>
      <c r="X50" s="36">
        <f t="shared" si="6"/>
        <v>-746399459.63999987</v>
      </c>
      <c r="Y50" s="36">
        <f t="shared" si="6"/>
        <v>-959428425.03999996</v>
      </c>
      <c r="Z50" s="36">
        <f t="shared" si="6"/>
        <v>-1033392695.1999998</v>
      </c>
      <c r="AA50" s="36">
        <f t="shared" si="6"/>
        <v>-1054380518.9800001</v>
      </c>
      <c r="AB50" s="36">
        <f t="shared" si="6"/>
        <v>-828335351.69000006</v>
      </c>
      <c r="AC50" s="36">
        <f t="shared" si="6"/>
        <v>-975340563.35000002</v>
      </c>
      <c r="AD50" s="36">
        <f t="shared" si="6"/>
        <v>-1312875850.6899998</v>
      </c>
      <c r="AE50" s="36">
        <f t="shared" si="6"/>
        <v>-1387654665.6599998</v>
      </c>
      <c r="AF50" s="36">
        <f t="shared" si="6"/>
        <v>-1366453297.2700002</v>
      </c>
      <c r="AG50" s="36">
        <f t="shared" si="6"/>
        <v>-1670160948.8600001</v>
      </c>
      <c r="AH50" s="36">
        <f t="shared" si="6"/>
        <v>-1557889973.1600001</v>
      </c>
      <c r="AI50" s="36">
        <f t="shared" si="6"/>
        <v>-1094935659.3000002</v>
      </c>
      <c r="AJ50" s="36">
        <f t="shared" si="6"/>
        <v>-1935377590.23</v>
      </c>
      <c r="AK50" s="36">
        <f t="shared" si="6"/>
        <v>-2023623644.25</v>
      </c>
      <c r="AL50" s="36">
        <f t="shared" si="6"/>
        <v>-76586599.579999924</v>
      </c>
      <c r="AM50" s="36">
        <f t="shared" si="6"/>
        <v>-303585216.32000017</v>
      </c>
      <c r="AN50" s="36">
        <f t="shared" si="6"/>
        <v>-258969261.82999992</v>
      </c>
      <c r="AO50" s="36">
        <f t="shared" si="6"/>
        <v>-401545210.75999987</v>
      </c>
      <c r="AP50" s="36">
        <f t="shared" si="6"/>
        <v>-545710214.23000026</v>
      </c>
      <c r="AQ50" s="36">
        <f t="shared" si="6"/>
        <v>-630897949.3499999</v>
      </c>
      <c r="AR50" s="36">
        <f t="shared" si="6"/>
        <v>-737612910.92000008</v>
      </c>
      <c r="AS50" s="36">
        <f t="shared" si="6"/>
        <v>-976242145.91000009</v>
      </c>
      <c r="AT50" s="36">
        <f t="shared" si="6"/>
        <v>-1417885050.8600004</v>
      </c>
      <c r="AU50" s="36">
        <f t="shared" si="6"/>
        <v>-1077580947.28</v>
      </c>
      <c r="AV50" s="36">
        <f t="shared" si="6"/>
        <v>-1333918496.3499999</v>
      </c>
      <c r="AW50" s="36">
        <f t="shared" si="6"/>
        <v>99418420.100000024</v>
      </c>
      <c r="AX50" s="36">
        <f t="shared" si="6"/>
        <v>-550544170.1500001</v>
      </c>
      <c r="AY50" s="36">
        <f t="shared" si="6"/>
        <v>476145313.38000011</v>
      </c>
      <c r="AZ50" s="36">
        <f t="shared" si="6"/>
        <v>337069986.41999996</v>
      </c>
      <c r="BA50" s="36">
        <f t="shared" si="6"/>
        <v>321878662.73999989</v>
      </c>
      <c r="BB50" s="36">
        <f t="shared" si="6"/>
        <v>-591714010.57000017</v>
      </c>
      <c r="BC50" s="36">
        <f t="shared" si="6"/>
        <v>-545427242.92999995</v>
      </c>
      <c r="BD50" s="36">
        <f t="shared" si="6"/>
        <v>-2867695510</v>
      </c>
      <c r="BE50" s="36">
        <f t="shared" si="6"/>
        <v>-2953251908.6500001</v>
      </c>
      <c r="BF50" s="36">
        <f t="shared" si="6"/>
        <v>-2230839794.52</v>
      </c>
      <c r="BG50" s="36">
        <f t="shared" si="6"/>
        <v>139812950.54999995</v>
      </c>
      <c r="BH50" s="36">
        <f t="shared" si="6"/>
        <v>89247939.5</v>
      </c>
      <c r="BI50" s="36">
        <f t="shared" si="6"/>
        <v>75408847.150000036</v>
      </c>
      <c r="BJ50" s="36">
        <f t="shared" si="6"/>
        <v>66701192.799999952</v>
      </c>
      <c r="BK50" s="36">
        <f t="shared" si="6"/>
        <v>-19874.680000007153</v>
      </c>
      <c r="BL50" s="36">
        <f t="shared" si="6"/>
        <v>98136749.879999876</v>
      </c>
      <c r="BM50" s="36">
        <f t="shared" si="6"/>
        <v>120597558.45999998</v>
      </c>
      <c r="BN50" s="36">
        <f t="shared" si="6"/>
        <v>82555644.789999992</v>
      </c>
      <c r="BO50" s="36">
        <f t="shared" ref="BO50:CK50" si="7">BO33-BO49</f>
        <v>300560985.86000001</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21442114167.91</v>
      </c>
      <c r="C52" s="189">
        <v>21743420345.73</v>
      </c>
      <c r="D52" s="189">
        <v>8471088498.8800001</v>
      </c>
      <c r="E52" s="189">
        <v>8603487459.7000008</v>
      </c>
      <c r="F52" s="189">
        <v>6820651352.54</v>
      </c>
      <c r="G52" s="189">
        <v>6892944250.2700005</v>
      </c>
      <c r="H52" s="189">
        <v>6982823988.5100002</v>
      </c>
      <c r="I52" s="189">
        <v>7015958657</v>
      </c>
      <c r="J52" s="189">
        <v>7121957028.8699999</v>
      </c>
      <c r="K52" s="189">
        <v>7219270043.6199999</v>
      </c>
      <c r="L52" s="189">
        <v>7301861890.9099998</v>
      </c>
      <c r="M52" s="189">
        <v>7399321845.1300001</v>
      </c>
      <c r="N52" s="189">
        <v>6198758922.4300003</v>
      </c>
      <c r="O52" s="189">
        <v>6287816541.5799999</v>
      </c>
      <c r="P52" s="189">
        <v>6393351995.7399998</v>
      </c>
      <c r="Q52" s="189">
        <v>6534008834.7399998</v>
      </c>
      <c r="R52" s="189">
        <v>6701316113.8100004</v>
      </c>
      <c r="S52" s="189">
        <v>6829912982.1400003</v>
      </c>
      <c r="T52" s="189">
        <v>7007296271.4799995</v>
      </c>
      <c r="U52" s="189">
        <v>7157583148.54</v>
      </c>
      <c r="V52" s="189">
        <v>7349867366.9799995</v>
      </c>
      <c r="W52" s="189">
        <v>7495389943.5600004</v>
      </c>
      <c r="X52" s="189">
        <v>7650104976.1300001</v>
      </c>
      <c r="Y52" s="189">
        <v>7828188364.5600004</v>
      </c>
      <c r="Z52" s="189">
        <v>7971168153.7600002</v>
      </c>
      <c r="AA52" s="189">
        <v>8124608680.3000002</v>
      </c>
      <c r="AB52" s="189">
        <v>8272458240.5799999</v>
      </c>
      <c r="AC52" s="189">
        <v>8409646564.9700003</v>
      </c>
      <c r="AD52" s="189">
        <v>8072113244.3000002</v>
      </c>
      <c r="AE52" s="189">
        <v>8205825703.5799999</v>
      </c>
      <c r="AF52" s="189">
        <v>8336942320.3100004</v>
      </c>
      <c r="AG52" s="189">
        <v>8493606648.6199999</v>
      </c>
      <c r="AH52" s="189">
        <v>8229523090.0100002</v>
      </c>
      <c r="AI52" s="189">
        <v>8322920967.3699999</v>
      </c>
      <c r="AJ52" s="189">
        <v>6618114496.2600002</v>
      </c>
      <c r="AK52" s="189">
        <v>6723331067.0500002</v>
      </c>
      <c r="AL52" s="189">
        <v>6811901391.2299995</v>
      </c>
      <c r="AM52" s="189">
        <v>6887834895.04</v>
      </c>
      <c r="AN52" s="189">
        <v>6993197084.3699999</v>
      </c>
      <c r="AO52" s="189">
        <v>7100304503.6099997</v>
      </c>
      <c r="AP52" s="189">
        <v>7207110624.3599997</v>
      </c>
      <c r="AQ52" s="189">
        <v>7296759047.4700003</v>
      </c>
      <c r="AR52" s="189">
        <v>7404783094.5100002</v>
      </c>
      <c r="AS52" s="189">
        <v>7503091099.54</v>
      </c>
      <c r="AT52" s="189">
        <v>5578045219.0600004</v>
      </c>
      <c r="AU52" s="189">
        <v>5567832036.8000002</v>
      </c>
      <c r="AV52" s="189">
        <v>5659280072.0500002</v>
      </c>
      <c r="AW52" s="189">
        <v>5779098508.0299997</v>
      </c>
      <c r="AX52" s="189">
        <v>5816969600.5900002</v>
      </c>
      <c r="AY52" s="189">
        <v>5902521307.1700001</v>
      </c>
      <c r="AZ52" s="189">
        <v>5986295329.3400002</v>
      </c>
      <c r="BA52" s="189">
        <v>6036917234.96</v>
      </c>
      <c r="BB52" s="189">
        <v>6046021039.0100002</v>
      </c>
      <c r="BC52" s="189">
        <v>6111353174.9200001</v>
      </c>
      <c r="BD52" s="189">
        <v>5756415416.46</v>
      </c>
      <c r="BE52" s="189">
        <v>5814684973.4799995</v>
      </c>
      <c r="BF52" s="189">
        <v>5062240099.5100002</v>
      </c>
      <c r="BG52" s="189">
        <v>219218680.94999999</v>
      </c>
      <c r="BH52" s="189">
        <v>226924695.55000001</v>
      </c>
      <c r="BI52" s="189">
        <v>233581290.53999999</v>
      </c>
      <c r="BJ52" s="189">
        <v>235392971.25</v>
      </c>
      <c r="BK52" s="189">
        <v>241433677.91999999</v>
      </c>
      <c r="BL52" s="189">
        <v>249561160.59999999</v>
      </c>
      <c r="BM52" s="189">
        <v>257653081.69999999</v>
      </c>
      <c r="BN52" s="189">
        <v>277053806.48000002</v>
      </c>
      <c r="BO52" s="189">
        <v>295895549.43000001</v>
      </c>
      <c r="BP52" s="189">
        <v>0</v>
      </c>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430021845.06999999</v>
      </c>
      <c r="C53" s="189">
        <v>337794918.68000001</v>
      </c>
      <c r="D53" s="189">
        <v>9842817895.4500008</v>
      </c>
      <c r="E53" s="189">
        <v>9093831977.4500008</v>
      </c>
      <c r="F53" s="189">
        <v>10222274379.129999</v>
      </c>
      <c r="G53" s="189">
        <v>9374748126.2800007</v>
      </c>
      <c r="H53" s="189">
        <v>8716116991.5799999</v>
      </c>
      <c r="I53" s="189">
        <v>7948043436.4700003</v>
      </c>
      <c r="J53" s="189">
        <v>5605191680.3299999</v>
      </c>
      <c r="K53" s="189">
        <v>4766309036.4499998</v>
      </c>
      <c r="L53" s="189">
        <v>4290151696.1500001</v>
      </c>
      <c r="M53" s="189">
        <v>2106170337.25</v>
      </c>
      <c r="N53" s="189">
        <v>2207704318.8000002</v>
      </c>
      <c r="O53" s="189">
        <v>1774476781.4300001</v>
      </c>
      <c r="P53" s="189">
        <v>16199619.300000001</v>
      </c>
      <c r="Q53" s="189">
        <v>13910736.41</v>
      </c>
      <c r="R53" s="189">
        <v>7967184.9000000004</v>
      </c>
      <c r="S53" s="189">
        <v>15712946.23</v>
      </c>
      <c r="T53" s="189">
        <v>13635684.43</v>
      </c>
      <c r="U53" s="189">
        <v>9585270</v>
      </c>
      <c r="V53" s="189">
        <v>71593575.569999993</v>
      </c>
      <c r="W53" s="189">
        <v>48850460.579999998</v>
      </c>
      <c r="X53" s="189">
        <v>42903240.469999999</v>
      </c>
      <c r="Y53" s="189">
        <v>36782712.590000004</v>
      </c>
      <c r="Z53" s="189">
        <v>87104331.849999994</v>
      </c>
      <c r="AA53" s="189">
        <v>79021950.540000007</v>
      </c>
      <c r="AB53" s="189">
        <v>87637949.290000007</v>
      </c>
      <c r="AC53" s="189">
        <v>103240907.25</v>
      </c>
      <c r="AD53" s="189">
        <v>428980511.29000002</v>
      </c>
      <c r="AE53" s="189">
        <v>415025616.94999999</v>
      </c>
      <c r="AF53" s="189">
        <v>420621516.19999999</v>
      </c>
      <c r="AG53" s="189">
        <v>410837028.81</v>
      </c>
      <c r="AH53" s="189">
        <v>176312113.53</v>
      </c>
      <c r="AI53" s="189">
        <v>189955032.40000001</v>
      </c>
      <c r="AJ53" s="189">
        <v>2013718655.01</v>
      </c>
      <c r="AK53" s="189">
        <v>2011890180.51</v>
      </c>
      <c r="AL53" s="189">
        <v>107546146.05</v>
      </c>
      <c r="AM53" s="189">
        <v>23926506.719999999</v>
      </c>
      <c r="AN53" s="189">
        <v>21862083.100000001</v>
      </c>
      <c r="AO53" s="189">
        <v>27747466.859999999</v>
      </c>
      <c r="AP53" s="189">
        <v>2813543.1</v>
      </c>
      <c r="AQ53" s="189">
        <v>1927543.1</v>
      </c>
      <c r="AR53" s="189">
        <v>3327543.1</v>
      </c>
      <c r="AS53" s="189">
        <v>10379126.800000001</v>
      </c>
      <c r="AT53" s="189">
        <v>22656754.199999999</v>
      </c>
      <c r="AU53" s="189">
        <v>22656754.199999999</v>
      </c>
      <c r="AV53" s="189">
        <v>21534077.59</v>
      </c>
      <c r="AW53" s="189">
        <v>20964439.59</v>
      </c>
      <c r="AX53" s="189">
        <v>62908890.109999999</v>
      </c>
      <c r="AY53" s="189">
        <v>62012981.509999998</v>
      </c>
      <c r="AZ53" s="189">
        <v>60016603.950000003</v>
      </c>
      <c r="BA53" s="189">
        <v>75565270.569999993</v>
      </c>
      <c r="BB53" s="189">
        <v>52773412.890000001</v>
      </c>
      <c r="BC53" s="189">
        <v>43447645.100000001</v>
      </c>
      <c r="BD53" s="189">
        <v>27075932.940000001</v>
      </c>
      <c r="BE53" s="189">
        <v>34133853.090000004</v>
      </c>
      <c r="BF53" s="189">
        <v>25110832.949999999</v>
      </c>
      <c r="BG53" s="189">
        <v>2500044073.6399999</v>
      </c>
      <c r="BH53" s="189">
        <v>2500273960.96</v>
      </c>
      <c r="BI53" s="189">
        <v>2500150296.5999999</v>
      </c>
      <c r="BJ53" s="189">
        <v>2500122219.8899999</v>
      </c>
      <c r="BK53" s="189">
        <v>0</v>
      </c>
      <c r="BL53" s="189">
        <v>97098.6</v>
      </c>
      <c r="BM53" s="189">
        <v>0</v>
      </c>
      <c r="BN53" s="189">
        <v>433916.08</v>
      </c>
      <c r="BO53" s="189">
        <v>3983020.15</v>
      </c>
      <c r="BP53" s="189">
        <v>0</v>
      </c>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163800</v>
      </c>
      <c r="BD54" s="189">
        <v>0</v>
      </c>
      <c r="BE54" s="189">
        <v>0</v>
      </c>
      <c r="BF54" s="189">
        <v>0</v>
      </c>
      <c r="BG54" s="189">
        <v>0</v>
      </c>
      <c r="BH54" s="189">
        <v>0</v>
      </c>
      <c r="BI54" s="189">
        <v>0</v>
      </c>
      <c r="BJ54" s="189">
        <v>0</v>
      </c>
      <c r="BK54" s="189">
        <v>2500122219.8899999</v>
      </c>
      <c r="BL54" s="189">
        <v>0</v>
      </c>
      <c r="BM54" s="189">
        <v>0</v>
      </c>
      <c r="BN54" s="189">
        <v>0</v>
      </c>
      <c r="BO54" s="189">
        <v>0</v>
      </c>
      <c r="BP54" s="189">
        <v>0</v>
      </c>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568057.24</v>
      </c>
      <c r="K55" s="189">
        <v>546668.44999999995</v>
      </c>
      <c r="L55" s="189">
        <v>46551.54</v>
      </c>
      <c r="M55" s="189">
        <v>0</v>
      </c>
      <c r="N55" s="189">
        <v>99836.89</v>
      </c>
      <c r="O55" s="189">
        <v>99970.35</v>
      </c>
      <c r="P55" s="189">
        <v>75288.62</v>
      </c>
      <c r="Q55" s="189">
        <v>0</v>
      </c>
      <c r="R55" s="189">
        <v>151471.22</v>
      </c>
      <c r="S55" s="189">
        <v>64696.53</v>
      </c>
      <c r="T55" s="189">
        <v>27216.83</v>
      </c>
      <c r="U55" s="189">
        <v>0</v>
      </c>
      <c r="V55" s="189">
        <v>4004.29</v>
      </c>
      <c r="W55" s="189">
        <v>69708.81</v>
      </c>
      <c r="X55" s="189">
        <v>0</v>
      </c>
      <c r="Y55" s="189">
        <v>0</v>
      </c>
      <c r="Z55" s="189">
        <v>163474.51</v>
      </c>
      <c r="AA55" s="189">
        <v>315694.67</v>
      </c>
      <c r="AB55" s="189">
        <v>61594.93</v>
      </c>
      <c r="AC55" s="189">
        <v>0</v>
      </c>
      <c r="AD55" s="189">
        <v>515044.62</v>
      </c>
      <c r="AE55" s="189">
        <v>484853.4</v>
      </c>
      <c r="AF55" s="189">
        <v>457936.21</v>
      </c>
      <c r="AG55" s="189">
        <v>0</v>
      </c>
      <c r="AH55" s="189">
        <v>208533.5</v>
      </c>
      <c r="AI55" s="189">
        <v>81313.63</v>
      </c>
      <c r="AJ55" s="189">
        <v>109873.63</v>
      </c>
      <c r="AK55" s="189">
        <v>0</v>
      </c>
      <c r="AL55" s="189">
        <v>109264.33</v>
      </c>
      <c r="AM55" s="189">
        <v>13865.6</v>
      </c>
      <c r="AN55" s="189">
        <v>1323.6</v>
      </c>
      <c r="AO55" s="189">
        <v>0</v>
      </c>
      <c r="AP55" s="189">
        <v>0</v>
      </c>
      <c r="AQ55" s="189">
        <v>460697.63</v>
      </c>
      <c r="AR55" s="189">
        <v>-25884.6</v>
      </c>
      <c r="AS55" s="189">
        <v>0</v>
      </c>
      <c r="AT55" s="189">
        <v>1055430.42</v>
      </c>
      <c r="AU55" s="189">
        <v>117461.77</v>
      </c>
      <c r="AV55" s="189">
        <v>178880.58</v>
      </c>
      <c r="AW55" s="189">
        <v>0</v>
      </c>
      <c r="AX55" s="189">
        <v>1618553.51</v>
      </c>
      <c r="AY55" s="189">
        <v>1852428.04</v>
      </c>
      <c r="AZ55" s="189">
        <v>-499401.36</v>
      </c>
      <c r="BA55" s="189">
        <v>0</v>
      </c>
      <c r="BB55" s="189">
        <v>-557354.99</v>
      </c>
      <c r="BC55" s="189">
        <v>0</v>
      </c>
      <c r="BD55" s="189">
        <v>-38886.980000000003</v>
      </c>
      <c r="BE55" s="189">
        <v>0</v>
      </c>
      <c r="BF55" s="189">
        <v>0</v>
      </c>
      <c r="BG55" s="189">
        <v>28832.62</v>
      </c>
      <c r="BH55" s="189">
        <v>7742.32</v>
      </c>
      <c r="BI55" s="189">
        <v>0</v>
      </c>
      <c r="BJ55" s="189">
        <v>65108.34</v>
      </c>
      <c r="BK55" s="189">
        <v>70849.8</v>
      </c>
      <c r="BL55" s="189">
        <v>51161.96</v>
      </c>
      <c r="BM55" s="189">
        <v>0</v>
      </c>
      <c r="BN55" s="189">
        <v>0</v>
      </c>
      <c r="BO55" s="189">
        <v>115469.25</v>
      </c>
      <c r="BP55" s="189">
        <v>0</v>
      </c>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559735738.38999999</v>
      </c>
      <c r="C58" s="189">
        <v>574409007.54999995</v>
      </c>
      <c r="D58" s="189">
        <v>28170512.32</v>
      </c>
      <c r="E58" s="189">
        <v>27944563.260000002</v>
      </c>
      <c r="F58" s="189">
        <v>22525769.120000001</v>
      </c>
      <c r="G58" s="189">
        <v>21438822.09</v>
      </c>
      <c r="H58" s="189">
        <v>21725423.510000002</v>
      </c>
      <c r="I58" s="189">
        <v>22305920.23</v>
      </c>
      <c r="J58" s="189">
        <v>22312321.550000001</v>
      </c>
      <c r="K58" s="189">
        <v>22892818.27</v>
      </c>
      <c r="L58" s="189">
        <v>22237427.149999999</v>
      </c>
      <c r="M58" s="189">
        <v>22801650.309999999</v>
      </c>
      <c r="N58" s="189">
        <v>20398259.789999999</v>
      </c>
      <c r="O58" s="189">
        <v>20613316.469999999</v>
      </c>
      <c r="P58" s="189">
        <v>20828373.149999999</v>
      </c>
      <c r="Q58" s="189">
        <v>21215658.449999999</v>
      </c>
      <c r="R58" s="189">
        <v>19660759.82</v>
      </c>
      <c r="S58" s="189">
        <v>19907755.02</v>
      </c>
      <c r="T58" s="189">
        <v>20097340.68</v>
      </c>
      <c r="U58" s="189">
        <v>20286926.34</v>
      </c>
      <c r="V58" s="189">
        <v>20216836.170000002</v>
      </c>
      <c r="W58" s="189">
        <v>20540724.329999998</v>
      </c>
      <c r="X58" s="189">
        <v>21200055.489999998</v>
      </c>
      <c r="Y58" s="189">
        <v>21536069.649999999</v>
      </c>
      <c r="Z58" s="189">
        <v>22020004.649999999</v>
      </c>
      <c r="AA58" s="189">
        <v>22521542.07</v>
      </c>
      <c r="AB58" s="189">
        <v>22598528.289999999</v>
      </c>
      <c r="AC58" s="189">
        <v>23029009.289999999</v>
      </c>
      <c r="AD58" s="189">
        <v>23518204.609999999</v>
      </c>
      <c r="AE58" s="189">
        <v>23999199.23</v>
      </c>
      <c r="AF58" s="189">
        <v>24480193.850000001</v>
      </c>
      <c r="AG58" s="189">
        <v>24952979.469999999</v>
      </c>
      <c r="AH58" s="189">
        <v>23744751.190000001</v>
      </c>
      <c r="AI58" s="189">
        <v>25629982.960000001</v>
      </c>
      <c r="AJ58" s="189">
        <v>27335218.73</v>
      </c>
      <c r="AK58" s="189">
        <v>29033786.489999998</v>
      </c>
      <c r="AL58" s="189">
        <v>26913139.18</v>
      </c>
      <c r="AM58" s="189">
        <v>27784703.379999999</v>
      </c>
      <c r="AN58" s="189">
        <v>28656267.579999998</v>
      </c>
      <c r="AO58" s="189">
        <v>29527831.780000001</v>
      </c>
      <c r="AP58" s="189">
        <v>30520624.98</v>
      </c>
      <c r="AQ58" s="189">
        <v>31392189.18</v>
      </c>
      <c r="AR58" s="189">
        <v>33000101.579999998</v>
      </c>
      <c r="AS58" s="189">
        <v>30274852.579999998</v>
      </c>
      <c r="AT58" s="189">
        <v>31033700.780000001</v>
      </c>
      <c r="AU58" s="189">
        <v>54551686.740000002</v>
      </c>
      <c r="AV58" s="189">
        <v>55543675.950000003</v>
      </c>
      <c r="AW58" s="189">
        <v>56535665.159999996</v>
      </c>
      <c r="AX58" s="189">
        <v>57768154.350000001</v>
      </c>
      <c r="AY58" s="189">
        <v>58639893.57</v>
      </c>
      <c r="AZ58" s="189">
        <v>59339404.170000002</v>
      </c>
      <c r="BA58" s="189">
        <v>60503622</v>
      </c>
      <c r="BB58" s="189">
        <v>48881103.409999996</v>
      </c>
      <c r="BC58" s="189">
        <v>49443275.920000002</v>
      </c>
      <c r="BD58" s="189">
        <v>49833219.43</v>
      </c>
      <c r="BE58" s="189">
        <v>50223162.939999998</v>
      </c>
      <c r="BF58" s="189">
        <v>50408439.770000003</v>
      </c>
      <c r="BG58" s="189">
        <v>50901383.299999997</v>
      </c>
      <c r="BH58" s="189">
        <v>51166326.829999998</v>
      </c>
      <c r="BI58" s="189">
        <v>51545270.359999999</v>
      </c>
      <c r="BJ58" s="189">
        <v>51924213.890000001</v>
      </c>
      <c r="BK58" s="189">
        <v>52303157.420000002</v>
      </c>
      <c r="BL58" s="189">
        <v>52682100.950000003</v>
      </c>
      <c r="BM58" s="189">
        <v>53061044.479999997</v>
      </c>
      <c r="BN58" s="189">
        <v>53594318.600000001</v>
      </c>
      <c r="BO58" s="189">
        <v>52670611.759999998</v>
      </c>
      <c r="BP58" s="189">
        <v>0</v>
      </c>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15928936.460000001</v>
      </c>
      <c r="C61" s="189">
        <v>3846196.45</v>
      </c>
      <c r="D61" s="189">
        <v>13295146.449999999</v>
      </c>
      <c r="E61" s="189">
        <v>22744096.449999999</v>
      </c>
      <c r="F61" s="189">
        <v>29239827.600000001</v>
      </c>
      <c r="G61" s="189">
        <v>29239827.600000001</v>
      </c>
      <c r="H61" s="189">
        <v>16991161.719999999</v>
      </c>
      <c r="I61" s="189">
        <v>29224071.850000001</v>
      </c>
      <c r="J61" s="189">
        <v>35117004.840000004</v>
      </c>
      <c r="K61" s="189">
        <v>36017175.229999997</v>
      </c>
      <c r="L61" s="189">
        <v>30921722.670000002</v>
      </c>
      <c r="M61" s="189">
        <v>39262022.600000001</v>
      </c>
      <c r="N61" s="189">
        <v>2193929.0699999998</v>
      </c>
      <c r="O61" s="189">
        <v>2606925.54</v>
      </c>
      <c r="P61" s="189">
        <v>21783922.010000002</v>
      </c>
      <c r="Q61" s="189">
        <v>3432919.59</v>
      </c>
      <c r="R61" s="189">
        <v>21971376.920000002</v>
      </c>
      <c r="S61" s="189">
        <v>4062632.25</v>
      </c>
      <c r="T61" s="189">
        <v>3848167.26</v>
      </c>
      <c r="U61" s="189">
        <v>4840609.09</v>
      </c>
      <c r="V61" s="189">
        <v>3625368.05</v>
      </c>
      <c r="W61" s="189">
        <v>4628222.4800000004</v>
      </c>
      <c r="X61" s="189">
        <v>5631076.9100000001</v>
      </c>
      <c r="Y61" s="189">
        <v>4571183.74</v>
      </c>
      <c r="Z61" s="189">
        <v>6609693.6100000003</v>
      </c>
      <c r="AA61" s="189">
        <v>7471491.3700000001</v>
      </c>
      <c r="AB61" s="189">
        <v>7108713.0700000003</v>
      </c>
      <c r="AC61" s="189">
        <v>7684383.7000000002</v>
      </c>
      <c r="AD61" s="189">
        <v>7440967.0300000003</v>
      </c>
      <c r="AE61" s="189">
        <v>7997461.4500000002</v>
      </c>
      <c r="AF61" s="189">
        <v>9155795.8300000001</v>
      </c>
      <c r="AG61" s="189">
        <v>10359334.75</v>
      </c>
      <c r="AH61" s="189">
        <v>15295647.67</v>
      </c>
      <c r="AI61" s="189">
        <v>17516881.850000001</v>
      </c>
      <c r="AJ61" s="189">
        <v>19725802.899999999</v>
      </c>
      <c r="AK61" s="189">
        <v>18542553.829999998</v>
      </c>
      <c r="AL61" s="189">
        <v>20635689.550000001</v>
      </c>
      <c r="AM61" s="189">
        <v>21873553.059999999</v>
      </c>
      <c r="AN61" s="189">
        <v>23099569.030000001</v>
      </c>
      <c r="AO61" s="189">
        <v>24139169.719999999</v>
      </c>
      <c r="AP61" s="189">
        <v>45741879.259999998</v>
      </c>
      <c r="AQ61" s="189">
        <v>46477873.659999996</v>
      </c>
      <c r="AR61" s="189">
        <v>24548119</v>
      </c>
      <c r="AS61" s="189">
        <v>46482555.329999998</v>
      </c>
      <c r="AT61" s="189">
        <v>49513090.68</v>
      </c>
      <c r="AU61" s="189">
        <v>51755798.109999999</v>
      </c>
      <c r="AV61" s="189">
        <v>54402599.439999998</v>
      </c>
      <c r="AW61" s="189">
        <v>53803704.520000003</v>
      </c>
      <c r="AX61" s="189">
        <v>60898049.32</v>
      </c>
      <c r="AY61" s="189">
        <v>61055464.310000002</v>
      </c>
      <c r="AZ61" s="189">
        <v>61183762.979999997</v>
      </c>
      <c r="BA61" s="189">
        <v>60659740.719999999</v>
      </c>
      <c r="BB61" s="189">
        <v>38662352.729999997</v>
      </c>
      <c r="BC61" s="189">
        <v>54062386.299999997</v>
      </c>
      <c r="BD61" s="189">
        <v>37124412.840000004</v>
      </c>
      <c r="BE61" s="189">
        <v>32578152.879999999</v>
      </c>
      <c r="BF61" s="189">
        <v>22247043.559999999</v>
      </c>
      <c r="BG61" s="189">
        <v>11410999.65</v>
      </c>
      <c r="BH61" s="189">
        <v>11111866.279999999</v>
      </c>
      <c r="BI61" s="189">
        <v>11640000.35</v>
      </c>
      <c r="BJ61" s="189">
        <v>12253595.24</v>
      </c>
      <c r="BK61" s="189">
        <v>13056439.960000001</v>
      </c>
      <c r="BL61" s="189">
        <v>13826626.359999999</v>
      </c>
      <c r="BM61" s="189">
        <v>15174387.6</v>
      </c>
      <c r="BN61" s="189">
        <v>12126489.65</v>
      </c>
      <c r="BO61" s="189">
        <v>7349117.21</v>
      </c>
      <c r="BP61" s="189">
        <v>0</v>
      </c>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277531093.81999999</v>
      </c>
      <c r="C62" s="189">
        <v>277531093.81999999</v>
      </c>
      <c r="D62" s="189">
        <v>277531093.81999999</v>
      </c>
      <c r="E62" s="189">
        <v>277171417.5</v>
      </c>
      <c r="F62" s="189">
        <v>348341072.30000001</v>
      </c>
      <c r="G62" s="189">
        <v>348341072.30000001</v>
      </c>
      <c r="H62" s="189">
        <v>348240385.06999999</v>
      </c>
      <c r="I62" s="189">
        <v>348341072.30000001</v>
      </c>
      <c r="J62" s="189">
        <v>258030973</v>
      </c>
      <c r="K62" s="189">
        <v>258030973</v>
      </c>
      <c r="L62" s="189">
        <v>258030973</v>
      </c>
      <c r="M62" s="189">
        <v>258030973</v>
      </c>
      <c r="N62" s="189">
        <v>170237006.18000001</v>
      </c>
      <c r="O62" s="189">
        <v>158168478.84</v>
      </c>
      <c r="P62" s="189">
        <v>169550180.55000001</v>
      </c>
      <c r="Q62" s="189">
        <v>169550180.55000001</v>
      </c>
      <c r="R62" s="189">
        <v>95651148.519999996</v>
      </c>
      <c r="S62" s="189">
        <v>93933801.400000006</v>
      </c>
      <c r="T62" s="189">
        <v>79008700.329999998</v>
      </c>
      <c r="U62" s="189">
        <v>79008700.329999998</v>
      </c>
      <c r="V62" s="189">
        <v>91921720.189999998</v>
      </c>
      <c r="W62" s="189">
        <v>90378412.439999998</v>
      </c>
      <c r="X62" s="189">
        <v>81016294.930000007</v>
      </c>
      <c r="Y62" s="189">
        <v>83932040.959999993</v>
      </c>
      <c r="Z62" s="189">
        <v>116836570.53</v>
      </c>
      <c r="AA62" s="189">
        <v>114297339.98</v>
      </c>
      <c r="AB62" s="189">
        <v>102975056.84999999</v>
      </c>
      <c r="AC62" s="189">
        <v>104829367.45999999</v>
      </c>
      <c r="AD62" s="189">
        <v>119748439.36</v>
      </c>
      <c r="AE62" s="189">
        <v>117967059.08</v>
      </c>
      <c r="AF62" s="189">
        <v>116351756.48999999</v>
      </c>
      <c r="AG62" s="189">
        <v>113233546.34</v>
      </c>
      <c r="AH62" s="189">
        <v>101882750.23</v>
      </c>
      <c r="AI62" s="189">
        <v>98751449.170000002</v>
      </c>
      <c r="AJ62" s="189">
        <v>91505244.560000002</v>
      </c>
      <c r="AK62" s="189">
        <v>89366081.060000002</v>
      </c>
      <c r="AL62" s="189">
        <v>70108212.819999993</v>
      </c>
      <c r="AM62" s="189">
        <v>69179152.129999995</v>
      </c>
      <c r="AN62" s="189">
        <v>67304509.439999998</v>
      </c>
      <c r="AO62" s="189">
        <v>65562369.329999998</v>
      </c>
      <c r="AP62" s="189">
        <v>53709128.07</v>
      </c>
      <c r="AQ62" s="189">
        <v>52554901.270000003</v>
      </c>
      <c r="AR62" s="189">
        <v>51374753.600000001</v>
      </c>
      <c r="AS62" s="189">
        <v>50012805.700000003</v>
      </c>
      <c r="AT62" s="189">
        <v>29552929.489999998</v>
      </c>
      <c r="AU62" s="189">
        <v>28877037.690000001</v>
      </c>
      <c r="AV62" s="189">
        <v>28271084.300000001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23019234.09</v>
      </c>
      <c r="C63" s="189">
        <v>20326639.710000001</v>
      </c>
      <c r="D63" s="189">
        <v>24850198.27</v>
      </c>
      <c r="E63" s="189">
        <v>24527086.940000001</v>
      </c>
      <c r="F63" s="189">
        <v>24526989.190000001</v>
      </c>
      <c r="G63" s="189">
        <v>24526989.190000001</v>
      </c>
      <c r="H63" s="189">
        <v>25173211.84</v>
      </c>
      <c r="I63" s="189">
        <v>23019136.34</v>
      </c>
      <c r="J63" s="189">
        <v>21726788.789999999</v>
      </c>
      <c r="K63" s="189">
        <v>21403677.469999999</v>
      </c>
      <c r="L63" s="189">
        <v>21295973.690000001</v>
      </c>
      <c r="M63" s="189">
        <v>26573458.670000002</v>
      </c>
      <c r="N63" s="189">
        <v>22696122.77</v>
      </c>
      <c r="O63" s="189">
        <v>38636281.469999999</v>
      </c>
      <c r="P63" s="189">
        <v>31850943.640000001</v>
      </c>
      <c r="Q63" s="189">
        <v>33466500.27</v>
      </c>
      <c r="R63" s="189">
        <v>10735234.09</v>
      </c>
      <c r="S63" s="189">
        <v>8258047.2599999998</v>
      </c>
      <c r="T63" s="189">
        <v>7628057.6600000001</v>
      </c>
      <c r="U63" s="189">
        <v>9569388.5299999993</v>
      </c>
      <c r="V63" s="189">
        <v>11850000</v>
      </c>
      <c r="W63" s="189">
        <v>12290000</v>
      </c>
      <c r="X63" s="189">
        <v>15920000</v>
      </c>
      <c r="Y63" s="189">
        <v>14050000</v>
      </c>
      <c r="Z63" s="189">
        <v>9760000</v>
      </c>
      <c r="AA63" s="189">
        <v>11740000</v>
      </c>
      <c r="AB63" s="189">
        <v>11850000</v>
      </c>
      <c r="AC63" s="189">
        <v>12180000</v>
      </c>
      <c r="AD63" s="189">
        <v>12950000</v>
      </c>
      <c r="AE63" s="189">
        <v>17350000</v>
      </c>
      <c r="AF63" s="189">
        <v>22630000</v>
      </c>
      <c r="AG63" s="189">
        <v>24060000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0</v>
      </c>
      <c r="C64" s="189">
        <v>0</v>
      </c>
      <c r="D64" s="189">
        <v>0</v>
      </c>
      <c r="E64" s="189">
        <v>7954600.0499999998</v>
      </c>
      <c r="F64" s="189">
        <v>0</v>
      </c>
      <c r="G64" s="189">
        <v>0</v>
      </c>
      <c r="H64" s="189">
        <v>0</v>
      </c>
      <c r="I64" s="189">
        <v>0</v>
      </c>
      <c r="J64" s="189">
        <v>2235061.5</v>
      </c>
      <c r="K64" s="189">
        <v>2235061.5</v>
      </c>
      <c r="L64" s="189">
        <v>2235061.5</v>
      </c>
      <c r="M64" s="189">
        <v>2502138.4300000002</v>
      </c>
      <c r="N64" s="189">
        <v>18764000</v>
      </c>
      <c r="O64" s="189">
        <v>20136000</v>
      </c>
      <c r="P64" s="189">
        <v>0</v>
      </c>
      <c r="Q64" s="189">
        <v>20269333.34</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80596</v>
      </c>
      <c r="BG64" s="189">
        <v>0</v>
      </c>
      <c r="BH64" s="189">
        <v>0</v>
      </c>
      <c r="BI64" s="189">
        <v>0</v>
      </c>
      <c r="BJ64" s="189">
        <v>0</v>
      </c>
      <c r="BK64" s="189">
        <v>0</v>
      </c>
      <c r="BL64" s="189">
        <v>0</v>
      </c>
      <c r="BM64" s="189">
        <v>0</v>
      </c>
      <c r="BN64" s="189">
        <v>0</v>
      </c>
      <c r="BO64" s="189">
        <v>0</v>
      </c>
      <c r="BP64" s="189">
        <v>0</v>
      </c>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22702312547.559998</v>
      </c>
      <c r="C68" s="36">
        <f t="shared" ref="C68:BN68" si="8">SUM(C52:C64)-2*C63</f>
        <v>22916674922.52</v>
      </c>
      <c r="D68" s="36">
        <f t="shared" si="8"/>
        <v>18608052948.650002</v>
      </c>
      <c r="E68" s="36">
        <f t="shared" si="8"/>
        <v>18008607027.469997</v>
      </c>
      <c r="F68" s="36">
        <f t="shared" si="8"/>
        <v>17418505411.499996</v>
      </c>
      <c r="G68" s="36">
        <f t="shared" si="8"/>
        <v>16642185109.350002</v>
      </c>
      <c r="H68" s="36">
        <f t="shared" si="8"/>
        <v>16060724738.549999</v>
      </c>
      <c r="I68" s="36">
        <f t="shared" si="8"/>
        <v>15340854021.51</v>
      </c>
      <c r="J68" s="36">
        <f t="shared" si="8"/>
        <v>13023685338.540001</v>
      </c>
      <c r="K68" s="36">
        <f t="shared" si="8"/>
        <v>12283898099.049999</v>
      </c>
      <c r="L68" s="36">
        <f t="shared" si="8"/>
        <v>11884189349.230001</v>
      </c>
      <c r="M68" s="36">
        <f t="shared" si="8"/>
        <v>9801515508.0500011</v>
      </c>
      <c r="N68" s="36">
        <f t="shared" si="8"/>
        <v>8595460150.3899994</v>
      </c>
      <c r="O68" s="36">
        <f t="shared" si="8"/>
        <v>8225281732.7400017</v>
      </c>
      <c r="P68" s="36">
        <f t="shared" si="8"/>
        <v>6589938435.7300005</v>
      </c>
      <c r="Q68" s="36">
        <f t="shared" si="8"/>
        <v>6728921162.8100004</v>
      </c>
      <c r="R68" s="36">
        <f t="shared" si="8"/>
        <v>6835982821.1000004</v>
      </c>
      <c r="S68" s="36">
        <f t="shared" si="8"/>
        <v>6955336766.3099995</v>
      </c>
      <c r="T68" s="36">
        <f t="shared" si="8"/>
        <v>7116285323.3500004</v>
      </c>
      <c r="U68" s="36">
        <f t="shared" si="8"/>
        <v>7261735265.7699995</v>
      </c>
      <c r="V68" s="36">
        <f t="shared" si="8"/>
        <v>7525378871.249999</v>
      </c>
      <c r="W68" s="36">
        <f t="shared" si="8"/>
        <v>7647567472.1999998</v>
      </c>
      <c r="X68" s="36">
        <f t="shared" si="8"/>
        <v>7784935643.9300003</v>
      </c>
      <c r="Y68" s="36">
        <f t="shared" si="8"/>
        <v>7960960371.5</v>
      </c>
      <c r="Z68" s="36">
        <f t="shared" si="8"/>
        <v>8194142228.9099998</v>
      </c>
      <c r="AA68" s="36">
        <f t="shared" si="8"/>
        <v>8336496698.9299994</v>
      </c>
      <c r="AB68" s="36">
        <f t="shared" si="8"/>
        <v>8480990083.0100002</v>
      </c>
      <c r="AC68" s="36">
        <f t="shared" si="8"/>
        <v>8636250232.6700001</v>
      </c>
      <c r="AD68" s="36">
        <f t="shared" si="8"/>
        <v>8639366411.2099991</v>
      </c>
      <c r="AE68" s="36">
        <f t="shared" si="8"/>
        <v>8753949893.6900005</v>
      </c>
      <c r="AF68" s="36">
        <f t="shared" si="8"/>
        <v>8885379518.8899994</v>
      </c>
      <c r="AG68" s="36">
        <f t="shared" si="8"/>
        <v>9028929537.9899998</v>
      </c>
      <c r="AH68" s="36">
        <f t="shared" si="8"/>
        <v>8546966886.1299992</v>
      </c>
      <c r="AI68" s="36">
        <f t="shared" si="8"/>
        <v>8654855627.3799992</v>
      </c>
      <c r="AJ68" s="36">
        <f t="shared" si="8"/>
        <v>8770509291.0899982</v>
      </c>
      <c r="AK68" s="36">
        <f t="shared" si="8"/>
        <v>8872163668.9399986</v>
      </c>
      <c r="AL68" s="36">
        <f t="shared" si="8"/>
        <v>7037213843.1599998</v>
      </c>
      <c r="AM68" s="36">
        <f t="shared" si="8"/>
        <v>7030612675.9300013</v>
      </c>
      <c r="AN68" s="36">
        <f t="shared" si="8"/>
        <v>7134120837.1199999</v>
      </c>
      <c r="AO68" s="36">
        <f t="shared" si="8"/>
        <v>7247281341.2999992</v>
      </c>
      <c r="AP68" s="36">
        <f t="shared" si="8"/>
        <v>7339895799.7699995</v>
      </c>
      <c r="AQ68" s="36">
        <f t="shared" si="8"/>
        <v>7429572252.3100014</v>
      </c>
      <c r="AR68" s="36">
        <f t="shared" si="8"/>
        <v>7517007727.1900005</v>
      </c>
      <c r="AS68" s="36">
        <f t="shared" si="8"/>
        <v>7640240439.9499998</v>
      </c>
      <c r="AT68" s="36">
        <f t="shared" si="8"/>
        <v>5711857124.6300001</v>
      </c>
      <c r="AU68" s="36">
        <f t="shared" si="8"/>
        <v>5725790775.3099995</v>
      </c>
      <c r="AV68" s="36">
        <f t="shared" si="8"/>
        <v>5819210389.9099998</v>
      </c>
      <c r="AW68" s="36">
        <f t="shared" si="8"/>
        <v>5910402317.3000002</v>
      </c>
      <c r="AX68" s="36">
        <f t="shared" si="8"/>
        <v>6000163247.8800001</v>
      </c>
      <c r="AY68" s="36">
        <f t="shared" si="8"/>
        <v>6086082074.6000004</v>
      </c>
      <c r="AZ68" s="36">
        <f t="shared" si="8"/>
        <v>6166335699.0799999</v>
      </c>
      <c r="BA68" s="36">
        <f t="shared" si="8"/>
        <v>6233645868.25</v>
      </c>
      <c r="BB68" s="36">
        <f t="shared" si="8"/>
        <v>6185780553.0500002</v>
      </c>
      <c r="BC68" s="36">
        <f t="shared" si="8"/>
        <v>6258470282.2400007</v>
      </c>
      <c r="BD68" s="36">
        <f t="shared" si="8"/>
        <v>5870410094.6900005</v>
      </c>
      <c r="BE68" s="36">
        <f t="shared" si="8"/>
        <v>5931620142.3899994</v>
      </c>
      <c r="BF68" s="36">
        <f t="shared" si="8"/>
        <v>5160087011.7900009</v>
      </c>
      <c r="BG68" s="36">
        <f t="shared" si="8"/>
        <v>2781603970.1599998</v>
      </c>
      <c r="BH68" s="36">
        <f t="shared" si="8"/>
        <v>2789484591.9400005</v>
      </c>
      <c r="BI68" s="36">
        <f t="shared" si="8"/>
        <v>2796916857.8499999</v>
      </c>
      <c r="BJ68" s="36">
        <f t="shared" si="8"/>
        <v>2799758108.6099997</v>
      </c>
      <c r="BK68" s="36">
        <f t="shared" si="8"/>
        <v>2806986344.9900002</v>
      </c>
      <c r="BL68" s="36">
        <f t="shared" si="8"/>
        <v>316218148.47000003</v>
      </c>
      <c r="BM68" s="36">
        <f t="shared" si="8"/>
        <v>325888513.78000003</v>
      </c>
      <c r="BN68" s="36">
        <f t="shared" si="8"/>
        <v>343208530.81</v>
      </c>
      <c r="BO68" s="36">
        <f t="shared" ref="BO68:CK68" si="9">SUM(BO52:BO64)-2*BO63</f>
        <v>360013767.79999995</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17740045108.269997</v>
      </c>
      <c r="C69" s="33">
        <f t="shared" ref="C69:BN69" si="10">C50+C68</f>
        <v>15311782212.810001</v>
      </c>
      <c r="D69" s="33">
        <f t="shared" si="10"/>
        <v>15713644682.68</v>
      </c>
      <c r="E69" s="33">
        <f t="shared" si="10"/>
        <v>14952250709.659996</v>
      </c>
      <c r="F69" s="33">
        <f t="shared" si="10"/>
        <v>15574715450.649996</v>
      </c>
      <c r="G69" s="33">
        <f t="shared" si="10"/>
        <v>14078299266.270002</v>
      </c>
      <c r="H69" s="33">
        <f t="shared" si="10"/>
        <v>14217610075.469999</v>
      </c>
      <c r="I69" s="33">
        <f t="shared" si="10"/>
        <v>13433348334.25</v>
      </c>
      <c r="J69" s="33">
        <f t="shared" si="10"/>
        <v>11385978895.780001</v>
      </c>
      <c r="K69" s="33">
        <f t="shared" si="10"/>
        <v>10517838701.99</v>
      </c>
      <c r="L69" s="33">
        <f t="shared" si="10"/>
        <v>10572524657.360001</v>
      </c>
      <c r="M69" s="33">
        <f t="shared" si="10"/>
        <v>8150225352.4000015</v>
      </c>
      <c r="N69" s="33">
        <f t="shared" si="10"/>
        <v>7398582780.4499998</v>
      </c>
      <c r="O69" s="33">
        <f t="shared" si="10"/>
        <v>6773749822.0500021</v>
      </c>
      <c r="P69" s="33">
        <f t="shared" si="10"/>
        <v>5523518984.9900007</v>
      </c>
      <c r="Q69" s="33">
        <f t="shared" si="10"/>
        <v>5414223437.8700008</v>
      </c>
      <c r="R69" s="33">
        <f t="shared" si="10"/>
        <v>5771143950.5600004</v>
      </c>
      <c r="S69" s="33">
        <f t="shared" si="10"/>
        <v>5844358706.4799995</v>
      </c>
      <c r="T69" s="33">
        <f t="shared" si="10"/>
        <v>6258632098.9900007</v>
      </c>
      <c r="U69" s="33">
        <f t="shared" si="10"/>
        <v>6088010743.9799995</v>
      </c>
      <c r="V69" s="33">
        <f t="shared" si="10"/>
        <v>6376548987.249999</v>
      </c>
      <c r="W69" s="33">
        <f t="shared" si="10"/>
        <v>6649380354.1400003</v>
      </c>
      <c r="X69" s="33">
        <f t="shared" si="10"/>
        <v>7038536184.2900009</v>
      </c>
      <c r="Y69" s="33">
        <f t="shared" si="10"/>
        <v>7001531946.46</v>
      </c>
      <c r="Z69" s="33">
        <f t="shared" si="10"/>
        <v>7160749533.71</v>
      </c>
      <c r="AA69" s="33">
        <f t="shared" si="10"/>
        <v>7282116179.9499989</v>
      </c>
      <c r="AB69" s="33">
        <f t="shared" si="10"/>
        <v>7652654731.3199997</v>
      </c>
      <c r="AC69" s="33">
        <f t="shared" si="10"/>
        <v>7660909669.3199997</v>
      </c>
      <c r="AD69" s="33">
        <f t="shared" si="10"/>
        <v>7326490560.5199995</v>
      </c>
      <c r="AE69" s="33">
        <f t="shared" si="10"/>
        <v>7366295228.0300007</v>
      </c>
      <c r="AF69" s="33">
        <f t="shared" si="10"/>
        <v>7518926221.6199989</v>
      </c>
      <c r="AG69" s="33">
        <f t="shared" si="10"/>
        <v>7358768589.1299992</v>
      </c>
      <c r="AH69" s="33">
        <f t="shared" si="10"/>
        <v>6989076912.9699993</v>
      </c>
      <c r="AI69" s="33">
        <f t="shared" si="10"/>
        <v>7559919968.079999</v>
      </c>
      <c r="AJ69" s="33">
        <f t="shared" si="10"/>
        <v>6835131700.8599987</v>
      </c>
      <c r="AK69" s="33">
        <f t="shared" si="10"/>
        <v>6848540024.6899986</v>
      </c>
      <c r="AL69" s="33">
        <f t="shared" si="10"/>
        <v>6960627243.5799999</v>
      </c>
      <c r="AM69" s="33">
        <f t="shared" si="10"/>
        <v>6727027459.6100006</v>
      </c>
      <c r="AN69" s="33">
        <f t="shared" si="10"/>
        <v>6875151575.29</v>
      </c>
      <c r="AO69" s="33">
        <f t="shared" si="10"/>
        <v>6845736130.539999</v>
      </c>
      <c r="AP69" s="33">
        <f t="shared" si="10"/>
        <v>6794185585.539999</v>
      </c>
      <c r="AQ69" s="33">
        <f t="shared" si="10"/>
        <v>6798674302.960001</v>
      </c>
      <c r="AR69" s="33">
        <f t="shared" si="10"/>
        <v>6779394816.2700005</v>
      </c>
      <c r="AS69" s="33">
        <f t="shared" si="10"/>
        <v>6663998294.04</v>
      </c>
      <c r="AT69" s="33">
        <f t="shared" si="10"/>
        <v>4293972073.7699995</v>
      </c>
      <c r="AU69" s="33">
        <f t="shared" si="10"/>
        <v>4648209828.0299997</v>
      </c>
      <c r="AV69" s="33">
        <f t="shared" si="10"/>
        <v>4485291893.5599995</v>
      </c>
      <c r="AW69" s="33">
        <f t="shared" si="10"/>
        <v>6009820737.4000006</v>
      </c>
      <c r="AX69" s="33">
        <f t="shared" si="10"/>
        <v>5449619077.7299995</v>
      </c>
      <c r="AY69" s="33">
        <f t="shared" si="10"/>
        <v>6562227387.9800005</v>
      </c>
      <c r="AZ69" s="33">
        <f t="shared" si="10"/>
        <v>6503405685.5</v>
      </c>
      <c r="BA69" s="33">
        <f t="shared" si="10"/>
        <v>6555524530.9899998</v>
      </c>
      <c r="BB69" s="33">
        <f t="shared" si="10"/>
        <v>5594066542.4799995</v>
      </c>
      <c r="BC69" s="33">
        <f t="shared" si="10"/>
        <v>5713043039.3100004</v>
      </c>
      <c r="BD69" s="33">
        <f t="shared" si="10"/>
        <v>3002714584.6900005</v>
      </c>
      <c r="BE69" s="33">
        <f t="shared" si="10"/>
        <v>2978368233.7399993</v>
      </c>
      <c r="BF69" s="33">
        <f t="shared" si="10"/>
        <v>2929247217.2700009</v>
      </c>
      <c r="BG69" s="33">
        <f t="shared" si="10"/>
        <v>2921416920.71</v>
      </c>
      <c r="BH69" s="33">
        <f t="shared" si="10"/>
        <v>2878732531.4400005</v>
      </c>
      <c r="BI69" s="33">
        <f t="shared" si="10"/>
        <v>2872325705</v>
      </c>
      <c r="BJ69" s="33">
        <f t="shared" si="10"/>
        <v>2866459301.4099998</v>
      </c>
      <c r="BK69" s="33">
        <f t="shared" si="10"/>
        <v>2806966470.3100004</v>
      </c>
      <c r="BL69" s="33">
        <f t="shared" si="10"/>
        <v>414354898.3499999</v>
      </c>
      <c r="BM69" s="33">
        <f t="shared" si="10"/>
        <v>446486072.24000001</v>
      </c>
      <c r="BN69" s="33">
        <f t="shared" si="10"/>
        <v>425764175.60000002</v>
      </c>
      <c r="BO69" s="33">
        <f t="shared" ref="BO69:CL69" si="11">BO50+BO68</f>
        <v>660574753.65999997</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21617928133.229996</v>
      </c>
      <c r="C70" s="37">
        <f t="shared" ref="C70:BN70" si="12">C17+C19+C69</f>
        <v>18718128175.07</v>
      </c>
      <c r="D70" s="37">
        <f t="shared" si="12"/>
        <v>18905172396.77</v>
      </c>
      <c r="E70" s="37">
        <f t="shared" si="12"/>
        <v>18163051996.049995</v>
      </c>
      <c r="F70" s="37">
        <f t="shared" si="12"/>
        <v>16937757252.429996</v>
      </c>
      <c r="G70" s="37">
        <f t="shared" si="12"/>
        <v>15708170373.790003</v>
      </c>
      <c r="H70" s="37">
        <f t="shared" si="12"/>
        <v>15157569326.209999</v>
      </c>
      <c r="I70" s="37">
        <f t="shared" si="12"/>
        <v>14721118540.57</v>
      </c>
      <c r="J70" s="37">
        <f t="shared" si="12"/>
        <v>14097734343.560001</v>
      </c>
      <c r="K70" s="37">
        <f t="shared" si="12"/>
        <v>13875119592.209999</v>
      </c>
      <c r="L70" s="37">
        <f t="shared" si="12"/>
        <v>13559205246.51</v>
      </c>
      <c r="M70" s="37">
        <f t="shared" si="12"/>
        <v>9778971802.9400024</v>
      </c>
      <c r="N70" s="37">
        <f t="shared" si="12"/>
        <v>9435835772.2000008</v>
      </c>
      <c r="O70" s="37">
        <f t="shared" si="12"/>
        <v>9375434226.3600025</v>
      </c>
      <c r="P70" s="37">
        <f t="shared" si="12"/>
        <v>9179923825.0300007</v>
      </c>
      <c r="Q70" s="37">
        <f t="shared" si="12"/>
        <v>8862745317.9900017</v>
      </c>
      <c r="R70" s="37">
        <f t="shared" si="12"/>
        <v>8405379132.1499996</v>
      </c>
      <c r="S70" s="37">
        <f t="shared" si="12"/>
        <v>8584888350.2799988</v>
      </c>
      <c r="T70" s="37">
        <f t="shared" si="12"/>
        <v>8291384398.3100004</v>
      </c>
      <c r="U70" s="37">
        <f t="shared" si="12"/>
        <v>8031803680.2399998</v>
      </c>
      <c r="V70" s="37">
        <f t="shared" si="12"/>
        <v>7801387777.5299988</v>
      </c>
      <c r="W70" s="37">
        <f t="shared" si="12"/>
        <v>8653347987.6300011</v>
      </c>
      <c r="X70" s="37">
        <f t="shared" si="12"/>
        <v>8433861344.7200012</v>
      </c>
      <c r="Y70" s="37">
        <f t="shared" si="12"/>
        <v>8370823897.2700005</v>
      </c>
      <c r="Z70" s="37">
        <f t="shared" si="12"/>
        <v>8187249401.5799999</v>
      </c>
      <c r="AA70" s="37">
        <f t="shared" si="12"/>
        <v>8639317229.7499981</v>
      </c>
      <c r="AB70" s="37">
        <f t="shared" si="12"/>
        <v>8461036656.79</v>
      </c>
      <c r="AC70" s="37">
        <f t="shared" si="12"/>
        <v>8723286774.4099998</v>
      </c>
      <c r="AD70" s="37">
        <f t="shared" si="12"/>
        <v>9525184989.9300003</v>
      </c>
      <c r="AE70" s="37">
        <f t="shared" si="12"/>
        <v>8706706872.9000015</v>
      </c>
      <c r="AF70" s="37">
        <f t="shared" si="12"/>
        <v>8541306828.8399992</v>
      </c>
      <c r="AG70" s="37">
        <f t="shared" si="12"/>
        <v>8546779764.5999994</v>
      </c>
      <c r="AH70" s="37">
        <f t="shared" si="12"/>
        <v>8105241526.4499989</v>
      </c>
      <c r="AI70" s="37">
        <f t="shared" si="12"/>
        <v>8457715582.1199989</v>
      </c>
      <c r="AJ70" s="37">
        <f t="shared" si="12"/>
        <v>8337611988.5699987</v>
      </c>
      <c r="AK70" s="37">
        <f t="shared" si="12"/>
        <v>8155036263.3399982</v>
      </c>
      <c r="AL70" s="37">
        <f t="shared" si="12"/>
        <v>7905732219.7200003</v>
      </c>
      <c r="AM70" s="37">
        <f t="shared" si="12"/>
        <v>7864017035.4000006</v>
      </c>
      <c r="AN70" s="37">
        <f t="shared" si="12"/>
        <v>7702969648.7299995</v>
      </c>
      <c r="AO70" s="37">
        <f t="shared" si="12"/>
        <v>7555881069.9299994</v>
      </c>
      <c r="AP70" s="37">
        <f t="shared" si="12"/>
        <v>7578402183.1399994</v>
      </c>
      <c r="AQ70" s="37">
        <f t="shared" si="12"/>
        <v>7532602239.7700005</v>
      </c>
      <c r="AR70" s="37">
        <f t="shared" si="12"/>
        <v>7346025444.8900003</v>
      </c>
      <c r="AS70" s="37">
        <f t="shared" si="12"/>
        <v>7369873991.2200003</v>
      </c>
      <c r="AT70" s="37">
        <f t="shared" si="12"/>
        <v>4968490950.539999</v>
      </c>
      <c r="AU70" s="37">
        <f t="shared" si="12"/>
        <v>5268494435.6499996</v>
      </c>
      <c r="AV70" s="37">
        <f t="shared" si="12"/>
        <v>5198227177</v>
      </c>
      <c r="AW70" s="37">
        <f t="shared" si="12"/>
        <v>6654816410.0100002</v>
      </c>
      <c r="AX70" s="37">
        <f t="shared" si="12"/>
        <v>6093223535.3899994</v>
      </c>
      <c r="AY70" s="37">
        <f t="shared" si="12"/>
        <v>7140817653.4900007</v>
      </c>
      <c r="AZ70" s="37">
        <f t="shared" si="12"/>
        <v>7176341378.4200001</v>
      </c>
      <c r="BA70" s="37">
        <f t="shared" si="12"/>
        <v>7109572301.4099998</v>
      </c>
      <c r="BB70" s="37">
        <f t="shared" si="12"/>
        <v>6351603943.0899992</v>
      </c>
      <c r="BC70" s="37">
        <f t="shared" si="12"/>
        <v>6377877740.5799999</v>
      </c>
      <c r="BD70" s="37">
        <f t="shared" si="12"/>
        <v>4219220042.1600008</v>
      </c>
      <c r="BE70" s="37">
        <f t="shared" si="12"/>
        <v>4162699323.1899996</v>
      </c>
      <c r="BF70" s="37">
        <f t="shared" si="12"/>
        <v>4168081784.5500011</v>
      </c>
      <c r="BG70" s="37">
        <f t="shared" si="12"/>
        <v>4157180406.4700003</v>
      </c>
      <c r="BH70" s="37">
        <f t="shared" si="12"/>
        <v>4074047400.8400002</v>
      </c>
      <c r="BI70" s="37">
        <f t="shared" si="12"/>
        <v>3926602961.8099999</v>
      </c>
      <c r="BJ70" s="37">
        <f t="shared" si="12"/>
        <v>3831959136.8899999</v>
      </c>
      <c r="BK70" s="37">
        <f t="shared" si="12"/>
        <v>3706861225.7400007</v>
      </c>
      <c r="BL70" s="37">
        <f t="shared" si="12"/>
        <v>1566853139.71</v>
      </c>
      <c r="BM70" s="37">
        <f t="shared" si="12"/>
        <v>1484191370.3299999</v>
      </c>
      <c r="BN70" s="37">
        <f t="shared" si="12"/>
        <v>1347559757.98</v>
      </c>
      <c r="BO70" s="37">
        <f t="shared" ref="BO70:CL70" si="13">BO17+BO19+BO69</f>
        <v>1072957190.49</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1435450920.5799999</v>
      </c>
      <c r="F72" s="28">
        <f t="shared" ref="F72:BQ72" si="14">SUM(F73:F77)</f>
        <v>1550000000</v>
      </c>
      <c r="G72" s="28">
        <f t="shared" si="14"/>
        <v>205926709.66</v>
      </c>
      <c r="H72" s="28">
        <f t="shared" si="14"/>
        <v>7455134.0499999998</v>
      </c>
      <c r="I72" s="28">
        <f t="shared" si="14"/>
        <v>5905482.2999999998</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3590098.35</v>
      </c>
      <c r="W72" s="28">
        <f t="shared" si="14"/>
        <v>703064725.01999998</v>
      </c>
      <c r="X72" s="28">
        <f t="shared" si="14"/>
        <v>711045438.35000002</v>
      </c>
      <c r="Y72" s="28">
        <f t="shared" si="14"/>
        <v>883476678.35000002</v>
      </c>
      <c r="Z72" s="28">
        <f t="shared" si="14"/>
        <v>808774065.00999999</v>
      </c>
      <c r="AA72" s="28">
        <f t="shared" si="14"/>
        <v>1052174742.8099999</v>
      </c>
      <c r="AB72" s="28">
        <f t="shared" si="14"/>
        <v>1088371669.3499999</v>
      </c>
      <c r="AC72" s="28">
        <f t="shared" si="14"/>
        <v>1537714702.05</v>
      </c>
      <c r="AD72" s="28">
        <f t="shared" si="14"/>
        <v>2547015154.98</v>
      </c>
      <c r="AE72" s="28">
        <f t="shared" si="14"/>
        <v>1528592975.1900001</v>
      </c>
      <c r="AF72" s="28">
        <f t="shared" si="14"/>
        <v>1515094610.98</v>
      </c>
      <c r="AG72" s="28">
        <f t="shared" si="14"/>
        <v>1685925439.5900002</v>
      </c>
      <c r="AH72" s="28">
        <f t="shared" si="14"/>
        <v>1078077700.76</v>
      </c>
      <c r="AI72" s="28">
        <f t="shared" si="14"/>
        <v>1602497779.1800001</v>
      </c>
      <c r="AJ72" s="28">
        <f t="shared" si="14"/>
        <v>1607190221.3800001</v>
      </c>
      <c r="AK72" s="28">
        <f t="shared" si="14"/>
        <v>1587968303.5599999</v>
      </c>
      <c r="AL72" s="28">
        <f t="shared" si="14"/>
        <v>1294192305.78</v>
      </c>
      <c r="AM72" s="28">
        <f t="shared" si="14"/>
        <v>1279631905.8299999</v>
      </c>
      <c r="AN72" s="28">
        <f t="shared" si="14"/>
        <v>1259163914.52</v>
      </c>
      <c r="AO72" s="28">
        <f t="shared" si="14"/>
        <v>1238205706.75</v>
      </c>
      <c r="AP72" s="28">
        <f t="shared" si="14"/>
        <v>1198435303.8099999</v>
      </c>
      <c r="AQ72" s="28">
        <f t="shared" si="14"/>
        <v>1204682682.75</v>
      </c>
      <c r="AR72" s="28">
        <f t="shared" si="14"/>
        <v>1105064365.52</v>
      </c>
      <c r="AS72" s="28">
        <f t="shared" si="14"/>
        <v>1382860000.52</v>
      </c>
      <c r="AT72" s="28">
        <f t="shared" si="14"/>
        <v>74183381.539999992</v>
      </c>
      <c r="AU72" s="28">
        <f t="shared" si="14"/>
        <v>360471984.87</v>
      </c>
      <c r="AV72" s="28">
        <f t="shared" si="14"/>
        <v>379341448.30000001</v>
      </c>
      <c r="AW72" s="28">
        <f t="shared" si="14"/>
        <v>1943250000</v>
      </c>
      <c r="AX72" s="28">
        <f t="shared" si="14"/>
        <v>1401640000</v>
      </c>
      <c r="AY72" s="28">
        <f t="shared" si="14"/>
        <v>1444960000</v>
      </c>
      <c r="AZ72" s="28">
        <f t="shared" si="14"/>
        <v>1543320000</v>
      </c>
      <c r="BA72" s="28">
        <f t="shared" si="14"/>
        <v>1568025591.77</v>
      </c>
      <c r="BB72" s="28">
        <f t="shared" si="14"/>
        <v>1100000000</v>
      </c>
      <c r="BC72" s="28">
        <f t="shared" si="14"/>
        <v>1100000000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9">
        <v>500000000</v>
      </c>
      <c r="C73" s="189">
        <v>1000000000</v>
      </c>
      <c r="D73" s="189">
        <v>1400000000</v>
      </c>
      <c r="E73" s="189">
        <v>1400000000</v>
      </c>
      <c r="F73" s="189">
        <v>1550000000</v>
      </c>
      <c r="G73" s="189">
        <v>200000000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700000000</v>
      </c>
      <c r="X73" s="189">
        <v>700000000</v>
      </c>
      <c r="Y73" s="189">
        <v>800000000</v>
      </c>
      <c r="Z73" s="189">
        <v>800000000</v>
      </c>
      <c r="AA73" s="189">
        <v>0</v>
      </c>
      <c r="AB73" s="189">
        <v>50000000</v>
      </c>
      <c r="AC73" s="189">
        <v>0</v>
      </c>
      <c r="AD73" s="189">
        <v>0</v>
      </c>
      <c r="AE73" s="189">
        <v>0</v>
      </c>
      <c r="AF73" s="189">
        <v>0</v>
      </c>
      <c r="AG73" s="189">
        <v>600000000</v>
      </c>
      <c r="AH73" s="189">
        <v>1000000000</v>
      </c>
      <c r="AI73" s="189">
        <v>0</v>
      </c>
      <c r="AJ73" s="189">
        <v>0</v>
      </c>
      <c r="AK73" s="189">
        <v>0</v>
      </c>
      <c r="AL73" s="189">
        <v>0</v>
      </c>
      <c r="AM73" s="189">
        <v>648000000</v>
      </c>
      <c r="AN73" s="189">
        <v>648000000</v>
      </c>
      <c r="AO73" s="189">
        <v>648000000</v>
      </c>
      <c r="AP73" s="189">
        <v>1100000000</v>
      </c>
      <c r="AQ73" s="189">
        <v>100000000</v>
      </c>
      <c r="AR73" s="189">
        <v>1000000000</v>
      </c>
      <c r="AS73" s="189">
        <v>1300000000</v>
      </c>
      <c r="AT73" s="189">
        <v>0</v>
      </c>
      <c r="AU73" s="189">
        <v>300000000</v>
      </c>
      <c r="AV73" s="189">
        <v>300000000</v>
      </c>
      <c r="AW73" s="189">
        <v>403250000</v>
      </c>
      <c r="AX73" s="189">
        <v>1401640000</v>
      </c>
      <c r="AY73" s="189">
        <v>1404960000</v>
      </c>
      <c r="AZ73" s="189">
        <v>1503320000</v>
      </c>
      <c r="BA73" s="189">
        <v>1528025591.77</v>
      </c>
      <c r="BB73" s="189">
        <v>1100000000</v>
      </c>
      <c r="BC73" s="189">
        <v>1100000000</v>
      </c>
      <c r="BD73" s="189">
        <v>0</v>
      </c>
      <c r="BE73" s="189">
        <v>0</v>
      </c>
      <c r="BF73" s="189">
        <v>0</v>
      </c>
      <c r="BG73" s="189">
        <v>0</v>
      </c>
      <c r="BH73" s="189">
        <v>0</v>
      </c>
      <c r="BI73" s="189">
        <v>0</v>
      </c>
      <c r="BJ73" s="189">
        <v>0</v>
      </c>
      <c r="BK73" s="189">
        <v>0</v>
      </c>
      <c r="BL73" s="189">
        <v>0</v>
      </c>
      <c r="BM73" s="189">
        <v>0</v>
      </c>
      <c r="BN73" s="189">
        <v>0</v>
      </c>
      <c r="BO73" s="189">
        <v>0</v>
      </c>
      <c r="BP73" s="189">
        <v>0</v>
      </c>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x14ac:dyDescent="0.25">
      <c r="A74" s="127" t="s">
        <v>77</v>
      </c>
      <c r="B74" s="189">
        <v>1890446.26</v>
      </c>
      <c r="C74" s="189">
        <v>2019770.61</v>
      </c>
      <c r="D74" s="189">
        <v>32818187.359999999</v>
      </c>
      <c r="E74" s="189">
        <v>15450920.58</v>
      </c>
      <c r="F74" s="189">
        <v>0</v>
      </c>
      <c r="G74" s="189">
        <v>5926709.6600000001</v>
      </c>
      <c r="H74" s="189">
        <v>7455134.0499999998</v>
      </c>
      <c r="I74" s="189">
        <v>5905482.2999999998</v>
      </c>
      <c r="J74" s="189">
        <v>0</v>
      </c>
      <c r="K74" s="189">
        <v>0</v>
      </c>
      <c r="L74" s="189">
        <v>0</v>
      </c>
      <c r="M74" s="189">
        <v>0</v>
      </c>
      <c r="N74" s="189">
        <v>0</v>
      </c>
      <c r="O74" s="189">
        <v>0</v>
      </c>
      <c r="P74" s="189">
        <v>0</v>
      </c>
      <c r="Q74" s="189">
        <v>0</v>
      </c>
      <c r="R74" s="189">
        <v>0</v>
      </c>
      <c r="S74" s="189">
        <v>0</v>
      </c>
      <c r="T74" s="189">
        <v>0</v>
      </c>
      <c r="U74" s="189">
        <v>0</v>
      </c>
      <c r="V74" s="189">
        <v>3590098.35</v>
      </c>
      <c r="W74" s="189">
        <v>3064725.02</v>
      </c>
      <c r="X74" s="189">
        <v>11045438.35</v>
      </c>
      <c r="Y74" s="189">
        <v>1476678.35</v>
      </c>
      <c r="Z74" s="189">
        <v>8774065.0099999998</v>
      </c>
      <c r="AA74" s="189">
        <v>52174742.810000002</v>
      </c>
      <c r="AB74" s="189">
        <v>38371669.350000001</v>
      </c>
      <c r="AC74" s="189">
        <v>37714702.049999997</v>
      </c>
      <c r="AD74" s="189">
        <v>47015154.979999997</v>
      </c>
      <c r="AE74" s="189">
        <v>28592975.190000001</v>
      </c>
      <c r="AF74" s="189">
        <v>15094610.98</v>
      </c>
      <c r="AG74" s="189">
        <v>5925439.5899999999</v>
      </c>
      <c r="AH74" s="189">
        <v>38077700.759999998</v>
      </c>
      <c r="AI74" s="189">
        <v>62497779.18</v>
      </c>
      <c r="AJ74" s="189">
        <v>27190221.379999999</v>
      </c>
      <c r="AK74" s="189">
        <v>7968303.5599999996</v>
      </c>
      <c r="AL74" s="189">
        <v>54192305.780000001</v>
      </c>
      <c r="AM74" s="189">
        <v>51631905.829999998</v>
      </c>
      <c r="AN74" s="189">
        <v>31163914.52</v>
      </c>
      <c r="AO74" s="189">
        <v>10205706.75</v>
      </c>
      <c r="AP74" s="189">
        <v>18435303.809999999</v>
      </c>
      <c r="AQ74" s="189">
        <v>24682682.75</v>
      </c>
      <c r="AR74" s="189">
        <v>25064365.52</v>
      </c>
      <c r="AS74" s="189">
        <v>2860000.52</v>
      </c>
      <c r="AT74" s="189">
        <v>34183381.539999999</v>
      </c>
      <c r="AU74" s="189">
        <v>20471984.870000001</v>
      </c>
      <c r="AV74" s="189">
        <v>39341448.299999997</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x14ac:dyDescent="0.25">
      <c r="A75" s="127"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500000000</v>
      </c>
      <c r="AO75" s="189">
        <v>500000000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x14ac:dyDescent="0.25">
      <c r="A76" s="127" t="s">
        <v>54</v>
      </c>
      <c r="B76" s="189">
        <v>0</v>
      </c>
      <c r="C76" s="189">
        <v>0</v>
      </c>
      <c r="D76" s="189">
        <v>20000000</v>
      </c>
      <c r="E76" s="189">
        <v>20000000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82000000</v>
      </c>
      <c r="Z76" s="189">
        <v>0</v>
      </c>
      <c r="AA76" s="189">
        <v>0</v>
      </c>
      <c r="AB76" s="189">
        <v>0</v>
      </c>
      <c r="AC76" s="189">
        <v>0</v>
      </c>
      <c r="AD76" s="189">
        <v>0</v>
      </c>
      <c r="AE76" s="189">
        <v>0</v>
      </c>
      <c r="AF76" s="189">
        <v>0</v>
      </c>
      <c r="AG76" s="189">
        <v>80000000</v>
      </c>
      <c r="AH76" s="189">
        <v>40000000</v>
      </c>
      <c r="AI76" s="189">
        <v>40000000</v>
      </c>
      <c r="AJ76" s="189">
        <v>80000000</v>
      </c>
      <c r="AK76" s="189">
        <v>80000000</v>
      </c>
      <c r="AL76" s="189">
        <v>40000000</v>
      </c>
      <c r="AM76" s="189">
        <v>80000000</v>
      </c>
      <c r="AN76" s="189">
        <v>80000000</v>
      </c>
      <c r="AO76" s="189">
        <v>80000000</v>
      </c>
      <c r="AP76" s="189">
        <v>80000000</v>
      </c>
      <c r="AQ76" s="189">
        <v>80000000</v>
      </c>
      <c r="AR76" s="189">
        <v>80000000</v>
      </c>
      <c r="AS76" s="189">
        <v>80000000</v>
      </c>
      <c r="AT76" s="189">
        <v>40000000</v>
      </c>
      <c r="AU76" s="189">
        <v>40000000</v>
      </c>
      <c r="AV76" s="189">
        <v>40000000</v>
      </c>
      <c r="AW76" s="189">
        <v>40000000</v>
      </c>
      <c r="AX76" s="189">
        <v>0</v>
      </c>
      <c r="AY76" s="189">
        <v>40000000</v>
      </c>
      <c r="AZ76" s="189">
        <v>40000000</v>
      </c>
      <c r="BA76" s="189">
        <v>40000000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x14ac:dyDescent="0.25">
      <c r="A77" s="127"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1000000000</v>
      </c>
      <c r="AB77" s="189">
        <v>1000000000</v>
      </c>
      <c r="AC77" s="189">
        <v>1500000000</v>
      </c>
      <c r="AD77" s="189">
        <v>2500000000</v>
      </c>
      <c r="AE77" s="189">
        <v>1500000000</v>
      </c>
      <c r="AF77" s="189">
        <v>1500000000</v>
      </c>
      <c r="AG77" s="189">
        <v>1000000000</v>
      </c>
      <c r="AH77" s="189">
        <v>0</v>
      </c>
      <c r="AI77" s="189">
        <v>1500000000</v>
      </c>
      <c r="AJ77" s="189">
        <v>1500000000</v>
      </c>
      <c r="AK77" s="189">
        <v>1500000000</v>
      </c>
      <c r="AL77" s="189">
        <v>1200000000</v>
      </c>
      <c r="AM77" s="189">
        <v>500000000</v>
      </c>
      <c r="AN77" s="189">
        <v>0</v>
      </c>
      <c r="AO77" s="189">
        <v>0</v>
      </c>
      <c r="AP77" s="189">
        <v>0</v>
      </c>
      <c r="AQ77" s="189">
        <v>1000000000</v>
      </c>
      <c r="AR77" s="189">
        <v>0</v>
      </c>
      <c r="AS77" s="189">
        <v>0</v>
      </c>
      <c r="AT77" s="189">
        <v>0</v>
      </c>
      <c r="AU77" s="189">
        <v>0</v>
      </c>
      <c r="AV77" s="189">
        <v>0</v>
      </c>
      <c r="AW77" s="189">
        <v>1500000000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1627410716.8899999</v>
      </c>
      <c r="F81" s="28">
        <f t="shared" ref="F81:BQ81" si="16">SUM(F82:F85)</f>
        <v>694433329.47000003</v>
      </c>
      <c r="G81" s="28">
        <f t="shared" si="16"/>
        <v>674433329.47000003</v>
      </c>
      <c r="H81" s="28">
        <f t="shared" si="16"/>
        <v>3778077063.8599997</v>
      </c>
      <c r="I81" s="28">
        <f t="shared" si="16"/>
        <v>3832419617.2300005</v>
      </c>
      <c r="J81" s="28">
        <f t="shared" si="16"/>
        <v>3065900935.4699998</v>
      </c>
      <c r="K81" s="28">
        <f t="shared" si="16"/>
        <v>3065970533</v>
      </c>
      <c r="L81" s="28">
        <f t="shared" si="16"/>
        <v>3065970533</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82000000</v>
      </c>
      <c r="AA81" s="28">
        <f t="shared" si="16"/>
        <v>82000000</v>
      </c>
      <c r="AB81" s="28">
        <f t="shared" si="16"/>
        <v>85000000</v>
      </c>
      <c r="AC81" s="28">
        <f t="shared" si="16"/>
        <v>85000000</v>
      </c>
      <c r="AD81" s="28">
        <f t="shared" si="16"/>
        <v>90000000</v>
      </c>
      <c r="AE81" s="28">
        <f t="shared" si="16"/>
        <v>90000000</v>
      </c>
      <c r="AF81" s="28">
        <f t="shared" si="16"/>
        <v>90000000</v>
      </c>
      <c r="AG81" s="28">
        <f t="shared" si="16"/>
        <v>90000000</v>
      </c>
      <c r="AH81" s="28">
        <f t="shared" si="16"/>
        <v>270000000</v>
      </c>
      <c r="AI81" s="28">
        <f t="shared" si="16"/>
        <v>170000000</v>
      </c>
      <c r="AJ81" s="28">
        <f t="shared" si="16"/>
        <v>170000000</v>
      </c>
      <c r="AK81" s="28">
        <f t="shared" si="16"/>
        <v>170000000</v>
      </c>
      <c r="AL81" s="28">
        <f t="shared" si="16"/>
        <v>250000000</v>
      </c>
      <c r="AM81" s="28">
        <f t="shared" si="16"/>
        <v>270000000</v>
      </c>
      <c r="AN81" s="28">
        <f t="shared" si="16"/>
        <v>270000000</v>
      </c>
      <c r="AO81" s="28">
        <f t="shared" si="16"/>
        <v>270000000</v>
      </c>
      <c r="AP81" s="28">
        <f t="shared" si="16"/>
        <v>310000000</v>
      </c>
      <c r="AQ81" s="28">
        <f t="shared" si="16"/>
        <v>310000000</v>
      </c>
      <c r="AR81" s="28">
        <f t="shared" si="16"/>
        <v>350000000</v>
      </c>
      <c r="AS81" s="28">
        <f t="shared" si="16"/>
        <v>240000000</v>
      </c>
      <c r="AT81" s="28">
        <f t="shared" si="16"/>
        <v>320000000</v>
      </c>
      <c r="AU81" s="28">
        <f t="shared" si="16"/>
        <v>320000000</v>
      </c>
      <c r="AV81" s="28">
        <f t="shared" si="16"/>
        <v>320000000</v>
      </c>
      <c r="AW81" s="28">
        <f t="shared" si="16"/>
        <v>320000000</v>
      </c>
      <c r="AX81" s="28">
        <f t="shared" si="16"/>
        <v>360000000</v>
      </c>
      <c r="AY81" s="28">
        <f t="shared" si="16"/>
        <v>1360000000</v>
      </c>
      <c r="AZ81" s="28">
        <f t="shared" si="16"/>
        <v>1360000000</v>
      </c>
      <c r="BA81" s="28">
        <f t="shared" si="16"/>
        <v>1360000000</v>
      </c>
      <c r="BB81" s="28">
        <f t="shared" si="16"/>
        <v>1000000000</v>
      </c>
      <c r="BC81" s="28">
        <f t="shared" si="16"/>
        <v>1000000000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9">
        <v>903380000</v>
      </c>
      <c r="C82" s="189">
        <v>961690000</v>
      </c>
      <c r="D82" s="189">
        <v>950000000</v>
      </c>
      <c r="E82" s="189">
        <v>950000000</v>
      </c>
      <c r="F82" s="189">
        <v>20000000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82000000</v>
      </c>
      <c r="AA82" s="189">
        <v>82000000</v>
      </c>
      <c r="AB82" s="189">
        <v>85000000</v>
      </c>
      <c r="AC82" s="189">
        <v>85000000</v>
      </c>
      <c r="AD82" s="189">
        <v>90000000</v>
      </c>
      <c r="AE82" s="189">
        <v>90000000</v>
      </c>
      <c r="AF82" s="189">
        <v>90000000</v>
      </c>
      <c r="AG82" s="189">
        <v>90000000</v>
      </c>
      <c r="AH82" s="189">
        <v>170000000</v>
      </c>
      <c r="AI82" s="189">
        <v>170000000</v>
      </c>
      <c r="AJ82" s="189">
        <v>170000000</v>
      </c>
      <c r="AK82" s="189">
        <v>170000000</v>
      </c>
      <c r="AL82" s="189">
        <v>250000000</v>
      </c>
      <c r="AM82" s="189">
        <v>270000000</v>
      </c>
      <c r="AN82" s="189">
        <v>270000000</v>
      </c>
      <c r="AO82" s="189">
        <v>270000000</v>
      </c>
      <c r="AP82" s="189">
        <v>310000000</v>
      </c>
      <c r="AQ82" s="189">
        <v>310000000</v>
      </c>
      <c r="AR82" s="189">
        <v>350000000</v>
      </c>
      <c r="AS82" s="189">
        <v>240000000</v>
      </c>
      <c r="AT82" s="189">
        <v>320000000</v>
      </c>
      <c r="AU82" s="189">
        <v>320000000</v>
      </c>
      <c r="AV82" s="189">
        <v>320000000</v>
      </c>
      <c r="AW82" s="189">
        <v>320000000</v>
      </c>
      <c r="AX82" s="189">
        <v>360000000</v>
      </c>
      <c r="AY82" s="189">
        <v>1360000000</v>
      </c>
      <c r="AZ82" s="189">
        <v>1360000000</v>
      </c>
      <c r="BA82" s="189">
        <v>1360000000</v>
      </c>
      <c r="BB82" s="189">
        <v>1000000000</v>
      </c>
      <c r="BC82" s="189">
        <v>1000000000</v>
      </c>
      <c r="BD82" s="189">
        <v>0</v>
      </c>
      <c r="BE82" s="189">
        <v>0</v>
      </c>
      <c r="BF82" s="189">
        <v>0</v>
      </c>
      <c r="BG82" s="189">
        <v>0</v>
      </c>
      <c r="BH82" s="189">
        <v>0</v>
      </c>
      <c r="BI82" s="189">
        <v>0</v>
      </c>
      <c r="BJ82" s="189">
        <v>0</v>
      </c>
      <c r="BK82" s="189">
        <v>0</v>
      </c>
      <c r="BL82" s="189">
        <v>0</v>
      </c>
      <c r="BM82" s="189">
        <v>0</v>
      </c>
      <c r="BN82" s="189">
        <v>0</v>
      </c>
      <c r="BO82" s="189">
        <v>0</v>
      </c>
      <c r="BP82" s="189">
        <v>0</v>
      </c>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x14ac:dyDescent="0.25">
      <c r="A83" s="127" t="s">
        <v>58</v>
      </c>
      <c r="B83" s="189">
        <v>3036339808.1399999</v>
      </c>
      <c r="C83" s="189">
        <v>0</v>
      </c>
      <c r="D83" s="189">
        <v>0</v>
      </c>
      <c r="E83" s="189">
        <v>0</v>
      </c>
      <c r="F83" s="189">
        <v>0</v>
      </c>
      <c r="G83" s="189">
        <v>0</v>
      </c>
      <c r="H83" s="189">
        <v>3085979265.5799999</v>
      </c>
      <c r="I83" s="189">
        <v>3157986287.7600002</v>
      </c>
      <c r="J83" s="189">
        <v>3065900935.4699998</v>
      </c>
      <c r="K83" s="189">
        <v>3065970533</v>
      </c>
      <c r="L83" s="189">
        <v>3065970533</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x14ac:dyDescent="0.25">
      <c r="A84" s="127" t="s">
        <v>59</v>
      </c>
      <c r="B84" s="189">
        <v>677410716.88999999</v>
      </c>
      <c r="C84" s="189">
        <v>677410716.88999999</v>
      </c>
      <c r="D84" s="189">
        <v>677410716.88999999</v>
      </c>
      <c r="E84" s="189">
        <v>677410716.88999999</v>
      </c>
      <c r="F84" s="189">
        <v>674433329.47000003</v>
      </c>
      <c r="G84" s="189">
        <v>674433329.47000003</v>
      </c>
      <c r="H84" s="189">
        <v>692097798.27999997</v>
      </c>
      <c r="I84" s="189">
        <v>674433329.47000003</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0</v>
      </c>
      <c r="BH84" s="189">
        <v>0</v>
      </c>
      <c r="BI84" s="189">
        <v>0</v>
      </c>
      <c r="BJ84" s="189">
        <v>0</v>
      </c>
      <c r="BK84" s="189">
        <v>0</v>
      </c>
      <c r="BL84" s="189">
        <v>0</v>
      </c>
      <c r="BM84" s="189">
        <v>0</v>
      </c>
      <c r="BN84" s="189">
        <v>0</v>
      </c>
      <c r="BO84" s="189">
        <v>0</v>
      </c>
      <c r="BP84" s="189">
        <v>0</v>
      </c>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x14ac:dyDescent="0.25">
      <c r="A85" s="127"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0</v>
      </c>
      <c r="S85" s="189">
        <v>0</v>
      </c>
      <c r="T85" s="189">
        <v>0</v>
      </c>
      <c r="U85" s="189">
        <v>0</v>
      </c>
      <c r="V85" s="189">
        <v>0</v>
      </c>
      <c r="W85" s="189">
        <v>0</v>
      </c>
      <c r="X85" s="189">
        <v>0</v>
      </c>
      <c r="Y85" s="189">
        <v>0</v>
      </c>
      <c r="Z85" s="189">
        <v>0</v>
      </c>
      <c r="AA85" s="189">
        <v>0</v>
      </c>
      <c r="AB85" s="189">
        <v>0</v>
      </c>
      <c r="AC85" s="189">
        <v>0</v>
      </c>
      <c r="AD85" s="189">
        <v>0</v>
      </c>
      <c r="AE85" s="189">
        <v>0</v>
      </c>
      <c r="AF85" s="189">
        <v>0</v>
      </c>
      <c r="AG85" s="189">
        <v>0</v>
      </c>
      <c r="AH85" s="189">
        <v>100000000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5119020971.29</v>
      </c>
      <c r="C89" s="33">
        <f>SUM(C73:C85)</f>
        <v>2641120487.5</v>
      </c>
      <c r="D89" s="33">
        <f>SUM(D73:D85)</f>
        <v>3080228904.2499995</v>
      </c>
      <c r="E89" s="33">
        <f>E72+E81</f>
        <v>3062861637.4699998</v>
      </c>
      <c r="F89" s="33">
        <f t="shared" ref="F89:BQ89" si="18">F72+F81</f>
        <v>2244433329.4700003</v>
      </c>
      <c r="G89" s="33">
        <f t="shared" si="18"/>
        <v>880360039.13</v>
      </c>
      <c r="H89" s="33">
        <f t="shared" si="18"/>
        <v>3785532197.9099998</v>
      </c>
      <c r="I89" s="33">
        <f t="shared" si="18"/>
        <v>3838325099.5300007</v>
      </c>
      <c r="J89" s="33">
        <f t="shared" si="18"/>
        <v>3065900935.4699998</v>
      </c>
      <c r="K89" s="33">
        <f t="shared" si="18"/>
        <v>3065970533</v>
      </c>
      <c r="L89" s="33">
        <f t="shared" si="18"/>
        <v>3065970533</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0</v>
      </c>
      <c r="V89" s="33">
        <f t="shared" si="18"/>
        <v>3590098.35</v>
      </c>
      <c r="W89" s="33">
        <f t="shared" si="18"/>
        <v>703064725.01999998</v>
      </c>
      <c r="X89" s="33">
        <f t="shared" si="18"/>
        <v>711045438.35000002</v>
      </c>
      <c r="Y89" s="33">
        <f t="shared" si="18"/>
        <v>883476678.35000002</v>
      </c>
      <c r="Z89" s="33">
        <f t="shared" si="18"/>
        <v>890774065.00999999</v>
      </c>
      <c r="AA89" s="33">
        <f t="shared" si="18"/>
        <v>1134174742.8099999</v>
      </c>
      <c r="AB89" s="33">
        <f t="shared" si="18"/>
        <v>1173371669.3499999</v>
      </c>
      <c r="AC89" s="33">
        <f t="shared" si="18"/>
        <v>1622714702.05</v>
      </c>
      <c r="AD89" s="33">
        <f t="shared" si="18"/>
        <v>2637015154.98</v>
      </c>
      <c r="AE89" s="33">
        <f t="shared" si="18"/>
        <v>1618592975.1900001</v>
      </c>
      <c r="AF89" s="33">
        <f t="shared" si="18"/>
        <v>1605094610.98</v>
      </c>
      <c r="AG89" s="33">
        <f t="shared" si="18"/>
        <v>1775925439.5900002</v>
      </c>
      <c r="AH89" s="33">
        <f t="shared" si="18"/>
        <v>1348077700.76</v>
      </c>
      <c r="AI89" s="33">
        <f t="shared" si="18"/>
        <v>1772497779.1800001</v>
      </c>
      <c r="AJ89" s="33">
        <f t="shared" si="18"/>
        <v>1777190221.3800001</v>
      </c>
      <c r="AK89" s="33">
        <f t="shared" si="18"/>
        <v>1757968303.5599999</v>
      </c>
      <c r="AL89" s="33">
        <f t="shared" si="18"/>
        <v>1544192305.78</v>
      </c>
      <c r="AM89" s="33">
        <f t="shared" si="18"/>
        <v>1549631905.8299999</v>
      </c>
      <c r="AN89" s="33">
        <f t="shared" si="18"/>
        <v>1529163914.52</v>
      </c>
      <c r="AO89" s="33">
        <f t="shared" si="18"/>
        <v>1508205706.75</v>
      </c>
      <c r="AP89" s="33">
        <f t="shared" si="18"/>
        <v>1508435303.8099999</v>
      </c>
      <c r="AQ89" s="33">
        <f t="shared" si="18"/>
        <v>1514682682.75</v>
      </c>
      <c r="AR89" s="33">
        <f t="shared" si="18"/>
        <v>1455064365.52</v>
      </c>
      <c r="AS89" s="33">
        <f t="shared" si="18"/>
        <v>1622860000.52</v>
      </c>
      <c r="AT89" s="33">
        <f t="shared" si="18"/>
        <v>394183381.53999996</v>
      </c>
      <c r="AU89" s="33">
        <f t="shared" si="18"/>
        <v>680471984.87</v>
      </c>
      <c r="AV89" s="33">
        <f t="shared" si="18"/>
        <v>699341448.29999995</v>
      </c>
      <c r="AW89" s="33">
        <f t="shared" si="18"/>
        <v>2263250000</v>
      </c>
      <c r="AX89" s="33">
        <f t="shared" si="18"/>
        <v>1761640000</v>
      </c>
      <c r="AY89" s="33">
        <f t="shared" si="18"/>
        <v>2804960000</v>
      </c>
      <c r="AZ89" s="33">
        <f t="shared" si="18"/>
        <v>2903320000</v>
      </c>
      <c r="BA89" s="33">
        <f t="shared" si="18"/>
        <v>2928025591.77</v>
      </c>
      <c r="BB89" s="33">
        <f t="shared" si="18"/>
        <v>2100000000</v>
      </c>
      <c r="BC89" s="33">
        <f t="shared" si="18"/>
        <v>2100000000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9">
        <v>2069320514</v>
      </c>
      <c r="C91" s="189">
        <v>2069320514</v>
      </c>
      <c r="D91" s="189">
        <v>2069320514</v>
      </c>
      <c r="E91" s="189">
        <v>2069320514</v>
      </c>
      <c r="F91" s="189">
        <v>2069320514</v>
      </c>
      <c r="G91" s="189">
        <v>1427117596</v>
      </c>
      <c r="H91" s="189">
        <v>1156416852</v>
      </c>
      <c r="I91" s="189">
        <v>1150064467</v>
      </c>
      <c r="J91" s="189">
        <v>1150026103</v>
      </c>
      <c r="K91" s="189">
        <v>1150000000</v>
      </c>
      <c r="L91" s="189">
        <v>1150000000</v>
      </c>
      <c r="M91" s="189">
        <v>1150000000</v>
      </c>
      <c r="N91" s="189">
        <v>1150000000</v>
      </c>
      <c r="O91" s="189">
        <v>1150000000</v>
      </c>
      <c r="P91" s="189">
        <v>1150000000</v>
      </c>
      <c r="Q91" s="189">
        <v>1150000000</v>
      </c>
      <c r="R91" s="189">
        <v>1150000000</v>
      </c>
      <c r="S91" s="189">
        <v>1150000000</v>
      </c>
      <c r="T91" s="189">
        <v>1150000000</v>
      </c>
      <c r="U91" s="189">
        <v>1150000000</v>
      </c>
      <c r="V91" s="189">
        <v>1150000000</v>
      </c>
      <c r="W91" s="189">
        <v>1150000000</v>
      </c>
      <c r="X91" s="189">
        <v>1150000000</v>
      </c>
      <c r="Y91" s="189">
        <v>1150000000</v>
      </c>
      <c r="Z91" s="189">
        <v>1150000000</v>
      </c>
      <c r="AA91" s="189">
        <v>1150000000</v>
      </c>
      <c r="AB91" s="189">
        <v>1150000000</v>
      </c>
      <c r="AC91" s="189">
        <v>1150000000</v>
      </c>
      <c r="AD91" s="189">
        <v>1150000000</v>
      </c>
      <c r="AE91" s="189">
        <v>1150000000</v>
      </c>
      <c r="AF91" s="189">
        <v>1150000000</v>
      </c>
      <c r="AG91" s="189">
        <v>1150000000</v>
      </c>
      <c r="AH91" s="189">
        <v>1150000000</v>
      </c>
      <c r="AI91" s="189">
        <v>1150000000</v>
      </c>
      <c r="AJ91" s="189">
        <v>1150000000</v>
      </c>
      <c r="AK91" s="189">
        <v>1150000000</v>
      </c>
      <c r="AL91" s="189">
        <v>1150000000</v>
      </c>
      <c r="AM91" s="189">
        <v>1150000000</v>
      </c>
      <c r="AN91" s="189">
        <v>1150000000</v>
      </c>
      <c r="AO91" s="189">
        <v>1150000000</v>
      </c>
      <c r="AP91" s="189">
        <v>1150000000</v>
      </c>
      <c r="AQ91" s="189">
        <v>1150000000</v>
      </c>
      <c r="AR91" s="189">
        <v>1150000000</v>
      </c>
      <c r="AS91" s="189">
        <v>1150000000</v>
      </c>
      <c r="AT91" s="189">
        <v>1000000000</v>
      </c>
      <c r="AU91" s="189">
        <v>1000000000</v>
      </c>
      <c r="AV91" s="189">
        <v>1000000000</v>
      </c>
      <c r="AW91" s="189">
        <v>1000000000</v>
      </c>
      <c r="AX91" s="189">
        <v>1000000000</v>
      </c>
      <c r="AY91" s="189">
        <v>1000000000</v>
      </c>
      <c r="AZ91" s="189">
        <v>1000000000</v>
      </c>
      <c r="BA91" s="189">
        <v>1000000000</v>
      </c>
      <c r="BB91" s="189">
        <v>1000000000</v>
      </c>
      <c r="BC91" s="189">
        <v>1000000000</v>
      </c>
      <c r="BD91" s="189">
        <v>1000000000</v>
      </c>
      <c r="BE91" s="189">
        <v>1000000000</v>
      </c>
      <c r="BF91" s="189">
        <v>1000000000</v>
      </c>
      <c r="BG91" s="189">
        <v>1000000000</v>
      </c>
      <c r="BH91" s="189">
        <v>1000000000</v>
      </c>
      <c r="BI91" s="189">
        <v>1000000000</v>
      </c>
      <c r="BJ91" s="189">
        <v>1000000000</v>
      </c>
      <c r="BK91" s="189">
        <v>1000000000</v>
      </c>
      <c r="BL91" s="189">
        <v>600000000</v>
      </c>
      <c r="BM91" s="189">
        <v>600000000</v>
      </c>
      <c r="BN91" s="189">
        <v>600000000</v>
      </c>
      <c r="BO91" s="189">
        <v>600000000</v>
      </c>
      <c r="BP91" s="189">
        <v>0</v>
      </c>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x14ac:dyDescent="0.25">
      <c r="A92" s="127" t="s">
        <v>63</v>
      </c>
      <c r="B92" s="189">
        <v>6672345527.9799995</v>
      </c>
      <c r="C92" s="189">
        <v>6660302063.8199997</v>
      </c>
      <c r="D92" s="189">
        <v>6676758244.3500004</v>
      </c>
      <c r="E92" s="189">
        <v>6676758244.3500004</v>
      </c>
      <c r="F92" s="189">
        <v>6297925758.0900002</v>
      </c>
      <c r="G92" s="189">
        <v>6297925758.0900002</v>
      </c>
      <c r="H92" s="189">
        <v>3463088904.0700002</v>
      </c>
      <c r="I92" s="189">
        <v>3396822390.8099999</v>
      </c>
      <c r="J92" s="189">
        <v>3785382372.54</v>
      </c>
      <c r="K92" s="189">
        <v>3785338878.0100002</v>
      </c>
      <c r="L92" s="189">
        <v>3785338878.0100002</v>
      </c>
      <c r="M92" s="189">
        <v>3396568411.0100002</v>
      </c>
      <c r="N92" s="189">
        <v>3403154025.5799999</v>
      </c>
      <c r="O92" s="189">
        <v>3403154025.5799999</v>
      </c>
      <c r="P92" s="189">
        <v>3214848605.5999999</v>
      </c>
      <c r="Q92" s="189">
        <v>3214848605.5999999</v>
      </c>
      <c r="R92" s="189">
        <v>3218264307.8499999</v>
      </c>
      <c r="S92" s="189">
        <v>3210832747.3699999</v>
      </c>
      <c r="T92" s="189">
        <v>3208942778.5799999</v>
      </c>
      <c r="U92" s="189">
        <v>3214766771.1900001</v>
      </c>
      <c r="V92" s="189">
        <v>3221608605.5999999</v>
      </c>
      <c r="W92" s="189">
        <v>3222928605.5999999</v>
      </c>
      <c r="X92" s="189">
        <v>3233818605.5999999</v>
      </c>
      <c r="Y92" s="189">
        <v>3228208605.5999999</v>
      </c>
      <c r="Z92" s="189">
        <v>3215338605.5999999</v>
      </c>
      <c r="AA92" s="189">
        <v>3221278605.5999999</v>
      </c>
      <c r="AB92" s="189">
        <v>3221608605.5999999</v>
      </c>
      <c r="AC92" s="189">
        <v>3222598605.5999999</v>
      </c>
      <c r="AD92" s="189">
        <v>3224908605.5999999</v>
      </c>
      <c r="AE92" s="189">
        <v>3238108605.5999999</v>
      </c>
      <c r="AF92" s="189">
        <v>3253948605.5999999</v>
      </c>
      <c r="AG92" s="189">
        <v>3258238605.5999999</v>
      </c>
      <c r="AH92" s="189">
        <v>3186058605.5999999</v>
      </c>
      <c r="AI92" s="189">
        <v>3186058605.5999999</v>
      </c>
      <c r="AJ92" s="189">
        <v>3186058605.5999999</v>
      </c>
      <c r="AK92" s="189">
        <v>3186058605.5999999</v>
      </c>
      <c r="AL92" s="189">
        <v>3186058605.5999999</v>
      </c>
      <c r="AM92" s="189">
        <v>3186058605.5999999</v>
      </c>
      <c r="AN92" s="189">
        <v>3186058605.5999999</v>
      </c>
      <c r="AO92" s="189">
        <v>3186058605.5999999</v>
      </c>
      <c r="AP92" s="189">
        <v>3186058605.5999999</v>
      </c>
      <c r="AQ92" s="189">
        <v>3186058605.5999999</v>
      </c>
      <c r="AR92" s="189">
        <v>3186058605.5999999</v>
      </c>
      <c r="AS92" s="189">
        <v>3186058605.5999999</v>
      </c>
      <c r="AT92" s="189">
        <v>2186918490.9000001</v>
      </c>
      <c r="AU92" s="189">
        <v>2186918490.9000001</v>
      </c>
      <c r="AV92" s="189">
        <v>2186918490.9000001</v>
      </c>
      <c r="AW92" s="189">
        <v>2186918490.9000001</v>
      </c>
      <c r="AX92" s="189">
        <v>2184740990.9000001</v>
      </c>
      <c r="AY92" s="189">
        <v>2187253490.9000001</v>
      </c>
      <c r="AZ92" s="189">
        <v>2187253490.9000001</v>
      </c>
      <c r="BA92" s="189">
        <v>2187253490.9000001</v>
      </c>
      <c r="BB92" s="189">
        <v>2186345565.4400001</v>
      </c>
      <c r="BC92" s="189">
        <v>2186345565.4400001</v>
      </c>
      <c r="BD92" s="189">
        <v>2186296183.1700001</v>
      </c>
      <c r="BE92" s="189">
        <v>2186296183.1700001</v>
      </c>
      <c r="BF92" s="189">
        <v>2186177696.9899998</v>
      </c>
      <c r="BG92" s="189">
        <v>2183628979.98</v>
      </c>
      <c r="BH92" s="189">
        <v>2182614256.9699998</v>
      </c>
      <c r="BI92" s="189">
        <v>2182614256.9699998</v>
      </c>
      <c r="BJ92" s="189">
        <v>2182614256.9699998</v>
      </c>
      <c r="BK92" s="189">
        <v>2182614256.9699998</v>
      </c>
      <c r="BL92" s="189">
        <v>299978256.97000003</v>
      </c>
      <c r="BM92" s="189">
        <v>299978256.97000003</v>
      </c>
      <c r="BN92" s="189">
        <v>299978256.97000003</v>
      </c>
      <c r="BO92" s="189">
        <v>299978256.97000003</v>
      </c>
      <c r="BP92" s="189">
        <v>0</v>
      </c>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x14ac:dyDescent="0.25">
      <c r="A93" s="127"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7" t="s">
        <v>65</v>
      </c>
      <c r="B94" s="189">
        <v>68290677.5</v>
      </c>
      <c r="C94" s="189">
        <v>60212894.369999997</v>
      </c>
      <c r="D94" s="189">
        <v>73783570.030000001</v>
      </c>
      <c r="E94" s="189">
        <v>72814236.049999997</v>
      </c>
      <c r="F94" s="189">
        <v>73581358.579999998</v>
      </c>
      <c r="G94" s="189">
        <v>73581358.579999998</v>
      </c>
      <c r="H94" s="189">
        <v>75520026.530000001</v>
      </c>
      <c r="I94" s="189">
        <v>69057800.030000001</v>
      </c>
      <c r="J94" s="189">
        <v>65180366.369999997</v>
      </c>
      <c r="K94" s="189">
        <v>64211032.399999999</v>
      </c>
      <c r="L94" s="189">
        <v>63887921.07</v>
      </c>
      <c r="M94" s="189">
        <v>79720376</v>
      </c>
      <c r="N94" s="189">
        <v>68088368.299999997</v>
      </c>
      <c r="O94" s="189">
        <v>115908844.40000001</v>
      </c>
      <c r="P94" s="189">
        <v>95552830.920000002</v>
      </c>
      <c r="Q94" s="189">
        <v>100399500.8</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7"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7" t="s">
        <v>67</v>
      </c>
      <c r="B96" s="189">
        <v>860380966.80999994</v>
      </c>
      <c r="C96" s="189">
        <v>714260848.36000001</v>
      </c>
      <c r="D96" s="189">
        <v>714260848.36000001</v>
      </c>
      <c r="E96" s="189">
        <v>714260848.36000001</v>
      </c>
      <c r="F96" s="189">
        <v>575000000</v>
      </c>
      <c r="G96" s="189">
        <v>575000000</v>
      </c>
      <c r="H96" s="189">
        <v>575000000</v>
      </c>
      <c r="I96" s="189">
        <v>575000000</v>
      </c>
      <c r="J96" s="189">
        <v>575000000</v>
      </c>
      <c r="K96" s="189">
        <v>575000000</v>
      </c>
      <c r="L96" s="189">
        <v>575000000</v>
      </c>
      <c r="M96" s="189">
        <v>575000000</v>
      </c>
      <c r="N96" s="189">
        <v>575000000</v>
      </c>
      <c r="O96" s="189">
        <v>575000000</v>
      </c>
      <c r="P96" s="189">
        <v>575000000</v>
      </c>
      <c r="Q96" s="189">
        <v>575000000</v>
      </c>
      <c r="R96" s="189">
        <v>575000000</v>
      </c>
      <c r="S96" s="189">
        <v>575000000</v>
      </c>
      <c r="T96" s="189">
        <v>575000000</v>
      </c>
      <c r="U96" s="189">
        <v>575000000</v>
      </c>
      <c r="V96" s="189">
        <v>557276249.66999996</v>
      </c>
      <c r="W96" s="189">
        <v>557276249.66999996</v>
      </c>
      <c r="X96" s="189">
        <v>557276249.66999996</v>
      </c>
      <c r="Y96" s="189">
        <v>557276249.66999996</v>
      </c>
      <c r="Z96" s="189">
        <v>488757632.07999998</v>
      </c>
      <c r="AA96" s="189">
        <v>488757632.07999998</v>
      </c>
      <c r="AB96" s="189">
        <v>488757632.07999998</v>
      </c>
      <c r="AC96" s="189">
        <v>488757632.07999998</v>
      </c>
      <c r="AD96" s="189">
        <v>426551471.44999999</v>
      </c>
      <c r="AE96" s="189">
        <v>426551471.44999999</v>
      </c>
      <c r="AF96" s="189">
        <v>426551471.44999999</v>
      </c>
      <c r="AG96" s="189">
        <v>426551471.44999999</v>
      </c>
      <c r="AH96" s="189">
        <v>372948981.64999998</v>
      </c>
      <c r="AI96" s="189">
        <v>372948981.64999998</v>
      </c>
      <c r="AJ96" s="189">
        <v>372948981.64999998</v>
      </c>
      <c r="AK96" s="189">
        <v>372948981.64999998</v>
      </c>
      <c r="AL96" s="189">
        <v>320155755.52999997</v>
      </c>
      <c r="AM96" s="189">
        <v>320155755.52999997</v>
      </c>
      <c r="AN96" s="189">
        <v>320155755.52999997</v>
      </c>
      <c r="AO96" s="189">
        <v>320155755.52999997</v>
      </c>
      <c r="AP96" s="189">
        <v>273918155.05000001</v>
      </c>
      <c r="AQ96" s="189">
        <v>273918155.05000001</v>
      </c>
      <c r="AR96" s="189">
        <v>273918155.05000001</v>
      </c>
      <c r="AS96" s="189">
        <v>273918155.05000001</v>
      </c>
      <c r="AT96" s="189">
        <v>270783723.82999998</v>
      </c>
      <c r="AU96" s="189">
        <v>270783723.82999998</v>
      </c>
      <c r="AV96" s="189">
        <v>270783723.82999998</v>
      </c>
      <c r="AW96" s="189">
        <v>270783723.82999998</v>
      </c>
      <c r="AX96" s="189">
        <v>237266120.81999999</v>
      </c>
      <c r="AY96" s="189">
        <v>237266120.81999999</v>
      </c>
      <c r="AZ96" s="189">
        <v>237266120.81999999</v>
      </c>
      <c r="BA96" s="189">
        <v>237266120.81999999</v>
      </c>
      <c r="BB96" s="189">
        <v>193200173.75</v>
      </c>
      <c r="BC96" s="189">
        <v>193200173.75</v>
      </c>
      <c r="BD96" s="189">
        <v>193200173.75</v>
      </c>
      <c r="BE96" s="189">
        <v>193200173.75</v>
      </c>
      <c r="BF96" s="189">
        <v>144361857.28</v>
      </c>
      <c r="BG96" s="189">
        <v>144361857.28</v>
      </c>
      <c r="BH96" s="189">
        <v>144361857.28</v>
      </c>
      <c r="BI96" s="189">
        <v>144361857.28</v>
      </c>
      <c r="BJ96" s="189">
        <v>93900493.370000005</v>
      </c>
      <c r="BK96" s="189">
        <v>93900493.370000005</v>
      </c>
      <c r="BL96" s="189">
        <v>93900493.370000005</v>
      </c>
      <c r="BM96" s="189">
        <v>93900493.370000005</v>
      </c>
      <c r="BN96" s="189">
        <v>49969624.899999999</v>
      </c>
      <c r="BO96" s="189">
        <v>5701248.6600000001</v>
      </c>
      <c r="BP96" s="189">
        <v>0</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7"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7" t="s">
        <v>69</v>
      </c>
      <c r="B98" s="189">
        <v>6038752087.1599998</v>
      </c>
      <c r="C98" s="189">
        <v>6176094716.0699997</v>
      </c>
      <c r="D98" s="189">
        <v>5905223870.6199999</v>
      </c>
      <c r="E98" s="189">
        <v>5473043481.0699997</v>
      </c>
      <c r="F98" s="189">
        <v>5171575771.3199997</v>
      </c>
      <c r="G98" s="189">
        <v>5431680891.7600002</v>
      </c>
      <c r="H98" s="189">
        <v>5594975520.21</v>
      </c>
      <c r="I98" s="189">
        <v>5187128970.7399998</v>
      </c>
      <c r="J98" s="189">
        <v>5059012303.8599997</v>
      </c>
      <c r="K98" s="189">
        <v>4697105868.3100004</v>
      </c>
      <c r="L98" s="189">
        <v>4715870980.0799999</v>
      </c>
      <c r="M98" s="189">
        <v>4370079927.46</v>
      </c>
      <c r="N98" s="189">
        <v>4043266216.46</v>
      </c>
      <c r="O98" s="189">
        <v>3735234115.1500001</v>
      </c>
      <c r="P98" s="189">
        <v>3759940381.4400001</v>
      </c>
      <c r="Q98" s="189">
        <v>3450488867.75</v>
      </c>
      <c r="R98" s="189">
        <v>3108237645.3400002</v>
      </c>
      <c r="S98" s="189">
        <v>2887191256.1700001</v>
      </c>
      <c r="T98" s="189">
        <v>3037500324.02</v>
      </c>
      <c r="U98" s="189">
        <v>2788346292.23</v>
      </c>
      <c r="V98" s="189">
        <v>2575747842.9000001</v>
      </c>
      <c r="W98" s="189">
        <v>2362458130.1399999</v>
      </c>
      <c r="X98" s="189">
        <v>2506987444.23</v>
      </c>
      <c r="Y98" s="189">
        <v>2290612426.8800001</v>
      </c>
      <c r="Z98" s="189">
        <v>2182294050.6900001</v>
      </c>
      <c r="AA98" s="189">
        <v>1995144468.27</v>
      </c>
      <c r="AB98" s="189">
        <v>2188756864.4299998</v>
      </c>
      <c r="AC98" s="189">
        <v>2008541254.6300001</v>
      </c>
      <c r="AD98" s="189">
        <v>1867944015.01</v>
      </c>
      <c r="AE98" s="189">
        <v>1701771917.9200001</v>
      </c>
      <c r="AF98" s="189">
        <v>1885243310.51</v>
      </c>
      <c r="AG98" s="189">
        <v>1718644936.3699999</v>
      </c>
      <c r="AH98" s="189">
        <v>1640620200.5799999</v>
      </c>
      <c r="AI98" s="189">
        <v>1458482004.71</v>
      </c>
      <c r="AJ98" s="189">
        <v>1641025708.1300001</v>
      </c>
      <c r="AK98" s="189">
        <v>1483468855.6300001</v>
      </c>
      <c r="AL98" s="189">
        <v>1371053169.0999999</v>
      </c>
      <c r="AM98" s="189">
        <v>1246272715.6099999</v>
      </c>
      <c r="AN98" s="189">
        <v>1308229584.3800001</v>
      </c>
      <c r="AO98" s="189">
        <v>1187867425.0699999</v>
      </c>
      <c r="AP98" s="189">
        <v>1123585241.02</v>
      </c>
      <c r="AQ98" s="189">
        <v>998565668.12</v>
      </c>
      <c r="AR98" s="189">
        <v>1088161007.76</v>
      </c>
      <c r="AS98" s="189">
        <v>955330562.79999995</v>
      </c>
      <c r="AT98" s="189">
        <v>885490268.42999995</v>
      </c>
      <c r="AU98" s="189">
        <v>769591847.00999999</v>
      </c>
      <c r="AV98" s="189">
        <v>679462000.38</v>
      </c>
      <c r="AW98" s="189">
        <v>570099905.33000004</v>
      </c>
      <c r="AX98" s="189">
        <v>680714034.54999995</v>
      </c>
      <c r="AY98" s="189">
        <v>589840921.47000003</v>
      </c>
      <c r="AZ98" s="189">
        <v>533177114.98000002</v>
      </c>
      <c r="BA98" s="189">
        <v>461413048.60000002</v>
      </c>
      <c r="BB98" s="189">
        <v>530586221.77999997</v>
      </c>
      <c r="BC98" s="189">
        <v>466728865.89999998</v>
      </c>
      <c r="BD98" s="189">
        <v>399678811.07999998</v>
      </c>
      <c r="BE98" s="189">
        <v>337147119.61000001</v>
      </c>
      <c r="BF98" s="189">
        <v>615621628.64999998</v>
      </c>
      <c r="BG98" s="189">
        <v>575616578.16999996</v>
      </c>
      <c r="BH98" s="189">
        <v>473381994.29000002</v>
      </c>
      <c r="BI98" s="189">
        <v>352413767.85000002</v>
      </c>
      <c r="BJ98" s="189">
        <v>408426797.02999997</v>
      </c>
      <c r="BK98" s="189">
        <v>300001234.55000001</v>
      </c>
      <c r="BL98" s="189">
        <v>278435235.27999997</v>
      </c>
      <c r="BM98" s="189">
        <v>206731368.12</v>
      </c>
      <c r="BN98" s="189">
        <v>107981932.09</v>
      </c>
      <c r="BO98" s="189">
        <v>-6539860.9699999997</v>
      </c>
      <c r="BP98" s="189">
        <v>0</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7" t="s">
        <v>70</v>
      </c>
      <c r="B99" s="189">
        <v>0</v>
      </c>
      <c r="C99" s="189">
        <v>0</v>
      </c>
      <c r="D99" s="189">
        <v>0</v>
      </c>
      <c r="E99" s="189">
        <v>403156.54</v>
      </c>
      <c r="F99" s="189">
        <v>7418585.6500000004</v>
      </c>
      <c r="G99" s="189">
        <v>536351107.39999998</v>
      </c>
      <c r="H99" s="189">
        <v>8317596.8799999999</v>
      </c>
      <c r="I99" s="189">
        <v>8317596.8799999999</v>
      </c>
      <c r="J99" s="189">
        <v>234584973.08000001</v>
      </c>
      <c r="K99" s="189">
        <v>374555706.51999998</v>
      </c>
      <c r="L99" s="189">
        <v>2337706.52</v>
      </c>
      <c r="M99" s="189">
        <v>6337706.5199999996</v>
      </c>
      <c r="N99" s="189">
        <v>6157706.5199999996</v>
      </c>
      <c r="O99" s="189">
        <v>211658683.91</v>
      </c>
      <c r="P99" s="189">
        <v>7387706.5199999996</v>
      </c>
      <c r="Q99" s="189">
        <v>6157706.5199999996</v>
      </c>
      <c r="R99" s="189">
        <v>6202103.4100000001</v>
      </c>
      <c r="S99" s="189">
        <v>431702103.41000003</v>
      </c>
      <c r="T99" s="189">
        <v>6202103.4100000001</v>
      </c>
      <c r="U99" s="189">
        <v>5418558.6299999999</v>
      </c>
      <c r="V99" s="189">
        <v>4568558.63</v>
      </c>
      <c r="W99" s="189">
        <v>384068558.63</v>
      </c>
      <c r="X99" s="189">
        <v>13365428.75</v>
      </c>
      <c r="Y99" s="189">
        <v>14655428.75</v>
      </c>
      <c r="Z99" s="189">
        <v>15417929.75</v>
      </c>
      <c r="AA99" s="189">
        <v>417917929.75</v>
      </c>
      <c r="AB99" s="189">
        <v>12183405.98</v>
      </c>
      <c r="AC99" s="189">
        <v>11945618.25</v>
      </c>
      <c r="AD99" s="189">
        <v>11644154.68</v>
      </c>
      <c r="AE99" s="189">
        <v>357793227.11000001</v>
      </c>
      <c r="AF99" s="189">
        <v>8551453.6899999995</v>
      </c>
      <c r="AG99" s="189">
        <v>9696379.2599999998</v>
      </c>
      <c r="AH99" s="189">
        <v>201797796.52000001</v>
      </c>
      <c r="AI99" s="189">
        <v>307096379.25999999</v>
      </c>
      <c r="AJ99" s="189">
        <v>8096379.2599999998</v>
      </c>
      <c r="AK99" s="189">
        <v>11696379.26</v>
      </c>
      <c r="AL99" s="189">
        <v>138715330.78</v>
      </c>
      <c r="AM99" s="189">
        <v>206420840.38</v>
      </c>
      <c r="AN99" s="189">
        <v>10920840.380000001</v>
      </c>
      <c r="AO99" s="189">
        <v>13520840.380000001</v>
      </c>
      <c r="AP99" s="189">
        <v>145021822.81</v>
      </c>
      <c r="AQ99" s="189">
        <v>217920840.38</v>
      </c>
      <c r="AR99" s="189">
        <v>10920840.380000001</v>
      </c>
      <c r="AS99" s="189">
        <v>10920840.380000001</v>
      </c>
      <c r="AT99" s="189">
        <v>41865113.969999999</v>
      </c>
      <c r="AU99" s="189">
        <v>161196455.94999999</v>
      </c>
      <c r="AV99" s="189">
        <v>159009080.61000001</v>
      </c>
      <c r="AW99" s="189">
        <v>12666999.01</v>
      </c>
      <c r="AX99" s="189">
        <v>9539998.0500000007</v>
      </c>
      <c r="AY99" s="189">
        <v>111648720.31999999</v>
      </c>
      <c r="AZ99" s="189">
        <v>6990801.9100000001</v>
      </c>
      <c r="BA99" s="189">
        <v>17238642.25</v>
      </c>
      <c r="BB99" s="189">
        <v>159604041.90000001</v>
      </c>
      <c r="BC99" s="189">
        <v>255648563.15000001</v>
      </c>
      <c r="BD99" s="189">
        <v>5648563.1500000004</v>
      </c>
      <c r="BE99" s="189">
        <v>5648563.1500000004</v>
      </c>
      <c r="BF99" s="189">
        <v>9862022.0399999991</v>
      </c>
      <c r="BG99" s="189">
        <v>2706311.07</v>
      </c>
      <c r="BH99" s="189">
        <v>2706311.07</v>
      </c>
      <c r="BI99" s="189">
        <v>2706311.07</v>
      </c>
      <c r="BJ99" s="189">
        <v>3417396.66</v>
      </c>
      <c r="BK99" s="189">
        <v>3417396.66</v>
      </c>
      <c r="BL99" s="189">
        <v>144331387.66</v>
      </c>
      <c r="BM99" s="189">
        <v>1771387.66</v>
      </c>
      <c r="BN99" s="189">
        <v>145119559.50999999</v>
      </c>
      <c r="BO99" s="189">
        <v>42880173.100000001</v>
      </c>
      <c r="BP99" s="189">
        <v>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7" t="s">
        <v>72</v>
      </c>
      <c r="B102" s="189">
        <v>15709089773.450001</v>
      </c>
      <c r="C102" s="189">
        <v>15680191036.620001</v>
      </c>
      <c r="D102" s="189">
        <v>15439347047.360001</v>
      </c>
      <c r="E102" s="189">
        <v>15006197323.83</v>
      </c>
      <c r="F102" s="189">
        <v>14562919222.959999</v>
      </c>
      <c r="G102" s="189">
        <v>14180821425.4</v>
      </c>
      <c r="H102" s="189">
        <v>11253071398.389999</v>
      </c>
      <c r="I102" s="189">
        <v>10766755600.24</v>
      </c>
      <c r="J102" s="189">
        <v>10634601145.77</v>
      </c>
      <c r="K102" s="189">
        <v>10271655778.719999</v>
      </c>
      <c r="L102" s="189">
        <v>10290097779.16</v>
      </c>
      <c r="M102" s="189">
        <v>9571368714.4699993</v>
      </c>
      <c r="N102" s="189">
        <v>9239508610.3400002</v>
      </c>
      <c r="O102" s="189">
        <v>8979296985.1299992</v>
      </c>
      <c r="P102" s="189">
        <v>8795341817.9599991</v>
      </c>
      <c r="Q102" s="189">
        <v>8490736974.1499996</v>
      </c>
      <c r="R102" s="189">
        <v>8051501953.1899996</v>
      </c>
      <c r="S102" s="189">
        <v>7823024003.54</v>
      </c>
      <c r="T102" s="189">
        <v>7971443102.6000004</v>
      </c>
      <c r="U102" s="189">
        <v>7728113063.4200001</v>
      </c>
      <c r="V102" s="189">
        <v>7504632698.1700001</v>
      </c>
      <c r="W102" s="189">
        <v>7292662985.4099998</v>
      </c>
      <c r="X102" s="189">
        <v>7448082299.5</v>
      </c>
      <c r="Y102" s="189">
        <v>7226097282.1499996</v>
      </c>
      <c r="Z102" s="189">
        <v>7036390288.3699999</v>
      </c>
      <c r="AA102" s="189">
        <v>6855180705.9499998</v>
      </c>
      <c r="AB102" s="189">
        <v>7049123102.1099997</v>
      </c>
      <c r="AC102" s="189">
        <v>6869897492.3100004</v>
      </c>
      <c r="AD102" s="189">
        <v>6669404092.0600004</v>
      </c>
      <c r="AE102" s="189">
        <v>6516431994.9700003</v>
      </c>
      <c r="AF102" s="189">
        <v>6715743387.5600004</v>
      </c>
      <c r="AG102" s="189">
        <v>6553435013.4200001</v>
      </c>
      <c r="AH102" s="189">
        <v>6349627787.8299999</v>
      </c>
      <c r="AI102" s="189">
        <v>6167489591.96</v>
      </c>
      <c r="AJ102" s="189">
        <v>6350033295.3800001</v>
      </c>
      <c r="AK102" s="189">
        <v>6192476442.8800001</v>
      </c>
      <c r="AL102" s="189">
        <v>6027267530.2299995</v>
      </c>
      <c r="AM102" s="189">
        <v>5902487076.7399998</v>
      </c>
      <c r="AN102" s="189">
        <v>5964443945.5100002</v>
      </c>
      <c r="AO102" s="189">
        <v>5844081786.1999998</v>
      </c>
      <c r="AP102" s="189">
        <v>5732129998.3699999</v>
      </c>
      <c r="AQ102" s="189">
        <v>5607110425.4700003</v>
      </c>
      <c r="AR102" s="189">
        <v>5696737548.7600002</v>
      </c>
      <c r="AS102" s="189">
        <v>5563907103.8000002</v>
      </c>
      <c r="AT102" s="189">
        <v>4342503427.46</v>
      </c>
      <c r="AU102" s="189">
        <v>4226789992.8000002</v>
      </c>
      <c r="AV102" s="189">
        <v>4137164215.1100001</v>
      </c>
      <c r="AW102" s="189">
        <v>4177802120.0599999</v>
      </c>
      <c r="AX102" s="189">
        <v>4102721146.27</v>
      </c>
      <c r="AY102" s="189">
        <v>4014360533.1900001</v>
      </c>
      <c r="AZ102" s="189">
        <v>4057696726.71</v>
      </c>
      <c r="BA102" s="189">
        <v>3985932660.3200002</v>
      </c>
      <c r="BB102" s="189">
        <v>3910131960.9699998</v>
      </c>
      <c r="BC102" s="189">
        <v>3846274605.0900002</v>
      </c>
      <c r="BD102" s="189">
        <v>4029175168</v>
      </c>
      <c r="BE102" s="189">
        <v>3966643476.5300002</v>
      </c>
      <c r="BF102" s="189">
        <v>3946161182.9200001</v>
      </c>
      <c r="BG102" s="189">
        <v>4003607415.4000001</v>
      </c>
      <c r="BH102" s="189">
        <v>3900358108.54</v>
      </c>
      <c r="BI102" s="189">
        <v>3779389882.0999999</v>
      </c>
      <c r="BJ102" s="189">
        <v>3684941547.3899999</v>
      </c>
      <c r="BK102" s="189">
        <v>3576515984.8899999</v>
      </c>
      <c r="BL102" s="189">
        <v>1272313985.6199999</v>
      </c>
      <c r="BM102" s="189">
        <v>1344610118.46</v>
      </c>
      <c r="BN102" s="189">
        <v>1057929813.96</v>
      </c>
      <c r="BO102" s="189">
        <v>899139644.65999997</v>
      </c>
      <c r="BP102" s="189">
        <v>0</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7" t="s">
        <v>73</v>
      </c>
      <c r="B103" s="189">
        <v>114579918.29000001</v>
      </c>
      <c r="C103" s="189">
        <v>121101813.63</v>
      </c>
      <c r="D103" s="189">
        <v>109881607.84</v>
      </c>
      <c r="E103" s="189">
        <v>93589878.209999993</v>
      </c>
      <c r="F103" s="189">
        <v>122986114.34999999</v>
      </c>
      <c r="G103" s="189">
        <v>110637801.86</v>
      </c>
      <c r="H103" s="189">
        <v>110648133.03</v>
      </c>
      <c r="I103" s="189">
        <v>107720243.92</v>
      </c>
      <c r="J103" s="189">
        <v>162647289.24000001</v>
      </c>
      <c r="K103" s="189">
        <v>162937573.97</v>
      </c>
      <c r="L103" s="189">
        <v>200799227.83000001</v>
      </c>
      <c r="M103" s="189">
        <v>201265381.94999999</v>
      </c>
      <c r="N103" s="189">
        <v>190169455.34</v>
      </c>
      <c r="O103" s="189">
        <v>184478557.31999999</v>
      </c>
      <c r="P103" s="189">
        <v>377194300.55000001</v>
      </c>
      <c r="Q103" s="189">
        <v>365850637.31999999</v>
      </c>
      <c r="R103" s="189">
        <v>347675075.55000001</v>
      </c>
      <c r="S103" s="189">
        <v>330162243.32999998</v>
      </c>
      <c r="T103" s="189">
        <v>313739192.30000001</v>
      </c>
      <c r="U103" s="189">
        <v>298272058.19</v>
      </c>
      <c r="V103" s="189">
        <v>288596422.38</v>
      </c>
      <c r="W103" s="189">
        <v>273551718.56999999</v>
      </c>
      <c r="X103" s="189">
        <v>261368178.12</v>
      </c>
      <c r="Y103" s="189">
        <v>246594508.02000001</v>
      </c>
      <c r="Z103" s="189">
        <v>244667118.44999999</v>
      </c>
      <c r="AA103" s="189">
        <v>232043851.24000001</v>
      </c>
      <c r="AB103" s="189">
        <v>226358479.34999999</v>
      </c>
      <c r="AC103" s="189">
        <v>218728961.80000001</v>
      </c>
      <c r="AD103" s="189">
        <v>207121588.21000001</v>
      </c>
      <c r="AE103" s="189">
        <v>213888675.63</v>
      </c>
      <c r="AF103" s="189">
        <v>211917376.61000001</v>
      </c>
      <c r="AG103" s="189">
        <v>207722932.33000001</v>
      </c>
      <c r="AH103" s="189">
        <v>205738241.34</v>
      </c>
      <c r="AI103" s="189">
        <v>210631831.72</v>
      </c>
      <c r="AJ103" s="189">
        <v>202292092.55000001</v>
      </c>
      <c r="AK103" s="189">
        <v>192895137.63999999</v>
      </c>
      <c r="AL103" s="189">
        <v>195557052.93000001</v>
      </c>
      <c r="AM103" s="189">
        <v>205477212.44999999</v>
      </c>
      <c r="AN103" s="189">
        <v>198440948.31999999</v>
      </c>
      <c r="AO103" s="189">
        <v>190072736.59999999</v>
      </c>
      <c r="AP103" s="189">
        <v>192815058.15000001</v>
      </c>
      <c r="AQ103" s="189">
        <v>192888291.16999999</v>
      </c>
      <c r="AR103" s="189">
        <v>183302690.22999999</v>
      </c>
      <c r="AS103" s="189">
        <v>172186046.52000001</v>
      </c>
      <c r="AT103" s="189">
        <v>175519855.43000001</v>
      </c>
      <c r="AU103" s="189">
        <v>189711485.36000001</v>
      </c>
      <c r="AV103" s="189">
        <v>191167029.19999999</v>
      </c>
      <c r="AW103" s="189">
        <v>180017512.47999999</v>
      </c>
      <c r="AX103" s="189">
        <v>198207339.18000001</v>
      </c>
      <c r="AY103" s="189">
        <v>190207775.84</v>
      </c>
      <c r="AZ103" s="189">
        <v>192141844.99000001</v>
      </c>
      <c r="BA103" s="189">
        <v>167165178.99000001</v>
      </c>
      <c r="BB103" s="189">
        <v>168831382.90000001</v>
      </c>
      <c r="BC103" s="189">
        <v>166562865.40000001</v>
      </c>
      <c r="BD103" s="189">
        <v>170083284.62</v>
      </c>
      <c r="BE103" s="189">
        <v>158290331.68000001</v>
      </c>
      <c r="BF103" s="189">
        <v>136574344.91</v>
      </c>
      <c r="BG103" s="189">
        <v>111250164.54000001</v>
      </c>
      <c r="BH103" s="189">
        <v>117177951.29000001</v>
      </c>
      <c r="BI103" s="189">
        <v>110910139.59999999</v>
      </c>
      <c r="BJ103" s="189">
        <v>103639999.94</v>
      </c>
      <c r="BK103" s="189">
        <v>97411499.969999999</v>
      </c>
      <c r="BL103" s="189">
        <v>99523745.409999996</v>
      </c>
      <c r="BM103" s="189">
        <v>88720411.140000001</v>
      </c>
      <c r="BN103" s="189">
        <v>71766948.599999994</v>
      </c>
      <c r="BO103" s="189">
        <v>73346535.870000005</v>
      </c>
      <c r="BP103" s="189">
        <v>0</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15823669691.740002</v>
      </c>
      <c r="C107" s="33">
        <f>C102+C103</f>
        <v>15801292850.25</v>
      </c>
      <c r="D107" s="33">
        <f>D102+D103</f>
        <v>15549228655.200001</v>
      </c>
      <c r="E107" s="33">
        <f>E102+E103</f>
        <v>15099787202.039999</v>
      </c>
      <c r="F107" s="33">
        <f t="shared" ref="F107:BQ107" si="20">F102+F103</f>
        <v>14685905337.309999</v>
      </c>
      <c r="G107" s="33">
        <f t="shared" si="20"/>
        <v>14291459227.26</v>
      </c>
      <c r="H107" s="33">
        <f t="shared" si="20"/>
        <v>11363719531.42</v>
      </c>
      <c r="I107" s="33">
        <f t="shared" si="20"/>
        <v>10874475844.16</v>
      </c>
      <c r="J107" s="33">
        <f t="shared" si="20"/>
        <v>10797248435.01</v>
      </c>
      <c r="K107" s="33">
        <f t="shared" si="20"/>
        <v>10434593352.689999</v>
      </c>
      <c r="L107" s="33">
        <f t="shared" si="20"/>
        <v>10490897006.99</v>
      </c>
      <c r="M107" s="33">
        <f t="shared" si="20"/>
        <v>9772634096.4200001</v>
      </c>
      <c r="N107" s="33">
        <f t="shared" si="20"/>
        <v>9429678065.6800003</v>
      </c>
      <c r="O107" s="33">
        <f t="shared" si="20"/>
        <v>9163775542.4499989</v>
      </c>
      <c r="P107" s="33">
        <f t="shared" si="20"/>
        <v>9172536118.5099983</v>
      </c>
      <c r="Q107" s="33">
        <f t="shared" si="20"/>
        <v>8856587611.4699993</v>
      </c>
      <c r="R107" s="33">
        <f t="shared" si="20"/>
        <v>8399177028.7399998</v>
      </c>
      <c r="S107" s="33">
        <f t="shared" si="20"/>
        <v>8153186246.8699999</v>
      </c>
      <c r="T107" s="33">
        <f t="shared" si="20"/>
        <v>8285182294.9000006</v>
      </c>
      <c r="U107" s="33">
        <f t="shared" si="20"/>
        <v>8026385121.6099997</v>
      </c>
      <c r="V107" s="33">
        <f t="shared" si="20"/>
        <v>7793229120.5500002</v>
      </c>
      <c r="W107" s="33">
        <f t="shared" si="20"/>
        <v>7566214703.9799995</v>
      </c>
      <c r="X107" s="33">
        <f t="shared" si="20"/>
        <v>7709450477.6199999</v>
      </c>
      <c r="Y107" s="33">
        <f t="shared" si="20"/>
        <v>7472691790.1700001</v>
      </c>
      <c r="Z107" s="33">
        <f t="shared" si="20"/>
        <v>7281057406.8199997</v>
      </c>
      <c r="AA107" s="33">
        <f t="shared" si="20"/>
        <v>7087224557.1899996</v>
      </c>
      <c r="AB107" s="33">
        <f t="shared" si="20"/>
        <v>7275481581.46</v>
      </c>
      <c r="AC107" s="33">
        <f t="shared" si="20"/>
        <v>7088626454.1100006</v>
      </c>
      <c r="AD107" s="33">
        <f t="shared" si="20"/>
        <v>6876525680.2700005</v>
      </c>
      <c r="AE107" s="33">
        <f t="shared" si="20"/>
        <v>6730320670.6000004</v>
      </c>
      <c r="AF107" s="33">
        <f t="shared" si="20"/>
        <v>6927660764.1700001</v>
      </c>
      <c r="AG107" s="33">
        <f t="shared" si="20"/>
        <v>6761157945.75</v>
      </c>
      <c r="AH107" s="33">
        <f t="shared" si="20"/>
        <v>6555366029.1700001</v>
      </c>
      <c r="AI107" s="33">
        <f t="shared" si="20"/>
        <v>6378121423.6800003</v>
      </c>
      <c r="AJ107" s="33">
        <f t="shared" si="20"/>
        <v>6552325387.9300003</v>
      </c>
      <c r="AK107" s="33">
        <f t="shared" si="20"/>
        <v>6385371580.5200005</v>
      </c>
      <c r="AL107" s="33">
        <f t="shared" si="20"/>
        <v>6222824583.1599998</v>
      </c>
      <c r="AM107" s="33">
        <f t="shared" si="20"/>
        <v>6107964289.1899996</v>
      </c>
      <c r="AN107" s="33">
        <f t="shared" si="20"/>
        <v>6162884893.8299999</v>
      </c>
      <c r="AO107" s="33">
        <f t="shared" si="20"/>
        <v>6034154522.8000002</v>
      </c>
      <c r="AP107" s="33">
        <f t="shared" si="20"/>
        <v>5924945056.5199995</v>
      </c>
      <c r="AQ107" s="33">
        <f t="shared" si="20"/>
        <v>5799998716.6400003</v>
      </c>
      <c r="AR107" s="33">
        <f t="shared" si="20"/>
        <v>5880040238.9899998</v>
      </c>
      <c r="AS107" s="33">
        <f t="shared" si="20"/>
        <v>5736093150.3200006</v>
      </c>
      <c r="AT107" s="33">
        <f t="shared" si="20"/>
        <v>4518023282.8900003</v>
      </c>
      <c r="AU107" s="33">
        <f t="shared" si="20"/>
        <v>4416501478.1599998</v>
      </c>
      <c r="AV107" s="33">
        <f t="shared" si="20"/>
        <v>4328331244.3100004</v>
      </c>
      <c r="AW107" s="33">
        <f t="shared" si="20"/>
        <v>4357819632.54</v>
      </c>
      <c r="AX107" s="33">
        <f t="shared" si="20"/>
        <v>4300928485.4499998</v>
      </c>
      <c r="AY107" s="33">
        <f t="shared" si="20"/>
        <v>4204568309.0300002</v>
      </c>
      <c r="AZ107" s="33">
        <f t="shared" si="20"/>
        <v>4249838571.6999998</v>
      </c>
      <c r="BA107" s="33">
        <f t="shared" si="20"/>
        <v>4153097839.3100004</v>
      </c>
      <c r="BB107" s="33">
        <f t="shared" si="20"/>
        <v>4078963343.8699999</v>
      </c>
      <c r="BC107" s="33">
        <f t="shared" si="20"/>
        <v>4012837470.4900002</v>
      </c>
      <c r="BD107" s="33">
        <f t="shared" si="20"/>
        <v>4199258452.6199999</v>
      </c>
      <c r="BE107" s="33">
        <f t="shared" si="20"/>
        <v>4124933808.21</v>
      </c>
      <c r="BF107" s="33">
        <f t="shared" si="20"/>
        <v>4082735527.8299999</v>
      </c>
      <c r="BG107" s="33">
        <f t="shared" si="20"/>
        <v>4114857579.9400001</v>
      </c>
      <c r="BH107" s="33">
        <f t="shared" si="20"/>
        <v>4017536059.8299999</v>
      </c>
      <c r="BI107" s="33">
        <f t="shared" si="20"/>
        <v>3890300021.6999998</v>
      </c>
      <c r="BJ107" s="33">
        <f t="shared" si="20"/>
        <v>3788581547.3299999</v>
      </c>
      <c r="BK107" s="33">
        <f t="shared" si="20"/>
        <v>3673927484.8599997</v>
      </c>
      <c r="BL107" s="33">
        <f t="shared" si="20"/>
        <v>1371837731.03</v>
      </c>
      <c r="BM107" s="33">
        <f t="shared" si="20"/>
        <v>1433330529.6000001</v>
      </c>
      <c r="BN107" s="33">
        <f t="shared" si="20"/>
        <v>1129696762.5599999</v>
      </c>
      <c r="BO107" s="33">
        <f t="shared" si="20"/>
        <v>972486180.52999997</v>
      </c>
      <c r="BP107" s="33">
        <f t="shared" si="20"/>
        <v>0</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20942690663.030003</v>
      </c>
      <c r="C108" s="38">
        <f t="shared" ref="C108:BN108" si="22">SUM(C89+C107)</f>
        <v>18442413337.75</v>
      </c>
      <c r="D108" s="38">
        <f t="shared" si="22"/>
        <v>18629457559.450001</v>
      </c>
      <c r="E108" s="38">
        <f>SUM(E107+E89)</f>
        <v>18162648839.509998</v>
      </c>
      <c r="F108" s="38">
        <f t="shared" si="22"/>
        <v>16930338666.779999</v>
      </c>
      <c r="G108" s="38">
        <f t="shared" si="22"/>
        <v>15171819266.389999</v>
      </c>
      <c r="H108" s="38">
        <f t="shared" si="22"/>
        <v>15149251729.33</v>
      </c>
      <c r="I108" s="38">
        <f t="shared" si="22"/>
        <v>14712800943.690001</v>
      </c>
      <c r="J108" s="38">
        <f t="shared" si="22"/>
        <v>13863149370.48</v>
      </c>
      <c r="K108" s="38">
        <f t="shared" si="22"/>
        <v>13500563885.689999</v>
      </c>
      <c r="L108" s="38">
        <f t="shared" si="22"/>
        <v>13556867539.99</v>
      </c>
      <c r="M108" s="38">
        <f t="shared" si="22"/>
        <v>9772634096.4200001</v>
      </c>
      <c r="N108" s="38">
        <f t="shared" si="22"/>
        <v>9429678065.6800003</v>
      </c>
      <c r="O108" s="38">
        <f t="shared" si="22"/>
        <v>9163775542.4499989</v>
      </c>
      <c r="P108" s="38">
        <f t="shared" si="22"/>
        <v>9172536118.5099983</v>
      </c>
      <c r="Q108" s="38">
        <f t="shared" si="22"/>
        <v>8856587611.4699993</v>
      </c>
      <c r="R108" s="38">
        <f t="shared" si="22"/>
        <v>8399177028.7399998</v>
      </c>
      <c r="S108" s="38">
        <f t="shared" si="22"/>
        <v>8153186246.8699999</v>
      </c>
      <c r="T108" s="38">
        <f t="shared" si="22"/>
        <v>8285182294.9000006</v>
      </c>
      <c r="U108" s="38">
        <f t="shared" si="22"/>
        <v>8026385121.6099997</v>
      </c>
      <c r="V108" s="38">
        <f t="shared" si="22"/>
        <v>7796819218.9000006</v>
      </c>
      <c r="W108" s="38">
        <f t="shared" si="22"/>
        <v>8269279429</v>
      </c>
      <c r="X108" s="38">
        <f t="shared" si="22"/>
        <v>8420495915.9700003</v>
      </c>
      <c r="Y108" s="38">
        <f t="shared" si="22"/>
        <v>8356168468.5200005</v>
      </c>
      <c r="Z108" s="38">
        <f t="shared" si="22"/>
        <v>8171831471.8299999</v>
      </c>
      <c r="AA108" s="38">
        <f t="shared" si="22"/>
        <v>8221399300</v>
      </c>
      <c r="AB108" s="38">
        <f t="shared" si="22"/>
        <v>8448853250.8099995</v>
      </c>
      <c r="AC108" s="38">
        <f t="shared" si="22"/>
        <v>8711341156.1599998</v>
      </c>
      <c r="AD108" s="38">
        <f t="shared" si="22"/>
        <v>9513540835.25</v>
      </c>
      <c r="AE108" s="38">
        <f t="shared" si="22"/>
        <v>8348913645.7900009</v>
      </c>
      <c r="AF108" s="38">
        <f t="shared" si="22"/>
        <v>8532755375.1499996</v>
      </c>
      <c r="AG108" s="38">
        <f t="shared" si="22"/>
        <v>8537083385.3400002</v>
      </c>
      <c r="AH108" s="38">
        <f t="shared" si="22"/>
        <v>7903443729.9300003</v>
      </c>
      <c r="AI108" s="38">
        <f t="shared" si="22"/>
        <v>8150619202.8600006</v>
      </c>
      <c r="AJ108" s="38">
        <f t="shared" si="22"/>
        <v>8329515609.3100004</v>
      </c>
      <c r="AK108" s="38">
        <f t="shared" si="22"/>
        <v>8143339884.0799999</v>
      </c>
      <c r="AL108" s="38">
        <f t="shared" si="22"/>
        <v>7767016888.9399996</v>
      </c>
      <c r="AM108" s="38">
        <f t="shared" si="22"/>
        <v>7657596195.0199995</v>
      </c>
      <c r="AN108" s="38">
        <f t="shared" si="22"/>
        <v>7692048808.3500004</v>
      </c>
      <c r="AO108" s="38">
        <f t="shared" si="22"/>
        <v>7542360229.5500002</v>
      </c>
      <c r="AP108" s="38">
        <f t="shared" si="22"/>
        <v>7433380360.3299999</v>
      </c>
      <c r="AQ108" s="38">
        <f t="shared" si="22"/>
        <v>7314681399.3900003</v>
      </c>
      <c r="AR108" s="38">
        <f t="shared" si="22"/>
        <v>7335104604.5100002</v>
      </c>
      <c r="AS108" s="38">
        <f t="shared" si="22"/>
        <v>7358953150.8400002</v>
      </c>
      <c r="AT108" s="38">
        <f t="shared" si="22"/>
        <v>4912206664.4300003</v>
      </c>
      <c r="AU108" s="38">
        <f t="shared" si="22"/>
        <v>5096973463.0299997</v>
      </c>
      <c r="AV108" s="38">
        <f t="shared" si="22"/>
        <v>5027672692.6100006</v>
      </c>
      <c r="AW108" s="38">
        <f t="shared" si="22"/>
        <v>6621069632.54</v>
      </c>
      <c r="AX108" s="38">
        <f t="shared" si="22"/>
        <v>6062568485.4499998</v>
      </c>
      <c r="AY108" s="38">
        <f t="shared" si="22"/>
        <v>7009528309.0300007</v>
      </c>
      <c r="AZ108" s="38">
        <f t="shared" si="22"/>
        <v>7153158571.6999998</v>
      </c>
      <c r="BA108" s="38">
        <f t="shared" si="22"/>
        <v>7081123431.0799999</v>
      </c>
      <c r="BB108" s="38">
        <f t="shared" si="22"/>
        <v>6178963343.8699999</v>
      </c>
      <c r="BC108" s="38">
        <f t="shared" si="22"/>
        <v>6112837470.4899998</v>
      </c>
      <c r="BD108" s="38">
        <f t="shared" si="22"/>
        <v>4199258452.6199999</v>
      </c>
      <c r="BE108" s="38">
        <f t="shared" si="22"/>
        <v>4124933808.21</v>
      </c>
      <c r="BF108" s="38">
        <f t="shared" si="22"/>
        <v>4082735527.8299999</v>
      </c>
      <c r="BG108" s="38">
        <f t="shared" si="22"/>
        <v>4114857579.9400001</v>
      </c>
      <c r="BH108" s="38">
        <f t="shared" si="22"/>
        <v>4017536059.8299999</v>
      </c>
      <c r="BI108" s="38">
        <f t="shared" si="22"/>
        <v>3890300021.6999998</v>
      </c>
      <c r="BJ108" s="38">
        <f t="shared" si="22"/>
        <v>3788581547.3299999</v>
      </c>
      <c r="BK108" s="38">
        <f t="shared" si="22"/>
        <v>3673927484.8599997</v>
      </c>
      <c r="BL108" s="38">
        <f t="shared" si="22"/>
        <v>1371837731.03</v>
      </c>
      <c r="BM108" s="38">
        <f t="shared" si="22"/>
        <v>1433330529.6000001</v>
      </c>
      <c r="BN108" s="38">
        <f t="shared" si="22"/>
        <v>1129696762.5599999</v>
      </c>
      <c r="BO108" s="38">
        <f t="shared" ref="BO108:CK108" si="23">SUM(BO89+BO107)</f>
        <v>972486180.52999997</v>
      </c>
      <c r="BP108" s="38">
        <f t="shared" si="23"/>
        <v>0</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7" width="21.44140625" hidden="1" customWidth="1"/>
    <col min="8" max="8" width="20.21875" hidden="1" customWidth="1"/>
    <col min="9" max="9" width="21.44140625" bestFit="1" customWidth="1"/>
    <col min="10" max="10" width="21.44140625" hidden="1" customWidth="1"/>
    <col min="11" max="12" width="20.21875" hidden="1" customWidth="1"/>
    <col min="13" max="13" width="21.44140625" bestFit="1" customWidth="1"/>
    <col min="14" max="14" width="21.44140625" hidden="1" customWidth="1"/>
    <col min="15" max="15" width="19.33203125" hidden="1" customWidth="1"/>
    <col min="16" max="16" width="20.21875" hidden="1" customWidth="1"/>
    <col min="17" max="17" width="21.44140625" bestFit="1" customWidth="1"/>
    <col min="18" max="18" width="21.44140625" hidden="1" customWidth="1"/>
    <col min="19" max="19" width="19" hidden="1" customWidth="1"/>
    <col min="20" max="20" width="20.21875" hidden="1" customWidth="1"/>
    <col min="21" max="21" width="21.44140625" bestFit="1" customWidth="1"/>
    <col min="22" max="22" width="19.332031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0" width="19.33203125" hidden="1" customWidth="1"/>
    <col min="31" max="32" width="20.21875" hidden="1" customWidth="1"/>
    <col min="33" max="33" width="19.33203125" bestFit="1" customWidth="1"/>
    <col min="34" max="34" width="19.33203125" hidden="1" customWidth="1"/>
    <col min="35" max="36" width="20.21875" hidden="1" customWidth="1"/>
    <col min="37" max="37" width="19.33203125" bestFit="1" customWidth="1"/>
    <col min="38" max="38" width="19" hidden="1" customWidth="1"/>
    <col min="39" max="40" width="20.21875" hidden="1" customWidth="1"/>
    <col min="41" max="41" width="19.33203125" bestFit="1" customWidth="1"/>
    <col min="42" max="42" width="19" hidden="1" customWidth="1"/>
    <col min="43" max="44" width="20.21875" hidden="1" customWidth="1"/>
    <col min="45" max="45" width="19.33203125" bestFit="1" customWidth="1"/>
    <col min="46" max="46" width="19" hidden="1" customWidth="1"/>
    <col min="47" max="48" width="20.21875" hidden="1" customWidth="1"/>
    <col min="49" max="49" width="19.33203125" bestFit="1" customWidth="1"/>
    <col min="50" max="52" width="20.21875" hidden="1" customWidth="1"/>
    <col min="53" max="53" width="19" bestFit="1" customWidth="1"/>
    <col min="54" max="56" width="20.21875" hidden="1" customWidth="1"/>
    <col min="57" max="57" width="19" bestFit="1" customWidth="1"/>
    <col min="58" max="59" width="19" hidden="1" customWidth="1"/>
    <col min="60" max="60" width="20.21875" hidden="1" customWidth="1"/>
    <col min="61" max="61" width="19" bestFit="1" customWidth="1"/>
    <col min="62" max="63" width="20.21875" hidden="1" customWidth="1"/>
    <col min="64" max="64" width="19" hidden="1" customWidth="1"/>
    <col min="65" max="65" width="19" bestFit="1" customWidth="1"/>
    <col min="66" max="66" width="19" hidden="1" customWidth="1"/>
    <col min="67" max="68" width="19" bestFit="1" customWidth="1"/>
    <col min="69" max="69" width="9.5546875" hidden="1" customWidth="1"/>
    <col min="70"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c r="BR4" s="189"/>
      <c r="BS4" s="189"/>
      <c r="BT4" s="189"/>
      <c r="BU4" s="189"/>
      <c r="BV4" s="189"/>
      <c r="BW4" s="189"/>
      <c r="BX4" s="189"/>
      <c r="BY4" s="189"/>
      <c r="BZ4" s="189"/>
      <c r="CA4" s="189"/>
      <c r="CB4" s="189"/>
      <c r="CC4" s="189"/>
      <c r="CD4" s="189"/>
      <c r="CE4" s="189"/>
      <c r="CF4" s="189"/>
      <c r="CG4" s="189"/>
      <c r="CH4" s="189"/>
      <c r="CI4" s="189"/>
      <c r="CJ4" s="189"/>
      <c r="CK4" s="189"/>
    </row>
    <row r="5" spans="1:89" x14ac:dyDescent="0.25">
      <c r="A5" s="19" t="s">
        <v>386</v>
      </c>
      <c r="B5" s="189">
        <v>4145927467.3800001</v>
      </c>
      <c r="C5" s="189">
        <v>2524410387.1399999</v>
      </c>
      <c r="D5" s="189">
        <v>1039236420.46</v>
      </c>
      <c r="E5" s="189">
        <v>4018885671.1100001</v>
      </c>
      <c r="F5" s="189">
        <v>3002665926.9299998</v>
      </c>
      <c r="G5" s="189">
        <v>1945463196.1800001</v>
      </c>
      <c r="H5" s="189">
        <v>971224272.83000004</v>
      </c>
      <c r="I5" s="189">
        <v>3724036883.98</v>
      </c>
      <c r="J5" s="189">
        <v>2749765918.6599998</v>
      </c>
      <c r="K5" s="189">
        <v>1815901788.3</v>
      </c>
      <c r="L5" s="189">
        <v>867913057.74000001</v>
      </c>
      <c r="M5" s="189">
        <v>3366175400.3800001</v>
      </c>
      <c r="N5" s="189">
        <v>2517395939.8499999</v>
      </c>
      <c r="O5" s="189">
        <v>1668575136.21</v>
      </c>
      <c r="P5" s="189">
        <v>838067151.16999996</v>
      </c>
      <c r="Q5" s="189">
        <v>3392685032.23</v>
      </c>
      <c r="R5" s="189">
        <v>2677452727.9299998</v>
      </c>
      <c r="S5" s="189">
        <v>1743613893.3199999</v>
      </c>
      <c r="T5" s="189">
        <v>824476872.63</v>
      </c>
      <c r="U5" s="189">
        <v>3261251903.25</v>
      </c>
      <c r="V5" s="189">
        <v>2498174227.54</v>
      </c>
      <c r="W5" s="189">
        <v>1592668691.73</v>
      </c>
      <c r="X5" s="189">
        <v>755928102.26999998</v>
      </c>
      <c r="Y5" s="189">
        <v>2852876091.1100001</v>
      </c>
      <c r="Z5" s="189">
        <v>2168564062.7800002</v>
      </c>
      <c r="AA5" s="189">
        <v>1442906245.6199999</v>
      </c>
      <c r="AB5" s="189">
        <v>699965846.80999994</v>
      </c>
      <c r="AC5" s="189">
        <v>2654413969.4099998</v>
      </c>
      <c r="AD5" s="189">
        <v>1917839834.2</v>
      </c>
      <c r="AE5" s="189">
        <v>1256174881.8900001</v>
      </c>
      <c r="AF5" s="189">
        <v>593893100.21000004</v>
      </c>
      <c r="AG5" s="189">
        <v>2452525912.1199999</v>
      </c>
      <c r="AH5" s="189">
        <v>1660920523.8699999</v>
      </c>
      <c r="AI5" s="189">
        <v>1083542723.5899999</v>
      </c>
      <c r="AJ5" s="189">
        <v>506191413.54000002</v>
      </c>
      <c r="AK5" s="189">
        <v>1899423599.27</v>
      </c>
      <c r="AL5" s="189">
        <v>1352172928.6800001</v>
      </c>
      <c r="AM5" s="189">
        <v>884672269.42999995</v>
      </c>
      <c r="AN5" s="189">
        <v>460544269.88999999</v>
      </c>
      <c r="AO5" s="189">
        <v>1763487215.6800001</v>
      </c>
      <c r="AP5" s="189">
        <v>1279522189.3599999</v>
      </c>
      <c r="AQ5" s="189">
        <v>847681923.76999998</v>
      </c>
      <c r="AR5" s="189">
        <v>411365648.81</v>
      </c>
      <c r="AS5" s="189">
        <v>1428817493.7</v>
      </c>
      <c r="AT5" s="189">
        <v>1011694595.3</v>
      </c>
      <c r="AU5" s="189">
        <v>669408137.97000003</v>
      </c>
      <c r="AV5" s="189">
        <v>319436716.14999998</v>
      </c>
      <c r="AW5" s="189">
        <v>1261005099.5</v>
      </c>
      <c r="AX5" s="189">
        <v>929014676.63999999</v>
      </c>
      <c r="AY5" s="189">
        <v>634601482.57000005</v>
      </c>
      <c r="AZ5" s="189">
        <v>304009835.44</v>
      </c>
      <c r="BA5" s="189">
        <v>1186017320.75</v>
      </c>
      <c r="BB5" s="189">
        <v>809111428.25</v>
      </c>
      <c r="BC5" s="189">
        <v>495517793.13999999</v>
      </c>
      <c r="BD5" s="189">
        <v>223402857.93000001</v>
      </c>
      <c r="BE5" s="189">
        <v>702627418.32000005</v>
      </c>
      <c r="BF5" s="189">
        <v>425396369.06</v>
      </c>
      <c r="BG5" s="189">
        <v>216560112.52000001</v>
      </c>
      <c r="BH5" s="189">
        <v>103015076.8</v>
      </c>
      <c r="BI5" s="189">
        <v>378786711.06999999</v>
      </c>
      <c r="BJ5" s="189">
        <v>253324099.94</v>
      </c>
      <c r="BK5" s="189">
        <v>166822223.65000001</v>
      </c>
      <c r="BL5" s="189">
        <v>87977754.920000002</v>
      </c>
      <c r="BM5" s="189">
        <v>366154973.02999997</v>
      </c>
      <c r="BN5" s="189">
        <v>166437524.66</v>
      </c>
      <c r="BO5" s="189">
        <v>343845482.26999998</v>
      </c>
      <c r="BP5" s="189">
        <v>313875163.81999999</v>
      </c>
      <c r="BQ5" s="189">
        <v>0</v>
      </c>
      <c r="BR5" s="189"/>
      <c r="BS5" s="189"/>
      <c r="BT5" s="189"/>
      <c r="BU5" s="189"/>
      <c r="BV5" s="189"/>
      <c r="BW5" s="189"/>
      <c r="BX5" s="189"/>
      <c r="BY5" s="189"/>
      <c r="BZ5" s="189"/>
      <c r="CA5" s="189"/>
      <c r="CB5" s="189"/>
      <c r="CC5" s="189"/>
      <c r="CD5" s="189"/>
      <c r="CE5" s="189"/>
      <c r="CF5" s="189"/>
      <c r="CG5" s="189"/>
      <c r="CH5" s="189"/>
      <c r="CI5" s="189"/>
      <c r="CJ5" s="189"/>
      <c r="CK5" s="189"/>
    </row>
    <row r="6" spans="1:89" s="3" customFormat="1" x14ac:dyDescent="0.25">
      <c r="A6" s="20" t="s">
        <v>387</v>
      </c>
      <c r="B6" s="27">
        <f>B4-B5</f>
        <v>1657467457.3299999</v>
      </c>
      <c r="C6" s="27">
        <f t="shared" ref="C6:BN6" si="0">C4-C5</f>
        <v>1196205387.9200001</v>
      </c>
      <c r="D6" s="27">
        <f t="shared" si="0"/>
        <v>684562199.71000004</v>
      </c>
      <c r="E6" s="27">
        <f t="shared" si="0"/>
        <v>2742665203.2599998</v>
      </c>
      <c r="F6" s="27">
        <f t="shared" si="0"/>
        <v>1915823254.9400001</v>
      </c>
      <c r="G6" s="27">
        <f t="shared" si="0"/>
        <v>1268198322.2</v>
      </c>
      <c r="H6" s="27">
        <f t="shared" si="0"/>
        <v>612523253.86000001</v>
      </c>
      <c r="I6" s="27">
        <f t="shared" si="0"/>
        <v>2442646172.1399999</v>
      </c>
      <c r="J6" s="27">
        <f t="shared" si="0"/>
        <v>1784826416.1199999</v>
      </c>
      <c r="K6" s="27">
        <f t="shared" si="0"/>
        <v>1168748499.3599999</v>
      </c>
      <c r="L6" s="27">
        <f t="shared" si="0"/>
        <v>574783861.74000001</v>
      </c>
      <c r="M6" s="27">
        <f t="shared" si="0"/>
        <v>2253559953.8499994</v>
      </c>
      <c r="N6" s="27">
        <f t="shared" si="0"/>
        <v>1679091850.1800003</v>
      </c>
      <c r="O6" s="27">
        <f t="shared" si="0"/>
        <v>1105357592.54</v>
      </c>
      <c r="P6" s="27">
        <f t="shared" si="0"/>
        <v>551475362.06000006</v>
      </c>
      <c r="Q6" s="27">
        <f t="shared" si="0"/>
        <v>2134993544.0800004</v>
      </c>
      <c r="R6" s="27">
        <f t="shared" si="0"/>
        <v>1402536109.7600002</v>
      </c>
      <c r="S6" s="27">
        <f t="shared" si="0"/>
        <v>937823885.47000003</v>
      </c>
      <c r="T6" s="27">
        <f t="shared" si="0"/>
        <v>463719188.40999997</v>
      </c>
      <c r="U6" s="27">
        <f t="shared" si="0"/>
        <v>1880061516.0100002</v>
      </c>
      <c r="V6" s="27">
        <f t="shared" si="0"/>
        <v>1298556562.5</v>
      </c>
      <c r="W6" s="27">
        <f t="shared" si="0"/>
        <v>869656015.80000019</v>
      </c>
      <c r="X6" s="27">
        <f t="shared" si="0"/>
        <v>428366355.30999994</v>
      </c>
      <c r="Y6" s="27">
        <f t="shared" si="0"/>
        <v>1820439305.8899999</v>
      </c>
      <c r="Z6" s="27">
        <f t="shared" si="0"/>
        <v>1291517691.7399998</v>
      </c>
      <c r="AA6" s="27">
        <f t="shared" si="0"/>
        <v>846497868.32000017</v>
      </c>
      <c r="AB6" s="27">
        <f t="shared" si="0"/>
        <v>411820326.85000014</v>
      </c>
      <c r="AC6" s="27">
        <f t="shared" si="0"/>
        <v>1584937665.52</v>
      </c>
      <c r="AD6" s="27">
        <f t="shared" si="0"/>
        <v>1187693613.7099998</v>
      </c>
      <c r="AE6" s="27">
        <f t="shared" si="0"/>
        <v>772131283.28999996</v>
      </c>
      <c r="AF6" s="27">
        <f t="shared" si="0"/>
        <v>392678653.52999997</v>
      </c>
      <c r="AG6" s="27">
        <f t="shared" si="0"/>
        <v>1412953567.0799999</v>
      </c>
      <c r="AH6" s="27">
        <f t="shared" si="0"/>
        <v>1074654186.5500002</v>
      </c>
      <c r="AI6" s="27">
        <f t="shared" si="0"/>
        <v>689312684.85000014</v>
      </c>
      <c r="AJ6" s="27">
        <f t="shared" si="0"/>
        <v>360539245.12999994</v>
      </c>
      <c r="AK6" s="27">
        <f t="shared" si="0"/>
        <v>1406665883.3099999</v>
      </c>
      <c r="AL6" s="27">
        <f t="shared" si="0"/>
        <v>997079671.37999988</v>
      </c>
      <c r="AM6" s="27">
        <f t="shared" si="0"/>
        <v>665161156.03000009</v>
      </c>
      <c r="AN6" s="27">
        <f t="shared" si="0"/>
        <v>307870228.56000006</v>
      </c>
      <c r="AO6" s="27">
        <f t="shared" si="0"/>
        <v>1286214433.4799998</v>
      </c>
      <c r="AP6" s="27">
        <f t="shared" si="0"/>
        <v>985699810.98000026</v>
      </c>
      <c r="AQ6" s="27">
        <f t="shared" si="0"/>
        <v>663773925.21000004</v>
      </c>
      <c r="AR6" s="27">
        <f t="shared" si="0"/>
        <v>343431186.19999999</v>
      </c>
      <c r="AS6" s="27">
        <f t="shared" si="0"/>
        <v>1254622548.05</v>
      </c>
      <c r="AT6" s="27">
        <f t="shared" si="0"/>
        <v>941686651.77999997</v>
      </c>
      <c r="AU6" s="27">
        <f t="shared" si="0"/>
        <v>605326656.46000004</v>
      </c>
      <c r="AV6" s="27">
        <f t="shared" si="0"/>
        <v>301624414.07000005</v>
      </c>
      <c r="AW6" s="27">
        <f t="shared" si="0"/>
        <v>1148792462.0500002</v>
      </c>
      <c r="AX6" s="27">
        <f t="shared" si="0"/>
        <v>853544363.40999997</v>
      </c>
      <c r="AY6" s="27">
        <f t="shared" si="0"/>
        <v>553308886.34000003</v>
      </c>
      <c r="AZ6" s="27">
        <f t="shared" si="0"/>
        <v>285694530.06999999</v>
      </c>
      <c r="BA6" s="27">
        <f t="shared" si="0"/>
        <v>963290914.17999983</v>
      </c>
      <c r="BB6" s="27">
        <f t="shared" si="0"/>
        <v>711300107.6500001</v>
      </c>
      <c r="BC6" s="27">
        <f t="shared" si="0"/>
        <v>484061721.46000004</v>
      </c>
      <c r="BD6" s="27">
        <f t="shared" si="0"/>
        <v>222650174.63999999</v>
      </c>
      <c r="BE6" s="27">
        <f t="shared" si="0"/>
        <v>838155235.88</v>
      </c>
      <c r="BF6" s="27">
        <f t="shared" si="0"/>
        <v>668238685.03999996</v>
      </c>
      <c r="BG6" s="27">
        <f t="shared" si="0"/>
        <v>497728446.96000004</v>
      </c>
      <c r="BH6" s="27">
        <f t="shared" si="0"/>
        <v>246171170.25</v>
      </c>
      <c r="BI6" s="27">
        <f t="shared" si="0"/>
        <v>683064352.5</v>
      </c>
      <c r="BJ6" s="27">
        <f t="shared" si="0"/>
        <v>444941314.26000005</v>
      </c>
      <c r="BK6" s="27">
        <f t="shared" si="0"/>
        <v>228498149.70000002</v>
      </c>
      <c r="BL6" s="27">
        <f t="shared" si="0"/>
        <v>158839130.57999998</v>
      </c>
      <c r="BM6" s="27">
        <f t="shared" si="0"/>
        <v>573500627.07000005</v>
      </c>
      <c r="BN6" s="27">
        <f t="shared" si="0"/>
        <v>265911600.61999997</v>
      </c>
      <c r="BO6" s="27">
        <f t="shared" ref="BO6:CK6" si="1">BO4-BO5</f>
        <v>494538999.85000002</v>
      </c>
      <c r="BP6" s="27">
        <f t="shared" si="1"/>
        <v>466379729.25000006</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28.560307868636475</v>
      </c>
      <c r="C7" s="57">
        <f t="shared" ref="C7:D7" si="2">C6/C4*100</f>
        <v>32.15073687367542</v>
      </c>
      <c r="D7" s="57">
        <f t="shared" si="2"/>
        <v>39.712422999995724</v>
      </c>
      <c r="E7" s="57">
        <f>E6/E4</f>
        <v>0.40562664604894283</v>
      </c>
      <c r="F7" s="57">
        <f t="shared" ref="F7:BQ7" si="3">F6/F4</f>
        <v>0.38951458142917128</v>
      </c>
      <c r="G7" s="57">
        <f t="shared" si="3"/>
        <v>0.39462722347912238</v>
      </c>
      <c r="H7" s="57">
        <f t="shared" si="3"/>
        <v>0.3867556182645861</v>
      </c>
      <c r="I7" s="57">
        <f t="shared" si="3"/>
        <v>0.39610373192697895</v>
      </c>
      <c r="J7" s="57">
        <f t="shared" si="3"/>
        <v>0.39360239782317552</v>
      </c>
      <c r="K7" s="57">
        <f t="shared" si="3"/>
        <v>0.39158641271715361</v>
      </c>
      <c r="L7" s="57">
        <f t="shared" si="3"/>
        <v>0.39840929441172773</v>
      </c>
      <c r="M7" s="57">
        <f t="shared" si="3"/>
        <v>0.40100819910562779</v>
      </c>
      <c r="N7" s="57">
        <f t="shared" si="3"/>
        <v>0.400118369024969</v>
      </c>
      <c r="O7" s="57">
        <f t="shared" si="3"/>
        <v>0.39848031680209506</v>
      </c>
      <c r="P7" s="57">
        <f t="shared" si="3"/>
        <v>0.39687548729840028</v>
      </c>
      <c r="Q7" s="57">
        <f t="shared" si="3"/>
        <v>0.38623691927927084</v>
      </c>
      <c r="R7" s="57">
        <f t="shared" si="3"/>
        <v>0.34375979091013525</v>
      </c>
      <c r="S7" s="57">
        <f t="shared" si="3"/>
        <v>0.34974665192238524</v>
      </c>
      <c r="T7" s="57">
        <f t="shared" si="3"/>
        <v>0.35997562982425618</v>
      </c>
      <c r="U7" s="57">
        <f t="shared" si="3"/>
        <v>0.3656772817947756</v>
      </c>
      <c r="V7" s="57">
        <f t="shared" si="3"/>
        <v>0.34201965699188253</v>
      </c>
      <c r="W7" s="57">
        <f t="shared" si="3"/>
        <v>0.35318494475587137</v>
      </c>
      <c r="X7" s="57">
        <f t="shared" si="3"/>
        <v>0.36170595291421725</v>
      </c>
      <c r="Y7" s="57">
        <f t="shared" si="3"/>
        <v>0.38953914967062087</v>
      </c>
      <c r="Z7" s="57">
        <f t="shared" si="3"/>
        <v>0.37326218955747353</v>
      </c>
      <c r="AA7" s="57">
        <f t="shared" si="3"/>
        <v>0.36974593658050225</v>
      </c>
      <c r="AB7" s="57">
        <f t="shared" si="3"/>
        <v>0.37041324726524311</v>
      </c>
      <c r="AC7" s="57">
        <f t="shared" si="3"/>
        <v>0.37386322296573787</v>
      </c>
      <c r="AD7" s="57">
        <f t="shared" si="3"/>
        <v>0.38244431548766877</v>
      </c>
      <c r="AE7" s="57">
        <f t="shared" si="3"/>
        <v>0.38067787622263521</v>
      </c>
      <c r="AF7" s="57">
        <f t="shared" si="3"/>
        <v>0.39802340989531926</v>
      </c>
      <c r="AG7" s="57">
        <f t="shared" si="3"/>
        <v>0.36553125548409976</v>
      </c>
      <c r="AH7" s="57">
        <f t="shared" si="3"/>
        <v>0.39284402742011226</v>
      </c>
      <c r="AI7" s="57">
        <f t="shared" si="3"/>
        <v>0.38881494879300477</v>
      </c>
      <c r="AJ7" s="57">
        <f t="shared" si="3"/>
        <v>0.41597610690643871</v>
      </c>
      <c r="AK7" s="57">
        <f t="shared" si="3"/>
        <v>0.42547725665678859</v>
      </c>
      <c r="AL7" s="57">
        <f t="shared" si="3"/>
        <v>0.42442420681136395</v>
      </c>
      <c r="AM7" s="57">
        <f t="shared" si="3"/>
        <v>0.42918235282774098</v>
      </c>
      <c r="AN7" s="57">
        <f t="shared" si="3"/>
        <v>0.40065645453204951</v>
      </c>
      <c r="AO7" s="57">
        <f t="shared" si="3"/>
        <v>0.42175090597280906</v>
      </c>
      <c r="AP7" s="57">
        <f t="shared" si="3"/>
        <v>0.4351449044870882</v>
      </c>
      <c r="AQ7" s="57">
        <f t="shared" si="3"/>
        <v>0.4391619680177527</v>
      </c>
      <c r="AR7" s="57">
        <f t="shared" si="3"/>
        <v>0.45499818000091374</v>
      </c>
      <c r="AS7" s="57">
        <f t="shared" si="3"/>
        <v>0.46754260521200258</v>
      </c>
      <c r="AT7" s="57">
        <f t="shared" si="3"/>
        <v>0.48208031749443409</v>
      </c>
      <c r="AU7" s="57">
        <f t="shared" si="3"/>
        <v>0.47486477901520913</v>
      </c>
      <c r="AV7" s="57">
        <f t="shared" si="3"/>
        <v>0.48565978354361816</v>
      </c>
      <c r="AW7" s="57">
        <f t="shared" si="3"/>
        <v>0.47671741410141028</v>
      </c>
      <c r="AX7" s="57">
        <f t="shared" si="3"/>
        <v>0.47883090783128196</v>
      </c>
      <c r="AY7" s="57">
        <f t="shared" si="3"/>
        <v>0.46578336280346122</v>
      </c>
      <c r="AZ7" s="57">
        <f t="shared" si="3"/>
        <v>0.48447077345767975</v>
      </c>
      <c r="BA7" s="57">
        <f t="shared" si="3"/>
        <v>0.44818649020407858</v>
      </c>
      <c r="BB7" s="57">
        <f t="shared" si="3"/>
        <v>0.46783393236289117</v>
      </c>
      <c r="BC7" s="57">
        <f t="shared" si="3"/>
        <v>0.49415255652591006</v>
      </c>
      <c r="BD7" s="57">
        <f t="shared" si="3"/>
        <v>0.49915628497617948</v>
      </c>
      <c r="BE7" s="57">
        <f t="shared" si="3"/>
        <v>0.54398018668972103</v>
      </c>
      <c r="BF7" s="57">
        <f t="shared" si="3"/>
        <v>0.61102529818772389</v>
      </c>
      <c r="BG7" s="57">
        <f t="shared" si="3"/>
        <v>0.69681705013215511</v>
      </c>
      <c r="BH7" s="57">
        <f t="shared" si="3"/>
        <v>0.70498529747292915</v>
      </c>
      <c r="BI7" s="57">
        <f t="shared" si="3"/>
        <v>0.64327698670235456</v>
      </c>
      <c r="BJ7" s="57">
        <f t="shared" si="3"/>
        <v>0.63720944101143484</v>
      </c>
      <c r="BK7" s="57">
        <f t="shared" si="3"/>
        <v>0.57800752276862133</v>
      </c>
      <c r="BL7" s="57">
        <f t="shared" si="3"/>
        <v>0.64355050205833664</v>
      </c>
      <c r="BM7" s="57">
        <f t="shared" si="3"/>
        <v>0.61033066477650644</v>
      </c>
      <c r="BN7" s="57">
        <f t="shared" si="3"/>
        <v>0.61503906234987538</v>
      </c>
      <c r="BO7" s="57">
        <f t="shared" si="3"/>
        <v>0.58987136617733282</v>
      </c>
      <c r="BP7" s="57">
        <f t="shared" si="3"/>
        <v>0.59772740086893517</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9">
        <v>49920321.509999998</v>
      </c>
      <c r="C8" s="189">
        <v>34745327.32</v>
      </c>
      <c r="D8" s="189">
        <v>16911540.640000001</v>
      </c>
      <c r="E8" s="189">
        <v>88497276.790000007</v>
      </c>
      <c r="F8" s="189">
        <v>34517828.649999999</v>
      </c>
      <c r="G8" s="189">
        <v>24856226</v>
      </c>
      <c r="H8" s="189">
        <v>13498270.630000001</v>
      </c>
      <c r="I8" s="189">
        <v>66248735.149999999</v>
      </c>
      <c r="J8" s="189">
        <v>15786416.99</v>
      </c>
      <c r="K8" s="189">
        <v>12429837.359999999</v>
      </c>
      <c r="L8" s="189">
        <v>10726445.859999999</v>
      </c>
      <c r="M8" s="189">
        <v>45668378.630000003</v>
      </c>
      <c r="N8" s="189">
        <v>34357856.170000002</v>
      </c>
      <c r="O8" s="189">
        <v>23760269.260000002</v>
      </c>
      <c r="P8" s="189">
        <v>12043357.199999999</v>
      </c>
      <c r="Q8" s="189">
        <v>46645736.369999997</v>
      </c>
      <c r="R8" s="189">
        <v>35792743.100000001</v>
      </c>
      <c r="S8" s="189">
        <v>24157734.989999998</v>
      </c>
      <c r="T8" s="189">
        <v>12220718.98</v>
      </c>
      <c r="U8" s="189">
        <v>47792552.579999998</v>
      </c>
      <c r="V8" s="189">
        <v>35097895.82</v>
      </c>
      <c r="W8" s="189">
        <v>24011125.850000001</v>
      </c>
      <c r="X8" s="189">
        <v>12174046.9</v>
      </c>
      <c r="Y8" s="189">
        <v>166424816.94</v>
      </c>
      <c r="Z8" s="189">
        <v>139283693.12</v>
      </c>
      <c r="AA8" s="189">
        <v>92408832.439999998</v>
      </c>
      <c r="AB8" s="189">
        <v>45573545.920000002</v>
      </c>
      <c r="AC8" s="189">
        <v>169200364.30000001</v>
      </c>
      <c r="AD8" s="189">
        <v>122723176.72</v>
      </c>
      <c r="AE8" s="189">
        <v>80552794.989999995</v>
      </c>
      <c r="AF8" s="189">
        <v>39214724.990000002</v>
      </c>
      <c r="AG8" s="189">
        <v>152582492.87</v>
      </c>
      <c r="AH8" s="189">
        <v>106783888.64</v>
      </c>
      <c r="AI8" s="189">
        <v>69099331.670000002</v>
      </c>
      <c r="AJ8" s="189">
        <v>34029503.170000002</v>
      </c>
      <c r="AK8" s="189">
        <v>127395848.56</v>
      </c>
      <c r="AL8" s="189">
        <v>90368840.230000004</v>
      </c>
      <c r="AM8" s="189">
        <v>59840232.649999999</v>
      </c>
      <c r="AN8" s="189">
        <v>29863950.399999999</v>
      </c>
      <c r="AO8" s="189">
        <v>118431827.86</v>
      </c>
      <c r="AP8" s="189">
        <v>86587155.549999997</v>
      </c>
      <c r="AQ8" s="189">
        <v>58295818.299999997</v>
      </c>
      <c r="AR8" s="189">
        <v>27824671.039999999</v>
      </c>
      <c r="AS8" s="189">
        <v>102107616.62</v>
      </c>
      <c r="AT8" s="189">
        <v>70643760.450000003</v>
      </c>
      <c r="AU8" s="189">
        <v>46694223.850000001</v>
      </c>
      <c r="AV8" s="189">
        <v>22359372.82</v>
      </c>
      <c r="AW8" s="189">
        <v>87761551.019999996</v>
      </c>
      <c r="AX8" s="189">
        <v>61597734.390000001</v>
      </c>
      <c r="AY8" s="189">
        <v>40658815.710000001</v>
      </c>
      <c r="AZ8" s="189">
        <v>19622694.5</v>
      </c>
      <c r="BA8" s="189">
        <v>76417388.680000007</v>
      </c>
      <c r="BB8" s="189">
        <v>53116111.219999999</v>
      </c>
      <c r="BC8" s="189">
        <v>34727464.689999998</v>
      </c>
      <c r="BD8" s="189">
        <v>14936893.83</v>
      </c>
      <c r="BE8" s="189">
        <v>53465533.909999996</v>
      </c>
      <c r="BF8" s="189">
        <v>36805575.740000002</v>
      </c>
      <c r="BG8" s="189">
        <v>23550724.350000001</v>
      </c>
      <c r="BH8" s="189">
        <v>11140954.43</v>
      </c>
      <c r="BI8" s="189">
        <v>33658697.229999997</v>
      </c>
      <c r="BJ8" s="189">
        <v>22267457.57</v>
      </c>
      <c r="BK8" s="189">
        <v>12810024.34</v>
      </c>
      <c r="BL8" s="189">
        <v>8041250.4400000004</v>
      </c>
      <c r="BM8" s="189">
        <v>32429301.510000002</v>
      </c>
      <c r="BN8" s="189">
        <v>14596900.119999999</v>
      </c>
      <c r="BO8" s="189">
        <v>29422726.68</v>
      </c>
      <c r="BP8" s="189">
        <v>26973430.960000001</v>
      </c>
      <c r="BQ8" s="189">
        <v>0</v>
      </c>
      <c r="BR8" s="189"/>
      <c r="BS8" s="189"/>
      <c r="BT8" s="189"/>
      <c r="BU8" s="189"/>
      <c r="BV8" s="189"/>
      <c r="BW8" s="189"/>
      <c r="BX8" s="189"/>
      <c r="BY8" s="189"/>
      <c r="BZ8" s="189"/>
      <c r="CA8" s="189"/>
      <c r="CB8" s="189"/>
      <c r="CC8" s="189"/>
      <c r="CD8" s="189"/>
      <c r="CE8" s="189"/>
      <c r="CF8" s="189"/>
      <c r="CG8" s="189"/>
      <c r="CH8" s="189"/>
      <c r="CI8" s="189"/>
      <c r="CJ8" s="189"/>
      <c r="CK8" s="189"/>
    </row>
    <row r="9" spans="1:89" x14ac:dyDescent="0.25">
      <c r="A9" s="17" t="s">
        <v>390</v>
      </c>
      <c r="B9" s="189">
        <v>21521618.899999999</v>
      </c>
      <c r="C9" s="189">
        <v>16058592.17</v>
      </c>
      <c r="D9" s="189">
        <v>13675219.710000001</v>
      </c>
      <c r="E9" s="189">
        <v>88346033.540000007</v>
      </c>
      <c r="F9" s="189">
        <v>51892699.420000002</v>
      </c>
      <c r="G9" s="189">
        <v>35551715.840000004</v>
      </c>
      <c r="H9" s="189">
        <v>17129339.449999999</v>
      </c>
      <c r="I9" s="189">
        <v>100995007.13</v>
      </c>
      <c r="J9" s="189">
        <v>61680867.380000003</v>
      </c>
      <c r="K9" s="189">
        <v>40640309.130000003</v>
      </c>
      <c r="L9" s="189">
        <v>20076273.859999999</v>
      </c>
      <c r="M9" s="189">
        <v>102912919.31</v>
      </c>
      <c r="N9" s="189">
        <v>64985735.950000003</v>
      </c>
      <c r="O9" s="189">
        <v>41442020.189999998</v>
      </c>
      <c r="P9" s="189">
        <v>21367767.329999998</v>
      </c>
      <c r="Q9" s="189">
        <v>92682716.930000007</v>
      </c>
      <c r="R9" s="189">
        <v>61917201.149999999</v>
      </c>
      <c r="S9" s="189">
        <v>39927187.939999998</v>
      </c>
      <c r="T9" s="189">
        <v>18053894.469999999</v>
      </c>
      <c r="U9" s="189">
        <v>83407246.450000003</v>
      </c>
      <c r="V9" s="189">
        <v>57642664.75</v>
      </c>
      <c r="W9" s="189">
        <v>36701262.729999997</v>
      </c>
      <c r="X9" s="189">
        <v>17373827.649999999</v>
      </c>
      <c r="Y9" s="189">
        <v>81942323.430000007</v>
      </c>
      <c r="Z9" s="189">
        <v>52502798.219999999</v>
      </c>
      <c r="AA9" s="189">
        <v>34749475.560000002</v>
      </c>
      <c r="AB9" s="189">
        <v>16458861.560000001</v>
      </c>
      <c r="AC9" s="189">
        <v>79814451.209999993</v>
      </c>
      <c r="AD9" s="189">
        <v>48924578.799999997</v>
      </c>
      <c r="AE9" s="189">
        <v>30216828.109999999</v>
      </c>
      <c r="AF9" s="189">
        <v>15557984.369999999</v>
      </c>
      <c r="AG9" s="189">
        <v>67428980.969999999</v>
      </c>
      <c r="AH9" s="189">
        <v>43454439.25</v>
      </c>
      <c r="AI9" s="189">
        <v>29674073.93</v>
      </c>
      <c r="AJ9" s="189">
        <v>12812477.4</v>
      </c>
      <c r="AK9" s="189">
        <v>65774131.609999999</v>
      </c>
      <c r="AL9" s="189">
        <v>42380496.229999997</v>
      </c>
      <c r="AM9" s="189">
        <v>26870669.620000001</v>
      </c>
      <c r="AN9" s="189">
        <v>12569236.4</v>
      </c>
      <c r="AO9" s="189">
        <v>75545843.230000004</v>
      </c>
      <c r="AP9" s="189">
        <v>46665882.57</v>
      </c>
      <c r="AQ9" s="189">
        <v>33802889.579999998</v>
      </c>
      <c r="AR9" s="189">
        <v>29765027.510000002</v>
      </c>
      <c r="AS9" s="189">
        <v>137147759.13999999</v>
      </c>
      <c r="AT9" s="189">
        <v>78003260.709999993</v>
      </c>
      <c r="AU9" s="189">
        <v>59803642.780000001</v>
      </c>
      <c r="AV9" s="189">
        <v>35355127.969999999</v>
      </c>
      <c r="AW9" s="189">
        <v>124460487.72</v>
      </c>
      <c r="AX9" s="189">
        <v>78190214.439999998</v>
      </c>
      <c r="AY9" s="189">
        <v>54991117.420000002</v>
      </c>
      <c r="AZ9" s="189">
        <v>31669450.59</v>
      </c>
      <c r="BA9" s="189">
        <v>130997928.13</v>
      </c>
      <c r="BB9" s="189">
        <v>86596110.730000004</v>
      </c>
      <c r="BC9" s="189">
        <v>51132273.850000001</v>
      </c>
      <c r="BD9" s="189">
        <v>32506050.199999999</v>
      </c>
      <c r="BE9" s="189">
        <v>119220500.42</v>
      </c>
      <c r="BF9" s="189">
        <v>68503698.090000004</v>
      </c>
      <c r="BG9" s="189">
        <v>42265455.289999999</v>
      </c>
      <c r="BH9" s="189">
        <v>21236144.390000001</v>
      </c>
      <c r="BI9" s="189">
        <v>87086378.620000005</v>
      </c>
      <c r="BJ9" s="189">
        <v>60305886.82</v>
      </c>
      <c r="BK9" s="189">
        <v>42042691.340000004</v>
      </c>
      <c r="BL9" s="189">
        <v>21612863.420000002</v>
      </c>
      <c r="BM9" s="189">
        <v>95786708.530000001</v>
      </c>
      <c r="BN9" s="189">
        <v>44661365.219999999</v>
      </c>
      <c r="BO9" s="189">
        <v>80849191.870000005</v>
      </c>
      <c r="BP9" s="189">
        <v>68453581.040000007</v>
      </c>
      <c r="BQ9" s="189">
        <v>0</v>
      </c>
      <c r="BR9" s="189"/>
      <c r="BS9" s="189"/>
      <c r="BT9" s="189"/>
      <c r="BU9" s="189"/>
      <c r="BV9" s="189"/>
      <c r="BW9" s="189"/>
      <c r="BX9" s="189"/>
      <c r="BY9" s="189"/>
      <c r="BZ9" s="189"/>
      <c r="CA9" s="189"/>
      <c r="CB9" s="189"/>
      <c r="CC9" s="189"/>
      <c r="CD9" s="189"/>
      <c r="CE9" s="189"/>
      <c r="CF9" s="189"/>
      <c r="CG9" s="189"/>
      <c r="CH9" s="189"/>
      <c r="CI9" s="189"/>
      <c r="CJ9" s="189"/>
      <c r="CK9" s="189"/>
    </row>
    <row r="10" spans="1:89" x14ac:dyDescent="0.25">
      <c r="A10" s="17" t="s">
        <v>391</v>
      </c>
      <c r="B10" s="189">
        <v>337278554.45999998</v>
      </c>
      <c r="C10" s="189">
        <v>188584639.56</v>
      </c>
      <c r="D10" s="189">
        <v>67359452.909999996</v>
      </c>
      <c r="E10" s="189">
        <v>423106162.88999999</v>
      </c>
      <c r="F10" s="189">
        <v>284589272.5</v>
      </c>
      <c r="G10" s="189">
        <v>188651299.72999999</v>
      </c>
      <c r="H10" s="189">
        <v>73484374.579999998</v>
      </c>
      <c r="I10" s="189">
        <v>392988817.47000003</v>
      </c>
      <c r="J10" s="189">
        <v>327590784.36000001</v>
      </c>
      <c r="K10" s="189">
        <v>216845498.27000001</v>
      </c>
      <c r="L10" s="189">
        <v>89286502.950000003</v>
      </c>
      <c r="M10" s="189">
        <v>455666559.31999999</v>
      </c>
      <c r="N10" s="189">
        <v>322818634.85000002</v>
      </c>
      <c r="O10" s="189">
        <v>209557360.25999999</v>
      </c>
      <c r="P10" s="189">
        <v>84681239.599999994</v>
      </c>
      <c r="Q10" s="189">
        <v>455870489.81</v>
      </c>
      <c r="R10" s="189">
        <v>281980813.13</v>
      </c>
      <c r="S10" s="189">
        <v>179989960.66999999</v>
      </c>
      <c r="T10" s="189">
        <v>86358624.719999999</v>
      </c>
      <c r="U10" s="189">
        <v>436353452.29000002</v>
      </c>
      <c r="V10" s="189">
        <v>262839330.08000001</v>
      </c>
      <c r="W10" s="189">
        <v>164194897.00999999</v>
      </c>
      <c r="X10" s="189">
        <v>76310427.370000005</v>
      </c>
      <c r="Y10" s="189">
        <v>387062971.48000002</v>
      </c>
      <c r="Z10" s="189">
        <v>260234192.06</v>
      </c>
      <c r="AA10" s="189">
        <v>155355234.15000001</v>
      </c>
      <c r="AB10" s="189">
        <v>85626509.780000001</v>
      </c>
      <c r="AC10" s="189">
        <v>338756450.43000001</v>
      </c>
      <c r="AD10" s="189">
        <v>245199400.41999999</v>
      </c>
      <c r="AE10" s="189">
        <v>158370424.96000001</v>
      </c>
      <c r="AF10" s="189">
        <v>89286653.439999998</v>
      </c>
      <c r="AG10" s="189">
        <v>311857687.66000003</v>
      </c>
      <c r="AH10" s="189">
        <v>198214841.53</v>
      </c>
      <c r="AI10" s="189">
        <v>126727324.89</v>
      </c>
      <c r="AJ10" s="189">
        <v>63373600.039999999</v>
      </c>
      <c r="AK10" s="189">
        <v>311473450.31999999</v>
      </c>
      <c r="AL10" s="189">
        <v>185716818.49000001</v>
      </c>
      <c r="AM10" s="189">
        <v>120528199.76000001</v>
      </c>
      <c r="AN10" s="189">
        <v>55646948.100000001</v>
      </c>
      <c r="AO10" s="189">
        <v>264302441.94999999</v>
      </c>
      <c r="AP10" s="189">
        <v>202891718.09</v>
      </c>
      <c r="AQ10" s="189">
        <v>131828549.09999999</v>
      </c>
      <c r="AR10" s="189">
        <v>62528258.32</v>
      </c>
      <c r="AS10" s="189">
        <v>316943006.45999998</v>
      </c>
      <c r="AT10" s="189">
        <v>197815182.84</v>
      </c>
      <c r="AU10" s="189">
        <v>130839109.81999999</v>
      </c>
      <c r="AV10" s="189">
        <v>65076056.170000002</v>
      </c>
      <c r="AW10" s="189">
        <v>310538507.25999999</v>
      </c>
      <c r="AX10" s="189">
        <v>223543034.24000001</v>
      </c>
      <c r="AY10" s="189">
        <v>161455075.41</v>
      </c>
      <c r="AZ10" s="189">
        <v>73114370.700000003</v>
      </c>
      <c r="BA10" s="189">
        <v>265805389.63</v>
      </c>
      <c r="BB10" s="189">
        <v>200453074.44999999</v>
      </c>
      <c r="BC10" s="189">
        <v>153442825.65000001</v>
      </c>
      <c r="BD10" s="189">
        <v>64704028.07</v>
      </c>
      <c r="BE10" s="189">
        <v>208076532.65000001</v>
      </c>
      <c r="BF10" s="189">
        <v>131649559.81999999</v>
      </c>
      <c r="BG10" s="189">
        <v>85028547.609999999</v>
      </c>
      <c r="BH10" s="189">
        <v>26984979.5</v>
      </c>
      <c r="BI10" s="189">
        <v>128960330.62</v>
      </c>
      <c r="BJ10" s="189">
        <v>75597284.420000002</v>
      </c>
      <c r="BK10" s="189">
        <v>55702496.810000002</v>
      </c>
      <c r="BL10" s="189">
        <v>27066088.969999999</v>
      </c>
      <c r="BM10" s="189">
        <v>96118093.340000004</v>
      </c>
      <c r="BN10" s="189">
        <v>43744713.18</v>
      </c>
      <c r="BO10" s="189">
        <v>87647162.879999995</v>
      </c>
      <c r="BP10" s="189">
        <v>65587939.369999997</v>
      </c>
      <c r="BQ10" s="189">
        <v>0</v>
      </c>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x14ac:dyDescent="0.25">
      <c r="A11" s="17" t="s">
        <v>392</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x14ac:dyDescent="0.25">
      <c r="A12" s="21" t="s">
        <v>393</v>
      </c>
      <c r="B12" s="29">
        <f>B55</f>
        <v>463</v>
      </c>
      <c r="C12" s="29">
        <f t="shared" ref="C12:BN12" si="5">C55</f>
        <v>603</v>
      </c>
      <c r="D12" s="29">
        <f t="shared" si="5"/>
        <v>653</v>
      </c>
      <c r="E12" s="29">
        <f t="shared" si="5"/>
        <v>11746451.93</v>
      </c>
      <c r="F12" s="29">
        <f t="shared" si="5"/>
        <v>1204</v>
      </c>
      <c r="G12" s="29">
        <f t="shared" si="5"/>
        <v>868</v>
      </c>
      <c r="H12" s="29">
        <f t="shared" si="5"/>
        <v>644</v>
      </c>
      <c r="I12" s="29">
        <f t="shared" si="5"/>
        <v>12017833.970000001</v>
      </c>
      <c r="J12" s="29">
        <f t="shared" si="5"/>
        <v>0</v>
      </c>
      <c r="K12" s="29">
        <f t="shared" si="5"/>
        <v>0</v>
      </c>
      <c r="L12" s="29">
        <f t="shared" si="5"/>
        <v>0</v>
      </c>
      <c r="M12" s="29">
        <f t="shared" si="5"/>
        <v>2652605.88</v>
      </c>
      <c r="N12" s="29">
        <f t="shared" si="5"/>
        <v>0</v>
      </c>
      <c r="O12" s="29">
        <f t="shared" si="5"/>
        <v>0</v>
      </c>
      <c r="P12" s="29">
        <f t="shared" si="5"/>
        <v>0</v>
      </c>
      <c r="Q12" s="29">
        <f t="shared" si="5"/>
        <v>3041993.9</v>
      </c>
      <c r="R12" s="29">
        <f t="shared" si="5"/>
        <v>0</v>
      </c>
      <c r="S12" s="29">
        <f t="shared" si="5"/>
        <v>0</v>
      </c>
      <c r="T12" s="29">
        <f t="shared" si="5"/>
        <v>0</v>
      </c>
      <c r="U12" s="29">
        <f t="shared" si="5"/>
        <v>3404750.12</v>
      </c>
      <c r="V12" s="29">
        <f t="shared" si="5"/>
        <v>0</v>
      </c>
      <c r="W12" s="29">
        <f t="shared" si="5"/>
        <v>0</v>
      </c>
      <c r="X12" s="29">
        <f t="shared" si="5"/>
        <v>0</v>
      </c>
      <c r="Y12" s="29">
        <f t="shared" si="5"/>
        <v>5866969.0599999996</v>
      </c>
      <c r="Z12" s="29">
        <f t="shared" si="5"/>
        <v>0</v>
      </c>
      <c r="AA12" s="29">
        <f t="shared" si="5"/>
        <v>0</v>
      </c>
      <c r="AB12" s="29">
        <f t="shared" si="5"/>
        <v>0</v>
      </c>
      <c r="AC12" s="29">
        <f t="shared" si="5"/>
        <v>9000926.25</v>
      </c>
      <c r="AD12" s="29">
        <f t="shared" si="5"/>
        <v>0</v>
      </c>
      <c r="AE12" s="29">
        <f t="shared" si="5"/>
        <v>0</v>
      </c>
      <c r="AF12" s="29">
        <f t="shared" si="5"/>
        <v>0</v>
      </c>
      <c r="AG12" s="29">
        <f t="shared" si="5"/>
        <v>6881416.9900000002</v>
      </c>
      <c r="AH12" s="29">
        <f t="shared" si="5"/>
        <v>0</v>
      </c>
      <c r="AI12" s="29">
        <f t="shared" si="5"/>
        <v>0</v>
      </c>
      <c r="AJ12" s="29">
        <f t="shared" si="5"/>
        <v>0</v>
      </c>
      <c r="AK12" s="29">
        <f t="shared" si="5"/>
        <v>8681269.6899999995</v>
      </c>
      <c r="AL12" s="29">
        <f t="shared" si="5"/>
        <v>0</v>
      </c>
      <c r="AM12" s="29">
        <f t="shared" si="5"/>
        <v>0</v>
      </c>
      <c r="AN12" s="29">
        <f t="shared" si="5"/>
        <v>0</v>
      </c>
      <c r="AO12" s="29">
        <f t="shared" si="5"/>
        <v>10100245.08</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9">
        <v>8460244.4299999997</v>
      </c>
      <c r="C13" s="189">
        <v>3765064.92</v>
      </c>
      <c r="D13" s="189">
        <v>2061398.31</v>
      </c>
      <c r="E13" s="189">
        <v>7690436.9400000004</v>
      </c>
      <c r="F13" s="189">
        <v>7094261.3700000001</v>
      </c>
      <c r="G13" s="189">
        <v>5607449.4000000004</v>
      </c>
      <c r="H13" s="189">
        <v>7065715.3700000001</v>
      </c>
      <c r="I13" s="189">
        <v>10695858.779999999</v>
      </c>
      <c r="J13" s="189">
        <v>27547272.800000001</v>
      </c>
      <c r="K13" s="189">
        <v>13748565.109999999</v>
      </c>
      <c r="L13" s="189">
        <v>7759315.0099999998</v>
      </c>
      <c r="M13" s="189">
        <v>32747044.91</v>
      </c>
      <c r="N13" s="189">
        <v>23338423.379999999</v>
      </c>
      <c r="O13" s="189">
        <v>14385794.35</v>
      </c>
      <c r="P13" s="189">
        <v>7135249.6399999997</v>
      </c>
      <c r="Q13" s="189">
        <v>39203744.979999997</v>
      </c>
      <c r="R13" s="189">
        <v>25627083.609999999</v>
      </c>
      <c r="S13" s="189">
        <v>18513690.91</v>
      </c>
      <c r="T13" s="189">
        <v>11300971.25</v>
      </c>
      <c r="U13" s="189">
        <v>40366573.490000002</v>
      </c>
      <c r="V13" s="189">
        <v>21366068.760000002</v>
      </c>
      <c r="W13" s="189">
        <v>14043038.439999999</v>
      </c>
      <c r="X13" s="189">
        <v>7006795.8300000001</v>
      </c>
      <c r="Y13" s="189">
        <v>44393307.350000001</v>
      </c>
      <c r="Z13" s="189">
        <v>35189721.409999996</v>
      </c>
      <c r="AA13" s="189">
        <v>28493139.59</v>
      </c>
      <c r="AB13" s="189">
        <v>21027873.32</v>
      </c>
      <c r="AC13" s="189">
        <v>27887978.260000002</v>
      </c>
      <c r="AD13" s="189">
        <v>20465152.18</v>
      </c>
      <c r="AE13" s="189">
        <v>13612145.07</v>
      </c>
      <c r="AF13" s="189">
        <v>7144468.1500000004</v>
      </c>
      <c r="AG13" s="189">
        <v>10638084.890000001</v>
      </c>
      <c r="AH13" s="189">
        <v>5990516.3799999999</v>
      </c>
      <c r="AI13" s="189">
        <v>5582679.9000000004</v>
      </c>
      <c r="AJ13" s="189">
        <v>950605.02</v>
      </c>
      <c r="AK13" s="189">
        <v>3863156.34</v>
      </c>
      <c r="AL13" s="189">
        <v>3595145.61</v>
      </c>
      <c r="AM13" s="189">
        <v>3393548.65</v>
      </c>
      <c r="AN13" s="189">
        <v>2179346.87</v>
      </c>
      <c r="AO13" s="189">
        <v>894377.63</v>
      </c>
      <c r="AP13" s="189">
        <v>755545.47</v>
      </c>
      <c r="AQ13" s="189">
        <v>704928.07</v>
      </c>
      <c r="AR13" s="189">
        <v>282823.5</v>
      </c>
      <c r="AS13" s="189">
        <v>4929231.45</v>
      </c>
      <c r="AT13" s="189">
        <v>1178879.44</v>
      </c>
      <c r="AU13" s="189">
        <v>911358.35</v>
      </c>
      <c r="AV13" s="189">
        <v>201839.09</v>
      </c>
      <c r="AW13" s="189">
        <v>2480466.16</v>
      </c>
      <c r="AX13" s="189">
        <v>1885867.17</v>
      </c>
      <c r="AY13" s="189">
        <v>1410796.42</v>
      </c>
      <c r="AZ13" s="189">
        <v>728313.36</v>
      </c>
      <c r="BA13" s="189">
        <v>3173548.1</v>
      </c>
      <c r="BB13" s="189">
        <v>2481797.98</v>
      </c>
      <c r="BC13" s="189">
        <v>1219742.26</v>
      </c>
      <c r="BD13" s="189">
        <v>521125.81</v>
      </c>
      <c r="BE13" s="189">
        <v>980056.17</v>
      </c>
      <c r="BF13" s="189">
        <v>157596.88</v>
      </c>
      <c r="BG13" s="189">
        <v>91634.04</v>
      </c>
      <c r="BH13" s="189">
        <v>58384.04</v>
      </c>
      <c r="BI13" s="189">
        <v>488598.98</v>
      </c>
      <c r="BJ13" s="189">
        <v>345408.38</v>
      </c>
      <c r="BK13" s="189">
        <v>272732.88</v>
      </c>
      <c r="BL13" s="189">
        <v>3714.62</v>
      </c>
      <c r="BM13" s="189">
        <v>959799.43</v>
      </c>
      <c r="BN13" s="189">
        <v>703503.22</v>
      </c>
      <c r="BO13" s="189">
        <v>1298004.83</v>
      </c>
      <c r="BP13" s="189">
        <v>259915.99</v>
      </c>
      <c r="BQ13" s="189">
        <v>0</v>
      </c>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x14ac:dyDescent="0.25">
      <c r="A14" s="17" t="s">
        <v>395</v>
      </c>
      <c r="B14" s="189">
        <v>3106009.25</v>
      </c>
      <c r="C14" s="189">
        <v>730145.62</v>
      </c>
      <c r="D14" s="189">
        <v>618666.41</v>
      </c>
      <c r="E14" s="189">
        <v>6844988.7800000003</v>
      </c>
      <c r="F14" s="189">
        <v>36831966.939999998</v>
      </c>
      <c r="G14" s="189">
        <v>4803955.45</v>
      </c>
      <c r="H14" s="189">
        <v>-29598184.539999999</v>
      </c>
      <c r="I14" s="189">
        <v>5503683.9199999999</v>
      </c>
      <c r="J14" s="189">
        <v>1649621.69</v>
      </c>
      <c r="K14" s="189">
        <v>1264214.69</v>
      </c>
      <c r="L14" s="189">
        <v>1468797.39</v>
      </c>
      <c r="M14" s="189">
        <v>27814223.809999999</v>
      </c>
      <c r="N14" s="189">
        <v>4921208.46</v>
      </c>
      <c r="O14" s="189">
        <v>2074299.22</v>
      </c>
      <c r="P14" s="189">
        <v>756882.67</v>
      </c>
      <c r="Q14" s="189">
        <v>65514805.359999999</v>
      </c>
      <c r="R14" s="189">
        <v>3489455.45</v>
      </c>
      <c r="S14" s="189">
        <v>2427403.94</v>
      </c>
      <c r="T14" s="189">
        <v>555677.32999999996</v>
      </c>
      <c r="U14" s="189">
        <v>66261684.810000002</v>
      </c>
      <c r="V14" s="189">
        <v>733561.15</v>
      </c>
      <c r="W14" s="189">
        <v>214816.1</v>
      </c>
      <c r="X14" s="189">
        <v>126214.49</v>
      </c>
      <c r="Y14" s="189">
        <v>124879901.64</v>
      </c>
      <c r="Z14" s="189">
        <v>1029197.32</v>
      </c>
      <c r="AA14" s="189">
        <v>255273.45</v>
      </c>
      <c r="AB14" s="189">
        <v>208339.44</v>
      </c>
      <c r="AC14" s="189">
        <v>5258154.58</v>
      </c>
      <c r="AD14" s="189">
        <v>1288340.08</v>
      </c>
      <c r="AE14" s="189">
        <v>1006604.71</v>
      </c>
      <c r="AF14" s="189">
        <v>581222.15</v>
      </c>
      <c r="AG14" s="189">
        <v>9300504.0299999993</v>
      </c>
      <c r="AH14" s="189">
        <v>872732.83</v>
      </c>
      <c r="AI14" s="189">
        <v>350758.43</v>
      </c>
      <c r="AJ14" s="189">
        <v>464187.2</v>
      </c>
      <c r="AK14" s="189">
        <v>2943806.28</v>
      </c>
      <c r="AL14" s="189">
        <v>296755.78000000003</v>
      </c>
      <c r="AM14" s="189">
        <v>260676.42</v>
      </c>
      <c r="AN14" s="189">
        <v>127358</v>
      </c>
      <c r="AO14" s="189">
        <v>4172023.33</v>
      </c>
      <c r="AP14" s="189">
        <v>1652595.33</v>
      </c>
      <c r="AQ14" s="189">
        <v>1447888.34</v>
      </c>
      <c r="AR14" s="189">
        <v>183149.55</v>
      </c>
      <c r="AS14" s="189">
        <v>736070.66</v>
      </c>
      <c r="AT14" s="189">
        <v>394429.44</v>
      </c>
      <c r="AU14" s="189">
        <v>313208.38</v>
      </c>
      <c r="AV14" s="189">
        <v>70466.22</v>
      </c>
      <c r="AW14" s="189">
        <v>2640923.52</v>
      </c>
      <c r="AX14" s="189">
        <v>790561.96</v>
      </c>
      <c r="AY14" s="189">
        <v>716898.06</v>
      </c>
      <c r="AZ14" s="189">
        <v>436421.41</v>
      </c>
      <c r="BA14" s="189">
        <v>1929376.17</v>
      </c>
      <c r="BB14" s="189">
        <v>713114.85</v>
      </c>
      <c r="BC14" s="189">
        <v>393737.6</v>
      </c>
      <c r="BD14" s="189">
        <v>284427.77</v>
      </c>
      <c r="BE14" s="189">
        <v>2565822.54</v>
      </c>
      <c r="BF14" s="189">
        <v>3045793.37</v>
      </c>
      <c r="BG14" s="189">
        <v>3484112.46</v>
      </c>
      <c r="BH14" s="189">
        <v>2110262.63</v>
      </c>
      <c r="BI14" s="189">
        <v>9890445.6999999993</v>
      </c>
      <c r="BJ14" s="189">
        <v>983211.45</v>
      </c>
      <c r="BK14" s="189">
        <v>686927.74</v>
      </c>
      <c r="BL14" s="189">
        <v>195561.1</v>
      </c>
      <c r="BM14" s="189">
        <v>2043247.3</v>
      </c>
      <c r="BN14" s="189">
        <v>509473.1</v>
      </c>
      <c r="BO14" s="189">
        <v>3856488.35</v>
      </c>
      <c r="BP14" s="189">
        <v>8960895.4900000002</v>
      </c>
      <c r="BQ14" s="189">
        <v>0</v>
      </c>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x14ac:dyDescent="0.25">
      <c r="A15" s="20" t="s">
        <v>398</v>
      </c>
      <c r="B15" s="28">
        <f>B6-(B8+B9+B10+B11+B12)+B13-B14</f>
        <v>1242210373.26</v>
      </c>
      <c r="C15" s="28">
        <f t="shared" ref="C15:BN15" si="7">C6-(C8+C9+C10+C11+C12)+C13-C14</f>
        <v>928037142.48000002</v>
      </c>
      <c r="D15" s="28">
        <f t="shared" si="7"/>
        <v>576092298.64999998</v>
      </c>
      <c r="E15" s="28">
        <f t="shared" si="7"/>
        <v>2113035979.7699997</v>
      </c>
      <c r="F15" s="28">
        <f t="shared" si="7"/>
        <v>1506799050.0699999</v>
      </c>
      <c r="G15" s="28">
        <f t="shared" si="7"/>
        <v>1017624943.55</v>
      </c>
      <c r="H15" s="28">
        <f t="shared" si="7"/>
        <v>535251843.00000006</v>
      </c>
      <c r="I15" s="28">
        <f t="shared" si="7"/>
        <v>1856323573.2199998</v>
      </c>
      <c r="J15" s="28">
        <f t="shared" si="7"/>
        <v>1395421018.5399997</v>
      </c>
      <c r="K15" s="28">
        <f t="shared" si="7"/>
        <v>909455476.7299999</v>
      </c>
      <c r="L15" s="28">
        <f t="shared" si="7"/>
        <v>452609634.49000001</v>
      </c>
      <c r="M15" s="28">
        <f t="shared" si="7"/>
        <v>1683938326.9199996</v>
      </c>
      <c r="N15" s="28">
        <f t="shared" si="7"/>
        <v>1263457257.2300005</v>
      </c>
      <c r="O15" s="28">
        <f t="shared" si="7"/>
        <v>838325074.28999996</v>
      </c>
      <c r="P15" s="28">
        <f t="shared" si="7"/>
        <v>427245602.48000002</v>
      </c>
      <c r="Q15" s="28">
        <f t="shared" si="7"/>
        <v>1500903278.5000005</v>
      </c>
      <c r="R15" s="28">
        <f t="shared" si="7"/>
        <v>1033333130.7000002</v>
      </c>
      <c r="S15" s="28">
        <f t="shared" si="7"/>
        <v>704544333.63999999</v>
      </c>
      <c r="T15" s="28">
        <f t="shared" si="7"/>
        <v>352968821.45999998</v>
      </c>
      <c r="U15" s="28">
        <f t="shared" si="7"/>
        <v>1287266043.3200004</v>
      </c>
      <c r="V15" s="28">
        <f t="shared" si="7"/>
        <v>955402285.97000003</v>
      </c>
      <c r="W15" s="28">
        <f t="shared" si="7"/>
        <v>651175972.76000023</v>
      </c>
      <c r="X15" s="28">
        <f t="shared" si="7"/>
        <v>325373196.62999994</v>
      </c>
      <c r="Y15" s="28">
        <f t="shared" si="7"/>
        <v>1110095868.5899997</v>
      </c>
      <c r="Z15" s="28">
        <f t="shared" si="7"/>
        <v>863340705.32999969</v>
      </c>
      <c r="AA15" s="28">
        <f t="shared" si="7"/>
        <v>585528945.0200001</v>
      </c>
      <c r="AB15" s="28">
        <f t="shared" si="7"/>
        <v>281648792.87000018</v>
      </c>
      <c r="AC15" s="28">
        <f t="shared" si="7"/>
        <v>1032485124.0399998</v>
      </c>
      <c r="AD15" s="28">
        <f t="shared" si="7"/>
        <v>776651069.44999981</v>
      </c>
      <c r="AE15" s="28">
        <f t="shared" si="7"/>
        <v>506384370.06</v>
      </c>
      <c r="AF15" s="28">
        <f t="shared" si="7"/>
        <v>248932709.11999995</v>
      </c>
      <c r="AG15" s="28">
        <f t="shared" si="7"/>
        <v>876117432.51999998</v>
      </c>
      <c r="AH15" s="28">
        <f t="shared" si="7"/>
        <v>722823315.72000027</v>
      </c>
      <c r="AI15" s="28">
        <f t="shared" si="7"/>
        <v>455414925.74000007</v>
      </c>
      <c r="AJ15" s="28">
        <f t="shared" si="7"/>
        <v>245362277.28999996</v>
      </c>
      <c r="AK15" s="28">
        <f t="shared" si="7"/>
        <v>815098523.79999995</v>
      </c>
      <c r="AL15" s="28">
        <f t="shared" si="7"/>
        <v>629622421.31999981</v>
      </c>
      <c r="AM15" s="28">
        <f t="shared" si="7"/>
        <v>422298417.33000004</v>
      </c>
      <c r="AN15" s="28">
        <f t="shared" si="7"/>
        <v>204149471.21000007</v>
      </c>
      <c r="AO15" s="28">
        <f t="shared" si="7"/>
        <v>791859102.66999984</v>
      </c>
      <c r="AP15" s="28">
        <f t="shared" si="7"/>
        <v>639474103.99000013</v>
      </c>
      <c r="AQ15" s="28">
        <f t="shared" si="7"/>
        <v>431854124.46000004</v>
      </c>
      <c r="AR15" s="28">
        <f t="shared" si="7"/>
        <v>220267410.27999997</v>
      </c>
      <c r="AS15" s="28">
        <f t="shared" si="7"/>
        <v>699872869.23000002</v>
      </c>
      <c r="AT15" s="28">
        <f t="shared" si="7"/>
        <v>591996269.54999995</v>
      </c>
      <c r="AU15" s="28">
        <f t="shared" si="7"/>
        <v>364575201.75000012</v>
      </c>
      <c r="AV15" s="28">
        <f t="shared" si="7"/>
        <v>178965229.98000005</v>
      </c>
      <c r="AW15" s="28">
        <f t="shared" si="7"/>
        <v>625871458.69000018</v>
      </c>
      <c r="AX15" s="28">
        <f t="shared" si="7"/>
        <v>491308685.55000001</v>
      </c>
      <c r="AY15" s="28">
        <f t="shared" si="7"/>
        <v>296897776.16000009</v>
      </c>
      <c r="AZ15" s="28">
        <f t="shared" si="7"/>
        <v>161579906.22999999</v>
      </c>
      <c r="BA15" s="28">
        <f t="shared" si="7"/>
        <v>491314379.66999984</v>
      </c>
      <c r="BB15" s="28">
        <f t="shared" si="7"/>
        <v>372903494.38000011</v>
      </c>
      <c r="BC15" s="28">
        <f t="shared" si="7"/>
        <v>245585161.93000004</v>
      </c>
      <c r="BD15" s="28">
        <f t="shared" si="7"/>
        <v>110739900.58</v>
      </c>
      <c r="BE15" s="28">
        <f t="shared" si="7"/>
        <v>455806902.52999997</v>
      </c>
      <c r="BF15" s="28">
        <f t="shared" si="7"/>
        <v>428391654.89999998</v>
      </c>
      <c r="BG15" s="28">
        <f t="shared" si="7"/>
        <v>343491241.29000008</v>
      </c>
      <c r="BH15" s="28">
        <f t="shared" si="7"/>
        <v>184757213.34</v>
      </c>
      <c r="BI15" s="28">
        <f t="shared" si="7"/>
        <v>423957099.31</v>
      </c>
      <c r="BJ15" s="28">
        <f t="shared" si="7"/>
        <v>286132882.38000005</v>
      </c>
      <c r="BK15" s="28">
        <f t="shared" si="7"/>
        <v>117528742.35000001</v>
      </c>
      <c r="BL15" s="28">
        <f t="shared" si="7"/>
        <v>101927081.27</v>
      </c>
      <c r="BM15" s="28">
        <f t="shared" si="7"/>
        <v>348083075.82000005</v>
      </c>
      <c r="BN15" s="28">
        <f t="shared" si="7"/>
        <v>163102652.21999997</v>
      </c>
      <c r="BO15" s="28">
        <f t="shared" ref="BO15:CJ15" si="8">BO6-(BO8+BO9+BO10+BO11+BO12)+BO13-BO14</f>
        <v>294061434.89999998</v>
      </c>
      <c r="BP15" s="28">
        <f t="shared" si="8"/>
        <v>296663798.38000005</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323614164.44293672</v>
      </c>
      <c r="C16" s="26">
        <f t="shared" ref="C16:BN16" si="9">C15*C41</f>
        <v>246301698.17357236</v>
      </c>
      <c r="D16" s="26">
        <f t="shared" si="9"/>
        <v>155916548.75536421</v>
      </c>
      <c r="E16" s="26">
        <f t="shared" si="9"/>
        <v>561841618.09967673</v>
      </c>
      <c r="F16" s="26">
        <f t="shared" si="9"/>
        <v>385959494.28988302</v>
      </c>
      <c r="G16" s="26">
        <f t="shared" si="9"/>
        <v>258043858.16023764</v>
      </c>
      <c r="H16" s="26">
        <f t="shared" si="9"/>
        <v>131177607.79278204</v>
      </c>
      <c r="I16" s="26">
        <f t="shared" si="9"/>
        <v>504344393.80304974</v>
      </c>
      <c r="J16" s="26">
        <f t="shared" si="9"/>
        <v>358389368.72342134</v>
      </c>
      <c r="K16" s="26">
        <f t="shared" si="9"/>
        <v>236868116.00106758</v>
      </c>
      <c r="L16" s="26">
        <f t="shared" si="9"/>
        <v>118639215.63483101</v>
      </c>
      <c r="M16" s="26">
        <f t="shared" si="9"/>
        <v>445959964.74366409</v>
      </c>
      <c r="N16" s="26">
        <f t="shared" si="9"/>
        <v>331284558.57455683</v>
      </c>
      <c r="O16" s="26">
        <f t="shared" si="9"/>
        <v>205400058.86849591</v>
      </c>
      <c r="P16" s="26">
        <f t="shared" si="9"/>
        <v>110925166.92512603</v>
      </c>
      <c r="Q16" s="26">
        <f t="shared" si="9"/>
        <v>364256142.13879931</v>
      </c>
      <c r="R16" s="26">
        <f t="shared" si="9"/>
        <v>250406338.06900755</v>
      </c>
      <c r="S16" s="26">
        <f t="shared" si="9"/>
        <v>158252930.83500335</v>
      </c>
      <c r="T16" s="26">
        <f t="shared" si="9"/>
        <v>91223399.863219723</v>
      </c>
      <c r="U16" s="26">
        <f t="shared" si="9"/>
        <v>342836769.50671953</v>
      </c>
      <c r="V16" s="26">
        <f t="shared" si="9"/>
        <v>237701452.61701429</v>
      </c>
      <c r="W16" s="26">
        <f t="shared" si="9"/>
        <v>161656999.22763792</v>
      </c>
      <c r="X16" s="26">
        <f t="shared" si="9"/>
        <v>85124266.123087913</v>
      </c>
      <c r="Y16" s="26">
        <f t="shared" si="9"/>
        <v>287450839.09290963</v>
      </c>
      <c r="Z16" s="26">
        <f t="shared" si="9"/>
        <v>217033318.70599997</v>
      </c>
      <c r="AA16" s="26">
        <f t="shared" si="9"/>
        <v>149501587.14374471</v>
      </c>
      <c r="AB16" s="26">
        <f t="shared" si="9"/>
        <v>75248393.051535726</v>
      </c>
      <c r="AC16" s="26">
        <f t="shared" si="9"/>
        <v>273261880.27605003</v>
      </c>
      <c r="AD16" s="26">
        <f t="shared" si="9"/>
        <v>223989438.45608529</v>
      </c>
      <c r="AE16" s="26">
        <f t="shared" si="9"/>
        <v>152422266.07914096</v>
      </c>
      <c r="AF16" s="26">
        <f t="shared" si="9"/>
        <v>66699849.870915085</v>
      </c>
      <c r="AG16" s="26">
        <f t="shared" si="9"/>
        <v>206477865.80864412</v>
      </c>
      <c r="AH16" s="26">
        <f t="shared" si="9"/>
        <v>188920590.06805208</v>
      </c>
      <c r="AI16" s="26">
        <f t="shared" si="9"/>
        <v>121219120.17960808</v>
      </c>
      <c r="AJ16" s="26">
        <f t="shared" si="9"/>
        <v>63210996.803609662</v>
      </c>
      <c r="AK16" s="26">
        <f t="shared" si="9"/>
        <v>207817649.11605957</v>
      </c>
      <c r="AL16" s="26">
        <f t="shared" si="9"/>
        <v>170723835.77926052</v>
      </c>
      <c r="AM16" s="26">
        <f t="shared" si="9"/>
        <v>108394408.23187374</v>
      </c>
      <c r="AN16" s="26">
        <f t="shared" si="9"/>
        <v>55714154.402651571</v>
      </c>
      <c r="AO16" s="26">
        <f t="shared" si="9"/>
        <v>216070287.65585646</v>
      </c>
      <c r="AP16" s="26">
        <f t="shared" si="9"/>
        <v>173147301.76021802</v>
      </c>
      <c r="AQ16" s="26">
        <f t="shared" si="9"/>
        <v>115129942.39180036</v>
      </c>
      <c r="AR16" s="26">
        <f t="shared" si="9"/>
        <v>53209351.757978506</v>
      </c>
      <c r="AS16" s="26">
        <f t="shared" si="9"/>
        <v>241166494.35019219</v>
      </c>
      <c r="AT16" s="26">
        <f t="shared" si="9"/>
        <v>203182749.8958756</v>
      </c>
      <c r="AU16" s="26">
        <f t="shared" si="9"/>
        <v>130252265.60343492</v>
      </c>
      <c r="AV16" s="26">
        <f t="shared" si="9"/>
        <v>61211732.991393149</v>
      </c>
      <c r="AW16" s="26">
        <f t="shared" si="9"/>
        <v>222713505.25932452</v>
      </c>
      <c r="AX16" s="26">
        <f t="shared" si="9"/>
        <v>164693674.08192968</v>
      </c>
      <c r="AY16" s="26">
        <f t="shared" si="9"/>
        <v>99829005.815168664</v>
      </c>
      <c r="AZ16" s="26">
        <f t="shared" si="9"/>
        <v>51827355.19956632</v>
      </c>
      <c r="BA16" s="26">
        <f t="shared" si="9"/>
        <v>169327776.49650514</v>
      </c>
      <c r="BB16" s="26">
        <f t="shared" si="9"/>
        <v>140746802.86438245</v>
      </c>
      <c r="BC16" s="26">
        <f t="shared" si="9"/>
        <v>96047422.27798672</v>
      </c>
      <c r="BD16" s="26">
        <f t="shared" si="9"/>
        <v>38050363.859741651</v>
      </c>
      <c r="BE16" s="26">
        <f t="shared" si="9"/>
        <v>145914862.82929909</v>
      </c>
      <c r="BF16" s="26">
        <f t="shared" si="9"/>
        <v>141543441.20289978</v>
      </c>
      <c r="BG16" s="26">
        <f t="shared" si="9"/>
        <v>112096565.53087312</v>
      </c>
      <c r="BH16" s="26">
        <f t="shared" si="9"/>
        <v>58508493.882272974</v>
      </c>
      <c r="BI16" s="26">
        <f t="shared" si="9"/>
        <v>140967913.99326941</v>
      </c>
      <c r="BJ16" s="26">
        <f t="shared" si="9"/>
        <v>99613811.136672333</v>
      </c>
      <c r="BK16" s="26">
        <f t="shared" si="9"/>
        <v>41133887.976006024</v>
      </c>
      <c r="BL16" s="26">
        <f t="shared" si="9"/>
        <v>34625274.330900349</v>
      </c>
      <c r="BM16" s="26">
        <f t="shared" si="9"/>
        <v>70773482.567540333</v>
      </c>
      <c r="BN16" s="26">
        <f t="shared" si="9"/>
        <v>30354032.973807395</v>
      </c>
      <c r="BO16" s="26">
        <f t="shared" ref="BO16:CK16" si="10">BO15*BO41</f>
        <v>13518402.9322567</v>
      </c>
      <c r="BP16" s="26">
        <f t="shared" si="10"/>
        <v>104018781.38457046</v>
      </c>
      <c r="BQ16" s="26" t="e">
        <f t="shared" si="10"/>
        <v>#DIV/0!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918596208.81706333</v>
      </c>
      <c r="C17" s="27">
        <f t="shared" ref="C17:BN17" si="11">C15-C16</f>
        <v>681735444.30642772</v>
      </c>
      <c r="D17" s="27">
        <f t="shared" si="11"/>
        <v>420175749.8946358</v>
      </c>
      <c r="E17" s="27">
        <f t="shared" si="11"/>
        <v>1551194361.6703229</v>
      </c>
      <c r="F17" s="27">
        <f t="shared" si="11"/>
        <v>1120839555.780117</v>
      </c>
      <c r="G17" s="27">
        <f t="shared" si="11"/>
        <v>759581085.38976228</v>
      </c>
      <c r="H17" s="27">
        <f t="shared" si="11"/>
        <v>404074235.20721805</v>
      </c>
      <c r="I17" s="27">
        <f t="shared" si="11"/>
        <v>1351979179.41695</v>
      </c>
      <c r="J17" s="27">
        <f t="shared" si="11"/>
        <v>1037031649.8165784</v>
      </c>
      <c r="K17" s="27">
        <f t="shared" si="11"/>
        <v>672587360.72893238</v>
      </c>
      <c r="L17" s="27">
        <f t="shared" si="11"/>
        <v>333970418.855169</v>
      </c>
      <c r="M17" s="27">
        <f t="shared" si="11"/>
        <v>1237978362.1763356</v>
      </c>
      <c r="N17" s="27">
        <f t="shared" si="11"/>
        <v>932172698.65544367</v>
      </c>
      <c r="O17" s="27">
        <f t="shared" si="11"/>
        <v>632925015.42150402</v>
      </c>
      <c r="P17" s="27">
        <f t="shared" si="11"/>
        <v>316320435.554874</v>
      </c>
      <c r="Q17" s="27">
        <f t="shared" si="11"/>
        <v>1136647136.3612013</v>
      </c>
      <c r="R17" s="27">
        <f t="shared" si="11"/>
        <v>782926792.63099265</v>
      </c>
      <c r="S17" s="27">
        <f t="shared" si="11"/>
        <v>546291402.80499661</v>
      </c>
      <c r="T17" s="27">
        <f t="shared" si="11"/>
        <v>261745421.59678024</v>
      </c>
      <c r="U17" s="27">
        <f t="shared" si="11"/>
        <v>944429273.81328082</v>
      </c>
      <c r="V17" s="27">
        <f t="shared" si="11"/>
        <v>717700833.35298574</v>
      </c>
      <c r="W17" s="27">
        <f t="shared" si="11"/>
        <v>489518973.53236234</v>
      </c>
      <c r="X17" s="27">
        <f t="shared" si="11"/>
        <v>240248930.50691202</v>
      </c>
      <c r="Y17" s="27">
        <f t="shared" si="11"/>
        <v>822645029.4970901</v>
      </c>
      <c r="Z17" s="27">
        <f t="shared" si="11"/>
        <v>646307386.62399971</v>
      </c>
      <c r="AA17" s="27">
        <f t="shared" si="11"/>
        <v>436027357.87625539</v>
      </c>
      <c r="AB17" s="27">
        <f t="shared" si="11"/>
        <v>206400399.81846446</v>
      </c>
      <c r="AC17" s="27">
        <f t="shared" si="11"/>
        <v>759223243.76394987</v>
      </c>
      <c r="AD17" s="27">
        <f t="shared" si="11"/>
        <v>552661630.99391448</v>
      </c>
      <c r="AE17" s="27">
        <f t="shared" si="11"/>
        <v>353962103.98085904</v>
      </c>
      <c r="AF17" s="27">
        <f t="shared" si="11"/>
        <v>182232859.24908486</v>
      </c>
      <c r="AG17" s="27">
        <f t="shared" si="11"/>
        <v>669639566.71135592</v>
      </c>
      <c r="AH17" s="27">
        <f t="shared" si="11"/>
        <v>533902725.65194821</v>
      </c>
      <c r="AI17" s="27">
        <f t="shared" si="11"/>
        <v>334195805.56039202</v>
      </c>
      <c r="AJ17" s="27">
        <f t="shared" si="11"/>
        <v>182151280.48639029</v>
      </c>
      <c r="AK17" s="27">
        <f t="shared" si="11"/>
        <v>607280874.68394041</v>
      </c>
      <c r="AL17" s="27">
        <f t="shared" si="11"/>
        <v>458898585.5407393</v>
      </c>
      <c r="AM17" s="27">
        <f t="shared" si="11"/>
        <v>313904009.09812629</v>
      </c>
      <c r="AN17" s="27">
        <f t="shared" si="11"/>
        <v>148435316.80734849</v>
      </c>
      <c r="AO17" s="27">
        <f t="shared" si="11"/>
        <v>575788815.01414335</v>
      </c>
      <c r="AP17" s="27">
        <f t="shared" si="11"/>
        <v>466326802.2297821</v>
      </c>
      <c r="AQ17" s="27">
        <f t="shared" si="11"/>
        <v>316724182.06819969</v>
      </c>
      <c r="AR17" s="27">
        <f t="shared" si="11"/>
        <v>167058058.52202147</v>
      </c>
      <c r="AS17" s="27">
        <f t="shared" si="11"/>
        <v>458706374.87980783</v>
      </c>
      <c r="AT17" s="27">
        <f t="shared" si="11"/>
        <v>388813519.65412438</v>
      </c>
      <c r="AU17" s="27">
        <f t="shared" si="11"/>
        <v>234322936.1465652</v>
      </c>
      <c r="AV17" s="27">
        <f t="shared" si="11"/>
        <v>117753496.9886069</v>
      </c>
      <c r="AW17" s="27">
        <f t="shared" si="11"/>
        <v>403157953.43067563</v>
      </c>
      <c r="AX17" s="27">
        <f t="shared" si="11"/>
        <v>326615011.46807033</v>
      </c>
      <c r="AY17" s="27">
        <f t="shared" si="11"/>
        <v>197068770.34483141</v>
      </c>
      <c r="AZ17" s="27">
        <f t="shared" si="11"/>
        <v>109752551.03043367</v>
      </c>
      <c r="BA17" s="27">
        <f t="shared" si="11"/>
        <v>321986603.1734947</v>
      </c>
      <c r="BB17" s="27">
        <f t="shared" si="11"/>
        <v>232156691.51561767</v>
      </c>
      <c r="BC17" s="27">
        <f t="shared" si="11"/>
        <v>149537739.6520133</v>
      </c>
      <c r="BD17" s="27">
        <f t="shared" si="11"/>
        <v>72689536.720258355</v>
      </c>
      <c r="BE17" s="27">
        <f t="shared" si="11"/>
        <v>309892039.70070088</v>
      </c>
      <c r="BF17" s="27">
        <f t="shared" si="11"/>
        <v>286848213.69710016</v>
      </c>
      <c r="BG17" s="27">
        <f t="shared" si="11"/>
        <v>231394675.75912696</v>
      </c>
      <c r="BH17" s="27">
        <f t="shared" si="11"/>
        <v>126248719.45772703</v>
      </c>
      <c r="BI17" s="27">
        <f t="shared" si="11"/>
        <v>282989185.31673062</v>
      </c>
      <c r="BJ17" s="27">
        <f t="shared" si="11"/>
        <v>186519071.24332774</v>
      </c>
      <c r="BK17" s="27">
        <f t="shared" si="11"/>
        <v>76394854.373993993</v>
      </c>
      <c r="BL17" s="27">
        <f t="shared" si="11"/>
        <v>67301806.93909964</v>
      </c>
      <c r="BM17" s="27">
        <f t="shared" si="11"/>
        <v>277309593.2524597</v>
      </c>
      <c r="BN17" s="27">
        <f t="shared" si="11"/>
        <v>132748619.24619257</v>
      </c>
      <c r="BO17" s="27">
        <f t="shared" ref="BO17:CJ17" si="12">BO15-BO16</f>
        <v>280543031.96774328</v>
      </c>
      <c r="BP17" s="27">
        <f t="shared" si="12"/>
        <v>192645016.99542958</v>
      </c>
      <c r="BQ17" s="27" t="e">
        <f t="shared" si="12"/>
        <v>#DIV/0!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15.828600685192317</v>
      </c>
      <c r="C18" s="57">
        <f t="shared" ref="C18:D18" si="13">C17/C4*100</f>
        <v>18.323188566694551</v>
      </c>
      <c r="D18" s="57">
        <f t="shared" si="13"/>
        <v>24.374990499365772</v>
      </c>
      <c r="E18" s="57">
        <f>E17/E4</f>
        <v>0.22941398955529618</v>
      </c>
      <c r="F18" s="57">
        <f t="shared" ref="F18:BQ18" si="14">F17/F4</f>
        <v>0.22788289540447379</v>
      </c>
      <c r="G18" s="57">
        <f t="shared" si="14"/>
        <v>0.23636001521798894</v>
      </c>
      <c r="H18" s="57">
        <f t="shared" si="14"/>
        <v>0.25513803709087707</v>
      </c>
      <c r="I18" s="57">
        <f t="shared" si="14"/>
        <v>0.21923928424944844</v>
      </c>
      <c r="J18" s="57">
        <f t="shared" si="14"/>
        <v>0.22869346861957571</v>
      </c>
      <c r="K18" s="57">
        <f t="shared" si="14"/>
        <v>0.22534879999500665</v>
      </c>
      <c r="L18" s="57">
        <f t="shared" si="14"/>
        <v>0.23149035278701779</v>
      </c>
      <c r="M18" s="57">
        <f t="shared" si="14"/>
        <v>0.22029122087475236</v>
      </c>
      <c r="N18" s="57">
        <f t="shared" si="14"/>
        <v>0.22213163609580755</v>
      </c>
      <c r="O18" s="57">
        <f t="shared" si="14"/>
        <v>0.22816884088847933</v>
      </c>
      <c r="P18" s="57">
        <f t="shared" si="14"/>
        <v>0.22764358236120838</v>
      </c>
      <c r="Q18" s="57">
        <f t="shared" si="14"/>
        <v>0.20562829778716432</v>
      </c>
      <c r="R18" s="57">
        <f t="shared" si="14"/>
        <v>0.19189434671940636</v>
      </c>
      <c r="S18" s="57">
        <f t="shared" si="14"/>
        <v>0.20373077724425545</v>
      </c>
      <c r="T18" s="57">
        <f t="shared" si="14"/>
        <v>0.20318756555230047</v>
      </c>
      <c r="U18" s="57">
        <f t="shared" si="14"/>
        <v>0.1836941646613745</v>
      </c>
      <c r="V18" s="57">
        <f t="shared" si="14"/>
        <v>0.18903126743558885</v>
      </c>
      <c r="W18" s="57">
        <f t="shared" si="14"/>
        <v>0.19880358266128401</v>
      </c>
      <c r="X18" s="57">
        <f t="shared" si="14"/>
        <v>0.20286249671204176</v>
      </c>
      <c r="Y18" s="57">
        <f t="shared" si="14"/>
        <v>0.17603028248963914</v>
      </c>
      <c r="Z18" s="57">
        <f t="shared" si="14"/>
        <v>0.18678962882299258</v>
      </c>
      <c r="AA18" s="57">
        <f t="shared" si="14"/>
        <v>0.19045451837066221</v>
      </c>
      <c r="AB18" s="57">
        <f t="shared" si="14"/>
        <v>0.18564756848791736</v>
      </c>
      <c r="AC18" s="57">
        <f t="shared" si="14"/>
        <v>0.17908947149095977</v>
      </c>
      <c r="AD18" s="57">
        <f t="shared" si="14"/>
        <v>0.1779602893557149</v>
      </c>
      <c r="AE18" s="57">
        <f t="shared" si="14"/>
        <v>0.17451118083519063</v>
      </c>
      <c r="AF18" s="57">
        <f t="shared" si="14"/>
        <v>0.18471323404329928</v>
      </c>
      <c r="AG18" s="57">
        <f t="shared" si="14"/>
        <v>0.17323583537686885</v>
      </c>
      <c r="AH18" s="57">
        <f t="shared" si="14"/>
        <v>0.19517022277559246</v>
      </c>
      <c r="AI18" s="57">
        <f t="shared" si="14"/>
        <v>0.18850708521935416</v>
      </c>
      <c r="AJ18" s="57">
        <f t="shared" si="14"/>
        <v>0.21015903690992288</v>
      </c>
      <c r="AK18" s="57">
        <f t="shared" si="14"/>
        <v>0.18368555294215197</v>
      </c>
      <c r="AL18" s="57">
        <f t="shared" si="14"/>
        <v>0.19533811967645329</v>
      </c>
      <c r="AM18" s="57">
        <f t="shared" si="14"/>
        <v>0.20254048205532646</v>
      </c>
      <c r="AN18" s="57">
        <f t="shared" si="14"/>
        <v>0.19317089553458891</v>
      </c>
      <c r="AO18" s="57">
        <f t="shared" si="14"/>
        <v>0.18880168660850374</v>
      </c>
      <c r="AP18" s="57">
        <f t="shared" si="14"/>
        <v>0.20586362050156162</v>
      </c>
      <c r="AQ18" s="57">
        <f t="shared" si="14"/>
        <v>0.20954907963864094</v>
      </c>
      <c r="AR18" s="57">
        <f t="shared" si="14"/>
        <v>0.22132850957146394</v>
      </c>
      <c r="AS18" s="57">
        <f t="shared" si="14"/>
        <v>0.17093967733322762</v>
      </c>
      <c r="AT18" s="57">
        <f t="shared" si="14"/>
        <v>0.19904640747183372</v>
      </c>
      <c r="AU18" s="57">
        <f t="shared" si="14"/>
        <v>0.18382093057351834</v>
      </c>
      <c r="AV18" s="57">
        <f t="shared" si="14"/>
        <v>0.18960049383044594</v>
      </c>
      <c r="AW18" s="57">
        <f t="shared" si="14"/>
        <v>0.16729951090636896</v>
      </c>
      <c r="AX18" s="57">
        <f t="shared" si="14"/>
        <v>0.18322815914075358</v>
      </c>
      <c r="AY18" s="57">
        <f t="shared" si="14"/>
        <v>0.16589531963228613</v>
      </c>
      <c r="AZ18" s="57">
        <f t="shared" si="14"/>
        <v>0.18611453034693962</v>
      </c>
      <c r="BA18" s="57">
        <f t="shared" si="14"/>
        <v>0.14980941213579885</v>
      </c>
      <c r="BB18" s="57">
        <f t="shared" si="14"/>
        <v>0.15269332416515352</v>
      </c>
      <c r="BC18" s="57">
        <f t="shared" si="14"/>
        <v>0.15265502945217807</v>
      </c>
      <c r="BD18" s="57">
        <f t="shared" si="14"/>
        <v>0.16296164673838651</v>
      </c>
      <c r="BE18" s="57">
        <f t="shared" si="14"/>
        <v>0.20112638135947991</v>
      </c>
      <c r="BF18" s="57">
        <f t="shared" si="14"/>
        <v>0.26228878877072948</v>
      </c>
      <c r="BG18" s="57">
        <f t="shared" si="14"/>
        <v>0.32395125567681166</v>
      </c>
      <c r="BH18" s="57">
        <f t="shared" si="14"/>
        <v>0.36155123669475292</v>
      </c>
      <c r="BI18" s="57">
        <f t="shared" si="14"/>
        <v>0.26650553455708359</v>
      </c>
      <c r="BJ18" s="57">
        <f t="shared" si="14"/>
        <v>0.26711772837413394</v>
      </c>
      <c r="BK18" s="57">
        <f t="shared" si="14"/>
        <v>0.19324795665503736</v>
      </c>
      <c r="BL18" s="57">
        <f t="shared" si="14"/>
        <v>0.27267910298260223</v>
      </c>
      <c r="BM18" s="57">
        <f t="shared" si="14"/>
        <v>0.29511833188984121</v>
      </c>
      <c r="BN18" s="57">
        <f t="shared" si="14"/>
        <v>0.3070403326483459</v>
      </c>
      <c r="BO18" s="57">
        <f t="shared" si="14"/>
        <v>0.33462335950963901</v>
      </c>
      <c r="BP18" s="57">
        <f t="shared" si="14"/>
        <v>0.24690010752440941</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9">
        <v>35859554.469999999</v>
      </c>
      <c r="C20" s="189">
        <v>17785221.48</v>
      </c>
      <c r="D20" s="189">
        <v>8784291.9000000004</v>
      </c>
      <c r="E20" s="189">
        <v>35319095.43</v>
      </c>
      <c r="F20" s="189">
        <v>37229182</v>
      </c>
      <c r="G20" s="189">
        <v>18822094.550000001</v>
      </c>
      <c r="H20" s="189">
        <v>8870360.2899999991</v>
      </c>
      <c r="I20" s="189">
        <v>26299728.890000001</v>
      </c>
      <c r="J20" s="189">
        <v>5187464.43</v>
      </c>
      <c r="K20" s="189">
        <v>12605733.449999999</v>
      </c>
      <c r="L20" s="189">
        <v>0</v>
      </c>
      <c r="M20" s="189">
        <v>9932121.0500000007</v>
      </c>
      <c r="N20" s="189">
        <v>1745025.4</v>
      </c>
      <c r="O20" s="189">
        <v>1089662.45</v>
      </c>
      <c r="P20" s="189">
        <v>0</v>
      </c>
      <c r="Q20" s="189">
        <v>2289834.85</v>
      </c>
      <c r="R20" s="189">
        <v>0</v>
      </c>
      <c r="S20" s="189">
        <v>0</v>
      </c>
      <c r="T20" s="189">
        <v>0</v>
      </c>
      <c r="U20" s="189">
        <v>-503092.29</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401</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x14ac:dyDescent="0.25">
      <c r="A23" s="21" t="s">
        <v>402</v>
      </c>
      <c r="B23" s="29">
        <f>-B52</f>
        <v>25636</v>
      </c>
      <c r="C23" s="29">
        <f t="shared" ref="C23:BN23" si="16">-C52</f>
        <v>27718</v>
      </c>
      <c r="D23" s="29">
        <f t="shared" si="16"/>
        <v>35317</v>
      </c>
      <c r="E23" s="29">
        <f t="shared" si="16"/>
        <v>14217390.41</v>
      </c>
      <c r="F23" s="29">
        <f t="shared" si="16"/>
        <v>34414</v>
      </c>
      <c r="G23" s="29">
        <f t="shared" si="16"/>
        <v>23309</v>
      </c>
      <c r="H23" s="29">
        <f t="shared" si="16"/>
        <v>16814</v>
      </c>
      <c r="I23" s="29">
        <f t="shared" si="16"/>
        <v>17489937.600000001</v>
      </c>
      <c r="J23" s="29">
        <f t="shared" si="16"/>
        <v>0</v>
      </c>
      <c r="K23" s="29">
        <f t="shared" si="16"/>
        <v>0</v>
      </c>
      <c r="L23" s="29">
        <f t="shared" si="16"/>
        <v>0</v>
      </c>
      <c r="M23" s="29">
        <f t="shared" si="16"/>
        <v>51039731.609999999</v>
      </c>
      <c r="N23" s="29">
        <f t="shared" si="16"/>
        <v>0</v>
      </c>
      <c r="O23" s="29">
        <f t="shared" si="16"/>
        <v>0</v>
      </c>
      <c r="P23" s="29">
        <f t="shared" si="16"/>
        <v>0</v>
      </c>
      <c r="Q23" s="29">
        <f t="shared" si="16"/>
        <v>38853110.369999997</v>
      </c>
      <c r="R23" s="29">
        <f t="shared" si="16"/>
        <v>0</v>
      </c>
      <c r="S23" s="29">
        <f t="shared" si="16"/>
        <v>0</v>
      </c>
      <c r="T23" s="29">
        <f t="shared" si="16"/>
        <v>0</v>
      </c>
      <c r="U23" s="29">
        <f t="shared" si="16"/>
        <v>21029133.91</v>
      </c>
      <c r="V23" s="29">
        <f t="shared" si="16"/>
        <v>0</v>
      </c>
      <c r="W23" s="29">
        <f t="shared" si="16"/>
        <v>0</v>
      </c>
      <c r="X23" s="29">
        <f t="shared" si="16"/>
        <v>0</v>
      </c>
      <c r="Y23" s="29">
        <f t="shared" si="16"/>
        <v>13760306.32</v>
      </c>
      <c r="Z23" s="29">
        <f t="shared" si="16"/>
        <v>0</v>
      </c>
      <c r="AA23" s="29">
        <f t="shared" si="16"/>
        <v>0</v>
      </c>
      <c r="AB23" s="29">
        <f t="shared" si="16"/>
        <v>0</v>
      </c>
      <c r="AC23" s="29">
        <f t="shared" si="16"/>
        <v>15553702.25</v>
      </c>
      <c r="AD23" s="29">
        <f t="shared" si="16"/>
        <v>0</v>
      </c>
      <c r="AE23" s="29">
        <f t="shared" si="16"/>
        <v>0</v>
      </c>
      <c r="AF23" s="29">
        <f t="shared" si="16"/>
        <v>0</v>
      </c>
      <c r="AG23" s="29">
        <f t="shared" si="16"/>
        <v>10980102.630000001</v>
      </c>
      <c r="AH23" s="29">
        <f t="shared" si="16"/>
        <v>0</v>
      </c>
      <c r="AI23" s="29">
        <f t="shared" si="16"/>
        <v>0</v>
      </c>
      <c r="AJ23" s="29">
        <f t="shared" si="16"/>
        <v>0</v>
      </c>
      <c r="AK23" s="29">
        <f t="shared" si="16"/>
        <v>6969712.6799999997</v>
      </c>
      <c r="AL23" s="29">
        <f t="shared" si="16"/>
        <v>0</v>
      </c>
      <c r="AM23" s="29">
        <f t="shared" si="16"/>
        <v>0</v>
      </c>
      <c r="AN23" s="29">
        <f t="shared" si="16"/>
        <v>0</v>
      </c>
      <c r="AO23" s="29">
        <f t="shared" si="16"/>
        <v>9446858.8000000007</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10299187.979999997</v>
      </c>
      <c r="F24" s="26">
        <f t="shared" si="18"/>
        <v>0</v>
      </c>
      <c r="G24" s="26">
        <f t="shared" si="18"/>
        <v>0</v>
      </c>
      <c r="H24" s="26">
        <f t="shared" si="18"/>
        <v>0</v>
      </c>
      <c r="I24" s="26">
        <f t="shared" si="18"/>
        <v>3632619.0500000007</v>
      </c>
      <c r="J24" s="26">
        <f t="shared" si="18"/>
        <v>0</v>
      </c>
      <c r="K24" s="26">
        <f t="shared" si="18"/>
        <v>0</v>
      </c>
      <c r="L24" s="26">
        <f t="shared" si="18"/>
        <v>1081480.5</v>
      </c>
      <c r="M24" s="26">
        <f t="shared" si="18"/>
        <v>8013160.8599999994</v>
      </c>
      <c r="N24" s="26">
        <f t="shared" si="18"/>
        <v>0</v>
      </c>
      <c r="O24" s="26">
        <f t="shared" si="18"/>
        <v>0</v>
      </c>
      <c r="P24" s="26">
        <f t="shared" si="18"/>
        <v>-262619.87</v>
      </c>
      <c r="Q24" s="26">
        <f t="shared" si="18"/>
        <v>7410019.7200000007</v>
      </c>
      <c r="R24" s="26">
        <f t="shared" si="18"/>
        <v>1530357.52</v>
      </c>
      <c r="S24" s="26">
        <f t="shared" si="18"/>
        <v>1204031.2</v>
      </c>
      <c r="T24" s="26">
        <f t="shared" si="18"/>
        <v>0</v>
      </c>
      <c r="U24" s="26">
        <f t="shared" si="18"/>
        <v>2552000</v>
      </c>
      <c r="V24" s="26">
        <f t="shared" si="18"/>
        <v>0</v>
      </c>
      <c r="W24" s="26">
        <f t="shared" si="18"/>
        <v>0</v>
      </c>
      <c r="X24" s="26">
        <f t="shared" si="18"/>
        <v>0</v>
      </c>
      <c r="Y24" s="26">
        <f t="shared" si="18"/>
        <v>5852000</v>
      </c>
      <c r="Z24" s="26">
        <f t="shared" si="18"/>
        <v>0</v>
      </c>
      <c r="AA24" s="26">
        <f t="shared" si="18"/>
        <v>0</v>
      </c>
      <c r="AB24" s="26">
        <f t="shared" si="18"/>
        <v>0</v>
      </c>
      <c r="AC24" s="26">
        <f t="shared" si="18"/>
        <v>4162400</v>
      </c>
      <c r="AD24" s="26">
        <f t="shared" si="18"/>
        <v>0</v>
      </c>
      <c r="AE24" s="26">
        <f t="shared" si="18"/>
        <v>0</v>
      </c>
      <c r="AF24" s="26">
        <f t="shared" si="18"/>
        <v>0</v>
      </c>
      <c r="AG24" s="26">
        <f t="shared" si="18"/>
        <v>1796315.34</v>
      </c>
      <c r="AH24" s="26">
        <f t="shared" si="18"/>
        <v>1796315.34</v>
      </c>
      <c r="AI24" s="26">
        <f t="shared" si="18"/>
        <v>0</v>
      </c>
      <c r="AJ24" s="26">
        <f t="shared" si="18"/>
        <v>0</v>
      </c>
      <c r="AK24" s="26">
        <f t="shared" si="18"/>
        <v>3371225.25</v>
      </c>
      <c r="AL24" s="26">
        <f t="shared" si="18"/>
        <v>3371225.25</v>
      </c>
      <c r="AM24" s="26">
        <f t="shared" si="18"/>
        <v>0</v>
      </c>
      <c r="AN24" s="26">
        <f t="shared" si="18"/>
        <v>0</v>
      </c>
      <c r="AO24" s="26">
        <f t="shared" si="18"/>
        <v>-35196.129999999997</v>
      </c>
      <c r="AP24" s="26">
        <f t="shared" si="18"/>
        <v>-35196.129999999997</v>
      </c>
      <c r="AQ24" s="26">
        <f t="shared" si="18"/>
        <v>-35196.129999999997</v>
      </c>
      <c r="AR24" s="26">
        <f t="shared" si="18"/>
        <v>129961.41</v>
      </c>
      <c r="AS24" s="26">
        <f t="shared" si="18"/>
        <v>-76523.789999999994</v>
      </c>
      <c r="AT24" s="26">
        <f t="shared" si="18"/>
        <v>3894218.07</v>
      </c>
      <c r="AU24" s="26">
        <f t="shared" si="18"/>
        <v>0</v>
      </c>
      <c r="AV24" s="26">
        <f t="shared" si="18"/>
        <v>0</v>
      </c>
      <c r="AW24" s="26">
        <f t="shared" si="18"/>
        <v>-2274644.3199999998</v>
      </c>
      <c r="AX24" s="26">
        <f t="shared" si="18"/>
        <v>-4307467.5</v>
      </c>
      <c r="AY24" s="26">
        <f t="shared" si="18"/>
        <v>-2072446.83</v>
      </c>
      <c r="AZ24" s="26">
        <f t="shared" si="18"/>
        <v>-455432.01</v>
      </c>
      <c r="BA24" s="26">
        <f t="shared" si="18"/>
        <v>-2871791.97</v>
      </c>
      <c r="BB24" s="26">
        <f t="shared" si="18"/>
        <v>-1876295.55</v>
      </c>
      <c r="BC24" s="26">
        <f t="shared" si="18"/>
        <v>-1529677.19</v>
      </c>
      <c r="BD24" s="26">
        <f t="shared" si="18"/>
        <v>-542580.31999999995</v>
      </c>
      <c r="BE24" s="26">
        <f t="shared" si="18"/>
        <v>-6167739.1100000003</v>
      </c>
      <c r="BF24" s="26">
        <f t="shared" si="18"/>
        <v>-1028846.4</v>
      </c>
      <c r="BG24" s="26">
        <f t="shared" si="18"/>
        <v>-875054.97</v>
      </c>
      <c r="BH24" s="26">
        <f t="shared" si="18"/>
        <v>-524208.47</v>
      </c>
      <c r="BI24" s="26">
        <f t="shared" si="18"/>
        <v>1253739.29</v>
      </c>
      <c r="BJ24" s="26">
        <f t="shared" si="18"/>
        <v>534427.34</v>
      </c>
      <c r="BK24" s="26">
        <f t="shared" si="18"/>
        <v>-851513.87</v>
      </c>
      <c r="BL24" s="26">
        <f t="shared" si="18"/>
        <v>-427379.04</v>
      </c>
      <c r="BM24" s="26">
        <f t="shared" si="18"/>
        <v>-2080674.95</v>
      </c>
      <c r="BN24" s="26">
        <f t="shared" si="18"/>
        <v>-449758.05</v>
      </c>
      <c r="BO24" s="26">
        <f t="shared" ref="BO24:CJ24" si="19">BO67</f>
        <v>-2402516.1</v>
      </c>
      <c r="BP24" s="26">
        <f t="shared" si="19"/>
        <v>117566.98</v>
      </c>
      <c r="BQ24" s="26">
        <f t="shared" si="19"/>
        <v>0</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-41861.230000000003</v>
      </c>
      <c r="F25" s="29">
        <f t="shared" si="20"/>
        <v>-2684</v>
      </c>
      <c r="G25" s="29">
        <f t="shared" si="20"/>
        <v>377</v>
      </c>
      <c r="H25" s="29">
        <f t="shared" si="20"/>
        <v>-1008</v>
      </c>
      <c r="I25" s="29">
        <f t="shared" si="20"/>
        <v>5297631.01</v>
      </c>
      <c r="J25" s="29">
        <f t="shared" si="20"/>
        <v>0</v>
      </c>
      <c r="K25" s="29">
        <f t="shared" si="20"/>
        <v>0</v>
      </c>
      <c r="L25" s="29">
        <f t="shared" si="20"/>
        <v>0</v>
      </c>
      <c r="M25" s="29">
        <f t="shared" si="20"/>
        <v>-652325.63</v>
      </c>
      <c r="N25" s="29">
        <f t="shared" si="20"/>
        <v>0</v>
      </c>
      <c r="O25" s="29">
        <f t="shared" si="20"/>
        <v>0</v>
      </c>
      <c r="P25" s="29">
        <f t="shared" si="20"/>
        <v>0</v>
      </c>
      <c r="Q25" s="29">
        <f t="shared" si="20"/>
        <v>191552.37</v>
      </c>
      <c r="R25" s="29">
        <f t="shared" si="20"/>
        <v>0</v>
      </c>
      <c r="S25" s="29">
        <f t="shared" si="20"/>
        <v>0</v>
      </c>
      <c r="T25" s="29">
        <f t="shared" si="20"/>
        <v>0</v>
      </c>
      <c r="U25" s="29">
        <f t="shared" si="20"/>
        <v>38901.18</v>
      </c>
      <c r="V25" s="29">
        <f t="shared" si="20"/>
        <v>0</v>
      </c>
      <c r="W25" s="29">
        <f t="shared" si="20"/>
        <v>0</v>
      </c>
      <c r="X25" s="29">
        <f t="shared" si="20"/>
        <v>0</v>
      </c>
      <c r="Y25" s="29">
        <f t="shared" si="20"/>
        <v>23095.99</v>
      </c>
      <c r="Z25" s="29">
        <f t="shared" si="20"/>
        <v>0</v>
      </c>
      <c r="AA25" s="29">
        <f t="shared" si="20"/>
        <v>0</v>
      </c>
      <c r="AB25" s="29">
        <f t="shared" si="20"/>
        <v>0</v>
      </c>
      <c r="AC25" s="29">
        <f t="shared" si="20"/>
        <v>-558628.61</v>
      </c>
      <c r="AD25" s="29">
        <f t="shared" si="20"/>
        <v>0</v>
      </c>
      <c r="AE25" s="29">
        <f t="shared" si="20"/>
        <v>0</v>
      </c>
      <c r="AF25" s="29">
        <f t="shared" si="20"/>
        <v>0</v>
      </c>
      <c r="AG25" s="29">
        <f t="shared" si="20"/>
        <v>-457291.29</v>
      </c>
      <c r="AH25" s="29">
        <f t="shared" si="20"/>
        <v>0</v>
      </c>
      <c r="AI25" s="29">
        <f t="shared" si="20"/>
        <v>0</v>
      </c>
      <c r="AJ25" s="29">
        <f t="shared" si="20"/>
        <v>0</v>
      </c>
      <c r="AK25" s="29">
        <f t="shared" si="20"/>
        <v>-50891.17</v>
      </c>
      <c r="AL25" s="29">
        <f t="shared" si="20"/>
        <v>0</v>
      </c>
      <c r="AM25" s="29">
        <f t="shared" si="20"/>
        <v>0</v>
      </c>
      <c r="AN25" s="29">
        <f t="shared" si="20"/>
        <v>0</v>
      </c>
      <c r="AO25" s="29">
        <f t="shared" si="20"/>
        <v>-7764053.1799999997</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9">
        <v>-4523558.55</v>
      </c>
      <c r="C26" s="189">
        <v>-12601341.68</v>
      </c>
      <c r="D26" s="189">
        <v>969333.98</v>
      </c>
      <c r="E26" s="189">
        <v>3232658.49</v>
      </c>
      <c r="F26" s="189">
        <v>4523558.55</v>
      </c>
      <c r="G26" s="189">
        <v>4523558.55</v>
      </c>
      <c r="H26" s="189">
        <v>6462226.5</v>
      </c>
      <c r="I26" s="189">
        <v>-10662575.970000001</v>
      </c>
      <c r="J26" s="189">
        <v>-14540009.630000001</v>
      </c>
      <c r="K26" s="189">
        <v>-15509343.6</v>
      </c>
      <c r="L26" s="189">
        <v>-15832454.93</v>
      </c>
      <c r="M26" s="189">
        <v>-20679124.800000001</v>
      </c>
      <c r="N26" s="189">
        <v>-32311132.5</v>
      </c>
      <c r="O26" s="189">
        <v>15509343.6</v>
      </c>
      <c r="P26" s="189">
        <v>-4846669.88</v>
      </c>
      <c r="Q26" s="189">
        <v>71691335.209999993</v>
      </c>
      <c r="R26" s="189">
        <v>3497536.66</v>
      </c>
      <c r="S26" s="189">
        <v>-3934023.82</v>
      </c>
      <c r="T26" s="189">
        <v>-5823992.6100000003</v>
      </c>
      <c r="U26" s="189">
        <v>-13441834.41</v>
      </c>
      <c r="V26" s="189">
        <v>0</v>
      </c>
      <c r="W26" s="189">
        <v>-5280000</v>
      </c>
      <c r="X26" s="189">
        <v>5610000</v>
      </c>
      <c r="Y26" s="189">
        <v>5610000</v>
      </c>
      <c r="Z26" s="189">
        <v>0</v>
      </c>
      <c r="AA26" s="189">
        <v>-1320000</v>
      </c>
      <c r="AB26" s="189">
        <v>-990000</v>
      </c>
      <c r="AC26" s="189">
        <v>-35640000</v>
      </c>
      <c r="AD26" s="189">
        <v>0</v>
      </c>
      <c r="AE26" s="189">
        <v>-20130000</v>
      </c>
      <c r="AF26" s="189">
        <v>-4290000</v>
      </c>
      <c r="AG26" s="189">
        <v>72180000</v>
      </c>
      <c r="AH26" s="189">
        <v>0</v>
      </c>
      <c r="AI26" s="189">
        <v>0</v>
      </c>
      <c r="AJ26" s="189">
        <v>0</v>
      </c>
      <c r="AK26" s="189">
        <v>0</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x14ac:dyDescent="0.25">
      <c r="A27" s="17" t="s">
        <v>406</v>
      </c>
      <c r="B27" s="26">
        <f>SUM(B22:B26)</f>
        <v>-4501026.55</v>
      </c>
      <c r="C27" s="26">
        <f t="shared" ref="C27:BN27" si="22">SUM(C22:C26)</f>
        <v>-12572199.68</v>
      </c>
      <c r="D27" s="26">
        <f t="shared" si="22"/>
        <v>1004990.98</v>
      </c>
      <c r="E27" s="26">
        <f t="shared" si="22"/>
        <v>27707375.649999999</v>
      </c>
      <c r="F27" s="26">
        <f t="shared" si="22"/>
        <v>4555288.55</v>
      </c>
      <c r="G27" s="26">
        <f t="shared" si="22"/>
        <v>4547244.55</v>
      </c>
      <c r="H27" s="26">
        <f t="shared" si="22"/>
        <v>6478032.5</v>
      </c>
      <c r="I27" s="26">
        <f t="shared" si="22"/>
        <v>15757611.690000003</v>
      </c>
      <c r="J27" s="26">
        <f t="shared" si="22"/>
        <v>-14540009.630000001</v>
      </c>
      <c r="K27" s="26">
        <f t="shared" si="22"/>
        <v>-15509343.6</v>
      </c>
      <c r="L27" s="26">
        <f t="shared" si="22"/>
        <v>-14750974.43</v>
      </c>
      <c r="M27" s="26">
        <f t="shared" si="22"/>
        <v>37721442.039999992</v>
      </c>
      <c r="N27" s="26">
        <f t="shared" si="22"/>
        <v>-32311132.5</v>
      </c>
      <c r="O27" s="26">
        <f t="shared" si="22"/>
        <v>15509343.6</v>
      </c>
      <c r="P27" s="26">
        <f t="shared" si="22"/>
        <v>-5109289.75</v>
      </c>
      <c r="Q27" s="26">
        <f t="shared" si="22"/>
        <v>118146017.66999999</v>
      </c>
      <c r="R27" s="26">
        <f t="shared" si="22"/>
        <v>5027894.18</v>
      </c>
      <c r="S27" s="26">
        <f t="shared" si="22"/>
        <v>-2729992.62</v>
      </c>
      <c r="T27" s="26">
        <f t="shared" si="22"/>
        <v>-5823992.6100000003</v>
      </c>
      <c r="U27" s="26">
        <f t="shared" si="22"/>
        <v>10178200.68</v>
      </c>
      <c r="V27" s="26">
        <f t="shared" si="22"/>
        <v>0</v>
      </c>
      <c r="W27" s="26">
        <f t="shared" si="22"/>
        <v>-5280000</v>
      </c>
      <c r="X27" s="26">
        <f t="shared" si="22"/>
        <v>5610000</v>
      </c>
      <c r="Y27" s="26">
        <f t="shared" si="22"/>
        <v>25245402.309999999</v>
      </c>
      <c r="Z27" s="26">
        <f t="shared" si="22"/>
        <v>0</v>
      </c>
      <c r="AA27" s="26">
        <f t="shared" si="22"/>
        <v>-1320000</v>
      </c>
      <c r="AB27" s="26">
        <f t="shared" si="22"/>
        <v>-990000</v>
      </c>
      <c r="AC27" s="26">
        <f t="shared" si="22"/>
        <v>-16482526.359999999</v>
      </c>
      <c r="AD27" s="26">
        <f t="shared" si="22"/>
        <v>0</v>
      </c>
      <c r="AE27" s="26">
        <f t="shared" si="22"/>
        <v>-20130000</v>
      </c>
      <c r="AF27" s="26">
        <f t="shared" si="22"/>
        <v>-4290000</v>
      </c>
      <c r="AG27" s="26">
        <f t="shared" si="22"/>
        <v>84499126.680000007</v>
      </c>
      <c r="AH27" s="26">
        <f t="shared" si="22"/>
        <v>1796315.34</v>
      </c>
      <c r="AI27" s="26">
        <f t="shared" si="22"/>
        <v>0</v>
      </c>
      <c r="AJ27" s="26">
        <f t="shared" si="22"/>
        <v>0</v>
      </c>
      <c r="AK27" s="26">
        <f t="shared" si="22"/>
        <v>10290046.76</v>
      </c>
      <c r="AL27" s="26">
        <f t="shared" si="22"/>
        <v>3371225.25</v>
      </c>
      <c r="AM27" s="26">
        <f t="shared" si="22"/>
        <v>0</v>
      </c>
      <c r="AN27" s="26">
        <f t="shared" si="22"/>
        <v>0</v>
      </c>
      <c r="AO27" s="26">
        <f t="shared" si="22"/>
        <v>1647609.4900000002</v>
      </c>
      <c r="AP27" s="26">
        <f t="shared" si="22"/>
        <v>-35196.129999999997</v>
      </c>
      <c r="AQ27" s="26">
        <f t="shared" si="22"/>
        <v>-35196.129999999997</v>
      </c>
      <c r="AR27" s="26">
        <f t="shared" si="22"/>
        <v>129961.41</v>
      </c>
      <c r="AS27" s="26">
        <f t="shared" si="22"/>
        <v>-76523.789999999994</v>
      </c>
      <c r="AT27" s="26">
        <f t="shared" si="22"/>
        <v>3894218.07</v>
      </c>
      <c r="AU27" s="26">
        <f t="shared" si="22"/>
        <v>0</v>
      </c>
      <c r="AV27" s="26">
        <f t="shared" si="22"/>
        <v>0</v>
      </c>
      <c r="AW27" s="26">
        <f t="shared" si="22"/>
        <v>-2274644.3199999998</v>
      </c>
      <c r="AX27" s="26">
        <f t="shared" si="22"/>
        <v>-4307467.5</v>
      </c>
      <c r="AY27" s="26">
        <f t="shared" si="22"/>
        <v>-2072446.83</v>
      </c>
      <c r="AZ27" s="26">
        <f t="shared" si="22"/>
        <v>-455432.01</v>
      </c>
      <c r="BA27" s="26">
        <f t="shared" si="22"/>
        <v>-2871791.97</v>
      </c>
      <c r="BB27" s="26">
        <f t="shared" si="22"/>
        <v>-1876295.55</v>
      </c>
      <c r="BC27" s="26">
        <f t="shared" si="22"/>
        <v>-1529677.19</v>
      </c>
      <c r="BD27" s="26">
        <f t="shared" si="22"/>
        <v>-542580.31999999995</v>
      </c>
      <c r="BE27" s="26">
        <f t="shared" si="22"/>
        <v>-6167739.1100000003</v>
      </c>
      <c r="BF27" s="26">
        <f t="shared" si="22"/>
        <v>-1028846.4</v>
      </c>
      <c r="BG27" s="26">
        <f t="shared" si="22"/>
        <v>-875054.97</v>
      </c>
      <c r="BH27" s="26">
        <f t="shared" si="22"/>
        <v>-524208.47</v>
      </c>
      <c r="BI27" s="26">
        <f t="shared" si="22"/>
        <v>1253739.29</v>
      </c>
      <c r="BJ27" s="26">
        <f t="shared" si="22"/>
        <v>534427.34</v>
      </c>
      <c r="BK27" s="26">
        <f t="shared" si="22"/>
        <v>-851513.87</v>
      </c>
      <c r="BL27" s="26">
        <f t="shared" si="22"/>
        <v>-427379.04</v>
      </c>
      <c r="BM27" s="26">
        <f t="shared" si="22"/>
        <v>-2080674.95</v>
      </c>
      <c r="BN27" s="26">
        <f t="shared" si="22"/>
        <v>-449758.05</v>
      </c>
      <c r="BO27" s="26">
        <f t="shared" ref="BO27:CJ27" si="23">SUM(BO22:BO26)</f>
        <v>-2402516.1</v>
      </c>
      <c r="BP27" s="26">
        <f t="shared" si="23"/>
        <v>117566.98</v>
      </c>
      <c r="BQ27" s="26">
        <f t="shared" si="23"/>
        <v>0</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5869.9190653933392</v>
      </c>
      <c r="C28" s="26">
        <f t="shared" ref="C28:BN28" si="24">SUM(C22:C25)*C41</f>
        <v>7734.3069146921907</v>
      </c>
      <c r="D28" s="26">
        <f t="shared" si="24"/>
        <v>9650.391772287272</v>
      </c>
      <c r="E28" s="26">
        <f t="shared" si="24"/>
        <v>6507657.6184013132</v>
      </c>
      <c r="F28" s="26">
        <f t="shared" si="24"/>
        <v>8127.4903599448544</v>
      </c>
      <c r="G28" s="26">
        <f t="shared" si="24"/>
        <v>6006.1684445955998</v>
      </c>
      <c r="H28" s="26">
        <f t="shared" si="24"/>
        <v>3873.6779627916435</v>
      </c>
      <c r="I28" s="26">
        <f t="shared" si="24"/>
        <v>7178098.5393791236</v>
      </c>
      <c r="J28" s="26">
        <f t="shared" si="24"/>
        <v>0</v>
      </c>
      <c r="K28" s="26">
        <f t="shared" si="24"/>
        <v>0</v>
      </c>
      <c r="L28" s="26">
        <f t="shared" si="24"/>
        <v>283480.48399133154</v>
      </c>
      <c r="M28" s="26">
        <f t="shared" si="24"/>
        <v>15466311.510714673</v>
      </c>
      <c r="N28" s="26">
        <f t="shared" si="24"/>
        <v>0</v>
      </c>
      <c r="O28" s="26">
        <f t="shared" si="24"/>
        <v>0</v>
      </c>
      <c r="P28" s="26">
        <f t="shared" si="24"/>
        <v>-68183.62260140189</v>
      </c>
      <c r="Q28" s="26">
        <f t="shared" si="24"/>
        <v>11274146.482026316</v>
      </c>
      <c r="R28" s="26">
        <f t="shared" si="24"/>
        <v>370849.64290264569</v>
      </c>
      <c r="S28" s="26">
        <f t="shared" si="24"/>
        <v>270446.3823197062</v>
      </c>
      <c r="T28" s="26">
        <f t="shared" si="24"/>
        <v>0</v>
      </c>
      <c r="U28" s="26">
        <f t="shared" si="24"/>
        <v>6290709.343195132</v>
      </c>
      <c r="V28" s="26">
        <f t="shared" si="24"/>
        <v>0</v>
      </c>
      <c r="W28" s="26">
        <f t="shared" si="24"/>
        <v>0</v>
      </c>
      <c r="X28" s="26">
        <f t="shared" si="24"/>
        <v>0</v>
      </c>
      <c r="Y28" s="26">
        <f t="shared" si="24"/>
        <v>5084437.32621527</v>
      </c>
      <c r="Z28" s="26">
        <f t="shared" si="24"/>
        <v>0</v>
      </c>
      <c r="AA28" s="26">
        <f t="shared" si="24"/>
        <v>0</v>
      </c>
      <c r="AB28" s="26">
        <f t="shared" si="24"/>
        <v>0</v>
      </c>
      <c r="AC28" s="26">
        <f t="shared" si="24"/>
        <v>5070298.0084800273</v>
      </c>
      <c r="AD28" s="26">
        <f t="shared" si="24"/>
        <v>0</v>
      </c>
      <c r="AE28" s="26">
        <f t="shared" si="24"/>
        <v>0</v>
      </c>
      <c r="AF28" s="26">
        <f t="shared" si="24"/>
        <v>0</v>
      </c>
      <c r="AG28" s="26">
        <f t="shared" si="24"/>
        <v>2903294.5711357729</v>
      </c>
      <c r="AH28" s="26">
        <f t="shared" si="24"/>
        <v>469493.64609670633</v>
      </c>
      <c r="AI28" s="26">
        <f t="shared" si="24"/>
        <v>0</v>
      </c>
      <c r="AJ28" s="26">
        <f t="shared" si="24"/>
        <v>0</v>
      </c>
      <c r="AK28" s="26">
        <f t="shared" si="24"/>
        <v>2623551.9566248609</v>
      </c>
      <c r="AL28" s="26">
        <f t="shared" si="24"/>
        <v>914116.91589581955</v>
      </c>
      <c r="AM28" s="26">
        <f t="shared" si="24"/>
        <v>0</v>
      </c>
      <c r="AN28" s="26">
        <f t="shared" si="24"/>
        <v>0</v>
      </c>
      <c r="AO28" s="26">
        <f t="shared" si="24"/>
        <v>449574.24275159033</v>
      </c>
      <c r="AP28" s="26">
        <f t="shared" si="24"/>
        <v>-9529.8854228460823</v>
      </c>
      <c r="AQ28" s="26">
        <f t="shared" si="24"/>
        <v>-9383.0953319739328</v>
      </c>
      <c r="AR28" s="26">
        <f t="shared" si="24"/>
        <v>31394.396342438653</v>
      </c>
      <c r="AS28" s="26">
        <f t="shared" si="24"/>
        <v>-26369.037835392093</v>
      </c>
      <c r="AT28" s="26">
        <f t="shared" si="24"/>
        <v>1336558.9900731316</v>
      </c>
      <c r="AU28" s="26">
        <f t="shared" si="24"/>
        <v>0</v>
      </c>
      <c r="AV28" s="26">
        <f t="shared" si="24"/>
        <v>0</v>
      </c>
      <c r="AW28" s="26">
        <f t="shared" si="24"/>
        <v>-809421.81128654594</v>
      </c>
      <c r="AX28" s="26">
        <f t="shared" si="24"/>
        <v>-1443924.5008855197</v>
      </c>
      <c r="AY28" s="26">
        <f t="shared" si="24"/>
        <v>-696840.20311490435</v>
      </c>
      <c r="AZ28" s="26">
        <f t="shared" si="24"/>
        <v>-146081.50915698448</v>
      </c>
      <c r="BA28" s="26">
        <f t="shared" si="24"/>
        <v>-989741.3325602907</v>
      </c>
      <c r="BB28" s="26">
        <f t="shared" si="24"/>
        <v>-708179.47235983727</v>
      </c>
      <c r="BC28" s="26">
        <f t="shared" si="24"/>
        <v>-598250.92795635457</v>
      </c>
      <c r="BD28" s="26">
        <f t="shared" si="24"/>
        <v>-186431.25459752927</v>
      </c>
      <c r="BE28" s="26">
        <f t="shared" si="24"/>
        <v>-1974443.1275770776</v>
      </c>
      <c r="BF28" s="26">
        <f t="shared" si="24"/>
        <v>-339937.66745808546</v>
      </c>
      <c r="BG28" s="26">
        <f t="shared" si="24"/>
        <v>-285569.60119080881</v>
      </c>
      <c r="BH28" s="26">
        <f t="shared" si="24"/>
        <v>-166005.14537740362</v>
      </c>
      <c r="BI28" s="26">
        <f t="shared" si="24"/>
        <v>416874.75617308036</v>
      </c>
      <c r="BJ28" s="26">
        <f t="shared" si="24"/>
        <v>186054.61794612408</v>
      </c>
      <c r="BK28" s="26">
        <f t="shared" si="24"/>
        <v>-298021.3642913652</v>
      </c>
      <c r="BL28" s="26">
        <f t="shared" si="24"/>
        <v>-145183.3636251913</v>
      </c>
      <c r="BM28" s="26">
        <f t="shared" si="24"/>
        <v>-423050.19270368619</v>
      </c>
      <c r="BN28" s="26">
        <f t="shared" si="24"/>
        <v>-83701.708673142479</v>
      </c>
      <c r="BO28" s="26">
        <f t="shared" ref="BO28:CJ28" si="25">SUM(BO22:BO25)*BO41</f>
        <v>-110446.92311345971</v>
      </c>
      <c r="BP28" s="26">
        <f t="shared" si="25"/>
        <v>41222.333353258284</v>
      </c>
      <c r="BQ28" s="26" t="e">
        <f t="shared" si="25"/>
        <v>#DIV/0!</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-4506896.4690653933</v>
      </c>
      <c r="C29" s="28">
        <f t="shared" ref="C29:BN29" si="26">C27-C28</f>
        <v>-12579933.986914692</v>
      </c>
      <c r="D29" s="28">
        <f t="shared" si="26"/>
        <v>995340.58822771267</v>
      </c>
      <c r="E29" s="28">
        <f t="shared" si="26"/>
        <v>21199718.031598687</v>
      </c>
      <c r="F29" s="28">
        <f t="shared" si="26"/>
        <v>4547161.0596400546</v>
      </c>
      <c r="G29" s="28">
        <f t="shared" si="26"/>
        <v>4541238.3815554045</v>
      </c>
      <c r="H29" s="28">
        <f t="shared" si="26"/>
        <v>6474158.8220372079</v>
      </c>
      <c r="I29" s="28">
        <f t="shared" si="26"/>
        <v>8579513.1506208796</v>
      </c>
      <c r="J29" s="28">
        <f t="shared" si="26"/>
        <v>-14540009.630000001</v>
      </c>
      <c r="K29" s="28">
        <f t="shared" si="26"/>
        <v>-15509343.6</v>
      </c>
      <c r="L29" s="28">
        <f t="shared" si="26"/>
        <v>-15034454.913991332</v>
      </c>
      <c r="M29" s="28">
        <f t="shared" si="26"/>
        <v>22255130.529285319</v>
      </c>
      <c r="N29" s="28">
        <f t="shared" si="26"/>
        <v>-32311132.5</v>
      </c>
      <c r="O29" s="28">
        <f t="shared" si="26"/>
        <v>15509343.6</v>
      </c>
      <c r="P29" s="28">
        <f t="shared" si="26"/>
        <v>-5041106.127398598</v>
      </c>
      <c r="Q29" s="28">
        <f t="shared" si="26"/>
        <v>106871871.18797368</v>
      </c>
      <c r="R29" s="28">
        <f t="shared" si="26"/>
        <v>4657044.5370973544</v>
      </c>
      <c r="S29" s="28">
        <f t="shared" si="26"/>
        <v>-3000439.0023197061</v>
      </c>
      <c r="T29" s="28">
        <f t="shared" si="26"/>
        <v>-5823992.6100000003</v>
      </c>
      <c r="U29" s="28">
        <f t="shared" si="26"/>
        <v>3887491.3368048677</v>
      </c>
      <c r="V29" s="28">
        <f t="shared" si="26"/>
        <v>0</v>
      </c>
      <c r="W29" s="28">
        <f t="shared" si="26"/>
        <v>-5280000</v>
      </c>
      <c r="X29" s="28">
        <f t="shared" si="26"/>
        <v>5610000</v>
      </c>
      <c r="Y29" s="28">
        <f t="shared" si="26"/>
        <v>20160964.983784728</v>
      </c>
      <c r="Z29" s="28">
        <f t="shared" si="26"/>
        <v>0</v>
      </c>
      <c r="AA29" s="28">
        <f t="shared" si="26"/>
        <v>-1320000</v>
      </c>
      <c r="AB29" s="28">
        <f t="shared" si="26"/>
        <v>-990000</v>
      </c>
      <c r="AC29" s="28">
        <f t="shared" si="26"/>
        <v>-21552824.368480027</v>
      </c>
      <c r="AD29" s="28">
        <f t="shared" si="26"/>
        <v>0</v>
      </c>
      <c r="AE29" s="28">
        <f t="shared" si="26"/>
        <v>-20130000</v>
      </c>
      <c r="AF29" s="28">
        <f t="shared" si="26"/>
        <v>-4290000</v>
      </c>
      <c r="AG29" s="28">
        <f t="shared" si="26"/>
        <v>81595832.108864233</v>
      </c>
      <c r="AH29" s="28">
        <f t="shared" si="26"/>
        <v>1326821.6939032937</v>
      </c>
      <c r="AI29" s="28">
        <f t="shared" si="26"/>
        <v>0</v>
      </c>
      <c r="AJ29" s="28">
        <f t="shared" si="26"/>
        <v>0</v>
      </c>
      <c r="AK29" s="28">
        <f t="shared" si="26"/>
        <v>7666494.8033751389</v>
      </c>
      <c r="AL29" s="28">
        <f t="shared" si="26"/>
        <v>2457108.3341041803</v>
      </c>
      <c r="AM29" s="28">
        <f t="shared" si="26"/>
        <v>0</v>
      </c>
      <c r="AN29" s="28">
        <f t="shared" si="26"/>
        <v>0</v>
      </c>
      <c r="AO29" s="28">
        <f t="shared" si="26"/>
        <v>1198035.2472484098</v>
      </c>
      <c r="AP29" s="28">
        <f t="shared" si="26"/>
        <v>-25666.244577153913</v>
      </c>
      <c r="AQ29" s="28">
        <f t="shared" si="26"/>
        <v>-25813.034668026063</v>
      </c>
      <c r="AR29" s="28">
        <f t="shared" si="26"/>
        <v>98567.013657561358</v>
      </c>
      <c r="AS29" s="28">
        <f t="shared" si="26"/>
        <v>-50154.752164607897</v>
      </c>
      <c r="AT29" s="28">
        <f t="shared" si="26"/>
        <v>2557659.079926868</v>
      </c>
      <c r="AU29" s="28">
        <f t="shared" si="26"/>
        <v>0</v>
      </c>
      <c r="AV29" s="28">
        <f t="shared" si="26"/>
        <v>0</v>
      </c>
      <c r="AW29" s="28">
        <f t="shared" si="26"/>
        <v>-1465222.508713454</v>
      </c>
      <c r="AX29" s="28">
        <f t="shared" si="26"/>
        <v>-2863542.9991144803</v>
      </c>
      <c r="AY29" s="28">
        <f t="shared" si="26"/>
        <v>-1375606.6268850956</v>
      </c>
      <c r="AZ29" s="28">
        <f t="shared" si="26"/>
        <v>-309350.5008430155</v>
      </c>
      <c r="BA29" s="28">
        <f t="shared" si="26"/>
        <v>-1882050.6374397096</v>
      </c>
      <c r="BB29" s="28">
        <f t="shared" si="26"/>
        <v>-1168116.0776401628</v>
      </c>
      <c r="BC29" s="28">
        <f t="shared" si="26"/>
        <v>-931426.26204364537</v>
      </c>
      <c r="BD29" s="28">
        <f t="shared" si="26"/>
        <v>-356149.06540247065</v>
      </c>
      <c r="BE29" s="28">
        <f t="shared" si="26"/>
        <v>-4193295.9824229227</v>
      </c>
      <c r="BF29" s="28">
        <f t="shared" si="26"/>
        <v>-688908.73254191456</v>
      </c>
      <c r="BG29" s="28">
        <f t="shared" si="26"/>
        <v>-589485.36880919116</v>
      </c>
      <c r="BH29" s="28">
        <f t="shared" si="26"/>
        <v>-358203.32462259638</v>
      </c>
      <c r="BI29" s="28">
        <f t="shared" si="26"/>
        <v>836864.53382691974</v>
      </c>
      <c r="BJ29" s="28">
        <f t="shared" si="26"/>
        <v>348372.72205387591</v>
      </c>
      <c r="BK29" s="28">
        <f t="shared" si="26"/>
        <v>-553492.50570863485</v>
      </c>
      <c r="BL29" s="28">
        <f t="shared" si="26"/>
        <v>-282195.67637480865</v>
      </c>
      <c r="BM29" s="28">
        <f t="shared" si="26"/>
        <v>-1657624.7572963138</v>
      </c>
      <c r="BN29" s="28">
        <f t="shared" si="26"/>
        <v>-366056.34132685751</v>
      </c>
      <c r="BO29" s="28">
        <f t="shared" ref="BO29:CK29" si="27">BO27-BO28</f>
        <v>-2292069.1768865404</v>
      </c>
      <c r="BP29" s="28">
        <f t="shared" si="27"/>
        <v>76344.646646741719</v>
      </c>
      <c r="BQ29" s="28" t="e">
        <f t="shared" si="27"/>
        <v>#DIV/0!</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1273568901.1800001</v>
      </c>
      <c r="C31" s="26">
        <f t="shared" ref="C31:BN31" si="28">C15+C20+C27</f>
        <v>933250164.28000009</v>
      </c>
      <c r="D31" s="26">
        <f t="shared" si="28"/>
        <v>585881581.52999997</v>
      </c>
      <c r="E31" s="26">
        <f t="shared" si="28"/>
        <v>2176062450.8499999</v>
      </c>
      <c r="F31" s="26">
        <f t="shared" si="28"/>
        <v>1548583520.6199999</v>
      </c>
      <c r="G31" s="26">
        <f t="shared" si="28"/>
        <v>1040994282.6499999</v>
      </c>
      <c r="H31" s="26">
        <f t="shared" si="28"/>
        <v>550600235.79000008</v>
      </c>
      <c r="I31" s="26">
        <f t="shared" si="28"/>
        <v>1898380913.8</v>
      </c>
      <c r="J31" s="26">
        <f t="shared" si="28"/>
        <v>1386068473.3399997</v>
      </c>
      <c r="K31" s="26">
        <f t="shared" si="28"/>
        <v>906551866.57999992</v>
      </c>
      <c r="L31" s="26">
        <f t="shared" si="28"/>
        <v>437858660.06</v>
      </c>
      <c r="M31" s="26">
        <f t="shared" si="28"/>
        <v>1731591890.0099995</v>
      </c>
      <c r="N31" s="26">
        <f t="shared" si="28"/>
        <v>1232891150.1300006</v>
      </c>
      <c r="O31" s="26">
        <f t="shared" si="28"/>
        <v>854924080.34000003</v>
      </c>
      <c r="P31" s="26">
        <f t="shared" si="28"/>
        <v>422136312.73000002</v>
      </c>
      <c r="Q31" s="26">
        <f t="shared" si="28"/>
        <v>1621339131.0200005</v>
      </c>
      <c r="R31" s="26">
        <f t="shared" si="28"/>
        <v>1038361024.8800001</v>
      </c>
      <c r="S31" s="26">
        <f t="shared" si="28"/>
        <v>701814341.01999998</v>
      </c>
      <c r="T31" s="26">
        <f t="shared" si="28"/>
        <v>347144828.84999996</v>
      </c>
      <c r="U31" s="26">
        <f t="shared" si="28"/>
        <v>1296941151.7100005</v>
      </c>
      <c r="V31" s="26">
        <f t="shared" si="28"/>
        <v>955402285.97000003</v>
      </c>
      <c r="W31" s="26">
        <f t="shared" si="28"/>
        <v>645895972.76000023</v>
      </c>
      <c r="X31" s="26">
        <f t="shared" si="28"/>
        <v>330983196.62999994</v>
      </c>
      <c r="Y31" s="26">
        <f t="shared" si="28"/>
        <v>1135341270.8999996</v>
      </c>
      <c r="Z31" s="26">
        <f t="shared" si="28"/>
        <v>863340705.32999969</v>
      </c>
      <c r="AA31" s="26">
        <f t="shared" si="28"/>
        <v>584208945.0200001</v>
      </c>
      <c r="AB31" s="26">
        <f t="shared" si="28"/>
        <v>280658792.87000018</v>
      </c>
      <c r="AC31" s="26">
        <f t="shared" si="28"/>
        <v>1016002597.6799998</v>
      </c>
      <c r="AD31" s="26">
        <f t="shared" si="28"/>
        <v>776651069.44999981</v>
      </c>
      <c r="AE31" s="26">
        <f t="shared" si="28"/>
        <v>486254370.06</v>
      </c>
      <c r="AF31" s="26">
        <f t="shared" si="28"/>
        <v>244642709.11999995</v>
      </c>
      <c r="AG31" s="26">
        <f t="shared" si="28"/>
        <v>960616559.20000005</v>
      </c>
      <c r="AH31" s="26">
        <f t="shared" si="28"/>
        <v>724619631.0600003</v>
      </c>
      <c r="AI31" s="26">
        <f t="shared" si="28"/>
        <v>455414925.74000007</v>
      </c>
      <c r="AJ31" s="26">
        <f t="shared" si="28"/>
        <v>245362277.28999996</v>
      </c>
      <c r="AK31" s="26">
        <f t="shared" si="28"/>
        <v>825388570.55999994</v>
      </c>
      <c r="AL31" s="26">
        <f t="shared" si="28"/>
        <v>632993646.56999981</v>
      </c>
      <c r="AM31" s="26">
        <f t="shared" si="28"/>
        <v>422298417.33000004</v>
      </c>
      <c r="AN31" s="26">
        <f t="shared" si="28"/>
        <v>204149471.21000007</v>
      </c>
      <c r="AO31" s="26">
        <f t="shared" si="28"/>
        <v>793506712.15999985</v>
      </c>
      <c r="AP31" s="26">
        <f t="shared" si="28"/>
        <v>639438907.86000013</v>
      </c>
      <c r="AQ31" s="26">
        <f t="shared" si="28"/>
        <v>431818928.33000004</v>
      </c>
      <c r="AR31" s="26">
        <f t="shared" si="28"/>
        <v>220397371.68999997</v>
      </c>
      <c r="AS31" s="26">
        <f t="shared" si="28"/>
        <v>699796345.44000006</v>
      </c>
      <c r="AT31" s="26">
        <f t="shared" si="28"/>
        <v>595890487.62</v>
      </c>
      <c r="AU31" s="26">
        <f t="shared" si="28"/>
        <v>364575201.75000012</v>
      </c>
      <c r="AV31" s="26">
        <f t="shared" si="28"/>
        <v>178965229.98000005</v>
      </c>
      <c r="AW31" s="26">
        <f t="shared" si="28"/>
        <v>623596814.37000012</v>
      </c>
      <c r="AX31" s="26">
        <f t="shared" si="28"/>
        <v>487001218.05000001</v>
      </c>
      <c r="AY31" s="26">
        <f t="shared" si="28"/>
        <v>294825329.3300001</v>
      </c>
      <c r="AZ31" s="26">
        <f t="shared" si="28"/>
        <v>161124474.22</v>
      </c>
      <c r="BA31" s="26">
        <f t="shared" si="28"/>
        <v>488442587.69999981</v>
      </c>
      <c r="BB31" s="26">
        <f t="shared" si="28"/>
        <v>371027198.8300001</v>
      </c>
      <c r="BC31" s="26">
        <f t="shared" si="28"/>
        <v>244055484.74000004</v>
      </c>
      <c r="BD31" s="26">
        <f t="shared" si="28"/>
        <v>110197320.26000001</v>
      </c>
      <c r="BE31" s="26">
        <f t="shared" si="28"/>
        <v>449639163.41999996</v>
      </c>
      <c r="BF31" s="26">
        <f t="shared" si="28"/>
        <v>427362808.5</v>
      </c>
      <c r="BG31" s="26">
        <f t="shared" si="28"/>
        <v>342616186.32000005</v>
      </c>
      <c r="BH31" s="26">
        <f t="shared" si="28"/>
        <v>184233004.87</v>
      </c>
      <c r="BI31" s="26">
        <f t="shared" si="28"/>
        <v>425210838.60000002</v>
      </c>
      <c r="BJ31" s="26">
        <f t="shared" si="28"/>
        <v>286667309.72000003</v>
      </c>
      <c r="BK31" s="26">
        <f t="shared" si="28"/>
        <v>116677228.48</v>
      </c>
      <c r="BL31" s="26">
        <f t="shared" si="28"/>
        <v>101499702.22999999</v>
      </c>
      <c r="BM31" s="26">
        <f t="shared" si="28"/>
        <v>346002400.87000006</v>
      </c>
      <c r="BN31" s="26">
        <f t="shared" si="28"/>
        <v>162652894.16999996</v>
      </c>
      <c r="BO31" s="26">
        <f t="shared" ref="BO31:CJ31" si="29">BO15+BO20+BO27</f>
        <v>291658918.79999995</v>
      </c>
      <c r="BP31" s="26">
        <f t="shared" si="29"/>
        <v>296781365.36000007</v>
      </c>
      <c r="BQ31" s="26">
        <f t="shared" si="29"/>
        <v>0</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21.9452392556869</v>
      </c>
      <c r="C32" s="57">
        <f t="shared" ref="C32:D32" si="30">C31/C4*100</f>
        <v>25.083217959128017</v>
      </c>
      <c r="D32" s="57">
        <f t="shared" si="30"/>
        <v>33.987820542066608</v>
      </c>
      <c r="E32" s="57">
        <f>E31/E4</f>
        <v>0.32182889566038386</v>
      </c>
      <c r="F32" s="57">
        <f t="shared" ref="F32:BQ32" si="31">F31/F4</f>
        <v>0.31484943106680402</v>
      </c>
      <c r="G32" s="57">
        <f t="shared" si="31"/>
        <v>0.32392779286063794</v>
      </c>
      <c r="H32" s="57">
        <f t="shared" si="31"/>
        <v>0.34765657184055299</v>
      </c>
      <c r="I32" s="57">
        <f t="shared" si="31"/>
        <v>0.30784473541509322</v>
      </c>
      <c r="J32" s="57">
        <f t="shared" si="31"/>
        <v>0.30566550882842397</v>
      </c>
      <c r="K32" s="57">
        <f t="shared" si="31"/>
        <v>0.3037380527722553</v>
      </c>
      <c r="L32" s="57">
        <f t="shared" si="31"/>
        <v>0.30350010050469922</v>
      </c>
      <c r="M32" s="57">
        <f t="shared" si="31"/>
        <v>0.30812694564106524</v>
      </c>
      <c r="N32" s="57">
        <f t="shared" si="31"/>
        <v>0.2937911920199312</v>
      </c>
      <c r="O32" s="57">
        <f t="shared" si="31"/>
        <v>0.30819928381076822</v>
      </c>
      <c r="P32" s="57">
        <f t="shared" si="31"/>
        <v>0.30379517626181984</v>
      </c>
      <c r="Q32" s="57">
        <f t="shared" si="31"/>
        <v>0.29331284528166701</v>
      </c>
      <c r="R32" s="57">
        <f t="shared" si="31"/>
        <v>0.25450094747511548</v>
      </c>
      <c r="S32" s="57">
        <f t="shared" si="31"/>
        <v>0.26173060832188844</v>
      </c>
      <c r="T32" s="57">
        <f t="shared" si="31"/>
        <v>0.26948136184311833</v>
      </c>
      <c r="U32" s="57">
        <f t="shared" si="31"/>
        <v>0.25225872183778902</v>
      </c>
      <c r="V32" s="57">
        <f t="shared" si="31"/>
        <v>0.25163814312995697</v>
      </c>
      <c r="W32" s="57">
        <f t="shared" si="31"/>
        <v>0.26231145339393902</v>
      </c>
      <c r="X32" s="57">
        <f t="shared" si="31"/>
        <v>0.27947711357725558</v>
      </c>
      <c r="Y32" s="57">
        <f t="shared" si="31"/>
        <v>0.24294128995205919</v>
      </c>
      <c r="Z32" s="57">
        <f t="shared" si="31"/>
        <v>0.2495145394186695</v>
      </c>
      <c r="AA32" s="57">
        <f t="shared" si="31"/>
        <v>0.25517947725471363</v>
      </c>
      <c r="AB32" s="57">
        <f t="shared" si="31"/>
        <v>0.25243954235019078</v>
      </c>
      <c r="AC32" s="57">
        <f t="shared" si="31"/>
        <v>0.23965990207292065</v>
      </c>
      <c r="AD32" s="57">
        <f t="shared" si="31"/>
        <v>0.25008620337761295</v>
      </c>
      <c r="AE32" s="57">
        <f t="shared" si="31"/>
        <v>0.23973420699869924</v>
      </c>
      <c r="AF32" s="57">
        <f t="shared" si="31"/>
        <v>0.2479725455270563</v>
      </c>
      <c r="AG32" s="57">
        <f t="shared" si="31"/>
        <v>0.24851161786501305</v>
      </c>
      <c r="AH32" s="57">
        <f t="shared" si="31"/>
        <v>0.26488753105512791</v>
      </c>
      <c r="AI32" s="57">
        <f t="shared" si="31"/>
        <v>0.25688215946541076</v>
      </c>
      <c r="AJ32" s="57">
        <f t="shared" si="31"/>
        <v>0.28308941749736755</v>
      </c>
      <c r="AK32" s="57">
        <f t="shared" si="31"/>
        <v>0.24965705704852392</v>
      </c>
      <c r="AL32" s="57">
        <f t="shared" si="31"/>
        <v>0.26944469341178262</v>
      </c>
      <c r="AM32" s="57">
        <f t="shared" si="31"/>
        <v>0.27247987454178135</v>
      </c>
      <c r="AN32" s="57">
        <f t="shared" si="31"/>
        <v>0.26567623544558078</v>
      </c>
      <c r="AO32" s="57">
        <f t="shared" si="31"/>
        <v>0.26019158706182316</v>
      </c>
      <c r="AP32" s="57">
        <f t="shared" si="31"/>
        <v>0.28228531586044242</v>
      </c>
      <c r="AQ32" s="57">
        <f t="shared" si="31"/>
        <v>0.28569734843489564</v>
      </c>
      <c r="AR32" s="57">
        <f t="shared" si="31"/>
        <v>0.2919956224870498</v>
      </c>
      <c r="AS32" s="57">
        <f t="shared" si="31"/>
        <v>0.26078329850948684</v>
      </c>
      <c r="AT32" s="57">
        <f t="shared" si="31"/>
        <v>0.30505590678254091</v>
      </c>
      <c r="AU32" s="57">
        <f t="shared" si="31"/>
        <v>0.28600082412673183</v>
      </c>
      <c r="AV32" s="57">
        <f t="shared" si="31"/>
        <v>0.28816041009780269</v>
      </c>
      <c r="AW32" s="57">
        <f t="shared" si="31"/>
        <v>0.25877560186794191</v>
      </c>
      <c r="AX32" s="57">
        <f t="shared" si="31"/>
        <v>0.27320341548762384</v>
      </c>
      <c r="AY32" s="57">
        <f t="shared" si="31"/>
        <v>0.24818819419896571</v>
      </c>
      <c r="AZ32" s="57">
        <f t="shared" si="31"/>
        <v>0.27322923763783413</v>
      </c>
      <c r="BA32" s="57">
        <f t="shared" si="31"/>
        <v>0.22725571872938352</v>
      </c>
      <c r="BB32" s="57">
        <f t="shared" si="31"/>
        <v>0.24403077066261036</v>
      </c>
      <c r="BC32" s="57">
        <f t="shared" si="31"/>
        <v>0.24914310793816188</v>
      </c>
      <c r="BD32" s="57">
        <f t="shared" si="31"/>
        <v>0.24704981742884244</v>
      </c>
      <c r="BE32" s="57">
        <f t="shared" si="31"/>
        <v>0.29182517222291815</v>
      </c>
      <c r="BF32" s="57">
        <f t="shared" si="31"/>
        <v>0.39077277826623391</v>
      </c>
      <c r="BG32" s="57">
        <f t="shared" si="31"/>
        <v>0.4796607502287642</v>
      </c>
      <c r="BH32" s="57">
        <f t="shared" si="31"/>
        <v>0.52760670394793541</v>
      </c>
      <c r="BI32" s="57">
        <f t="shared" si="31"/>
        <v>0.40044301238482394</v>
      </c>
      <c r="BJ32" s="57">
        <f t="shared" si="31"/>
        <v>0.41054204302590819</v>
      </c>
      <c r="BK32" s="57">
        <f t="shared" si="31"/>
        <v>0.29514600396448298</v>
      </c>
      <c r="BL32" s="57">
        <f t="shared" si="31"/>
        <v>0.41123483923874404</v>
      </c>
      <c r="BM32" s="57">
        <f t="shared" si="31"/>
        <v>0.36822257094320282</v>
      </c>
      <c r="BN32" s="57">
        <f t="shared" si="31"/>
        <v>0.37620729327175562</v>
      </c>
      <c r="BO32" s="57">
        <f t="shared" si="31"/>
        <v>0.34788205771949643</v>
      </c>
      <c r="BP32" s="57">
        <f t="shared" si="31"/>
        <v>0.38036463211692351</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949948866.81799793</v>
      </c>
      <c r="C33" s="26">
        <f t="shared" ref="C33:BN33" si="33">C17+C20+C29</f>
        <v>686940731.7995131</v>
      </c>
      <c r="D33" s="26">
        <f t="shared" si="33"/>
        <v>429955382.38286346</v>
      </c>
      <c r="E33" s="26">
        <f t="shared" si="33"/>
        <v>1607713175.1319218</v>
      </c>
      <c r="F33" s="26">
        <f t="shared" si="33"/>
        <v>1162615898.8397572</v>
      </c>
      <c r="G33" s="26">
        <f t="shared" si="33"/>
        <v>782944418.32131767</v>
      </c>
      <c r="H33" s="26">
        <f t="shared" si="33"/>
        <v>419418754.31925529</v>
      </c>
      <c r="I33" s="26">
        <f t="shared" si="33"/>
        <v>1386858421.457571</v>
      </c>
      <c r="J33" s="26">
        <f t="shared" si="33"/>
        <v>1027679104.6165783</v>
      </c>
      <c r="K33" s="26">
        <f t="shared" si="33"/>
        <v>669683750.5789324</v>
      </c>
      <c r="L33" s="26">
        <f t="shared" si="33"/>
        <v>318935963.94117767</v>
      </c>
      <c r="M33" s="26">
        <f t="shared" si="33"/>
        <v>1270165613.755621</v>
      </c>
      <c r="N33" s="26">
        <f t="shared" si="33"/>
        <v>901606591.55544364</v>
      </c>
      <c r="O33" s="26">
        <f t="shared" si="33"/>
        <v>649524021.47150409</v>
      </c>
      <c r="P33" s="26">
        <f t="shared" si="33"/>
        <v>311279329.42747539</v>
      </c>
      <c r="Q33" s="26">
        <f t="shared" si="33"/>
        <v>1245808842.3991749</v>
      </c>
      <c r="R33" s="26">
        <f t="shared" si="33"/>
        <v>787583837.16808999</v>
      </c>
      <c r="S33" s="26">
        <f t="shared" si="33"/>
        <v>543290963.80267692</v>
      </c>
      <c r="T33" s="26">
        <f t="shared" si="33"/>
        <v>255921428.98678023</v>
      </c>
      <c r="U33" s="26">
        <f t="shared" si="33"/>
        <v>947813672.86008573</v>
      </c>
      <c r="V33" s="26">
        <f t="shared" si="33"/>
        <v>717700833.35298574</v>
      </c>
      <c r="W33" s="26">
        <f t="shared" si="33"/>
        <v>484238973.53236234</v>
      </c>
      <c r="X33" s="26">
        <f t="shared" si="33"/>
        <v>245858930.50691202</v>
      </c>
      <c r="Y33" s="26">
        <f t="shared" si="33"/>
        <v>842805994.48087478</v>
      </c>
      <c r="Z33" s="26">
        <f t="shared" si="33"/>
        <v>646307386.62399971</v>
      </c>
      <c r="AA33" s="26">
        <f t="shared" si="33"/>
        <v>434707357.87625539</v>
      </c>
      <c r="AB33" s="26">
        <f t="shared" si="33"/>
        <v>205410399.81846446</v>
      </c>
      <c r="AC33" s="26">
        <f t="shared" si="33"/>
        <v>737670419.3954699</v>
      </c>
      <c r="AD33" s="26">
        <f t="shared" si="33"/>
        <v>552661630.99391448</v>
      </c>
      <c r="AE33" s="26">
        <f t="shared" si="33"/>
        <v>333832103.98085904</v>
      </c>
      <c r="AF33" s="26">
        <f t="shared" si="33"/>
        <v>177942859.24908486</v>
      </c>
      <c r="AG33" s="26">
        <f t="shared" si="33"/>
        <v>751235398.82022011</v>
      </c>
      <c r="AH33" s="26">
        <f t="shared" si="33"/>
        <v>535229547.34585148</v>
      </c>
      <c r="AI33" s="26">
        <f t="shared" si="33"/>
        <v>334195805.56039202</v>
      </c>
      <c r="AJ33" s="26">
        <f t="shared" si="33"/>
        <v>182151280.48639029</v>
      </c>
      <c r="AK33" s="26">
        <f t="shared" si="33"/>
        <v>614947369.48731554</v>
      </c>
      <c r="AL33" s="26">
        <f t="shared" si="33"/>
        <v>461355693.87484348</v>
      </c>
      <c r="AM33" s="26">
        <f t="shared" si="33"/>
        <v>313904009.09812629</v>
      </c>
      <c r="AN33" s="26">
        <f t="shared" si="33"/>
        <v>148435316.80734849</v>
      </c>
      <c r="AO33" s="26">
        <f t="shared" si="33"/>
        <v>576986850.26139176</v>
      </c>
      <c r="AP33" s="26">
        <f t="shared" si="33"/>
        <v>466301135.98520494</v>
      </c>
      <c r="AQ33" s="26">
        <f t="shared" si="33"/>
        <v>316698369.03353167</v>
      </c>
      <c r="AR33" s="26">
        <f t="shared" si="33"/>
        <v>167156625.53567904</v>
      </c>
      <c r="AS33" s="26">
        <f t="shared" si="33"/>
        <v>458656220.12764323</v>
      </c>
      <c r="AT33" s="26">
        <f t="shared" si="33"/>
        <v>391371178.73405123</v>
      </c>
      <c r="AU33" s="26">
        <f t="shared" si="33"/>
        <v>234322936.1465652</v>
      </c>
      <c r="AV33" s="26">
        <f t="shared" si="33"/>
        <v>117753496.9886069</v>
      </c>
      <c r="AW33" s="26">
        <f t="shared" si="33"/>
        <v>401692730.92196214</v>
      </c>
      <c r="AX33" s="26">
        <f t="shared" si="33"/>
        <v>323751468.46895587</v>
      </c>
      <c r="AY33" s="26">
        <f t="shared" si="33"/>
        <v>195693163.71794632</v>
      </c>
      <c r="AZ33" s="26">
        <f t="shared" si="33"/>
        <v>109443200.52959065</v>
      </c>
      <c r="BA33" s="26">
        <f t="shared" si="33"/>
        <v>320104552.53605497</v>
      </c>
      <c r="BB33" s="26">
        <f t="shared" si="33"/>
        <v>230988575.43797749</v>
      </c>
      <c r="BC33" s="26">
        <f t="shared" si="33"/>
        <v>148606313.38996965</v>
      </c>
      <c r="BD33" s="26">
        <f t="shared" si="33"/>
        <v>72333387.654855877</v>
      </c>
      <c r="BE33" s="26">
        <f t="shared" si="33"/>
        <v>305698743.71827793</v>
      </c>
      <c r="BF33" s="26">
        <f t="shared" si="33"/>
        <v>286159304.96455824</v>
      </c>
      <c r="BG33" s="26">
        <f t="shared" si="33"/>
        <v>230805190.39031777</v>
      </c>
      <c r="BH33" s="26">
        <f t="shared" si="33"/>
        <v>125890516.13310443</v>
      </c>
      <c r="BI33" s="26">
        <f t="shared" si="33"/>
        <v>283826049.85055757</v>
      </c>
      <c r="BJ33" s="26">
        <f t="shared" si="33"/>
        <v>186867443.96538162</v>
      </c>
      <c r="BK33" s="26">
        <f t="shared" si="33"/>
        <v>75841361.868285358</v>
      </c>
      <c r="BL33" s="26">
        <f t="shared" si="33"/>
        <v>67019611.262724832</v>
      </c>
      <c r="BM33" s="26">
        <f t="shared" si="33"/>
        <v>275651968.49516338</v>
      </c>
      <c r="BN33" s="26">
        <f t="shared" si="33"/>
        <v>132382562.90486571</v>
      </c>
      <c r="BO33" s="26">
        <f t="shared" ref="BO33:CJ33" si="34">BO17+BO20+BO29</f>
        <v>278250962.79085672</v>
      </c>
      <c r="BP33" s="26">
        <f t="shared" si="34"/>
        <v>192721361.64207631</v>
      </c>
      <c r="BQ33" s="26" t="e">
        <f t="shared" si="34"/>
        <v>#DIV/0!</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16.368847530490399</v>
      </c>
      <c r="C34" s="57">
        <f t="shared" ref="C34:D34" si="35">C33/C4*100</f>
        <v>18.463092491415225</v>
      </c>
      <c r="D34" s="57">
        <f t="shared" si="35"/>
        <v>24.942320834463917</v>
      </c>
      <c r="E34" s="57">
        <f>E33/E4</f>
        <v>0.23777284309521943</v>
      </c>
      <c r="F34" s="57">
        <f t="shared" ref="F34:BQ34" si="36">F33/F4</f>
        <v>0.23637663027200823</v>
      </c>
      <c r="G34" s="57">
        <f t="shared" si="36"/>
        <v>0.24363001947883992</v>
      </c>
      <c r="H34" s="57">
        <f t="shared" si="36"/>
        <v>0.26482677778561836</v>
      </c>
      <c r="I34" s="57">
        <f t="shared" si="36"/>
        <v>0.22489536252089548</v>
      </c>
      <c r="J34" s="57">
        <f t="shared" si="36"/>
        <v>0.22663097997461709</v>
      </c>
      <c r="K34" s="57">
        <f t="shared" si="36"/>
        <v>0.22437595230092172</v>
      </c>
      <c r="L34" s="57">
        <f t="shared" si="36"/>
        <v>0.22106927632183043</v>
      </c>
      <c r="M34" s="57">
        <f t="shared" si="36"/>
        <v>0.2260187595488036</v>
      </c>
      <c r="N34" s="57">
        <f t="shared" si="36"/>
        <v>0.21484790059379588</v>
      </c>
      <c r="O34" s="57">
        <f t="shared" si="36"/>
        <v>0.23415276612140304</v>
      </c>
      <c r="P34" s="57">
        <f t="shared" si="36"/>
        <v>0.22401569326864618</v>
      </c>
      <c r="Q34" s="57">
        <f t="shared" si="36"/>
        <v>0.2253764985066867</v>
      </c>
      <c r="R34" s="57">
        <f t="shared" si="36"/>
        <v>0.19303578232679741</v>
      </c>
      <c r="S34" s="57">
        <f t="shared" si="36"/>
        <v>0.20261181076065737</v>
      </c>
      <c r="T34" s="57">
        <f t="shared" si="36"/>
        <v>0.19866652035883967</v>
      </c>
      <c r="U34" s="57">
        <f t="shared" si="36"/>
        <v>0.18435243984726893</v>
      </c>
      <c r="V34" s="57">
        <f t="shared" si="36"/>
        <v>0.18903126743558885</v>
      </c>
      <c r="W34" s="57">
        <f t="shared" si="36"/>
        <v>0.1966592675821828</v>
      </c>
      <c r="X34" s="57">
        <f t="shared" si="36"/>
        <v>0.20759949430929772</v>
      </c>
      <c r="Y34" s="57">
        <f t="shared" si="36"/>
        <v>0.18034434290951298</v>
      </c>
      <c r="Z34" s="57">
        <f t="shared" si="36"/>
        <v>0.18678962882299258</v>
      </c>
      <c r="AA34" s="57">
        <f t="shared" si="36"/>
        <v>0.18987794912630618</v>
      </c>
      <c r="AB34" s="57">
        <f t="shared" si="36"/>
        <v>0.18475710949188495</v>
      </c>
      <c r="AC34" s="57">
        <f t="shared" si="36"/>
        <v>0.17400548077150724</v>
      </c>
      <c r="AD34" s="57">
        <f t="shared" si="36"/>
        <v>0.1779602893557149</v>
      </c>
      <c r="AE34" s="57">
        <f t="shared" si="36"/>
        <v>0.16458664362992431</v>
      </c>
      <c r="AF34" s="57">
        <f t="shared" si="36"/>
        <v>0.18036484277450712</v>
      </c>
      <c r="AG34" s="57">
        <f t="shared" si="36"/>
        <v>0.19434468682671571</v>
      </c>
      <c r="AH34" s="57">
        <f t="shared" si="36"/>
        <v>0.19565524761839762</v>
      </c>
      <c r="AI34" s="57">
        <f t="shared" si="36"/>
        <v>0.18850708521935416</v>
      </c>
      <c r="AJ34" s="57">
        <f t="shared" si="36"/>
        <v>0.21015903690992288</v>
      </c>
      <c r="AK34" s="57">
        <f t="shared" si="36"/>
        <v>0.18600445412246497</v>
      </c>
      <c r="AL34" s="57">
        <f t="shared" si="36"/>
        <v>0.19638403033503526</v>
      </c>
      <c r="AM34" s="57">
        <f t="shared" si="36"/>
        <v>0.20254048205532646</v>
      </c>
      <c r="AN34" s="57">
        <f t="shared" si="36"/>
        <v>0.19317089553458891</v>
      </c>
      <c r="AO34" s="57">
        <f t="shared" si="36"/>
        <v>0.18919452347750645</v>
      </c>
      <c r="AP34" s="57">
        <f t="shared" si="36"/>
        <v>0.20585228993679874</v>
      </c>
      <c r="AQ34" s="57">
        <f t="shared" si="36"/>
        <v>0.20953200137950062</v>
      </c>
      <c r="AR34" s="57">
        <f t="shared" si="36"/>
        <v>0.22145909704757102</v>
      </c>
      <c r="AS34" s="57">
        <f t="shared" si="36"/>
        <v>0.17092098686450677</v>
      </c>
      <c r="AT34" s="57">
        <f t="shared" si="36"/>
        <v>0.20035575713603787</v>
      </c>
      <c r="AU34" s="57">
        <f t="shared" si="36"/>
        <v>0.18382093057351834</v>
      </c>
      <c r="AV34" s="57">
        <f t="shared" si="36"/>
        <v>0.18960049383044594</v>
      </c>
      <c r="AW34" s="57">
        <f t="shared" si="36"/>
        <v>0.16669148368777928</v>
      </c>
      <c r="AX34" s="57">
        <f t="shared" si="36"/>
        <v>0.18162173661292857</v>
      </c>
      <c r="AY34" s="57">
        <f t="shared" si="36"/>
        <v>0.16473731422810123</v>
      </c>
      <c r="AZ34" s="57">
        <f t="shared" si="36"/>
        <v>0.1855899446071419</v>
      </c>
      <c r="BA34" s="57">
        <f t="shared" si="36"/>
        <v>0.1489337580035282</v>
      </c>
      <c r="BB34" s="57">
        <f t="shared" si="36"/>
        <v>0.15192503475793806</v>
      </c>
      <c r="BC34" s="57">
        <f t="shared" si="36"/>
        <v>0.15170418651583514</v>
      </c>
      <c r="BD34" s="57">
        <f t="shared" si="36"/>
        <v>0.16216320117385247</v>
      </c>
      <c r="BE34" s="57">
        <f t="shared" si="36"/>
        <v>0.19840484502144257</v>
      </c>
      <c r="BF34" s="57">
        <f t="shared" si="36"/>
        <v>0.2616588631570988</v>
      </c>
      <c r="BG34" s="57">
        <f t="shared" si="36"/>
        <v>0.32312597944777843</v>
      </c>
      <c r="BH34" s="57">
        <f t="shared" si="36"/>
        <v>0.36052541357700768</v>
      </c>
      <c r="BI34" s="57">
        <f t="shared" si="36"/>
        <v>0.26729365311959968</v>
      </c>
      <c r="BJ34" s="57">
        <f t="shared" si="36"/>
        <v>0.26761663998420276</v>
      </c>
      <c r="BK34" s="57">
        <f t="shared" si="36"/>
        <v>0.19184784539586228</v>
      </c>
      <c r="BL34" s="57">
        <f t="shared" si="36"/>
        <v>0.27153576274555508</v>
      </c>
      <c r="BM34" s="57">
        <f t="shared" si="36"/>
        <v>0.29335425496940365</v>
      </c>
      <c r="BN34" s="57">
        <f t="shared" si="36"/>
        <v>0.30619366425023181</v>
      </c>
      <c r="BO34" s="57">
        <f t="shared" si="36"/>
        <v>0.33188944777132695</v>
      </c>
      <c r="BP34" s="57">
        <f t="shared" si="36"/>
        <v>0.24699795330189162</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72510771.280000001</v>
      </c>
      <c r="C35" s="26">
        <f t="shared" ref="C35:BN35" si="38">C23+C68</f>
        <v>32073855.949999999</v>
      </c>
      <c r="D35" s="26">
        <f t="shared" si="38"/>
        <v>-5123638.5</v>
      </c>
      <c r="E35" s="26">
        <f t="shared" si="38"/>
        <v>52886019.480000004</v>
      </c>
      <c r="F35" s="26">
        <f t="shared" si="38"/>
        <v>-2268727.86</v>
      </c>
      <c r="G35" s="26">
        <f t="shared" si="38"/>
        <v>-3093912.25</v>
      </c>
      <c r="H35" s="26">
        <f t="shared" si="38"/>
        <v>-2084865.75</v>
      </c>
      <c r="I35" s="26">
        <f t="shared" si="38"/>
        <v>11054479.700000001</v>
      </c>
      <c r="J35" s="26">
        <f t="shared" si="38"/>
        <v>-20281104.280000001</v>
      </c>
      <c r="K35" s="26">
        <f t="shared" si="38"/>
        <v>-16399062.109999999</v>
      </c>
      <c r="L35" s="26">
        <f t="shared" si="38"/>
        <v>-8682249.0500000007</v>
      </c>
      <c r="M35" s="26">
        <f t="shared" si="38"/>
        <v>3304931.5099999979</v>
      </c>
      <c r="N35" s="26">
        <f t="shared" si="38"/>
        <v>-28916349.989999998</v>
      </c>
      <c r="O35" s="26">
        <f t="shared" si="38"/>
        <v>-25955306.32</v>
      </c>
      <c r="P35" s="26">
        <f t="shared" si="38"/>
        <v>-8760256.5399999991</v>
      </c>
      <c r="Q35" s="26">
        <f t="shared" si="38"/>
        <v>2850441.5299999937</v>
      </c>
      <c r="R35" s="26">
        <f t="shared" si="38"/>
        <v>-16430831.49</v>
      </c>
      <c r="S35" s="26">
        <f t="shared" si="38"/>
        <v>-12277882.140000001</v>
      </c>
      <c r="T35" s="26">
        <f t="shared" si="38"/>
        <v>-3727444.49</v>
      </c>
      <c r="U35" s="26">
        <f t="shared" si="38"/>
        <v>24249663.93</v>
      </c>
      <c r="V35" s="26">
        <f t="shared" si="38"/>
        <v>13889266.6</v>
      </c>
      <c r="W35" s="26">
        <f t="shared" si="38"/>
        <v>15825813.43</v>
      </c>
      <c r="X35" s="26">
        <f t="shared" si="38"/>
        <v>10336895.300000001</v>
      </c>
      <c r="Y35" s="26">
        <f t="shared" si="38"/>
        <v>68110874.780000001</v>
      </c>
      <c r="Z35" s="26">
        <f t="shared" si="38"/>
        <v>50611229.920000002</v>
      </c>
      <c r="AA35" s="26">
        <f t="shared" si="38"/>
        <v>37221777.189999998</v>
      </c>
      <c r="AB35" s="26">
        <f t="shared" si="38"/>
        <v>21595824.09</v>
      </c>
      <c r="AC35" s="26">
        <f t="shared" si="38"/>
        <v>84248087.340000004</v>
      </c>
      <c r="AD35" s="26">
        <f t="shared" si="38"/>
        <v>51444733.259999998</v>
      </c>
      <c r="AE35" s="26">
        <f t="shared" si="38"/>
        <v>30088294.530000001</v>
      </c>
      <c r="AF35" s="26">
        <f t="shared" si="38"/>
        <v>16575824.01</v>
      </c>
      <c r="AG35" s="26">
        <f t="shared" si="38"/>
        <v>61213461.82</v>
      </c>
      <c r="AH35" s="26">
        <f t="shared" si="38"/>
        <v>68024574.780000001</v>
      </c>
      <c r="AI35" s="26">
        <f t="shared" si="38"/>
        <v>56768289.770000003</v>
      </c>
      <c r="AJ35" s="26">
        <f t="shared" si="38"/>
        <v>20471371.890000001</v>
      </c>
      <c r="AK35" s="26">
        <f t="shared" si="38"/>
        <v>76861203.099999994</v>
      </c>
      <c r="AL35" s="26">
        <f t="shared" si="38"/>
        <v>83814293.609999999</v>
      </c>
      <c r="AM35" s="26">
        <f t="shared" si="38"/>
        <v>59993111.18</v>
      </c>
      <c r="AN35" s="26">
        <f t="shared" si="38"/>
        <v>27101058.879999999</v>
      </c>
      <c r="AO35" s="26">
        <f t="shared" si="38"/>
        <v>106577984.06</v>
      </c>
      <c r="AP35" s="26">
        <f t="shared" si="38"/>
        <v>84779381.450000003</v>
      </c>
      <c r="AQ35" s="26">
        <f t="shared" si="38"/>
        <v>62395250.950000003</v>
      </c>
      <c r="AR35" s="26">
        <f t="shared" si="38"/>
        <v>30601963.32</v>
      </c>
      <c r="AS35" s="26">
        <f t="shared" si="38"/>
        <v>101186228.40000001</v>
      </c>
      <c r="AT35" s="26">
        <f t="shared" si="38"/>
        <v>80834009.540000007</v>
      </c>
      <c r="AU35" s="26">
        <f t="shared" si="38"/>
        <v>57676983.340000004</v>
      </c>
      <c r="AV35" s="26">
        <f t="shared" si="38"/>
        <v>25130550.829999998</v>
      </c>
      <c r="AW35" s="26">
        <f t="shared" si="38"/>
        <v>153093155.52000001</v>
      </c>
      <c r="AX35" s="26">
        <f t="shared" si="38"/>
        <v>122557005.55</v>
      </c>
      <c r="AY35" s="26">
        <f t="shared" si="38"/>
        <v>78776286.659999996</v>
      </c>
      <c r="AZ35" s="26">
        <f t="shared" si="38"/>
        <v>40784129.090000004</v>
      </c>
      <c r="BA35" s="26">
        <f t="shared" si="38"/>
        <v>90407311.230000004</v>
      </c>
      <c r="BB35" s="26">
        <f t="shared" si="38"/>
        <v>55374517.920000002</v>
      </c>
      <c r="BC35" s="26">
        <f t="shared" si="38"/>
        <v>29635148.539999999</v>
      </c>
      <c r="BD35" s="26">
        <f t="shared" si="38"/>
        <v>16009693.16</v>
      </c>
      <c r="BE35" s="26">
        <f t="shared" si="38"/>
        <v>8116357.1500000004</v>
      </c>
      <c r="BF35" s="26">
        <f t="shared" si="38"/>
        <v>12568447.789999999</v>
      </c>
      <c r="BG35" s="26">
        <f t="shared" si="38"/>
        <v>-5326601.93</v>
      </c>
      <c r="BH35" s="26">
        <f t="shared" si="38"/>
        <v>-1969088.43</v>
      </c>
      <c r="BI35" s="26">
        <f t="shared" si="38"/>
        <v>-23177434</v>
      </c>
      <c r="BJ35" s="26">
        <f t="shared" si="38"/>
        <v>-20205355.559999999</v>
      </c>
      <c r="BK35" s="26">
        <f t="shared" si="38"/>
        <v>-17144616.350000001</v>
      </c>
      <c r="BL35" s="26">
        <f t="shared" si="38"/>
        <v>-5602784.9800000004</v>
      </c>
      <c r="BM35" s="26">
        <f t="shared" si="38"/>
        <v>-9195918.6899999995</v>
      </c>
      <c r="BN35" s="26">
        <f t="shared" si="38"/>
        <v>-3025475.98</v>
      </c>
      <c r="BO35" s="26">
        <f t="shared" ref="BO35:CJ35" si="39">BO23+BO68</f>
        <v>-9981977.0399999991</v>
      </c>
      <c r="BP35" s="26">
        <f t="shared" si="39"/>
        <v>-9413538.75</v>
      </c>
      <c r="BQ35" s="26">
        <f t="shared" si="39"/>
        <v>0</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18890127.764195267</v>
      </c>
      <c r="C36" s="26">
        <f t="shared" ref="C36:BN36" si="40">C35*C41</f>
        <v>8512423.5074780807</v>
      </c>
      <c r="D36" s="26">
        <f t="shared" si="40"/>
        <v>-1386687.5739567068</v>
      </c>
      <c r="E36" s="26">
        <f t="shared" si="40"/>
        <v>14062025.93991253</v>
      </c>
      <c r="F36" s="26">
        <f t="shared" si="40"/>
        <v>-581123.97767060564</v>
      </c>
      <c r="G36" s="26">
        <f t="shared" si="40"/>
        <v>-784537.6224899845</v>
      </c>
      <c r="H36" s="26">
        <f t="shared" si="40"/>
        <v>-510951.44319587952</v>
      </c>
      <c r="I36" s="26">
        <f t="shared" si="40"/>
        <v>3003390.6499574869</v>
      </c>
      <c r="J36" s="26">
        <f t="shared" si="40"/>
        <v>-5208845.2612875178</v>
      </c>
      <c r="K36" s="26">
        <f t="shared" si="40"/>
        <v>-4271143.6079826932</v>
      </c>
      <c r="L36" s="26">
        <f t="shared" si="40"/>
        <v>-2275813.7227876773</v>
      </c>
      <c r="M36" s="26">
        <f t="shared" si="40"/>
        <v>875250.07069326239</v>
      </c>
      <c r="N36" s="26">
        <f t="shared" si="40"/>
        <v>-7582005.7918118201</v>
      </c>
      <c r="O36" s="26">
        <f t="shared" si="40"/>
        <v>-6359372.5269317497</v>
      </c>
      <c r="P36" s="26">
        <f t="shared" si="40"/>
        <v>-2274412.9216681994</v>
      </c>
      <c r="Q36" s="26">
        <f t="shared" si="40"/>
        <v>691777.31169171678</v>
      </c>
      <c r="R36" s="26">
        <f t="shared" si="40"/>
        <v>-3981663.0499911197</v>
      </c>
      <c r="S36" s="26">
        <f t="shared" si="40"/>
        <v>-2757826.2152265925</v>
      </c>
      <c r="T36" s="26">
        <f t="shared" si="40"/>
        <v>-963343.32809550688</v>
      </c>
      <c r="U36" s="26">
        <f t="shared" si="40"/>
        <v>6458398.0029046172</v>
      </c>
      <c r="V36" s="26">
        <f t="shared" si="40"/>
        <v>3455611.2070142641</v>
      </c>
      <c r="W36" s="26">
        <f t="shared" si="40"/>
        <v>3928820.4977630032</v>
      </c>
      <c r="X36" s="26">
        <f t="shared" si="40"/>
        <v>2704342.6917685042</v>
      </c>
      <c r="Y36" s="26">
        <f t="shared" si="40"/>
        <v>17636790.353729516</v>
      </c>
      <c r="Z36" s="26">
        <f t="shared" si="40"/>
        <v>12723045.635999985</v>
      </c>
      <c r="AA36" s="26">
        <f t="shared" si="40"/>
        <v>9503739.8467564359</v>
      </c>
      <c r="AB36" s="26">
        <f t="shared" si="40"/>
        <v>5769778.1795436768</v>
      </c>
      <c r="AC36" s="26">
        <f t="shared" si="40"/>
        <v>22297455.159554817</v>
      </c>
      <c r="AD36" s="26">
        <f t="shared" si="40"/>
        <v>14836877.676085323</v>
      </c>
      <c r="AE36" s="26">
        <f t="shared" si="40"/>
        <v>9056610.5627940781</v>
      </c>
      <c r="AF36" s="26">
        <f t="shared" si="40"/>
        <v>4441380.8730163472</v>
      </c>
      <c r="AG36" s="26">
        <f t="shared" si="40"/>
        <v>14426405.052799806</v>
      </c>
      <c r="AH36" s="26">
        <f t="shared" si="40"/>
        <v>17779231.144148808</v>
      </c>
      <c r="AI36" s="26">
        <f t="shared" si="40"/>
        <v>15110181.399608085</v>
      </c>
      <c r="AJ36" s="26">
        <f t="shared" si="40"/>
        <v>5273898.8136096578</v>
      </c>
      <c r="AK36" s="26">
        <f t="shared" si="40"/>
        <v>19596544.552684404</v>
      </c>
      <c r="AL36" s="26">
        <f t="shared" si="40"/>
        <v>22726474.175156314</v>
      </c>
      <c r="AM36" s="26">
        <f t="shared" si="40"/>
        <v>15398868.471873721</v>
      </c>
      <c r="AN36" s="26">
        <f t="shared" si="40"/>
        <v>7396113.1026515719</v>
      </c>
      <c r="AO36" s="26">
        <f t="shared" si="40"/>
        <v>29081354.998608049</v>
      </c>
      <c r="AP36" s="26">
        <f t="shared" si="40"/>
        <v>22955301.944795143</v>
      </c>
      <c r="AQ36" s="26">
        <f t="shared" si="40"/>
        <v>16634231.886468403</v>
      </c>
      <c r="AR36" s="26">
        <f t="shared" si="40"/>
        <v>7392426.4543209393</v>
      </c>
      <c r="AS36" s="26">
        <f t="shared" si="40"/>
        <v>34867372.422356844</v>
      </c>
      <c r="AT36" s="26">
        <f t="shared" si="40"/>
        <v>27743547.025948729</v>
      </c>
      <c r="AU36" s="26">
        <f t="shared" si="40"/>
        <v>20606332.293434899</v>
      </c>
      <c r="AV36" s="26">
        <f t="shared" si="40"/>
        <v>8595438.161393147</v>
      </c>
      <c r="AW36" s="26">
        <f t="shared" si="40"/>
        <v>54477501.448037952</v>
      </c>
      <c r="AX36" s="26">
        <f t="shared" si="40"/>
        <v>41082855.081044167</v>
      </c>
      <c r="AY36" s="26">
        <f t="shared" si="40"/>
        <v>26487764.512053769</v>
      </c>
      <c r="AZ36" s="26">
        <f t="shared" si="40"/>
        <v>13081660.920409335</v>
      </c>
      <c r="BA36" s="26">
        <f t="shared" si="40"/>
        <v>31158194.473944828</v>
      </c>
      <c r="BB36" s="26">
        <f t="shared" si="40"/>
        <v>20900277.082022581</v>
      </c>
      <c r="BC36" s="26">
        <f t="shared" si="40"/>
        <v>11590193.82003036</v>
      </c>
      <c r="BD36" s="26">
        <f t="shared" si="40"/>
        <v>5500949.9451441281</v>
      </c>
      <c r="BE36" s="26">
        <f t="shared" si="40"/>
        <v>2598243.1017220141</v>
      </c>
      <c r="BF36" s="26">
        <f t="shared" si="40"/>
        <v>4152698.4254416684</v>
      </c>
      <c r="BG36" s="26">
        <f t="shared" si="40"/>
        <v>-1738308.6103176954</v>
      </c>
      <c r="BH36" s="26">
        <f t="shared" si="40"/>
        <v>-623566.44310442649</v>
      </c>
      <c r="BI36" s="26">
        <f t="shared" si="40"/>
        <v>-7706615.9005574929</v>
      </c>
      <c r="BJ36" s="26">
        <f t="shared" si="40"/>
        <v>-7034257.8453815514</v>
      </c>
      <c r="BK36" s="26">
        <f t="shared" si="40"/>
        <v>-6000444.778285346</v>
      </c>
      <c r="BL36" s="26">
        <f t="shared" si="40"/>
        <v>-1903301.5027248417</v>
      </c>
      <c r="BM36" s="26">
        <f t="shared" si="40"/>
        <v>-1869746.7251633559</v>
      </c>
      <c r="BN36" s="26">
        <f t="shared" si="40"/>
        <v>-563052.75486575568</v>
      </c>
      <c r="BO36" s="26">
        <f t="shared" ref="BO36:CJ36" si="41">BO35*BO41</f>
        <v>-458885.02085675928</v>
      </c>
      <c r="BP36" s="26">
        <f t="shared" si="41"/>
        <v>-3300654.9320762879</v>
      </c>
      <c r="BQ36" s="26" t="e">
        <f t="shared" si="41"/>
        <v>#DIV/0!</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53620643.515804738</v>
      </c>
      <c r="C37" s="26">
        <f t="shared" ref="C37:BN37" si="42">C35-C36</f>
        <v>23561432.442521919</v>
      </c>
      <c r="D37" s="26">
        <f t="shared" si="42"/>
        <v>-3736950.9260432934</v>
      </c>
      <c r="E37" s="26">
        <f t="shared" si="42"/>
        <v>38823993.540087476</v>
      </c>
      <c r="F37" s="26">
        <f t="shared" si="42"/>
        <v>-1687603.8823293941</v>
      </c>
      <c r="G37" s="26">
        <f t="shared" si="42"/>
        <v>-2309374.6275100154</v>
      </c>
      <c r="H37" s="26">
        <f t="shared" si="42"/>
        <v>-1573914.3068041205</v>
      </c>
      <c r="I37" s="26">
        <f t="shared" si="42"/>
        <v>8051089.0500425138</v>
      </c>
      <c r="J37" s="26">
        <f t="shared" si="42"/>
        <v>-15072259.018712483</v>
      </c>
      <c r="K37" s="26">
        <f t="shared" si="42"/>
        <v>-12127918.502017306</v>
      </c>
      <c r="L37" s="26">
        <f t="shared" si="42"/>
        <v>-6406435.3272123234</v>
      </c>
      <c r="M37" s="26">
        <f t="shared" si="42"/>
        <v>2429681.4393067355</v>
      </c>
      <c r="N37" s="26">
        <f t="shared" si="42"/>
        <v>-21334344.198188178</v>
      </c>
      <c r="O37" s="26">
        <f t="shared" si="42"/>
        <v>-19595933.793068253</v>
      </c>
      <c r="P37" s="26">
        <f t="shared" si="42"/>
        <v>-6485843.6183317993</v>
      </c>
      <c r="Q37" s="26">
        <f t="shared" si="42"/>
        <v>2158664.218308277</v>
      </c>
      <c r="R37" s="26">
        <f t="shared" si="42"/>
        <v>-12449168.440008881</v>
      </c>
      <c r="S37" s="26">
        <f t="shared" si="42"/>
        <v>-9520055.9247734081</v>
      </c>
      <c r="T37" s="26">
        <f t="shared" si="42"/>
        <v>-2764101.1619044933</v>
      </c>
      <c r="U37" s="26">
        <f t="shared" si="42"/>
        <v>17791265.927095383</v>
      </c>
      <c r="V37" s="26">
        <f t="shared" si="42"/>
        <v>10433655.392985735</v>
      </c>
      <c r="W37" s="26">
        <f t="shared" si="42"/>
        <v>11896992.932236996</v>
      </c>
      <c r="X37" s="26">
        <f t="shared" si="42"/>
        <v>7632552.6082314961</v>
      </c>
      <c r="Y37" s="26">
        <f t="shared" si="42"/>
        <v>50474084.426270485</v>
      </c>
      <c r="Z37" s="26">
        <f t="shared" si="42"/>
        <v>37888184.284000017</v>
      </c>
      <c r="AA37" s="26">
        <f t="shared" si="42"/>
        <v>27718037.343243562</v>
      </c>
      <c r="AB37" s="26">
        <f t="shared" si="42"/>
        <v>15826045.910456322</v>
      </c>
      <c r="AC37" s="26">
        <f t="shared" si="42"/>
        <v>61950632.180445187</v>
      </c>
      <c r="AD37" s="26">
        <f t="shared" si="42"/>
        <v>36607855.583914675</v>
      </c>
      <c r="AE37" s="26">
        <f t="shared" si="42"/>
        <v>21031683.967205923</v>
      </c>
      <c r="AF37" s="26">
        <f t="shared" si="42"/>
        <v>12134443.136983652</v>
      </c>
      <c r="AG37" s="26">
        <f t="shared" si="42"/>
        <v>46787056.767200194</v>
      </c>
      <c r="AH37" s="26">
        <f t="shared" si="42"/>
        <v>50245343.635851189</v>
      </c>
      <c r="AI37" s="26">
        <f t="shared" si="42"/>
        <v>41658108.37039192</v>
      </c>
      <c r="AJ37" s="26">
        <f t="shared" si="42"/>
        <v>15197473.076390343</v>
      </c>
      <c r="AK37" s="26">
        <f t="shared" si="42"/>
        <v>57264658.54731559</v>
      </c>
      <c r="AL37" s="26">
        <f t="shared" si="42"/>
        <v>61087819.434843689</v>
      </c>
      <c r="AM37" s="26">
        <f t="shared" si="42"/>
        <v>44594242.708126277</v>
      </c>
      <c r="AN37" s="26">
        <f t="shared" si="42"/>
        <v>19704945.777348429</v>
      </c>
      <c r="AO37" s="26">
        <f t="shared" si="42"/>
        <v>77496629.06139195</v>
      </c>
      <c r="AP37" s="26">
        <f t="shared" si="42"/>
        <v>61824079.505204856</v>
      </c>
      <c r="AQ37" s="26">
        <f t="shared" si="42"/>
        <v>45761019.0635316</v>
      </c>
      <c r="AR37" s="26">
        <f t="shared" si="42"/>
        <v>23209536.865679063</v>
      </c>
      <c r="AS37" s="26">
        <f t="shared" si="42"/>
        <v>66318855.977643162</v>
      </c>
      <c r="AT37" s="26">
        <f t="shared" si="42"/>
        <v>53090462.514051273</v>
      </c>
      <c r="AU37" s="26">
        <f t="shared" si="42"/>
        <v>37070651.046565101</v>
      </c>
      <c r="AV37" s="26">
        <f t="shared" si="42"/>
        <v>16535112.668606851</v>
      </c>
      <c r="AW37" s="26">
        <f t="shared" si="42"/>
        <v>98615654.071962059</v>
      </c>
      <c r="AX37" s="26">
        <f t="shared" si="42"/>
        <v>81474150.46895583</v>
      </c>
      <c r="AY37" s="26">
        <f t="shared" si="42"/>
        <v>52288522.147946224</v>
      </c>
      <c r="AZ37" s="26">
        <f t="shared" si="42"/>
        <v>27702468.169590667</v>
      </c>
      <c r="BA37" s="26">
        <f t="shared" si="42"/>
        <v>59249116.756055176</v>
      </c>
      <c r="BB37" s="26">
        <f t="shared" si="42"/>
        <v>34474240.837977424</v>
      </c>
      <c r="BC37" s="26">
        <f t="shared" si="42"/>
        <v>18044954.719969638</v>
      </c>
      <c r="BD37" s="26">
        <f t="shared" si="42"/>
        <v>10508743.214855872</v>
      </c>
      <c r="BE37" s="26">
        <f t="shared" si="42"/>
        <v>5518114.0482779862</v>
      </c>
      <c r="BF37" s="26">
        <f t="shared" si="42"/>
        <v>8415749.3645583317</v>
      </c>
      <c r="BG37" s="26">
        <f t="shared" si="42"/>
        <v>-3588293.3196823043</v>
      </c>
      <c r="BH37" s="26">
        <f t="shared" si="42"/>
        <v>-1345521.9868955733</v>
      </c>
      <c r="BI37" s="26">
        <f t="shared" si="42"/>
        <v>-15470818.099442508</v>
      </c>
      <c r="BJ37" s="26">
        <f t="shared" si="42"/>
        <v>-13171097.714618448</v>
      </c>
      <c r="BK37" s="26">
        <f t="shared" si="42"/>
        <v>-11144171.571714655</v>
      </c>
      <c r="BL37" s="26">
        <f t="shared" si="42"/>
        <v>-3699483.4772751587</v>
      </c>
      <c r="BM37" s="26">
        <f t="shared" si="42"/>
        <v>-7326171.964836644</v>
      </c>
      <c r="BN37" s="26">
        <f t="shared" si="42"/>
        <v>-2462423.2251342442</v>
      </c>
      <c r="BO37" s="26">
        <f t="shared" ref="BO37:CJ37" si="43">BO35-BO36</f>
        <v>-9523092.0191432405</v>
      </c>
      <c r="BP37" s="26">
        <f t="shared" si="43"/>
        <v>-6112883.8179237116</v>
      </c>
      <c r="BQ37" s="26" t="e">
        <f t="shared" si="43"/>
        <v>#DIV/0!</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1201058129.9000001</v>
      </c>
      <c r="C38" s="28">
        <f t="shared" ref="C38:BN38" si="44">C31-C35</f>
        <v>901176308.33000004</v>
      </c>
      <c r="D38" s="28">
        <f t="shared" si="44"/>
        <v>591005220.02999997</v>
      </c>
      <c r="E38" s="28">
        <f t="shared" si="44"/>
        <v>2123176431.3699999</v>
      </c>
      <c r="F38" s="28">
        <f t="shared" si="44"/>
        <v>1550852248.4799998</v>
      </c>
      <c r="G38" s="28">
        <f t="shared" si="44"/>
        <v>1044088194.8999999</v>
      </c>
      <c r="H38" s="28">
        <f t="shared" si="44"/>
        <v>552685101.54000008</v>
      </c>
      <c r="I38" s="28">
        <f t="shared" si="44"/>
        <v>1887326434.0999999</v>
      </c>
      <c r="J38" s="28">
        <f t="shared" si="44"/>
        <v>1406349577.6199996</v>
      </c>
      <c r="K38" s="28">
        <f t="shared" si="44"/>
        <v>922950928.68999994</v>
      </c>
      <c r="L38" s="28">
        <f t="shared" si="44"/>
        <v>446540909.11000001</v>
      </c>
      <c r="M38" s="28">
        <f t="shared" si="44"/>
        <v>1728286958.4999995</v>
      </c>
      <c r="N38" s="28">
        <f t="shared" si="44"/>
        <v>1261807500.1200006</v>
      </c>
      <c r="O38" s="28">
        <f t="shared" si="44"/>
        <v>880879386.66000009</v>
      </c>
      <c r="P38" s="28">
        <f t="shared" si="44"/>
        <v>430896569.27000004</v>
      </c>
      <c r="Q38" s="28">
        <f t="shared" si="44"/>
        <v>1618488689.4900005</v>
      </c>
      <c r="R38" s="28">
        <f t="shared" si="44"/>
        <v>1054791856.3700001</v>
      </c>
      <c r="S38" s="28">
        <f t="shared" si="44"/>
        <v>714092223.15999997</v>
      </c>
      <c r="T38" s="28">
        <f t="shared" si="44"/>
        <v>350872273.33999997</v>
      </c>
      <c r="U38" s="28">
        <f t="shared" si="44"/>
        <v>1272691487.7800004</v>
      </c>
      <c r="V38" s="28">
        <f t="shared" si="44"/>
        <v>941513019.37</v>
      </c>
      <c r="W38" s="28">
        <f t="shared" si="44"/>
        <v>630070159.33000028</v>
      </c>
      <c r="X38" s="28">
        <f t="shared" si="44"/>
        <v>320646301.32999992</v>
      </c>
      <c r="Y38" s="28">
        <f t="shared" si="44"/>
        <v>1067230396.1199996</v>
      </c>
      <c r="Z38" s="28">
        <f t="shared" si="44"/>
        <v>812729475.40999973</v>
      </c>
      <c r="AA38" s="28">
        <f t="shared" si="44"/>
        <v>546987167.83000016</v>
      </c>
      <c r="AB38" s="28">
        <f t="shared" si="44"/>
        <v>259062968.78000018</v>
      </c>
      <c r="AC38" s="28">
        <f t="shared" si="44"/>
        <v>931754510.33999979</v>
      </c>
      <c r="AD38" s="28">
        <f t="shared" si="44"/>
        <v>725206336.18999982</v>
      </c>
      <c r="AE38" s="28">
        <f t="shared" si="44"/>
        <v>456166075.52999997</v>
      </c>
      <c r="AF38" s="28">
        <f t="shared" si="44"/>
        <v>228066885.10999995</v>
      </c>
      <c r="AG38" s="28">
        <f t="shared" si="44"/>
        <v>899403097.38</v>
      </c>
      <c r="AH38" s="28">
        <f t="shared" si="44"/>
        <v>656595056.28000033</v>
      </c>
      <c r="AI38" s="28">
        <f t="shared" si="44"/>
        <v>398646635.97000009</v>
      </c>
      <c r="AJ38" s="28">
        <f t="shared" si="44"/>
        <v>224890905.39999998</v>
      </c>
      <c r="AK38" s="28">
        <f t="shared" si="44"/>
        <v>748527367.45999992</v>
      </c>
      <c r="AL38" s="28">
        <f t="shared" si="44"/>
        <v>549179352.9599998</v>
      </c>
      <c r="AM38" s="28">
        <f t="shared" si="44"/>
        <v>362305306.15000004</v>
      </c>
      <c r="AN38" s="28">
        <f t="shared" si="44"/>
        <v>177048412.33000007</v>
      </c>
      <c r="AO38" s="28">
        <f t="shared" si="44"/>
        <v>686928728.0999999</v>
      </c>
      <c r="AP38" s="28">
        <f t="shared" si="44"/>
        <v>554659526.41000009</v>
      </c>
      <c r="AQ38" s="28">
        <f t="shared" si="44"/>
        <v>369423677.38000005</v>
      </c>
      <c r="AR38" s="28">
        <f t="shared" si="44"/>
        <v>189795408.36999997</v>
      </c>
      <c r="AS38" s="28">
        <f t="shared" si="44"/>
        <v>598610117.04000008</v>
      </c>
      <c r="AT38" s="28">
        <f t="shared" si="44"/>
        <v>515056478.07999998</v>
      </c>
      <c r="AU38" s="28">
        <f t="shared" si="44"/>
        <v>306898218.41000009</v>
      </c>
      <c r="AV38" s="28">
        <f t="shared" si="44"/>
        <v>153834679.15000004</v>
      </c>
      <c r="AW38" s="28">
        <f t="shared" si="44"/>
        <v>470503658.85000014</v>
      </c>
      <c r="AX38" s="28">
        <f t="shared" si="44"/>
        <v>364444212.5</v>
      </c>
      <c r="AY38" s="28">
        <f t="shared" si="44"/>
        <v>216049042.67000011</v>
      </c>
      <c r="AZ38" s="28">
        <f t="shared" si="44"/>
        <v>120340345.13</v>
      </c>
      <c r="BA38" s="28">
        <f t="shared" si="44"/>
        <v>398035276.46999979</v>
      </c>
      <c r="BB38" s="28">
        <f t="shared" si="44"/>
        <v>315652680.91000009</v>
      </c>
      <c r="BC38" s="28">
        <f t="shared" si="44"/>
        <v>214420336.20000005</v>
      </c>
      <c r="BD38" s="28">
        <f t="shared" si="44"/>
        <v>94187627.100000009</v>
      </c>
      <c r="BE38" s="28">
        <f t="shared" si="44"/>
        <v>441522806.26999998</v>
      </c>
      <c r="BF38" s="28">
        <f t="shared" si="44"/>
        <v>414794360.70999998</v>
      </c>
      <c r="BG38" s="28">
        <f t="shared" si="44"/>
        <v>347942788.25000006</v>
      </c>
      <c r="BH38" s="28">
        <f t="shared" si="44"/>
        <v>186202093.30000001</v>
      </c>
      <c r="BI38" s="28">
        <f t="shared" si="44"/>
        <v>448388272.60000002</v>
      </c>
      <c r="BJ38" s="28">
        <f t="shared" si="44"/>
        <v>306872665.28000003</v>
      </c>
      <c r="BK38" s="28">
        <f t="shared" si="44"/>
        <v>133821844.83000001</v>
      </c>
      <c r="BL38" s="28">
        <f t="shared" si="44"/>
        <v>107102487.20999999</v>
      </c>
      <c r="BM38" s="28">
        <f t="shared" si="44"/>
        <v>355198319.56000006</v>
      </c>
      <c r="BN38" s="28">
        <f t="shared" si="44"/>
        <v>165678370.14999995</v>
      </c>
      <c r="BO38" s="28">
        <f t="shared" ref="BO38:CJ38" si="45">BO31-BO35</f>
        <v>301640895.83999997</v>
      </c>
      <c r="BP38" s="28">
        <f t="shared" si="45"/>
        <v>306194904.11000007</v>
      </c>
      <c r="BQ38" s="28">
        <f t="shared" si="45"/>
        <v>0</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20.695784889394165</v>
      </c>
      <c r="C39" s="57">
        <f t="shared" ref="C39:D39" si="46">C38/C4*100</f>
        <v>24.221160227582686</v>
      </c>
      <c r="D39" s="57">
        <f t="shared" si="46"/>
        <v>34.285050069927273</v>
      </c>
      <c r="E39" s="57">
        <f>E38/E4</f>
        <v>0.31400731441924179</v>
      </c>
      <c r="F39" s="57">
        <f t="shared" ref="F39:BQ39" si="47">F38/F4</f>
        <v>0.31531069625944952</v>
      </c>
      <c r="G39" s="57">
        <f t="shared" si="47"/>
        <v>0.3248905302965206</v>
      </c>
      <c r="H39" s="57">
        <f t="shared" si="47"/>
        <v>0.34897298478823874</v>
      </c>
      <c r="I39" s="57">
        <f t="shared" si="47"/>
        <v>0.30605212184968078</v>
      </c>
      <c r="J39" s="57">
        <f t="shared" si="47"/>
        <v>0.31013803971602888</v>
      </c>
      <c r="K39" s="57">
        <f t="shared" si="47"/>
        <v>0.30923251963753651</v>
      </c>
      <c r="L39" s="57">
        <f t="shared" si="47"/>
        <v>0.30951816911825769</v>
      </c>
      <c r="M39" s="57">
        <f t="shared" si="47"/>
        <v>0.30753885184274921</v>
      </c>
      <c r="N39" s="57">
        <f t="shared" si="47"/>
        <v>0.3006817994604436</v>
      </c>
      <c r="O39" s="57">
        <f t="shared" si="47"/>
        <v>0.3175561460197866</v>
      </c>
      <c r="P39" s="57">
        <f t="shared" si="47"/>
        <v>0.31009959405155468</v>
      </c>
      <c r="Q39" s="57">
        <f t="shared" si="47"/>
        <v>0.2927971782632886</v>
      </c>
      <c r="R39" s="57">
        <f t="shared" si="47"/>
        <v>0.25852812307378764</v>
      </c>
      <c r="S39" s="57">
        <f t="shared" si="47"/>
        <v>0.26630945114909005</v>
      </c>
      <c r="T39" s="57">
        <f t="shared" si="47"/>
        <v>0.27237490002626624</v>
      </c>
      <c r="U39" s="57">
        <f t="shared" si="47"/>
        <v>0.2475420936238471</v>
      </c>
      <c r="V39" s="57">
        <f t="shared" si="47"/>
        <v>0.24797992574029218</v>
      </c>
      <c r="W39" s="57">
        <f t="shared" si="47"/>
        <v>0.25588426961041805</v>
      </c>
      <c r="X39" s="57">
        <f t="shared" si="47"/>
        <v>0.27074879839023486</v>
      </c>
      <c r="Y39" s="57">
        <f t="shared" si="47"/>
        <v>0.22836686708650142</v>
      </c>
      <c r="Z39" s="57">
        <f t="shared" si="47"/>
        <v>0.23488736193828624</v>
      </c>
      <c r="AA39" s="57">
        <f t="shared" si="47"/>
        <v>0.23892119547590515</v>
      </c>
      <c r="AB39" s="57">
        <f t="shared" si="47"/>
        <v>0.23301510211011608</v>
      </c>
      <c r="AC39" s="57">
        <f t="shared" si="47"/>
        <v>0.21978703126743224</v>
      </c>
      <c r="AD39" s="57">
        <f t="shared" si="47"/>
        <v>0.23352069728247754</v>
      </c>
      <c r="AE39" s="57">
        <f t="shared" si="47"/>
        <v>0.22490000935806354</v>
      </c>
      <c r="AF39" s="57">
        <f t="shared" si="47"/>
        <v>0.23117110767201676</v>
      </c>
      <c r="AG39" s="57">
        <f t="shared" si="47"/>
        <v>0.23267568802774774</v>
      </c>
      <c r="AH39" s="57">
        <f t="shared" si="47"/>
        <v>0.24002088255129087</v>
      </c>
      <c r="AI39" s="57">
        <f t="shared" si="47"/>
        <v>0.22486133616547091</v>
      </c>
      <c r="AJ39" s="57">
        <f t="shared" si="47"/>
        <v>0.25947034773766459</v>
      </c>
      <c r="AK39" s="57">
        <f t="shared" si="47"/>
        <v>0.22640868355319455</v>
      </c>
      <c r="AL39" s="57">
        <f t="shared" si="47"/>
        <v>0.23376768975204018</v>
      </c>
      <c r="AM39" s="57">
        <f t="shared" si="47"/>
        <v>0.23377048152285501</v>
      </c>
      <c r="AN39" s="57">
        <f t="shared" si="47"/>
        <v>0.23040743334116104</v>
      </c>
      <c r="AO39" s="57">
        <f t="shared" si="47"/>
        <v>0.22524456721502753</v>
      </c>
      <c r="AP39" s="57">
        <f t="shared" si="47"/>
        <v>0.24485879367529895</v>
      </c>
      <c r="AQ39" s="57">
        <f t="shared" si="47"/>
        <v>0.2444157913241754</v>
      </c>
      <c r="AR39" s="57">
        <f t="shared" si="47"/>
        <v>0.25145231082942399</v>
      </c>
      <c r="AS39" s="57">
        <f t="shared" si="47"/>
        <v>0.22307564459298213</v>
      </c>
      <c r="AT39" s="57">
        <f t="shared" si="47"/>
        <v>0.26367432309997296</v>
      </c>
      <c r="AU39" s="57">
        <f t="shared" si="47"/>
        <v>0.24075456302832793</v>
      </c>
      <c r="AV39" s="57">
        <f t="shared" si="47"/>
        <v>0.24769651756423203</v>
      </c>
      <c r="AW39" s="57">
        <f t="shared" si="47"/>
        <v>0.19524613451238146</v>
      </c>
      <c r="AX39" s="57">
        <f t="shared" si="47"/>
        <v>0.20445000940321029</v>
      </c>
      <c r="AY39" s="57">
        <f t="shared" si="47"/>
        <v>0.181873185321416</v>
      </c>
      <c r="AZ39" s="57">
        <f t="shared" si="47"/>
        <v>0.20406894058843339</v>
      </c>
      <c r="BA39" s="57">
        <f t="shared" si="47"/>
        <v>0.18519227256529971</v>
      </c>
      <c r="BB39" s="57">
        <f t="shared" si="47"/>
        <v>0.20761002758582139</v>
      </c>
      <c r="BC39" s="57">
        <f t="shared" si="47"/>
        <v>0.21889017992332774</v>
      </c>
      <c r="BD39" s="57">
        <f t="shared" si="47"/>
        <v>0.21115791222699279</v>
      </c>
      <c r="BE39" s="57">
        <f t="shared" si="47"/>
        <v>0.28655748756416649</v>
      </c>
      <c r="BF39" s="57">
        <f t="shared" si="47"/>
        <v>0.3792804182299665</v>
      </c>
      <c r="BG39" s="57">
        <f t="shared" si="47"/>
        <v>0.48711796322665646</v>
      </c>
      <c r="BH39" s="57">
        <f t="shared" si="47"/>
        <v>0.53324578179431481</v>
      </c>
      <c r="BI39" s="57">
        <f t="shared" si="47"/>
        <v>0.42227039928979748</v>
      </c>
      <c r="BJ39" s="57">
        <f t="shared" si="47"/>
        <v>0.43947854073738257</v>
      </c>
      <c r="BK39" s="57">
        <f t="shared" si="47"/>
        <v>0.33851492068565814</v>
      </c>
      <c r="BL39" s="57">
        <f t="shared" si="47"/>
        <v>0.43393500810543206</v>
      </c>
      <c r="BM39" s="57">
        <f t="shared" si="47"/>
        <v>0.37800904876446129</v>
      </c>
      <c r="BN39" s="57">
        <f t="shared" si="47"/>
        <v>0.38320505457875631</v>
      </c>
      <c r="BO39" s="57">
        <f t="shared" si="47"/>
        <v>0.35978826215538823</v>
      </c>
      <c r="BP39" s="57">
        <f t="shared" si="47"/>
        <v>0.39242932896613059</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312893396.74000001</v>
      </c>
      <c r="C40" s="26">
        <f t="shared" ref="C40:BN40" si="49">C60</f>
        <v>239172814.25</v>
      </c>
      <c r="D40" s="26">
        <f t="shared" si="49"/>
        <v>159952657.62</v>
      </c>
      <c r="E40" s="26">
        <f t="shared" si="49"/>
        <v>564537893.88</v>
      </c>
      <c r="F40" s="26">
        <f t="shared" si="49"/>
        <v>397243514</v>
      </c>
      <c r="G40" s="26">
        <f t="shared" si="49"/>
        <v>264754267.06</v>
      </c>
      <c r="H40" s="26">
        <f t="shared" si="49"/>
        <v>135450088.46000001</v>
      </c>
      <c r="I40" s="26">
        <f t="shared" si="49"/>
        <v>512767558.44</v>
      </c>
      <c r="J40" s="26">
        <f t="shared" si="49"/>
        <v>361196177.08999997</v>
      </c>
      <c r="K40" s="26">
        <f t="shared" si="49"/>
        <v>240383012.94999999</v>
      </c>
      <c r="L40" s="26">
        <f t="shared" si="49"/>
        <v>117048465.54000001</v>
      </c>
      <c r="M40" s="26">
        <f t="shared" si="49"/>
        <v>457704880.73000002</v>
      </c>
      <c r="N40" s="26">
        <f t="shared" si="49"/>
        <v>330851984.33999997</v>
      </c>
      <c r="O40" s="26">
        <f t="shared" si="49"/>
        <v>215826394.11000001</v>
      </c>
      <c r="P40" s="26">
        <f t="shared" si="49"/>
        <v>111873062.23</v>
      </c>
      <c r="Q40" s="26">
        <f t="shared" si="49"/>
        <v>392793096.38</v>
      </c>
      <c r="R40" s="26">
        <f t="shared" si="49"/>
        <v>255606404.49000001</v>
      </c>
      <c r="S40" s="26">
        <f t="shared" si="49"/>
        <v>160397553.15000001</v>
      </c>
      <c r="T40" s="26">
        <f t="shared" si="49"/>
        <v>90681555.269999996</v>
      </c>
      <c r="U40" s="26">
        <f t="shared" si="49"/>
        <v>338955137.13999999</v>
      </c>
      <c r="V40" s="26">
        <f t="shared" si="49"/>
        <v>234245841.41</v>
      </c>
      <c r="W40" s="26">
        <f t="shared" si="49"/>
        <v>156417397.94</v>
      </c>
      <c r="X40" s="26">
        <f t="shared" si="49"/>
        <v>83887613.879999995</v>
      </c>
      <c r="Y40" s="26">
        <f t="shared" si="49"/>
        <v>276351152.68000001</v>
      </c>
      <c r="Z40" s="26">
        <f t="shared" si="49"/>
        <v>204310273.06999999</v>
      </c>
      <c r="AA40" s="26">
        <f t="shared" si="49"/>
        <v>139660815.12</v>
      </c>
      <c r="AB40" s="26">
        <f t="shared" si="49"/>
        <v>69214115.569999993</v>
      </c>
      <c r="AC40" s="26">
        <f t="shared" si="49"/>
        <v>246602089.97</v>
      </c>
      <c r="AD40" s="26">
        <f t="shared" si="49"/>
        <v>209152560.78</v>
      </c>
      <c r="AE40" s="26">
        <f t="shared" si="49"/>
        <v>137306502.83000001</v>
      </c>
      <c r="AF40" s="26">
        <f t="shared" si="49"/>
        <v>61108992.270000003</v>
      </c>
      <c r="AG40" s="26">
        <f t="shared" si="49"/>
        <v>211965685.37</v>
      </c>
      <c r="AH40" s="26">
        <f t="shared" si="49"/>
        <v>171610852.56999999</v>
      </c>
      <c r="AI40" s="26">
        <f t="shared" si="49"/>
        <v>106108938.78</v>
      </c>
      <c r="AJ40" s="26">
        <f t="shared" si="49"/>
        <v>57937097.990000002</v>
      </c>
      <c r="AK40" s="26">
        <f t="shared" si="49"/>
        <v>190844656.52000001</v>
      </c>
      <c r="AL40" s="26">
        <f t="shared" si="49"/>
        <v>148911478.52000001</v>
      </c>
      <c r="AM40" s="26">
        <f t="shared" si="49"/>
        <v>92995539.760000005</v>
      </c>
      <c r="AN40" s="26">
        <f t="shared" si="49"/>
        <v>48318041.299999997</v>
      </c>
      <c r="AO40" s="26">
        <f t="shared" si="49"/>
        <v>187438506.90000001</v>
      </c>
      <c r="AP40" s="26">
        <f t="shared" si="49"/>
        <v>150182469.93000001</v>
      </c>
      <c r="AQ40" s="26">
        <f t="shared" si="49"/>
        <v>98486327.409999996</v>
      </c>
      <c r="AR40" s="26">
        <f t="shared" si="49"/>
        <v>45848319.700000003</v>
      </c>
      <c r="AS40" s="26">
        <f t="shared" si="49"/>
        <v>206272752.88999999</v>
      </c>
      <c r="AT40" s="26">
        <f t="shared" si="49"/>
        <v>176775761.86000001</v>
      </c>
      <c r="AU40" s="26">
        <f t="shared" si="49"/>
        <v>109645933.31</v>
      </c>
      <c r="AV40" s="26">
        <f t="shared" si="49"/>
        <v>52616294.829999998</v>
      </c>
      <c r="AW40" s="26">
        <f t="shared" si="49"/>
        <v>167426582</v>
      </c>
      <c r="AX40" s="26">
        <f t="shared" si="49"/>
        <v>122166894.5</v>
      </c>
      <c r="AY40" s="26">
        <f t="shared" si="49"/>
        <v>72644401.099999994</v>
      </c>
      <c r="AZ40" s="26">
        <f t="shared" si="49"/>
        <v>38599612.770000003</v>
      </c>
      <c r="BA40" s="26">
        <f t="shared" si="49"/>
        <v>137179840.69</v>
      </c>
      <c r="BB40" s="26">
        <f t="shared" si="49"/>
        <v>119138346.31</v>
      </c>
      <c r="BC40" s="26">
        <f t="shared" si="49"/>
        <v>83858977.530000001</v>
      </c>
      <c r="BD40" s="26">
        <f t="shared" si="49"/>
        <v>32362982.66</v>
      </c>
      <c r="BE40" s="26">
        <f t="shared" si="49"/>
        <v>141342176.59999999</v>
      </c>
      <c r="BF40" s="26">
        <f t="shared" si="49"/>
        <v>137050805.11000001</v>
      </c>
      <c r="BG40" s="26">
        <f t="shared" si="49"/>
        <v>113549304.54000001</v>
      </c>
      <c r="BH40" s="26">
        <f t="shared" si="49"/>
        <v>58966055.18</v>
      </c>
      <c r="BI40" s="26">
        <f t="shared" si="49"/>
        <v>149091404.65000001</v>
      </c>
      <c r="BJ40" s="26">
        <f t="shared" si="49"/>
        <v>106834123.59999999</v>
      </c>
      <c r="BK40" s="26">
        <f t="shared" si="49"/>
        <v>46836311.390000001</v>
      </c>
      <c r="BL40" s="26">
        <f t="shared" si="49"/>
        <v>36383392.469999999</v>
      </c>
      <c r="BM40" s="26">
        <f t="shared" si="49"/>
        <v>72220179.099999994</v>
      </c>
      <c r="BN40" s="26">
        <f t="shared" si="49"/>
        <v>30833384.02</v>
      </c>
      <c r="BO40" s="26">
        <f t="shared" ref="BO40:CJ40" si="50">BO60</f>
        <v>13866841.029999999</v>
      </c>
      <c r="BP40" s="26">
        <f t="shared" si="50"/>
        <v>107360658.65000001</v>
      </c>
      <c r="BQ40" s="26">
        <f t="shared" si="50"/>
        <v>0</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0.26051478188324778</v>
      </c>
      <c r="C41" s="57">
        <f t="shared" ref="C41:BN41" si="51">C40/C38</f>
        <v>0.26540069023032703</v>
      </c>
      <c r="D41" s="57">
        <f t="shared" si="51"/>
        <v>0.27064508433932388</v>
      </c>
      <c r="E41" s="57">
        <f t="shared" si="51"/>
        <v>0.26589306735838553</v>
      </c>
      <c r="F41" s="57">
        <f t="shared" si="51"/>
        <v>0.2561452997146188</v>
      </c>
      <c r="G41" s="57">
        <f t="shared" si="51"/>
        <v>0.25357461980054041</v>
      </c>
      <c r="H41" s="57">
        <f t="shared" si="51"/>
        <v>0.24507642431934984</v>
      </c>
      <c r="I41" s="57">
        <f t="shared" si="51"/>
        <v>0.27168991499052519</v>
      </c>
      <c r="J41" s="57">
        <f t="shared" si="51"/>
        <v>0.25683242832216813</v>
      </c>
      <c r="K41" s="57">
        <f t="shared" si="51"/>
        <v>0.26045048060267961</v>
      </c>
      <c r="L41" s="57">
        <f t="shared" si="51"/>
        <v>0.26212260321968961</v>
      </c>
      <c r="M41" s="57">
        <f t="shared" si="51"/>
        <v>0.26483153071249665</v>
      </c>
      <c r="N41" s="57">
        <f t="shared" si="51"/>
        <v>0.26220480089754994</v>
      </c>
      <c r="O41" s="57">
        <f t="shared" si="51"/>
        <v>0.24501242437780443</v>
      </c>
      <c r="P41" s="57">
        <f t="shared" si="51"/>
        <v>0.25962857494903907</v>
      </c>
      <c r="Q41" s="57">
        <f t="shared" si="51"/>
        <v>0.24269128288055719</v>
      </c>
      <c r="R41" s="57">
        <f t="shared" si="51"/>
        <v>0.24232876178021831</v>
      </c>
      <c r="S41" s="57">
        <f t="shared" si="51"/>
        <v>0.22461742047856084</v>
      </c>
      <c r="T41" s="57">
        <f t="shared" si="51"/>
        <v>0.25844605618674332</v>
      </c>
      <c r="U41" s="57">
        <f t="shared" si="51"/>
        <v>0.26632938178226612</v>
      </c>
      <c r="V41" s="57">
        <f t="shared" si="51"/>
        <v>0.24879724081430363</v>
      </c>
      <c r="W41" s="57">
        <f t="shared" si="51"/>
        <v>0.24825393747631228</v>
      </c>
      <c r="X41" s="57">
        <f t="shared" si="51"/>
        <v>0.26162040083433019</v>
      </c>
      <c r="Y41" s="57">
        <f t="shared" si="51"/>
        <v>0.25894235554449763</v>
      </c>
      <c r="Z41" s="57">
        <f t="shared" si="51"/>
        <v>0.25138779784863968</v>
      </c>
      <c r="AA41" s="57">
        <f t="shared" si="51"/>
        <v>0.25532740680930494</v>
      </c>
      <c r="AB41" s="57">
        <f t="shared" si="51"/>
        <v>0.26717101211318844</v>
      </c>
      <c r="AC41" s="57">
        <f t="shared" si="51"/>
        <v>0.26466422993757682</v>
      </c>
      <c r="AD41" s="57">
        <f t="shared" si="51"/>
        <v>0.28840421041936848</v>
      </c>
      <c r="AE41" s="57">
        <f t="shared" si="51"/>
        <v>0.3010011269918953</v>
      </c>
      <c r="AF41" s="57">
        <f t="shared" si="51"/>
        <v>0.26794329321648891</v>
      </c>
      <c r="AG41" s="57">
        <f t="shared" si="51"/>
        <v>0.23567373293183577</v>
      </c>
      <c r="AH41" s="57">
        <f t="shared" si="51"/>
        <v>0.26136482589783278</v>
      </c>
      <c r="AI41" s="57">
        <f t="shared" si="51"/>
        <v>0.26617291908612811</v>
      </c>
      <c r="AJ41" s="57">
        <f t="shared" si="51"/>
        <v>0.25762312569710527</v>
      </c>
      <c r="AK41" s="57">
        <f t="shared" si="51"/>
        <v>0.2549601588617913</v>
      </c>
      <c r="AL41" s="57">
        <f t="shared" si="51"/>
        <v>0.27115272582151534</v>
      </c>
      <c r="AM41" s="57">
        <f t="shared" si="51"/>
        <v>0.25667727792399048</v>
      </c>
      <c r="AN41" s="57">
        <f t="shared" si="51"/>
        <v>0.27290863930448656</v>
      </c>
      <c r="AO41" s="57">
        <f t="shared" si="51"/>
        <v>0.27286456255577302</v>
      </c>
      <c r="AP41" s="57">
        <f t="shared" si="51"/>
        <v>0.27076515011298352</v>
      </c>
      <c r="AQ41" s="57">
        <f t="shared" si="51"/>
        <v>0.26659451854433808</v>
      </c>
      <c r="AR41" s="57">
        <f t="shared" si="51"/>
        <v>0.24156706473435963</v>
      </c>
      <c r="AS41" s="57">
        <f t="shared" si="51"/>
        <v>0.34458614550314476</v>
      </c>
      <c r="AT41" s="57">
        <f t="shared" si="51"/>
        <v>0.34321626730912164</v>
      </c>
      <c r="AU41" s="57">
        <f t="shared" si="51"/>
        <v>0.35727132558169084</v>
      </c>
      <c r="AV41" s="57">
        <f t="shared" si="51"/>
        <v>0.34203142698854833</v>
      </c>
      <c r="AW41" s="57">
        <f t="shared" si="51"/>
        <v>0.35584544105187665</v>
      </c>
      <c r="AX41" s="57">
        <f t="shared" si="51"/>
        <v>0.33521425312797359</v>
      </c>
      <c r="AY41" s="57">
        <f t="shared" si="51"/>
        <v>0.33624032859501846</v>
      </c>
      <c r="AZ41" s="57">
        <f t="shared" si="51"/>
        <v>0.32075371504296435</v>
      </c>
      <c r="BA41" s="57">
        <f t="shared" si="51"/>
        <v>0.34464241940208873</v>
      </c>
      <c r="BB41" s="57">
        <f t="shared" si="51"/>
        <v>0.37743492615533691</v>
      </c>
      <c r="BC41" s="57">
        <f t="shared" si="51"/>
        <v>0.39109619458753553</v>
      </c>
      <c r="BD41" s="57">
        <f t="shared" si="51"/>
        <v>0.34360121022732504</v>
      </c>
      <c r="BE41" s="57">
        <f t="shared" si="51"/>
        <v>0.32012429390468777</v>
      </c>
      <c r="BF41" s="57">
        <f t="shared" si="51"/>
        <v>0.33040662576851654</v>
      </c>
      <c r="BG41" s="57">
        <f t="shared" si="51"/>
        <v>0.32634475659375872</v>
      </c>
      <c r="BH41" s="57">
        <f t="shared" si="51"/>
        <v>0.31667772437443376</v>
      </c>
      <c r="BI41" s="57">
        <f t="shared" si="51"/>
        <v>0.33250513842720869</v>
      </c>
      <c r="BJ41" s="57">
        <f t="shared" si="51"/>
        <v>0.34813828563883742</v>
      </c>
      <c r="BK41" s="57">
        <f t="shared" si="51"/>
        <v>0.34999002927734485</v>
      </c>
      <c r="BL41" s="57">
        <f t="shared" si="51"/>
        <v>0.33970632632145764</v>
      </c>
      <c r="BM41" s="57">
        <f t="shared" si="51"/>
        <v>0.20332353821229318</v>
      </c>
      <c r="BN41" s="57">
        <f t="shared" si="51"/>
        <v>0.18610385889289249</v>
      </c>
      <c r="BO41" s="57">
        <f t="shared" ref="BO41:CJ41" si="52">BO40/BO38</f>
        <v>4.5971356076847811E-2</v>
      </c>
      <c r="BP41" s="57">
        <f t="shared" si="52"/>
        <v>0.35062849580093225</v>
      </c>
      <c r="BQ41" s="57" t="e">
        <f t="shared" si="52"/>
        <v>#DIV/0!</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888164733.16000009</v>
      </c>
      <c r="C42" s="28">
        <f t="shared" ref="C42:BN42" si="53">C38-C40</f>
        <v>662003494.08000004</v>
      </c>
      <c r="D42" s="28">
        <f t="shared" si="53"/>
        <v>431052562.40999997</v>
      </c>
      <c r="E42" s="28">
        <f t="shared" si="53"/>
        <v>1558638537.4899998</v>
      </c>
      <c r="F42" s="28">
        <f t="shared" si="53"/>
        <v>1153608734.4799998</v>
      </c>
      <c r="G42" s="28">
        <f t="shared" si="53"/>
        <v>779333927.83999991</v>
      </c>
      <c r="H42" s="28">
        <f t="shared" si="53"/>
        <v>417235013.08000004</v>
      </c>
      <c r="I42" s="28">
        <f t="shared" si="53"/>
        <v>1374558875.6599998</v>
      </c>
      <c r="J42" s="28">
        <f t="shared" si="53"/>
        <v>1045153400.5299997</v>
      </c>
      <c r="K42" s="28">
        <f t="shared" si="53"/>
        <v>682567915.74000001</v>
      </c>
      <c r="L42" s="28">
        <f t="shared" si="53"/>
        <v>329492443.56999999</v>
      </c>
      <c r="M42" s="28">
        <f t="shared" si="53"/>
        <v>1270582077.7699995</v>
      </c>
      <c r="N42" s="28">
        <f t="shared" si="53"/>
        <v>930955515.78000069</v>
      </c>
      <c r="O42" s="28">
        <f t="shared" si="53"/>
        <v>665052992.55000007</v>
      </c>
      <c r="P42" s="28">
        <f t="shared" si="53"/>
        <v>319023507.04000002</v>
      </c>
      <c r="Q42" s="28">
        <f t="shared" si="53"/>
        <v>1225695593.1100006</v>
      </c>
      <c r="R42" s="28">
        <f t="shared" si="53"/>
        <v>799185451.88000011</v>
      </c>
      <c r="S42" s="28">
        <f t="shared" si="53"/>
        <v>553694670.00999999</v>
      </c>
      <c r="T42" s="28">
        <f t="shared" si="53"/>
        <v>260190718.06999999</v>
      </c>
      <c r="U42" s="28">
        <f t="shared" si="53"/>
        <v>933736350.64000046</v>
      </c>
      <c r="V42" s="28">
        <f t="shared" si="53"/>
        <v>707267177.96000004</v>
      </c>
      <c r="W42" s="28">
        <f t="shared" si="53"/>
        <v>473652761.39000028</v>
      </c>
      <c r="X42" s="28">
        <f t="shared" si="53"/>
        <v>236758687.44999993</v>
      </c>
      <c r="Y42" s="28">
        <f t="shared" si="53"/>
        <v>790879243.43999958</v>
      </c>
      <c r="Z42" s="28">
        <f t="shared" si="53"/>
        <v>608419202.33999968</v>
      </c>
      <c r="AA42" s="28">
        <f t="shared" si="53"/>
        <v>407326352.71000016</v>
      </c>
      <c r="AB42" s="28">
        <f t="shared" si="53"/>
        <v>189848853.21000019</v>
      </c>
      <c r="AC42" s="28">
        <f t="shared" si="53"/>
        <v>685152420.36999977</v>
      </c>
      <c r="AD42" s="28">
        <f t="shared" si="53"/>
        <v>516053775.40999985</v>
      </c>
      <c r="AE42" s="28">
        <f t="shared" si="53"/>
        <v>318859572.69999993</v>
      </c>
      <c r="AF42" s="28">
        <f t="shared" si="53"/>
        <v>166957892.83999994</v>
      </c>
      <c r="AG42" s="28">
        <f t="shared" si="53"/>
        <v>687437412.00999999</v>
      </c>
      <c r="AH42" s="28">
        <f t="shared" si="53"/>
        <v>484984203.71000034</v>
      </c>
      <c r="AI42" s="28">
        <f t="shared" si="53"/>
        <v>292537697.19000006</v>
      </c>
      <c r="AJ42" s="28">
        <f t="shared" si="53"/>
        <v>166953807.40999997</v>
      </c>
      <c r="AK42" s="28">
        <f t="shared" si="53"/>
        <v>557682710.93999994</v>
      </c>
      <c r="AL42" s="28">
        <f t="shared" si="53"/>
        <v>400267874.43999982</v>
      </c>
      <c r="AM42" s="28">
        <f t="shared" si="53"/>
        <v>269309766.39000005</v>
      </c>
      <c r="AN42" s="28">
        <f t="shared" si="53"/>
        <v>128730371.03000008</v>
      </c>
      <c r="AO42" s="28">
        <f t="shared" si="53"/>
        <v>499490221.19999993</v>
      </c>
      <c r="AP42" s="28">
        <f t="shared" si="53"/>
        <v>404477056.48000008</v>
      </c>
      <c r="AQ42" s="28">
        <f t="shared" si="53"/>
        <v>270937349.97000003</v>
      </c>
      <c r="AR42" s="28">
        <f t="shared" si="53"/>
        <v>143947088.66999996</v>
      </c>
      <c r="AS42" s="28">
        <f t="shared" si="53"/>
        <v>392337364.1500001</v>
      </c>
      <c r="AT42" s="28">
        <f t="shared" si="53"/>
        <v>338280716.21999997</v>
      </c>
      <c r="AU42" s="28">
        <f t="shared" si="53"/>
        <v>197252285.10000008</v>
      </c>
      <c r="AV42" s="28">
        <f t="shared" si="53"/>
        <v>101218384.32000004</v>
      </c>
      <c r="AW42" s="28">
        <f t="shared" si="53"/>
        <v>303077076.85000014</v>
      </c>
      <c r="AX42" s="28">
        <f t="shared" si="53"/>
        <v>242277318</v>
      </c>
      <c r="AY42" s="28">
        <f t="shared" si="53"/>
        <v>143404641.57000011</v>
      </c>
      <c r="AZ42" s="28">
        <f t="shared" si="53"/>
        <v>81740732.359999985</v>
      </c>
      <c r="BA42" s="28">
        <f t="shared" si="53"/>
        <v>260855435.77999979</v>
      </c>
      <c r="BB42" s="28">
        <f t="shared" si="53"/>
        <v>196514334.60000008</v>
      </c>
      <c r="BC42" s="28">
        <f t="shared" si="53"/>
        <v>130561358.67000005</v>
      </c>
      <c r="BD42" s="28">
        <f t="shared" si="53"/>
        <v>61824644.440000013</v>
      </c>
      <c r="BE42" s="28">
        <f t="shared" si="53"/>
        <v>300180629.66999996</v>
      </c>
      <c r="BF42" s="28">
        <f t="shared" si="53"/>
        <v>277743555.59999996</v>
      </c>
      <c r="BG42" s="28">
        <f t="shared" si="53"/>
        <v>234393483.71000004</v>
      </c>
      <c r="BH42" s="28">
        <f t="shared" si="53"/>
        <v>127236038.12</v>
      </c>
      <c r="BI42" s="28">
        <f t="shared" si="53"/>
        <v>299296867.95000005</v>
      </c>
      <c r="BJ42" s="28">
        <f t="shared" si="53"/>
        <v>200038541.68000004</v>
      </c>
      <c r="BK42" s="28">
        <f t="shared" si="53"/>
        <v>86985533.440000013</v>
      </c>
      <c r="BL42" s="28">
        <f t="shared" si="53"/>
        <v>70719094.739999995</v>
      </c>
      <c r="BM42" s="28">
        <f t="shared" si="53"/>
        <v>282978140.46000004</v>
      </c>
      <c r="BN42" s="28">
        <f t="shared" si="53"/>
        <v>134844986.12999994</v>
      </c>
      <c r="BO42" s="28">
        <f t="shared" ref="BO42:CK42" si="54">BO38-BO40</f>
        <v>287774054.81</v>
      </c>
      <c r="BP42" s="28">
        <f t="shared" si="54"/>
        <v>198834245.46000007</v>
      </c>
      <c r="BQ42" s="28">
        <f t="shared" si="54"/>
        <v>0</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15.304227003031029</v>
      </c>
      <c r="C43" s="57">
        <f t="shared" ref="C43:D43" si="55">C42/C4*100</f>
        <v>17.792847585002896</v>
      </c>
      <c r="D43" s="57">
        <f t="shared" si="55"/>
        <v>25.005969802173865</v>
      </c>
      <c r="E43" s="57">
        <f>E42/E4</f>
        <v>0.23051494641534059</v>
      </c>
      <c r="F43" s="57">
        <f t="shared" ref="F43:BQ43" si="56">F42/F4</f>
        <v>0.23454534346284767</v>
      </c>
      <c r="G43" s="57">
        <f t="shared" si="56"/>
        <v>0.24250653759978447</v>
      </c>
      <c r="H43" s="57">
        <f t="shared" si="56"/>
        <v>0.26344793349228629</v>
      </c>
      <c r="I43" s="57">
        <f t="shared" si="56"/>
        <v>0.22290084688167114</v>
      </c>
      <c r="J43" s="57">
        <f t="shared" si="56"/>
        <v>0.23048453386068418</v>
      </c>
      <c r="K43" s="57">
        <f t="shared" si="56"/>
        <v>0.22869276127996258</v>
      </c>
      <c r="L43" s="57">
        <f t="shared" si="56"/>
        <v>0.22838646088518783</v>
      </c>
      <c r="M43" s="57">
        <f t="shared" si="56"/>
        <v>0.22609286695567021</v>
      </c>
      <c r="N43" s="57">
        <f t="shared" si="56"/>
        <v>0.22184158809940094</v>
      </c>
      <c r="O43" s="57">
        <f t="shared" si="56"/>
        <v>0.23975094480740661</v>
      </c>
      <c r="P43" s="57">
        <f t="shared" si="56"/>
        <v>0.22958887835567401</v>
      </c>
      <c r="Q43" s="57">
        <f t="shared" si="56"/>
        <v>0.22173785544676392</v>
      </c>
      <c r="R43" s="57">
        <f t="shared" si="56"/>
        <v>0.19587932312395279</v>
      </c>
      <c r="S43" s="57">
        <f t="shared" si="56"/>
        <v>0.20649170918292012</v>
      </c>
      <c r="T43" s="57">
        <f t="shared" si="56"/>
        <v>0.20198068131021926</v>
      </c>
      <c r="U43" s="57">
        <f t="shared" si="56"/>
        <v>0.18161436086392008</v>
      </c>
      <c r="V43" s="57">
        <f t="shared" si="56"/>
        <v>0.18628320443877158</v>
      </c>
      <c r="W43" s="57">
        <f t="shared" si="56"/>
        <v>0.19235999214138147</v>
      </c>
      <c r="X43" s="57">
        <f t="shared" si="56"/>
        <v>0.19991538922996835</v>
      </c>
      <c r="Y43" s="57">
        <f t="shared" si="56"/>
        <v>0.16923301259480553</v>
      </c>
      <c r="Z43" s="57">
        <f t="shared" si="56"/>
        <v>0.17583954527814405</v>
      </c>
      <c r="AA43" s="57">
        <f t="shared" si="56"/>
        <v>0.17791806620326325</v>
      </c>
      <c r="AB43" s="57">
        <f t="shared" si="56"/>
        <v>0.17076022144169842</v>
      </c>
      <c r="AC43" s="57">
        <f t="shared" si="56"/>
        <v>0.16161726588677114</v>
      </c>
      <c r="AD43" s="57">
        <f t="shared" si="56"/>
        <v>0.16617234496614425</v>
      </c>
      <c r="AE43" s="57">
        <f t="shared" si="56"/>
        <v>0.1572048530807986</v>
      </c>
      <c r="AF43" s="57">
        <f t="shared" si="56"/>
        <v>0.16923035978587306</v>
      </c>
      <c r="AG43" s="57">
        <f t="shared" si="56"/>
        <v>0.17784014006776519</v>
      </c>
      <c r="AH43" s="57">
        <f t="shared" si="56"/>
        <v>0.17728786637142854</v>
      </c>
      <c r="AI43" s="57">
        <f t="shared" si="56"/>
        <v>0.16500933792870034</v>
      </c>
      <c r="AJ43" s="57">
        <f t="shared" si="56"/>
        <v>0.19262478572777261</v>
      </c>
      <c r="AK43" s="57">
        <f t="shared" si="56"/>
        <v>0.16868348962678303</v>
      </c>
      <c r="AL43" s="57">
        <f t="shared" si="56"/>
        <v>0.17038094346677618</v>
      </c>
      <c r="AM43" s="57">
        <f t="shared" si="56"/>
        <v>0.17376691066658809</v>
      </c>
      <c r="AN43" s="57">
        <f t="shared" si="56"/>
        <v>0.1675272542223856</v>
      </c>
      <c r="AO43" s="57">
        <f t="shared" si="56"/>
        <v>0.16378330691383464</v>
      </c>
      <c r="AP43" s="57">
        <f t="shared" si="56"/>
        <v>0.17855956564932257</v>
      </c>
      <c r="AQ43" s="57">
        <f t="shared" si="56"/>
        <v>0.17925588111147345</v>
      </c>
      <c r="AR43" s="57">
        <f t="shared" si="56"/>
        <v>0.19070971418168819</v>
      </c>
      <c r="AS43" s="57">
        <f t="shared" si="56"/>
        <v>0.14620686806705696</v>
      </c>
      <c r="AT43" s="57">
        <f t="shared" si="56"/>
        <v>0.17317700614034093</v>
      </c>
      <c r="AU43" s="57">
        <f t="shared" si="56"/>
        <v>0.15473986115535648</v>
      </c>
      <c r="AV43" s="57">
        <f t="shared" si="56"/>
        <v>0.16297652420164371</v>
      </c>
      <c r="AW43" s="57">
        <f t="shared" si="56"/>
        <v>0.12576868766314903</v>
      </c>
      <c r="AX43" s="57">
        <f t="shared" si="56"/>
        <v>0.13591545219910597</v>
      </c>
      <c r="AY43" s="57">
        <f t="shared" si="56"/>
        <v>0.12072008572632041</v>
      </c>
      <c r="AZ43" s="57">
        <f t="shared" si="56"/>
        <v>0.13861306976981139</v>
      </c>
      <c r="BA43" s="57">
        <f t="shared" si="56"/>
        <v>0.12136715969382378</v>
      </c>
      <c r="BB43" s="57">
        <f t="shared" si="56"/>
        <v>0.12925075215485943</v>
      </c>
      <c r="BC43" s="57">
        <f t="shared" si="56"/>
        <v>0.13328306352273328</v>
      </c>
      <c r="BD43" s="57">
        <f t="shared" si="56"/>
        <v>0.13860379803672279</v>
      </c>
      <c r="BE43" s="57">
        <f t="shared" si="56"/>
        <v>0.19482347419458634</v>
      </c>
      <c r="BF43" s="57">
        <f t="shared" si="56"/>
        <v>0.25396365502253149</v>
      </c>
      <c r="BG43" s="57">
        <f t="shared" si="56"/>
        <v>0.32814957008500573</v>
      </c>
      <c r="BH43" s="57">
        <f t="shared" si="56"/>
        <v>0.36437872108342534</v>
      </c>
      <c r="BI43" s="57">
        <f t="shared" si="56"/>
        <v>0.28186332172023071</v>
      </c>
      <c r="BJ43" s="57">
        <f t="shared" si="56"/>
        <v>0.28647923499001221</v>
      </c>
      <c r="BK43" s="57">
        <f t="shared" si="56"/>
        <v>0.22003807368406658</v>
      </c>
      <c r="BL43" s="57">
        <f t="shared" si="56"/>
        <v>0.28652454063966382</v>
      </c>
      <c r="BM43" s="57">
        <f t="shared" si="56"/>
        <v>0.30115091149340772</v>
      </c>
      <c r="BN43" s="57">
        <f t="shared" si="56"/>
        <v>0.31188911517438828</v>
      </c>
      <c r="BO43" s="57">
        <f t="shared" si="56"/>
        <v>0.34324830784357269</v>
      </c>
      <c r="BP43" s="57">
        <f t="shared" si="56"/>
        <v>0.25483242364256697</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1265893575.3392</v>
      </c>
      <c r="C45" s="26">
        <f t="shared" ref="C45:BN45" si="58">C70*C69</f>
        <v>1264103428.02</v>
      </c>
      <c r="D45" s="26">
        <f t="shared" si="58"/>
        <v>1243938292.4160001</v>
      </c>
      <c r="E45" s="26">
        <f t="shared" si="58"/>
        <v>1207982976.1632001</v>
      </c>
      <c r="F45" s="26">
        <f t="shared" si="58"/>
        <v>1174872426.9848001</v>
      </c>
      <c r="G45" s="26">
        <f t="shared" si="58"/>
        <v>1143316738.1808</v>
      </c>
      <c r="H45" s="26">
        <f t="shared" si="58"/>
        <v>909097562.51359999</v>
      </c>
      <c r="I45" s="26">
        <f t="shared" si="58"/>
        <v>869958067.53279996</v>
      </c>
      <c r="J45" s="26">
        <f t="shared" si="58"/>
        <v>863779874.80080009</v>
      </c>
      <c r="K45" s="26">
        <f t="shared" si="58"/>
        <v>834767468.21520007</v>
      </c>
      <c r="L45" s="26">
        <f t="shared" si="58"/>
        <v>839271760.55920005</v>
      </c>
      <c r="M45" s="26">
        <f t="shared" si="58"/>
        <v>781810727.71360004</v>
      </c>
      <c r="N45" s="26">
        <f t="shared" si="58"/>
        <v>754374245.25440001</v>
      </c>
      <c r="O45" s="26">
        <f t="shared" si="58"/>
        <v>733102043.39600003</v>
      </c>
      <c r="P45" s="26">
        <f t="shared" si="58"/>
        <v>733802889.48080003</v>
      </c>
      <c r="Q45" s="26">
        <f t="shared" si="58"/>
        <v>708527008.91759992</v>
      </c>
      <c r="R45" s="26">
        <f t="shared" si="58"/>
        <v>671934162.29919994</v>
      </c>
      <c r="S45" s="26">
        <f t="shared" si="58"/>
        <v>652254899.74960005</v>
      </c>
      <c r="T45" s="26">
        <f t="shared" si="58"/>
        <v>662814583.59200001</v>
      </c>
      <c r="U45" s="26">
        <f t="shared" si="58"/>
        <v>642110809.72879994</v>
      </c>
      <c r="V45" s="26">
        <f t="shared" si="58"/>
        <v>623458329.64400005</v>
      </c>
      <c r="W45" s="26">
        <f t="shared" si="58"/>
        <v>605297176.31840003</v>
      </c>
      <c r="X45" s="26">
        <f t="shared" si="58"/>
        <v>616756038.20959997</v>
      </c>
      <c r="Y45" s="26">
        <f t="shared" si="58"/>
        <v>597815343.21360004</v>
      </c>
      <c r="Z45" s="26">
        <f t="shared" si="58"/>
        <v>582484592.54559994</v>
      </c>
      <c r="AA45" s="26">
        <f t="shared" si="58"/>
        <v>566977964.57519996</v>
      </c>
      <c r="AB45" s="26">
        <f t="shared" si="58"/>
        <v>582038526.51680005</v>
      </c>
      <c r="AC45" s="26">
        <f t="shared" si="58"/>
        <v>567090116.32879996</v>
      </c>
      <c r="AD45" s="26">
        <f t="shared" si="58"/>
        <v>550122054.4216001</v>
      </c>
      <c r="AE45" s="26">
        <f t="shared" si="58"/>
        <v>538425653.648</v>
      </c>
      <c r="AF45" s="26">
        <f t="shared" si="58"/>
        <v>554212861.1336</v>
      </c>
      <c r="AG45" s="26">
        <f t="shared" si="58"/>
        <v>540892635.65999997</v>
      </c>
      <c r="AH45" s="26">
        <f t="shared" si="58"/>
        <v>524429282.33360004</v>
      </c>
      <c r="AI45" s="26">
        <f t="shared" si="58"/>
        <v>510249713.89440006</v>
      </c>
      <c r="AJ45" s="26">
        <f t="shared" si="58"/>
        <v>524186031.03440005</v>
      </c>
      <c r="AK45" s="26">
        <f t="shared" si="58"/>
        <v>510829726.44160002</v>
      </c>
      <c r="AL45" s="26">
        <f t="shared" si="58"/>
        <v>497825966.65280002</v>
      </c>
      <c r="AM45" s="26">
        <f t="shared" si="58"/>
        <v>488637143.13519996</v>
      </c>
      <c r="AN45" s="26">
        <f t="shared" si="58"/>
        <v>493030791.50639999</v>
      </c>
      <c r="AO45" s="26">
        <f t="shared" si="58"/>
        <v>482732361.824</v>
      </c>
      <c r="AP45" s="26">
        <f t="shared" si="58"/>
        <v>473995604.52160007</v>
      </c>
      <c r="AQ45" s="26">
        <f t="shared" si="58"/>
        <v>463999897.33120006</v>
      </c>
      <c r="AR45" s="26">
        <f t="shared" si="58"/>
        <v>470403219.11919999</v>
      </c>
      <c r="AS45" s="26">
        <f t="shared" si="58"/>
        <v>458887452.02559996</v>
      </c>
      <c r="AT45" s="26">
        <f t="shared" si="58"/>
        <v>361441862.63120002</v>
      </c>
      <c r="AU45" s="26">
        <f t="shared" si="58"/>
        <v>353320118.25279999</v>
      </c>
      <c r="AV45" s="26">
        <f t="shared" si="58"/>
        <v>346266499.54480004</v>
      </c>
      <c r="AW45" s="26">
        <f t="shared" si="58"/>
        <v>348625570.60320002</v>
      </c>
      <c r="AX45" s="26">
        <f t="shared" si="58"/>
        <v>344074278.83599997</v>
      </c>
      <c r="AY45" s="26">
        <f t="shared" si="58"/>
        <v>336365464.72240001</v>
      </c>
      <c r="AZ45" s="26">
        <f t="shared" si="58"/>
        <v>339987085.736</v>
      </c>
      <c r="BA45" s="26">
        <f t="shared" si="58"/>
        <v>332247827.14480001</v>
      </c>
      <c r="BB45" s="26">
        <f t="shared" si="58"/>
        <v>326317067.50959998</v>
      </c>
      <c r="BC45" s="26">
        <f t="shared" si="58"/>
        <v>321026997.63919997</v>
      </c>
      <c r="BD45" s="26">
        <f t="shared" si="58"/>
        <v>335940676.20959997</v>
      </c>
      <c r="BE45" s="26">
        <f t="shared" si="58"/>
        <v>329994704.65680003</v>
      </c>
      <c r="BF45" s="26">
        <f t="shared" si="58"/>
        <v>326618842.22640002</v>
      </c>
      <c r="BG45" s="26">
        <f t="shared" si="58"/>
        <v>329188606.39520001</v>
      </c>
      <c r="BH45" s="26">
        <f t="shared" si="58"/>
        <v>321402884.78640002</v>
      </c>
      <c r="BI45" s="26">
        <f t="shared" si="58"/>
        <v>311224001.736</v>
      </c>
      <c r="BJ45" s="26">
        <f t="shared" si="58"/>
        <v>303086523.78640002</v>
      </c>
      <c r="BK45" s="26">
        <f t="shared" si="58"/>
        <v>293914198.7888</v>
      </c>
      <c r="BL45" s="26">
        <f t="shared" si="58"/>
        <v>109747018.4824</v>
      </c>
      <c r="BM45" s="26">
        <f t="shared" si="58"/>
        <v>114666442.368</v>
      </c>
      <c r="BN45" s="26">
        <f t="shared" si="58"/>
        <v>90375741.004799992</v>
      </c>
      <c r="BO45" s="26">
        <f t="shared" ref="BO45:CJ45" si="59">BO70*BO69</f>
        <v>77798894.442399994</v>
      </c>
      <c r="BP45" s="26">
        <f t="shared" si="59"/>
        <v>0</v>
      </c>
      <c r="BQ45" s="26">
        <f t="shared" si="59"/>
        <v>0</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-377728842.17919993</v>
      </c>
      <c r="C47" s="28">
        <f t="shared" ref="C47:BN47" si="62">C42-C45</f>
        <v>-602099933.93999994</v>
      </c>
      <c r="D47" s="28">
        <f t="shared" si="62"/>
        <v>-812885730.00600016</v>
      </c>
      <c r="E47" s="28">
        <f t="shared" si="62"/>
        <v>350655561.32679963</v>
      </c>
      <c r="F47" s="28">
        <f t="shared" si="62"/>
        <v>-21263692.50480032</v>
      </c>
      <c r="G47" s="28">
        <f t="shared" si="62"/>
        <v>-363982810.34080005</v>
      </c>
      <c r="H47" s="28">
        <f t="shared" si="62"/>
        <v>-491862549.43359995</v>
      </c>
      <c r="I47" s="28">
        <f t="shared" si="62"/>
        <v>504600808.12719989</v>
      </c>
      <c r="J47" s="28">
        <f t="shared" si="62"/>
        <v>181373525.72919965</v>
      </c>
      <c r="K47" s="28">
        <f t="shared" si="62"/>
        <v>-152199552.47520006</v>
      </c>
      <c r="L47" s="28">
        <f t="shared" si="62"/>
        <v>-509779316.98920006</v>
      </c>
      <c r="M47" s="28">
        <f t="shared" si="62"/>
        <v>488771350.05639946</v>
      </c>
      <c r="N47" s="28">
        <f t="shared" si="62"/>
        <v>176581270.52560067</v>
      </c>
      <c r="O47" s="28">
        <f t="shared" si="62"/>
        <v>-68049050.845999956</v>
      </c>
      <c r="P47" s="28">
        <f t="shared" si="62"/>
        <v>-414779382.44080001</v>
      </c>
      <c r="Q47" s="28">
        <f t="shared" si="62"/>
        <v>517168584.19240069</v>
      </c>
      <c r="R47" s="28">
        <f t="shared" si="62"/>
        <v>127251289.58080018</v>
      </c>
      <c r="S47" s="28">
        <f t="shared" si="62"/>
        <v>-98560229.739600062</v>
      </c>
      <c r="T47" s="28">
        <f t="shared" si="62"/>
        <v>-402623865.52200001</v>
      </c>
      <c r="U47" s="28">
        <f t="shared" si="62"/>
        <v>291625540.91120052</v>
      </c>
      <c r="V47" s="28">
        <f t="shared" si="62"/>
        <v>83808848.315999985</v>
      </c>
      <c r="W47" s="28">
        <f t="shared" si="62"/>
        <v>-131644414.92839974</v>
      </c>
      <c r="X47" s="28">
        <f t="shared" si="62"/>
        <v>-379997350.75960004</v>
      </c>
      <c r="Y47" s="28">
        <f t="shared" si="62"/>
        <v>193063900.22639954</v>
      </c>
      <c r="Z47" s="28">
        <f t="shared" si="62"/>
        <v>25934609.794399738</v>
      </c>
      <c r="AA47" s="28">
        <f t="shared" si="62"/>
        <v>-159651611.8651998</v>
      </c>
      <c r="AB47" s="28">
        <f t="shared" si="62"/>
        <v>-392189673.30679989</v>
      </c>
      <c r="AC47" s="28">
        <f t="shared" si="62"/>
        <v>118062304.0411998</v>
      </c>
      <c r="AD47" s="28">
        <f t="shared" si="62"/>
        <v>-34068279.011600256</v>
      </c>
      <c r="AE47" s="28">
        <f t="shared" si="62"/>
        <v>-219566080.94800007</v>
      </c>
      <c r="AF47" s="28">
        <f t="shared" si="62"/>
        <v>-387254968.29360008</v>
      </c>
      <c r="AG47" s="28">
        <f t="shared" si="62"/>
        <v>146544776.35000002</v>
      </c>
      <c r="AH47" s="28">
        <f t="shared" si="62"/>
        <v>-39445078.623599708</v>
      </c>
      <c r="AI47" s="28">
        <f t="shared" si="62"/>
        <v>-217712016.7044</v>
      </c>
      <c r="AJ47" s="28">
        <f t="shared" si="62"/>
        <v>-357232223.62440008</v>
      </c>
      <c r="AK47" s="28">
        <f t="shared" si="62"/>
        <v>46852984.498399913</v>
      </c>
      <c r="AL47" s="28">
        <f t="shared" si="62"/>
        <v>-97558092.212800205</v>
      </c>
      <c r="AM47" s="28">
        <f t="shared" si="62"/>
        <v>-219327376.74519992</v>
      </c>
      <c r="AN47" s="28">
        <f t="shared" si="62"/>
        <v>-364300420.4763999</v>
      </c>
      <c r="AO47" s="28">
        <f t="shared" si="62"/>
        <v>16757859.375999928</v>
      </c>
      <c r="AP47" s="28">
        <f t="shared" si="62"/>
        <v>-69518548.041599989</v>
      </c>
      <c r="AQ47" s="28">
        <f t="shared" si="62"/>
        <v>-193062547.36120003</v>
      </c>
      <c r="AR47" s="28">
        <f t="shared" si="62"/>
        <v>-326456130.44920003</v>
      </c>
      <c r="AS47" s="28">
        <f t="shared" si="62"/>
        <v>-66550087.875599861</v>
      </c>
      <c r="AT47" s="28">
        <f t="shared" si="62"/>
        <v>-23161146.411200047</v>
      </c>
      <c r="AU47" s="28">
        <f t="shared" si="62"/>
        <v>-156067833.1527999</v>
      </c>
      <c r="AV47" s="28">
        <f t="shared" si="62"/>
        <v>-245048115.22479999</v>
      </c>
      <c r="AW47" s="28">
        <f t="shared" si="62"/>
        <v>-45548493.753199875</v>
      </c>
      <c r="AX47" s="28">
        <f t="shared" si="62"/>
        <v>-101796960.83599997</v>
      </c>
      <c r="AY47" s="28">
        <f t="shared" si="62"/>
        <v>-192960823.1523999</v>
      </c>
      <c r="AZ47" s="28">
        <f t="shared" si="62"/>
        <v>-258246353.37600002</v>
      </c>
      <c r="BA47" s="28">
        <f t="shared" si="62"/>
        <v>-71392391.364800215</v>
      </c>
      <c r="BB47" s="28">
        <f t="shared" si="62"/>
        <v>-129802732.9095999</v>
      </c>
      <c r="BC47" s="28">
        <f t="shared" si="62"/>
        <v>-190465638.96919993</v>
      </c>
      <c r="BD47" s="28">
        <f t="shared" si="62"/>
        <v>-274116031.76959997</v>
      </c>
      <c r="BE47" s="28">
        <f t="shared" si="62"/>
        <v>-29814074.986800075</v>
      </c>
      <c r="BF47" s="28">
        <f t="shared" si="62"/>
        <v>-48875286.626400054</v>
      </c>
      <c r="BG47" s="28">
        <f t="shared" si="62"/>
        <v>-94795122.685199976</v>
      </c>
      <c r="BH47" s="28">
        <f t="shared" si="62"/>
        <v>-194166846.66640002</v>
      </c>
      <c r="BI47" s="28">
        <f t="shared" si="62"/>
        <v>-11927133.785999954</v>
      </c>
      <c r="BJ47" s="28">
        <f t="shared" si="62"/>
        <v>-103047982.10639998</v>
      </c>
      <c r="BK47" s="28">
        <f t="shared" si="62"/>
        <v>-206928665.3488</v>
      </c>
      <c r="BL47" s="28">
        <f t="shared" si="62"/>
        <v>-39027923.742400005</v>
      </c>
      <c r="BM47" s="28">
        <f t="shared" si="62"/>
        <v>168311698.09200004</v>
      </c>
      <c r="BN47" s="28">
        <f t="shared" si="62"/>
        <v>44469245.125199944</v>
      </c>
      <c r="BO47" s="28">
        <f t="shared" ref="BO47:CJ47" si="63">BO42-BO45</f>
        <v>209975160.36760002</v>
      </c>
      <c r="BP47" s="28">
        <f t="shared" si="63"/>
        <v>198834245.46000007</v>
      </c>
      <c r="BQ47" s="28">
        <f t="shared" si="63"/>
        <v>0</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20020630</v>
      </c>
      <c r="BO51" s="189">
        <v>20011231</v>
      </c>
      <c r="BP51" s="189">
        <v>20001231</v>
      </c>
      <c r="BQ51" s="189">
        <v>19700101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0" t="s">
        <v>572</v>
      </c>
      <c r="B52" s="42">
        <v>-25636</v>
      </c>
      <c r="C52" s="42">
        <v>-27718</v>
      </c>
      <c r="D52" s="42">
        <v>-35317</v>
      </c>
      <c r="E52" s="42">
        <v>-14217390.41</v>
      </c>
      <c r="F52" s="42">
        <v>-34414</v>
      </c>
      <c r="G52" s="42">
        <v>-23309</v>
      </c>
      <c r="H52" s="42">
        <v>-16814</v>
      </c>
      <c r="I52" s="42">
        <v>-17489937.600000001</v>
      </c>
      <c r="J52" s="42"/>
      <c r="K52" s="42"/>
      <c r="M52" s="43">
        <v>-51039731.609999999</v>
      </c>
      <c r="Q52" s="43">
        <v>-38853110.369999997</v>
      </c>
      <c r="U52" s="43">
        <v>-21029133.91</v>
      </c>
      <c r="Y52" s="43">
        <v>-13760306.32</v>
      </c>
      <c r="AC52" s="43">
        <v>-15553702.25</v>
      </c>
      <c r="AG52" s="43">
        <v>-10980102.630000001</v>
      </c>
      <c r="AK52" s="43">
        <v>-6969712.6799999997</v>
      </c>
      <c r="AO52" s="274">
        <v>-9446858.8000000007</v>
      </c>
    </row>
    <row r="53" spans="1:89" s="43" customFormat="1" x14ac:dyDescent="0.25">
      <c r="A53" s="131" t="s">
        <v>90</v>
      </c>
      <c r="B53" s="42">
        <v>217</v>
      </c>
      <c r="C53" s="42">
        <v>189</v>
      </c>
      <c r="D53" s="42"/>
      <c r="E53" s="42">
        <v>38173947.5</v>
      </c>
      <c r="F53" s="42"/>
      <c r="G53" s="42"/>
      <c r="H53" s="42"/>
      <c r="I53" s="42">
        <v>1597114.59</v>
      </c>
      <c r="J53" s="42"/>
      <c r="K53" s="42"/>
      <c r="U53" s="43">
        <v>20883814.989999998</v>
      </c>
      <c r="Y53" s="43">
        <v>62267001.710000001</v>
      </c>
      <c r="AC53" s="43">
        <v>74773714.959999993</v>
      </c>
      <c r="AD53" s="42"/>
      <c r="AE53" s="42"/>
      <c r="AF53" s="42"/>
      <c r="AG53" s="42">
        <v>54014508.630000003</v>
      </c>
      <c r="AH53" s="42"/>
      <c r="AI53" s="42"/>
      <c r="AJ53" s="42"/>
      <c r="AK53" s="42">
        <v>68251435.349999994</v>
      </c>
      <c r="AL53" s="42"/>
      <c r="AM53" s="42"/>
      <c r="AN53" s="42"/>
      <c r="AO53" s="42">
        <v>89878248.040000007</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41861.230000000003</v>
      </c>
      <c r="F54" s="42">
        <v>2684</v>
      </c>
      <c r="G54" s="42">
        <v>-377</v>
      </c>
      <c r="H54" s="42">
        <v>1008</v>
      </c>
      <c r="I54" s="42">
        <v>-5297631.01</v>
      </c>
      <c r="J54" s="42"/>
      <c r="K54" s="42"/>
      <c r="M54" s="43">
        <v>652325.63</v>
      </c>
      <c r="Q54" s="43">
        <v>-191552.37</v>
      </c>
      <c r="U54" s="43">
        <v>-38901.18</v>
      </c>
      <c r="Y54" s="43">
        <v>-23095.99</v>
      </c>
      <c r="AC54" s="43">
        <v>558628.61</v>
      </c>
      <c r="AG54" s="43">
        <v>457291.29</v>
      </c>
      <c r="AK54" s="43">
        <v>50891.17</v>
      </c>
      <c r="AO54" s="43">
        <v>7764053.1799999997</v>
      </c>
    </row>
    <row r="55" spans="1:89" s="43" customFormat="1" x14ac:dyDescent="0.25">
      <c r="A55" s="131" t="s">
        <v>92</v>
      </c>
      <c r="B55" s="42">
        <v>463</v>
      </c>
      <c r="C55" s="42">
        <v>603</v>
      </c>
      <c r="D55" s="42">
        <v>653</v>
      </c>
      <c r="E55" s="42">
        <v>11746451.93</v>
      </c>
      <c r="F55" s="42">
        <v>1204</v>
      </c>
      <c r="G55" s="42">
        <v>868</v>
      </c>
      <c r="H55" s="42">
        <v>644</v>
      </c>
      <c r="I55" s="42">
        <v>12017833.970000001</v>
      </c>
      <c r="J55" s="42"/>
      <c r="K55" s="42"/>
      <c r="M55" s="43">
        <v>2652605.88</v>
      </c>
      <c r="Q55" s="43">
        <v>3041993.9</v>
      </c>
      <c r="U55" s="43">
        <v>3404750.12</v>
      </c>
      <c r="Y55" s="43">
        <v>5866969.0599999996</v>
      </c>
      <c r="AC55" s="43">
        <v>9000926.25</v>
      </c>
      <c r="AG55" s="43">
        <v>6881416.9900000002</v>
      </c>
      <c r="AK55" s="43">
        <v>8681269.6899999995</v>
      </c>
      <c r="AO55" s="43">
        <v>10100245.08</v>
      </c>
    </row>
    <row r="56" spans="1:89" s="26" customFormat="1" x14ac:dyDescent="0.25">
      <c r="A56" s="132" t="s">
        <v>93</v>
      </c>
      <c r="B56" s="44">
        <f>SUM(B52:B55)</f>
        <v>-21852</v>
      </c>
      <c r="C56" s="44">
        <f t="shared" ref="C56:D56" si="64">SUM(C52:C55)</f>
        <v>-28350</v>
      </c>
      <c r="D56" s="44">
        <f t="shared" si="64"/>
        <v>-35004</v>
      </c>
      <c r="E56" s="44">
        <f>SUM(E52:E55)</f>
        <v>35744870.25</v>
      </c>
      <c r="F56" s="44">
        <f t="shared" ref="F56:BQ56" si="65">SUM(F52:F55)</f>
        <v>-30526</v>
      </c>
      <c r="G56" s="44">
        <f t="shared" si="65"/>
        <v>-22818</v>
      </c>
      <c r="H56" s="44">
        <f t="shared" si="65"/>
        <v>-15162</v>
      </c>
      <c r="I56" s="44">
        <f t="shared" si="65"/>
        <v>-9172620.0500000026</v>
      </c>
      <c r="J56" s="44">
        <f t="shared" si="65"/>
        <v>0</v>
      </c>
      <c r="K56" s="44">
        <f t="shared" si="65"/>
        <v>0</v>
      </c>
      <c r="L56" s="44">
        <f t="shared" si="65"/>
        <v>0</v>
      </c>
      <c r="M56" s="44">
        <f t="shared" si="65"/>
        <v>-47734800.099999994</v>
      </c>
      <c r="N56" s="44">
        <f t="shared" si="65"/>
        <v>0</v>
      </c>
      <c r="O56" s="44">
        <f t="shared" si="65"/>
        <v>0</v>
      </c>
      <c r="P56" s="44">
        <f t="shared" si="65"/>
        <v>0</v>
      </c>
      <c r="Q56" s="44">
        <f t="shared" si="65"/>
        <v>-36002668.839999996</v>
      </c>
      <c r="R56" s="44">
        <f t="shared" si="65"/>
        <v>0</v>
      </c>
      <c r="S56" s="44">
        <f t="shared" si="65"/>
        <v>0</v>
      </c>
      <c r="T56" s="44">
        <f t="shared" si="65"/>
        <v>0</v>
      </c>
      <c r="U56" s="44">
        <f t="shared" si="65"/>
        <v>3220530.0199999982</v>
      </c>
      <c r="V56" s="44">
        <f t="shared" si="65"/>
        <v>0</v>
      </c>
      <c r="W56" s="44">
        <f t="shared" si="65"/>
        <v>0</v>
      </c>
      <c r="X56" s="44">
        <f t="shared" si="65"/>
        <v>0</v>
      </c>
      <c r="Y56" s="44">
        <f t="shared" si="65"/>
        <v>54350568.460000001</v>
      </c>
      <c r="Z56" s="44">
        <f t="shared" si="65"/>
        <v>0</v>
      </c>
      <c r="AA56" s="44">
        <f t="shared" si="65"/>
        <v>0</v>
      </c>
      <c r="AB56" s="44">
        <f t="shared" si="65"/>
        <v>0</v>
      </c>
      <c r="AC56" s="44">
        <f t="shared" si="65"/>
        <v>68779567.569999993</v>
      </c>
      <c r="AD56" s="44">
        <f t="shared" si="65"/>
        <v>0</v>
      </c>
      <c r="AE56" s="44">
        <f t="shared" si="65"/>
        <v>0</v>
      </c>
      <c r="AF56" s="44">
        <f t="shared" si="65"/>
        <v>0</v>
      </c>
      <c r="AG56" s="44">
        <f t="shared" si="65"/>
        <v>50373114.280000001</v>
      </c>
      <c r="AH56" s="44">
        <f t="shared" si="65"/>
        <v>0</v>
      </c>
      <c r="AI56" s="44">
        <f t="shared" si="65"/>
        <v>0</v>
      </c>
      <c r="AJ56" s="44">
        <f t="shared" si="65"/>
        <v>0</v>
      </c>
      <c r="AK56" s="44">
        <f t="shared" si="65"/>
        <v>70013883.530000001</v>
      </c>
      <c r="AL56" s="44">
        <f t="shared" si="65"/>
        <v>0</v>
      </c>
      <c r="AM56" s="44">
        <f t="shared" si="65"/>
        <v>0</v>
      </c>
      <c r="AN56" s="44">
        <f t="shared" si="65"/>
        <v>0</v>
      </c>
      <c r="AO56" s="44">
        <f t="shared" si="65"/>
        <v>98295687.500000015</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9">
        <v>939631066.07000005</v>
      </c>
      <c r="C59" s="189">
        <v>715790949.39999998</v>
      </c>
      <c r="D59" s="189">
        <v>436436314.19999999</v>
      </c>
      <c r="E59" s="189">
        <v>1601244176.3199999</v>
      </c>
      <c r="F59" s="189">
        <v>1180049882.3399999</v>
      </c>
      <c r="G59" s="189">
        <v>786451405.75</v>
      </c>
      <c r="H59" s="189">
        <v>410774438.57999998</v>
      </c>
      <c r="I59" s="189">
        <v>1391941654.5899999</v>
      </c>
      <c r="J59" s="189">
        <v>1059693410.16</v>
      </c>
      <c r="K59" s="189">
        <v>698077259.34000003</v>
      </c>
      <c r="L59" s="189">
        <v>345324898.5</v>
      </c>
      <c r="M59" s="189">
        <v>1294566134.0799999</v>
      </c>
      <c r="N59" s="189">
        <v>963266648.27999997</v>
      </c>
      <c r="O59" s="189">
        <v>649543648.95000005</v>
      </c>
      <c r="P59" s="189">
        <v>323870176.92000002</v>
      </c>
      <c r="Q59" s="189">
        <v>1156854699.4300001</v>
      </c>
      <c r="R59" s="189">
        <v>795687915.22000003</v>
      </c>
      <c r="S59" s="189">
        <v>557628693.83000004</v>
      </c>
      <c r="T59" s="189">
        <v>266014710.68000001</v>
      </c>
      <c r="U59" s="189">
        <v>950544033.99000001</v>
      </c>
      <c r="V59" s="189">
        <v>707267177.96000004</v>
      </c>
      <c r="W59" s="189">
        <v>478932761.38999999</v>
      </c>
      <c r="X59" s="189">
        <v>231148687.44999999</v>
      </c>
      <c r="Y59" s="189">
        <v>791113116.50999999</v>
      </c>
      <c r="Z59" s="189">
        <v>608419202.34000003</v>
      </c>
      <c r="AA59" s="189">
        <v>408646352.70999998</v>
      </c>
      <c r="AB59" s="189">
        <v>190838853.21000001</v>
      </c>
      <c r="AC59" s="189">
        <v>730351975.23000002</v>
      </c>
      <c r="AD59" s="189">
        <v>516053775.41000003</v>
      </c>
      <c r="AE59" s="189">
        <v>338989572.69999999</v>
      </c>
      <c r="AF59" s="189">
        <v>171247892.84</v>
      </c>
      <c r="AG59" s="189">
        <v>622596120.28999996</v>
      </c>
      <c r="AH59" s="189">
        <v>484984203.70999998</v>
      </c>
      <c r="AI59" s="189">
        <v>292537697.19</v>
      </c>
      <c r="AJ59" s="189">
        <v>166953807.41</v>
      </c>
      <c r="AK59" s="189">
        <v>566414871.79999995</v>
      </c>
      <c r="AL59" s="189">
        <v>400267874.44</v>
      </c>
      <c r="AM59" s="189">
        <v>269309766.38999999</v>
      </c>
      <c r="AN59" s="189">
        <v>128730371.03</v>
      </c>
      <c r="AO59" s="189">
        <v>517354519.45999998</v>
      </c>
      <c r="AP59" s="189">
        <v>404477056.48000002</v>
      </c>
      <c r="AQ59" s="189">
        <v>270937349.97000003</v>
      </c>
      <c r="AR59" s="189">
        <v>143947088.66999999</v>
      </c>
      <c r="AS59" s="189">
        <v>392337364.14999998</v>
      </c>
      <c r="AT59" s="189">
        <v>338280716.22000003</v>
      </c>
      <c r="AU59" s="189">
        <v>197252285.09999999</v>
      </c>
      <c r="AV59" s="189">
        <v>101218384.31999999</v>
      </c>
      <c r="AW59" s="189">
        <v>303275488.56</v>
      </c>
      <c r="AX59" s="189">
        <v>242466485.52000001</v>
      </c>
      <c r="AY59" s="189">
        <v>143593809.09</v>
      </c>
      <c r="AZ59" s="189">
        <v>81740732.359999999</v>
      </c>
      <c r="BA59" s="189">
        <v>261558105.72999999</v>
      </c>
      <c r="BB59" s="189">
        <v>197217004.55000001</v>
      </c>
      <c r="BC59" s="189">
        <v>130849772.20999999</v>
      </c>
      <c r="BD59" s="189">
        <v>61824644.439999998</v>
      </c>
      <c r="BE59" s="189">
        <v>300233917.98000002</v>
      </c>
      <c r="BF59" s="189">
        <v>277743555.60000002</v>
      </c>
      <c r="BG59" s="189">
        <v>234393483.71000001</v>
      </c>
      <c r="BH59" s="189">
        <v>127236038.12</v>
      </c>
      <c r="BI59" s="189">
        <v>312149875.5</v>
      </c>
      <c r="BJ59" s="189">
        <v>209321026.94</v>
      </c>
      <c r="BK59" s="189">
        <v>94666964.260000005</v>
      </c>
      <c r="BL59" s="189">
        <v>75007201.430000007</v>
      </c>
      <c r="BM59" s="189">
        <v>296590044.66000003</v>
      </c>
      <c r="BN59" s="189">
        <v>140611151.47999999</v>
      </c>
      <c r="BO59" s="189">
        <v>300977320.37</v>
      </c>
      <c r="BP59" s="189">
        <v>201929320.36000001</v>
      </c>
      <c r="BQ59" s="189">
        <v>0</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312893396.74000001</v>
      </c>
      <c r="C60" s="189">
        <v>239172814.25</v>
      </c>
      <c r="D60" s="189">
        <v>159952657.62</v>
      </c>
      <c r="E60" s="189">
        <v>564537893.88</v>
      </c>
      <c r="F60" s="189">
        <v>397243514</v>
      </c>
      <c r="G60" s="189">
        <v>264754267.06</v>
      </c>
      <c r="H60" s="189">
        <v>135450088.46000001</v>
      </c>
      <c r="I60" s="189">
        <v>512767558.44</v>
      </c>
      <c r="J60" s="189">
        <v>361196177.08999997</v>
      </c>
      <c r="K60" s="189">
        <v>240383012.94999999</v>
      </c>
      <c r="L60" s="189">
        <v>117048465.54000001</v>
      </c>
      <c r="M60" s="189">
        <v>457704880.73000002</v>
      </c>
      <c r="N60" s="189">
        <v>330851984.33999997</v>
      </c>
      <c r="O60" s="189">
        <v>215826394.11000001</v>
      </c>
      <c r="P60" s="189">
        <v>111873062.23</v>
      </c>
      <c r="Q60" s="189">
        <v>392793096.38</v>
      </c>
      <c r="R60" s="189">
        <v>255606404.49000001</v>
      </c>
      <c r="S60" s="189">
        <v>160397553.15000001</v>
      </c>
      <c r="T60" s="189">
        <v>90681555.269999996</v>
      </c>
      <c r="U60" s="189">
        <v>338955137.13999999</v>
      </c>
      <c r="V60" s="189">
        <v>234245841.41</v>
      </c>
      <c r="W60" s="189">
        <v>156417397.94</v>
      </c>
      <c r="X60" s="189">
        <v>83887613.879999995</v>
      </c>
      <c r="Y60" s="189">
        <v>276351152.68000001</v>
      </c>
      <c r="Z60" s="189">
        <v>204310273.06999999</v>
      </c>
      <c r="AA60" s="189">
        <v>139660815.12</v>
      </c>
      <c r="AB60" s="189">
        <v>69214115.569999993</v>
      </c>
      <c r="AC60" s="189">
        <v>246602089.97</v>
      </c>
      <c r="AD60" s="189">
        <v>209152560.78</v>
      </c>
      <c r="AE60" s="189">
        <v>137306502.83000001</v>
      </c>
      <c r="AF60" s="189">
        <v>61108992.270000003</v>
      </c>
      <c r="AG60" s="189">
        <v>211965685.37</v>
      </c>
      <c r="AH60" s="189">
        <v>171610852.56999999</v>
      </c>
      <c r="AI60" s="189">
        <v>106108938.78</v>
      </c>
      <c r="AJ60" s="189">
        <v>57937097.990000002</v>
      </c>
      <c r="AK60" s="189">
        <v>190844656.52000001</v>
      </c>
      <c r="AL60" s="189">
        <v>148911478.52000001</v>
      </c>
      <c r="AM60" s="189">
        <v>92995539.760000005</v>
      </c>
      <c r="AN60" s="189">
        <v>48318041.299999997</v>
      </c>
      <c r="AO60" s="189">
        <v>187438506.90000001</v>
      </c>
      <c r="AP60" s="189">
        <v>150182469.93000001</v>
      </c>
      <c r="AQ60" s="189">
        <v>98486327.409999996</v>
      </c>
      <c r="AR60" s="189">
        <v>45848319.700000003</v>
      </c>
      <c r="AS60" s="189">
        <v>206272752.88999999</v>
      </c>
      <c r="AT60" s="189">
        <v>176775761.86000001</v>
      </c>
      <c r="AU60" s="189">
        <v>109645933.31</v>
      </c>
      <c r="AV60" s="189">
        <v>52616294.829999998</v>
      </c>
      <c r="AW60" s="189">
        <v>167426582</v>
      </c>
      <c r="AX60" s="189">
        <v>122166894.5</v>
      </c>
      <c r="AY60" s="189">
        <v>72644401.099999994</v>
      </c>
      <c r="AZ60" s="189">
        <v>38599612.770000003</v>
      </c>
      <c r="BA60" s="189">
        <v>137179840.69</v>
      </c>
      <c r="BB60" s="189">
        <v>119138346.31</v>
      </c>
      <c r="BC60" s="189">
        <v>83858977.530000001</v>
      </c>
      <c r="BD60" s="189">
        <v>32362982.66</v>
      </c>
      <c r="BE60" s="189">
        <v>141342176.59999999</v>
      </c>
      <c r="BF60" s="189">
        <v>137050805.11000001</v>
      </c>
      <c r="BG60" s="189">
        <v>113549304.54000001</v>
      </c>
      <c r="BH60" s="189">
        <v>58966055.18</v>
      </c>
      <c r="BI60" s="189">
        <v>149091404.65000001</v>
      </c>
      <c r="BJ60" s="189">
        <v>106834123.59999999</v>
      </c>
      <c r="BK60" s="189">
        <v>46836311.390000001</v>
      </c>
      <c r="BL60" s="189">
        <v>36383392.469999999</v>
      </c>
      <c r="BM60" s="189">
        <v>72220179.099999994</v>
      </c>
      <c r="BN60" s="189">
        <v>30833384.02</v>
      </c>
      <c r="BO60" s="189">
        <v>13866841.029999999</v>
      </c>
      <c r="BP60" s="189">
        <v>107360658.65000001</v>
      </c>
      <c r="BQ60" s="189">
        <v>0</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1252524462.8099999</v>
      </c>
      <c r="C61" s="189">
        <v>954963763.64999998</v>
      </c>
      <c r="D61" s="189">
        <v>596388971.82000005</v>
      </c>
      <c r="E61" s="189">
        <v>2165782070.1999998</v>
      </c>
      <c r="F61" s="189">
        <v>1577293396.3399999</v>
      </c>
      <c r="G61" s="189">
        <v>1051205672.8099999</v>
      </c>
      <c r="H61" s="189">
        <v>546224527.03999996</v>
      </c>
      <c r="I61" s="189">
        <v>1904709213.03</v>
      </c>
      <c r="J61" s="189">
        <v>1420889587.25</v>
      </c>
      <c r="K61" s="189">
        <v>938460272.28999996</v>
      </c>
      <c r="L61" s="189">
        <v>462373364.04000002</v>
      </c>
      <c r="M61" s="189">
        <v>1752271014.8099999</v>
      </c>
      <c r="N61" s="189">
        <v>1294118632.6199999</v>
      </c>
      <c r="O61" s="189">
        <v>865370043.05999994</v>
      </c>
      <c r="P61" s="189">
        <v>435743239.14999998</v>
      </c>
      <c r="Q61" s="189">
        <v>1549647795.8099999</v>
      </c>
      <c r="R61" s="189">
        <v>1051294319.71</v>
      </c>
      <c r="S61" s="189">
        <v>718026246.98000002</v>
      </c>
      <c r="T61" s="189">
        <v>356696265.94999999</v>
      </c>
      <c r="U61" s="189">
        <v>1289499171.1300001</v>
      </c>
      <c r="V61" s="189">
        <v>941513019.37</v>
      </c>
      <c r="W61" s="189">
        <v>635350159.33000004</v>
      </c>
      <c r="X61" s="189">
        <v>315036301.32999998</v>
      </c>
      <c r="Y61" s="189">
        <v>1067464269.1900001</v>
      </c>
      <c r="Z61" s="189">
        <v>812729475.40999997</v>
      </c>
      <c r="AA61" s="189">
        <v>548307167.83000004</v>
      </c>
      <c r="AB61" s="189">
        <v>260052968.78</v>
      </c>
      <c r="AC61" s="189">
        <v>976954065.20000005</v>
      </c>
      <c r="AD61" s="189">
        <v>725206336.19000006</v>
      </c>
      <c r="AE61" s="189">
        <v>476296075.52999997</v>
      </c>
      <c r="AF61" s="189">
        <v>232356885.11000001</v>
      </c>
      <c r="AG61" s="189">
        <v>834561805.65999997</v>
      </c>
      <c r="AH61" s="189">
        <v>656595056.27999997</v>
      </c>
      <c r="AI61" s="189">
        <v>398646635.97000003</v>
      </c>
      <c r="AJ61" s="189">
        <v>224890905.40000001</v>
      </c>
      <c r="AK61" s="189">
        <v>757259528.32000005</v>
      </c>
      <c r="AL61" s="189">
        <v>549179352.96000004</v>
      </c>
      <c r="AM61" s="189">
        <v>362305306.14999998</v>
      </c>
      <c r="AN61" s="189">
        <v>177048412.33000001</v>
      </c>
      <c r="AO61" s="189">
        <v>704793026.36000001</v>
      </c>
      <c r="AP61" s="189">
        <v>554659526.40999997</v>
      </c>
      <c r="AQ61" s="189">
        <v>369423677.38</v>
      </c>
      <c r="AR61" s="189">
        <v>189795408.37</v>
      </c>
      <c r="AS61" s="189">
        <v>598610117.03999996</v>
      </c>
      <c r="AT61" s="189">
        <v>515056478.07999998</v>
      </c>
      <c r="AU61" s="189">
        <v>306898218.41000003</v>
      </c>
      <c r="AV61" s="189">
        <v>153834679.15000001</v>
      </c>
      <c r="AW61" s="189">
        <v>470702070.56</v>
      </c>
      <c r="AX61" s="189">
        <v>364633380.01999998</v>
      </c>
      <c r="AY61" s="189">
        <v>216238210.19</v>
      </c>
      <c r="AZ61" s="189">
        <v>120340345.13</v>
      </c>
      <c r="BA61" s="189">
        <v>398737946.42000002</v>
      </c>
      <c r="BB61" s="189">
        <v>316355350.86000001</v>
      </c>
      <c r="BC61" s="189">
        <v>214708749.74000001</v>
      </c>
      <c r="BD61" s="189">
        <v>94187627.099999994</v>
      </c>
      <c r="BE61" s="189">
        <v>441576094.57999998</v>
      </c>
      <c r="BF61" s="189">
        <v>414794360.70999998</v>
      </c>
      <c r="BG61" s="189">
        <v>347942788.25</v>
      </c>
      <c r="BH61" s="189">
        <v>186202093.30000001</v>
      </c>
      <c r="BI61" s="189">
        <v>461241280.14999998</v>
      </c>
      <c r="BJ61" s="189">
        <v>316155150.54000002</v>
      </c>
      <c r="BK61" s="189">
        <v>141503275.65000001</v>
      </c>
      <c r="BL61" s="189">
        <v>111390593.90000001</v>
      </c>
      <c r="BM61" s="189">
        <v>368810223.75999999</v>
      </c>
      <c r="BN61" s="189">
        <v>171444535.5</v>
      </c>
      <c r="BO61" s="189">
        <v>314844161.39999998</v>
      </c>
      <c r="BP61" s="189">
        <v>309289979.00999999</v>
      </c>
      <c r="BQ61" s="189">
        <v>0</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35859554.469999999</v>
      </c>
      <c r="C65" s="189">
        <v>17785221.48</v>
      </c>
      <c r="D65" s="189">
        <v>8784291.9000000004</v>
      </c>
      <c r="E65" s="189">
        <v>45618283.409999996</v>
      </c>
      <c r="F65" s="189">
        <v>37229182</v>
      </c>
      <c r="G65" s="189">
        <v>18822094.550000001</v>
      </c>
      <c r="H65" s="189">
        <v>8870360.2899999991</v>
      </c>
      <c r="I65" s="189">
        <v>29932347.940000001</v>
      </c>
      <c r="J65" s="189">
        <v>5187464.43</v>
      </c>
      <c r="K65" s="189">
        <v>12605733.449999999</v>
      </c>
      <c r="L65" s="189">
        <v>1081480.5</v>
      </c>
      <c r="M65" s="189">
        <v>17945281.91</v>
      </c>
      <c r="N65" s="189">
        <v>1745025.4</v>
      </c>
      <c r="O65" s="189">
        <v>1089662.45</v>
      </c>
      <c r="P65" s="189">
        <v>-262619.87</v>
      </c>
      <c r="Q65" s="189">
        <v>9699854.5700000003</v>
      </c>
      <c r="R65" s="189">
        <v>1530357.52</v>
      </c>
      <c r="S65" s="189">
        <v>1204031.2</v>
      </c>
      <c r="T65" s="189">
        <v>0</v>
      </c>
      <c r="U65" s="189">
        <v>2048907.71</v>
      </c>
      <c r="V65" s="189">
        <v>0</v>
      </c>
      <c r="W65" s="189">
        <v>0</v>
      </c>
      <c r="X65" s="189">
        <v>0</v>
      </c>
      <c r="Y65" s="189">
        <v>5852000</v>
      </c>
      <c r="Z65" s="189">
        <v>0</v>
      </c>
      <c r="AA65" s="189">
        <v>0</v>
      </c>
      <c r="AB65" s="189">
        <v>0</v>
      </c>
      <c r="AC65" s="189">
        <v>4162400</v>
      </c>
      <c r="AD65" s="189">
        <v>0</v>
      </c>
      <c r="AE65" s="189">
        <v>0</v>
      </c>
      <c r="AF65" s="189">
        <v>0</v>
      </c>
      <c r="AG65" s="189">
        <v>1796315.34</v>
      </c>
      <c r="AH65" s="189">
        <v>1796315.34</v>
      </c>
      <c r="AI65" s="189">
        <v>0</v>
      </c>
      <c r="AJ65" s="189">
        <v>0</v>
      </c>
      <c r="AK65" s="189">
        <v>3371225.25</v>
      </c>
      <c r="AL65" s="189">
        <v>3371225.25</v>
      </c>
      <c r="AM65" s="189">
        <v>0</v>
      </c>
      <c r="AN65" s="189">
        <v>0</v>
      </c>
      <c r="AO65" s="189">
        <v>-35196.129999999997</v>
      </c>
      <c r="AP65" s="189">
        <v>-35196.129999999997</v>
      </c>
      <c r="AQ65" s="189">
        <v>-35196.129999999997</v>
      </c>
      <c r="AR65" s="189">
        <v>129961.41</v>
      </c>
      <c r="AS65" s="189">
        <v>-76523.789999999994</v>
      </c>
      <c r="AT65" s="189">
        <v>3894218.07</v>
      </c>
      <c r="AU65" s="189">
        <v>0</v>
      </c>
      <c r="AV65" s="189">
        <v>0</v>
      </c>
      <c r="AW65" s="189">
        <v>-2274644.3199999998</v>
      </c>
      <c r="AX65" s="189">
        <v>-4307467.5</v>
      </c>
      <c r="AY65" s="189">
        <v>-2072446.83</v>
      </c>
      <c r="AZ65" s="189">
        <v>-455432.01</v>
      </c>
      <c r="BA65" s="189">
        <v>-2871791.97</v>
      </c>
      <c r="BB65" s="189">
        <v>-1876295.55</v>
      </c>
      <c r="BC65" s="189">
        <v>-1529677.19</v>
      </c>
      <c r="BD65" s="189">
        <v>-542580.31999999995</v>
      </c>
      <c r="BE65" s="189">
        <v>-6167739.1100000003</v>
      </c>
      <c r="BF65" s="189">
        <v>-1028846.4</v>
      </c>
      <c r="BG65" s="189">
        <v>-875054.97</v>
      </c>
      <c r="BH65" s="189">
        <v>-524208.47</v>
      </c>
      <c r="BI65" s="189">
        <v>1253739.29</v>
      </c>
      <c r="BJ65" s="189">
        <v>534427.34</v>
      </c>
      <c r="BK65" s="189">
        <v>-851513.87</v>
      </c>
      <c r="BL65" s="189">
        <v>-427379.04</v>
      </c>
      <c r="BM65" s="189">
        <v>-2080674.95</v>
      </c>
      <c r="BN65" s="189">
        <v>-449758.05</v>
      </c>
      <c r="BO65" s="189">
        <v>-2402516.1</v>
      </c>
      <c r="BP65" s="189">
        <v>117566.98</v>
      </c>
      <c r="BQ65" s="189">
        <v>0</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35859554.469999999</v>
      </c>
      <c r="C66" s="189">
        <v>17785221.48</v>
      </c>
      <c r="D66" s="189">
        <v>8784291.9000000004</v>
      </c>
      <c r="E66" s="189">
        <v>35319095.43</v>
      </c>
      <c r="F66" s="189">
        <v>37229182</v>
      </c>
      <c r="G66" s="189">
        <v>18822094.550000001</v>
      </c>
      <c r="H66" s="189">
        <v>8870360.2899999991</v>
      </c>
      <c r="I66" s="189">
        <v>26299728.890000001</v>
      </c>
      <c r="J66" s="189">
        <v>5187464.43</v>
      </c>
      <c r="K66" s="189">
        <v>12605733.449999999</v>
      </c>
      <c r="L66" s="189">
        <v>0</v>
      </c>
      <c r="M66" s="189">
        <v>9932121.0500000007</v>
      </c>
      <c r="N66" s="189">
        <v>1745025.4</v>
      </c>
      <c r="O66" s="189">
        <v>1089662.45</v>
      </c>
      <c r="P66" s="189">
        <v>0</v>
      </c>
      <c r="Q66" s="189">
        <v>2289834.85</v>
      </c>
      <c r="R66" s="189">
        <v>0</v>
      </c>
      <c r="S66" s="189">
        <v>0</v>
      </c>
      <c r="T66" s="189">
        <v>0</v>
      </c>
      <c r="U66" s="189">
        <v>-503092.29</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0</v>
      </c>
      <c r="C67" s="4">
        <f t="shared" ref="C67:BN67" si="67">C65-C66</f>
        <v>0</v>
      </c>
      <c r="D67" s="4">
        <f t="shared" si="67"/>
        <v>0</v>
      </c>
      <c r="E67" s="4">
        <f t="shared" si="67"/>
        <v>10299187.979999997</v>
      </c>
      <c r="F67" s="4">
        <f t="shared" si="67"/>
        <v>0</v>
      </c>
      <c r="G67" s="4">
        <f t="shared" si="67"/>
        <v>0</v>
      </c>
      <c r="H67" s="4">
        <f t="shared" si="67"/>
        <v>0</v>
      </c>
      <c r="I67" s="4">
        <f t="shared" si="67"/>
        <v>3632619.0500000007</v>
      </c>
      <c r="J67" s="4">
        <f t="shared" si="67"/>
        <v>0</v>
      </c>
      <c r="K67" s="4">
        <f t="shared" si="67"/>
        <v>0</v>
      </c>
      <c r="L67" s="4">
        <f t="shared" si="67"/>
        <v>1081480.5</v>
      </c>
      <c r="M67" s="4">
        <f t="shared" si="67"/>
        <v>8013160.8599999994</v>
      </c>
      <c r="N67" s="4">
        <f t="shared" si="67"/>
        <v>0</v>
      </c>
      <c r="O67" s="4">
        <f t="shared" si="67"/>
        <v>0</v>
      </c>
      <c r="P67" s="4">
        <f t="shared" si="67"/>
        <v>-262619.87</v>
      </c>
      <c r="Q67" s="4">
        <f t="shared" si="67"/>
        <v>7410019.7200000007</v>
      </c>
      <c r="R67" s="4">
        <f t="shared" si="67"/>
        <v>1530357.52</v>
      </c>
      <c r="S67" s="4">
        <f t="shared" si="67"/>
        <v>1204031.2</v>
      </c>
      <c r="T67" s="4">
        <f t="shared" si="67"/>
        <v>0</v>
      </c>
      <c r="U67" s="4">
        <f t="shared" si="67"/>
        <v>2552000</v>
      </c>
      <c r="V67" s="4">
        <f t="shared" si="67"/>
        <v>0</v>
      </c>
      <c r="W67" s="4">
        <f t="shared" si="67"/>
        <v>0</v>
      </c>
      <c r="X67" s="4">
        <f t="shared" si="67"/>
        <v>0</v>
      </c>
      <c r="Y67" s="4">
        <f t="shared" si="67"/>
        <v>5852000</v>
      </c>
      <c r="Z67" s="4">
        <f t="shared" si="67"/>
        <v>0</v>
      </c>
      <c r="AA67" s="4">
        <f t="shared" si="67"/>
        <v>0</v>
      </c>
      <c r="AB67" s="4">
        <f t="shared" si="67"/>
        <v>0</v>
      </c>
      <c r="AC67" s="4">
        <f t="shared" si="67"/>
        <v>4162400</v>
      </c>
      <c r="AD67" s="4">
        <f t="shared" si="67"/>
        <v>0</v>
      </c>
      <c r="AE67" s="4">
        <f t="shared" si="67"/>
        <v>0</v>
      </c>
      <c r="AF67" s="4">
        <f t="shared" si="67"/>
        <v>0</v>
      </c>
      <c r="AG67" s="4">
        <f t="shared" si="67"/>
        <v>1796315.34</v>
      </c>
      <c r="AH67" s="4">
        <f t="shared" si="67"/>
        <v>1796315.34</v>
      </c>
      <c r="AI67" s="4">
        <f t="shared" si="67"/>
        <v>0</v>
      </c>
      <c r="AJ67" s="4">
        <f t="shared" si="67"/>
        <v>0</v>
      </c>
      <c r="AK67" s="4">
        <f t="shared" si="67"/>
        <v>3371225.25</v>
      </c>
      <c r="AL67" s="4">
        <f t="shared" si="67"/>
        <v>3371225.25</v>
      </c>
      <c r="AM67" s="4">
        <f t="shared" si="67"/>
        <v>0</v>
      </c>
      <c r="AN67" s="4">
        <f t="shared" si="67"/>
        <v>0</v>
      </c>
      <c r="AO67" s="4">
        <f t="shared" si="67"/>
        <v>-35196.129999999997</v>
      </c>
      <c r="AP67" s="4">
        <f t="shared" si="67"/>
        <v>-35196.129999999997</v>
      </c>
      <c r="AQ67" s="4">
        <f t="shared" si="67"/>
        <v>-35196.129999999997</v>
      </c>
      <c r="AR67" s="4">
        <f t="shared" si="67"/>
        <v>129961.41</v>
      </c>
      <c r="AS67" s="4">
        <f t="shared" si="67"/>
        <v>-76523.789999999994</v>
      </c>
      <c r="AT67" s="4">
        <f t="shared" si="67"/>
        <v>3894218.07</v>
      </c>
      <c r="AU67" s="4">
        <f t="shared" si="67"/>
        <v>0</v>
      </c>
      <c r="AV67" s="4">
        <f t="shared" si="67"/>
        <v>0</v>
      </c>
      <c r="AW67" s="4">
        <f t="shared" si="67"/>
        <v>-2274644.3199999998</v>
      </c>
      <c r="AX67" s="4">
        <f t="shared" si="67"/>
        <v>-4307467.5</v>
      </c>
      <c r="AY67" s="4">
        <f t="shared" si="67"/>
        <v>-2072446.83</v>
      </c>
      <c r="AZ67" s="4">
        <f t="shared" si="67"/>
        <v>-455432.01</v>
      </c>
      <c r="BA67" s="4">
        <f t="shared" si="67"/>
        <v>-2871791.97</v>
      </c>
      <c r="BB67" s="4">
        <f t="shared" si="67"/>
        <v>-1876295.55</v>
      </c>
      <c r="BC67" s="4">
        <f t="shared" si="67"/>
        <v>-1529677.19</v>
      </c>
      <c r="BD67" s="4">
        <f t="shared" si="67"/>
        <v>-542580.31999999995</v>
      </c>
      <c r="BE67" s="4">
        <f t="shared" si="67"/>
        <v>-6167739.1100000003</v>
      </c>
      <c r="BF67" s="4">
        <f t="shared" si="67"/>
        <v>-1028846.4</v>
      </c>
      <c r="BG67" s="4">
        <f t="shared" si="67"/>
        <v>-875054.97</v>
      </c>
      <c r="BH67" s="4">
        <f t="shared" si="67"/>
        <v>-524208.47</v>
      </c>
      <c r="BI67" s="4">
        <f t="shared" si="67"/>
        <v>1253739.29</v>
      </c>
      <c r="BJ67" s="4">
        <f t="shared" si="67"/>
        <v>534427.34</v>
      </c>
      <c r="BK67" s="4">
        <f t="shared" si="67"/>
        <v>-851513.87</v>
      </c>
      <c r="BL67" s="4">
        <f t="shared" si="67"/>
        <v>-427379.04</v>
      </c>
      <c r="BM67" s="4">
        <f t="shared" si="67"/>
        <v>-2080674.95</v>
      </c>
      <c r="BN67" s="4">
        <f t="shared" si="67"/>
        <v>-449758.05</v>
      </c>
      <c r="BO67" s="4">
        <f t="shared" ref="BO67:CJ67" si="68">BO65-BO66</f>
        <v>-2402516.1</v>
      </c>
      <c r="BP67" s="4">
        <f t="shared" si="68"/>
        <v>117566.98</v>
      </c>
      <c r="BQ67" s="4">
        <f t="shared" si="68"/>
        <v>0</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72485135.280000001</v>
      </c>
      <c r="C68" s="189">
        <v>32046137.949999999</v>
      </c>
      <c r="D68" s="189">
        <v>-5158955.5</v>
      </c>
      <c r="E68" s="189">
        <v>38668629.07</v>
      </c>
      <c r="F68" s="189">
        <v>-2303141.86</v>
      </c>
      <c r="G68" s="189">
        <v>-3117221.25</v>
      </c>
      <c r="H68" s="189">
        <v>-2101679.75</v>
      </c>
      <c r="I68" s="189">
        <v>-6435457.9000000004</v>
      </c>
      <c r="J68" s="189">
        <v>-20281104.280000001</v>
      </c>
      <c r="K68" s="189">
        <v>-16399062.109999999</v>
      </c>
      <c r="L68" s="189">
        <v>-8682249.0500000007</v>
      </c>
      <c r="M68" s="189">
        <v>-47734800.100000001</v>
      </c>
      <c r="N68" s="189">
        <v>-28916349.989999998</v>
      </c>
      <c r="O68" s="189">
        <v>-25955306.32</v>
      </c>
      <c r="P68" s="189">
        <v>-8760256.5399999991</v>
      </c>
      <c r="Q68" s="189">
        <v>-36002668.840000004</v>
      </c>
      <c r="R68" s="189">
        <v>-16430831.49</v>
      </c>
      <c r="S68" s="189">
        <v>-12277882.140000001</v>
      </c>
      <c r="T68" s="189">
        <v>-3727444.49</v>
      </c>
      <c r="U68" s="189">
        <v>3220530.02</v>
      </c>
      <c r="V68" s="189">
        <v>13889266.6</v>
      </c>
      <c r="W68" s="189">
        <v>15825813.43</v>
      </c>
      <c r="X68" s="189">
        <v>10336895.300000001</v>
      </c>
      <c r="Y68" s="189">
        <v>54350568.460000001</v>
      </c>
      <c r="Z68" s="189">
        <v>50611229.920000002</v>
      </c>
      <c r="AA68" s="189">
        <v>37221777.189999998</v>
      </c>
      <c r="AB68" s="189">
        <v>21595824.09</v>
      </c>
      <c r="AC68" s="189">
        <v>68694385.090000004</v>
      </c>
      <c r="AD68" s="189">
        <v>51444733.259999998</v>
      </c>
      <c r="AE68" s="189">
        <v>30088294.530000001</v>
      </c>
      <c r="AF68" s="189">
        <v>16575824.01</v>
      </c>
      <c r="AG68" s="189">
        <v>50233359.189999998</v>
      </c>
      <c r="AH68" s="189">
        <v>68024574.780000001</v>
      </c>
      <c r="AI68" s="189">
        <v>56768289.770000003</v>
      </c>
      <c r="AJ68" s="189">
        <v>20471371.890000001</v>
      </c>
      <c r="AK68" s="189">
        <v>69891490.420000002</v>
      </c>
      <c r="AL68" s="189">
        <v>83814293.609999999</v>
      </c>
      <c r="AM68" s="189">
        <v>59993111.18</v>
      </c>
      <c r="AN68" s="189">
        <v>27101058.879999999</v>
      </c>
      <c r="AO68" s="189">
        <v>97131125.260000005</v>
      </c>
      <c r="AP68" s="189">
        <v>84779381.450000003</v>
      </c>
      <c r="AQ68" s="189">
        <v>62395250.950000003</v>
      </c>
      <c r="AR68" s="189">
        <v>30601963.32</v>
      </c>
      <c r="AS68" s="189">
        <v>101186228.40000001</v>
      </c>
      <c r="AT68" s="189">
        <v>80834009.540000007</v>
      </c>
      <c r="AU68" s="189">
        <v>57676983.340000004</v>
      </c>
      <c r="AV68" s="189">
        <v>25130550.829999998</v>
      </c>
      <c r="AW68" s="189">
        <v>153093155.52000001</v>
      </c>
      <c r="AX68" s="189">
        <v>122557005.55</v>
      </c>
      <c r="AY68" s="189">
        <v>78776286.659999996</v>
      </c>
      <c r="AZ68" s="189">
        <v>40784129.090000004</v>
      </c>
      <c r="BA68" s="189">
        <v>90407311.230000004</v>
      </c>
      <c r="BB68" s="189">
        <v>55374517.920000002</v>
      </c>
      <c r="BC68" s="189">
        <v>29635148.539999999</v>
      </c>
      <c r="BD68" s="189">
        <v>16009693.16</v>
      </c>
      <c r="BE68" s="189">
        <v>8116357.1500000004</v>
      </c>
      <c r="BF68" s="189">
        <v>12568447.789999999</v>
      </c>
      <c r="BG68" s="189">
        <v>-5326601.93</v>
      </c>
      <c r="BH68" s="189">
        <v>-1969088.43</v>
      </c>
      <c r="BI68" s="189">
        <v>-23177434</v>
      </c>
      <c r="BJ68" s="189">
        <v>-20205355.559999999</v>
      </c>
      <c r="BK68" s="189">
        <v>-17144616.350000001</v>
      </c>
      <c r="BL68" s="189">
        <v>-5602784.9800000004</v>
      </c>
      <c r="BM68" s="189">
        <v>-9195918.6899999995</v>
      </c>
      <c r="BN68" s="189">
        <v>-3025475.98</v>
      </c>
      <c r="BO68" s="189">
        <v>-9981977.0399999991</v>
      </c>
      <c r="BP68" s="189">
        <v>-9413538.75</v>
      </c>
      <c r="BQ68" s="189">
        <v>0</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15823669691.74</v>
      </c>
      <c r="C70" s="189">
        <v>15801292850.25</v>
      </c>
      <c r="D70" s="189">
        <v>15549228655.200001</v>
      </c>
      <c r="E70" s="189">
        <v>15099787202.040001</v>
      </c>
      <c r="F70" s="189">
        <v>14685905337.309999</v>
      </c>
      <c r="G70" s="189">
        <v>14291459227.26</v>
      </c>
      <c r="H70" s="189">
        <v>11363719531.42</v>
      </c>
      <c r="I70" s="189">
        <v>10874475844.16</v>
      </c>
      <c r="J70" s="189">
        <v>10797248435.01</v>
      </c>
      <c r="K70" s="189">
        <v>10434593352.690001</v>
      </c>
      <c r="L70" s="189">
        <v>10490897006.99</v>
      </c>
      <c r="M70" s="189">
        <v>9772634096.4200001</v>
      </c>
      <c r="N70" s="189">
        <v>9429678065.6800003</v>
      </c>
      <c r="O70" s="189">
        <v>9163775542.4500008</v>
      </c>
      <c r="P70" s="189">
        <v>9172536118.5100002</v>
      </c>
      <c r="Q70" s="189">
        <v>8856587611.4699993</v>
      </c>
      <c r="R70" s="189">
        <v>8399177028.7399998</v>
      </c>
      <c r="S70" s="189">
        <v>8153186246.8699999</v>
      </c>
      <c r="T70" s="189">
        <v>8285182294.8999996</v>
      </c>
      <c r="U70" s="189">
        <v>8026385121.6099997</v>
      </c>
      <c r="V70" s="189">
        <v>7793229120.5500002</v>
      </c>
      <c r="W70" s="189">
        <v>7566214703.9799995</v>
      </c>
      <c r="X70" s="189">
        <v>7709450477.6199999</v>
      </c>
      <c r="Y70" s="189">
        <v>7472691790.1700001</v>
      </c>
      <c r="Z70" s="189">
        <v>7281057406.8199997</v>
      </c>
      <c r="AA70" s="189">
        <v>7087224557.1899996</v>
      </c>
      <c r="AB70" s="189">
        <v>7275481581.46</v>
      </c>
      <c r="AC70" s="189">
        <v>7088626454.1099997</v>
      </c>
      <c r="AD70" s="189">
        <v>6876525680.2700005</v>
      </c>
      <c r="AE70" s="189">
        <v>6730320670.6000004</v>
      </c>
      <c r="AF70" s="189">
        <v>6927660764.1700001</v>
      </c>
      <c r="AG70" s="189">
        <v>6761157945.75</v>
      </c>
      <c r="AH70" s="189">
        <v>6555366029.1700001</v>
      </c>
      <c r="AI70" s="189">
        <v>6378121423.6800003</v>
      </c>
      <c r="AJ70" s="189">
        <v>6552325387.9300003</v>
      </c>
      <c r="AK70" s="189">
        <v>6385371580.5200005</v>
      </c>
      <c r="AL70" s="189">
        <v>6222824583.1599998</v>
      </c>
      <c r="AM70" s="189">
        <v>6107964289.1899996</v>
      </c>
      <c r="AN70" s="189">
        <v>6162884893.8299999</v>
      </c>
      <c r="AO70" s="189">
        <v>6034154522.8000002</v>
      </c>
      <c r="AP70" s="189">
        <v>5924945056.5200005</v>
      </c>
      <c r="AQ70" s="189">
        <v>5799998716.6400003</v>
      </c>
      <c r="AR70" s="189">
        <v>5880040238.9899998</v>
      </c>
      <c r="AS70" s="189">
        <v>5736093150.3199997</v>
      </c>
      <c r="AT70" s="189">
        <v>4518023282.8900003</v>
      </c>
      <c r="AU70" s="189">
        <v>4416501478.1599998</v>
      </c>
      <c r="AV70" s="189">
        <v>4328331244.3100004</v>
      </c>
      <c r="AW70" s="189">
        <v>4357819632.54</v>
      </c>
      <c r="AX70" s="189">
        <v>4300928485.4499998</v>
      </c>
      <c r="AY70" s="189">
        <v>4204568309.0300002</v>
      </c>
      <c r="AZ70" s="189">
        <v>4249838571.6999998</v>
      </c>
      <c r="BA70" s="189">
        <v>4153097839.3099999</v>
      </c>
      <c r="BB70" s="189">
        <v>4078963343.8699999</v>
      </c>
      <c r="BC70" s="189">
        <v>4012837470.4899998</v>
      </c>
      <c r="BD70" s="189">
        <v>4199258452.6199999</v>
      </c>
      <c r="BE70" s="189">
        <v>4124933808.21</v>
      </c>
      <c r="BF70" s="189">
        <v>4082735527.8299999</v>
      </c>
      <c r="BG70" s="189">
        <v>4114857579.9400001</v>
      </c>
      <c r="BH70" s="189">
        <v>4017536059.8299999</v>
      </c>
      <c r="BI70" s="189">
        <v>3890300021.6999998</v>
      </c>
      <c r="BJ70" s="189">
        <v>3788581547.3299999</v>
      </c>
      <c r="BK70" s="189">
        <v>3673927484.8600001</v>
      </c>
      <c r="BL70" s="189">
        <v>1371837731.03</v>
      </c>
      <c r="BM70" s="189">
        <v>1433330529.5999999</v>
      </c>
      <c r="BN70" s="189">
        <v>1129696762.5599999</v>
      </c>
      <c r="BO70" s="189">
        <v>972486180.52999997</v>
      </c>
      <c r="BP70" s="189">
        <v>0</v>
      </c>
      <c r="BQ70" s="189"/>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G31" zoomScale="95" zoomScaleNormal="95" workbookViewId="0">
      <selection activeCell="AS41" sqref="AS4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18.109375" hidden="1" customWidth="1"/>
    <col min="68" max="68" width="20.33203125" hidden="1" customWidth="1"/>
    <col min="69" max="69" width="20.33203125" bestFit="1" customWidth="1"/>
    <col min="70" max="70" width="20.3320312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3">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89">
        <v>0</v>
      </c>
      <c r="C3" s="189">
        <v>0</v>
      </c>
      <c r="D3" s="189">
        <v>0</v>
      </c>
      <c r="E3" s="189">
        <v>2415711.02</v>
      </c>
      <c r="F3" s="189">
        <v>0</v>
      </c>
      <c r="G3" s="189">
        <v>0</v>
      </c>
      <c r="H3" s="189">
        <v>0</v>
      </c>
      <c r="I3" s="189">
        <v>1159491.98</v>
      </c>
      <c r="J3" s="189">
        <v>0</v>
      </c>
      <c r="K3" s="189">
        <v>0</v>
      </c>
      <c r="L3" s="189">
        <v>0</v>
      </c>
      <c r="M3" s="189">
        <v>666190.74</v>
      </c>
      <c r="N3" s="189">
        <v>0</v>
      </c>
      <c r="O3" s="189">
        <v>0</v>
      </c>
      <c r="P3" s="189">
        <v>0</v>
      </c>
      <c r="Q3" s="189">
        <v>933305.71</v>
      </c>
      <c r="R3" s="189">
        <v>0</v>
      </c>
      <c r="S3" s="189">
        <v>0</v>
      </c>
      <c r="T3" s="189">
        <v>0</v>
      </c>
      <c r="U3" s="189">
        <v>557965.42000000004</v>
      </c>
      <c r="V3" s="189">
        <v>411308</v>
      </c>
      <c r="W3" s="189">
        <v>300058</v>
      </c>
      <c r="X3" s="189">
        <v>102800</v>
      </c>
      <c r="Y3" s="189">
        <v>274929.78000000003</v>
      </c>
      <c r="Z3" s="189">
        <v>80795</v>
      </c>
      <c r="AA3" s="189">
        <v>71195</v>
      </c>
      <c r="AB3" s="189">
        <v>47195</v>
      </c>
      <c r="AC3" s="189">
        <v>709504.19</v>
      </c>
      <c r="AD3" s="189">
        <v>220226.26</v>
      </c>
      <c r="AE3" s="189">
        <v>34700</v>
      </c>
      <c r="AF3" s="189">
        <v>0</v>
      </c>
      <c r="AG3" s="189">
        <v>301158.01</v>
      </c>
      <c r="AH3" s="189">
        <v>53750</v>
      </c>
      <c r="AI3" s="189">
        <v>53750</v>
      </c>
      <c r="AJ3" s="189">
        <v>53750</v>
      </c>
      <c r="AK3" s="189">
        <v>406063.45</v>
      </c>
      <c r="AL3" s="189">
        <v>107163.45</v>
      </c>
      <c r="AM3" s="189">
        <v>92300</v>
      </c>
      <c r="AN3" s="189">
        <v>86500</v>
      </c>
      <c r="AO3" s="189">
        <v>4160503.94</v>
      </c>
      <c r="AP3" s="189">
        <v>504400</v>
      </c>
      <c r="AQ3" s="189">
        <v>504400</v>
      </c>
      <c r="AR3" s="189">
        <v>120000</v>
      </c>
      <c r="AS3" s="189">
        <v>6134588.0499999998</v>
      </c>
      <c r="AT3" s="189">
        <v>5875088.0499999998</v>
      </c>
      <c r="AU3" s="189">
        <v>5867088.0499999998</v>
      </c>
      <c r="AV3" s="189">
        <v>0</v>
      </c>
      <c r="AW3" s="189">
        <v>1771254.6</v>
      </c>
      <c r="AX3" s="189">
        <v>734470</v>
      </c>
      <c r="AY3" s="189">
        <v>658970</v>
      </c>
      <c r="AZ3" s="189">
        <v>430668</v>
      </c>
      <c r="BA3" s="189">
        <v>1702814.32</v>
      </c>
      <c r="BB3" s="189">
        <v>1589307.91</v>
      </c>
      <c r="BC3" s="189">
        <v>981547.9</v>
      </c>
      <c r="BD3" s="189">
        <v>0</v>
      </c>
      <c r="BE3" s="189">
        <v>878340.24</v>
      </c>
      <c r="BF3" s="189">
        <v>26340</v>
      </c>
      <c r="BG3" s="189">
        <v>5600</v>
      </c>
      <c r="BH3" s="189">
        <v>0</v>
      </c>
      <c r="BI3" s="189">
        <v>257655</v>
      </c>
      <c r="BJ3" s="189">
        <v>248650</v>
      </c>
      <c r="BK3" s="189">
        <v>204550</v>
      </c>
      <c r="BL3" s="189">
        <v>950</v>
      </c>
      <c r="BM3" s="189">
        <v>1793779.54</v>
      </c>
      <c r="BN3" s="189">
        <v>0</v>
      </c>
      <c r="BO3" s="189">
        <v>0</v>
      </c>
      <c r="BP3" s="189">
        <v>0</v>
      </c>
      <c r="BQ3" s="189">
        <v>3580</v>
      </c>
      <c r="BR3" s="189">
        <v>1500</v>
      </c>
      <c r="BS3" s="189">
        <v>52101.23</v>
      </c>
      <c r="BT3" s="189">
        <v>1680</v>
      </c>
      <c r="BU3" s="189">
        <v>25980.76</v>
      </c>
      <c r="BV3" s="189">
        <v>0</v>
      </c>
    </row>
    <row r="4" spans="1:74" s="26" customFormat="1" x14ac:dyDescent="0.25">
      <c r="A4" s="17" t="s">
        <v>304</v>
      </c>
      <c r="B4" s="189">
        <v>1338934866.6300001</v>
      </c>
      <c r="C4" s="189">
        <v>1055128945.11</v>
      </c>
      <c r="D4" s="189">
        <v>665183274.40999997</v>
      </c>
      <c r="E4" s="189">
        <v>4036630236.2199998</v>
      </c>
      <c r="F4" s="189">
        <v>2592432493.0700002</v>
      </c>
      <c r="G4" s="189">
        <v>1454659886.3699999</v>
      </c>
      <c r="H4" s="189">
        <v>785337946.10000002</v>
      </c>
      <c r="I4" s="189">
        <v>5294366221.9200001</v>
      </c>
      <c r="J4" s="189">
        <v>3527524548.3400002</v>
      </c>
      <c r="K4" s="189">
        <v>2670019711.3800001</v>
      </c>
      <c r="L4" s="189">
        <v>2156251140.5599999</v>
      </c>
      <c r="M4" s="189">
        <v>3165891273.71</v>
      </c>
      <c r="N4" s="189">
        <v>2215300722.8099999</v>
      </c>
      <c r="O4" s="189">
        <v>1772933166.3699999</v>
      </c>
      <c r="P4" s="189">
        <v>9804430.0399999991</v>
      </c>
      <c r="Q4" s="189">
        <v>96884841.489999995</v>
      </c>
      <c r="R4" s="189">
        <v>38553786.420000002</v>
      </c>
      <c r="S4" s="189">
        <v>26131207.510000002</v>
      </c>
      <c r="T4" s="189">
        <v>13177718.140000001</v>
      </c>
      <c r="U4" s="189">
        <v>89677492.920000002</v>
      </c>
      <c r="V4" s="189">
        <v>73921431.549999997</v>
      </c>
      <c r="W4" s="189">
        <v>29289593.73</v>
      </c>
      <c r="X4" s="189">
        <v>13021406.699999999</v>
      </c>
      <c r="Y4" s="189">
        <v>361344371</v>
      </c>
      <c r="Z4" s="189">
        <v>64919613.020000003</v>
      </c>
      <c r="AA4" s="189">
        <v>52089640.950000003</v>
      </c>
      <c r="AB4" s="189">
        <v>32267371.870000001</v>
      </c>
      <c r="AC4" s="189">
        <v>846141915.25</v>
      </c>
      <c r="AD4" s="189">
        <v>156144762.66999999</v>
      </c>
      <c r="AE4" s="189">
        <v>60269677.560000002</v>
      </c>
      <c r="AF4" s="189">
        <v>31736731.149999999</v>
      </c>
      <c r="AG4" s="189">
        <v>1605086734.3</v>
      </c>
      <c r="AH4" s="189">
        <v>1074542552.9000001</v>
      </c>
      <c r="AI4" s="189">
        <v>1032713909.0700001</v>
      </c>
      <c r="AJ4" s="189">
        <v>15055941.300000001</v>
      </c>
      <c r="AK4" s="189">
        <v>527315390.29000002</v>
      </c>
      <c r="AL4" s="189">
        <v>264331174.80000001</v>
      </c>
      <c r="AM4" s="189">
        <v>20761650.289999999</v>
      </c>
      <c r="AN4" s="189">
        <v>11389382.130000001</v>
      </c>
      <c r="AO4" s="189">
        <v>566708815.69000006</v>
      </c>
      <c r="AP4" s="189">
        <v>163285606.25999999</v>
      </c>
      <c r="AQ4" s="189">
        <v>27149726.370000001</v>
      </c>
      <c r="AR4" s="189">
        <v>15642922.15</v>
      </c>
      <c r="AS4" s="189">
        <v>351868069.95999998</v>
      </c>
      <c r="AT4" s="189">
        <v>55459487.469999999</v>
      </c>
      <c r="AU4" s="189">
        <v>38595170.280000001</v>
      </c>
      <c r="AV4" s="189">
        <v>11243549.68</v>
      </c>
      <c r="AW4" s="189">
        <v>69718907.319999993</v>
      </c>
      <c r="AX4" s="189">
        <v>62555593.5</v>
      </c>
      <c r="AY4" s="189">
        <v>50389115.990000002</v>
      </c>
      <c r="AZ4" s="189">
        <v>24570590.390000001</v>
      </c>
      <c r="BA4" s="189">
        <v>3329407071.3099999</v>
      </c>
      <c r="BB4" s="189">
        <v>2903382323.8099999</v>
      </c>
      <c r="BC4" s="189">
        <v>2806832189.73</v>
      </c>
      <c r="BD4" s="189">
        <v>48925039.43</v>
      </c>
      <c r="BE4" s="189">
        <v>162039291.47</v>
      </c>
      <c r="BF4" s="189">
        <v>65133009.579999998</v>
      </c>
      <c r="BG4" s="189">
        <v>5185542.57</v>
      </c>
      <c r="BH4" s="189">
        <v>1478178.99</v>
      </c>
      <c r="BI4" s="189">
        <v>2514745591.4299998</v>
      </c>
      <c r="BJ4" s="189">
        <v>2508704474.3299999</v>
      </c>
      <c r="BK4" s="189">
        <v>2503544544.8600001</v>
      </c>
      <c r="BL4" s="189">
        <v>4278537.5999999996</v>
      </c>
      <c r="BM4" s="189">
        <v>33099963.039999999</v>
      </c>
      <c r="BN4" s="189">
        <v>0</v>
      </c>
      <c r="BO4" s="189">
        <v>0</v>
      </c>
      <c r="BP4" s="189">
        <v>1033022955.65</v>
      </c>
      <c r="BQ4" s="189">
        <v>508204018.88</v>
      </c>
      <c r="BR4" s="189">
        <v>378968057.27999997</v>
      </c>
      <c r="BS4" s="189">
        <v>94153230.329999998</v>
      </c>
      <c r="BT4" s="189">
        <v>6757461.4400000004</v>
      </c>
      <c r="BU4" s="189">
        <v>585117171</v>
      </c>
      <c r="BV4" s="189">
        <v>0</v>
      </c>
    </row>
    <row r="5" spans="1:74" s="47" customFormat="1" x14ac:dyDescent="0.25">
      <c r="A5" s="134" t="s">
        <v>295</v>
      </c>
      <c r="E5" s="47">
        <f>E4-E3</f>
        <v>4034214525.1999998</v>
      </c>
      <c r="F5" s="47">
        <f t="shared" ref="F5:AR5" si="0">F4-F3</f>
        <v>2592432493.0700002</v>
      </c>
      <c r="G5" s="47">
        <f t="shared" si="0"/>
        <v>1454659886.3699999</v>
      </c>
      <c r="H5" s="47">
        <f t="shared" si="0"/>
        <v>785337946.10000002</v>
      </c>
      <c r="I5" s="47">
        <f t="shared" si="0"/>
        <v>5293206729.9400005</v>
      </c>
      <c r="J5" s="47">
        <f t="shared" si="0"/>
        <v>3527524548.3400002</v>
      </c>
      <c r="K5" s="47">
        <f t="shared" si="0"/>
        <v>2670019711.3800001</v>
      </c>
      <c r="L5" s="47">
        <f t="shared" si="0"/>
        <v>2156251140.5599999</v>
      </c>
      <c r="M5" s="47">
        <f t="shared" si="0"/>
        <v>3165225082.9700003</v>
      </c>
      <c r="N5" s="47">
        <f t="shared" si="0"/>
        <v>2215300722.8099999</v>
      </c>
      <c r="O5" s="47">
        <f t="shared" si="0"/>
        <v>1772933166.3699999</v>
      </c>
      <c r="P5" s="47">
        <f t="shared" si="0"/>
        <v>9804430.0399999991</v>
      </c>
      <c r="Q5" s="47">
        <f t="shared" si="0"/>
        <v>95951535.780000001</v>
      </c>
      <c r="R5" s="47">
        <f t="shared" si="0"/>
        <v>38553786.420000002</v>
      </c>
      <c r="S5" s="47">
        <f t="shared" si="0"/>
        <v>26131207.510000002</v>
      </c>
      <c r="T5" s="47">
        <f t="shared" si="0"/>
        <v>13177718.140000001</v>
      </c>
      <c r="U5" s="47">
        <f t="shared" si="0"/>
        <v>89119527.5</v>
      </c>
      <c r="V5" s="47">
        <f t="shared" si="0"/>
        <v>73510123.549999997</v>
      </c>
      <c r="W5" s="47">
        <f t="shared" si="0"/>
        <v>28989535.73</v>
      </c>
      <c r="X5" s="47">
        <f t="shared" si="0"/>
        <v>12918606.699999999</v>
      </c>
      <c r="Y5" s="47">
        <f t="shared" si="0"/>
        <v>361069441.22000003</v>
      </c>
      <c r="Z5" s="47">
        <f t="shared" si="0"/>
        <v>64838818.020000003</v>
      </c>
      <c r="AA5" s="47">
        <f t="shared" si="0"/>
        <v>52018445.950000003</v>
      </c>
      <c r="AB5" s="47">
        <f t="shared" si="0"/>
        <v>32220176.870000001</v>
      </c>
      <c r="AC5" s="47">
        <f t="shared" si="0"/>
        <v>845432411.05999994</v>
      </c>
      <c r="AD5" s="47">
        <f t="shared" si="0"/>
        <v>155924536.41</v>
      </c>
      <c r="AE5" s="47">
        <f t="shared" si="0"/>
        <v>60234977.560000002</v>
      </c>
      <c r="AF5" s="47">
        <f t="shared" si="0"/>
        <v>31736731.149999999</v>
      </c>
      <c r="AG5" s="47">
        <f t="shared" si="0"/>
        <v>1604785576.29</v>
      </c>
      <c r="AH5" s="47">
        <f t="shared" si="0"/>
        <v>1074488802.9000001</v>
      </c>
      <c r="AI5" s="47">
        <f t="shared" si="0"/>
        <v>1032660159.0700001</v>
      </c>
      <c r="AJ5" s="47">
        <f t="shared" si="0"/>
        <v>15002191.300000001</v>
      </c>
      <c r="AK5" s="47">
        <f t="shared" si="0"/>
        <v>526909326.84000003</v>
      </c>
      <c r="AL5" s="47">
        <f t="shared" si="0"/>
        <v>264224011.35000002</v>
      </c>
      <c r="AM5" s="47">
        <f t="shared" si="0"/>
        <v>20669350.289999999</v>
      </c>
      <c r="AN5" s="47">
        <f t="shared" si="0"/>
        <v>11302882.130000001</v>
      </c>
      <c r="AO5" s="47">
        <f t="shared" si="0"/>
        <v>562548311.75</v>
      </c>
      <c r="AP5" s="47">
        <f t="shared" si="0"/>
        <v>162781206.25999999</v>
      </c>
      <c r="AQ5" s="47">
        <f t="shared" si="0"/>
        <v>26645326.370000001</v>
      </c>
      <c r="AR5" s="47">
        <f t="shared" si="0"/>
        <v>15522922.15</v>
      </c>
    </row>
    <row r="6" spans="1:74" s="104" customFormat="1" x14ac:dyDescent="0.25">
      <c r="A6" s="135" t="s">
        <v>305</v>
      </c>
      <c r="B6" s="189">
        <v>0</v>
      </c>
      <c r="C6" s="189">
        <v>553756984.70000005</v>
      </c>
      <c r="D6" s="189">
        <v>0</v>
      </c>
      <c r="E6" s="189">
        <v>602740417.44000006</v>
      </c>
      <c r="F6" s="189">
        <v>0</v>
      </c>
      <c r="G6" s="189">
        <v>298861050.58999997</v>
      </c>
      <c r="H6" s="189">
        <v>0</v>
      </c>
      <c r="I6" s="189">
        <v>578699065.53999996</v>
      </c>
      <c r="J6" s="189">
        <v>0</v>
      </c>
      <c r="K6" s="189">
        <v>257941781.93000001</v>
      </c>
      <c r="L6" s="189">
        <v>0</v>
      </c>
      <c r="M6" s="189">
        <v>554001669.40999997</v>
      </c>
      <c r="N6" s="189">
        <v>0</v>
      </c>
      <c r="O6" s="189">
        <v>261301133.19</v>
      </c>
      <c r="P6" s="189">
        <v>0</v>
      </c>
      <c r="Q6" s="189">
        <v>669341948.50999999</v>
      </c>
      <c r="R6" s="189">
        <v>0</v>
      </c>
      <c r="S6" s="189">
        <v>346822215.80000001</v>
      </c>
      <c r="T6" s="189">
        <v>0</v>
      </c>
      <c r="U6" s="189">
        <v>670561998.42999995</v>
      </c>
      <c r="V6" s="189">
        <v>0</v>
      </c>
      <c r="W6" s="189">
        <v>354147725.81999999</v>
      </c>
      <c r="X6" s="189">
        <v>0</v>
      </c>
      <c r="Y6" s="189">
        <v>685319190.36000001</v>
      </c>
      <c r="Z6" s="189">
        <v>0</v>
      </c>
      <c r="AA6" s="189">
        <v>356830938.12</v>
      </c>
      <c r="AB6" s="189">
        <v>0</v>
      </c>
      <c r="AC6" s="189">
        <v>668498798.09000003</v>
      </c>
      <c r="AD6" s="189">
        <v>0</v>
      </c>
      <c r="AE6" s="189">
        <v>322032594.37</v>
      </c>
      <c r="AF6" s="189">
        <v>0</v>
      </c>
      <c r="AG6" s="189">
        <v>603370677.09000003</v>
      </c>
      <c r="AH6" s="189">
        <v>0</v>
      </c>
      <c r="AI6" s="189">
        <v>259177568.11000001</v>
      </c>
      <c r="AJ6" s="189">
        <v>0</v>
      </c>
      <c r="AK6" s="189">
        <v>481542632.08999997</v>
      </c>
      <c r="AL6" s="189">
        <v>0</v>
      </c>
      <c r="AM6" s="189">
        <v>226635929.24000001</v>
      </c>
      <c r="AN6" s="189">
        <v>0</v>
      </c>
      <c r="AO6" s="189">
        <v>451601595.08999997</v>
      </c>
      <c r="AP6" s="189">
        <v>0</v>
      </c>
      <c r="AQ6" s="189">
        <v>224857555.62</v>
      </c>
      <c r="AR6" s="189">
        <v>0</v>
      </c>
      <c r="AS6" s="189">
        <v>378140494.27999997</v>
      </c>
      <c r="AT6" s="189">
        <v>0</v>
      </c>
      <c r="AU6" s="189">
        <v>188541210.53999999</v>
      </c>
      <c r="AV6" s="189">
        <v>0</v>
      </c>
      <c r="AW6" s="189">
        <v>367626722.87</v>
      </c>
      <c r="AX6" s="189">
        <v>275652970.64999998</v>
      </c>
      <c r="AY6" s="189">
        <v>183641321.5</v>
      </c>
      <c r="AZ6" s="189">
        <v>92274277.849999994</v>
      </c>
      <c r="BA6" s="189">
        <v>364538167.36000001</v>
      </c>
      <c r="BB6" s="189">
        <v>265159596.05000001</v>
      </c>
      <c r="BC6" s="189">
        <v>173397518.30000001</v>
      </c>
      <c r="BD6" s="189">
        <v>82462455.340000004</v>
      </c>
      <c r="BE6" s="189">
        <v>124650766.03</v>
      </c>
      <c r="BF6" s="189">
        <v>46326515.770000003</v>
      </c>
      <c r="BG6" s="189">
        <v>18857970.699999999</v>
      </c>
      <c r="BH6" s="189">
        <v>10015518</v>
      </c>
      <c r="BI6" s="189">
        <v>37052146.119999997</v>
      </c>
      <c r="BJ6" s="189">
        <v>25413169.170000002</v>
      </c>
      <c r="BK6" s="189">
        <v>18914811.73</v>
      </c>
      <c r="BL6" s="189">
        <v>6591475.3899999997</v>
      </c>
      <c r="BM6" s="189">
        <v>39291961.590000004</v>
      </c>
      <c r="BN6" s="189">
        <v>0</v>
      </c>
      <c r="BO6" s="189">
        <v>0</v>
      </c>
      <c r="BP6" s="189">
        <v>49234570.869999997</v>
      </c>
      <c r="BQ6" s="189">
        <v>130519869.31</v>
      </c>
      <c r="BR6" s="189">
        <v>62414344.259999998</v>
      </c>
      <c r="BS6" s="189">
        <v>56928281.189999998</v>
      </c>
      <c r="BT6" s="189">
        <v>29633190.559999999</v>
      </c>
      <c r="BU6" s="189">
        <v>42460875.850000001</v>
      </c>
      <c r="BV6" s="189">
        <v>0</v>
      </c>
    </row>
    <row r="7" spans="1:74" s="26" customFormat="1" x14ac:dyDescent="0.25">
      <c r="A7" s="17" t="s">
        <v>306</v>
      </c>
      <c r="B7" s="189">
        <v>0</v>
      </c>
      <c r="C7" s="189">
        <v>270166.32</v>
      </c>
      <c r="D7" s="189">
        <v>0</v>
      </c>
      <c r="E7" s="189">
        <v>1348925.1</v>
      </c>
      <c r="F7" s="189">
        <v>0</v>
      </c>
      <c r="G7" s="189">
        <v>867098.14</v>
      </c>
      <c r="H7" s="189">
        <v>0</v>
      </c>
      <c r="I7" s="189">
        <v>1146673.48</v>
      </c>
      <c r="J7" s="189">
        <v>0</v>
      </c>
      <c r="K7" s="189">
        <v>559775.43999999994</v>
      </c>
      <c r="L7" s="189">
        <v>0</v>
      </c>
      <c r="M7" s="189">
        <v>898760.6</v>
      </c>
      <c r="N7" s="189">
        <v>0</v>
      </c>
      <c r="O7" s="189">
        <v>374208.38</v>
      </c>
      <c r="P7" s="189">
        <v>0</v>
      </c>
      <c r="Q7" s="189">
        <v>748416.75</v>
      </c>
      <c r="R7" s="189">
        <v>0</v>
      </c>
      <c r="S7" s="189">
        <v>379171.32</v>
      </c>
      <c r="T7" s="189">
        <v>0</v>
      </c>
      <c r="U7" s="189">
        <v>901574.31</v>
      </c>
      <c r="V7" s="189">
        <v>0</v>
      </c>
      <c r="W7" s="189">
        <v>647776.31999999995</v>
      </c>
      <c r="X7" s="189">
        <v>0</v>
      </c>
      <c r="Y7" s="189">
        <v>1903795.64</v>
      </c>
      <c r="Z7" s="189">
        <v>0</v>
      </c>
      <c r="AA7" s="189">
        <v>918323.22</v>
      </c>
      <c r="AB7" s="189">
        <v>0</v>
      </c>
      <c r="AC7" s="189">
        <v>1923970.18</v>
      </c>
      <c r="AD7" s="189">
        <v>0</v>
      </c>
      <c r="AE7" s="189">
        <v>953780.24</v>
      </c>
      <c r="AF7" s="189">
        <v>0</v>
      </c>
      <c r="AG7" s="189">
        <v>4916504.0199999996</v>
      </c>
      <c r="AH7" s="189">
        <v>0</v>
      </c>
      <c r="AI7" s="189">
        <v>3403803.53</v>
      </c>
      <c r="AJ7" s="189">
        <v>0</v>
      </c>
      <c r="AK7" s="189">
        <v>3874162.57</v>
      </c>
      <c r="AL7" s="189">
        <v>0</v>
      </c>
      <c r="AM7" s="189">
        <v>1743128.4</v>
      </c>
      <c r="AN7" s="189">
        <v>0</v>
      </c>
      <c r="AO7" s="189">
        <v>3607485.8</v>
      </c>
      <c r="AP7" s="189">
        <v>0</v>
      </c>
      <c r="AQ7" s="189">
        <v>1743128.4</v>
      </c>
      <c r="AR7" s="189">
        <v>0</v>
      </c>
      <c r="AS7" s="189">
        <v>3657102.16</v>
      </c>
      <c r="AT7" s="189">
        <v>0</v>
      </c>
      <c r="AU7" s="189">
        <v>2328435.66</v>
      </c>
      <c r="AV7" s="189">
        <v>0</v>
      </c>
      <c r="AW7" s="189">
        <v>3967956.84</v>
      </c>
      <c r="AX7" s="189">
        <v>3252153.51</v>
      </c>
      <c r="AY7" s="189">
        <v>2208185.67</v>
      </c>
      <c r="AZ7" s="189">
        <v>1164217.83</v>
      </c>
      <c r="BA7" s="189">
        <v>1760455.89</v>
      </c>
      <c r="BB7" s="189">
        <v>1686516.78</v>
      </c>
      <c r="BC7" s="189">
        <v>779887.02</v>
      </c>
      <c r="BD7" s="189">
        <v>389943.51</v>
      </c>
      <c r="BE7" s="189">
        <v>1542107.42</v>
      </c>
      <c r="BF7" s="189">
        <v>1211273.92</v>
      </c>
      <c r="BG7" s="189">
        <v>763887.06</v>
      </c>
      <c r="BH7" s="189">
        <v>378943.53</v>
      </c>
      <c r="BI7" s="189">
        <v>1515774.12</v>
      </c>
      <c r="BJ7" s="189">
        <v>1136830.5900000001</v>
      </c>
      <c r="BK7" s="189">
        <v>757887.06</v>
      </c>
      <c r="BL7" s="189">
        <v>378943.53</v>
      </c>
      <c r="BM7" s="189">
        <v>1433274.12</v>
      </c>
      <c r="BN7" s="189">
        <v>0</v>
      </c>
      <c r="BO7" s="189">
        <v>0</v>
      </c>
      <c r="BP7" s="189">
        <v>808679.94</v>
      </c>
      <c r="BQ7" s="189">
        <v>2290393.21</v>
      </c>
      <c r="BR7" s="189">
        <v>677235.94</v>
      </c>
      <c r="BS7" s="189">
        <v>16746446.949999999</v>
      </c>
      <c r="BT7" s="189">
        <v>1394056.95</v>
      </c>
      <c r="BU7" s="189">
        <v>2442875.52</v>
      </c>
      <c r="BV7" s="189">
        <v>0</v>
      </c>
    </row>
    <row r="8" spans="1:74" s="26" customFormat="1" x14ac:dyDescent="0.25">
      <c r="A8" s="17" t="s">
        <v>307</v>
      </c>
      <c r="B8" s="189">
        <v>0</v>
      </c>
      <c r="C8" s="189">
        <v>18897900</v>
      </c>
      <c r="D8" s="189">
        <v>0</v>
      </c>
      <c r="E8" s="189">
        <v>9381141.8499999996</v>
      </c>
      <c r="F8" s="189">
        <v>0</v>
      </c>
      <c r="G8" s="189">
        <v>15755.75</v>
      </c>
      <c r="H8" s="189">
        <v>0</v>
      </c>
      <c r="I8" s="189">
        <v>9440144.1099999994</v>
      </c>
      <c r="J8" s="189">
        <v>0</v>
      </c>
      <c r="K8" s="189">
        <v>6758183.5099999998</v>
      </c>
      <c r="L8" s="189">
        <v>0</v>
      </c>
      <c r="M8" s="189">
        <v>8266296.9900000002</v>
      </c>
      <c r="N8" s="189">
        <v>0</v>
      </c>
      <c r="O8" s="189">
        <v>825994.05</v>
      </c>
      <c r="P8" s="189">
        <v>0</v>
      </c>
      <c r="Q8" s="189">
        <v>3594146.29</v>
      </c>
      <c r="R8" s="189">
        <v>0</v>
      </c>
      <c r="S8" s="189">
        <v>1802763.16</v>
      </c>
      <c r="T8" s="189">
        <v>0</v>
      </c>
      <c r="U8" s="189">
        <v>4569235.32</v>
      </c>
      <c r="V8" s="189">
        <v>0</v>
      </c>
      <c r="W8" s="189">
        <v>2005708.86</v>
      </c>
      <c r="X8" s="189">
        <v>0</v>
      </c>
      <c r="Y8" s="189">
        <v>3990590.36</v>
      </c>
      <c r="Z8" s="189">
        <v>0</v>
      </c>
      <c r="AA8" s="189">
        <v>1411892.33</v>
      </c>
      <c r="AB8" s="189">
        <v>0</v>
      </c>
      <c r="AC8" s="189">
        <v>4592925.83</v>
      </c>
      <c r="AD8" s="189">
        <v>0</v>
      </c>
      <c r="AE8" s="189">
        <v>2361873.2999999998</v>
      </c>
      <c r="AF8" s="189">
        <v>0</v>
      </c>
      <c r="AG8" s="189">
        <v>12388219.08</v>
      </c>
      <c r="AH8" s="189">
        <v>0</v>
      </c>
      <c r="AI8" s="189">
        <v>5352984.46</v>
      </c>
      <c r="AJ8" s="189">
        <v>0</v>
      </c>
      <c r="AK8" s="189">
        <v>9637201.8699999992</v>
      </c>
      <c r="AL8" s="189">
        <v>0</v>
      </c>
      <c r="AM8" s="189">
        <v>4523927.51</v>
      </c>
      <c r="AN8" s="189">
        <v>0</v>
      </c>
      <c r="AO8" s="189">
        <v>10650859.42</v>
      </c>
      <c r="AP8" s="189">
        <v>0</v>
      </c>
      <c r="AQ8" s="189">
        <v>5020764.6900000004</v>
      </c>
      <c r="AR8" s="189">
        <v>0</v>
      </c>
      <c r="AS8" s="189">
        <v>10528653.810000001</v>
      </c>
      <c r="AT8" s="189">
        <v>0</v>
      </c>
      <c r="AU8" s="189">
        <v>2047906.41</v>
      </c>
      <c r="AV8" s="189">
        <v>0</v>
      </c>
      <c r="AW8" s="189">
        <v>6856036.2000000002</v>
      </c>
      <c r="AX8" s="189">
        <v>447590.8</v>
      </c>
      <c r="AY8" s="189">
        <v>447590.8</v>
      </c>
      <c r="AZ8" s="189">
        <v>231472.72</v>
      </c>
      <c r="BA8" s="189">
        <v>10781792.43</v>
      </c>
      <c r="BB8" s="189">
        <v>5618148.6200000001</v>
      </c>
      <c r="BC8" s="189">
        <v>5233003.3899999997</v>
      </c>
      <c r="BD8" s="189">
        <v>0</v>
      </c>
      <c r="BE8" s="189">
        <v>7545930.1399999997</v>
      </c>
      <c r="BF8" s="189">
        <v>5878366.6699999999</v>
      </c>
      <c r="BG8" s="189">
        <v>3707989.21</v>
      </c>
      <c r="BH8" s="189">
        <v>1939657.63</v>
      </c>
      <c r="BI8" s="189">
        <v>7484230.4299999997</v>
      </c>
      <c r="BJ8" s="189">
        <v>2920792.36</v>
      </c>
      <c r="BK8" s="189">
        <v>2117947.64</v>
      </c>
      <c r="BL8" s="189">
        <v>1347761.24</v>
      </c>
      <c r="BM8" s="189">
        <v>5066096.38</v>
      </c>
      <c r="BN8" s="189">
        <v>0</v>
      </c>
      <c r="BO8" s="189">
        <v>0</v>
      </c>
      <c r="BP8" s="189">
        <v>0</v>
      </c>
      <c r="BQ8" s="189">
        <v>0</v>
      </c>
      <c r="BR8" s="189">
        <v>0</v>
      </c>
      <c r="BS8" s="189">
        <v>0</v>
      </c>
      <c r="BT8" s="189">
        <v>0</v>
      </c>
      <c r="BU8" s="189">
        <v>0</v>
      </c>
      <c r="BV8" s="189">
        <v>0</v>
      </c>
    </row>
    <row r="9" spans="1:74" s="26" customFormat="1" x14ac:dyDescent="0.25">
      <c r="A9" s="17" t="s">
        <v>308</v>
      </c>
      <c r="B9" s="189">
        <v>0</v>
      </c>
      <c r="C9" s="189">
        <v>0</v>
      </c>
      <c r="D9" s="189">
        <v>0</v>
      </c>
      <c r="E9" s="189">
        <v>-1333193.6000000001</v>
      </c>
      <c r="F9" s="189">
        <v>0</v>
      </c>
      <c r="G9" s="189">
        <v>0</v>
      </c>
      <c r="H9" s="189">
        <v>0</v>
      </c>
      <c r="I9" s="189">
        <v>232597.95</v>
      </c>
      <c r="J9" s="189">
        <v>0</v>
      </c>
      <c r="K9" s="189">
        <v>0</v>
      </c>
      <c r="L9" s="189">
        <v>0</v>
      </c>
      <c r="M9" s="189">
        <v>-1082361.19</v>
      </c>
      <c r="N9" s="189">
        <v>0</v>
      </c>
      <c r="O9" s="189">
        <v>0</v>
      </c>
      <c r="P9" s="189">
        <v>0</v>
      </c>
      <c r="Q9" s="189">
        <v>35966308.520000003</v>
      </c>
      <c r="R9" s="189">
        <v>0</v>
      </c>
      <c r="S9" s="189">
        <v>0</v>
      </c>
      <c r="T9" s="189">
        <v>0</v>
      </c>
      <c r="U9" s="189">
        <v>55824037.210000001</v>
      </c>
      <c r="V9" s="189">
        <v>0</v>
      </c>
      <c r="W9" s="189">
        <v>0</v>
      </c>
      <c r="X9" s="189">
        <v>0</v>
      </c>
      <c r="Y9" s="189">
        <v>111713937.40000001</v>
      </c>
      <c r="Z9" s="189">
        <v>0</v>
      </c>
      <c r="AA9" s="189">
        <v>0</v>
      </c>
      <c r="AB9" s="189">
        <v>0</v>
      </c>
      <c r="AC9" s="189">
        <v>2194934.7999999998</v>
      </c>
      <c r="AD9" s="189">
        <v>0</v>
      </c>
      <c r="AE9" s="189">
        <v>0</v>
      </c>
      <c r="AF9" s="189">
        <v>0</v>
      </c>
      <c r="AG9" s="189">
        <v>0</v>
      </c>
      <c r="AH9" s="189">
        <v>0</v>
      </c>
      <c r="AI9" s="189">
        <v>11090.98</v>
      </c>
      <c r="AJ9" s="189">
        <v>0</v>
      </c>
      <c r="AK9" s="189">
        <v>-17671.34</v>
      </c>
      <c r="AL9" s="189">
        <v>0</v>
      </c>
      <c r="AM9" s="189">
        <v>-2500</v>
      </c>
      <c r="AN9" s="189">
        <v>0</v>
      </c>
      <c r="AO9" s="189">
        <v>-158555.29</v>
      </c>
      <c r="AP9" s="189">
        <v>0</v>
      </c>
      <c r="AQ9" s="189">
        <v>-99752</v>
      </c>
      <c r="AR9" s="189">
        <v>0</v>
      </c>
      <c r="AS9" s="189">
        <v>-3255083.53</v>
      </c>
      <c r="AT9" s="189">
        <v>0</v>
      </c>
      <c r="AU9" s="189">
        <v>109004.2</v>
      </c>
      <c r="AV9" s="189">
        <v>0</v>
      </c>
      <c r="AW9" s="189">
        <v>-1079085.8600000001</v>
      </c>
      <c r="AX9" s="189">
        <v>-894832.11</v>
      </c>
      <c r="AY9" s="189">
        <v>-385014.11</v>
      </c>
      <c r="AZ9" s="189">
        <v>-428601.89</v>
      </c>
      <c r="BA9" s="189">
        <v>-785708.5</v>
      </c>
      <c r="BB9" s="189">
        <v>-860001.45</v>
      </c>
      <c r="BC9" s="189">
        <v>-757259.59</v>
      </c>
      <c r="BD9" s="189">
        <v>-315107.46000000002</v>
      </c>
      <c r="BE9" s="189">
        <v>1905251.57</v>
      </c>
      <c r="BF9" s="189">
        <v>2528176.2000000002</v>
      </c>
      <c r="BG9" s="189">
        <v>3295457.57</v>
      </c>
      <c r="BH9" s="189">
        <v>1989257.14</v>
      </c>
      <c r="BI9" s="189">
        <v>337437.76</v>
      </c>
      <c r="BJ9" s="189">
        <v>-216016.53</v>
      </c>
      <c r="BK9" s="189">
        <v>-201206.53</v>
      </c>
      <c r="BL9" s="189">
        <v>-950</v>
      </c>
      <c r="BM9" s="189">
        <v>-520360.84</v>
      </c>
      <c r="BN9" s="189">
        <v>0</v>
      </c>
      <c r="BO9" s="189">
        <v>0</v>
      </c>
      <c r="BP9" s="189">
        <v>1595890.7</v>
      </c>
      <c r="BQ9" s="189">
        <v>-3580</v>
      </c>
      <c r="BR9" s="189">
        <v>-1500</v>
      </c>
      <c r="BS9" s="189">
        <v>169771.53</v>
      </c>
      <c r="BT9" s="189">
        <v>-1680</v>
      </c>
      <c r="BU9" s="189">
        <v>0</v>
      </c>
      <c r="BV9" s="189">
        <v>0</v>
      </c>
    </row>
    <row r="10" spans="1:74" s="26" customFormat="1" x14ac:dyDescent="0.25">
      <c r="A10" s="17" t="s">
        <v>309</v>
      </c>
      <c r="B10" s="189">
        <v>0</v>
      </c>
      <c r="C10" s="189">
        <v>77995.41</v>
      </c>
      <c r="D10" s="189">
        <v>0</v>
      </c>
      <c r="E10" s="189">
        <v>831440.32</v>
      </c>
      <c r="F10" s="189">
        <v>0</v>
      </c>
      <c r="G10" s="189">
        <v>1944667.32</v>
      </c>
      <c r="H10" s="189">
        <v>0</v>
      </c>
      <c r="I10" s="189">
        <v>904204.62</v>
      </c>
      <c r="J10" s="189">
        <v>0</v>
      </c>
      <c r="K10" s="189">
        <v>31460.06</v>
      </c>
      <c r="L10" s="189">
        <v>0</v>
      </c>
      <c r="M10" s="189">
        <v>0</v>
      </c>
      <c r="N10" s="189">
        <v>0</v>
      </c>
      <c r="O10" s="189">
        <v>-300373.88</v>
      </c>
      <c r="P10" s="189">
        <v>0</v>
      </c>
      <c r="Q10" s="189">
        <v>0</v>
      </c>
      <c r="R10" s="189">
        <v>0</v>
      </c>
      <c r="S10" s="189">
        <v>-45262.78</v>
      </c>
      <c r="T10" s="189">
        <v>0</v>
      </c>
      <c r="U10" s="189">
        <v>0</v>
      </c>
      <c r="V10" s="189">
        <v>0</v>
      </c>
      <c r="W10" s="189">
        <v>-115027.89</v>
      </c>
      <c r="X10" s="189">
        <v>0</v>
      </c>
      <c r="Y10" s="189">
        <v>9487.25</v>
      </c>
      <c r="Z10" s="189">
        <v>0</v>
      </c>
      <c r="AA10" s="189">
        <v>49772.82</v>
      </c>
      <c r="AB10" s="189">
        <v>0</v>
      </c>
      <c r="AC10" s="189">
        <v>0</v>
      </c>
      <c r="AD10" s="189">
        <v>0</v>
      </c>
      <c r="AE10" s="189">
        <v>115929.99</v>
      </c>
      <c r="AF10" s="189">
        <v>0</v>
      </c>
      <c r="AG10" s="189">
        <v>282642.39</v>
      </c>
      <c r="AH10" s="189">
        <v>0</v>
      </c>
      <c r="AI10" s="189">
        <v>33996.94</v>
      </c>
      <c r="AJ10" s="189">
        <v>0</v>
      </c>
      <c r="AK10" s="189">
        <v>37267.9</v>
      </c>
      <c r="AL10" s="189">
        <v>0</v>
      </c>
      <c r="AM10" s="189">
        <v>-27568.19</v>
      </c>
      <c r="AN10" s="189">
        <v>0</v>
      </c>
      <c r="AO10" s="189">
        <v>8620.3799999999992</v>
      </c>
      <c r="AP10" s="189">
        <v>0</v>
      </c>
      <c r="AQ10" s="189">
        <v>1790</v>
      </c>
      <c r="AR10" s="189">
        <v>0</v>
      </c>
      <c r="AS10" s="189">
        <v>161892.99</v>
      </c>
      <c r="AT10" s="189">
        <v>0</v>
      </c>
      <c r="AU10" s="189">
        <v>0</v>
      </c>
      <c r="AV10" s="189">
        <v>0</v>
      </c>
      <c r="AW10" s="189">
        <v>122936.25</v>
      </c>
      <c r="AX10" s="189">
        <v>0</v>
      </c>
      <c r="AY10" s="189">
        <v>0</v>
      </c>
      <c r="AZ10" s="189">
        <v>0</v>
      </c>
      <c r="BA10" s="189">
        <v>0</v>
      </c>
      <c r="BB10" s="189">
        <v>0</v>
      </c>
      <c r="BC10" s="189">
        <v>0</v>
      </c>
      <c r="BD10" s="189">
        <v>0</v>
      </c>
      <c r="BE10" s="189">
        <v>0</v>
      </c>
      <c r="BF10" s="189">
        <v>11071.69</v>
      </c>
      <c r="BG10" s="189">
        <v>0</v>
      </c>
      <c r="BH10" s="189">
        <v>0</v>
      </c>
      <c r="BI10" s="189">
        <v>1086887.46</v>
      </c>
      <c r="BJ10" s="189">
        <v>25093.32</v>
      </c>
      <c r="BK10" s="189">
        <v>0</v>
      </c>
      <c r="BL10" s="189">
        <v>0</v>
      </c>
      <c r="BM10" s="189">
        <v>161381.81</v>
      </c>
      <c r="BN10" s="189">
        <v>0</v>
      </c>
      <c r="BO10" s="189">
        <v>0</v>
      </c>
      <c r="BP10" s="189">
        <v>0</v>
      </c>
      <c r="BQ10" s="189">
        <v>1025342.66</v>
      </c>
      <c r="BR10" s="189">
        <v>43944</v>
      </c>
      <c r="BS10" s="189">
        <v>0</v>
      </c>
      <c r="BT10" s="189">
        <v>7101</v>
      </c>
      <c r="BU10" s="189">
        <v>0</v>
      </c>
      <c r="BV10" s="189">
        <v>0</v>
      </c>
    </row>
    <row r="11" spans="1:74" s="47" customFormat="1" x14ac:dyDescent="0.25">
      <c r="A11" s="134" t="s">
        <v>296</v>
      </c>
      <c r="E11" s="47">
        <f>E5-E6-E7-E8-E9-E10</f>
        <v>3421245794.0899997</v>
      </c>
      <c r="F11" s="47">
        <f t="shared" ref="F11:BQ11" si="1">F5-F6-F7-F8-F9-F10</f>
        <v>2592432493.0700002</v>
      </c>
      <c r="G11" s="47">
        <f t="shared" si="1"/>
        <v>1152971314.5699999</v>
      </c>
      <c r="H11" s="47">
        <f t="shared" si="1"/>
        <v>785337946.10000002</v>
      </c>
      <c r="I11" s="47">
        <f t="shared" si="1"/>
        <v>4702784044.2400017</v>
      </c>
      <c r="J11" s="47">
        <f t="shared" si="1"/>
        <v>3527524548.3400002</v>
      </c>
      <c r="K11" s="47">
        <f t="shared" si="1"/>
        <v>2404728510.4400001</v>
      </c>
      <c r="L11" s="47">
        <f t="shared" si="1"/>
        <v>2156251140.5599999</v>
      </c>
      <c r="M11" s="47">
        <f t="shared" si="1"/>
        <v>2603140717.1600008</v>
      </c>
      <c r="N11" s="47">
        <f t="shared" si="1"/>
        <v>2215300722.8099999</v>
      </c>
      <c r="O11" s="47">
        <f t="shared" si="1"/>
        <v>1510732204.6299999</v>
      </c>
      <c r="P11" s="47">
        <f t="shared" si="1"/>
        <v>9804430.0399999991</v>
      </c>
      <c r="Q11" s="47">
        <f t="shared" si="1"/>
        <v>-613699284.28999996</v>
      </c>
      <c r="R11" s="47">
        <f t="shared" si="1"/>
        <v>38553786.420000002</v>
      </c>
      <c r="S11" s="47">
        <f t="shared" si="1"/>
        <v>-322827679.99000007</v>
      </c>
      <c r="T11" s="47">
        <f t="shared" si="1"/>
        <v>13177718.140000001</v>
      </c>
      <c r="U11" s="47">
        <f t="shared" si="1"/>
        <v>-642737317.76999998</v>
      </c>
      <c r="V11" s="47">
        <f t="shared" si="1"/>
        <v>73510123.549999997</v>
      </c>
      <c r="W11" s="47">
        <f t="shared" si="1"/>
        <v>-327696647.38</v>
      </c>
      <c r="X11" s="47">
        <f t="shared" si="1"/>
        <v>12918606.699999999</v>
      </c>
      <c r="Y11" s="47">
        <f t="shared" si="1"/>
        <v>-441867559.78999996</v>
      </c>
      <c r="Z11" s="47">
        <f t="shared" si="1"/>
        <v>64838818.020000003</v>
      </c>
      <c r="AA11" s="47">
        <f t="shared" si="1"/>
        <v>-307192480.54000002</v>
      </c>
      <c r="AB11" s="47">
        <f t="shared" si="1"/>
        <v>32220176.870000001</v>
      </c>
      <c r="AC11" s="47">
        <f t="shared" si="1"/>
        <v>168221782.15999988</v>
      </c>
      <c r="AD11" s="47">
        <f t="shared" si="1"/>
        <v>155924536.41</v>
      </c>
      <c r="AE11" s="47">
        <f t="shared" si="1"/>
        <v>-265229200.34000003</v>
      </c>
      <c r="AF11" s="47">
        <f t="shared" si="1"/>
        <v>31736731.149999999</v>
      </c>
      <c r="AG11" s="47">
        <f t="shared" si="1"/>
        <v>983827533.70999992</v>
      </c>
      <c r="AH11" s="47">
        <f t="shared" si="1"/>
        <v>1074488802.9000001</v>
      </c>
      <c r="AI11" s="47">
        <f t="shared" si="1"/>
        <v>764680715.04999995</v>
      </c>
      <c r="AJ11" s="47">
        <f t="shared" si="1"/>
        <v>15002191.300000001</v>
      </c>
      <c r="AK11" s="47">
        <f t="shared" si="1"/>
        <v>31835733.750000063</v>
      </c>
      <c r="AL11" s="47">
        <f t="shared" si="1"/>
        <v>264224011.35000002</v>
      </c>
      <c r="AM11" s="47">
        <f t="shared" si="1"/>
        <v>-212203566.67000002</v>
      </c>
      <c r="AN11" s="47">
        <f t="shared" si="1"/>
        <v>11302882.130000001</v>
      </c>
      <c r="AO11" s="47">
        <f t="shared" si="1"/>
        <v>96838306.350000039</v>
      </c>
      <c r="AP11" s="47">
        <f t="shared" si="1"/>
        <v>162781206.25999999</v>
      </c>
      <c r="AQ11" s="47">
        <f t="shared" si="1"/>
        <v>-204878160.34</v>
      </c>
      <c r="AR11" s="47">
        <f t="shared" si="1"/>
        <v>15522922.15</v>
      </c>
      <c r="AS11" s="47">
        <f t="shared" si="1"/>
        <v>-389233059.71000004</v>
      </c>
      <c r="AT11" s="47">
        <f t="shared" si="1"/>
        <v>0</v>
      </c>
      <c r="AU11" s="47">
        <f t="shared" si="1"/>
        <v>-193026556.80999997</v>
      </c>
      <c r="AV11" s="47">
        <f t="shared" si="1"/>
        <v>0</v>
      </c>
      <c r="AW11" s="47">
        <f t="shared" si="1"/>
        <v>-377494566.29999995</v>
      </c>
      <c r="AX11" s="47">
        <f t="shared" si="1"/>
        <v>-278457882.84999996</v>
      </c>
      <c r="AY11" s="47">
        <f t="shared" si="1"/>
        <v>-185912083.85999998</v>
      </c>
      <c r="AZ11" s="47">
        <f t="shared" si="1"/>
        <v>-93241366.50999999</v>
      </c>
      <c r="BA11" s="47">
        <f t="shared" si="1"/>
        <v>-376294707.18000001</v>
      </c>
      <c r="BB11" s="47">
        <f t="shared" si="1"/>
        <v>-271604260</v>
      </c>
      <c r="BC11" s="47">
        <f t="shared" si="1"/>
        <v>-178653149.12</v>
      </c>
      <c r="BD11" s="47">
        <f t="shared" si="1"/>
        <v>-82537291.390000015</v>
      </c>
      <c r="BE11" s="47">
        <f t="shared" si="1"/>
        <v>-135644055.16</v>
      </c>
      <c r="BF11" s="47">
        <f t="shared" si="1"/>
        <v>-55955404.250000007</v>
      </c>
      <c r="BG11" s="47">
        <f t="shared" si="1"/>
        <v>-26625304.539999999</v>
      </c>
      <c r="BH11" s="47">
        <f t="shared" si="1"/>
        <v>-14323376.300000001</v>
      </c>
      <c r="BI11" s="47">
        <f t="shared" si="1"/>
        <v>-47476475.889999993</v>
      </c>
      <c r="BJ11" s="47">
        <f t="shared" si="1"/>
        <v>-29279868.91</v>
      </c>
      <c r="BK11" s="47">
        <f t="shared" si="1"/>
        <v>-21589439.899999999</v>
      </c>
      <c r="BL11" s="47">
        <f t="shared" si="1"/>
        <v>-8317230.1600000001</v>
      </c>
      <c r="BM11" s="47">
        <f t="shared" si="1"/>
        <v>-45432353.060000002</v>
      </c>
      <c r="BN11" s="47">
        <f t="shared" si="1"/>
        <v>0</v>
      </c>
      <c r="BO11" s="47">
        <f t="shared" si="1"/>
        <v>0</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15481032918.609999</v>
      </c>
      <c r="F12" s="26">
        <f t="shared" si="3"/>
        <v>13151218455.370001</v>
      </c>
      <c r="G12" s="26">
        <f t="shared" si="3"/>
        <v>12418526373.58</v>
      </c>
      <c r="H12" s="26">
        <f t="shared" si="3"/>
        <v>12007185667.030001</v>
      </c>
      <c r="I12" s="26">
        <f t="shared" si="3"/>
        <v>9928707830.3299999</v>
      </c>
      <c r="J12" s="26">
        <f t="shared" si="3"/>
        <v>8710588041.1200008</v>
      </c>
      <c r="K12" s="26">
        <f t="shared" si="3"/>
        <v>8355694419.2199993</v>
      </c>
      <c r="L12" s="26">
        <f t="shared" si="3"/>
        <v>6712213502.0500002</v>
      </c>
      <c r="M12" s="26">
        <f t="shared" si="3"/>
        <v>6853074405.6399994</v>
      </c>
      <c r="N12" s="26">
        <f t="shared" si="3"/>
        <v>6936645320.4200001</v>
      </c>
      <c r="O12" s="26">
        <f t="shared" si="3"/>
        <v>7053195752.4800005</v>
      </c>
      <c r="P12" s="26">
        <f t="shared" si="3"/>
        <v>7212310288.7200003</v>
      </c>
      <c r="Q12" s="26">
        <f t="shared" si="3"/>
        <v>7359701562.0100002</v>
      </c>
      <c r="R12" s="192">
        <f t="shared" ref="R12" si="4">V34</f>
        <v>7622128871.25</v>
      </c>
      <c r="S12" s="192">
        <f t="shared" ref="S12" si="5">W34</f>
        <v>7744757472.1999998</v>
      </c>
      <c r="T12" s="192">
        <f t="shared" ref="T12" si="6">X34</f>
        <v>7872255643.9300003</v>
      </c>
      <c r="U12" s="192">
        <f t="shared" ref="U12" si="7">Y34</f>
        <v>8046410371.5</v>
      </c>
      <c r="V12" s="192">
        <f t="shared" ref="V12" si="8">Z34</f>
        <v>8275302228.9099998</v>
      </c>
      <c r="W12" s="192">
        <f t="shared" ref="W12" si="9">AA34</f>
        <v>8419636698.9300003</v>
      </c>
      <c r="X12" s="192">
        <f t="shared" ref="X12" si="10">AB34</f>
        <v>8564240083.0100002</v>
      </c>
      <c r="Y12" s="192">
        <f t="shared" ref="Y12" si="11">AC34</f>
        <v>8719830232.6700001</v>
      </c>
      <c r="Z12" s="192">
        <f t="shared" ref="Z12" si="12">AD34</f>
        <v>8723716411.2099991</v>
      </c>
      <c r="AA12" s="192">
        <f t="shared" ref="AA12" si="13">AE34</f>
        <v>8842699893.6900005</v>
      </c>
      <c r="AB12" s="192">
        <f t="shared" ref="AB12" si="14">AF34</f>
        <v>8979409518.8899994</v>
      </c>
      <c r="AC12" s="192">
        <f t="shared" ref="AC12" si="15">AG34</f>
        <v>9124389537.9899998</v>
      </c>
      <c r="AD12" s="192">
        <f t="shared" ref="AD12" si="16">AH34</f>
        <v>8696366886.1299992</v>
      </c>
      <c r="AE12" s="192">
        <f t="shared" ref="AE12" si="17">AI34</f>
        <v>8804255627.3799992</v>
      </c>
      <c r="AF12" s="192">
        <f t="shared" ref="AF12" si="18">AJ34</f>
        <v>8919909291.0900002</v>
      </c>
      <c r="AG12" s="192">
        <f t="shared" ref="AG12" si="19">AK34</f>
        <v>9021563668.9400005</v>
      </c>
      <c r="AH12" s="192">
        <f t="shared" ref="AH12" si="20">AL34</f>
        <v>7186613843.1599998</v>
      </c>
      <c r="AI12" s="192">
        <f t="shared" ref="AI12" si="21">AM34</f>
        <v>7180012675.9300003</v>
      </c>
      <c r="AJ12" s="192">
        <f t="shared" ref="AJ12" si="22">AN34</f>
        <v>7283520837.1199999</v>
      </c>
      <c r="AK12" s="192">
        <f t="shared" ref="AK12" si="23">AO34</f>
        <v>7396681341.3000002</v>
      </c>
      <c r="AL12" s="192">
        <f t="shared" ref="AL12" si="24">AP34</f>
        <v>7489295799.7700005</v>
      </c>
      <c r="AM12" s="192">
        <f t="shared" ref="AM12" si="25">AQ34</f>
        <v>7578972252.3100004</v>
      </c>
      <c r="AN12" s="192">
        <f t="shared" ref="AN12" si="26">AR34</f>
        <v>7666572884.7299995</v>
      </c>
      <c r="AO12" s="192">
        <f t="shared" ref="AO12" si="27">AS34</f>
        <v>7790466227.6700001</v>
      </c>
      <c r="AP12" s="192">
        <f t="shared" ref="AP12" si="28">AT34</f>
        <v>5862159436.1400003</v>
      </c>
      <c r="AQ12" s="192">
        <f t="shared" ref="AQ12" si="29">AU34</f>
        <v>5917454932.8400002</v>
      </c>
      <c r="AR12" s="192">
        <f t="shared" ref="AR12" si="30">AV34</f>
        <v>6014014902.8299999</v>
      </c>
      <c r="AS12" s="192">
        <f t="shared" ref="AS12" si="31">AW34</f>
        <v>6072243862.3299999</v>
      </c>
      <c r="AT12" s="192">
        <f t="shared" ref="AT12" si="32">AX34</f>
        <v>6159399046.9899998</v>
      </c>
      <c r="AU12" s="192">
        <f t="shared" ref="AU12" si="33">AY34</f>
        <v>6247452894.3900003</v>
      </c>
      <c r="AV12" s="192">
        <f t="shared" ref="AV12" si="34">AZ34</f>
        <v>6329323533.71</v>
      </c>
      <c r="AW12" s="192">
        <f t="shared" ref="AW12" si="35">BA34</f>
        <v>6412089134.8699999</v>
      </c>
      <c r="AX12" s="192">
        <f t="shared" ref="AX12" si="36">BB34</f>
        <v>6350219316.1099997</v>
      </c>
      <c r="AY12" s="192">
        <f t="shared" ref="AY12" si="37">BC34</f>
        <v>6423255663.6400003</v>
      </c>
      <c r="AZ12" s="192">
        <f t="shared" ref="AZ12" si="38">BD34</f>
        <v>6037075410.7600002</v>
      </c>
      <c r="BA12" s="192">
        <f t="shared" ref="BA12" si="39">BE34</f>
        <v>6097799038.8100004</v>
      </c>
      <c r="BB12" s="192">
        <f t="shared" ref="BB12" si="40">BF34</f>
        <v>5334156640.54</v>
      </c>
      <c r="BC12" s="192">
        <f t="shared" ref="BC12" si="41">BG34</f>
        <v>2903071891.25</v>
      </c>
      <c r="BD12" s="192">
        <f t="shared" ref="BD12" si="42">BH34</f>
        <v>2896156632.5300002</v>
      </c>
      <c r="BE12" s="192">
        <f t="shared" ref="BE12" si="43">BI34</f>
        <v>2904035548.9299998</v>
      </c>
      <c r="BF12" s="192">
        <f t="shared" ref="BF12" si="44">BJ34</f>
        <v>2901956329.0799999</v>
      </c>
      <c r="BG12" s="192">
        <f t="shared" ref="BG12" si="45">BK34</f>
        <v>2909611944.48</v>
      </c>
      <c r="BH12" s="192">
        <f t="shared" ref="BH12" si="46">BL34</f>
        <v>419271127.00999999</v>
      </c>
      <c r="BI12" s="192">
        <f t="shared" ref="BI12" si="47">BM34</f>
        <v>429368871.36000001</v>
      </c>
      <c r="BJ12" s="192">
        <f t="shared" ref="BJ12" si="48">BN34</f>
        <v>441295345.10000002</v>
      </c>
      <c r="BK12" s="192">
        <f t="shared" ref="BK12" si="49">BO34</f>
        <v>381810098.19</v>
      </c>
      <c r="BL12" s="192">
        <f t="shared" ref="BL12" si="50">BP34</f>
        <v>3523637936.8200002</v>
      </c>
      <c r="BM12" s="192">
        <f t="shared" ref="BM12" si="51">BQ34</f>
        <v>7489295799.7700005</v>
      </c>
      <c r="BN12" s="192">
        <f t="shared" ref="BN12" si="52">BR34</f>
        <v>7578972252.3100004</v>
      </c>
    </row>
    <row r="13" spans="1:74" s="219" customFormat="1" x14ac:dyDescent="0.25">
      <c r="A13" s="219" t="s">
        <v>351</v>
      </c>
      <c r="E13" s="219">
        <f>E11/E12</f>
        <v>0.22099596403398025</v>
      </c>
      <c r="F13" s="219">
        <f t="shared" ref="F13:AR13" si="53">F11/F12</f>
        <v>0.19712489012844581</v>
      </c>
      <c r="G13" s="219">
        <f t="shared" si="53"/>
        <v>9.2842844624697815E-2</v>
      </c>
      <c r="H13" s="219">
        <f t="shared" si="53"/>
        <v>6.5405663564978817E-2</v>
      </c>
      <c r="I13" s="219">
        <f t="shared" si="53"/>
        <v>0.47365519507725262</v>
      </c>
      <c r="J13" s="219">
        <f t="shared" si="53"/>
        <v>0.40496973702437128</v>
      </c>
      <c r="K13" s="219">
        <f t="shared" si="53"/>
        <v>0.28779517174641728</v>
      </c>
      <c r="L13" s="219">
        <f t="shared" si="53"/>
        <v>0.32124293124785913</v>
      </c>
      <c r="M13" s="219">
        <f t="shared" si="53"/>
        <v>0.37985005897756585</v>
      </c>
      <c r="N13" s="219">
        <f t="shared" si="53"/>
        <v>0.31936197116618148</v>
      </c>
      <c r="O13" s="219">
        <f t="shared" si="53"/>
        <v>0.2141911635018503</v>
      </c>
      <c r="P13" s="219">
        <f t="shared" si="53"/>
        <v>1.3594021398849207E-3</v>
      </c>
      <c r="Q13" s="219">
        <f t="shared" si="53"/>
        <v>-8.3386436137281791E-2</v>
      </c>
      <c r="R13" s="219">
        <f t="shared" si="53"/>
        <v>5.0581388836682482E-3</v>
      </c>
      <c r="S13" s="219">
        <f t="shared" si="53"/>
        <v>-4.1683381454977519E-2</v>
      </c>
      <c r="T13" s="219">
        <f t="shared" si="53"/>
        <v>1.6739443859601845E-3</v>
      </c>
      <c r="U13" s="219">
        <f t="shared" si="53"/>
        <v>-7.9878764330308674E-2</v>
      </c>
      <c r="V13" s="219">
        <f t="shared" si="53"/>
        <v>8.883074178631243E-3</v>
      </c>
      <c r="W13" s="219">
        <f t="shared" si="53"/>
        <v>-3.8920521050705779E-2</v>
      </c>
      <c r="X13" s="219">
        <f t="shared" si="53"/>
        <v>1.5084358419176413E-3</v>
      </c>
      <c r="Y13" s="219">
        <f t="shared" si="53"/>
        <v>-5.0673871852973076E-2</v>
      </c>
      <c r="Z13" s="219">
        <f t="shared" si="53"/>
        <v>7.4324765918206545E-3</v>
      </c>
      <c r="AA13" s="219">
        <f t="shared" si="53"/>
        <v>-3.4739670489010638E-2</v>
      </c>
      <c r="AB13" s="219">
        <f t="shared" si="53"/>
        <v>3.5882289144089441E-3</v>
      </c>
      <c r="AC13" s="219">
        <f t="shared" si="53"/>
        <v>1.8436497199028751E-2</v>
      </c>
      <c r="AD13" s="219">
        <f t="shared" si="53"/>
        <v>1.7929847998787517E-2</v>
      </c>
      <c r="AE13" s="219">
        <f t="shared" si="53"/>
        <v>-3.0125113532048574E-2</v>
      </c>
      <c r="AF13" s="219">
        <f t="shared" si="53"/>
        <v>3.5579656826444941E-3</v>
      </c>
      <c r="AG13" s="219">
        <f t="shared" si="53"/>
        <v>0.1090528837142925</v>
      </c>
      <c r="AH13" s="219">
        <f t="shared" si="53"/>
        <v>0.1495125279233788</v>
      </c>
      <c r="AI13" s="219">
        <f t="shared" si="53"/>
        <v>0.10650130432408376</v>
      </c>
      <c r="AJ13" s="219">
        <f t="shared" si="53"/>
        <v>2.0597444059667256E-3</v>
      </c>
      <c r="AK13" s="219">
        <f t="shared" si="53"/>
        <v>4.3040564113858105E-3</v>
      </c>
      <c r="AL13" s="219">
        <f t="shared" si="53"/>
        <v>3.5280221053375201E-2</v>
      </c>
      <c r="AM13" s="219">
        <f t="shared" si="53"/>
        <v>-2.7998989784574331E-2</v>
      </c>
      <c r="AN13" s="219">
        <f t="shared" si="53"/>
        <v>1.4743070078304047E-3</v>
      </c>
      <c r="AO13" s="219">
        <f t="shared" si="53"/>
        <v>1.2430360843623447E-2</v>
      </c>
      <c r="AP13" s="219">
        <f t="shared" si="53"/>
        <v>2.7768130163171572E-2</v>
      </c>
      <c r="AQ13" s="219">
        <f t="shared" si="53"/>
        <v>-3.4622681991710848E-2</v>
      </c>
      <c r="AR13" s="219">
        <f t="shared" si="53"/>
        <v>2.5811246564579377E-3</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-83848786.379999995</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158118.32</v>
      </c>
      <c r="AQ15" s="189">
        <v>158118.32</v>
      </c>
      <c r="AR15" s="189">
        <v>158118.32</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4" t="s">
        <v>298</v>
      </c>
      <c r="E17" s="47">
        <f>E16-E15</f>
        <v>0</v>
      </c>
      <c r="F17" s="47">
        <f t="shared" ref="F17:AV17" si="54">F16-F15</f>
        <v>0</v>
      </c>
      <c r="G17" s="47">
        <f t="shared" si="54"/>
        <v>0</v>
      </c>
      <c r="H17" s="47">
        <f t="shared" si="54"/>
        <v>0</v>
      </c>
      <c r="I17" s="47">
        <f t="shared" si="54"/>
        <v>83848786.379999995</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-158118.32</v>
      </c>
      <c r="AQ17" s="47">
        <f t="shared" si="54"/>
        <v>-158118.32</v>
      </c>
      <c r="AR17" s="47">
        <f t="shared" si="54"/>
        <v>-158118.32</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4034214525.1999998</v>
      </c>
      <c r="F19" s="192">
        <f t="shared" ref="F19:AS19" si="55">F5+F17</f>
        <v>2592432493.0700002</v>
      </c>
      <c r="G19" s="192">
        <f t="shared" si="55"/>
        <v>1454659886.3699999</v>
      </c>
      <c r="H19" s="192">
        <f t="shared" si="55"/>
        <v>785337946.10000002</v>
      </c>
      <c r="I19" s="192">
        <f t="shared" si="55"/>
        <v>5377055516.3200006</v>
      </c>
      <c r="J19" s="192">
        <f t="shared" si="55"/>
        <v>3527524548.3400002</v>
      </c>
      <c r="K19" s="192">
        <f t="shared" si="55"/>
        <v>2670019711.3800001</v>
      </c>
      <c r="L19" s="192">
        <f t="shared" si="55"/>
        <v>2156251140.5599999</v>
      </c>
      <c r="M19" s="192">
        <f t="shared" si="55"/>
        <v>3165225082.9700003</v>
      </c>
      <c r="N19" s="192">
        <f t="shared" si="55"/>
        <v>2215300722.8099999</v>
      </c>
      <c r="O19" s="192">
        <f t="shared" si="55"/>
        <v>1772933166.3699999</v>
      </c>
      <c r="P19" s="192">
        <f t="shared" si="55"/>
        <v>9804430.0399999991</v>
      </c>
      <c r="Q19" s="192">
        <f t="shared" si="55"/>
        <v>95951535.780000001</v>
      </c>
      <c r="R19" s="192">
        <f t="shared" si="55"/>
        <v>38553786.420000002</v>
      </c>
      <c r="S19" s="192">
        <f t="shared" si="55"/>
        <v>26131207.510000002</v>
      </c>
      <c r="T19" s="192">
        <f t="shared" si="55"/>
        <v>13177718.140000001</v>
      </c>
      <c r="U19" s="192">
        <f t="shared" si="55"/>
        <v>89119527.5</v>
      </c>
      <c r="V19" s="192">
        <f t="shared" si="55"/>
        <v>73510123.549999997</v>
      </c>
      <c r="W19" s="192">
        <f t="shared" si="55"/>
        <v>28989535.73</v>
      </c>
      <c r="X19" s="192">
        <f t="shared" si="55"/>
        <v>12918606.699999999</v>
      </c>
      <c r="Y19" s="192">
        <f t="shared" si="55"/>
        <v>361069441.22000003</v>
      </c>
      <c r="Z19" s="192">
        <f t="shared" si="55"/>
        <v>64838818.020000003</v>
      </c>
      <c r="AA19" s="192">
        <f t="shared" si="55"/>
        <v>52018445.950000003</v>
      </c>
      <c r="AB19" s="192">
        <f t="shared" si="55"/>
        <v>32220176.870000001</v>
      </c>
      <c r="AC19" s="192">
        <f t="shared" si="55"/>
        <v>845432411.05999994</v>
      </c>
      <c r="AD19" s="192">
        <f t="shared" si="55"/>
        <v>155924536.41</v>
      </c>
      <c r="AE19" s="192">
        <f t="shared" si="55"/>
        <v>60234977.560000002</v>
      </c>
      <c r="AF19" s="192">
        <f t="shared" si="55"/>
        <v>31736731.149999999</v>
      </c>
      <c r="AG19" s="192">
        <f t="shared" si="55"/>
        <v>1604785576.29</v>
      </c>
      <c r="AH19" s="192">
        <f t="shared" si="55"/>
        <v>1074488802.9000001</v>
      </c>
      <c r="AI19" s="192">
        <f t="shared" si="55"/>
        <v>1032660159.0700001</v>
      </c>
      <c r="AJ19" s="192">
        <f t="shared" si="55"/>
        <v>15002191.300000001</v>
      </c>
      <c r="AK19" s="192">
        <f t="shared" si="55"/>
        <v>526909326.84000003</v>
      </c>
      <c r="AL19" s="192">
        <f t="shared" si="55"/>
        <v>264224011.35000002</v>
      </c>
      <c r="AM19" s="192">
        <f t="shared" si="55"/>
        <v>20669350.289999999</v>
      </c>
      <c r="AN19" s="192">
        <f t="shared" si="55"/>
        <v>11302882.130000001</v>
      </c>
      <c r="AO19" s="192">
        <f t="shared" si="55"/>
        <v>562548311.75</v>
      </c>
      <c r="AP19" s="192">
        <f t="shared" si="55"/>
        <v>162623087.94</v>
      </c>
      <c r="AQ19" s="192">
        <f t="shared" si="55"/>
        <v>26487208.050000001</v>
      </c>
      <c r="AR19" s="192">
        <f t="shared" si="55"/>
        <v>15364803.83</v>
      </c>
      <c r="AS19" s="192">
        <f t="shared" si="55"/>
        <v>0</v>
      </c>
    </row>
    <row r="20" spans="1:74" s="192" customFormat="1" x14ac:dyDescent="0.25">
      <c r="A20" s="192" t="s">
        <v>300</v>
      </c>
      <c r="B20" s="189">
        <v>2578877273.71</v>
      </c>
      <c r="C20" s="189">
        <v>1725639371.98</v>
      </c>
      <c r="D20" s="189">
        <v>636535663.16999996</v>
      </c>
      <c r="E20" s="189">
        <v>2153068900.1399999</v>
      </c>
      <c r="F20" s="189">
        <v>1591489962.48</v>
      </c>
      <c r="G20" s="189">
        <v>1607753054.48</v>
      </c>
      <c r="H20" s="189">
        <v>443738332.73000002</v>
      </c>
      <c r="I20" s="189">
        <v>1956099715.6600001</v>
      </c>
      <c r="J20" s="189">
        <v>1314892443.8099999</v>
      </c>
      <c r="K20" s="189">
        <v>1003813192.8200001</v>
      </c>
      <c r="L20" s="189">
        <v>90069986.540000007</v>
      </c>
      <c r="M20" s="189">
        <v>1739112381.8800001</v>
      </c>
      <c r="N20" s="189">
        <v>1209008984.1199999</v>
      </c>
      <c r="O20" s="189">
        <v>1064719807.89</v>
      </c>
      <c r="P20" s="189">
        <v>224087496.09</v>
      </c>
      <c r="Q20" s="189">
        <v>1823799354.1500001</v>
      </c>
      <c r="R20" s="189">
        <v>1141974147.04</v>
      </c>
      <c r="S20" s="189">
        <v>827492221.07000005</v>
      </c>
      <c r="T20" s="189">
        <v>110414871.86</v>
      </c>
      <c r="U20" s="189">
        <v>1965968927.28</v>
      </c>
      <c r="V20" s="189">
        <v>1425917380.5599999</v>
      </c>
      <c r="W20" s="189">
        <v>895776602.70000005</v>
      </c>
      <c r="X20" s="189">
        <v>216988976.31999999</v>
      </c>
      <c r="Y20" s="189">
        <v>1796659660.9200001</v>
      </c>
      <c r="Z20" s="189">
        <v>1231863627.05</v>
      </c>
      <c r="AA20" s="189">
        <v>878603093.71000004</v>
      </c>
      <c r="AB20" s="189">
        <v>265016285.38</v>
      </c>
      <c r="AC20" s="189">
        <v>1310123346.8800001</v>
      </c>
      <c r="AD20" s="189">
        <v>759127008.41999996</v>
      </c>
      <c r="AE20" s="189">
        <v>452665299.04000002</v>
      </c>
      <c r="AF20" s="189">
        <v>60278942.149999999</v>
      </c>
      <c r="AG20" s="189">
        <v>1646454332.71</v>
      </c>
      <c r="AH20" s="189">
        <v>1581501597.6300001</v>
      </c>
      <c r="AI20" s="189">
        <v>674812182.05999994</v>
      </c>
      <c r="AJ20" s="189">
        <v>214291040.36000001</v>
      </c>
      <c r="AK20" s="189">
        <v>1155240866.8299999</v>
      </c>
      <c r="AL20" s="189">
        <v>630370222.09000003</v>
      </c>
      <c r="AM20" s="189">
        <v>471014601.11000001</v>
      </c>
      <c r="AN20" s="189">
        <v>149132306.81999999</v>
      </c>
      <c r="AO20" s="189">
        <v>996375080.46000004</v>
      </c>
      <c r="AP20" s="189">
        <v>526013901.83999997</v>
      </c>
      <c r="AQ20" s="189">
        <v>227605028.86000001</v>
      </c>
      <c r="AR20" s="189">
        <v>77241738.450000003</v>
      </c>
      <c r="AS20" s="189">
        <v>1143664416.49</v>
      </c>
      <c r="AT20" s="189">
        <v>907792375.77999997</v>
      </c>
      <c r="AU20" s="189">
        <v>244059635.19999999</v>
      </c>
      <c r="AV20" s="189">
        <v>168491635.71000001</v>
      </c>
      <c r="AW20" s="189">
        <v>1041718763.71</v>
      </c>
      <c r="AX20" s="189">
        <v>606963883.08000004</v>
      </c>
      <c r="AY20" s="189">
        <v>360662052.42000002</v>
      </c>
      <c r="AZ20" s="189">
        <v>176842749.96000001</v>
      </c>
      <c r="BA20" s="189">
        <v>465104333.38</v>
      </c>
      <c r="BB20" s="189">
        <v>461333359.82999998</v>
      </c>
      <c r="BC20" s="189">
        <v>182709932.55000001</v>
      </c>
      <c r="BD20" s="189">
        <v>81641987.799999997</v>
      </c>
      <c r="BE20" s="189">
        <v>291479375.66000003</v>
      </c>
      <c r="BF20" s="189">
        <v>275925669.52999997</v>
      </c>
      <c r="BG20" s="189">
        <v>198410515.18000001</v>
      </c>
      <c r="BH20" s="189">
        <v>142955995.03999999</v>
      </c>
      <c r="BI20" s="189">
        <v>381992837.72000003</v>
      </c>
      <c r="BJ20" s="189">
        <v>276182380.85000002</v>
      </c>
      <c r="BK20" s="189">
        <v>210184480.28</v>
      </c>
      <c r="BL20" s="189">
        <v>113662704.92</v>
      </c>
      <c r="BM20" s="189">
        <v>284358823.68000001</v>
      </c>
      <c r="BN20" s="189">
        <v>124769472.61</v>
      </c>
      <c r="BO20" s="189">
        <v>0</v>
      </c>
      <c r="BP20" s="189">
        <v>259841859.31999999</v>
      </c>
      <c r="BQ20" s="189">
        <v>1294995783.27</v>
      </c>
      <c r="BR20" s="189">
        <v>527169463.72000003</v>
      </c>
      <c r="BS20" s="189">
        <v>898446895.69000006</v>
      </c>
      <c r="BT20" s="189">
        <v>436278873.26999998</v>
      </c>
      <c r="BU20" s="189">
        <v>359005459.04000002</v>
      </c>
      <c r="BV20" s="189">
        <v>0</v>
      </c>
    </row>
    <row r="21" spans="1:74" s="220" customFormat="1" x14ac:dyDescent="0.25">
      <c r="A21" s="220" t="s">
        <v>667</v>
      </c>
      <c r="E21" s="220">
        <f>E20/E19</f>
        <v>0.53370213375880393</v>
      </c>
      <c r="F21" s="220">
        <f t="shared" ref="F21:AS21" si="56">F20/F19</f>
        <v>0.61389832396188337</v>
      </c>
      <c r="G21" s="220">
        <f t="shared" si="56"/>
        <v>1.1052432733895159</v>
      </c>
      <c r="H21" s="220">
        <f t="shared" si="56"/>
        <v>0.5650285140729685</v>
      </c>
      <c r="I21" s="220">
        <f t="shared" si="56"/>
        <v>0.36378640869952072</v>
      </c>
      <c r="J21" s="220">
        <f t="shared" si="56"/>
        <v>0.3727521738803401</v>
      </c>
      <c r="K21" s="220">
        <f t="shared" si="56"/>
        <v>0.37595722179188673</v>
      </c>
      <c r="L21" s="220">
        <f t="shared" si="56"/>
        <v>4.1771565865285958E-2</v>
      </c>
      <c r="M21" s="220">
        <f t="shared" si="56"/>
        <v>0.54944351074336639</v>
      </c>
      <c r="N21" s="220">
        <f t="shared" si="56"/>
        <v>0.54575388870294395</v>
      </c>
      <c r="O21" s="220">
        <f t="shared" si="56"/>
        <v>0.60054142371873243</v>
      </c>
      <c r="P21" s="220">
        <f t="shared" si="56"/>
        <v>22.855739209293194</v>
      </c>
      <c r="Q21" s="220">
        <f t="shared" si="56"/>
        <v>19.007505605034311</v>
      </c>
      <c r="R21" s="220">
        <f t="shared" si="56"/>
        <v>29.620285141373149</v>
      </c>
      <c r="S21" s="220">
        <f t="shared" si="56"/>
        <v>31.66681909947452</v>
      </c>
      <c r="T21" s="220">
        <f t="shared" si="56"/>
        <v>8.3789067793796352</v>
      </c>
      <c r="U21" s="220">
        <f t="shared" si="56"/>
        <v>22.059911923119206</v>
      </c>
      <c r="V21" s="220">
        <f t="shared" si="56"/>
        <v>19.397564739367112</v>
      </c>
      <c r="W21" s="220">
        <f t="shared" si="56"/>
        <v>30.89999822842972</v>
      </c>
      <c r="X21" s="220">
        <f t="shared" si="56"/>
        <v>16.796623765935998</v>
      </c>
      <c r="Y21" s="220">
        <f t="shared" si="56"/>
        <v>4.9759394061412507</v>
      </c>
      <c r="Z21" s="220">
        <f t="shared" si="56"/>
        <v>18.998860014228246</v>
      </c>
      <c r="AA21" s="220">
        <f t="shared" si="56"/>
        <v>16.890221875419176</v>
      </c>
      <c r="AB21" s="220">
        <f t="shared" si="56"/>
        <v>8.2251654436681552</v>
      </c>
      <c r="AC21" s="220">
        <f t="shared" si="56"/>
        <v>1.5496488302800842</v>
      </c>
      <c r="AD21" s="220">
        <f t="shared" si="56"/>
        <v>4.8685538908635451</v>
      </c>
      <c r="AE21" s="220">
        <f t="shared" si="56"/>
        <v>7.5149907475121172</v>
      </c>
      <c r="AF21" s="220">
        <f t="shared" si="56"/>
        <v>1.8993431259539155</v>
      </c>
      <c r="AG21" s="220">
        <f t="shared" si="56"/>
        <v>1.0259653109023645</v>
      </c>
      <c r="AH21" s="220">
        <f t="shared" si="56"/>
        <v>1.4718641956636438</v>
      </c>
      <c r="AI21" s="220">
        <f t="shared" si="56"/>
        <v>0.65346975588535028</v>
      </c>
      <c r="AJ21" s="220">
        <f t="shared" si="56"/>
        <v>14.283982657920113</v>
      </c>
      <c r="AK21" s="220">
        <f t="shared" si="56"/>
        <v>2.1924851354563275</v>
      </c>
      <c r="AL21" s="220">
        <f t="shared" si="56"/>
        <v>2.3857416245754837</v>
      </c>
      <c r="AM21" s="220">
        <f t="shared" si="56"/>
        <v>22.788069992595787</v>
      </c>
      <c r="AN21" s="220">
        <f t="shared" si="56"/>
        <v>13.194184023575231</v>
      </c>
      <c r="AO21" s="220">
        <f t="shared" si="56"/>
        <v>1.7711813539363983</v>
      </c>
      <c r="AP21" s="220">
        <f t="shared" si="56"/>
        <v>3.2345585642431871</v>
      </c>
      <c r="AQ21" s="220">
        <f t="shared" si="56"/>
        <v>8.5930169925931477</v>
      </c>
      <c r="AR21" s="220">
        <f t="shared" si="56"/>
        <v>5.0271867642842532</v>
      </c>
      <c r="AS21" s="220" t="e">
        <f t="shared" si="56"/>
        <v>#DIV/0!</v>
      </c>
    </row>
    <row r="22" spans="1:74" s="192" customFormat="1" x14ac:dyDescent="0.25">
      <c r="A22" s="192" t="s">
        <v>301</v>
      </c>
      <c r="E22" s="192">
        <f>I35</f>
        <v>1170610445.5599999</v>
      </c>
      <c r="F22" s="192">
        <f t="shared" ref="F22:Y22" si="57">J35</f>
        <v>2605949119.7399998</v>
      </c>
      <c r="G22" s="192">
        <f t="shared" si="57"/>
        <v>3244056293.1599998</v>
      </c>
      <c r="H22" s="192">
        <f t="shared" si="57"/>
        <v>2884980245.04</v>
      </c>
      <c r="I22" s="192">
        <f t="shared" si="57"/>
        <v>1528127586.9300003</v>
      </c>
      <c r="J22" s="192">
        <f t="shared" si="57"/>
        <v>1944821223.79</v>
      </c>
      <c r="K22" s="192">
        <f t="shared" si="57"/>
        <v>2509907999.2999997</v>
      </c>
      <c r="L22" s="192">
        <f t="shared" si="57"/>
        <v>3565980717.3600001</v>
      </c>
      <c r="M22" s="192">
        <f t="shared" si="57"/>
        <v>3357835137.5600004</v>
      </c>
      <c r="N22" s="192">
        <f t="shared" si="57"/>
        <v>2544307916.3599997</v>
      </c>
      <c r="O22" s="192">
        <f t="shared" si="57"/>
        <v>2650928704.8899999</v>
      </c>
      <c r="P22" s="192">
        <f t="shared" si="57"/>
        <v>1944355391.6099999</v>
      </c>
      <c r="Q22" s="192">
        <f t="shared" si="57"/>
        <v>1855396028.55</v>
      </c>
      <c r="R22" s="192">
        <f t="shared" si="57"/>
        <v>1339938790.28</v>
      </c>
      <c r="S22" s="192">
        <f t="shared" si="57"/>
        <v>1919067633.49</v>
      </c>
      <c r="T22" s="192">
        <f t="shared" si="57"/>
        <v>1323925160.4300001</v>
      </c>
      <c r="U22" s="192">
        <f t="shared" si="57"/>
        <v>1297891950.8099999</v>
      </c>
      <c r="V22" s="192">
        <f t="shared" si="57"/>
        <v>955099867.87</v>
      </c>
      <c r="W22" s="192">
        <f t="shared" si="57"/>
        <v>1285801049.8</v>
      </c>
      <c r="X22" s="192">
        <f t="shared" si="57"/>
        <v>736981925.47000003</v>
      </c>
      <c r="Y22" s="192">
        <f t="shared" si="57"/>
        <v>990977105.09000003</v>
      </c>
      <c r="Z22" s="192">
        <f t="shared" ref="Z22" si="58">AD35</f>
        <v>2127294429.4100001</v>
      </c>
      <c r="AA22" s="192">
        <f t="shared" ref="AA22" si="59">AE35</f>
        <v>1269011644.8699999</v>
      </c>
      <c r="AB22" s="192">
        <f t="shared" ref="AB22" si="60">AF35</f>
        <v>950980607.22000003</v>
      </c>
      <c r="AC22" s="192">
        <f t="shared" ref="AC22" si="61">AG35</f>
        <v>1116611175.47</v>
      </c>
      <c r="AD22" s="192">
        <f t="shared" ref="AD22" si="62">AH35</f>
        <v>966764613.48000002</v>
      </c>
      <c r="AE22" s="192">
        <f t="shared" ref="AE22" si="63">AI35</f>
        <v>748395614.03999996</v>
      </c>
      <c r="AF22" s="192">
        <f t="shared" ref="AF22" si="64">AJ35</f>
        <v>1353080287.71</v>
      </c>
      <c r="AG22" s="192">
        <f t="shared" ref="AG22" si="65">AK35</f>
        <v>1157096238.6500001</v>
      </c>
      <c r="AH22" s="192">
        <f t="shared" ref="AH22" si="66">AL35</f>
        <v>795704976.13999999</v>
      </c>
      <c r="AI22" s="192">
        <f t="shared" ref="AI22" si="67">AM35</f>
        <v>987589575.78999996</v>
      </c>
      <c r="AJ22" s="192">
        <f t="shared" ref="AJ22" si="68">AN35</f>
        <v>678418073.44000006</v>
      </c>
      <c r="AK22" s="192">
        <f t="shared" ref="AK22" si="69">AO35</f>
        <v>560744939.38999999</v>
      </c>
      <c r="AL22" s="192">
        <f t="shared" ref="AL22" si="70">AP35</f>
        <v>634816597.60000002</v>
      </c>
      <c r="AM22" s="192">
        <f t="shared" ref="AM22" si="71">AQ35</f>
        <v>584527936.80999994</v>
      </c>
      <c r="AN22" s="192">
        <f t="shared" ref="AN22" si="72">AR35</f>
        <v>417065471.07999998</v>
      </c>
      <c r="AO22" s="192">
        <f t="shared" ref="AO22" si="73">AS35</f>
        <v>555649909.46000004</v>
      </c>
      <c r="AP22" s="192">
        <f t="shared" ref="AP22" si="74">AT35</f>
        <v>524216565.25999999</v>
      </c>
      <c r="AQ22" s="192">
        <f t="shared" ref="AQ22" si="75">AU35</f>
        <v>469982296.10999995</v>
      </c>
      <c r="AR22" s="192">
        <f t="shared" ref="AR22" si="76">AV35</f>
        <v>560071595.25999999</v>
      </c>
      <c r="AS22" s="192">
        <f t="shared" ref="AS22" si="77">AW35</f>
        <v>483154127.57999998</v>
      </c>
    </row>
    <row r="23" spans="1:74" s="192" customFormat="1" x14ac:dyDescent="0.25">
      <c r="A23" s="192" t="s">
        <v>302</v>
      </c>
      <c r="E23" s="192">
        <f>E20+E22-E19</f>
        <v>-710535179.5</v>
      </c>
      <c r="F23" s="192">
        <f t="shared" ref="F23:AS23" si="78">F20+F22-F19</f>
        <v>1605006589.1499996</v>
      </c>
      <c r="G23" s="192">
        <f t="shared" si="78"/>
        <v>3397149461.2699995</v>
      </c>
      <c r="H23" s="192">
        <f t="shared" si="78"/>
        <v>2543380631.6700001</v>
      </c>
      <c r="I23" s="192">
        <f t="shared" si="78"/>
        <v>-1892828213.7300005</v>
      </c>
      <c r="J23" s="192">
        <f t="shared" si="78"/>
        <v>-267810880.74000025</v>
      </c>
      <c r="K23" s="192">
        <f t="shared" si="78"/>
        <v>843701480.73999977</v>
      </c>
      <c r="L23" s="192">
        <f t="shared" si="78"/>
        <v>1499799563.3400002</v>
      </c>
      <c r="M23" s="192">
        <f t="shared" si="78"/>
        <v>1931722436.4700003</v>
      </c>
      <c r="N23" s="192">
        <f t="shared" si="78"/>
        <v>1538016177.6699996</v>
      </c>
      <c r="O23" s="192">
        <f t="shared" si="78"/>
        <v>1942715346.4099998</v>
      </c>
      <c r="P23" s="192">
        <f t="shared" si="78"/>
        <v>2158638457.6599998</v>
      </c>
      <c r="Q23" s="192">
        <f t="shared" si="78"/>
        <v>3583243846.9199996</v>
      </c>
      <c r="R23" s="192">
        <f t="shared" si="78"/>
        <v>2443359150.8999996</v>
      </c>
      <c r="S23" s="192">
        <f t="shared" si="78"/>
        <v>2720428647.0499997</v>
      </c>
      <c r="T23" s="192">
        <f t="shared" si="78"/>
        <v>1421162314.1499999</v>
      </c>
      <c r="U23" s="192">
        <f t="shared" si="78"/>
        <v>3174741350.5900002</v>
      </c>
      <c r="V23" s="192">
        <f t="shared" si="78"/>
        <v>2307507124.8799996</v>
      </c>
      <c r="W23" s="192">
        <f t="shared" si="78"/>
        <v>2152588116.77</v>
      </c>
      <c r="X23" s="192">
        <f t="shared" si="78"/>
        <v>941052295.08999991</v>
      </c>
      <c r="Y23" s="192">
        <f t="shared" si="78"/>
        <v>2426567324.79</v>
      </c>
      <c r="Z23" s="192">
        <f t="shared" si="78"/>
        <v>3294319238.4400001</v>
      </c>
      <c r="AA23" s="192">
        <f t="shared" si="78"/>
        <v>2095596292.6299999</v>
      </c>
      <c r="AB23" s="192">
        <f t="shared" si="78"/>
        <v>1183776715.73</v>
      </c>
      <c r="AC23" s="192">
        <f t="shared" si="78"/>
        <v>1581302111.2900004</v>
      </c>
      <c r="AD23" s="192">
        <f t="shared" si="78"/>
        <v>1569967085.49</v>
      </c>
      <c r="AE23" s="192">
        <f t="shared" si="78"/>
        <v>1140825935.52</v>
      </c>
      <c r="AF23" s="192">
        <f t="shared" si="78"/>
        <v>1381622498.71</v>
      </c>
      <c r="AG23" s="192">
        <f t="shared" si="78"/>
        <v>1198764995.0700002</v>
      </c>
      <c r="AH23" s="192">
        <f t="shared" si="78"/>
        <v>1302717770.8699999</v>
      </c>
      <c r="AI23" s="192">
        <f t="shared" si="78"/>
        <v>629741598.77999985</v>
      </c>
      <c r="AJ23" s="192">
        <f t="shared" si="78"/>
        <v>877706922.50000012</v>
      </c>
      <c r="AK23" s="192">
        <f t="shared" si="78"/>
        <v>1189076479.3799996</v>
      </c>
      <c r="AL23" s="192">
        <f t="shared" si="78"/>
        <v>1000962808.34</v>
      </c>
      <c r="AM23" s="192">
        <f t="shared" si="78"/>
        <v>1034873187.63</v>
      </c>
      <c r="AN23" s="192">
        <f t="shared" si="78"/>
        <v>554894895.76999998</v>
      </c>
      <c r="AO23" s="192">
        <f t="shared" si="78"/>
        <v>989476678.17000008</v>
      </c>
      <c r="AP23" s="192">
        <f t="shared" si="78"/>
        <v>887607379.15999985</v>
      </c>
      <c r="AQ23" s="192">
        <f t="shared" si="78"/>
        <v>671100116.92000008</v>
      </c>
      <c r="AR23" s="192">
        <f t="shared" si="78"/>
        <v>621948529.88</v>
      </c>
      <c r="AS23" s="192">
        <f t="shared" si="78"/>
        <v>1626818544.0699999</v>
      </c>
    </row>
    <row r="24" spans="1:74" s="220" customFormat="1" x14ac:dyDescent="0.25">
      <c r="A24" s="220" t="s">
        <v>303</v>
      </c>
      <c r="B24" s="189">
        <v>-595362157.50999999</v>
      </c>
      <c r="C24" s="189">
        <v>-476486665.17000002</v>
      </c>
      <c r="D24" s="189">
        <v>-2222569.4300000002</v>
      </c>
      <c r="E24" s="189">
        <v>3753358274.02</v>
      </c>
      <c r="F24" s="189">
        <v>1015667007.29</v>
      </c>
      <c r="G24" s="189">
        <v>173700517.81</v>
      </c>
      <c r="H24" s="189">
        <v>-12914370.390000001</v>
      </c>
      <c r="I24" s="189">
        <v>3040213820.1799998</v>
      </c>
      <c r="J24" s="189">
        <v>3310196347.73</v>
      </c>
      <c r="K24" s="189">
        <v>3415241758.9400001</v>
      </c>
      <c r="L24" s="189">
        <v>3452402885.4099998</v>
      </c>
      <c r="M24" s="189">
        <v>-346826224.54000002</v>
      </c>
      <c r="N24" s="189">
        <v>-336804590.79000002</v>
      </c>
      <c r="O24" s="189">
        <v>-131303613.40000001</v>
      </c>
      <c r="P24" s="189">
        <v>0</v>
      </c>
      <c r="Q24" s="189">
        <v>-396453434.04000002</v>
      </c>
      <c r="R24" s="189">
        <v>-418577563.56999999</v>
      </c>
      <c r="S24" s="189">
        <v>0</v>
      </c>
      <c r="T24" s="189">
        <v>0</v>
      </c>
      <c r="U24" s="189">
        <v>-1314034216.9000001</v>
      </c>
      <c r="V24" s="189">
        <v>-1288060417.54</v>
      </c>
      <c r="W24" s="189">
        <v>-210557833.84</v>
      </c>
      <c r="X24" s="189">
        <v>-185517160</v>
      </c>
      <c r="Y24" s="189">
        <v>-1202538334.6300001</v>
      </c>
      <c r="Z24" s="189">
        <v>-1191972076.25</v>
      </c>
      <c r="AA24" s="189">
        <v>-528806788.13</v>
      </c>
      <c r="AB24" s="189">
        <v>-475471288.13</v>
      </c>
      <c r="AC24" s="189">
        <v>-598741672.97000003</v>
      </c>
      <c r="AD24" s="189">
        <v>451920781.93000001</v>
      </c>
      <c r="AE24" s="189">
        <v>-191274704.88999999</v>
      </c>
      <c r="AF24" s="189">
        <v>-188452779.25</v>
      </c>
      <c r="AG24" s="189">
        <v>-381297542.77999997</v>
      </c>
      <c r="AH24" s="189">
        <v>-699140735.24000001</v>
      </c>
      <c r="AI24" s="189">
        <v>-50786520</v>
      </c>
      <c r="AJ24" s="189">
        <v>-3304800</v>
      </c>
      <c r="AK24" s="189">
        <v>-35345335.270000003</v>
      </c>
      <c r="AL24" s="189">
        <v>-131186173.98999999</v>
      </c>
      <c r="AM24" s="189">
        <v>-23495830.640000001</v>
      </c>
      <c r="AN24" s="189">
        <v>-20156290.640000001</v>
      </c>
      <c r="AO24" s="189">
        <v>-428217575.95999998</v>
      </c>
      <c r="AP24" s="189">
        <v>-284224125.75999999</v>
      </c>
      <c r="AQ24" s="189">
        <v>-171554100</v>
      </c>
      <c r="AR24" s="189">
        <v>-200461373</v>
      </c>
      <c r="AS24" s="189">
        <v>-723737841.74000001</v>
      </c>
      <c r="AT24" s="189">
        <v>-817145538.67999995</v>
      </c>
      <c r="AU24" s="189">
        <v>-265865230.46000001</v>
      </c>
      <c r="AV24" s="189">
        <v>-122271443.09</v>
      </c>
      <c r="AW24" s="189">
        <v>-862111453.04999995</v>
      </c>
      <c r="AX24" s="189">
        <v>-436278604.82999998</v>
      </c>
      <c r="AY24" s="189">
        <v>-269316964.50999999</v>
      </c>
      <c r="AZ24" s="189">
        <v>-18359473.079999998</v>
      </c>
      <c r="BA24" s="189">
        <v>2235047356.3600001</v>
      </c>
      <c r="BB24" s="189">
        <v>2007613239.8699999</v>
      </c>
      <c r="BC24" s="189">
        <v>2106066836.1199999</v>
      </c>
      <c r="BD24" s="189">
        <v>0</v>
      </c>
      <c r="BE24" s="189">
        <v>-60808116.439999998</v>
      </c>
      <c r="BF24" s="189">
        <v>-78763637.930000007</v>
      </c>
      <c r="BG24" s="189">
        <v>-10850648.460000001</v>
      </c>
      <c r="BH24" s="189">
        <v>0</v>
      </c>
      <c r="BI24" s="189">
        <v>2145637205.1400001</v>
      </c>
      <c r="BJ24" s="189">
        <v>2165662660.54</v>
      </c>
      <c r="BK24" s="189">
        <v>2153744512.3400002</v>
      </c>
      <c r="BL24" s="189">
        <v>5836502.1399999997</v>
      </c>
      <c r="BM24" s="189">
        <v>-136304449.96000001</v>
      </c>
      <c r="BN24" s="189">
        <v>0</v>
      </c>
      <c r="BO24" s="189">
        <v>0</v>
      </c>
      <c r="BP24" s="189">
        <v>613134338.32000005</v>
      </c>
      <c r="BQ24" s="189">
        <v>0</v>
      </c>
      <c r="BR24" s="189">
        <v>4623692.53</v>
      </c>
      <c r="BS24" s="189">
        <v>-400000000</v>
      </c>
      <c r="BT24" s="189">
        <v>-237866348.78</v>
      </c>
      <c r="BU24" s="189">
        <v>1108113819.7</v>
      </c>
      <c r="BV24" s="189">
        <v>0</v>
      </c>
    </row>
    <row r="25" spans="1:74" s="241" customFormat="1" ht="138.6" customHeight="1" x14ac:dyDescent="0.25">
      <c r="A25" s="276" t="s">
        <v>743</v>
      </c>
      <c r="B25" s="277"/>
      <c r="C25" s="277"/>
      <c r="D25" s="277"/>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77"/>
      <c r="AI25" s="277"/>
      <c r="AJ25" s="277"/>
      <c r="AK25" s="277"/>
    </row>
    <row r="26" spans="1:74" s="26" customFormat="1" x14ac:dyDescent="0.25">
      <c r="A26" s="17" t="s">
        <v>631</v>
      </c>
      <c r="E26" s="26">
        <f>现金流量表!E15</f>
        <v>18077200</v>
      </c>
      <c r="F26" s="26">
        <f>现金流量表!F15</f>
        <v>0</v>
      </c>
      <c r="G26" s="26">
        <f>现金流量表!G15</f>
        <v>0</v>
      </c>
      <c r="H26" s="26">
        <f>现金流量表!H15</f>
        <v>0</v>
      </c>
      <c r="I26" s="26">
        <f>现金流量表!I15</f>
        <v>2352472.5499999998</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158118.32</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4690000</v>
      </c>
      <c r="BF26" s="26">
        <f>现金流量表!BF15</f>
        <v>2690000</v>
      </c>
      <c r="BG26" s="26">
        <f>现金流量表!BG15</f>
        <v>200000</v>
      </c>
      <c r="BH26" s="26">
        <f>现金流量表!BH15</f>
        <v>200000</v>
      </c>
      <c r="BI26" s="26">
        <f>现金流量表!BI15</f>
        <v>9005595</v>
      </c>
      <c r="BJ26" s="26">
        <f>现金流量表!BJ15</f>
        <v>283600</v>
      </c>
      <c r="BK26" s="26">
        <f>现金流量表!BK15</f>
        <v>100000</v>
      </c>
      <c r="BL26" s="26">
        <f>现金流量表!BL15</f>
        <v>0</v>
      </c>
      <c r="BM26" s="26">
        <f>现金流量表!BM15</f>
        <v>117441.76</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47679794.5</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16664105.449999999</v>
      </c>
      <c r="O27" s="26">
        <f>现金流量表!O22</f>
        <v>16664105.449999999</v>
      </c>
      <c r="P27" s="26">
        <f>现金流量表!P22</f>
        <v>0</v>
      </c>
      <c r="Q27" s="26">
        <f>现金流量表!Q22</f>
        <v>0</v>
      </c>
      <c r="R27" s="26">
        <f>现金流量表!R22</f>
        <v>0</v>
      </c>
      <c r="S27" s="26">
        <f>现金流量表!S22</f>
        <v>0</v>
      </c>
      <c r="T27" s="26">
        <f>现金流量表!T22</f>
        <v>0</v>
      </c>
      <c r="U27" s="26">
        <f>现金流量表!U22</f>
        <v>17500000</v>
      </c>
      <c r="V27" s="26">
        <f>现金流量表!V22</f>
        <v>13500000</v>
      </c>
      <c r="W27" s="26">
        <f>现金流量表!W22</f>
        <v>13500000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3250000</v>
      </c>
      <c r="AX27" s="26">
        <f>现金流量表!AX22</f>
        <v>100000</v>
      </c>
      <c r="AY27" s="26">
        <f>现金流量表!AY22</f>
        <v>0</v>
      </c>
      <c r="AZ27" s="26">
        <f>现金流量表!AZ22</f>
        <v>0</v>
      </c>
      <c r="BA27" s="26">
        <f>现金流量表!BA22</f>
        <v>15325967.560000001</v>
      </c>
      <c r="BB27" s="26">
        <f>现金流量表!BB22</f>
        <v>1029000</v>
      </c>
      <c r="BC27" s="26">
        <f>现金流量表!BC22</f>
        <v>1029000</v>
      </c>
      <c r="BD27" s="26">
        <f>现金流量表!BD22</f>
        <v>1029000</v>
      </c>
      <c r="BE27" s="26">
        <f>现金流量表!BE22</f>
        <v>3500000</v>
      </c>
      <c r="BF27" s="26">
        <f>现金流量表!BF22</f>
        <v>18646727</v>
      </c>
      <c r="BG27" s="26">
        <f>现金流量表!BG22</f>
        <v>15282999</v>
      </c>
      <c r="BH27" s="26">
        <f>现金流量表!BH22</f>
        <v>0</v>
      </c>
      <c r="BI27" s="26">
        <f>现金流量表!BI22</f>
        <v>11171600</v>
      </c>
      <c r="BJ27" s="26">
        <f>现金流量表!BJ22</f>
        <v>16994409.629999999</v>
      </c>
      <c r="BK27" s="26">
        <f>现金流量表!BK22</f>
        <v>4200000</v>
      </c>
      <c r="BL27" s="26">
        <f>现金流量表!BL22</f>
        <v>0</v>
      </c>
      <c r="BM27" s="26">
        <f>现金流量表!BM22</f>
        <v>7240000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29602594.5</v>
      </c>
      <c r="F28" s="26">
        <f t="shared" ref="F28:BQ28" si="79">F27-F26</f>
        <v>0</v>
      </c>
      <c r="G28" s="26">
        <f t="shared" si="79"/>
        <v>0</v>
      </c>
      <c r="H28" s="26">
        <f t="shared" si="79"/>
        <v>0</v>
      </c>
      <c r="I28" s="26">
        <f t="shared" si="79"/>
        <v>-2352472.5499999998</v>
      </c>
      <c r="J28" s="26">
        <f t="shared" si="79"/>
        <v>0</v>
      </c>
      <c r="K28" s="26">
        <f t="shared" si="79"/>
        <v>0</v>
      </c>
      <c r="L28" s="26">
        <f t="shared" si="79"/>
        <v>0</v>
      </c>
      <c r="M28" s="26">
        <f t="shared" si="79"/>
        <v>0</v>
      </c>
      <c r="N28" s="26">
        <f t="shared" si="79"/>
        <v>16664105.449999999</v>
      </c>
      <c r="O28" s="26">
        <f t="shared" si="79"/>
        <v>16664105.449999999</v>
      </c>
      <c r="P28" s="26">
        <f t="shared" si="79"/>
        <v>0</v>
      </c>
      <c r="Q28" s="26">
        <f t="shared" si="79"/>
        <v>0</v>
      </c>
      <c r="R28" s="26">
        <f t="shared" si="79"/>
        <v>0</v>
      </c>
      <c r="S28" s="26">
        <f t="shared" si="79"/>
        <v>0</v>
      </c>
      <c r="T28" s="26">
        <f t="shared" si="79"/>
        <v>0</v>
      </c>
      <c r="U28" s="26">
        <f t="shared" si="79"/>
        <v>17500000</v>
      </c>
      <c r="V28" s="26">
        <f t="shared" si="79"/>
        <v>13500000</v>
      </c>
      <c r="W28" s="26">
        <f t="shared" si="79"/>
        <v>13500000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-158118.32</v>
      </c>
      <c r="AP28" s="26">
        <f t="shared" si="79"/>
        <v>0</v>
      </c>
      <c r="AQ28" s="26">
        <f t="shared" si="79"/>
        <v>0</v>
      </c>
      <c r="AR28" s="26">
        <f t="shared" si="79"/>
        <v>0</v>
      </c>
      <c r="AS28" s="26">
        <f t="shared" si="79"/>
        <v>0</v>
      </c>
      <c r="AT28" s="26">
        <f t="shared" si="79"/>
        <v>0</v>
      </c>
      <c r="AU28" s="26">
        <f t="shared" si="79"/>
        <v>0</v>
      </c>
      <c r="AV28" s="26">
        <f t="shared" si="79"/>
        <v>0</v>
      </c>
      <c r="AW28" s="26">
        <f t="shared" si="79"/>
        <v>3250000</v>
      </c>
      <c r="AX28" s="26">
        <f t="shared" si="79"/>
        <v>100000</v>
      </c>
      <c r="AY28" s="26">
        <f t="shared" si="79"/>
        <v>0</v>
      </c>
      <c r="AZ28" s="26">
        <f t="shared" si="79"/>
        <v>0</v>
      </c>
      <c r="BA28" s="26">
        <f t="shared" si="79"/>
        <v>15325967.560000001</v>
      </c>
      <c r="BB28" s="26">
        <f t="shared" si="79"/>
        <v>1029000</v>
      </c>
      <c r="BC28" s="26">
        <f t="shared" si="79"/>
        <v>1029000</v>
      </c>
      <c r="BD28" s="26">
        <f t="shared" si="79"/>
        <v>1029000</v>
      </c>
      <c r="BE28" s="26">
        <f t="shared" si="79"/>
        <v>-1190000</v>
      </c>
      <c r="BF28" s="26">
        <f t="shared" si="79"/>
        <v>15956727</v>
      </c>
      <c r="BG28" s="26">
        <f t="shared" si="79"/>
        <v>15082999</v>
      </c>
      <c r="BH28" s="26">
        <f t="shared" si="79"/>
        <v>-200000</v>
      </c>
      <c r="BI28" s="26">
        <f t="shared" si="79"/>
        <v>2166005</v>
      </c>
      <c r="BJ28" s="26">
        <f t="shared" si="79"/>
        <v>16710809.629999999</v>
      </c>
      <c r="BK28" s="26">
        <f t="shared" si="79"/>
        <v>4100000</v>
      </c>
      <c r="BL28" s="26">
        <f t="shared" si="79"/>
        <v>0</v>
      </c>
      <c r="BM28" s="26">
        <f t="shared" si="79"/>
        <v>7122558.2400000002</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0" t="s">
        <v>634</v>
      </c>
      <c r="E29" s="181">
        <f>POWER(E28/U28,1/5)-1</f>
        <v>0.11085748457290134</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25569</v>
      </c>
      <c r="BP30" s="1">
        <v>37072</v>
      </c>
      <c r="BQ30" s="1">
        <v>36891</v>
      </c>
      <c r="BR30" s="1">
        <v>36707</v>
      </c>
      <c r="BS30" s="1">
        <v>36525</v>
      </c>
      <c r="BT30" s="1">
        <v>36341</v>
      </c>
      <c r="BU30" s="1">
        <v>36160</v>
      </c>
      <c r="BV30" s="1">
        <v>25569</v>
      </c>
    </row>
    <row r="31" spans="1:74" s="51" customFormat="1" ht="17.399999999999999" customHeight="1" x14ac:dyDescent="0.25">
      <c r="A31" s="110" t="s">
        <v>310</v>
      </c>
      <c r="B31" s="189">
        <v>23121301462.34</v>
      </c>
      <c r="C31" s="189">
        <v>23311828866.5</v>
      </c>
      <c r="D31" s="189">
        <v>19016823755.810001</v>
      </c>
      <c r="E31" s="189">
        <v>18406977986.099998</v>
      </c>
      <c r="F31" s="189">
        <v>17799901458.950001</v>
      </c>
      <c r="G31" s="189">
        <v>16977174069.35</v>
      </c>
      <c r="H31" s="189">
        <v>16388993077.540001</v>
      </c>
      <c r="I31" s="189">
        <v>15649481622.709999</v>
      </c>
      <c r="J31" s="189">
        <v>13314497378.27</v>
      </c>
      <c r="K31" s="189">
        <v>12580512851.18</v>
      </c>
      <c r="L31" s="189">
        <v>12168741329.530001</v>
      </c>
      <c r="M31" s="189">
        <v>10111373432.73</v>
      </c>
      <c r="N31" s="189">
        <v>8877744299.9200001</v>
      </c>
      <c r="O31" s="189">
        <v>8586611312.8199997</v>
      </c>
      <c r="P31" s="189">
        <v>6915989044.3500004</v>
      </c>
      <c r="Q31" s="189">
        <v>7063312174.4399996</v>
      </c>
      <c r="R31" s="189">
        <v>7055981103.1199999</v>
      </c>
      <c r="S31" s="189">
        <v>7162622787.8800001</v>
      </c>
      <c r="T31" s="189">
        <v>7319299190</v>
      </c>
      <c r="U31" s="189">
        <v>7474455786.7700005</v>
      </c>
      <c r="V31" s="189">
        <v>7747528871.25</v>
      </c>
      <c r="W31" s="189">
        <v>7871917472.1999998</v>
      </c>
      <c r="X31" s="189">
        <v>8013935643.9300003</v>
      </c>
      <c r="Y31" s="189">
        <v>8180610371.5</v>
      </c>
      <c r="Z31" s="189">
        <v>8392342228.9099998</v>
      </c>
      <c r="AA31" s="189">
        <v>8544596698.9300003</v>
      </c>
      <c r="AB31" s="189">
        <v>8689640083.0100002</v>
      </c>
      <c r="AC31" s="189">
        <v>8846550232.6700001</v>
      </c>
      <c r="AD31" s="189">
        <v>8853516411.2099991</v>
      </c>
      <c r="AE31" s="189">
        <v>8990099893.6900005</v>
      </c>
      <c r="AF31" s="189">
        <v>9147929518.8899994</v>
      </c>
      <c r="AG31" s="189">
        <v>9298629537.9899998</v>
      </c>
      <c r="AH31" s="189">
        <v>8696366886.1299992</v>
      </c>
      <c r="AI31" s="189">
        <v>8804255627.3799992</v>
      </c>
      <c r="AJ31" s="189">
        <v>8919909291.0900002</v>
      </c>
      <c r="AK31" s="189">
        <v>9021563668.9400005</v>
      </c>
      <c r="AL31" s="189">
        <v>7186613843.1599998</v>
      </c>
      <c r="AM31" s="189">
        <v>7180012675.9300003</v>
      </c>
      <c r="AN31" s="189">
        <v>7283520837.1199999</v>
      </c>
      <c r="AO31" s="189">
        <v>7396681341.3000002</v>
      </c>
      <c r="AP31" s="189">
        <v>7489295799.7700005</v>
      </c>
      <c r="AQ31" s="189">
        <v>7578972252.3100004</v>
      </c>
      <c r="AR31" s="189">
        <v>7666572884.7299995</v>
      </c>
      <c r="AS31" s="189">
        <v>7790466227.6700001</v>
      </c>
      <c r="AT31" s="189">
        <v>5862159436.1400003</v>
      </c>
      <c r="AU31" s="189">
        <v>5917454932.8400002</v>
      </c>
      <c r="AV31" s="189">
        <v>6014014902.8299999</v>
      </c>
      <c r="AW31" s="189">
        <v>6072243862.3299999</v>
      </c>
      <c r="AX31" s="189">
        <v>6159399046.9899998</v>
      </c>
      <c r="AY31" s="189">
        <v>6247452894.3900003</v>
      </c>
      <c r="AZ31" s="189">
        <v>6329323533.71</v>
      </c>
      <c r="BA31" s="189">
        <v>6412089134.8699999</v>
      </c>
      <c r="BB31" s="189">
        <v>6350219316.1099997</v>
      </c>
      <c r="BC31" s="189">
        <v>6423255663.6400003</v>
      </c>
      <c r="BD31" s="189">
        <v>6037075410.7600002</v>
      </c>
      <c r="BE31" s="189">
        <v>6097799038.8100004</v>
      </c>
      <c r="BF31" s="189">
        <v>5334156640.54</v>
      </c>
      <c r="BG31" s="189">
        <v>2903071891.25</v>
      </c>
      <c r="BH31" s="189">
        <v>2896156632.5300002</v>
      </c>
      <c r="BI31" s="189">
        <v>2904035548.9299998</v>
      </c>
      <c r="BJ31" s="189">
        <v>2901956329.0799999</v>
      </c>
      <c r="BK31" s="189">
        <v>2909611944.48</v>
      </c>
      <c r="BL31" s="189">
        <v>419271127.00999999</v>
      </c>
      <c r="BM31" s="189">
        <v>429368871.36000001</v>
      </c>
      <c r="BN31" s="189">
        <v>441295345.10000002</v>
      </c>
      <c r="BO31" s="189">
        <v>381810098.19</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0</v>
      </c>
      <c r="C33" s="189">
        <v>157678326.59999999</v>
      </c>
      <c r="D33" s="189">
        <v>175772560.80000001</v>
      </c>
      <c r="E33" s="189">
        <v>174480115.5</v>
      </c>
      <c r="F33" s="189">
        <v>174480115.5</v>
      </c>
      <c r="G33" s="189">
        <v>174480115.5</v>
      </c>
      <c r="H33" s="189">
        <v>177065006.09999999</v>
      </c>
      <c r="I33" s="189">
        <v>168448704.09999999</v>
      </c>
      <c r="J33" s="189">
        <v>163278922.90000001</v>
      </c>
      <c r="K33" s="189">
        <v>161986477.59999999</v>
      </c>
      <c r="L33" s="189">
        <v>161555662.5</v>
      </c>
      <c r="M33" s="189">
        <v>182665602.40000001</v>
      </c>
      <c r="N33" s="189">
        <v>167156258.80000001</v>
      </c>
      <c r="O33" s="189">
        <v>230916893.59999999</v>
      </c>
      <c r="P33" s="189">
        <v>203775542.30000001</v>
      </c>
      <c r="Q33" s="189">
        <v>210237768.80000001</v>
      </c>
      <c r="R33" s="189">
        <v>119335782.7</v>
      </c>
      <c r="S33" s="189">
        <v>109427035.40000001</v>
      </c>
      <c r="T33" s="189">
        <v>106988901.28</v>
      </c>
      <c r="U33" s="189">
        <v>114754224.76000001</v>
      </c>
      <c r="V33" s="189">
        <v>125400000</v>
      </c>
      <c r="W33" s="189">
        <v>127160000</v>
      </c>
      <c r="X33" s="189">
        <v>141680000</v>
      </c>
      <c r="Y33" s="189">
        <v>134200000</v>
      </c>
      <c r="Z33" s="189">
        <v>117040000</v>
      </c>
      <c r="AA33" s="189">
        <v>124960000</v>
      </c>
      <c r="AB33" s="189">
        <v>125400000</v>
      </c>
      <c r="AC33" s="189">
        <v>126720000</v>
      </c>
      <c r="AD33" s="189">
        <v>129800000</v>
      </c>
      <c r="AE33" s="189">
        <v>147400000</v>
      </c>
      <c r="AF33" s="189">
        <v>168520000</v>
      </c>
      <c r="AG33" s="189">
        <v>174240000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18232497870.599998</v>
      </c>
      <c r="F34" s="49">
        <f t="shared" ref="F34:BP34" si="81">F31-F32-F33</f>
        <v>17625421343.450001</v>
      </c>
      <c r="G34" s="49">
        <f t="shared" si="81"/>
        <v>16802693953.85</v>
      </c>
      <c r="H34" s="49">
        <f t="shared" si="81"/>
        <v>16211928071.440001</v>
      </c>
      <c r="I34" s="49">
        <f t="shared" si="81"/>
        <v>15481032918.609999</v>
      </c>
      <c r="J34" s="49">
        <f t="shared" si="81"/>
        <v>13151218455.370001</v>
      </c>
      <c r="K34" s="49">
        <f t="shared" si="81"/>
        <v>12418526373.58</v>
      </c>
      <c r="L34" s="49">
        <f t="shared" si="81"/>
        <v>12007185667.030001</v>
      </c>
      <c r="M34" s="49">
        <f t="shared" si="81"/>
        <v>9928707830.3299999</v>
      </c>
      <c r="N34" s="49">
        <f t="shared" si="81"/>
        <v>8710588041.1200008</v>
      </c>
      <c r="O34" s="49">
        <f t="shared" si="81"/>
        <v>8355694419.2199993</v>
      </c>
      <c r="P34" s="49">
        <f t="shared" si="81"/>
        <v>6712213502.0500002</v>
      </c>
      <c r="Q34" s="49">
        <f t="shared" si="81"/>
        <v>6853074405.6399994</v>
      </c>
      <c r="R34" s="49">
        <f t="shared" si="81"/>
        <v>6936645320.4200001</v>
      </c>
      <c r="S34" s="49">
        <f t="shared" si="81"/>
        <v>7053195752.4800005</v>
      </c>
      <c r="T34" s="49">
        <f t="shared" si="81"/>
        <v>7212310288.7200003</v>
      </c>
      <c r="U34" s="49">
        <f t="shared" si="81"/>
        <v>7359701562.0100002</v>
      </c>
      <c r="V34" s="49">
        <f t="shared" si="81"/>
        <v>7622128871.25</v>
      </c>
      <c r="W34" s="49">
        <f t="shared" si="81"/>
        <v>7744757472.1999998</v>
      </c>
      <c r="X34" s="49">
        <f t="shared" si="81"/>
        <v>7872255643.9300003</v>
      </c>
      <c r="Y34" s="49">
        <f t="shared" si="81"/>
        <v>8046410371.5</v>
      </c>
      <c r="Z34" s="49">
        <f t="shared" si="81"/>
        <v>8275302228.9099998</v>
      </c>
      <c r="AA34" s="49">
        <f t="shared" si="81"/>
        <v>8419636698.9300003</v>
      </c>
      <c r="AB34" s="49">
        <f t="shared" si="81"/>
        <v>8564240083.0100002</v>
      </c>
      <c r="AC34" s="49">
        <f t="shared" si="81"/>
        <v>8719830232.6700001</v>
      </c>
      <c r="AD34" s="49">
        <f t="shared" si="81"/>
        <v>8723716411.2099991</v>
      </c>
      <c r="AE34" s="49">
        <f t="shared" si="81"/>
        <v>8842699893.6900005</v>
      </c>
      <c r="AF34" s="49">
        <f t="shared" si="81"/>
        <v>8979409518.8899994</v>
      </c>
      <c r="AG34" s="49">
        <f t="shared" si="81"/>
        <v>9124389537.9899998</v>
      </c>
      <c r="AH34" s="49">
        <f t="shared" si="81"/>
        <v>8696366886.1299992</v>
      </c>
      <c r="AI34" s="49">
        <f t="shared" si="81"/>
        <v>8804255627.3799992</v>
      </c>
      <c r="AJ34" s="49">
        <f t="shared" si="81"/>
        <v>8919909291.0900002</v>
      </c>
      <c r="AK34" s="49">
        <f t="shared" si="81"/>
        <v>9021563668.9400005</v>
      </c>
      <c r="AL34" s="49">
        <f t="shared" si="81"/>
        <v>7186613843.1599998</v>
      </c>
      <c r="AM34" s="49">
        <f t="shared" si="81"/>
        <v>7180012675.9300003</v>
      </c>
      <c r="AN34" s="49">
        <f t="shared" si="81"/>
        <v>7283520837.1199999</v>
      </c>
      <c r="AO34" s="49">
        <f t="shared" si="81"/>
        <v>7396681341.3000002</v>
      </c>
      <c r="AP34" s="49">
        <f t="shared" si="81"/>
        <v>7489295799.7700005</v>
      </c>
      <c r="AQ34" s="49">
        <f t="shared" si="81"/>
        <v>7578972252.3100004</v>
      </c>
      <c r="AR34" s="49">
        <f t="shared" si="81"/>
        <v>7666572884.7299995</v>
      </c>
      <c r="AS34" s="49">
        <f t="shared" si="81"/>
        <v>7790466227.6700001</v>
      </c>
      <c r="AT34" s="49">
        <f t="shared" si="81"/>
        <v>5862159436.1400003</v>
      </c>
      <c r="AU34" s="49">
        <f t="shared" si="81"/>
        <v>5917454932.8400002</v>
      </c>
      <c r="AV34" s="49">
        <f t="shared" si="81"/>
        <v>6014014902.8299999</v>
      </c>
      <c r="AW34" s="49">
        <f t="shared" si="81"/>
        <v>6072243862.3299999</v>
      </c>
      <c r="AX34" s="49">
        <f t="shared" si="81"/>
        <v>6159399046.9899998</v>
      </c>
      <c r="AY34" s="49">
        <f t="shared" si="81"/>
        <v>6247452894.3900003</v>
      </c>
      <c r="AZ34" s="49">
        <f t="shared" si="81"/>
        <v>6329323533.71</v>
      </c>
      <c r="BA34" s="49">
        <f t="shared" si="81"/>
        <v>6412089134.8699999</v>
      </c>
      <c r="BB34" s="49">
        <f t="shared" si="81"/>
        <v>6350219316.1099997</v>
      </c>
      <c r="BC34" s="49">
        <f t="shared" si="81"/>
        <v>6423255663.6400003</v>
      </c>
      <c r="BD34" s="49">
        <f t="shared" si="81"/>
        <v>6037075410.7600002</v>
      </c>
      <c r="BE34" s="49">
        <f t="shared" si="81"/>
        <v>6097799038.8100004</v>
      </c>
      <c r="BF34" s="49">
        <f t="shared" si="81"/>
        <v>5334156640.54</v>
      </c>
      <c r="BG34" s="49">
        <f t="shared" si="81"/>
        <v>2903071891.25</v>
      </c>
      <c r="BH34" s="49">
        <f t="shared" si="81"/>
        <v>2896156632.5300002</v>
      </c>
      <c r="BI34" s="49">
        <f t="shared" si="81"/>
        <v>2904035548.9299998</v>
      </c>
      <c r="BJ34" s="49">
        <f t="shared" si="81"/>
        <v>2901956329.0799999</v>
      </c>
      <c r="BK34" s="49">
        <f t="shared" si="81"/>
        <v>2909611944.48</v>
      </c>
      <c r="BL34" s="49">
        <f t="shared" si="81"/>
        <v>419271127.00999999</v>
      </c>
      <c r="BM34" s="49">
        <f t="shared" si="81"/>
        <v>429368871.36000001</v>
      </c>
      <c r="BN34" s="49">
        <f t="shared" si="81"/>
        <v>441295345.10000002</v>
      </c>
      <c r="BO34" s="49">
        <f t="shared" si="81"/>
        <v>381810098.19</v>
      </c>
      <c r="BP34" s="49">
        <f t="shared" si="81"/>
        <v>3523637936.8200002</v>
      </c>
      <c r="BQ34" s="49">
        <f>AP31-AP32-AP33</f>
        <v>7489295799.7700005</v>
      </c>
      <c r="BR34" s="49">
        <f>AQ31-AQ32-AQ33</f>
        <v>7578972252.3100004</v>
      </c>
      <c r="BS34" s="49">
        <f>AR31-AR32-AR33</f>
        <v>7666572884.7299995</v>
      </c>
      <c r="BT34" s="49"/>
      <c r="BU34" s="50"/>
    </row>
    <row r="35" spans="1:74" s="105" customFormat="1" ht="15" thickBot="1" x14ac:dyDescent="0.3">
      <c r="A35" s="139" t="s">
        <v>317</v>
      </c>
      <c r="B35" s="33">
        <f>SUM(B22:B31)</f>
        <v>22525982677.830002</v>
      </c>
      <c r="C35" s="33">
        <f>SUM(C22:C31)</f>
        <v>22835385482.330002</v>
      </c>
      <c r="D35" s="33">
        <f>SUM(D22:D31)</f>
        <v>19014644376.380001</v>
      </c>
      <c r="E35" s="33">
        <f>资产资本表!E17</f>
        <v>3011437530.1999998</v>
      </c>
      <c r="F35" s="33">
        <f>资产资本表!F17</f>
        <v>1180652859.0199997</v>
      </c>
      <c r="G35" s="33">
        <f>资产资本表!G17</f>
        <v>1493889252.21</v>
      </c>
      <c r="H35" s="33">
        <f>资产资本表!H17</f>
        <v>813929129.69000006</v>
      </c>
      <c r="I35" s="33">
        <f>资产资本表!I17</f>
        <v>1170610445.5599999</v>
      </c>
      <c r="J35" s="33">
        <f>资产资本表!J17</f>
        <v>2605949119.7399998</v>
      </c>
      <c r="K35" s="33">
        <f>资产资本表!K17</f>
        <v>3244056293.1599998</v>
      </c>
      <c r="L35" s="33">
        <f>资产资本表!L17</f>
        <v>2884980245.04</v>
      </c>
      <c r="M35" s="33">
        <f>资产资本表!M17</f>
        <v>1528127586.9300003</v>
      </c>
      <c r="N35" s="33">
        <f>资产资本表!N17</f>
        <v>1944821223.79</v>
      </c>
      <c r="O35" s="33">
        <f>资产资本表!O17</f>
        <v>2509907999.2999997</v>
      </c>
      <c r="P35" s="33">
        <f>资产资本表!P17</f>
        <v>3565980717.3600001</v>
      </c>
      <c r="Q35" s="33">
        <f>资产资本表!Q17</f>
        <v>3357835137.5600004</v>
      </c>
      <c r="R35" s="33">
        <f>资产资本表!R17</f>
        <v>2544307916.3599997</v>
      </c>
      <c r="S35" s="33">
        <f>资产资本表!S17</f>
        <v>2650928704.8899999</v>
      </c>
      <c r="T35" s="33">
        <f>资产资本表!T17</f>
        <v>1944355391.6099999</v>
      </c>
      <c r="U35" s="33">
        <f>资产资本表!U17</f>
        <v>1855396028.55</v>
      </c>
      <c r="V35" s="33">
        <f>资产资本表!V17</f>
        <v>1339938790.28</v>
      </c>
      <c r="W35" s="33">
        <f>资产资本表!W17</f>
        <v>1919067633.49</v>
      </c>
      <c r="X35" s="33">
        <f>资产资本表!X17</f>
        <v>1323925160.4300001</v>
      </c>
      <c r="Y35" s="33">
        <f>资产资本表!Y17</f>
        <v>1297891950.8099999</v>
      </c>
      <c r="Z35" s="33">
        <f>资产资本表!Z17</f>
        <v>955099867.87</v>
      </c>
      <c r="AA35" s="33">
        <f>资产资本表!AA17</f>
        <v>1285801049.8</v>
      </c>
      <c r="AB35" s="33">
        <f>资产资本表!AB17</f>
        <v>736981925.47000003</v>
      </c>
      <c r="AC35" s="33">
        <f>资产资本表!AC17</f>
        <v>990977105.09000003</v>
      </c>
      <c r="AD35" s="33">
        <f>资产资本表!AD17</f>
        <v>2127294429.4100001</v>
      </c>
      <c r="AE35" s="33">
        <f>资产资本表!AE17</f>
        <v>1269011644.8699999</v>
      </c>
      <c r="AF35" s="33">
        <f>资产资本表!AF17</f>
        <v>950980607.22000003</v>
      </c>
      <c r="AG35" s="33">
        <f>资产资本表!AG17</f>
        <v>1116611175.47</v>
      </c>
      <c r="AH35" s="33">
        <f>资产资本表!AH17</f>
        <v>966764613.48000002</v>
      </c>
      <c r="AI35" s="33">
        <f>资产资本表!AI17</f>
        <v>748395614.03999996</v>
      </c>
      <c r="AJ35" s="33">
        <f>资产资本表!AJ17</f>
        <v>1353080287.71</v>
      </c>
      <c r="AK35" s="33">
        <f>资产资本表!AK17</f>
        <v>1157096238.6500001</v>
      </c>
      <c r="AL35" s="33">
        <f>资产资本表!AL17</f>
        <v>795704976.13999999</v>
      </c>
      <c r="AM35" s="33">
        <f>资产资本表!AM17</f>
        <v>987589575.78999996</v>
      </c>
      <c r="AN35" s="33">
        <f>资产资本表!AN17</f>
        <v>678418073.44000006</v>
      </c>
      <c r="AO35" s="33">
        <f>资产资本表!AO17</f>
        <v>560744939.38999999</v>
      </c>
      <c r="AP35" s="33">
        <f>资产资本表!AP17</f>
        <v>634816597.60000002</v>
      </c>
      <c r="AQ35" s="33">
        <f>资产资本表!AQ17</f>
        <v>584527936.80999994</v>
      </c>
      <c r="AR35" s="33">
        <f>资产资本表!AR17</f>
        <v>417065471.07999998</v>
      </c>
      <c r="AS35" s="33">
        <f>资产资本表!AS17</f>
        <v>555649909.46000004</v>
      </c>
      <c r="AT35" s="33">
        <f>资产资本表!AT17</f>
        <v>524216565.25999999</v>
      </c>
      <c r="AU35" s="33">
        <f>资产资本表!AU17</f>
        <v>469982296.10999995</v>
      </c>
      <c r="AV35" s="33">
        <f>资产资本表!AV17</f>
        <v>560071595.25999999</v>
      </c>
      <c r="AW35" s="33">
        <f>资产资本表!AW17</f>
        <v>483154127.57999998</v>
      </c>
      <c r="AX35" s="33">
        <f>资产资本表!AX17</f>
        <v>484368658.55000001</v>
      </c>
      <c r="AY35" s="33">
        <f>资产资本表!AY17</f>
        <v>417219445.72000003</v>
      </c>
      <c r="AZ35" s="33">
        <f>资产资本表!AZ17</f>
        <v>509947858.29000002</v>
      </c>
      <c r="BA35" s="33">
        <f>资产资本表!BA17</f>
        <v>375604503.80000001</v>
      </c>
      <c r="BB35" s="33">
        <f>资产资本表!BB17</f>
        <v>593098637.54999995</v>
      </c>
      <c r="BC35" s="33">
        <f>资产资本表!BC17</f>
        <v>500049319.87</v>
      </c>
      <c r="BD35" s="33">
        <f>资产资本表!BD17</f>
        <v>1049840141.4</v>
      </c>
      <c r="BE35" s="33">
        <f>资产资本表!BE17</f>
        <v>1018152193.03</v>
      </c>
      <c r="BF35" s="33">
        <f>资产资本表!BF17</f>
        <v>1064764938.53</v>
      </c>
      <c r="BG35" s="33">
        <f>资产资本表!BG17</f>
        <v>1114295564.6700001</v>
      </c>
      <c r="BH35" s="33">
        <f>资产资本表!BH17</f>
        <v>1088642828.8099999</v>
      </c>
      <c r="BI35" s="33">
        <f>资产资本表!BI17</f>
        <v>947158565.73000002</v>
      </c>
      <c r="BJ35" s="33">
        <f>资产资本表!BJ17</f>
        <v>863301615.00999999</v>
      </c>
      <c r="BK35" s="33">
        <f>资产资本表!BK17</f>
        <v>797269155.94000006</v>
      </c>
      <c r="BL35" s="33">
        <f>资产资本表!BL17</f>
        <v>1049445262.8200001</v>
      </c>
      <c r="BM35" s="33">
        <f>资产资本表!BM17</f>
        <v>934224940.50999999</v>
      </c>
      <c r="BN35" s="33">
        <f>资产资本表!BN17</f>
        <v>823708768.09000003</v>
      </c>
      <c r="BO35" s="33">
        <f>资产资本表!BO17</f>
        <v>390586106.44</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25569</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744</v>
      </c>
      <c r="B40" s="189">
        <v>0</v>
      </c>
      <c r="C40" s="189">
        <v>0</v>
      </c>
      <c r="D40" s="189">
        <v>0</v>
      </c>
      <c r="E40" s="189">
        <v>500000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206880000</v>
      </c>
      <c r="AT40" s="189">
        <v>0</v>
      </c>
      <c r="AU40" s="189">
        <v>0</v>
      </c>
      <c r="AV40" s="189">
        <v>0</v>
      </c>
      <c r="AW40" s="189">
        <v>29277718</v>
      </c>
      <c r="AX40" s="189">
        <v>29277718</v>
      </c>
      <c r="AY40" s="189">
        <v>29277718</v>
      </c>
      <c r="AZ40" s="189">
        <v>15000000</v>
      </c>
      <c r="BA40" s="189">
        <v>12500000</v>
      </c>
      <c r="BB40" s="189">
        <v>12500000</v>
      </c>
      <c r="BC40" s="189">
        <v>12500000</v>
      </c>
      <c r="BD40" s="189">
        <v>0</v>
      </c>
      <c r="BE40" s="189">
        <v>50479092</v>
      </c>
      <c r="BF40" s="189">
        <v>40774749.439999998</v>
      </c>
      <c r="BG40" s="189">
        <v>0</v>
      </c>
      <c r="BH40" s="189">
        <v>0</v>
      </c>
      <c r="BI40" s="189">
        <v>2290136000</v>
      </c>
      <c r="BJ40" s="189">
        <v>2297109800</v>
      </c>
      <c r="BK40" s="189">
        <v>2288700000</v>
      </c>
      <c r="BL40" s="189">
        <v>7500000</v>
      </c>
      <c r="BM40" s="189">
        <v>2670000</v>
      </c>
      <c r="BN40" s="189">
        <v>0</v>
      </c>
      <c r="BO40" s="189">
        <v>0</v>
      </c>
      <c r="BP40" s="189">
        <v>614591049.24000001</v>
      </c>
      <c r="BQ40" s="189">
        <v>0</v>
      </c>
      <c r="BR40" s="189">
        <v>0</v>
      </c>
      <c r="BS40" s="189">
        <v>0</v>
      </c>
      <c r="BT40" s="189">
        <v>0</v>
      </c>
      <c r="BU40" s="189">
        <v>1165397962.47</v>
      </c>
      <c r="BV40" s="189">
        <v>0</v>
      </c>
    </row>
    <row r="41" spans="1:74" s="53" customFormat="1" ht="21.75" customHeight="1" x14ac:dyDescent="0.25">
      <c r="A41" s="140" t="s">
        <v>635</v>
      </c>
      <c r="B41" s="53">
        <v>1419647033.29</v>
      </c>
      <c r="C41" s="53">
        <v>682396282.87</v>
      </c>
      <c r="D41" s="53">
        <v>73246783.790000007</v>
      </c>
      <c r="E41" s="53">
        <v>528033510.51999998</v>
      </c>
      <c r="I41" s="53">
        <v>368000000</v>
      </c>
      <c r="M41" s="53">
        <v>333500000</v>
      </c>
      <c r="Q41" s="53">
        <v>425500000</v>
      </c>
      <c r="U41" s="53">
        <v>379500000</v>
      </c>
      <c r="Y41" s="53">
        <v>402500000</v>
      </c>
      <c r="AC41" s="53">
        <v>345000000</v>
      </c>
      <c r="AG41" s="53">
        <v>299000000</v>
      </c>
      <c r="AK41" s="53">
        <v>195500000</v>
      </c>
      <c r="AO41" s="53">
        <v>207000000</v>
      </c>
      <c r="AS41" s="53">
        <v>150000000</v>
      </c>
    </row>
    <row r="42" spans="1:74" s="26" customFormat="1" x14ac:dyDescent="0.25">
      <c r="A42" s="17" t="s">
        <v>322</v>
      </c>
      <c r="E42" s="26">
        <f>E40-E41</f>
        <v>-527533510.51999998</v>
      </c>
      <c r="F42" s="26">
        <f t="shared" ref="F42:Y42" si="82">F40-F41</f>
        <v>0</v>
      </c>
      <c r="G42" s="26">
        <f t="shared" si="82"/>
        <v>0</v>
      </c>
      <c r="H42" s="26">
        <f t="shared" si="82"/>
        <v>0</v>
      </c>
      <c r="I42" s="26">
        <f>I40-I41</f>
        <v>-368000000</v>
      </c>
      <c r="J42" s="26">
        <f t="shared" si="82"/>
        <v>0</v>
      </c>
      <c r="K42" s="26">
        <f t="shared" si="82"/>
        <v>0</v>
      </c>
      <c r="L42" s="26">
        <f t="shared" si="82"/>
        <v>0</v>
      </c>
      <c r="M42" s="26">
        <f t="shared" si="82"/>
        <v>-333500000</v>
      </c>
      <c r="N42" s="26">
        <f t="shared" si="82"/>
        <v>0</v>
      </c>
      <c r="O42" s="26">
        <f t="shared" si="82"/>
        <v>0</v>
      </c>
      <c r="P42" s="26">
        <f t="shared" si="82"/>
        <v>0</v>
      </c>
      <c r="Q42" s="26">
        <f t="shared" si="82"/>
        <v>-425500000</v>
      </c>
      <c r="R42" s="26">
        <f t="shared" si="82"/>
        <v>0</v>
      </c>
      <c r="S42" s="26">
        <f t="shared" si="82"/>
        <v>0</v>
      </c>
      <c r="T42" s="26">
        <f t="shared" si="82"/>
        <v>0</v>
      </c>
      <c r="U42" s="26">
        <f t="shared" si="82"/>
        <v>-379500000</v>
      </c>
      <c r="V42" s="26">
        <f t="shared" si="82"/>
        <v>0</v>
      </c>
      <c r="W42" s="26">
        <f t="shared" si="82"/>
        <v>0</v>
      </c>
      <c r="X42" s="26">
        <f t="shared" si="82"/>
        <v>0</v>
      </c>
      <c r="Y42" s="26">
        <f t="shared" si="82"/>
        <v>-402500000</v>
      </c>
      <c r="Z42" s="26">
        <f t="shared" ref="Z42:BQ42" si="83">Z40-Z41</f>
        <v>0</v>
      </c>
      <c r="AA42" s="26">
        <f t="shared" si="83"/>
        <v>0</v>
      </c>
      <c r="AB42" s="26">
        <f t="shared" si="83"/>
        <v>0</v>
      </c>
      <c r="AC42" s="26">
        <f t="shared" si="83"/>
        <v>-345000000</v>
      </c>
      <c r="AD42" s="26">
        <f t="shared" si="83"/>
        <v>0</v>
      </c>
      <c r="AE42" s="26">
        <f t="shared" si="83"/>
        <v>0</v>
      </c>
      <c r="AF42" s="26">
        <f t="shared" si="83"/>
        <v>0</v>
      </c>
      <c r="AG42" s="26">
        <f t="shared" si="83"/>
        <v>-299000000</v>
      </c>
      <c r="AH42" s="26">
        <f t="shared" si="83"/>
        <v>0</v>
      </c>
      <c r="AI42" s="26">
        <f t="shared" si="83"/>
        <v>0</v>
      </c>
      <c r="AJ42" s="26">
        <f t="shared" si="83"/>
        <v>0</v>
      </c>
      <c r="AK42" s="26">
        <f t="shared" si="83"/>
        <v>-195500000</v>
      </c>
      <c r="AL42" s="192">
        <f t="shared" si="83"/>
        <v>0</v>
      </c>
      <c r="AM42" s="192">
        <f t="shared" si="83"/>
        <v>0</v>
      </c>
      <c r="AN42" s="192">
        <f t="shared" si="83"/>
        <v>0</v>
      </c>
      <c r="AO42" s="192">
        <f t="shared" si="83"/>
        <v>-207000000</v>
      </c>
      <c r="AP42" s="192">
        <f t="shared" si="83"/>
        <v>0</v>
      </c>
      <c r="AQ42" s="192">
        <f t="shared" si="83"/>
        <v>0</v>
      </c>
      <c r="AR42" s="192">
        <f t="shared" si="83"/>
        <v>0</v>
      </c>
      <c r="AS42" s="192">
        <f t="shared" si="83"/>
        <v>56880000</v>
      </c>
      <c r="AT42" s="192">
        <f t="shared" si="83"/>
        <v>0</v>
      </c>
      <c r="AU42" s="192">
        <f t="shared" si="83"/>
        <v>0</v>
      </c>
      <c r="AV42" s="192">
        <f t="shared" si="83"/>
        <v>0</v>
      </c>
      <c r="AW42" s="192">
        <f t="shared" si="83"/>
        <v>29277718</v>
      </c>
      <c r="AX42" s="192">
        <f t="shared" si="83"/>
        <v>29277718</v>
      </c>
      <c r="AY42" s="192">
        <f t="shared" si="83"/>
        <v>29277718</v>
      </c>
      <c r="AZ42" s="192">
        <f t="shared" si="83"/>
        <v>15000000</v>
      </c>
      <c r="BA42" s="26">
        <f t="shared" si="83"/>
        <v>12500000</v>
      </c>
      <c r="BB42" s="26">
        <f t="shared" si="83"/>
        <v>12500000</v>
      </c>
      <c r="BC42" s="26">
        <f t="shared" si="83"/>
        <v>12500000</v>
      </c>
      <c r="BD42" s="26">
        <f t="shared" si="83"/>
        <v>0</v>
      </c>
      <c r="BE42" s="26">
        <f t="shared" si="83"/>
        <v>50479092</v>
      </c>
      <c r="BF42" s="26">
        <f t="shared" si="83"/>
        <v>40774749.439999998</v>
      </c>
      <c r="BG42" s="26">
        <f t="shared" si="83"/>
        <v>0</v>
      </c>
      <c r="BH42" s="26">
        <f t="shared" si="83"/>
        <v>0</v>
      </c>
      <c r="BI42" s="26">
        <f t="shared" si="83"/>
        <v>2290136000</v>
      </c>
      <c r="BJ42" s="26">
        <f t="shared" si="83"/>
        <v>2297109800</v>
      </c>
      <c r="BK42" s="26">
        <f t="shared" si="83"/>
        <v>2288700000</v>
      </c>
      <c r="BL42" s="26">
        <f t="shared" si="83"/>
        <v>7500000</v>
      </c>
      <c r="BM42" s="26">
        <f t="shared" si="83"/>
        <v>2670000</v>
      </c>
      <c r="BN42" s="26">
        <f t="shared" si="83"/>
        <v>0</v>
      </c>
      <c r="BO42" s="26">
        <f t="shared" si="83"/>
        <v>0</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450000000</v>
      </c>
      <c r="C44" s="189">
        <v>450000000</v>
      </c>
      <c r="D44" s="189">
        <v>450000000</v>
      </c>
      <c r="E44" s="189">
        <v>2370000000</v>
      </c>
      <c r="F44" s="189">
        <v>1570000000</v>
      </c>
      <c r="G44" s="189">
        <v>200000000</v>
      </c>
      <c r="H44" s="189">
        <v>0</v>
      </c>
      <c r="I44" s="189">
        <v>350000000</v>
      </c>
      <c r="J44" s="189">
        <v>350000000</v>
      </c>
      <c r="K44" s="189">
        <v>3808000000</v>
      </c>
      <c r="L44" s="189">
        <v>3808000000</v>
      </c>
      <c r="M44" s="189">
        <v>0</v>
      </c>
      <c r="N44" s="189">
        <v>0</v>
      </c>
      <c r="O44" s="189">
        <v>0</v>
      </c>
      <c r="P44" s="189">
        <v>0</v>
      </c>
      <c r="Q44" s="189">
        <v>0</v>
      </c>
      <c r="R44" s="189">
        <v>0</v>
      </c>
      <c r="S44" s="189">
        <v>0</v>
      </c>
      <c r="T44" s="189">
        <v>0</v>
      </c>
      <c r="U44" s="189">
        <v>0</v>
      </c>
      <c r="V44" s="189">
        <v>0</v>
      </c>
      <c r="W44" s="189">
        <v>0</v>
      </c>
      <c r="X44" s="189">
        <v>0</v>
      </c>
      <c r="Y44" s="189">
        <v>1100000000</v>
      </c>
      <c r="Z44" s="189">
        <v>1100000000</v>
      </c>
      <c r="AA44" s="189">
        <v>300000000</v>
      </c>
      <c r="AB44" s="189">
        <v>300000000</v>
      </c>
      <c r="AC44" s="189">
        <v>0</v>
      </c>
      <c r="AD44" s="189">
        <v>1500000000</v>
      </c>
      <c r="AE44" s="189">
        <v>0</v>
      </c>
      <c r="AF44" s="189">
        <v>500000000</v>
      </c>
      <c r="AG44" s="189">
        <v>1000000000</v>
      </c>
      <c r="AH44" s="189">
        <v>1000000000</v>
      </c>
      <c r="AI44" s="189">
        <v>0</v>
      </c>
      <c r="AJ44" s="189">
        <v>0</v>
      </c>
      <c r="AK44" s="189">
        <v>2000000000</v>
      </c>
      <c r="AL44" s="189">
        <v>800000000</v>
      </c>
      <c r="AM44" s="189">
        <v>100000000</v>
      </c>
      <c r="AN44" s="189">
        <v>0</v>
      </c>
      <c r="AO44" s="189">
        <v>2758000000</v>
      </c>
      <c r="AP44" s="189">
        <v>2210000000</v>
      </c>
      <c r="AQ44" s="189">
        <v>1210000000</v>
      </c>
      <c r="AR44" s="189">
        <v>110000000</v>
      </c>
      <c r="AS44" s="189">
        <v>3300000000</v>
      </c>
      <c r="AT44" s="189">
        <v>2000000000</v>
      </c>
      <c r="AU44" s="189">
        <v>2000000000</v>
      </c>
      <c r="AV44" s="189">
        <v>0</v>
      </c>
      <c r="AW44" s="189">
        <v>2910000000</v>
      </c>
      <c r="AX44" s="189">
        <v>2010000000</v>
      </c>
      <c r="AY44" s="189">
        <v>1008320000</v>
      </c>
      <c r="AZ44" s="189">
        <v>3320000</v>
      </c>
      <c r="BA44" s="189">
        <v>2528025591.77</v>
      </c>
      <c r="BB44" s="189">
        <v>2100000000</v>
      </c>
      <c r="BC44" s="189">
        <v>2100000000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38173947.5</v>
      </c>
      <c r="F45" s="192">
        <f>股权价值增加表!F53</f>
        <v>0</v>
      </c>
      <c r="G45" s="192">
        <f>股权价值增加表!G53</f>
        <v>0</v>
      </c>
      <c r="H45" s="192">
        <f>股权价值增加表!H53</f>
        <v>0</v>
      </c>
      <c r="I45" s="192">
        <f>股权价值增加表!I53</f>
        <v>1597114.59</v>
      </c>
      <c r="J45" s="192">
        <f>股权价值增加表!J53</f>
        <v>0</v>
      </c>
      <c r="K45" s="192">
        <f>股权价值增加表!K53</f>
        <v>0</v>
      </c>
      <c r="L45" s="192">
        <f>股权价值增加表!L53</f>
        <v>0</v>
      </c>
      <c r="M45" s="192">
        <f>股权价值增加表!M53</f>
        <v>0</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20883814.989999998</v>
      </c>
      <c r="V45" s="192">
        <f>股权价值增加表!V53</f>
        <v>0</v>
      </c>
      <c r="W45" s="192">
        <f>股权价值增加表!W53</f>
        <v>0</v>
      </c>
      <c r="X45" s="192">
        <f>股权价值增加表!X53</f>
        <v>0</v>
      </c>
      <c r="Y45" s="192">
        <f>股权价值增加表!Y53</f>
        <v>62267001.710000001</v>
      </c>
      <c r="Z45" s="192">
        <f>股权价值增加表!Z53</f>
        <v>0</v>
      </c>
      <c r="AA45" s="192">
        <f>股权价值增加表!AA53</f>
        <v>0</v>
      </c>
      <c r="AB45" s="192">
        <f>股权价值增加表!AB53</f>
        <v>0</v>
      </c>
      <c r="AC45" s="192">
        <f>股权价值增加表!AC53</f>
        <v>74773714.959999993</v>
      </c>
      <c r="AD45" s="192">
        <f>股权价值增加表!AD53</f>
        <v>0</v>
      </c>
      <c r="AE45" s="192">
        <f>股权价值增加表!AE53</f>
        <v>0</v>
      </c>
      <c r="AF45" s="192">
        <f>股权价值增加表!AF53</f>
        <v>0</v>
      </c>
      <c r="AG45" s="192">
        <f>股权价值增加表!AG53</f>
        <v>54014508.630000003</v>
      </c>
      <c r="AH45" s="192">
        <f>股权价值增加表!AH53</f>
        <v>0</v>
      </c>
      <c r="AI45" s="192">
        <f>股权价值增加表!AI53</f>
        <v>0</v>
      </c>
      <c r="AJ45" s="192">
        <f>股权价值增加表!AJ53</f>
        <v>0</v>
      </c>
      <c r="AK45" s="192">
        <f>股权价值增加表!AK53</f>
        <v>68251435.349999994</v>
      </c>
      <c r="AL45" s="192">
        <f>股权价值增加表!AL53</f>
        <v>0</v>
      </c>
      <c r="AM45" s="192">
        <f>股权价值增加表!AM53</f>
        <v>0</v>
      </c>
      <c r="AN45" s="192">
        <f>股权价值增加表!AN53</f>
        <v>0</v>
      </c>
      <c r="AO45" s="192">
        <f>股权价值增加表!AO53</f>
        <v>89878248.040000007</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1890446.26</v>
      </c>
      <c r="C46" s="189">
        <v>2019770.61</v>
      </c>
      <c r="D46" s="189">
        <v>32818187.359999999</v>
      </c>
      <c r="E46" s="189">
        <v>15450920.58</v>
      </c>
      <c r="F46" s="189">
        <v>0</v>
      </c>
      <c r="G46" s="189">
        <v>5926709.6600000001</v>
      </c>
      <c r="H46" s="189">
        <v>7455134.0499999998</v>
      </c>
      <c r="I46" s="189">
        <v>5905482.2999999998</v>
      </c>
      <c r="J46" s="189">
        <v>0</v>
      </c>
      <c r="K46" s="189">
        <v>0</v>
      </c>
      <c r="L46" s="189">
        <v>0</v>
      </c>
      <c r="M46" s="189">
        <v>0</v>
      </c>
      <c r="N46" s="189">
        <v>0</v>
      </c>
      <c r="O46" s="189">
        <v>0</v>
      </c>
      <c r="P46" s="189">
        <v>0</v>
      </c>
      <c r="Q46" s="189">
        <v>0</v>
      </c>
      <c r="R46" s="189">
        <v>0</v>
      </c>
      <c r="S46" s="189">
        <v>0</v>
      </c>
      <c r="T46" s="189">
        <v>0</v>
      </c>
      <c r="U46" s="189">
        <v>0</v>
      </c>
      <c r="V46" s="189">
        <v>3590098.35</v>
      </c>
      <c r="W46" s="189">
        <v>3064725.02</v>
      </c>
      <c r="X46" s="189">
        <v>11045438.35</v>
      </c>
      <c r="Y46" s="189">
        <v>1476678.35</v>
      </c>
      <c r="Z46" s="189">
        <v>8774065.0099999998</v>
      </c>
      <c r="AA46" s="189">
        <v>52174742.810000002</v>
      </c>
      <c r="AB46" s="189">
        <v>38371669.350000001</v>
      </c>
      <c r="AC46" s="189">
        <v>37714702.049999997</v>
      </c>
      <c r="AD46" s="189">
        <v>47015154.979999997</v>
      </c>
      <c r="AE46" s="189">
        <v>28592975.190000001</v>
      </c>
      <c r="AF46" s="189">
        <v>15094610.98</v>
      </c>
      <c r="AG46" s="189">
        <v>5925439.5899999999</v>
      </c>
      <c r="AH46" s="189">
        <v>38077700.759999998</v>
      </c>
      <c r="AI46" s="189">
        <v>62497779.18</v>
      </c>
      <c r="AJ46" s="189">
        <v>27190221.379999999</v>
      </c>
      <c r="AK46" s="189">
        <v>7968303.5599999996</v>
      </c>
      <c r="AL46" s="189">
        <v>54192305.780000001</v>
      </c>
      <c r="AM46" s="189">
        <v>51631905.829999998</v>
      </c>
      <c r="AN46" s="189">
        <v>31163914.52</v>
      </c>
      <c r="AO46" s="189">
        <v>10205706.75</v>
      </c>
      <c r="AP46" s="189">
        <v>18435303.809999999</v>
      </c>
      <c r="AQ46" s="189">
        <v>24682682.75</v>
      </c>
      <c r="AR46" s="189">
        <v>25064365.52</v>
      </c>
      <c r="AS46" s="189">
        <v>2860000.52</v>
      </c>
      <c r="AT46" s="189">
        <v>34183381.539999999</v>
      </c>
      <c r="AU46" s="189">
        <v>20471984.870000001</v>
      </c>
      <c r="AV46" s="189">
        <v>39341448.299999997</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3444935284.8000002</v>
      </c>
      <c r="C47" s="189">
        <v>2851893802.3000002</v>
      </c>
      <c r="D47" s="189">
        <v>450000000</v>
      </c>
      <c r="E47" s="189">
        <v>1000000000</v>
      </c>
      <c r="F47" s="189">
        <v>1000000000</v>
      </c>
      <c r="G47" s="189">
        <v>1000000000</v>
      </c>
      <c r="H47" s="189">
        <v>1000000000</v>
      </c>
      <c r="I47" s="189">
        <v>350000000</v>
      </c>
      <c r="J47" s="189">
        <v>350000000</v>
      </c>
      <c r="K47" s="189">
        <v>350000000</v>
      </c>
      <c r="L47" s="189">
        <v>355597114.58999997</v>
      </c>
      <c r="M47" s="189">
        <v>0</v>
      </c>
      <c r="N47" s="189">
        <v>0</v>
      </c>
      <c r="O47" s="189">
        <v>0</v>
      </c>
      <c r="P47" s="189">
        <v>0</v>
      </c>
      <c r="Q47" s="189">
        <v>0</v>
      </c>
      <c r="R47" s="189">
        <v>0</v>
      </c>
      <c r="S47" s="189">
        <v>0</v>
      </c>
      <c r="T47" s="189">
        <v>0</v>
      </c>
      <c r="U47" s="189">
        <v>882000000</v>
      </c>
      <c r="V47" s="189">
        <v>882000000</v>
      </c>
      <c r="W47" s="189">
        <v>182000000</v>
      </c>
      <c r="X47" s="189">
        <v>182000000</v>
      </c>
      <c r="Y47" s="189">
        <v>1803000000</v>
      </c>
      <c r="Z47" s="189">
        <v>1803000000</v>
      </c>
      <c r="AA47" s="189">
        <v>803000000</v>
      </c>
      <c r="AB47" s="189">
        <v>750000000</v>
      </c>
      <c r="AC47" s="189">
        <v>1685000000</v>
      </c>
      <c r="AD47" s="189">
        <v>680000000</v>
      </c>
      <c r="AE47" s="189">
        <v>680000000</v>
      </c>
      <c r="AF47" s="189">
        <v>680000000</v>
      </c>
      <c r="AG47" s="189">
        <v>1980000000</v>
      </c>
      <c r="AH47" s="189">
        <v>1540000000</v>
      </c>
      <c r="AI47" s="189">
        <v>40000000</v>
      </c>
      <c r="AJ47" s="189">
        <v>0</v>
      </c>
      <c r="AK47" s="189">
        <v>1748000000</v>
      </c>
      <c r="AL47" s="189">
        <v>808000000</v>
      </c>
      <c r="AM47" s="189">
        <v>100000000</v>
      </c>
      <c r="AN47" s="189">
        <v>0</v>
      </c>
      <c r="AO47" s="189">
        <v>2880000000</v>
      </c>
      <c r="AP47" s="189">
        <v>2350000000</v>
      </c>
      <c r="AQ47" s="189">
        <v>1340000000</v>
      </c>
      <c r="AR47" s="189">
        <v>300000000</v>
      </c>
      <c r="AS47" s="189">
        <v>3943250000</v>
      </c>
      <c r="AT47" s="189">
        <v>2620897667.3099999</v>
      </c>
      <c r="AU47" s="189">
        <v>2204220378.8400002</v>
      </c>
      <c r="AV47" s="189">
        <v>111475380.09</v>
      </c>
      <c r="AW47" s="189">
        <v>3550000000</v>
      </c>
      <c r="AX47" s="189">
        <v>2285333714.8200002</v>
      </c>
      <c r="AY47" s="189">
        <v>1240333714.8199999</v>
      </c>
      <c r="AZ47" s="189">
        <v>0</v>
      </c>
      <c r="BA47" s="189">
        <v>0</v>
      </c>
      <c r="BB47" s="189">
        <v>0</v>
      </c>
      <c r="BC47" s="189">
        <v>0</v>
      </c>
      <c r="BD47" s="189">
        <v>0</v>
      </c>
      <c r="BE47" s="189">
        <v>0</v>
      </c>
      <c r="BF47" s="189">
        <v>0</v>
      </c>
      <c r="BG47" s="189">
        <v>0</v>
      </c>
      <c r="BH47" s="189">
        <v>0</v>
      </c>
      <c r="BI47" s="189">
        <v>0</v>
      </c>
      <c r="BJ47" s="189">
        <v>0</v>
      </c>
      <c r="BK47" s="189">
        <v>0</v>
      </c>
      <c r="BL47" s="189">
        <v>1440000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599</v>
      </c>
      <c r="B48" s="189">
        <v>2999680000</v>
      </c>
      <c r="C48" s="189">
        <v>1999930000</v>
      </c>
      <c r="D48" s="189">
        <v>0</v>
      </c>
      <c r="E48" s="189">
        <v>3000000000</v>
      </c>
      <c r="F48" s="189">
        <v>1000000000</v>
      </c>
      <c r="G48" s="189">
        <v>1000000000</v>
      </c>
      <c r="H48" s="189">
        <v>1000000000</v>
      </c>
      <c r="I48" s="189">
        <v>3454569679.21</v>
      </c>
      <c r="J48" s="189">
        <v>3458000000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1500000000</v>
      </c>
      <c r="AD48" s="189">
        <v>0</v>
      </c>
      <c r="AE48" s="189">
        <v>500000000</v>
      </c>
      <c r="AF48" s="189">
        <v>0</v>
      </c>
      <c r="AG48" s="189">
        <v>1000000000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600</v>
      </c>
      <c r="E49" s="192">
        <f>E44+E48-E45-E46-E47</f>
        <v>4316375131.9200001</v>
      </c>
      <c r="F49" s="192">
        <f t="shared" ref="F49:BQ49" si="85">F44+F48-F45-F46-F47</f>
        <v>1570000000</v>
      </c>
      <c r="G49" s="192">
        <f t="shared" si="85"/>
        <v>194073290.33999991</v>
      </c>
      <c r="H49" s="192">
        <f t="shared" si="85"/>
        <v>-7455134.0499999523</v>
      </c>
      <c r="I49" s="192">
        <f t="shared" si="85"/>
        <v>3447067082.3199997</v>
      </c>
      <c r="J49" s="192">
        <f t="shared" si="85"/>
        <v>3458000000</v>
      </c>
      <c r="K49" s="192">
        <f t="shared" si="85"/>
        <v>3458000000</v>
      </c>
      <c r="L49" s="192">
        <f t="shared" si="85"/>
        <v>3452402885.4099998</v>
      </c>
      <c r="M49" s="192">
        <f t="shared" si="85"/>
        <v>0</v>
      </c>
      <c r="N49" s="192">
        <f t="shared" si="85"/>
        <v>0</v>
      </c>
      <c r="O49" s="192">
        <f t="shared" si="85"/>
        <v>0</v>
      </c>
      <c r="P49" s="192">
        <f t="shared" si="85"/>
        <v>0</v>
      </c>
      <c r="Q49" s="192">
        <f t="shared" si="85"/>
        <v>0</v>
      </c>
      <c r="R49" s="192">
        <f t="shared" si="85"/>
        <v>0</v>
      </c>
      <c r="S49" s="192">
        <f t="shared" si="85"/>
        <v>0</v>
      </c>
      <c r="T49" s="192">
        <f t="shared" si="85"/>
        <v>0</v>
      </c>
      <c r="U49" s="192">
        <f t="shared" si="85"/>
        <v>-902883814.99000001</v>
      </c>
      <c r="V49" s="192">
        <f t="shared" si="85"/>
        <v>-885590098.35000002</v>
      </c>
      <c r="W49" s="192">
        <f t="shared" si="85"/>
        <v>-185064725.02000001</v>
      </c>
      <c r="X49" s="192">
        <f t="shared" si="85"/>
        <v>-193045438.34999999</v>
      </c>
      <c r="Y49" s="192">
        <f t="shared" si="85"/>
        <v>-766743680.06000006</v>
      </c>
      <c r="Z49" s="192">
        <f t="shared" si="85"/>
        <v>-711774065.00999999</v>
      </c>
      <c r="AA49" s="192">
        <f t="shared" si="85"/>
        <v>-555174742.80999994</v>
      </c>
      <c r="AB49" s="192">
        <f t="shared" si="85"/>
        <v>-488371669.35000002</v>
      </c>
      <c r="AC49" s="192">
        <f t="shared" si="85"/>
        <v>-297488417.00999999</v>
      </c>
      <c r="AD49" s="192">
        <f t="shared" si="85"/>
        <v>772984845.01999998</v>
      </c>
      <c r="AE49" s="192">
        <f t="shared" si="85"/>
        <v>-208592975.19</v>
      </c>
      <c r="AF49" s="192">
        <f t="shared" si="85"/>
        <v>-195094610.98000002</v>
      </c>
      <c r="AG49" s="192">
        <f t="shared" si="85"/>
        <v>-39939948.220000029</v>
      </c>
      <c r="AH49" s="192">
        <f t="shared" si="85"/>
        <v>-578077700.75999999</v>
      </c>
      <c r="AI49" s="192">
        <f t="shared" si="85"/>
        <v>-102497779.18000001</v>
      </c>
      <c r="AJ49" s="192">
        <f t="shared" si="85"/>
        <v>-27190221.379999999</v>
      </c>
      <c r="AK49" s="192">
        <f t="shared" si="85"/>
        <v>175780261.09000015</v>
      </c>
      <c r="AL49" s="192">
        <f t="shared" si="85"/>
        <v>-62192305.779999971</v>
      </c>
      <c r="AM49" s="192">
        <f t="shared" si="85"/>
        <v>-51631905.829999998</v>
      </c>
      <c r="AN49" s="192">
        <f t="shared" si="85"/>
        <v>-31163914.52</v>
      </c>
      <c r="AO49" s="192">
        <f t="shared" si="85"/>
        <v>-222083954.78999996</v>
      </c>
      <c r="AP49" s="192">
        <f t="shared" si="85"/>
        <v>-158435303.80999994</v>
      </c>
      <c r="AQ49" s="192">
        <f t="shared" si="85"/>
        <v>-154682682.75</v>
      </c>
      <c r="AR49" s="192">
        <f t="shared" si="85"/>
        <v>-215064365.51999998</v>
      </c>
      <c r="AS49" s="192">
        <f t="shared" si="85"/>
        <v>-646110000.51999998</v>
      </c>
      <c r="AT49" s="192">
        <f t="shared" si="85"/>
        <v>-655081048.8499999</v>
      </c>
      <c r="AU49" s="192">
        <f t="shared" si="85"/>
        <v>-224692363.71000004</v>
      </c>
      <c r="AV49" s="192">
        <f t="shared" si="85"/>
        <v>-150816828.38999999</v>
      </c>
      <c r="AW49" s="192">
        <f t="shared" si="85"/>
        <v>-640000000</v>
      </c>
      <c r="AX49" s="192">
        <f t="shared" si="85"/>
        <v>-275333714.82000017</v>
      </c>
      <c r="AY49" s="192">
        <f t="shared" si="85"/>
        <v>-232013714.81999993</v>
      </c>
      <c r="AZ49" s="192">
        <f t="shared" si="85"/>
        <v>3320000</v>
      </c>
      <c r="BA49" s="192">
        <f t="shared" si="85"/>
        <v>2528025591.77</v>
      </c>
      <c r="BB49" s="192">
        <f t="shared" si="85"/>
        <v>2100000000</v>
      </c>
      <c r="BC49" s="192">
        <f t="shared" si="85"/>
        <v>2100000000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-1440000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8" t="s">
        <v>668</v>
      </c>
      <c r="B51" s="279"/>
      <c r="C51" s="279"/>
      <c r="D51" s="279"/>
      <c r="E51" s="279"/>
      <c r="F51" s="279"/>
      <c r="G51" s="279"/>
      <c r="H51" s="279"/>
      <c r="I51" s="279"/>
      <c r="J51" s="279"/>
      <c r="K51" s="279"/>
      <c r="L51" s="279"/>
      <c r="M51" s="279"/>
      <c r="N51" s="279"/>
      <c r="O51" s="279"/>
      <c r="P51" s="279"/>
      <c r="Q51" s="279"/>
      <c r="R51" s="279"/>
      <c r="S51" s="279"/>
      <c r="T51" s="279"/>
      <c r="U51" s="279"/>
      <c r="V51" s="279"/>
      <c r="W51" s="279"/>
      <c r="X51" s="279"/>
      <c r="Y51" s="279"/>
      <c r="Z51" s="279"/>
      <c r="AA51" s="279"/>
      <c r="AB51" s="279"/>
      <c r="AC51" s="279"/>
      <c r="AD51" s="279"/>
      <c r="AE51" s="279"/>
      <c r="AF51" s="279"/>
      <c r="AG51" s="279"/>
      <c r="AH51" s="279"/>
      <c r="AI51" s="279"/>
      <c r="AJ51" s="279"/>
      <c r="AK51" s="279"/>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10.554687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38173947.5</v>
      </c>
      <c r="F3" s="26">
        <f>股权价值增加表!F53</f>
        <v>0</v>
      </c>
      <c r="G3" s="26">
        <f>股权价值增加表!G53</f>
        <v>0</v>
      </c>
      <c r="H3" s="26">
        <f>股权价值增加表!H53</f>
        <v>0</v>
      </c>
      <c r="I3" s="26">
        <f>股权价值增加表!I53</f>
        <v>1597114.59</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20883814.989999998</v>
      </c>
      <c r="V3" s="26">
        <f>股权价值增加表!V53</f>
        <v>0</v>
      </c>
      <c r="W3" s="26">
        <f>股权价值增加表!W53</f>
        <v>0</v>
      </c>
      <c r="X3" s="26">
        <f>股权价值增加表!X53</f>
        <v>0</v>
      </c>
      <c r="Y3" s="26">
        <f>股权价值增加表!Y53</f>
        <v>62267001.710000001</v>
      </c>
      <c r="Z3" s="26">
        <f>股权价值增加表!Z53</f>
        <v>0</v>
      </c>
      <c r="AA3" s="26">
        <f>股权价值增加表!AA53</f>
        <v>0</v>
      </c>
      <c r="AB3" s="26">
        <f>股权价值增加表!AB53</f>
        <v>0</v>
      </c>
      <c r="AC3" s="26">
        <f>股权价值增加表!AC53</f>
        <v>74773714.959999993</v>
      </c>
      <c r="AD3" s="26">
        <f>股权价值增加表!AD53</f>
        <v>0</v>
      </c>
      <c r="AE3" s="26">
        <f>股权价值增加表!AE53</f>
        <v>0</v>
      </c>
      <c r="AF3" s="26">
        <f>股权价值增加表!AF53</f>
        <v>0</v>
      </c>
      <c r="AG3" s="26">
        <f>股权价值增加表!AG53</f>
        <v>54014508.630000003</v>
      </c>
      <c r="AH3" s="26">
        <f>股权价值增加表!AH53</f>
        <v>0</v>
      </c>
      <c r="AI3" s="26">
        <f>股权价值增加表!AI53</f>
        <v>0</v>
      </c>
      <c r="AJ3" s="26">
        <f>股权价值增加表!AJ53</f>
        <v>0</v>
      </c>
      <c r="AK3" s="26">
        <f>股权价值增加表!AK53</f>
        <v>68251435.349999994</v>
      </c>
      <c r="AL3" s="26">
        <f>股权价值增加表!AL53</f>
        <v>0</v>
      </c>
      <c r="AM3" s="26">
        <f>股权价值增加表!AM53</f>
        <v>0</v>
      </c>
      <c r="AN3" s="26">
        <f>股权价值增加表!AN53</f>
        <v>0</v>
      </c>
      <c r="AO3" s="26">
        <f>股权价值增加表!AO53</f>
        <v>89878248.040000007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3062861637.4699998</v>
      </c>
      <c r="F4" s="26">
        <f>资产资本表!F89</f>
        <v>2244433329.4700003</v>
      </c>
      <c r="G4" s="26">
        <f>资产资本表!G89</f>
        <v>880360039.13</v>
      </c>
      <c r="H4" s="26">
        <f>资产资本表!H89</f>
        <v>3785532197.9099998</v>
      </c>
      <c r="I4" s="26">
        <f>资产资本表!I89</f>
        <v>3838325099.5300007</v>
      </c>
      <c r="J4" s="26">
        <f>资产资本表!J89</f>
        <v>3065900935.4699998</v>
      </c>
      <c r="K4" s="26">
        <f>资产资本表!K89</f>
        <v>3065970533</v>
      </c>
      <c r="L4" s="26">
        <f>资产资本表!L89</f>
        <v>3065970533</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0</v>
      </c>
      <c r="V4" s="26">
        <f>资产资本表!V89</f>
        <v>3590098.35</v>
      </c>
      <c r="W4" s="26">
        <f>资产资本表!W89</f>
        <v>703064725.01999998</v>
      </c>
      <c r="X4" s="26">
        <f>资产资本表!X89</f>
        <v>711045438.35000002</v>
      </c>
      <c r="Y4" s="26">
        <f>资产资本表!Y89</f>
        <v>883476678.35000002</v>
      </c>
      <c r="Z4" s="26">
        <f>资产资本表!Z89</f>
        <v>890774065.00999999</v>
      </c>
      <c r="AA4" s="26">
        <f>资产资本表!AA89</f>
        <v>1134174742.8099999</v>
      </c>
      <c r="AB4" s="26">
        <f>资产资本表!AB89</f>
        <v>1173371669.3499999</v>
      </c>
      <c r="AC4" s="26">
        <f>资产资本表!AC89</f>
        <v>1622714702.05</v>
      </c>
      <c r="AD4" s="26">
        <f>资产资本表!AD89</f>
        <v>2637015154.98</v>
      </c>
      <c r="AE4" s="26">
        <f>资产资本表!AE89</f>
        <v>1618592975.1900001</v>
      </c>
      <c r="AF4" s="26">
        <f>资产资本表!AF89</f>
        <v>1605094610.98</v>
      </c>
      <c r="AG4" s="26">
        <f>资产资本表!AG89</f>
        <v>1775925439.5900002</v>
      </c>
      <c r="AH4" s="26">
        <f>资产资本表!AH89</f>
        <v>1348077700.76</v>
      </c>
      <c r="AI4" s="26">
        <f>资产资本表!AI89</f>
        <v>1772497779.1800001</v>
      </c>
      <c r="AJ4" s="26">
        <f>资产资本表!AJ89</f>
        <v>1777190221.3800001</v>
      </c>
      <c r="AK4" s="26">
        <f>资产资本表!AK89</f>
        <v>1757968303.5599999</v>
      </c>
      <c r="AL4" s="26">
        <f>资产资本表!AL89</f>
        <v>1544192305.78</v>
      </c>
      <c r="AM4" s="26">
        <f>资产资本表!AM89</f>
        <v>1549631905.8299999</v>
      </c>
      <c r="AN4" s="26">
        <f>资产资本表!AN89</f>
        <v>1529163914.52</v>
      </c>
      <c r="AO4" s="26">
        <f>资产资本表!AO89</f>
        <v>1508205706.75</v>
      </c>
      <c r="AP4" s="26">
        <f>资产资本表!AP89</f>
        <v>1508435303.8099999</v>
      </c>
      <c r="AQ4" s="26">
        <f>资产资本表!AQ89</f>
        <v>1514682682.75</v>
      </c>
      <c r="AR4" s="26">
        <f>资产资本表!AR89</f>
        <v>1455064365.52</v>
      </c>
      <c r="AS4" s="26">
        <f>资产资本表!AS89</f>
        <v>1622860000.52</v>
      </c>
      <c r="AT4" s="26">
        <f>资产资本表!AT89</f>
        <v>394183381.53999996</v>
      </c>
      <c r="AU4" s="26">
        <f>资产资本表!AU89</f>
        <v>680471984.87</v>
      </c>
      <c r="AV4" s="26">
        <f>资产资本表!AV89</f>
        <v>699341448.29999995</v>
      </c>
      <c r="AW4" s="26">
        <f>资产资本表!AW89</f>
        <v>2263250000</v>
      </c>
      <c r="AX4" s="26">
        <f>资产资本表!AX89</f>
        <v>1761640000</v>
      </c>
      <c r="AY4" s="26">
        <f>资产资本表!AY89</f>
        <v>2804960000</v>
      </c>
      <c r="AZ4" s="26">
        <f>资产资本表!AZ89</f>
        <v>2903320000</v>
      </c>
      <c r="BA4" s="26">
        <f>资产资本表!BA89</f>
        <v>2928025591.77</v>
      </c>
      <c r="BB4" s="26">
        <f>资产资本表!BB89</f>
        <v>2100000000</v>
      </c>
      <c r="BC4" s="26">
        <f>资产资本表!BC89</f>
        <v>2100000000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1.1063009582202528E-2</v>
      </c>
      <c r="F5" s="63">
        <f t="shared" ref="F5:BQ5" si="0">IF(F4+J4=0,0,F3/((F4+J4)/2))</f>
        <v>0</v>
      </c>
      <c r="G5" s="63">
        <f t="shared" si="0"/>
        <v>0</v>
      </c>
      <c r="H5" s="63">
        <f t="shared" si="0"/>
        <v>0</v>
      </c>
      <c r="I5" s="63">
        <f t="shared" si="0"/>
        <v>8.3219349512398798E-4</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4.7276437515029961E-2</v>
      </c>
      <c r="V5" s="63">
        <f t="shared" si="0"/>
        <v>0</v>
      </c>
      <c r="W5" s="63">
        <f t="shared" si="0"/>
        <v>0</v>
      </c>
      <c r="X5" s="63">
        <f t="shared" si="0"/>
        <v>0</v>
      </c>
      <c r="Y5" s="63">
        <f t="shared" si="0"/>
        <v>4.9690540153451403E-2</v>
      </c>
      <c r="Z5" s="63">
        <f t="shared" si="0"/>
        <v>0</v>
      </c>
      <c r="AA5" s="63">
        <f t="shared" si="0"/>
        <v>0</v>
      </c>
      <c r="AB5" s="63">
        <f t="shared" si="0"/>
        <v>0</v>
      </c>
      <c r="AC5" s="63">
        <f t="shared" si="0"/>
        <v>4.400213723358086E-2</v>
      </c>
      <c r="AD5" s="63">
        <f t="shared" si="0"/>
        <v>0</v>
      </c>
      <c r="AE5" s="63">
        <f t="shared" si="0"/>
        <v>0</v>
      </c>
      <c r="AF5" s="63">
        <f t="shared" si="0"/>
        <v>0</v>
      </c>
      <c r="AG5" s="63">
        <f t="shared" si="0"/>
        <v>3.0569401660533908E-2</v>
      </c>
      <c r="AH5" s="63">
        <f t="shared" si="0"/>
        <v>0</v>
      </c>
      <c r="AI5" s="63">
        <f t="shared" si="0"/>
        <v>0</v>
      </c>
      <c r="AJ5" s="63">
        <f t="shared" si="0"/>
        <v>0</v>
      </c>
      <c r="AK5" s="63">
        <f t="shared" si="0"/>
        <v>4.1792895990573446E-2</v>
      </c>
      <c r="AL5" s="63">
        <f t="shared" si="0"/>
        <v>0</v>
      </c>
      <c r="AM5" s="63">
        <f t="shared" si="0"/>
        <v>0</v>
      </c>
      <c r="AN5" s="63">
        <f t="shared" si="0"/>
        <v>0</v>
      </c>
      <c r="AO5" s="63">
        <f t="shared" si="0"/>
        <v>5.7410643175780256E-2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0.26589306735838553</v>
      </c>
      <c r="F6" s="63">
        <f>股权价值增加表!F41</f>
        <v>0.2561452997146188</v>
      </c>
      <c r="G6" s="63">
        <f>股权价值增加表!G41</f>
        <v>0.25357461980054041</v>
      </c>
      <c r="H6" s="63">
        <f>股权价值增加表!H41</f>
        <v>0.24507642431934984</v>
      </c>
      <c r="I6" s="63">
        <f>股权价值增加表!I41</f>
        <v>0.27168991499052519</v>
      </c>
      <c r="J6" s="63">
        <f>股权价值增加表!J41</f>
        <v>0.25683242832216813</v>
      </c>
      <c r="K6" s="63">
        <f>股权价值增加表!K41</f>
        <v>0.26045048060267961</v>
      </c>
      <c r="L6" s="63">
        <f>股权价值增加表!L41</f>
        <v>0.26212260321968961</v>
      </c>
      <c r="M6" s="63">
        <f>股权价值增加表!M41</f>
        <v>0.26483153071249665</v>
      </c>
      <c r="N6" s="63">
        <f>股权价值增加表!N41</f>
        <v>0.26220480089754994</v>
      </c>
      <c r="O6" s="63">
        <f>股权价值增加表!O41</f>
        <v>0.24501242437780443</v>
      </c>
      <c r="P6" s="63">
        <f>股权价值增加表!P41</f>
        <v>0.25962857494903907</v>
      </c>
      <c r="Q6" s="63">
        <f>股权价值增加表!Q41</f>
        <v>0.24269128288055719</v>
      </c>
      <c r="R6" s="63">
        <f>股权价值增加表!R41</f>
        <v>0.24232876178021831</v>
      </c>
      <c r="S6" s="63">
        <f>股权价值增加表!S41</f>
        <v>0.22461742047856084</v>
      </c>
      <c r="T6" s="63">
        <f>股权价值增加表!T41</f>
        <v>0.25844605618674332</v>
      </c>
      <c r="U6" s="63">
        <f>股权价值增加表!U41</f>
        <v>0.26632938178226612</v>
      </c>
      <c r="V6" s="63">
        <f>股权价值增加表!V41</f>
        <v>0.24879724081430363</v>
      </c>
      <c r="W6" s="63">
        <f>股权价值增加表!W41</f>
        <v>0.24825393747631228</v>
      </c>
      <c r="X6" s="63">
        <f>股权价值增加表!X41</f>
        <v>0.26162040083433019</v>
      </c>
      <c r="Y6" s="63">
        <f>股权价值增加表!Y41</f>
        <v>0.25894235554449763</v>
      </c>
      <c r="Z6" s="63">
        <f>股权价值增加表!Z41</f>
        <v>0.25138779784863968</v>
      </c>
      <c r="AA6" s="63">
        <f>股权价值增加表!AA41</f>
        <v>0.25532740680930494</v>
      </c>
      <c r="AB6" s="63">
        <f>股权价值增加表!AB41</f>
        <v>0.26717101211318844</v>
      </c>
      <c r="AC6" s="63">
        <f>股权价值增加表!AC41</f>
        <v>0.26466422993757682</v>
      </c>
      <c r="AD6" s="63">
        <f>股权价值增加表!AD41</f>
        <v>0.28840421041936848</v>
      </c>
      <c r="AE6" s="63">
        <f>股权价值增加表!AE41</f>
        <v>0.3010011269918953</v>
      </c>
      <c r="AF6" s="63">
        <f>股权价值增加表!AF41</f>
        <v>0.26794329321648891</v>
      </c>
      <c r="AG6" s="63">
        <f>股权价值增加表!AG41</f>
        <v>0.23567373293183577</v>
      </c>
      <c r="AH6" s="63">
        <f>股权价值增加表!AH41</f>
        <v>0.26136482589783278</v>
      </c>
      <c r="AI6" s="63">
        <f>股权价值增加表!AI41</f>
        <v>0.26617291908612811</v>
      </c>
      <c r="AJ6" s="63">
        <f>股权价值增加表!AJ41</f>
        <v>0.25762312569710527</v>
      </c>
      <c r="AK6" s="63">
        <f>股权价值增加表!AK41</f>
        <v>0.2549601588617913</v>
      </c>
      <c r="AL6" s="63">
        <f>股权价值增加表!AL41</f>
        <v>0.27115272582151534</v>
      </c>
      <c r="AM6" s="63">
        <f>股权价值增加表!AM41</f>
        <v>0.25667727792399048</v>
      </c>
      <c r="AN6" s="63">
        <f>股权价值增加表!AN41</f>
        <v>0.27290863930448656</v>
      </c>
      <c r="AO6" s="63">
        <f>股权价值增加表!AO41</f>
        <v>0.27286456255577302</v>
      </c>
      <c r="AP6" s="63">
        <f>股权价值增加表!AP41</f>
        <v>0.27076515011298352</v>
      </c>
      <c r="AQ6" s="63">
        <f>股权价值增加表!AQ41</f>
        <v>0.26659451854433808</v>
      </c>
      <c r="AR6" s="63">
        <f>股权价值增加表!AR41</f>
        <v>0.24156706473435963</v>
      </c>
      <c r="AS6" s="63">
        <f>股权价值增加表!AS41</f>
        <v>0.34458614550314476</v>
      </c>
      <c r="AT6" s="63">
        <f>股权价值增加表!AT41</f>
        <v>0.34321626730912164</v>
      </c>
      <c r="AU6" s="63">
        <f>股权价值增加表!AU41</f>
        <v>0.35727132558169084</v>
      </c>
      <c r="AV6" s="63">
        <f>股权价值增加表!AV41</f>
        <v>0.34203142698854833</v>
      </c>
      <c r="AW6" s="63">
        <f>股权价值增加表!AW41</f>
        <v>0.35584544105187665</v>
      </c>
      <c r="AX6" s="63">
        <f>股权价值增加表!AX41</f>
        <v>0.33521425312797359</v>
      </c>
      <c r="AY6" s="63">
        <f>股权价值增加表!AY41</f>
        <v>0.33624032859501846</v>
      </c>
      <c r="AZ6" s="63">
        <f>股权价值增加表!AZ41</f>
        <v>0.32075371504296435</v>
      </c>
      <c r="BA6" s="63">
        <f>股权价值增加表!BA41</f>
        <v>0.34464241940208873</v>
      </c>
      <c r="BB6" s="63">
        <f>股权价值增加表!BB41</f>
        <v>0.37743492615533691</v>
      </c>
      <c r="BC6" s="63">
        <f>股权价值增加表!BC41</f>
        <v>0.39109619458753553</v>
      </c>
      <c r="BD6" s="63">
        <f>股权价值增加表!BD41</f>
        <v>0.34360121022732504</v>
      </c>
      <c r="BE6" s="63">
        <f>股权价值增加表!BE41</f>
        <v>0.32012429390468777</v>
      </c>
      <c r="BF6" s="63">
        <f>股权价值增加表!BF41</f>
        <v>0.33040662576851654</v>
      </c>
      <c r="BG6" s="63">
        <f>股权价值增加表!BG41</f>
        <v>0.32634475659375872</v>
      </c>
      <c r="BH6" s="63">
        <f>股权价值增加表!BH41</f>
        <v>0.31667772437443376</v>
      </c>
      <c r="BI6" s="63">
        <f>股权价值增加表!BI41</f>
        <v>0.33250513842720869</v>
      </c>
      <c r="BJ6" s="63">
        <f>股权价值增加表!BJ41</f>
        <v>0.34813828563883742</v>
      </c>
      <c r="BK6" s="63">
        <f>股权价值增加表!BK41</f>
        <v>0.34999002927734485</v>
      </c>
      <c r="BL6" s="63">
        <f>股权价值增加表!BL41</f>
        <v>0.33970632632145764</v>
      </c>
      <c r="BM6" s="63">
        <f>股权价值增加表!BM41</f>
        <v>0.20332353821229318</v>
      </c>
      <c r="BN6" s="63">
        <f>股权价值增加表!BN41</f>
        <v>0.18610385889289249</v>
      </c>
      <c r="BO6" s="63">
        <f>股权价值增加表!BO41</f>
        <v>4.5971356076847811E-2</v>
      </c>
      <c r="BP6" s="63">
        <f>股权价值增加表!BP41</f>
        <v>0.35062849580093225</v>
      </c>
      <c r="BQ6" s="63" t="e">
        <f>股权价值增加表!BQ41</f>
        <v>#DIV/0!</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8.1214320301754867E-3</v>
      </c>
      <c r="F7" s="63">
        <f t="shared" ref="F7:BQ7" si="2">F5*(1-F6)</f>
        <v>0</v>
      </c>
      <c r="G7" s="63">
        <f t="shared" si="2"/>
        <v>0</v>
      </c>
      <c r="H7" s="63">
        <f t="shared" si="2"/>
        <v>0</v>
      </c>
      <c r="I7" s="63">
        <f t="shared" si="2"/>
        <v>6.0609491517808365E-4</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3.4685333138784101E-2</v>
      </c>
      <c r="V7" s="63">
        <f t="shared" si="2"/>
        <v>0</v>
      </c>
      <c r="W7" s="63">
        <f t="shared" si="2"/>
        <v>0</v>
      </c>
      <c r="X7" s="63">
        <f t="shared" si="2"/>
        <v>0</v>
      </c>
      <c r="Y7" s="63">
        <f t="shared" si="2"/>
        <v>3.6823554637838256E-2</v>
      </c>
      <c r="Z7" s="63">
        <f t="shared" si="2"/>
        <v>0</v>
      </c>
      <c r="AA7" s="63">
        <f t="shared" si="2"/>
        <v>0</v>
      </c>
      <c r="AB7" s="63">
        <f t="shared" si="2"/>
        <v>0</v>
      </c>
      <c r="AC7" s="63">
        <f t="shared" si="2"/>
        <v>3.2356345467047604E-2</v>
      </c>
      <c r="AD7" s="63">
        <f t="shared" si="2"/>
        <v>0</v>
      </c>
      <c r="AE7" s="63">
        <f t="shared" si="2"/>
        <v>0</v>
      </c>
      <c r="AF7" s="63">
        <f t="shared" si="2"/>
        <v>0</v>
      </c>
      <c r="AG7" s="63">
        <f t="shared" si="2"/>
        <v>2.3364996657703221E-2</v>
      </c>
      <c r="AH7" s="63">
        <f t="shared" si="2"/>
        <v>0</v>
      </c>
      <c r="AI7" s="63">
        <f t="shared" si="2"/>
        <v>0</v>
      </c>
      <c r="AJ7" s="63">
        <f t="shared" si="2"/>
        <v>0</v>
      </c>
      <c r="AK7" s="63">
        <f t="shared" si="2"/>
        <v>3.1137372589522518E-2</v>
      </c>
      <c r="AL7" s="63">
        <f t="shared" si="2"/>
        <v>0</v>
      </c>
      <c r="AM7" s="63">
        <f t="shared" si="2"/>
        <v>0</v>
      </c>
      <c r="AN7" s="63">
        <f t="shared" si="2"/>
        <v>0</v>
      </c>
      <c r="AO7" s="63">
        <f t="shared" si="2"/>
        <v>4.1745313139575399E-2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t="e">
        <f t="shared" si="2"/>
        <v>#DIV/0!</v>
      </c>
      <c r="BR7" s="63">
        <f>BR5*(1-BR6)</f>
        <v>0</v>
      </c>
      <c r="BS7" s="63">
        <f>BS5*(1-BS6)</f>
        <v>0</v>
      </c>
      <c r="BT7" s="63">
        <f>BT5*(1-BT6)</f>
        <v>0</v>
      </c>
      <c r="BU7" s="63">
        <f>BU5*(1-BU6)</f>
        <v>0</v>
      </c>
      <c r="BV7" s="63">
        <f>BV5*(1-BV6)</f>
        <v>0</v>
      </c>
    </row>
    <row r="8" spans="1:74" s="26" customFormat="1" x14ac:dyDescent="0.25">
      <c r="A8" s="17" t="s">
        <v>331</v>
      </c>
      <c r="E8" s="26">
        <f>资产资本表!E107</f>
        <v>15099787202.039999</v>
      </c>
      <c r="F8" s="26">
        <f>资产资本表!F107</f>
        <v>14685905337.309999</v>
      </c>
      <c r="G8" s="26">
        <f>资产资本表!G107</f>
        <v>14291459227.26</v>
      </c>
      <c r="H8" s="26">
        <f>资产资本表!H107</f>
        <v>11363719531.42</v>
      </c>
      <c r="I8" s="26">
        <f>资产资本表!I107</f>
        <v>10874475844.16</v>
      </c>
      <c r="J8" s="26">
        <f>资产资本表!J107</f>
        <v>10797248435.01</v>
      </c>
      <c r="K8" s="26">
        <f>资产资本表!K107</f>
        <v>10434593352.689999</v>
      </c>
      <c r="L8" s="26">
        <f>资产资本表!L107</f>
        <v>10490897006.99</v>
      </c>
      <c r="M8" s="26">
        <f>资产资本表!M107</f>
        <v>9772634096.4200001</v>
      </c>
      <c r="N8" s="26">
        <f>资产资本表!N107</f>
        <v>9429678065.6800003</v>
      </c>
      <c r="O8" s="26">
        <f>资产资本表!O107</f>
        <v>9163775542.4499989</v>
      </c>
      <c r="P8" s="26">
        <f>资产资本表!P107</f>
        <v>9172536118.5099983</v>
      </c>
      <c r="Q8" s="26">
        <f>资产资本表!Q107</f>
        <v>8856587611.4699993</v>
      </c>
      <c r="R8" s="26">
        <f>资产资本表!R107</f>
        <v>8399177028.7399998</v>
      </c>
      <c r="S8" s="26">
        <f>资产资本表!S107</f>
        <v>8153186246.8699999</v>
      </c>
      <c r="T8" s="26">
        <f>资产资本表!T107</f>
        <v>8285182294.9000006</v>
      </c>
      <c r="U8" s="26">
        <f>资产资本表!U107</f>
        <v>8026385121.6099997</v>
      </c>
      <c r="V8" s="26">
        <f>资产资本表!V107</f>
        <v>7793229120.5500002</v>
      </c>
      <c r="W8" s="26">
        <f>资产资本表!W107</f>
        <v>7566214703.9799995</v>
      </c>
      <c r="X8" s="26">
        <f>资产资本表!X107</f>
        <v>7709450477.6199999</v>
      </c>
      <c r="Y8" s="26">
        <f>资产资本表!Y107</f>
        <v>7472691790.1700001</v>
      </c>
      <c r="Z8" s="26">
        <f>资产资本表!Z107</f>
        <v>7281057406.8199997</v>
      </c>
      <c r="AA8" s="26">
        <f>资产资本表!AA107</f>
        <v>7087224557.1899996</v>
      </c>
      <c r="AB8" s="26">
        <f>资产资本表!AB107</f>
        <v>7275481581.46</v>
      </c>
      <c r="AC8" s="26">
        <f>资产资本表!AC107</f>
        <v>7088626454.1100006</v>
      </c>
      <c r="AD8" s="26">
        <f>资产资本表!AD107</f>
        <v>6876525680.2700005</v>
      </c>
      <c r="AE8" s="26">
        <f>资产资本表!AE107</f>
        <v>6730320670.6000004</v>
      </c>
      <c r="AF8" s="26">
        <f>资产资本表!AF107</f>
        <v>6927660764.1700001</v>
      </c>
      <c r="AG8" s="26">
        <f>资产资本表!AG107</f>
        <v>6761157945.75</v>
      </c>
      <c r="AH8" s="26">
        <f>资产资本表!AH107</f>
        <v>6555366029.1700001</v>
      </c>
      <c r="AI8" s="26">
        <f>资产资本表!AI107</f>
        <v>6378121423.6800003</v>
      </c>
      <c r="AJ8" s="26">
        <f>资产资本表!AJ107</f>
        <v>6552325387.9300003</v>
      </c>
      <c r="AK8" s="26">
        <f>资产资本表!AK107</f>
        <v>6385371580.5200005</v>
      </c>
      <c r="AL8" s="26">
        <f>资产资本表!AL107</f>
        <v>6222824583.1599998</v>
      </c>
      <c r="AM8" s="26">
        <f>资产资本表!AM107</f>
        <v>6107964289.1899996</v>
      </c>
      <c r="AN8" s="26">
        <f>资产资本表!AN107</f>
        <v>6162884893.8299999</v>
      </c>
      <c r="AO8" s="26">
        <f>资产资本表!AO107</f>
        <v>6034154522.8000002</v>
      </c>
      <c r="AP8" s="26">
        <f>资产资本表!AP107</f>
        <v>5924945056.5199995</v>
      </c>
      <c r="AQ8" s="26">
        <f>资产资本表!AQ107</f>
        <v>5799998716.6400003</v>
      </c>
      <c r="AR8" s="26">
        <f>资产资本表!AR107</f>
        <v>5880040238.9899998</v>
      </c>
      <c r="AS8" s="26">
        <f>资产资本表!AS107</f>
        <v>5736093150.3200006</v>
      </c>
      <c r="AT8" s="26">
        <f>资产资本表!AT107</f>
        <v>4518023282.8900003</v>
      </c>
      <c r="AU8" s="26">
        <f>资产资本表!AU107</f>
        <v>4416501478.1599998</v>
      </c>
      <c r="AV8" s="26">
        <f>资产资本表!AV107</f>
        <v>4328331244.3100004</v>
      </c>
      <c r="AW8" s="26">
        <f>资产资本表!AW107</f>
        <v>4357819632.54</v>
      </c>
      <c r="AX8" s="26">
        <f>资产资本表!AX107</f>
        <v>4300928485.4499998</v>
      </c>
      <c r="AY8" s="26">
        <f>资产资本表!AY107</f>
        <v>4204568309.0300002</v>
      </c>
      <c r="AZ8" s="26">
        <f>资产资本表!AZ107</f>
        <v>4249838571.6999998</v>
      </c>
      <c r="BA8" s="26">
        <f>资产资本表!BA107</f>
        <v>4153097839.3100004</v>
      </c>
      <c r="BB8" s="26">
        <f>资产资本表!BB107</f>
        <v>4078963343.8699999</v>
      </c>
      <c r="BC8" s="26">
        <f>资产资本表!BC107</f>
        <v>4012837470.4900002</v>
      </c>
      <c r="BD8" s="26">
        <f>资产资本表!BD107</f>
        <v>4199258452.6199999</v>
      </c>
      <c r="BE8" s="26">
        <f>资产资本表!BE107</f>
        <v>4124933808.21</v>
      </c>
      <c r="BF8" s="26">
        <f>资产资本表!BF107</f>
        <v>4082735527.8299999</v>
      </c>
      <c r="BG8" s="26">
        <f>资产资本表!BG107</f>
        <v>4114857579.9400001</v>
      </c>
      <c r="BH8" s="26">
        <f>资产资本表!BH107</f>
        <v>4017536059.8299999</v>
      </c>
      <c r="BI8" s="26">
        <f>资产资本表!BI107</f>
        <v>3890300021.6999998</v>
      </c>
      <c r="BJ8" s="26">
        <f>资产资本表!BJ107</f>
        <v>3788581547.3299999</v>
      </c>
      <c r="BK8" s="26">
        <f>资产资本表!BK107</f>
        <v>3673927484.8599997</v>
      </c>
      <c r="BL8" s="26">
        <f>资产资本表!BL107</f>
        <v>1371837731.03</v>
      </c>
      <c r="BM8" s="26">
        <f>资产资本表!BM107</f>
        <v>1433330529.6000001</v>
      </c>
      <c r="BN8" s="26">
        <f>资产资本表!BN107</f>
        <v>1129696762.5599999</v>
      </c>
      <c r="BO8" s="26">
        <f>资产资本表!BO107</f>
        <v>972486180.52999997</v>
      </c>
      <c r="BP8" s="26">
        <f>资产资本表!BP107</f>
        <v>0</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0.10322254987006875</v>
      </c>
      <c r="F9" s="63">
        <f>股东权益回报率分析表!F14</f>
        <v>7.8552102031409735E-2</v>
      </c>
      <c r="G9" s="63">
        <f>股东权益回报率分析表!G14</f>
        <v>5.4531445351183781E-2</v>
      </c>
      <c r="H9" s="63">
        <f>股东权益回报率分析表!H14</f>
        <v>3.6716412432247242E-2</v>
      </c>
      <c r="I9" s="63">
        <f>股东权益回报率分析表!I14</f>
        <v>0.12640231082017522</v>
      </c>
      <c r="J9" s="63">
        <f>股东权益回报率分析表!J14</f>
        <v>9.6798124709356267E-2</v>
      </c>
      <c r="K9" s="63">
        <f>股东权益回报率分析表!K14</f>
        <v>6.54139450066865E-2</v>
      </c>
      <c r="L9" s="63">
        <f>股东权益回报率分析表!L14</f>
        <v>3.140746147354815E-2</v>
      </c>
      <c r="M9" s="63">
        <f>股东权益回报率分析表!M14</f>
        <v>0.13001428941614121</v>
      </c>
      <c r="N9" s="63">
        <f>股东权益回报率分析表!N14</f>
        <v>9.8726118675067059E-2</v>
      </c>
      <c r="O9" s="63">
        <f>股东权益回报率分析表!O14</f>
        <v>7.2574125093879546E-2</v>
      </c>
      <c r="P9" s="63">
        <f>股东权益回报率分析表!P14</f>
        <v>3.478029444836056E-2</v>
      </c>
      <c r="Q9" s="63">
        <f>股东权益回报率分析表!Q14</f>
        <v>0.13839366208297038</v>
      </c>
      <c r="R9" s="63">
        <f>股东权益回报率分析表!R14</f>
        <v>9.5150447376615141E-2</v>
      </c>
      <c r="S9" s="63">
        <f>股东权益回报率分析表!S14</f>
        <v>6.7911446303899031E-2</v>
      </c>
      <c r="T9" s="63">
        <f>股东权益回报率分析表!T14</f>
        <v>3.140434438360664E-2</v>
      </c>
      <c r="U9" s="63">
        <f>股东权益回报率分析表!U14</f>
        <v>0.1163333600983133</v>
      </c>
      <c r="V9" s="63">
        <f>股东权益回报率分析表!V14</f>
        <v>9.0754059327603276E-2</v>
      </c>
      <c r="W9" s="63">
        <f>股东权益回报率分析表!W14</f>
        <v>6.2601020446967789E-2</v>
      </c>
      <c r="X9" s="63">
        <f>股东权益回报率分析表!X14</f>
        <v>3.0710189803708314E-2</v>
      </c>
      <c r="Y9" s="63">
        <f>股东权益回报率分析表!Y14</f>
        <v>0.10583592440951019</v>
      </c>
      <c r="Z9" s="63">
        <f>股东权益回报率分析表!Z14</f>
        <v>8.3561929036585728E-2</v>
      </c>
      <c r="AA9" s="63">
        <f>股东权益回报率分析表!AA14</f>
        <v>5.7473323925762591E-2</v>
      </c>
      <c r="AB9" s="63">
        <f>股东权益回报率分析表!AB14</f>
        <v>2.609433493636891E-2</v>
      </c>
      <c r="AC9" s="63">
        <f>股东权益回报率分析表!AC14</f>
        <v>9.6655173580594986E-2</v>
      </c>
      <c r="AD9" s="63">
        <f>股东权益回报率分析表!AD14</f>
        <v>7.5045713403012776E-2</v>
      </c>
      <c r="AE9" s="63">
        <f>股东权益回报率分析表!AE14</f>
        <v>4.7376579557772247E-2</v>
      </c>
      <c r="AF9" s="63">
        <f>股东权益回报率分析表!AF14</f>
        <v>2.4100183095498773E-2</v>
      </c>
      <c r="AG9" s="63">
        <f>股东权益回报率分析表!AG14</f>
        <v>0.10167450864568495</v>
      </c>
      <c r="AH9" s="63">
        <f>股东权益回报率分析表!AH14</f>
        <v>7.3982780145597143E-2</v>
      </c>
      <c r="AI9" s="63">
        <f>股东权益回报率分析表!AI14</f>
        <v>4.5865808716638361E-2</v>
      </c>
      <c r="AJ9" s="63">
        <f>股东权益回报率分析表!AJ14</f>
        <v>2.5480084935577924E-2</v>
      </c>
      <c r="AK9" s="63">
        <f>股东权益回报率分析表!AK14</f>
        <v>8.7337550196974492E-2</v>
      </c>
      <c r="AL9" s="63">
        <f>股东权益回报率分析表!AL14</f>
        <v>6.4322538598177964E-2</v>
      </c>
      <c r="AM9" s="63">
        <f>股东权益回报率分析表!AM14</f>
        <v>4.4091575136847146E-2</v>
      </c>
      <c r="AN9" s="63">
        <f>股东权益回报率分析表!AN14</f>
        <v>2.0888005089772014E-2</v>
      </c>
      <c r="AO9" s="63">
        <f>股东权益回报率分析表!AO14</f>
        <v>8.2777167756092507E-2</v>
      </c>
      <c r="AP9" s="63">
        <f>股东权益回报率分析表!AP14</f>
        <v>6.8266802919109026E-2</v>
      </c>
      <c r="AQ9" s="63">
        <f>股东权益回报率分析表!AQ14</f>
        <v>4.6713346537938009E-2</v>
      </c>
      <c r="AR9" s="63">
        <f>股东权益回报率分析表!AR14</f>
        <v>2.4480629862955735E-2</v>
      </c>
      <c r="AS9" s="63">
        <f>股东权益回报率分析表!AS14</f>
        <v>6.8398011306373699E-2</v>
      </c>
      <c r="AT9" s="63">
        <f>股东权益回报率分析表!AT14</f>
        <v>7.4873610656476117E-2</v>
      </c>
      <c r="AU9" s="63">
        <f>股东权益回报率分析表!AU14</f>
        <v>4.466256517187428E-2</v>
      </c>
      <c r="AV9" s="63">
        <f>股东权益回报率分析表!AV14</f>
        <v>2.338508275055453E-2</v>
      </c>
      <c r="AW9" s="63">
        <f>股东权益回报率分析表!AW14</f>
        <v>6.9547870817532789E-2</v>
      </c>
      <c r="AX9" s="63">
        <f>股东权益回报率分析表!AX14</f>
        <v>5.6331398864134082E-2</v>
      </c>
      <c r="AY9" s="63">
        <f>股东权益回报率分析表!AY14</f>
        <v>3.4106864493559333E-2</v>
      </c>
      <c r="AZ9" s="63">
        <f>股东权益回报率分析表!AZ14</f>
        <v>1.923384405805853E-2</v>
      </c>
      <c r="BA9" s="63">
        <f>股东权益回报率分析表!BA14</f>
        <v>6.2809846016856311E-2</v>
      </c>
      <c r="BB9" s="63">
        <f>股东权益回报率分析表!BB14</f>
        <v>4.8177519147194175E-2</v>
      </c>
      <c r="BC9" s="63">
        <f>股东权益回报率分析表!BC14</f>
        <v>3.2535919939477999E-2</v>
      </c>
      <c r="BD9" s="63">
        <f>股东权益回报率分析表!BD14</f>
        <v>1.4722752871147141E-2</v>
      </c>
      <c r="BE9" s="63">
        <f>股东权益回报率分析表!BE14</f>
        <v>7.2772229477365183E-2</v>
      </c>
      <c r="BF9" s="63">
        <f>股东权益回报率分析表!BF14</f>
        <v>6.8028789449318658E-2</v>
      </c>
      <c r="BG9" s="63">
        <f>股东权益回报率分析表!BG14</f>
        <v>5.696272086126921E-2</v>
      </c>
      <c r="BH9" s="63">
        <f>股东权益回报率分析表!BH14</f>
        <v>3.1670167043972713E-2</v>
      </c>
      <c r="BI9" s="63">
        <f>股东权益回报率分析表!BI14</f>
        <v>7.6934135228781661E-2</v>
      </c>
      <c r="BJ9" s="63">
        <f>股东权益回报率分析表!BJ14</f>
        <v>5.2800379028657057E-2</v>
      </c>
      <c r="BK9" s="63">
        <f>股东权益回报率分析表!BK14</f>
        <v>2.3676442662099721E-2</v>
      </c>
      <c r="BL9" s="63">
        <f>股东权益回报率分析表!BL14</f>
        <v>5.1550626681555745E-2</v>
      </c>
      <c r="BM9" s="63">
        <f>股东权益回报率分析表!BM14</f>
        <v>0.19742699580882497</v>
      </c>
      <c r="BN9" s="63">
        <f>股东权益回报率分析表!BN14</f>
        <v>0.11936387763423206</v>
      </c>
      <c r="BO9" s="63">
        <f>股东权益回报率分析表!BO14</f>
        <v>0.29591582952177753</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18163051996.049995</v>
      </c>
      <c r="F10" s="26">
        <f>资产资本表!F70</f>
        <v>16937757252.429996</v>
      </c>
      <c r="G10" s="26">
        <f>资产资本表!G70</f>
        <v>15708170373.790003</v>
      </c>
      <c r="H10" s="26">
        <f>资产资本表!H70</f>
        <v>15157569326.209999</v>
      </c>
      <c r="I10" s="26">
        <f>资产资本表!I70</f>
        <v>14721118540.57</v>
      </c>
      <c r="J10" s="26">
        <f>资产资本表!J70</f>
        <v>14097734343.560001</v>
      </c>
      <c r="K10" s="26">
        <f>资产资本表!K70</f>
        <v>13875119592.209999</v>
      </c>
      <c r="L10" s="26">
        <f>资产资本表!L70</f>
        <v>13559205246.51</v>
      </c>
      <c r="M10" s="26">
        <f>资产资本表!M70</f>
        <v>9778971802.9400024</v>
      </c>
      <c r="N10" s="26">
        <f>资产资本表!N70</f>
        <v>9435835772.2000008</v>
      </c>
      <c r="O10" s="26">
        <f>资产资本表!O70</f>
        <v>9375434226.3600025</v>
      </c>
      <c r="P10" s="26">
        <f>资产资本表!P70</f>
        <v>9179923825.0300007</v>
      </c>
      <c r="Q10" s="26">
        <f>资产资本表!Q70</f>
        <v>8862745317.9900017</v>
      </c>
      <c r="R10" s="26">
        <f>资产资本表!R70</f>
        <v>8405379132.1499996</v>
      </c>
      <c r="S10" s="26">
        <f>资产资本表!S70</f>
        <v>8584888350.2799988</v>
      </c>
      <c r="T10" s="26">
        <f>资产资本表!T70</f>
        <v>8291384398.3100004</v>
      </c>
      <c r="U10" s="26">
        <f>资产资本表!U70</f>
        <v>8031803680.2399998</v>
      </c>
      <c r="V10" s="26">
        <f>资产资本表!V70</f>
        <v>7801387777.5299988</v>
      </c>
      <c r="W10" s="26">
        <f>资产资本表!W70</f>
        <v>8653347987.6300011</v>
      </c>
      <c r="X10" s="26">
        <f>资产资本表!X70</f>
        <v>8433861344.7200012</v>
      </c>
      <c r="Y10" s="26">
        <f>资产资本表!Y70</f>
        <v>8370823897.2700005</v>
      </c>
      <c r="Z10" s="26">
        <f>资产资本表!Z70</f>
        <v>8187249401.5799999</v>
      </c>
      <c r="AA10" s="26">
        <f>资产资本表!AA70</f>
        <v>8639317229.7499981</v>
      </c>
      <c r="AB10" s="26">
        <f>资产资本表!AB70</f>
        <v>8461036656.79</v>
      </c>
      <c r="AC10" s="26">
        <f>资产资本表!AC70</f>
        <v>8723286774.4099998</v>
      </c>
      <c r="AD10" s="26">
        <f>资产资本表!AD70</f>
        <v>9525184989.9300003</v>
      </c>
      <c r="AE10" s="26">
        <f>资产资本表!AE70</f>
        <v>8706706872.9000015</v>
      </c>
      <c r="AF10" s="26">
        <f>资产资本表!AF70</f>
        <v>8541306828.8399992</v>
      </c>
      <c r="AG10" s="26">
        <f>资产资本表!AG70</f>
        <v>8546779764.5999994</v>
      </c>
      <c r="AH10" s="26">
        <f>资产资本表!AH70</f>
        <v>8105241526.4499989</v>
      </c>
      <c r="AI10" s="26">
        <f>资产资本表!AI70</f>
        <v>8457715582.1199989</v>
      </c>
      <c r="AJ10" s="26">
        <f>资产资本表!AJ70</f>
        <v>8337611988.5699987</v>
      </c>
      <c r="AK10" s="26">
        <f>资产资本表!AK70</f>
        <v>8155036263.3399982</v>
      </c>
      <c r="AL10" s="26">
        <f>资产资本表!AL70</f>
        <v>7905732219.7200003</v>
      </c>
      <c r="AM10" s="26">
        <f>资产资本表!AM70</f>
        <v>7864017035.4000006</v>
      </c>
      <c r="AN10" s="26">
        <f>资产资本表!AN70</f>
        <v>7702969648.7299995</v>
      </c>
      <c r="AO10" s="26">
        <f>资产资本表!AO70</f>
        <v>7555881069.9299994</v>
      </c>
      <c r="AP10" s="26">
        <f>资产资本表!AP70</f>
        <v>7578402183.1399994</v>
      </c>
      <c r="AQ10" s="26">
        <f>资产资本表!AQ70</f>
        <v>7532602239.7700005</v>
      </c>
      <c r="AR10" s="26">
        <f>资产资本表!AR70</f>
        <v>7346025444.8900003</v>
      </c>
      <c r="AS10" s="26">
        <f>资产资本表!AS70</f>
        <v>7369873991.2200003</v>
      </c>
      <c r="AT10" s="26">
        <f>资产资本表!AT70</f>
        <v>4968490950.539999</v>
      </c>
      <c r="AU10" s="26">
        <f>资产资本表!AU70</f>
        <v>5268494435.6499996</v>
      </c>
      <c r="AV10" s="26">
        <f>资产资本表!AV70</f>
        <v>5198227177</v>
      </c>
      <c r="AW10" s="26">
        <f>资产资本表!AW70</f>
        <v>6654816410.0100002</v>
      </c>
      <c r="AX10" s="26">
        <f>资产资本表!AX70</f>
        <v>6093223535.3899994</v>
      </c>
      <c r="AY10" s="26">
        <f>资产资本表!AY70</f>
        <v>7140817653.4900007</v>
      </c>
      <c r="AZ10" s="26">
        <f>资产资本表!AZ70</f>
        <v>7176341378.4200001</v>
      </c>
      <c r="BA10" s="26">
        <f>资产资本表!BA70</f>
        <v>7109572301.4099998</v>
      </c>
      <c r="BB10" s="26">
        <f>资产资本表!BB70</f>
        <v>6351603943.0899992</v>
      </c>
      <c r="BC10" s="26">
        <f>资产资本表!BC70</f>
        <v>6377877740.5799999</v>
      </c>
      <c r="BD10" s="26">
        <f>资产资本表!BD70</f>
        <v>4219220042.1600008</v>
      </c>
      <c r="BE10" s="26">
        <f>资产资本表!BE70</f>
        <v>4162699323.1899996</v>
      </c>
      <c r="BF10" s="26">
        <f>资产资本表!BF70</f>
        <v>4168081784.5500011</v>
      </c>
      <c r="BG10" s="26">
        <f>资产资本表!BG70</f>
        <v>4157180406.4700003</v>
      </c>
      <c r="BH10" s="26">
        <f>资产资本表!BH70</f>
        <v>4074047400.8400002</v>
      </c>
      <c r="BI10" s="26">
        <f>资产资本表!BI70</f>
        <v>3926602961.8099999</v>
      </c>
      <c r="BJ10" s="26">
        <f>资产资本表!BJ70</f>
        <v>3831959136.8899999</v>
      </c>
      <c r="BK10" s="26">
        <f>资产资本表!BK70</f>
        <v>3706861225.7400007</v>
      </c>
      <c r="BL10" s="26">
        <f>资产资本表!BL70</f>
        <v>1566853139.71</v>
      </c>
      <c r="BM10" s="26">
        <f>资产资本表!BM70</f>
        <v>1484191370.3299999</v>
      </c>
      <c r="BN10" s="26">
        <f>资产资本表!BN70</f>
        <v>1347559757.98</v>
      </c>
      <c r="BO10" s="26">
        <f>资产资本表!BO70</f>
        <v>1072957190.49</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0.16863144135336366</v>
      </c>
      <c r="F11" s="63">
        <f t="shared" ref="F11:BQ11" si="3">F4/F10</f>
        <v>0.13251065628231268</v>
      </c>
      <c r="G11" s="63">
        <f t="shared" si="3"/>
        <v>5.6044721834627664E-2</v>
      </c>
      <c r="H11" s="63">
        <f t="shared" si="3"/>
        <v>0.2497453329383211</v>
      </c>
      <c r="I11" s="63">
        <f t="shared" si="3"/>
        <v>0.26073596846271857</v>
      </c>
      <c r="J11" s="63">
        <f t="shared" si="3"/>
        <v>0.2174747275522706</v>
      </c>
      <c r="K11" s="63">
        <f t="shared" si="3"/>
        <v>0.22096894463679781</v>
      </c>
      <c r="L11" s="63">
        <f t="shared" si="3"/>
        <v>0.22611727437263693</v>
      </c>
      <c r="M11" s="63">
        <f t="shared" si="3"/>
        <v>0</v>
      </c>
      <c r="N11" s="63">
        <f t="shared" si="3"/>
        <v>0</v>
      </c>
      <c r="O11" s="63">
        <f t="shared" si="3"/>
        <v>0</v>
      </c>
      <c r="P11" s="63">
        <f t="shared" si="3"/>
        <v>0</v>
      </c>
      <c r="Q11" s="63">
        <f t="shared" si="3"/>
        <v>0</v>
      </c>
      <c r="R11" s="63">
        <f t="shared" si="3"/>
        <v>0</v>
      </c>
      <c r="S11" s="63">
        <f t="shared" si="3"/>
        <v>0</v>
      </c>
      <c r="T11" s="63">
        <f t="shared" si="3"/>
        <v>0</v>
      </c>
      <c r="U11" s="63">
        <f t="shared" si="3"/>
        <v>0</v>
      </c>
      <c r="V11" s="63">
        <f t="shared" si="3"/>
        <v>4.6018714264408261E-4</v>
      </c>
      <c r="W11" s="63">
        <f t="shared" si="3"/>
        <v>8.1247711986740176E-2</v>
      </c>
      <c r="X11" s="63">
        <f t="shared" si="3"/>
        <v>8.430840978849484E-2</v>
      </c>
      <c r="Y11" s="63">
        <f t="shared" si="3"/>
        <v>0.10554238019965163</v>
      </c>
      <c r="Z11" s="63">
        <f t="shared" si="3"/>
        <v>0.10880016246214458</v>
      </c>
      <c r="AA11" s="63">
        <f t="shared" si="3"/>
        <v>0.13128059922425378</v>
      </c>
      <c r="AB11" s="63">
        <f t="shared" si="3"/>
        <v>0.13867942155862978</v>
      </c>
      <c r="AC11" s="63">
        <f t="shared" si="3"/>
        <v>0.18602101983053887</v>
      </c>
      <c r="AD11" s="63">
        <f t="shared" si="3"/>
        <v>0.27684660799426419</v>
      </c>
      <c r="AE11" s="63">
        <f t="shared" si="3"/>
        <v>0.18590185690389327</v>
      </c>
      <c r="AF11" s="63">
        <f t="shared" si="3"/>
        <v>0.18792143206474518</v>
      </c>
      <c r="AG11" s="63">
        <f t="shared" si="3"/>
        <v>0.20778883842844822</v>
      </c>
      <c r="AH11" s="63">
        <f t="shared" si="3"/>
        <v>0.16632171865092368</v>
      </c>
      <c r="AI11" s="63">
        <f t="shared" si="3"/>
        <v>0.20957169367661668</v>
      </c>
      <c r="AJ11" s="63">
        <f t="shared" si="3"/>
        <v>0.21315338538376979</v>
      </c>
      <c r="AK11" s="63">
        <f t="shared" si="3"/>
        <v>0.21556842260318801</v>
      </c>
      <c r="AL11" s="63">
        <f t="shared" si="3"/>
        <v>0.19532565268631008</v>
      </c>
      <c r="AM11" s="63">
        <f t="shared" si="3"/>
        <v>0.19705347773972343</v>
      </c>
      <c r="AN11" s="63">
        <f t="shared" si="3"/>
        <v>0.19851615471081541</v>
      </c>
      <c r="AO11" s="63">
        <f t="shared" si="3"/>
        <v>0.1996068615680279</v>
      </c>
      <c r="AP11" s="63">
        <f t="shared" si="3"/>
        <v>0.19904397620462549</v>
      </c>
      <c r="AQ11" s="63">
        <f t="shared" si="3"/>
        <v>0.2010835876548619</v>
      </c>
      <c r="AR11" s="63">
        <f t="shared" si="3"/>
        <v>0.19807505111926388</v>
      </c>
      <c r="AS11" s="63">
        <f t="shared" si="3"/>
        <v>0.22020186538513037</v>
      </c>
      <c r="AT11" s="63">
        <f t="shared" si="3"/>
        <v>7.9336640735384309E-2</v>
      </c>
      <c r="AU11" s="63">
        <f t="shared" si="3"/>
        <v>0.1291587175769783</v>
      </c>
      <c r="AV11" s="63">
        <f t="shared" si="3"/>
        <v>0.13453460660478556</v>
      </c>
      <c r="AW11" s="63">
        <f t="shared" si="3"/>
        <v>0.34009202667043958</v>
      </c>
      <c r="AX11" s="63">
        <f t="shared" si="3"/>
        <v>0.28911461884965056</v>
      </c>
      <c r="AY11" s="63">
        <f t="shared" si="3"/>
        <v>0.39280655747162296</v>
      </c>
      <c r="AZ11" s="63">
        <f t="shared" si="3"/>
        <v>0.40456826771515958</v>
      </c>
      <c r="BA11" s="63">
        <f t="shared" si="3"/>
        <v>0.41184271959500318</v>
      </c>
      <c r="BB11" s="63">
        <f t="shared" si="3"/>
        <v>0.33062514898848816</v>
      </c>
      <c r="BC11" s="63">
        <f t="shared" si="3"/>
        <v>0.32926313194097501</v>
      </c>
      <c r="BD11" s="63">
        <f t="shared" si="3"/>
        <v>0</v>
      </c>
      <c r="BE11" s="63">
        <f t="shared" si="3"/>
        <v>0</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0.83134636212701596</v>
      </c>
      <c r="F12" s="63">
        <f t="shared" ref="F12:BQ12" si="4">F8/F10</f>
        <v>0.86705135269328926</v>
      </c>
      <c r="G12" s="63">
        <f t="shared" si="4"/>
        <v>0.90981055636537611</v>
      </c>
      <c r="H12" s="63">
        <f t="shared" si="4"/>
        <v>0.74970592493152632</v>
      </c>
      <c r="I12" s="63">
        <f t="shared" si="4"/>
        <v>0.73869902033537604</v>
      </c>
      <c r="J12" s="63">
        <f t="shared" si="4"/>
        <v>0.76588536653354522</v>
      </c>
      <c r="K12" s="63">
        <f t="shared" si="4"/>
        <v>0.75203628216281193</v>
      </c>
      <c r="L12" s="63">
        <f t="shared" si="4"/>
        <v>0.77371031828655656</v>
      </c>
      <c r="M12" s="63">
        <f t="shared" si="4"/>
        <v>0.99935190461249745</v>
      </c>
      <c r="N12" s="63">
        <f t="shared" si="4"/>
        <v>0.9993474127073998</v>
      </c>
      <c r="O12" s="63">
        <f t="shared" si="4"/>
        <v>0.97742411937412954</v>
      </c>
      <c r="P12" s="63">
        <f t="shared" si="4"/>
        <v>0.99919523226327223</v>
      </c>
      <c r="Q12" s="63">
        <f t="shared" si="4"/>
        <v>0.99930521454706556</v>
      </c>
      <c r="R12" s="63">
        <f t="shared" si="4"/>
        <v>0.99926212686989013</v>
      </c>
      <c r="S12" s="63">
        <f t="shared" si="4"/>
        <v>0.94971371952718309</v>
      </c>
      <c r="T12" s="63">
        <f t="shared" si="4"/>
        <v>0.99925198216461131</v>
      </c>
      <c r="U12" s="63">
        <f t="shared" si="4"/>
        <v>0.99932536216698986</v>
      </c>
      <c r="V12" s="63">
        <f t="shared" si="4"/>
        <v>0.99895420440405513</v>
      </c>
      <c r="W12" s="63">
        <f t="shared" si="4"/>
        <v>0.87436847735650258</v>
      </c>
      <c r="X12" s="63">
        <f t="shared" si="4"/>
        <v>0.9141068559831711</v>
      </c>
      <c r="Y12" s="63">
        <f t="shared" si="4"/>
        <v>0.89270684485515095</v>
      </c>
      <c r="Z12" s="63">
        <f t="shared" si="4"/>
        <v>0.88931667397537439</v>
      </c>
      <c r="AA12" s="63">
        <f t="shared" si="4"/>
        <v>0.82034544729816428</v>
      </c>
      <c r="AB12" s="63">
        <f t="shared" si="4"/>
        <v>0.85988063597637421</v>
      </c>
      <c r="AC12" s="63">
        <f t="shared" si="4"/>
        <v>0.81260958597677657</v>
      </c>
      <c r="AD12" s="63">
        <f t="shared" si="4"/>
        <v>0.72193093231678385</v>
      </c>
      <c r="AE12" s="63">
        <f t="shared" si="4"/>
        <v>0.77300416435844554</v>
      </c>
      <c r="AF12" s="63">
        <f t="shared" si="4"/>
        <v>0.81107737995999973</v>
      </c>
      <c r="AG12" s="63">
        <f t="shared" si="4"/>
        <v>0.7910766548301752</v>
      </c>
      <c r="AH12" s="63">
        <f t="shared" si="4"/>
        <v>0.80878108416359229</v>
      </c>
      <c r="AI12" s="63">
        <f t="shared" si="4"/>
        <v>0.75411869336959536</v>
      </c>
      <c r="AJ12" s="63">
        <f t="shared" si="4"/>
        <v>0.78587554768830192</v>
      </c>
      <c r="AK12" s="63">
        <f t="shared" si="4"/>
        <v>0.78299732512836073</v>
      </c>
      <c r="AL12" s="63">
        <f t="shared" si="4"/>
        <v>0.78712817614007113</v>
      </c>
      <c r="AM12" s="63">
        <f t="shared" si="4"/>
        <v>0.77669774387503221</v>
      </c>
      <c r="AN12" s="63">
        <f t="shared" si="4"/>
        <v>0.80006610111024967</v>
      </c>
      <c r="AO12" s="63">
        <f t="shared" si="4"/>
        <v>0.79860369253481422</v>
      </c>
      <c r="AP12" s="63">
        <f t="shared" si="4"/>
        <v>0.78181982340571499</v>
      </c>
      <c r="AQ12" s="63">
        <f t="shared" si="4"/>
        <v>0.76998605953433386</v>
      </c>
      <c r="AR12" s="63">
        <f t="shared" si="4"/>
        <v>0.80043831635244866</v>
      </c>
      <c r="AS12" s="63">
        <f t="shared" si="4"/>
        <v>0.77831631275563429</v>
      </c>
      <c r="AT12" s="63">
        <f t="shared" si="4"/>
        <v>0.90933511359197716</v>
      </c>
      <c r="AU12" s="63">
        <f t="shared" si="4"/>
        <v>0.83828530752070818</v>
      </c>
      <c r="AV12" s="63">
        <f t="shared" si="4"/>
        <v>0.83265526821549307</v>
      </c>
      <c r="AW12" s="63">
        <f t="shared" si="4"/>
        <v>0.65483694275699056</v>
      </c>
      <c r="AX12" s="63">
        <f t="shared" si="4"/>
        <v>0.70585437420272112</v>
      </c>
      <c r="AY12" s="63">
        <f t="shared" si="4"/>
        <v>0.58880768464589783</v>
      </c>
      <c r="AZ12" s="63">
        <f t="shared" si="4"/>
        <v>0.59220128302141584</v>
      </c>
      <c r="BA12" s="63">
        <f t="shared" si="4"/>
        <v>0.58415579211232449</v>
      </c>
      <c r="BB12" s="63">
        <f t="shared" si="4"/>
        <v>0.64219422061219078</v>
      </c>
      <c r="BC12" s="63">
        <f t="shared" si="4"/>
        <v>0.62918068262077964</v>
      </c>
      <c r="BD12" s="63">
        <f t="shared" si="4"/>
        <v>0.99526889108874683</v>
      </c>
      <c r="BE12" s="63">
        <f t="shared" si="4"/>
        <v>0.99092763804255291</v>
      </c>
      <c r="BF12" s="63">
        <f t="shared" si="4"/>
        <v>0.9795238526661455</v>
      </c>
      <c r="BG12" s="63">
        <f t="shared" si="4"/>
        <v>0.98981934330679244</v>
      </c>
      <c r="BH12" s="63">
        <f t="shared" si="4"/>
        <v>0.98612894366463466</v>
      </c>
      <c r="BI12" s="63">
        <f t="shared" si="4"/>
        <v>0.99075461907835316</v>
      </c>
      <c r="BJ12" s="63">
        <f t="shared" si="4"/>
        <v>0.98868004902703499</v>
      </c>
      <c r="BK12" s="63">
        <f t="shared" si="4"/>
        <v>0.99111546430405506</v>
      </c>
      <c r="BL12" s="63">
        <f t="shared" si="4"/>
        <v>0.87553689383033406</v>
      </c>
      <c r="BM12" s="63">
        <f t="shared" si="4"/>
        <v>0.96573161537875585</v>
      </c>
      <c r="BN12" s="63">
        <f t="shared" si="4"/>
        <v>0.83832776681712584</v>
      </c>
      <c r="BO12" s="63">
        <f t="shared" si="4"/>
        <v>0.906360653667723</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8.7183220113057999E-2</v>
      </c>
      <c r="F13" s="63">
        <f t="shared" ref="F13:J13" si="5">F5*F11*(1-F6)+F9*F12</f>
        <v>6.8108706323235083E-2</v>
      </c>
      <c r="G13" s="63">
        <f t="shared" si="5"/>
        <v>4.9613284634368621E-2</v>
      </c>
      <c r="H13" s="63">
        <f t="shared" si="5"/>
        <v>2.7526511942685312E-2</v>
      </c>
      <c r="I13" s="63">
        <f t="shared" si="5"/>
        <v>9.3531293915680422E-2</v>
      </c>
      <c r="J13" s="63">
        <f t="shared" si="5"/>
        <v>7.4136267222785143E-2</v>
      </c>
      <c r="K13" s="63">
        <f t="shared" ref="K13" si="6">K5*K11*(1-K6)+K9*K12</f>
        <v>4.919366000443115E-2</v>
      </c>
      <c r="L13" s="63">
        <f t="shared" ref="L13" si="7">L5*L11*(1-L6)+L9*L12</f>
        <v>2.4300277013271702E-2</v>
      </c>
      <c r="M13" s="63">
        <f t="shared" ref="M13" si="8">M5*M11*(1-M6)+M9*M12</f>
        <v>0.12993002775486118</v>
      </c>
      <c r="N13" s="63">
        <f t="shared" ref="N13:O13" si="9">N5*N11*(1-N6)+N9*N12</f>
        <v>9.8661691264571971E-2</v>
      </c>
      <c r="O13" s="63">
        <f t="shared" si="9"/>
        <v>7.093570030923313E-2</v>
      </c>
      <c r="P13" s="63">
        <f t="shared" ref="P13" si="10">P5*P11*(1-P6)+P9*P12</f>
        <v>3.4752304389514627E-2</v>
      </c>
      <c r="Q13" s="63">
        <f t="shared" ref="Q13" si="11">Q5*Q11*(1-Q6)+Q9*Q12</f>
        <v>0.13829750817977682</v>
      </c>
      <c r="R13" s="63">
        <f t="shared" ref="R13" si="12">R5*R11*(1-R6)+R9*R12</f>
        <v>9.5080238418178004E-2</v>
      </c>
      <c r="S13" s="63">
        <f t="shared" ref="S13:T13" si="13">S5*S11*(1-S6)+S9*S12</f>
        <v>6.4496432267746526E-2</v>
      </c>
      <c r="T13" s="63">
        <f t="shared" si="13"/>
        <v>3.1380853373899016E-2</v>
      </c>
      <c r="U13" s="63">
        <f t="shared" ref="U13" si="14">U5*U11*(1-U6)+U9*U12</f>
        <v>0.11625487721234978</v>
      </c>
      <c r="V13" s="63">
        <f t="shared" ref="V13" si="15">V5*V11*(1-V6)+V9*V12</f>
        <v>9.0659149132044356E-2</v>
      </c>
      <c r="W13" s="63">
        <f t="shared" ref="W13" si="16">W5*W11*(1-W6)+W9*W12</f>
        <v>5.4736358929178511E-2</v>
      </c>
      <c r="X13" s="63">
        <f t="shared" ref="X13:Y13" si="17">X5*X11*(1-X6)+X9*X12</f>
        <v>2.8072395048114245E-2</v>
      </c>
      <c r="Y13" s="63">
        <f t="shared" si="17"/>
        <v>9.8366899755831461E-2</v>
      </c>
      <c r="Z13" s="63">
        <f t="shared" ref="Z13" si="18">Z5*Z11*(1-Z6)+Z9*Z12</f>
        <v>7.4313016801782678E-2</v>
      </c>
      <c r="AA13" s="63">
        <f t="shared" ref="AA13" si="19">AA5*AA11*(1-AA6)+AA9*AA12</f>
        <v>4.7147979623591997E-2</v>
      </c>
      <c r="AB13" s="63">
        <f t="shared" ref="AB13" si="20">AB5*AB11*(1-AB6)+AB9*AB12</f>
        <v>2.2438013320465418E-2</v>
      </c>
      <c r="AC13" s="63">
        <f t="shared" ref="AC13:AD13" si="21">AC5*AC11*(1-AC6)+AC9*AC12</f>
        <v>8.4561880967610192E-2</v>
      </c>
      <c r="AD13" s="63">
        <f t="shared" si="21"/>
        <v>5.4177821843415172E-2</v>
      </c>
      <c r="AE13" s="63">
        <f t="shared" ref="AE13" si="22">AE5*AE11*(1-AE6)+AE9*AE12</f>
        <v>3.6622293291217148E-2</v>
      </c>
      <c r="AF13" s="63">
        <f t="shared" ref="AF13" si="23">AF5*AF11*(1-AF6)+AF9*AF12</f>
        <v>1.954711336165342E-2</v>
      </c>
      <c r="AG13" s="63">
        <f t="shared" ref="AG13" si="24">AG5*AG11*(1-AG6)+AG9*AG12</f>
        <v>8.5287315696318894E-2</v>
      </c>
      <c r="AH13" s="63">
        <f t="shared" ref="AH13:AI13" si="25">AH5*AH11*(1-AH6)+AH9*AH12</f>
        <v>5.983587313559275E-2</v>
      </c>
      <c r="AI13" s="63">
        <f t="shared" si="25"/>
        <v>3.4588263739731118E-2</v>
      </c>
      <c r="AJ13" s="63">
        <f t="shared" ref="AJ13" si="26">AJ5*AJ11*(1-AJ6)+AJ9*AJ12</f>
        <v>2.0024175703891752E-2</v>
      </c>
      <c r="AK13" s="63">
        <f t="shared" ref="AK13" si="27">AK5*AK11*(1-AK6)+AK9*AK12</f>
        <v>7.5097302480626071E-2</v>
      </c>
      <c r="AL13" s="63">
        <f t="shared" ref="AL13" si="28">AL5*AL11*(1-AL6)+AL9*AL12</f>
        <v>5.0630082491483146E-2</v>
      </c>
      <c r="AM13" s="63">
        <f t="shared" ref="AM13:AN13" si="29">AM5*AM11*(1-AM6)+AM9*AM12</f>
        <v>3.4245826932685644E-2</v>
      </c>
      <c r="AN13" s="63">
        <f t="shared" si="29"/>
        <v>1.6711784792144947E-2</v>
      </c>
      <c r="AO13" s="63">
        <f t="shared" ref="AO13" si="30">AO5*AO11*(1-AO6)+AO9*AO12</f>
        <v>7.4438802768554441E-2</v>
      </c>
      <c r="AP13" s="63">
        <f t="shared" ref="AP13" si="31">AP5*AP11*(1-AP6)+AP9*AP12</f>
        <v>5.3372339802690565E-2</v>
      </c>
      <c r="AQ13" s="63">
        <f t="shared" ref="AQ13" si="32">AQ5*AQ11*(1-AQ6)+AQ9*AQ12</f>
        <v>3.5968625628408704E-2</v>
      </c>
      <c r="AR13" s="63">
        <f t="shared" ref="AR13:AS13" si="33">AR5*AR11*(1-AR6)+AR9*AR12</f>
        <v>1.9595234150751765E-2</v>
      </c>
      <c r="AS13" s="63">
        <f t="shared" si="33"/>
        <v>5.3235287959794965E-2</v>
      </c>
      <c r="AT13" s="63">
        <f t="shared" ref="AT13" si="34">AT5*AT11*(1-AT6)+AT9*AT12</f>
        <v>6.8085203251348175E-2</v>
      </c>
      <c r="AU13" s="63">
        <f t="shared" ref="AU13" si="35">AU5*AU11*(1-AU6)+AU9*AU12</f>
        <v>3.7439972179768299E-2</v>
      </c>
      <c r="AV13" s="63">
        <f t="shared" ref="AV13" si="36">AV5*AV11*(1-AV6)+AV9*AV12</f>
        <v>1.9471712349904483E-2</v>
      </c>
      <c r="AW13" s="63">
        <f t="shared" ref="AW13:AX13" si="37">AW5*AW11*(1-AW6)+AW9*AW12</f>
        <v>4.5542515101411295E-2</v>
      </c>
      <c r="AX13" s="63">
        <f t="shared" si="37"/>
        <v>3.9761764293207234E-2</v>
      </c>
      <c r="AY13" s="63">
        <f t="shared" ref="AY13" si="38">AY5*AY11*(1-AY6)+AY9*AY12</f>
        <v>2.0082383912984055E-2</v>
      </c>
      <c r="AZ13" s="63">
        <f t="shared" ref="AZ13" si="39">AZ5*AZ11*(1-AZ6)+AZ9*AZ12</f>
        <v>1.1390307128616097E-2</v>
      </c>
      <c r="BA13" s="63">
        <f t="shared" ref="BA13" si="40">BA5*BA11*(1-BA6)+BA9*BA12</f>
        <v>3.669073535242983E-2</v>
      </c>
      <c r="BB13" s="63">
        <f t="shared" ref="BB13:BC13" si="41">BB5*BB11*(1-BB6)+BB9*BB12</f>
        <v>3.0939324359761263E-2</v>
      </c>
      <c r="BC13" s="63">
        <f t="shared" si="41"/>
        <v>2.0470972317215803E-2</v>
      </c>
      <c r="BD13" s="63">
        <f t="shared" ref="BD13" si="42">BD5*BD11*(1-BD6)+BD9*BD12</f>
        <v>1.4653097923840279E-2</v>
      </c>
      <c r="BE13" s="63">
        <f t="shared" ref="BE13" si="43">BE5*BE11*(1-BE6)+BE9*BE12</f>
        <v>7.2112013471096123E-2</v>
      </c>
      <c r="BF13" s="63">
        <f t="shared" ref="BF13" si="44">BF5*BF11*(1-BF6)+BF9*BF12</f>
        <v>6.6635821933610645E-2</v>
      </c>
      <c r="BG13" s="63">
        <f t="shared" ref="BG13:BH13" si="45">BG5*BG11*(1-BG6)+BG9*BG12</f>
        <v>5.6382802955869615E-2</v>
      </c>
      <c r="BH13" s="63">
        <f t="shared" si="45"/>
        <v>3.1230868372755335E-2</v>
      </c>
      <c r="BI13" s="63">
        <f t="shared" ref="BI13" si="46">BI5*BI11*(1-BI6)+BI9*BI12</f>
        <v>7.6222849842714088E-2</v>
      </c>
      <c r="BJ13" s="63">
        <f t="shared" ref="BJ13" si="47">BJ5*BJ11*(1-BJ6)+BJ9*BJ12</f>
        <v>5.220268132669869E-2</v>
      </c>
      <c r="BK13" s="63">
        <f t="shared" ref="BK13" si="48">BK5*BK11*(1-BK6)+BK9*BK12</f>
        <v>2.3466088462115304E-2</v>
      </c>
      <c r="BL13" s="63">
        <f t="shared" ref="BL13:BM13" si="49">BL5*BL11*(1-BL6)+BL9*BL12</f>
        <v>4.5134475559776462E-2</v>
      </c>
      <c r="BM13" s="63">
        <f t="shared" si="49"/>
        <v>0.1906614915818314</v>
      </c>
      <c r="BN13" s="63">
        <f t="shared" ref="BN13" si="50">BN5*BN11*(1-BN6)+BN9*BN12</f>
        <v>0.10006605297573844</v>
      </c>
      <c r="BO13" s="63">
        <f t="shared" ref="BO13" si="51">BO5*BO11*(1-BO6)+BO9*BO12</f>
        <v>0.26820646467598475</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80" t="s">
        <v>669</v>
      </c>
      <c r="B14" s="279"/>
      <c r="C14" s="279"/>
      <c r="D14" s="279"/>
      <c r="E14" s="279"/>
      <c r="F14" s="279"/>
      <c r="G14" s="279"/>
      <c r="H14" s="279"/>
      <c r="I14" s="279"/>
      <c r="J14" s="279"/>
      <c r="K14" s="279"/>
      <c r="L14" s="279"/>
      <c r="M14" s="279"/>
      <c r="N14" s="279"/>
      <c r="O14" s="279"/>
      <c r="P14" s="279"/>
      <c r="Q14" s="279"/>
      <c r="R14" s="279"/>
      <c r="S14" s="279"/>
      <c r="T14" s="279"/>
      <c r="U14" s="279"/>
      <c r="V14" s="279"/>
      <c r="W14" s="279"/>
      <c r="X14" s="279"/>
      <c r="Y14" s="279"/>
      <c r="Z14" s="279"/>
      <c r="AA14" s="279"/>
      <c r="AB14" s="279"/>
      <c r="AC14" s="279"/>
      <c r="AD14" s="279"/>
      <c r="AE14" s="279"/>
      <c r="AF14" s="279"/>
      <c r="AG14" s="279"/>
    </row>
    <row r="16" spans="1:74" s="45" customFormat="1" x14ac:dyDescent="0.25">
      <c r="A16" s="46" t="s">
        <v>334</v>
      </c>
      <c r="E16" s="45">
        <f>(股东权益回报率分析表!E14+股东权益回报率分析表!I14+股东权益回报率分析表!M14)/3</f>
        <v>0.11987971670212838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7" width="21.44140625" bestFit="1" customWidth="1"/>
    <col min="68" max="68" width="9.5546875" hidden="1" customWidth="1"/>
    <col min="69" max="90" width="8.5546875" bestFit="1" customWidth="1"/>
  </cols>
  <sheetData>
    <row r="1" spans="1:90"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37256</v>
      </c>
      <c r="BO1" s="1">
        <v>36891</v>
      </c>
      <c r="BP1" s="1">
        <v>25569</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x14ac:dyDescent="0.25">
      <c r="A2" s="41" t="s">
        <v>553</v>
      </c>
      <c r="E2" s="26">
        <f>资产资本表!E17</f>
        <v>3011437530.1999998</v>
      </c>
      <c r="F2" s="26">
        <f>资产资本表!F17</f>
        <v>1180652859.0199997</v>
      </c>
      <c r="G2" s="26">
        <f>资产资本表!G17</f>
        <v>1493889252.21</v>
      </c>
      <c r="H2" s="26">
        <f>资产资本表!H17</f>
        <v>813929129.69000006</v>
      </c>
      <c r="I2" s="26">
        <f>资产资本表!I17</f>
        <v>1170610445.5599999</v>
      </c>
      <c r="J2" s="26">
        <f>资产资本表!J17</f>
        <v>2605949119.7399998</v>
      </c>
      <c r="K2" s="26">
        <f>资产资本表!K17</f>
        <v>3244056293.1599998</v>
      </c>
      <c r="L2" s="26">
        <f>资产资本表!L17</f>
        <v>2884980245.04</v>
      </c>
      <c r="M2" s="26">
        <f>资产资本表!M17</f>
        <v>1528127586.9300003</v>
      </c>
      <c r="N2" s="26">
        <f>资产资本表!N17</f>
        <v>1944821223.79</v>
      </c>
      <c r="O2" s="26">
        <f>资产资本表!O17</f>
        <v>2509907999.2999997</v>
      </c>
      <c r="P2" s="26">
        <f>资产资本表!P17</f>
        <v>3565980717.3600001</v>
      </c>
      <c r="Q2" s="26">
        <f>资产资本表!Q17</f>
        <v>3357835137.5600004</v>
      </c>
      <c r="R2" s="26">
        <f>资产资本表!R17</f>
        <v>2544307916.3599997</v>
      </c>
      <c r="S2" s="26">
        <f>资产资本表!S17</f>
        <v>2650928704.8899999</v>
      </c>
      <c r="T2" s="26">
        <f>资产资本表!T17</f>
        <v>1944355391.6099999</v>
      </c>
      <c r="U2" s="26">
        <f>资产资本表!U17</f>
        <v>1855396028.55</v>
      </c>
      <c r="V2" s="26">
        <f>资产资本表!V17</f>
        <v>1339938790.28</v>
      </c>
      <c r="W2" s="26">
        <f>资产资本表!W17</f>
        <v>1919067633.49</v>
      </c>
      <c r="X2" s="26">
        <f>资产资本表!X17</f>
        <v>1323925160.4300001</v>
      </c>
      <c r="Y2" s="26">
        <f>资产资本表!Y17</f>
        <v>1297891950.8099999</v>
      </c>
      <c r="Z2" s="26">
        <f>资产资本表!Z17</f>
        <v>955099867.87</v>
      </c>
      <c r="AA2" s="26">
        <f>资产资本表!AA17</f>
        <v>1285801049.8</v>
      </c>
      <c r="AB2" s="26">
        <f>资产资本表!AB17</f>
        <v>736981925.47000003</v>
      </c>
      <c r="AC2" s="26">
        <f>资产资本表!AC17</f>
        <v>990977105.09000003</v>
      </c>
      <c r="AD2" s="26">
        <f>资产资本表!AD17</f>
        <v>2127294429.4100001</v>
      </c>
      <c r="AE2" s="26">
        <f>资产资本表!AE17</f>
        <v>1269011644.8699999</v>
      </c>
      <c r="AF2" s="26">
        <f>资产资本表!AF17</f>
        <v>950980607.22000003</v>
      </c>
      <c r="AG2" s="26">
        <f>资产资本表!AG17</f>
        <v>1116611175.47</v>
      </c>
      <c r="AH2" s="26">
        <f>资产资本表!AH17</f>
        <v>966764613.48000002</v>
      </c>
      <c r="AI2" s="26">
        <f>资产资本表!AI17</f>
        <v>748395614.03999996</v>
      </c>
      <c r="AJ2" s="26">
        <f>资产资本表!AJ17</f>
        <v>1353080287.71</v>
      </c>
      <c r="AK2" s="26">
        <f>资产资本表!AK17</f>
        <v>1157096238.6500001</v>
      </c>
      <c r="AL2" s="26">
        <f>资产资本表!AL17</f>
        <v>795704976.13999999</v>
      </c>
      <c r="AM2" s="26">
        <f>资产资本表!AM17</f>
        <v>987589575.78999996</v>
      </c>
      <c r="AN2" s="26">
        <f>资产资本表!AN17</f>
        <v>678418073.44000006</v>
      </c>
      <c r="AO2" s="26">
        <f>资产资本表!AO17</f>
        <v>560744939.38999999</v>
      </c>
      <c r="AP2" s="26">
        <f>资产资本表!AP17</f>
        <v>634816597.60000002</v>
      </c>
      <c r="AQ2" s="26">
        <f>资产资本表!AQ17</f>
        <v>584527936.80999994</v>
      </c>
      <c r="AR2" s="26">
        <f>资产资本表!AR17</f>
        <v>417065471.07999998</v>
      </c>
      <c r="AS2" s="26">
        <f>资产资本表!AS17</f>
        <v>555649909.46000004</v>
      </c>
      <c r="AT2" s="26">
        <f>资产资本表!AT17</f>
        <v>524216565.25999999</v>
      </c>
      <c r="AU2" s="26">
        <f>资产资本表!AU17</f>
        <v>469982296.10999995</v>
      </c>
      <c r="AV2" s="26">
        <f>资产资本表!AV17</f>
        <v>560071595.25999999</v>
      </c>
      <c r="AW2" s="26">
        <f>资产资本表!AW17</f>
        <v>483154127.57999998</v>
      </c>
      <c r="AX2" s="26">
        <f>资产资本表!AX17</f>
        <v>484368658.55000001</v>
      </c>
      <c r="AY2" s="26">
        <f>资产资本表!AY17</f>
        <v>417219445.72000003</v>
      </c>
      <c r="AZ2" s="26">
        <f>资产资本表!AZ17</f>
        <v>509947858.29000002</v>
      </c>
      <c r="BA2" s="26">
        <f>资产资本表!BA17</f>
        <v>375604503.80000001</v>
      </c>
      <c r="BB2" s="26">
        <f>资产资本表!BB17</f>
        <v>593098637.54999995</v>
      </c>
      <c r="BC2" s="26">
        <f>资产资本表!BC17</f>
        <v>500049319.87</v>
      </c>
      <c r="BD2" s="26">
        <f>资产资本表!BD17</f>
        <v>1049840141.4</v>
      </c>
      <c r="BE2" s="26">
        <f>资产资本表!BE17</f>
        <v>1018152193.03</v>
      </c>
      <c r="BF2" s="26">
        <f>资产资本表!BF17</f>
        <v>1064764938.53</v>
      </c>
      <c r="BG2" s="26">
        <f>资产资本表!BG17</f>
        <v>1114295564.6700001</v>
      </c>
      <c r="BH2" s="26">
        <f>资产资本表!BH17</f>
        <v>1088642828.8099999</v>
      </c>
      <c r="BI2" s="26">
        <f>资产资本表!BI17</f>
        <v>947158565.73000002</v>
      </c>
      <c r="BJ2" s="26">
        <f>资产资本表!BJ17</f>
        <v>863301615.00999999</v>
      </c>
      <c r="BK2" s="26">
        <f>资产资本表!BK17</f>
        <v>797269155.94000006</v>
      </c>
      <c r="BL2" s="26">
        <f>资产资本表!BL17</f>
        <v>1049445262.8200001</v>
      </c>
      <c r="BM2" s="26">
        <f>资产资本表!BM17</f>
        <v>934224940.50999999</v>
      </c>
      <c r="BN2" s="26">
        <f>资产资本表!BN17</f>
        <v>823708768.09000003</v>
      </c>
      <c r="BO2" s="26">
        <f>资产资本表!BO17</f>
        <v>390586106.44</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199363756.19</v>
      </c>
      <c r="F3" s="26">
        <f>资产资本表!F19</f>
        <v>182388942.75999999</v>
      </c>
      <c r="G3" s="26">
        <f>资产资本表!G19</f>
        <v>135981855.31</v>
      </c>
      <c r="H3" s="26">
        <f>资产资本表!H19</f>
        <v>126030121.05</v>
      </c>
      <c r="I3" s="26">
        <f>资产资本表!I19</f>
        <v>117159760.76000001</v>
      </c>
      <c r="J3" s="26">
        <f>资产资本表!J19</f>
        <v>105806328.04000001</v>
      </c>
      <c r="K3" s="26">
        <f>资产资本表!K19</f>
        <v>113224597.06</v>
      </c>
      <c r="L3" s="26">
        <f>资产资本表!L19</f>
        <v>101700344.11</v>
      </c>
      <c r="M3" s="26">
        <f>资产资本表!M19</f>
        <v>100618863.61</v>
      </c>
      <c r="N3" s="26">
        <f>资产资本表!N19</f>
        <v>92431767.959999993</v>
      </c>
      <c r="O3" s="26">
        <f>资产资本表!O19</f>
        <v>91776405.010000005</v>
      </c>
      <c r="P3" s="26">
        <f>资产资本表!P19</f>
        <v>90424122.680000007</v>
      </c>
      <c r="Q3" s="26">
        <f>资产资本表!Q19</f>
        <v>90686742.560000002</v>
      </c>
      <c r="R3" s="26">
        <f>资产资本表!R19</f>
        <v>89927265.230000004</v>
      </c>
      <c r="S3" s="26">
        <f>资产资本表!S19</f>
        <v>89600938.909999996</v>
      </c>
      <c r="T3" s="26">
        <f>资产资本表!T19</f>
        <v>88396907.709999993</v>
      </c>
      <c r="U3" s="26">
        <f>资产资本表!U19</f>
        <v>88396907.709999993</v>
      </c>
      <c r="V3" s="26">
        <f>资产资本表!V19</f>
        <v>84900000</v>
      </c>
      <c r="W3" s="26">
        <f>资产资本表!W19</f>
        <v>84900000</v>
      </c>
      <c r="X3" s="26">
        <f>资产资本表!X19</f>
        <v>71400000</v>
      </c>
      <c r="Y3" s="26">
        <f>资产资本表!Y19</f>
        <v>71400000</v>
      </c>
      <c r="Z3" s="26">
        <f>资产资本表!Z19</f>
        <v>71400000</v>
      </c>
      <c r="AA3" s="26">
        <f>资产资本表!AA19</f>
        <v>71400000</v>
      </c>
      <c r="AB3" s="26">
        <f>资产资本表!AB19</f>
        <v>71400000</v>
      </c>
      <c r="AC3" s="26">
        <f>资产资本表!AC19</f>
        <v>71400000</v>
      </c>
      <c r="AD3" s="26">
        <f>资产资本表!AD19</f>
        <v>71400000</v>
      </c>
      <c r="AE3" s="26">
        <f>资产资本表!AE19</f>
        <v>71400000</v>
      </c>
      <c r="AF3" s="26">
        <f>资产资本表!AF19</f>
        <v>71400000</v>
      </c>
      <c r="AG3" s="26">
        <f>资产资本表!AG19</f>
        <v>71400000</v>
      </c>
      <c r="AH3" s="26">
        <f>资产资本表!AH19</f>
        <v>149400000</v>
      </c>
      <c r="AI3" s="26">
        <f>资产资本表!AI19</f>
        <v>149400000</v>
      </c>
      <c r="AJ3" s="26">
        <f>资产资本表!AJ19</f>
        <v>149400000</v>
      </c>
      <c r="AK3" s="26">
        <f>资产资本表!AK19</f>
        <v>149400000</v>
      </c>
      <c r="AL3" s="26">
        <f>资产资本表!AL19</f>
        <v>149400000</v>
      </c>
      <c r="AM3" s="26">
        <f>资产资本表!AM19</f>
        <v>149400000</v>
      </c>
      <c r="AN3" s="26">
        <f>资产资本表!AN19</f>
        <v>149400000</v>
      </c>
      <c r="AO3" s="26">
        <f>资产资本表!AO19</f>
        <v>149400000</v>
      </c>
      <c r="AP3" s="26">
        <f>资产资本表!AP19</f>
        <v>149400000</v>
      </c>
      <c r="AQ3" s="26">
        <f>资产资本表!AQ19</f>
        <v>149400000</v>
      </c>
      <c r="AR3" s="26">
        <f>资产资本表!AR19</f>
        <v>149565157.53999999</v>
      </c>
      <c r="AS3" s="26">
        <f>资产资本表!AS19</f>
        <v>150225787.72</v>
      </c>
      <c r="AT3" s="26">
        <f>资产资本表!AT19</f>
        <v>150302311.50999999</v>
      </c>
      <c r="AU3" s="26">
        <f>资产资本表!AU19</f>
        <v>150302311.50999999</v>
      </c>
      <c r="AV3" s="26">
        <f>资产资本表!AV19</f>
        <v>152863688.18000001</v>
      </c>
      <c r="AW3" s="26">
        <f>资产资本表!AW19</f>
        <v>161841545.03</v>
      </c>
      <c r="AX3" s="26">
        <f>资产资本表!AX19</f>
        <v>159235799.11000001</v>
      </c>
      <c r="AY3" s="26">
        <f>资产资本表!AY19</f>
        <v>161370819.78999999</v>
      </c>
      <c r="AZ3" s="26">
        <f>资产资本表!AZ19</f>
        <v>162987834.63</v>
      </c>
      <c r="BA3" s="26">
        <f>资产资本表!BA19</f>
        <v>178443266.62</v>
      </c>
      <c r="BB3" s="26">
        <f>资产资本表!BB19</f>
        <v>164438763.06</v>
      </c>
      <c r="BC3" s="26">
        <f>资产资本表!BC19</f>
        <v>164785381.40000001</v>
      </c>
      <c r="BD3" s="26">
        <f>资产资本表!BD19</f>
        <v>166665316.06999999</v>
      </c>
      <c r="BE3" s="26">
        <f>资产资本表!BE19</f>
        <v>166178896.41999999</v>
      </c>
      <c r="BF3" s="26">
        <f>资产资本表!BF19</f>
        <v>174069628.75</v>
      </c>
      <c r="BG3" s="26">
        <f>资产资本表!BG19</f>
        <v>121467921.09</v>
      </c>
      <c r="BH3" s="26">
        <f>资产资本表!BH19</f>
        <v>106672040.59</v>
      </c>
      <c r="BI3" s="26">
        <f>资产资本表!BI19</f>
        <v>107118691.08</v>
      </c>
      <c r="BJ3" s="26">
        <f>资产资本表!BJ19</f>
        <v>102198220.47</v>
      </c>
      <c r="BK3" s="26">
        <f>资产资本表!BK19</f>
        <v>102625599.48999999</v>
      </c>
      <c r="BL3" s="26">
        <f>资产资本表!BL19</f>
        <v>103052978.54000001</v>
      </c>
      <c r="BM3" s="26">
        <f>资产资本表!BM19</f>
        <v>103480357.58</v>
      </c>
      <c r="BN3" s="26">
        <f>资产资本表!BN19</f>
        <v>98086814.290000007</v>
      </c>
      <c r="BO3" s="26">
        <f>资产资本表!BO19</f>
        <v>21796330.390000001</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-3056356317.8100004</v>
      </c>
      <c r="F4" s="26">
        <f>资产资本表!F50</f>
        <v>-1843789960.8500004</v>
      </c>
      <c r="G4" s="26">
        <f>资产资本表!G50</f>
        <v>-2563885843.0799994</v>
      </c>
      <c r="H4" s="26">
        <f>资产资本表!H50</f>
        <v>-1843114663.0799999</v>
      </c>
      <c r="I4" s="26">
        <f>资产资本表!I50</f>
        <v>-1907505687.26</v>
      </c>
      <c r="J4" s="26">
        <f>资产资本表!J50</f>
        <v>-1637706442.7599998</v>
      </c>
      <c r="K4" s="26">
        <f>资产资本表!K50</f>
        <v>-1766059397.0599999</v>
      </c>
      <c r="L4" s="26">
        <f>资产资本表!L50</f>
        <v>-1311664691.8699999</v>
      </c>
      <c r="M4" s="26">
        <f>资产资本表!M50</f>
        <v>-1651290155.6500001</v>
      </c>
      <c r="N4" s="26">
        <f>资产资本表!N50</f>
        <v>-1196877369.9399998</v>
      </c>
      <c r="O4" s="26">
        <f>资产资本表!O50</f>
        <v>-1451531910.6899998</v>
      </c>
      <c r="P4" s="26">
        <f>资产资本表!P50</f>
        <v>-1066419450.74</v>
      </c>
      <c r="Q4" s="26">
        <f>资产资本表!Q50</f>
        <v>-1314697724.9399998</v>
      </c>
      <c r="R4" s="26">
        <f>资产资本表!R50</f>
        <v>-1064838870.54</v>
      </c>
      <c r="S4" s="26">
        <f>资产资本表!S50</f>
        <v>-1110978059.8299999</v>
      </c>
      <c r="T4" s="26">
        <f>资产资本表!T50</f>
        <v>-857653224.3599999</v>
      </c>
      <c r="U4" s="26">
        <f>资产资本表!U50</f>
        <v>-1173724521.79</v>
      </c>
      <c r="V4" s="26">
        <f>资产资本表!V50</f>
        <v>-1148829884.0000002</v>
      </c>
      <c r="W4" s="26">
        <f>资产资本表!W50</f>
        <v>-998187118.05999982</v>
      </c>
      <c r="X4" s="26">
        <f>资产资本表!X50</f>
        <v>-746399459.63999987</v>
      </c>
      <c r="Y4" s="26">
        <f>资产资本表!Y50</f>
        <v>-959428425.03999996</v>
      </c>
      <c r="Z4" s="26">
        <f>资产资本表!Z50</f>
        <v>-1033392695.1999998</v>
      </c>
      <c r="AA4" s="26">
        <f>资产资本表!AA50</f>
        <v>-1054380518.9800001</v>
      </c>
      <c r="AB4" s="26">
        <f>资产资本表!AB50</f>
        <v>-828335351.69000006</v>
      </c>
      <c r="AC4" s="26">
        <f>资产资本表!AC50</f>
        <v>-975340563.35000002</v>
      </c>
      <c r="AD4" s="26">
        <f>资产资本表!AD50</f>
        <v>-1312875850.6899998</v>
      </c>
      <c r="AE4" s="26">
        <f>资产资本表!AE50</f>
        <v>-1387654665.6599998</v>
      </c>
      <c r="AF4" s="26">
        <f>资产资本表!AF50</f>
        <v>-1366453297.2700002</v>
      </c>
      <c r="AG4" s="26">
        <f>资产资本表!AG50</f>
        <v>-1670160948.8600001</v>
      </c>
      <c r="AH4" s="26">
        <f>资产资本表!AH50</f>
        <v>-1557889973.1600001</v>
      </c>
      <c r="AI4" s="26">
        <f>资产资本表!AI50</f>
        <v>-1094935659.3000002</v>
      </c>
      <c r="AJ4" s="26">
        <f>资产资本表!AJ50</f>
        <v>-1935377590.23</v>
      </c>
      <c r="AK4" s="26">
        <f>资产资本表!AK50</f>
        <v>-2023623644.25</v>
      </c>
      <c r="AL4" s="26">
        <f>资产资本表!AL50</f>
        <v>-76586599.579999924</v>
      </c>
      <c r="AM4" s="26">
        <f>资产资本表!AM50</f>
        <v>-303585216.32000017</v>
      </c>
      <c r="AN4" s="26">
        <f>资产资本表!AN50</f>
        <v>-258969261.82999992</v>
      </c>
      <c r="AO4" s="26">
        <f>资产资本表!AO50</f>
        <v>-401545210.75999987</v>
      </c>
      <c r="AP4" s="26">
        <f>资产资本表!AP50</f>
        <v>-545710214.23000026</v>
      </c>
      <c r="AQ4" s="26">
        <f>资产资本表!AQ50</f>
        <v>-630897949.3499999</v>
      </c>
      <c r="AR4" s="26">
        <f>资产资本表!AR50</f>
        <v>-737612910.92000008</v>
      </c>
      <c r="AS4" s="26">
        <f>资产资本表!AS50</f>
        <v>-976242145.91000009</v>
      </c>
      <c r="AT4" s="26">
        <f>资产资本表!AT50</f>
        <v>-1417885050.8600004</v>
      </c>
      <c r="AU4" s="26">
        <f>资产资本表!AU50</f>
        <v>-1077580947.28</v>
      </c>
      <c r="AV4" s="26">
        <f>资产资本表!AV50</f>
        <v>-1333918496.3499999</v>
      </c>
      <c r="AW4" s="26">
        <f>资产资本表!AW50</f>
        <v>99418420.100000024</v>
      </c>
      <c r="AX4" s="26">
        <f>资产资本表!AX50</f>
        <v>-550544170.1500001</v>
      </c>
      <c r="AY4" s="26">
        <f>资产资本表!AY50</f>
        <v>476145313.38000011</v>
      </c>
      <c r="AZ4" s="26">
        <f>资产资本表!AZ50</f>
        <v>337069986.41999996</v>
      </c>
      <c r="BA4" s="26">
        <f>资产资本表!BA50</f>
        <v>321878662.73999989</v>
      </c>
      <c r="BB4" s="26">
        <f>资产资本表!BB50</f>
        <v>-591714010.57000017</v>
      </c>
      <c r="BC4" s="26">
        <f>资产资本表!BC50</f>
        <v>-545427242.92999995</v>
      </c>
      <c r="BD4" s="26">
        <f>资产资本表!BD50</f>
        <v>-2867695510</v>
      </c>
      <c r="BE4" s="26">
        <f>资产资本表!BE50</f>
        <v>-2953251908.6500001</v>
      </c>
      <c r="BF4" s="26">
        <f>资产资本表!BF50</f>
        <v>-2230839794.52</v>
      </c>
      <c r="BG4" s="26">
        <f>资产资本表!BG50</f>
        <v>139812950.54999995</v>
      </c>
      <c r="BH4" s="26">
        <f>资产资本表!BH50</f>
        <v>89247939.5</v>
      </c>
      <c r="BI4" s="26">
        <f>资产资本表!BI50</f>
        <v>75408847.150000036</v>
      </c>
      <c r="BJ4" s="26">
        <f>资产资本表!BJ50</f>
        <v>66701192.799999952</v>
      </c>
      <c r="BK4" s="26">
        <f>资产资本表!BK50</f>
        <v>-19874.680000007153</v>
      </c>
      <c r="BL4" s="26">
        <f>资产资本表!BL50</f>
        <v>98136749.879999876</v>
      </c>
      <c r="BM4" s="26">
        <f>资产资本表!BM50</f>
        <v>120597558.45999998</v>
      </c>
      <c r="BN4" s="26">
        <f>资产资本表!BN50</f>
        <v>82555644.789999992</v>
      </c>
      <c r="BO4" s="26">
        <f>资产资本表!BO50</f>
        <v>300560985.86000001</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1275603738.3699999</v>
      </c>
      <c r="F5" s="26">
        <f>资产资本表!F33</f>
        <v>1365420647.1100001</v>
      </c>
      <c r="G5" s="26">
        <f>资产资本表!G33</f>
        <v>1077172355.6300001</v>
      </c>
      <c r="H5" s="26">
        <f>资产资本表!H33</f>
        <v>1582184933.1300001</v>
      </c>
      <c r="I5" s="26">
        <f>资产资本表!I33</f>
        <v>1091819344.49</v>
      </c>
      <c r="J5" s="26">
        <f>资产资本表!J33</f>
        <v>1187023351.71</v>
      </c>
      <c r="K5" s="26">
        <f>资产资本表!K33</f>
        <v>946988415.34000015</v>
      </c>
      <c r="L5" s="26">
        <f>资产资本表!L33</f>
        <v>1243603640.6399999</v>
      </c>
      <c r="M5" s="26">
        <f>资产资本表!M33</f>
        <v>867918911.01999998</v>
      </c>
      <c r="N5" s="26">
        <f>资产资本表!N33</f>
        <v>1062918878.01</v>
      </c>
      <c r="O5" s="26">
        <f>资产资本表!O33</f>
        <v>925422155.87000012</v>
      </c>
      <c r="P5" s="26">
        <f>资产资本表!P33</f>
        <v>1283052064.1400001</v>
      </c>
      <c r="Q5" s="26">
        <f>资产资本表!Q33</f>
        <v>862988211.91000009</v>
      </c>
      <c r="R5" s="26">
        <f>资产资本表!R33</f>
        <v>1043051634.1000001</v>
      </c>
      <c r="S5" s="26">
        <f>资产资本表!S33</f>
        <v>858482258.50999999</v>
      </c>
      <c r="T5" s="26">
        <f>资产资本表!T33</f>
        <v>1085392360.1500001</v>
      </c>
      <c r="U5" s="26">
        <f>资产资本表!U33</f>
        <v>734642152.9799999</v>
      </c>
      <c r="V5" s="26">
        <f>资产资本表!V33</f>
        <v>1040047809.8199999</v>
      </c>
      <c r="W5" s="26">
        <f>资产资本表!W33</f>
        <v>937003313.35000002</v>
      </c>
      <c r="X5" s="26">
        <f>资产资本表!X33</f>
        <v>1148125786.5500002</v>
      </c>
      <c r="Y5" s="26">
        <f>资产资本表!Y33</f>
        <v>799994863.41000009</v>
      </c>
      <c r="Z5" s="26">
        <f>资产资本表!Z33</f>
        <v>1135984044.6700001</v>
      </c>
      <c r="AA5" s="26">
        <f>资产资本表!AA33</f>
        <v>983361380.10000002</v>
      </c>
      <c r="AB5" s="26">
        <f>资产资本表!AB33</f>
        <v>1177217964.72</v>
      </c>
      <c r="AC5" s="26">
        <f>资产资本表!AC33</f>
        <v>928657512.46999991</v>
      </c>
      <c r="AD5" s="26">
        <f>资产资本表!AD33</f>
        <v>1204295990.8199999</v>
      </c>
      <c r="AE5" s="26">
        <f>资产资本表!AE33</f>
        <v>1126012292.2600002</v>
      </c>
      <c r="AF5" s="26">
        <f>资产资本表!AF33</f>
        <v>1314361924.45</v>
      </c>
      <c r="AG5" s="26">
        <f>资产资本表!AG33</f>
        <v>1049506972.04</v>
      </c>
      <c r="AH5" s="26">
        <f>资产资本表!AH33</f>
        <v>821091453.47000003</v>
      </c>
      <c r="AI5" s="26">
        <f>资产资本表!AI33</f>
        <v>1131910900.0799999</v>
      </c>
      <c r="AJ5" s="26">
        <f>资产资本表!AJ33</f>
        <v>1167867590.5799999</v>
      </c>
      <c r="AK5" s="26">
        <f>资产资本表!AK33</f>
        <v>1052696011.65</v>
      </c>
      <c r="AL5" s="26">
        <f>资产资本表!AL33</f>
        <v>1217256816.02</v>
      </c>
      <c r="AM5" s="26">
        <f>资产资本表!AM33</f>
        <v>1375446818.3699999</v>
      </c>
      <c r="AN5" s="26">
        <f>资产资本表!AN33</f>
        <v>1334936470.3400002</v>
      </c>
      <c r="AO5" s="26">
        <f>资产资本表!AO33</f>
        <v>1063647378.8100001</v>
      </c>
      <c r="AP5" s="26">
        <f>资产资本表!AP33</f>
        <v>1239266439.03</v>
      </c>
      <c r="AQ5" s="26">
        <f>资产资本表!AQ33</f>
        <v>1194380932.8099999</v>
      </c>
      <c r="AR5" s="26">
        <f>资产资本表!AR33</f>
        <v>1035995181.79</v>
      </c>
      <c r="AS5" s="26">
        <f>资产资本表!AS33</f>
        <v>765109239.81999993</v>
      </c>
      <c r="AT5" s="26">
        <f>资产资本表!AT33</f>
        <v>1002116559.8599999</v>
      </c>
      <c r="AU5" s="26">
        <f>资产资本表!AU33</f>
        <v>1233346852.28</v>
      </c>
      <c r="AV5" s="26">
        <f>资产资本表!AV33</f>
        <v>1212021397.23</v>
      </c>
      <c r="AW5" s="26">
        <f>资产资本表!AW33</f>
        <v>945579011.37</v>
      </c>
      <c r="AX5" s="26">
        <f>资产资本表!AX33</f>
        <v>1353682513.4400001</v>
      </c>
      <c r="AY5" s="26">
        <f>资产资本表!AY33</f>
        <v>1258329177.3200002</v>
      </c>
      <c r="AZ5" s="26">
        <f>资产资本表!AZ33</f>
        <v>1199410451.78</v>
      </c>
      <c r="BA5" s="26">
        <f>资产资本表!BA33</f>
        <v>1057329699.5599999</v>
      </c>
      <c r="BB5" s="26">
        <f>资产资本表!BB33</f>
        <v>1026066782.77</v>
      </c>
      <c r="BC5" s="26">
        <f>资产资本表!BC33</f>
        <v>980799933.83000004</v>
      </c>
      <c r="BD5" s="26">
        <f>资产资本表!BD33</f>
        <v>972888794.90999997</v>
      </c>
      <c r="BE5" s="26">
        <f>资产资本表!BE33</f>
        <v>690988158.8499999</v>
      </c>
      <c r="BF5" s="26">
        <f>资产资本表!BF33</f>
        <v>627486265.63</v>
      </c>
      <c r="BG5" s="26">
        <f>资产资本表!BG33</f>
        <v>628311147.54999995</v>
      </c>
      <c r="BH5" s="26">
        <f>资产资本表!BH33</f>
        <v>561342378.12</v>
      </c>
      <c r="BI5" s="26">
        <f>资产资本表!BI33</f>
        <v>463794256.94</v>
      </c>
      <c r="BJ5" s="26">
        <f>资产资本表!BJ33</f>
        <v>423480255.60999995</v>
      </c>
      <c r="BK5" s="26">
        <f>资产资本表!BK33</f>
        <v>304607559.15000004</v>
      </c>
      <c r="BL5" s="26">
        <f>资产资本表!BL33</f>
        <v>374453709.19999993</v>
      </c>
      <c r="BM5" s="26">
        <f>资产资本表!BM33</f>
        <v>301701884.75</v>
      </c>
      <c r="BN5" s="26">
        <f>资产资本表!BN33</f>
        <v>175012132.98999998</v>
      </c>
      <c r="BO5" s="26">
        <f>资产资本表!BO33</f>
        <v>402945437.20999998</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4331960056.1800003</v>
      </c>
      <c r="F6" s="26">
        <f>资产资本表!F49</f>
        <v>3209210607.9600005</v>
      </c>
      <c r="G6" s="26">
        <f>资产资本表!G49</f>
        <v>3641058198.7099996</v>
      </c>
      <c r="H6" s="26">
        <f>资产资本表!H49</f>
        <v>3425299596.21</v>
      </c>
      <c r="I6" s="26">
        <f>资产资本表!I49</f>
        <v>2999325031.75</v>
      </c>
      <c r="J6" s="26">
        <f>资产资本表!J49</f>
        <v>2824729794.4699998</v>
      </c>
      <c r="K6" s="26">
        <f>资产资本表!K49</f>
        <v>2713047812.4000001</v>
      </c>
      <c r="L6" s="26">
        <f>资产资本表!L49</f>
        <v>2555268332.5099998</v>
      </c>
      <c r="M6" s="26">
        <f>资产资本表!M49</f>
        <v>2519209066.6700001</v>
      </c>
      <c r="N6" s="26">
        <f>资产资本表!N49</f>
        <v>2259796247.9499998</v>
      </c>
      <c r="O6" s="26">
        <f>资产资本表!O49</f>
        <v>2376954066.5599999</v>
      </c>
      <c r="P6" s="26">
        <f>资产资本表!P49</f>
        <v>2349471514.8800001</v>
      </c>
      <c r="Q6" s="26">
        <f>资产资本表!Q49</f>
        <v>2177685936.8499999</v>
      </c>
      <c r="R6" s="26">
        <f>资产资本表!R49</f>
        <v>2107890504.6400001</v>
      </c>
      <c r="S6" s="26">
        <f>资产资本表!S49</f>
        <v>1969460318.3399999</v>
      </c>
      <c r="T6" s="26">
        <f>资产资本表!T49</f>
        <v>1943045584.51</v>
      </c>
      <c r="U6" s="26">
        <f>资产资本表!U49</f>
        <v>1908366674.77</v>
      </c>
      <c r="V6" s="26">
        <f>资产资本表!V49</f>
        <v>2188877693.8200002</v>
      </c>
      <c r="W6" s="26">
        <f>资产资本表!W49</f>
        <v>1935190431.4099998</v>
      </c>
      <c r="X6" s="26">
        <f>资产资本表!X49</f>
        <v>1894525246.1900001</v>
      </c>
      <c r="Y6" s="26">
        <f>资产资本表!Y49</f>
        <v>1759423288.45</v>
      </c>
      <c r="Z6" s="26">
        <f>资产资本表!Z49</f>
        <v>2169376739.8699999</v>
      </c>
      <c r="AA6" s="26">
        <f>资产资本表!AA49</f>
        <v>2037741899.0800002</v>
      </c>
      <c r="AB6" s="26">
        <f>资产资本表!AB49</f>
        <v>2005553316.4100001</v>
      </c>
      <c r="AC6" s="26">
        <f>资产资本表!AC49</f>
        <v>1903998075.8199999</v>
      </c>
      <c r="AD6" s="26">
        <f>资产资本表!AD49</f>
        <v>2517171841.5099998</v>
      </c>
      <c r="AE6" s="26">
        <f>资产资本表!AE49</f>
        <v>2513666957.9200001</v>
      </c>
      <c r="AF6" s="26">
        <f>资产资本表!AF49</f>
        <v>2680815221.7200003</v>
      </c>
      <c r="AG6" s="26">
        <f>资产资本表!AG49</f>
        <v>2719667920.9000001</v>
      </c>
      <c r="AH6" s="26">
        <f>资产资本表!AH49</f>
        <v>2378981426.6300001</v>
      </c>
      <c r="AI6" s="26">
        <f>资产资本表!AI49</f>
        <v>2226846559.3800001</v>
      </c>
      <c r="AJ6" s="26">
        <f>资产资本表!AJ49</f>
        <v>3103245180.8099999</v>
      </c>
      <c r="AK6" s="26">
        <f>资产资本表!AK49</f>
        <v>3076319655.9000001</v>
      </c>
      <c r="AL6" s="26">
        <f>资产资本表!AL49</f>
        <v>1293843415.5999999</v>
      </c>
      <c r="AM6" s="26">
        <f>资产资本表!AM49</f>
        <v>1679032034.6900001</v>
      </c>
      <c r="AN6" s="26">
        <f>资产资本表!AN49</f>
        <v>1593905732.1700001</v>
      </c>
      <c r="AO6" s="26">
        <f>资产资本表!AO49</f>
        <v>1465192589.5699999</v>
      </c>
      <c r="AP6" s="26">
        <f>资产资本表!AP49</f>
        <v>1784976653.2600002</v>
      </c>
      <c r="AQ6" s="26">
        <f>资产资本表!AQ49</f>
        <v>1825278882.1599998</v>
      </c>
      <c r="AR6" s="26">
        <f>资产资本表!AR49</f>
        <v>1773608092.71</v>
      </c>
      <c r="AS6" s="26">
        <f>资产资本表!AS49</f>
        <v>1741351385.73</v>
      </c>
      <c r="AT6" s="26">
        <f>资产资本表!AT49</f>
        <v>2420001610.7200003</v>
      </c>
      <c r="AU6" s="26">
        <f>资产资本表!AU49</f>
        <v>2310927799.5599999</v>
      </c>
      <c r="AV6" s="26">
        <f>资产资本表!AV49</f>
        <v>2545939893.5799999</v>
      </c>
      <c r="AW6" s="26">
        <f>资产资本表!AW49</f>
        <v>846160591.26999998</v>
      </c>
      <c r="AX6" s="26">
        <f>资产资本表!AX49</f>
        <v>1904226683.5900002</v>
      </c>
      <c r="AY6" s="26">
        <f>资产资本表!AY49</f>
        <v>782183863.94000006</v>
      </c>
      <c r="AZ6" s="26">
        <f>资产资本表!AZ49</f>
        <v>862340465.36000001</v>
      </c>
      <c r="BA6" s="26">
        <f>资产资本表!BA49</f>
        <v>735451036.82000005</v>
      </c>
      <c r="BB6" s="26">
        <f>资产资本表!BB49</f>
        <v>1617780793.3400002</v>
      </c>
      <c r="BC6" s="26">
        <f>资产资本表!BC49</f>
        <v>1526227176.76</v>
      </c>
      <c r="BD6" s="26">
        <f>资产资本表!BD49</f>
        <v>3840584304.9099998</v>
      </c>
      <c r="BE6" s="26">
        <f>资产资本表!BE49</f>
        <v>3644240067.5</v>
      </c>
      <c r="BF6" s="26">
        <f>资产资本表!BF49</f>
        <v>2858326060.1500001</v>
      </c>
      <c r="BG6" s="26">
        <f>资产资本表!BG49</f>
        <v>488498197</v>
      </c>
      <c r="BH6" s="26">
        <f>资产资本表!BH49</f>
        <v>472094438.62</v>
      </c>
      <c r="BI6" s="26">
        <f>资产资本表!BI49</f>
        <v>388385409.78999996</v>
      </c>
      <c r="BJ6" s="26">
        <f>资产资本表!BJ49</f>
        <v>356779062.81</v>
      </c>
      <c r="BK6" s="26">
        <f>资产资本表!BK49</f>
        <v>304627433.83000004</v>
      </c>
      <c r="BL6" s="26">
        <f>资产资本表!BL49</f>
        <v>276316959.32000005</v>
      </c>
      <c r="BM6" s="26">
        <f>资产资本表!BM49</f>
        <v>181104326.29000002</v>
      </c>
      <c r="BN6" s="26">
        <f>资产资本表!BN49</f>
        <v>92456488.199999988</v>
      </c>
      <c r="BO6" s="26">
        <f>资产资本表!BO49</f>
        <v>102384451.34999999</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18008607027.469997</v>
      </c>
      <c r="F7" s="26">
        <f>资产资本表!F68</f>
        <v>17418505411.499996</v>
      </c>
      <c r="G7" s="26">
        <f>资产资本表!G68</f>
        <v>16642185109.350002</v>
      </c>
      <c r="H7" s="26">
        <f>资产资本表!H68</f>
        <v>16060724738.549999</v>
      </c>
      <c r="I7" s="26">
        <f>资产资本表!I68</f>
        <v>15340854021.51</v>
      </c>
      <c r="J7" s="26">
        <f>资产资本表!J68</f>
        <v>13023685338.540001</v>
      </c>
      <c r="K7" s="26">
        <f>资产资本表!K68</f>
        <v>12283898099.049999</v>
      </c>
      <c r="L7" s="26">
        <f>资产资本表!L68</f>
        <v>11884189349.230001</v>
      </c>
      <c r="M7" s="26">
        <f>资产资本表!M68</f>
        <v>9801515508.0500011</v>
      </c>
      <c r="N7" s="26">
        <f>资产资本表!N68</f>
        <v>8595460150.3899994</v>
      </c>
      <c r="O7" s="26">
        <f>资产资本表!O68</f>
        <v>8225281732.7400017</v>
      </c>
      <c r="P7" s="26">
        <f>资产资本表!P68</f>
        <v>6589938435.7300005</v>
      </c>
      <c r="Q7" s="26">
        <f>资产资本表!Q68</f>
        <v>6728921162.8100004</v>
      </c>
      <c r="R7" s="26">
        <f>资产资本表!R68</f>
        <v>6835982821.1000004</v>
      </c>
      <c r="S7" s="26">
        <f>资产资本表!S68</f>
        <v>6955336766.3099995</v>
      </c>
      <c r="T7" s="26">
        <f>资产资本表!T68</f>
        <v>7116285323.3500004</v>
      </c>
      <c r="U7" s="26">
        <f>资产资本表!U68</f>
        <v>7261735265.7699995</v>
      </c>
      <c r="V7" s="26">
        <f>资产资本表!V68</f>
        <v>7525378871.249999</v>
      </c>
      <c r="W7" s="26">
        <f>资产资本表!W68</f>
        <v>7647567472.1999998</v>
      </c>
      <c r="X7" s="26">
        <f>资产资本表!X68</f>
        <v>7784935643.9300003</v>
      </c>
      <c r="Y7" s="26">
        <f>资产资本表!Y68</f>
        <v>7960960371.5</v>
      </c>
      <c r="Z7" s="26">
        <f>资产资本表!Z68</f>
        <v>8194142228.9099998</v>
      </c>
      <c r="AA7" s="26">
        <f>资产资本表!AA68</f>
        <v>8336496698.9299994</v>
      </c>
      <c r="AB7" s="26">
        <f>资产资本表!AB68</f>
        <v>8480990083.0100002</v>
      </c>
      <c r="AC7" s="26">
        <f>资产资本表!AC68</f>
        <v>8636250232.6700001</v>
      </c>
      <c r="AD7" s="26">
        <f>资产资本表!AD68</f>
        <v>8639366411.2099991</v>
      </c>
      <c r="AE7" s="26">
        <f>资产资本表!AE68</f>
        <v>8753949893.6900005</v>
      </c>
      <c r="AF7" s="26">
        <f>资产资本表!AF68</f>
        <v>8885379518.8899994</v>
      </c>
      <c r="AG7" s="26">
        <f>资产资本表!AG68</f>
        <v>9028929537.9899998</v>
      </c>
      <c r="AH7" s="26">
        <f>资产资本表!AH68</f>
        <v>8546966886.1299992</v>
      </c>
      <c r="AI7" s="26">
        <f>资产资本表!AI68</f>
        <v>8654855627.3799992</v>
      </c>
      <c r="AJ7" s="26">
        <f>资产资本表!AJ68</f>
        <v>8770509291.0899982</v>
      </c>
      <c r="AK7" s="26">
        <f>资产资本表!AK68</f>
        <v>8872163668.9399986</v>
      </c>
      <c r="AL7" s="26">
        <f>资产资本表!AL68</f>
        <v>7037213843.1599998</v>
      </c>
      <c r="AM7" s="26">
        <f>资产资本表!AM68</f>
        <v>7030612675.9300013</v>
      </c>
      <c r="AN7" s="26">
        <f>资产资本表!AN68</f>
        <v>7134120837.1199999</v>
      </c>
      <c r="AO7" s="26">
        <f>资产资本表!AO68</f>
        <v>7247281341.2999992</v>
      </c>
      <c r="AP7" s="26">
        <f>资产资本表!AP68</f>
        <v>7339895799.7699995</v>
      </c>
      <c r="AQ7" s="26">
        <f>资产资本表!AQ68</f>
        <v>7429572252.3100014</v>
      </c>
      <c r="AR7" s="26">
        <f>资产资本表!AR68</f>
        <v>7517007727.1900005</v>
      </c>
      <c r="AS7" s="26">
        <f>资产资本表!AS68</f>
        <v>7640240439.9499998</v>
      </c>
      <c r="AT7" s="26">
        <f>资产资本表!AT68</f>
        <v>5711857124.6300001</v>
      </c>
      <c r="AU7" s="26">
        <f>资产资本表!AU68</f>
        <v>5725790775.3099995</v>
      </c>
      <c r="AV7" s="26">
        <f>资产资本表!AV68</f>
        <v>5819210389.9099998</v>
      </c>
      <c r="AW7" s="26">
        <f>资产资本表!AW68</f>
        <v>5910402317.3000002</v>
      </c>
      <c r="AX7" s="26">
        <f>资产资本表!AX68</f>
        <v>6000163247.8800001</v>
      </c>
      <c r="AY7" s="26">
        <f>资产资本表!AY68</f>
        <v>6086082074.6000004</v>
      </c>
      <c r="AZ7" s="26">
        <f>资产资本表!AZ68</f>
        <v>6166335699.0799999</v>
      </c>
      <c r="BA7" s="26">
        <f>资产资本表!BA68</f>
        <v>6233645868.25</v>
      </c>
      <c r="BB7" s="26">
        <f>资产资本表!BB68</f>
        <v>6185780553.0500002</v>
      </c>
      <c r="BC7" s="26">
        <f>资产资本表!BC68</f>
        <v>6258470282.2400007</v>
      </c>
      <c r="BD7" s="26">
        <f>资产资本表!BD68</f>
        <v>5870410094.6900005</v>
      </c>
      <c r="BE7" s="26">
        <f>资产资本表!BE68</f>
        <v>5931620142.3899994</v>
      </c>
      <c r="BF7" s="26">
        <f>资产资本表!BF68</f>
        <v>5160087011.7900009</v>
      </c>
      <c r="BG7" s="26">
        <f>资产资本表!BG68</f>
        <v>2781603970.1599998</v>
      </c>
      <c r="BH7" s="26">
        <f>资产资本表!BH68</f>
        <v>2789484591.9400005</v>
      </c>
      <c r="BI7" s="26">
        <f>资产资本表!BI68</f>
        <v>2796916857.8499999</v>
      </c>
      <c r="BJ7" s="26">
        <f>资产资本表!BJ68</f>
        <v>2799758108.6099997</v>
      </c>
      <c r="BK7" s="26">
        <f>资产资本表!BK68</f>
        <v>2806986344.9900002</v>
      </c>
      <c r="BL7" s="26">
        <f>资产资本表!BL68</f>
        <v>316218148.47000003</v>
      </c>
      <c r="BM7" s="26">
        <f>资产资本表!BM68</f>
        <v>325888513.78000003</v>
      </c>
      <c r="BN7" s="26">
        <f>资产资本表!BN68</f>
        <v>343208530.81</v>
      </c>
      <c r="BO7" s="26">
        <f>资产资本表!BO68</f>
        <v>360013767.79999995</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14952250709.659996</v>
      </c>
      <c r="F8" s="26">
        <f>资产资本表!F69</f>
        <v>15574715450.649996</v>
      </c>
      <c r="G8" s="26">
        <f>资产资本表!G69</f>
        <v>14078299266.270002</v>
      </c>
      <c r="H8" s="26">
        <f>资产资本表!H69</f>
        <v>14217610075.469999</v>
      </c>
      <c r="I8" s="26">
        <f>资产资本表!I69</f>
        <v>13433348334.25</v>
      </c>
      <c r="J8" s="26">
        <f>资产资本表!J69</f>
        <v>11385978895.780001</v>
      </c>
      <c r="K8" s="26">
        <f>资产资本表!K69</f>
        <v>10517838701.99</v>
      </c>
      <c r="L8" s="26">
        <f>资产资本表!L69</f>
        <v>10572524657.360001</v>
      </c>
      <c r="M8" s="26">
        <f>资产资本表!M69</f>
        <v>8150225352.4000015</v>
      </c>
      <c r="N8" s="26">
        <f>资产资本表!N69</f>
        <v>7398582780.4499998</v>
      </c>
      <c r="O8" s="26">
        <f>资产资本表!O69</f>
        <v>6773749822.0500021</v>
      </c>
      <c r="P8" s="26">
        <f>资产资本表!P69</f>
        <v>5523518984.9900007</v>
      </c>
      <c r="Q8" s="26">
        <f>资产资本表!Q69</f>
        <v>5414223437.8700008</v>
      </c>
      <c r="R8" s="26">
        <f>资产资本表!R69</f>
        <v>5771143950.5600004</v>
      </c>
      <c r="S8" s="26">
        <f>资产资本表!S69</f>
        <v>5844358706.4799995</v>
      </c>
      <c r="T8" s="26">
        <f>资产资本表!T69</f>
        <v>6258632098.9900007</v>
      </c>
      <c r="U8" s="26">
        <f>资产资本表!U69</f>
        <v>6088010743.9799995</v>
      </c>
      <c r="V8" s="26">
        <f>资产资本表!V69</f>
        <v>6376548987.249999</v>
      </c>
      <c r="W8" s="26">
        <f>资产资本表!W69</f>
        <v>6649380354.1400003</v>
      </c>
      <c r="X8" s="26">
        <f>资产资本表!X69</f>
        <v>7038536184.2900009</v>
      </c>
      <c r="Y8" s="26">
        <f>资产资本表!Y69</f>
        <v>7001531946.46</v>
      </c>
      <c r="Z8" s="26">
        <f>资产资本表!Z69</f>
        <v>7160749533.71</v>
      </c>
      <c r="AA8" s="26">
        <f>资产资本表!AA69</f>
        <v>7282116179.9499989</v>
      </c>
      <c r="AB8" s="26">
        <f>资产资本表!AB69</f>
        <v>7652654731.3199997</v>
      </c>
      <c r="AC8" s="26">
        <f>资产资本表!AC69</f>
        <v>7660909669.3199997</v>
      </c>
      <c r="AD8" s="26">
        <f>资产资本表!AD69</f>
        <v>7326490560.5199995</v>
      </c>
      <c r="AE8" s="26">
        <f>资产资本表!AE69</f>
        <v>7366295228.0300007</v>
      </c>
      <c r="AF8" s="26">
        <f>资产资本表!AF69</f>
        <v>7518926221.6199989</v>
      </c>
      <c r="AG8" s="26">
        <f>资产资本表!AG69</f>
        <v>7358768589.1299992</v>
      </c>
      <c r="AH8" s="26">
        <f>资产资本表!AH69</f>
        <v>6989076912.9699993</v>
      </c>
      <c r="AI8" s="26">
        <f>资产资本表!AI69</f>
        <v>7559919968.079999</v>
      </c>
      <c r="AJ8" s="26">
        <f>资产资本表!AJ69</f>
        <v>6835131700.8599987</v>
      </c>
      <c r="AK8" s="26">
        <f>资产资本表!AK69</f>
        <v>6848540024.6899986</v>
      </c>
      <c r="AL8" s="26">
        <f>资产资本表!AL69</f>
        <v>6960627243.5799999</v>
      </c>
      <c r="AM8" s="26">
        <f>资产资本表!AM69</f>
        <v>6727027459.6100006</v>
      </c>
      <c r="AN8" s="26">
        <f>资产资本表!AN69</f>
        <v>6875151575.29</v>
      </c>
      <c r="AO8" s="26">
        <f>资产资本表!AO69</f>
        <v>6845736130.539999</v>
      </c>
      <c r="AP8" s="26">
        <f>资产资本表!AP69</f>
        <v>6794185585.539999</v>
      </c>
      <c r="AQ8" s="26">
        <f>资产资本表!AQ69</f>
        <v>6798674302.960001</v>
      </c>
      <c r="AR8" s="26">
        <f>资产资本表!AR69</f>
        <v>6779394816.2700005</v>
      </c>
      <c r="AS8" s="26">
        <f>资产资本表!AS69</f>
        <v>6663998294.04</v>
      </c>
      <c r="AT8" s="26">
        <f>资产资本表!AT69</f>
        <v>4293972073.7699995</v>
      </c>
      <c r="AU8" s="26">
        <f>资产资本表!AU69</f>
        <v>4648209828.0299997</v>
      </c>
      <c r="AV8" s="26">
        <f>资产资本表!AV69</f>
        <v>4485291893.5599995</v>
      </c>
      <c r="AW8" s="26">
        <f>资产资本表!AW69</f>
        <v>6009820737.4000006</v>
      </c>
      <c r="AX8" s="26">
        <f>资产资本表!AX69</f>
        <v>5449619077.7299995</v>
      </c>
      <c r="AY8" s="26">
        <f>资产资本表!AY69</f>
        <v>6562227387.9800005</v>
      </c>
      <c r="AZ8" s="26">
        <f>资产资本表!AZ69</f>
        <v>6503405685.5</v>
      </c>
      <c r="BA8" s="26">
        <f>资产资本表!BA69</f>
        <v>6555524530.9899998</v>
      </c>
      <c r="BB8" s="26">
        <f>资产资本表!BB69</f>
        <v>5594066542.4799995</v>
      </c>
      <c r="BC8" s="26">
        <f>资产资本表!BC69</f>
        <v>5713043039.3100004</v>
      </c>
      <c r="BD8" s="26">
        <f>资产资本表!BD69</f>
        <v>3002714584.6900005</v>
      </c>
      <c r="BE8" s="26">
        <f>资产资本表!BE69</f>
        <v>2978368233.7399993</v>
      </c>
      <c r="BF8" s="26">
        <f>资产资本表!BF69</f>
        <v>2929247217.2700009</v>
      </c>
      <c r="BG8" s="26">
        <f>资产资本表!BG69</f>
        <v>2921416920.71</v>
      </c>
      <c r="BH8" s="26">
        <f>资产资本表!BH69</f>
        <v>2878732531.4400005</v>
      </c>
      <c r="BI8" s="26">
        <f>资产资本表!BI69</f>
        <v>2872325705</v>
      </c>
      <c r="BJ8" s="26">
        <f>资产资本表!BJ69</f>
        <v>2866459301.4099998</v>
      </c>
      <c r="BK8" s="26">
        <f>资产资本表!BK69</f>
        <v>2806966470.3100004</v>
      </c>
      <c r="BL8" s="26">
        <f>资产资本表!BL69</f>
        <v>414354898.3499999</v>
      </c>
      <c r="BM8" s="26">
        <f>资产资本表!BM69</f>
        <v>446486072.24000001</v>
      </c>
      <c r="BN8" s="26">
        <f>资产资本表!BN69</f>
        <v>425764175.60000002</v>
      </c>
      <c r="BO8" s="26">
        <f>资产资本表!BO69</f>
        <v>660574753.65999997</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18163051996.049995</v>
      </c>
      <c r="F9" s="48">
        <f>资产资本表!F70</f>
        <v>16937757252.429996</v>
      </c>
      <c r="G9" s="48">
        <f>资产资本表!G70</f>
        <v>15708170373.790003</v>
      </c>
      <c r="H9" s="48">
        <f>资产资本表!H70</f>
        <v>15157569326.209999</v>
      </c>
      <c r="I9" s="48">
        <f>资产资本表!I70</f>
        <v>14721118540.57</v>
      </c>
      <c r="J9" s="48">
        <f>资产资本表!J70</f>
        <v>14097734343.560001</v>
      </c>
      <c r="K9" s="48">
        <f>资产资本表!K70</f>
        <v>13875119592.209999</v>
      </c>
      <c r="L9" s="48">
        <f>资产资本表!L70</f>
        <v>13559205246.51</v>
      </c>
      <c r="M9" s="48">
        <f>资产资本表!M70</f>
        <v>9778971802.9400024</v>
      </c>
      <c r="N9" s="48">
        <f>资产资本表!N70</f>
        <v>9435835772.2000008</v>
      </c>
      <c r="O9" s="48">
        <f>资产资本表!O70</f>
        <v>9375434226.3600025</v>
      </c>
      <c r="P9" s="48">
        <f>资产资本表!P70</f>
        <v>9179923825.0300007</v>
      </c>
      <c r="Q9" s="48">
        <f>资产资本表!Q70</f>
        <v>8862745317.9900017</v>
      </c>
      <c r="R9" s="48">
        <f>资产资本表!R70</f>
        <v>8405379132.1499996</v>
      </c>
      <c r="S9" s="48">
        <f>资产资本表!S70</f>
        <v>8584888350.2799988</v>
      </c>
      <c r="T9" s="48">
        <f>资产资本表!T70</f>
        <v>8291384398.3100004</v>
      </c>
      <c r="U9" s="48">
        <f>资产资本表!U70</f>
        <v>8031803680.2399998</v>
      </c>
      <c r="V9" s="48">
        <f>资产资本表!V70</f>
        <v>7801387777.5299988</v>
      </c>
      <c r="W9" s="48">
        <f>资产资本表!W70</f>
        <v>8653347987.6300011</v>
      </c>
      <c r="X9" s="48">
        <f>资产资本表!X70</f>
        <v>8433861344.7200012</v>
      </c>
      <c r="Y9" s="48">
        <f>资产资本表!Y70</f>
        <v>8370823897.2700005</v>
      </c>
      <c r="Z9" s="48">
        <f>资产资本表!Z70</f>
        <v>8187249401.5799999</v>
      </c>
      <c r="AA9" s="48">
        <f>资产资本表!AA70</f>
        <v>8639317229.7499981</v>
      </c>
      <c r="AB9" s="48">
        <f>资产资本表!AB70</f>
        <v>8461036656.79</v>
      </c>
      <c r="AC9" s="48">
        <f>资产资本表!AC70</f>
        <v>8723286774.4099998</v>
      </c>
      <c r="AD9" s="48">
        <f>资产资本表!AD70</f>
        <v>9525184989.9300003</v>
      </c>
      <c r="AE9" s="48">
        <f>资产资本表!AE70</f>
        <v>8706706872.9000015</v>
      </c>
      <c r="AF9" s="48">
        <f>资产资本表!AF70</f>
        <v>8541306828.8399992</v>
      </c>
      <c r="AG9" s="48">
        <f>资产资本表!AG70</f>
        <v>8546779764.5999994</v>
      </c>
      <c r="AH9" s="48">
        <f>资产资本表!AH70</f>
        <v>8105241526.4499989</v>
      </c>
      <c r="AI9" s="48">
        <f>资产资本表!AI70</f>
        <v>8457715582.1199989</v>
      </c>
      <c r="AJ9" s="48">
        <f>资产资本表!AJ70</f>
        <v>8337611988.5699987</v>
      </c>
      <c r="AK9" s="48">
        <f>资产资本表!AK70</f>
        <v>8155036263.3399982</v>
      </c>
      <c r="AL9" s="48">
        <f>资产资本表!AL70</f>
        <v>7905732219.7200003</v>
      </c>
      <c r="AM9" s="48">
        <f>资产资本表!AM70</f>
        <v>7864017035.4000006</v>
      </c>
      <c r="AN9" s="48">
        <f>资产资本表!AN70</f>
        <v>7702969648.7299995</v>
      </c>
      <c r="AO9" s="48">
        <f>资产资本表!AO70</f>
        <v>7555881069.9299994</v>
      </c>
      <c r="AP9" s="48">
        <f>资产资本表!AP70</f>
        <v>7578402183.1399994</v>
      </c>
      <c r="AQ9" s="48">
        <f>资产资本表!AQ70</f>
        <v>7532602239.7700005</v>
      </c>
      <c r="AR9" s="48">
        <f>资产资本表!AR70</f>
        <v>7346025444.8900003</v>
      </c>
      <c r="AS9" s="48">
        <f>资产资本表!AS70</f>
        <v>7369873991.2200003</v>
      </c>
      <c r="AT9" s="48">
        <f>资产资本表!AT70</f>
        <v>4968490950.539999</v>
      </c>
      <c r="AU9" s="48">
        <f>资产资本表!AU70</f>
        <v>5268494435.6499996</v>
      </c>
      <c r="AV9" s="48">
        <f>资产资本表!AV70</f>
        <v>5198227177</v>
      </c>
      <c r="AW9" s="48">
        <f>资产资本表!AW70</f>
        <v>6654816410.0100002</v>
      </c>
      <c r="AX9" s="48">
        <f>资产资本表!AX70</f>
        <v>6093223535.3899994</v>
      </c>
      <c r="AY9" s="48">
        <f>资产资本表!AY70</f>
        <v>7140817653.4900007</v>
      </c>
      <c r="AZ9" s="48">
        <f>资产资本表!AZ70</f>
        <v>7176341378.4200001</v>
      </c>
      <c r="BA9" s="48">
        <f>资产资本表!BA70</f>
        <v>7109572301.4099998</v>
      </c>
      <c r="BB9" s="48">
        <f>资产资本表!BB70</f>
        <v>6351603943.0899992</v>
      </c>
      <c r="BC9" s="48">
        <f>资产资本表!BC70</f>
        <v>6377877740.5799999</v>
      </c>
      <c r="BD9" s="48">
        <f>资产资本表!BD70</f>
        <v>4219220042.1600008</v>
      </c>
      <c r="BE9" s="48">
        <f>资产资本表!BE70</f>
        <v>4162699323.1899996</v>
      </c>
      <c r="BF9" s="48">
        <f>资产资本表!BF70</f>
        <v>4168081784.5500011</v>
      </c>
      <c r="BG9" s="48">
        <f>资产资本表!BG70</f>
        <v>4157180406.4700003</v>
      </c>
      <c r="BH9" s="48">
        <f>资产资本表!BH70</f>
        <v>4074047400.8400002</v>
      </c>
      <c r="BI9" s="48">
        <f>资产资本表!BI70</f>
        <v>3926602961.8099999</v>
      </c>
      <c r="BJ9" s="48">
        <f>资产资本表!BJ70</f>
        <v>3831959136.8899999</v>
      </c>
      <c r="BK9" s="48">
        <f>资产资本表!BK70</f>
        <v>3706861225.7400007</v>
      </c>
      <c r="BL9" s="48">
        <f>资产资本表!BL70</f>
        <v>1566853139.71</v>
      </c>
      <c r="BM9" s="48">
        <f>资产资本表!BM70</f>
        <v>1484191370.3299999</v>
      </c>
      <c r="BN9" s="48">
        <f>资产资本表!BN70</f>
        <v>1347559757.98</v>
      </c>
      <c r="BO9" s="48">
        <f>资产资本表!BO70</f>
        <v>1072957190.49</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1435450920.5799999</v>
      </c>
      <c r="F10" s="26">
        <f>资产资本表!F72</f>
        <v>1550000000</v>
      </c>
      <c r="G10" s="26">
        <f>资产资本表!G72</f>
        <v>205926709.66</v>
      </c>
      <c r="H10" s="26">
        <f>资产资本表!H72</f>
        <v>7455134.0499999998</v>
      </c>
      <c r="I10" s="26">
        <f>资产资本表!I72</f>
        <v>5905482.2999999998</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3590098.35</v>
      </c>
      <c r="W10" s="26">
        <f>资产资本表!W72</f>
        <v>703064725.01999998</v>
      </c>
      <c r="X10" s="26">
        <f>资产资本表!X72</f>
        <v>711045438.35000002</v>
      </c>
      <c r="Y10" s="26">
        <f>资产资本表!Y72</f>
        <v>883476678.35000002</v>
      </c>
      <c r="Z10" s="26">
        <f>资产资本表!Z72</f>
        <v>808774065.00999999</v>
      </c>
      <c r="AA10" s="26">
        <f>资产资本表!AA72</f>
        <v>1052174742.8099999</v>
      </c>
      <c r="AB10" s="26">
        <f>资产资本表!AB72</f>
        <v>1088371669.3499999</v>
      </c>
      <c r="AC10" s="26">
        <f>资产资本表!AC72</f>
        <v>1537714702.05</v>
      </c>
      <c r="AD10" s="26">
        <f>资产资本表!AD72</f>
        <v>2547015154.98</v>
      </c>
      <c r="AE10" s="26">
        <f>资产资本表!AE72</f>
        <v>1528592975.1900001</v>
      </c>
      <c r="AF10" s="26">
        <f>资产资本表!AF72</f>
        <v>1515094610.98</v>
      </c>
      <c r="AG10" s="26">
        <f>资产资本表!AG72</f>
        <v>1685925439.5900002</v>
      </c>
      <c r="AH10" s="26">
        <f>资产资本表!AH72</f>
        <v>1078077700.76</v>
      </c>
      <c r="AI10" s="26">
        <f>资产资本表!AI72</f>
        <v>1602497779.1800001</v>
      </c>
      <c r="AJ10" s="26">
        <f>资产资本表!AJ72</f>
        <v>1607190221.3800001</v>
      </c>
      <c r="AK10" s="26">
        <f>资产资本表!AK72</f>
        <v>1587968303.5599999</v>
      </c>
      <c r="AL10" s="26">
        <f>资产资本表!AL72</f>
        <v>1294192305.78</v>
      </c>
      <c r="AM10" s="26">
        <f>资产资本表!AM72</f>
        <v>1279631905.8299999</v>
      </c>
      <c r="AN10" s="26">
        <f>资产资本表!AN72</f>
        <v>1259163914.52</v>
      </c>
      <c r="AO10" s="26">
        <f>资产资本表!AO72</f>
        <v>1238205706.75</v>
      </c>
      <c r="AP10" s="26">
        <f>资产资本表!AP72</f>
        <v>1198435303.8099999</v>
      </c>
      <c r="AQ10" s="26">
        <f>资产资本表!AQ72</f>
        <v>1204682682.75</v>
      </c>
      <c r="AR10" s="26">
        <f>资产资本表!AR72</f>
        <v>1105064365.52</v>
      </c>
      <c r="AS10" s="26">
        <f>资产资本表!AS72</f>
        <v>1382860000.52</v>
      </c>
      <c r="AT10" s="26">
        <f>资产资本表!AT72</f>
        <v>74183381.539999992</v>
      </c>
      <c r="AU10" s="26">
        <f>资产资本表!AU72</f>
        <v>360471984.87</v>
      </c>
      <c r="AV10" s="26">
        <f>资产资本表!AV72</f>
        <v>379341448.30000001</v>
      </c>
      <c r="AW10" s="26">
        <f>资产资本表!AW72</f>
        <v>1943250000</v>
      </c>
      <c r="AX10" s="26">
        <f>资产资本表!AX72</f>
        <v>1401640000</v>
      </c>
      <c r="AY10" s="26">
        <f>资产资本表!AY72</f>
        <v>1444960000</v>
      </c>
      <c r="AZ10" s="26">
        <f>资产资本表!AZ72</f>
        <v>1543320000</v>
      </c>
      <c r="BA10" s="26">
        <f>资产资本表!BA72</f>
        <v>1568025591.77</v>
      </c>
      <c r="BB10" s="26">
        <f>资产资本表!BB72</f>
        <v>1100000000</v>
      </c>
      <c r="BC10" s="26">
        <f>资产资本表!BC72</f>
        <v>1100000000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1627410716.8899999</v>
      </c>
      <c r="F11" s="26">
        <f>资产资本表!F81</f>
        <v>694433329.47000003</v>
      </c>
      <c r="G11" s="26">
        <f>资产资本表!G81</f>
        <v>674433329.47000003</v>
      </c>
      <c r="H11" s="26">
        <f>资产资本表!H81</f>
        <v>3778077063.8599997</v>
      </c>
      <c r="I11" s="26">
        <f>资产资本表!I81</f>
        <v>3832419617.2300005</v>
      </c>
      <c r="J11" s="26">
        <f>资产资本表!J81</f>
        <v>3065900935.4699998</v>
      </c>
      <c r="K11" s="26">
        <f>资产资本表!K81</f>
        <v>3065970533</v>
      </c>
      <c r="L11" s="26">
        <f>资产资本表!L81</f>
        <v>3065970533</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82000000</v>
      </c>
      <c r="AA11" s="26">
        <f>资产资本表!AA81</f>
        <v>82000000</v>
      </c>
      <c r="AB11" s="26">
        <f>资产资本表!AB81</f>
        <v>85000000</v>
      </c>
      <c r="AC11" s="26">
        <f>资产资本表!AC81</f>
        <v>85000000</v>
      </c>
      <c r="AD11" s="26">
        <f>资产资本表!AD81</f>
        <v>90000000</v>
      </c>
      <c r="AE11" s="26">
        <f>资产资本表!AE81</f>
        <v>90000000</v>
      </c>
      <c r="AF11" s="26">
        <f>资产资本表!AF81</f>
        <v>90000000</v>
      </c>
      <c r="AG11" s="26">
        <f>资产资本表!AG81</f>
        <v>90000000</v>
      </c>
      <c r="AH11" s="26">
        <f>资产资本表!AH81</f>
        <v>270000000</v>
      </c>
      <c r="AI11" s="26">
        <f>资产资本表!AI81</f>
        <v>170000000</v>
      </c>
      <c r="AJ11" s="26">
        <f>资产资本表!AJ81</f>
        <v>170000000</v>
      </c>
      <c r="AK11" s="26">
        <f>资产资本表!AK81</f>
        <v>170000000</v>
      </c>
      <c r="AL11" s="26">
        <f>资产资本表!AL81</f>
        <v>250000000</v>
      </c>
      <c r="AM11" s="26">
        <f>资产资本表!AM81</f>
        <v>270000000</v>
      </c>
      <c r="AN11" s="26">
        <f>资产资本表!AN81</f>
        <v>270000000</v>
      </c>
      <c r="AO11" s="26">
        <f>资产资本表!AO81</f>
        <v>270000000</v>
      </c>
      <c r="AP11" s="26">
        <f>资产资本表!AP81</f>
        <v>310000000</v>
      </c>
      <c r="AQ11" s="26">
        <f>资产资本表!AQ81</f>
        <v>310000000</v>
      </c>
      <c r="AR11" s="26">
        <f>资产资本表!AR81</f>
        <v>350000000</v>
      </c>
      <c r="AS11" s="26">
        <f>资产资本表!AS81</f>
        <v>240000000</v>
      </c>
      <c r="AT11" s="26">
        <f>资产资本表!AT81</f>
        <v>320000000</v>
      </c>
      <c r="AU11" s="26">
        <f>资产资本表!AU81</f>
        <v>320000000</v>
      </c>
      <c r="AV11" s="26">
        <f>资产资本表!AV81</f>
        <v>320000000</v>
      </c>
      <c r="AW11" s="26">
        <f>资产资本表!AW81</f>
        <v>320000000</v>
      </c>
      <c r="AX11" s="26">
        <f>资产资本表!AX81</f>
        <v>360000000</v>
      </c>
      <c r="AY11" s="26">
        <f>资产资本表!AY81</f>
        <v>1360000000</v>
      </c>
      <c r="AZ11" s="26">
        <f>资产资本表!AZ81</f>
        <v>1360000000</v>
      </c>
      <c r="BA11" s="26">
        <f>资产资本表!BA81</f>
        <v>1360000000</v>
      </c>
      <c r="BB11" s="26">
        <f>资产资本表!BB81</f>
        <v>1000000000</v>
      </c>
      <c r="BC11" s="26">
        <f>资产资本表!BC81</f>
        <v>1000000000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3062861637.4699998</v>
      </c>
      <c r="F12" s="26">
        <f>资产资本表!F89</f>
        <v>2244433329.4700003</v>
      </c>
      <c r="G12" s="26">
        <f>资产资本表!G89</f>
        <v>880360039.13</v>
      </c>
      <c r="H12" s="26">
        <f>资产资本表!H89</f>
        <v>3785532197.9099998</v>
      </c>
      <c r="I12" s="26">
        <f>资产资本表!I89</f>
        <v>3838325099.5300007</v>
      </c>
      <c r="J12" s="26">
        <f>资产资本表!J89</f>
        <v>3065900935.4699998</v>
      </c>
      <c r="K12" s="26">
        <f>资产资本表!K89</f>
        <v>3065970533</v>
      </c>
      <c r="L12" s="26">
        <f>资产资本表!L89</f>
        <v>3065970533</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0</v>
      </c>
      <c r="V12" s="26">
        <f>资产资本表!V89</f>
        <v>3590098.35</v>
      </c>
      <c r="W12" s="26">
        <f>资产资本表!W89</f>
        <v>703064725.01999998</v>
      </c>
      <c r="X12" s="26">
        <f>资产资本表!X89</f>
        <v>711045438.35000002</v>
      </c>
      <c r="Y12" s="26">
        <f>资产资本表!Y89</f>
        <v>883476678.35000002</v>
      </c>
      <c r="Z12" s="26">
        <f>资产资本表!Z89</f>
        <v>890774065.00999999</v>
      </c>
      <c r="AA12" s="26">
        <f>资产资本表!AA89</f>
        <v>1134174742.8099999</v>
      </c>
      <c r="AB12" s="26">
        <f>资产资本表!AB89</f>
        <v>1173371669.3499999</v>
      </c>
      <c r="AC12" s="26">
        <f>资产资本表!AC89</f>
        <v>1622714702.05</v>
      </c>
      <c r="AD12" s="26">
        <f>资产资本表!AD89</f>
        <v>2637015154.98</v>
      </c>
      <c r="AE12" s="26">
        <f>资产资本表!AE89</f>
        <v>1618592975.1900001</v>
      </c>
      <c r="AF12" s="26">
        <f>资产资本表!AF89</f>
        <v>1605094610.98</v>
      </c>
      <c r="AG12" s="26">
        <f>资产资本表!AG89</f>
        <v>1775925439.5900002</v>
      </c>
      <c r="AH12" s="26">
        <f>资产资本表!AH89</f>
        <v>1348077700.76</v>
      </c>
      <c r="AI12" s="26">
        <f>资产资本表!AI89</f>
        <v>1772497779.1800001</v>
      </c>
      <c r="AJ12" s="26">
        <f>资产资本表!AJ89</f>
        <v>1777190221.3800001</v>
      </c>
      <c r="AK12" s="26">
        <f>资产资本表!AK89</f>
        <v>1757968303.5599999</v>
      </c>
      <c r="AL12" s="26">
        <f>资产资本表!AL89</f>
        <v>1544192305.78</v>
      </c>
      <c r="AM12" s="26">
        <f>资产资本表!AM89</f>
        <v>1549631905.8299999</v>
      </c>
      <c r="AN12" s="26">
        <f>资产资本表!AN89</f>
        <v>1529163914.52</v>
      </c>
      <c r="AO12" s="26">
        <f>资产资本表!AO89</f>
        <v>1508205706.75</v>
      </c>
      <c r="AP12" s="26">
        <f>资产资本表!AP89</f>
        <v>1508435303.8099999</v>
      </c>
      <c r="AQ12" s="26">
        <f>资产资本表!AQ89</f>
        <v>1514682682.75</v>
      </c>
      <c r="AR12" s="26">
        <f>资产资本表!AR89</f>
        <v>1455064365.52</v>
      </c>
      <c r="AS12" s="26">
        <f>资产资本表!AS89</f>
        <v>1622860000.52</v>
      </c>
      <c r="AT12" s="26">
        <f>资产资本表!AT89</f>
        <v>394183381.53999996</v>
      </c>
      <c r="AU12" s="26">
        <f>资产资本表!AU89</f>
        <v>680471984.87</v>
      </c>
      <c r="AV12" s="26">
        <f>资产资本表!AV89</f>
        <v>699341448.29999995</v>
      </c>
      <c r="AW12" s="26">
        <f>资产资本表!AW89</f>
        <v>2263250000</v>
      </c>
      <c r="AX12" s="26">
        <f>资产资本表!AX89</f>
        <v>1761640000</v>
      </c>
      <c r="AY12" s="26">
        <f>资产资本表!AY89</f>
        <v>2804960000</v>
      </c>
      <c r="AZ12" s="26">
        <f>资产资本表!AZ89</f>
        <v>2903320000</v>
      </c>
      <c r="BA12" s="26">
        <f>资产资本表!BA89</f>
        <v>2928025591.77</v>
      </c>
      <c r="BB12" s="26">
        <f>资产资本表!BB89</f>
        <v>2100000000</v>
      </c>
      <c r="BC12" s="26">
        <f>资产资本表!BC89</f>
        <v>2100000000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15100190358.579996</v>
      </c>
      <c r="F13" s="26">
        <f t="shared" ref="F13:BQ13" si="0">F9-F12</f>
        <v>14693323922.959995</v>
      </c>
      <c r="G13" s="26">
        <f t="shared" si="0"/>
        <v>14827810334.660004</v>
      </c>
      <c r="H13" s="26">
        <f t="shared" si="0"/>
        <v>11372037128.299999</v>
      </c>
      <c r="I13" s="26">
        <f t="shared" si="0"/>
        <v>10882793441.039999</v>
      </c>
      <c r="J13" s="26">
        <f t="shared" si="0"/>
        <v>11031833408.090002</v>
      </c>
      <c r="K13" s="26">
        <f t="shared" si="0"/>
        <v>10809149059.209999</v>
      </c>
      <c r="L13" s="26">
        <f t="shared" si="0"/>
        <v>10493234713.51</v>
      </c>
      <c r="M13" s="26">
        <f t="shared" si="0"/>
        <v>9778971802.9400024</v>
      </c>
      <c r="N13" s="26">
        <f t="shared" si="0"/>
        <v>9435835772.2000008</v>
      </c>
      <c r="O13" s="26">
        <f t="shared" si="0"/>
        <v>9375434226.3600025</v>
      </c>
      <c r="P13" s="26">
        <f t="shared" si="0"/>
        <v>9179923825.0300007</v>
      </c>
      <c r="Q13" s="26">
        <f t="shared" si="0"/>
        <v>8862745317.9900017</v>
      </c>
      <c r="R13" s="26">
        <f t="shared" si="0"/>
        <v>8405379132.1499996</v>
      </c>
      <c r="S13" s="26">
        <f t="shared" si="0"/>
        <v>8584888350.2799988</v>
      </c>
      <c r="T13" s="26">
        <f t="shared" si="0"/>
        <v>8291384398.3100004</v>
      </c>
      <c r="U13" s="26">
        <f t="shared" si="0"/>
        <v>8031803680.2399998</v>
      </c>
      <c r="V13" s="26">
        <f t="shared" si="0"/>
        <v>7797797679.1799984</v>
      </c>
      <c r="W13" s="26">
        <f t="shared" si="0"/>
        <v>7950283262.6100006</v>
      </c>
      <c r="X13" s="26">
        <f t="shared" si="0"/>
        <v>7722815906.3700008</v>
      </c>
      <c r="Y13" s="26">
        <f t="shared" si="0"/>
        <v>7487347218.9200001</v>
      </c>
      <c r="Z13" s="26">
        <f t="shared" si="0"/>
        <v>7296475336.5699997</v>
      </c>
      <c r="AA13" s="26">
        <f t="shared" si="0"/>
        <v>7505142486.9399986</v>
      </c>
      <c r="AB13" s="26">
        <f t="shared" si="0"/>
        <v>7287664987.4400005</v>
      </c>
      <c r="AC13" s="26">
        <f t="shared" si="0"/>
        <v>7100572072.3599997</v>
      </c>
      <c r="AD13" s="26">
        <f t="shared" si="0"/>
        <v>6888169834.9500008</v>
      </c>
      <c r="AE13" s="26">
        <f t="shared" si="0"/>
        <v>7088113897.710001</v>
      </c>
      <c r="AF13" s="26">
        <f t="shared" si="0"/>
        <v>6936212217.8599987</v>
      </c>
      <c r="AG13" s="26">
        <f t="shared" si="0"/>
        <v>6770854325.0099993</v>
      </c>
      <c r="AH13" s="26">
        <f t="shared" si="0"/>
        <v>6757163825.6899986</v>
      </c>
      <c r="AI13" s="26">
        <f t="shared" si="0"/>
        <v>6685217802.9399986</v>
      </c>
      <c r="AJ13" s="26">
        <f t="shared" si="0"/>
        <v>6560421767.1899986</v>
      </c>
      <c r="AK13" s="26">
        <f t="shared" si="0"/>
        <v>6397067959.7799988</v>
      </c>
      <c r="AL13" s="26">
        <f t="shared" si="0"/>
        <v>6361539913.9400005</v>
      </c>
      <c r="AM13" s="26">
        <f t="shared" si="0"/>
        <v>6314385129.5700006</v>
      </c>
      <c r="AN13" s="26">
        <f t="shared" si="0"/>
        <v>6173805734.2099991</v>
      </c>
      <c r="AO13" s="26">
        <f t="shared" si="0"/>
        <v>6047675363.1799994</v>
      </c>
      <c r="AP13" s="26">
        <f t="shared" si="0"/>
        <v>6069966879.3299999</v>
      </c>
      <c r="AQ13" s="26">
        <f t="shared" si="0"/>
        <v>6017919557.0200005</v>
      </c>
      <c r="AR13" s="26">
        <f t="shared" si="0"/>
        <v>5890961079.3700008</v>
      </c>
      <c r="AS13" s="26">
        <f t="shared" si="0"/>
        <v>5747013990.7000008</v>
      </c>
      <c r="AT13" s="26">
        <f t="shared" si="0"/>
        <v>4574307568.999999</v>
      </c>
      <c r="AU13" s="26">
        <f t="shared" si="0"/>
        <v>4588022450.7799997</v>
      </c>
      <c r="AV13" s="26">
        <f t="shared" si="0"/>
        <v>4498885728.6999998</v>
      </c>
      <c r="AW13" s="26">
        <f t="shared" si="0"/>
        <v>4391566410.0100002</v>
      </c>
      <c r="AX13" s="26">
        <f t="shared" si="0"/>
        <v>4331583535.3899994</v>
      </c>
      <c r="AY13" s="26">
        <f t="shared" si="0"/>
        <v>4335857653.4900007</v>
      </c>
      <c r="AZ13" s="26">
        <f t="shared" si="0"/>
        <v>4273021378.4200001</v>
      </c>
      <c r="BA13" s="26">
        <f t="shared" si="0"/>
        <v>4181546709.6399999</v>
      </c>
      <c r="BB13" s="26">
        <f t="shared" si="0"/>
        <v>4251603943.0899992</v>
      </c>
      <c r="BC13" s="26">
        <f t="shared" si="0"/>
        <v>4277877740.5799999</v>
      </c>
      <c r="BD13" s="26">
        <f t="shared" si="0"/>
        <v>4219220042.1600008</v>
      </c>
      <c r="BE13" s="26">
        <f t="shared" si="0"/>
        <v>4162699323.1899996</v>
      </c>
      <c r="BF13" s="26">
        <f t="shared" si="0"/>
        <v>4168081784.5500011</v>
      </c>
      <c r="BG13" s="26">
        <f t="shared" si="0"/>
        <v>4157180406.4700003</v>
      </c>
      <c r="BH13" s="26">
        <f t="shared" si="0"/>
        <v>4074047400.8400002</v>
      </c>
      <c r="BI13" s="26">
        <f t="shared" si="0"/>
        <v>3926602961.8099999</v>
      </c>
      <c r="BJ13" s="26">
        <f t="shared" si="0"/>
        <v>3831959136.8899999</v>
      </c>
      <c r="BK13" s="26">
        <f t="shared" si="0"/>
        <v>3706861225.7400007</v>
      </c>
      <c r="BL13" s="26">
        <f t="shared" si="0"/>
        <v>1566853139.71</v>
      </c>
      <c r="BM13" s="26">
        <f t="shared" si="0"/>
        <v>1484191370.3299999</v>
      </c>
      <c r="BN13" s="26">
        <f t="shared" si="0"/>
        <v>1347559757.98</v>
      </c>
      <c r="BO13" s="26">
        <f t="shared" si="0"/>
        <v>1072957190.49</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18163051996.049995</v>
      </c>
      <c r="F14" s="48">
        <f t="shared" ref="F14:BQ14" si="2">F9</f>
        <v>16937757252.429996</v>
      </c>
      <c r="G14" s="48">
        <f t="shared" si="2"/>
        <v>15708170373.790003</v>
      </c>
      <c r="H14" s="48">
        <f t="shared" si="2"/>
        <v>15157569326.209999</v>
      </c>
      <c r="I14" s="48">
        <f t="shared" si="2"/>
        <v>14721118540.57</v>
      </c>
      <c r="J14" s="48">
        <f t="shared" si="2"/>
        <v>14097734343.560001</v>
      </c>
      <c r="K14" s="48">
        <f t="shared" si="2"/>
        <v>13875119592.209999</v>
      </c>
      <c r="L14" s="48">
        <f t="shared" si="2"/>
        <v>13559205246.51</v>
      </c>
      <c r="M14" s="48">
        <f t="shared" si="2"/>
        <v>9778971802.9400024</v>
      </c>
      <c r="N14" s="48">
        <f t="shared" si="2"/>
        <v>9435835772.2000008</v>
      </c>
      <c r="O14" s="48">
        <f t="shared" si="2"/>
        <v>9375434226.3600025</v>
      </c>
      <c r="P14" s="48">
        <f t="shared" si="2"/>
        <v>9179923825.0300007</v>
      </c>
      <c r="Q14" s="48">
        <f t="shared" si="2"/>
        <v>8862745317.9900017</v>
      </c>
      <c r="R14" s="48">
        <f t="shared" si="2"/>
        <v>8405379132.1499996</v>
      </c>
      <c r="S14" s="48">
        <f t="shared" si="2"/>
        <v>8584888350.2799988</v>
      </c>
      <c r="T14" s="48">
        <f t="shared" si="2"/>
        <v>8291384398.3100004</v>
      </c>
      <c r="U14" s="48">
        <f t="shared" si="2"/>
        <v>8031803680.2399998</v>
      </c>
      <c r="V14" s="48">
        <f t="shared" si="2"/>
        <v>7801387777.5299988</v>
      </c>
      <c r="W14" s="48">
        <f t="shared" si="2"/>
        <v>8653347987.6300011</v>
      </c>
      <c r="X14" s="48">
        <f t="shared" si="2"/>
        <v>8433861344.7200012</v>
      </c>
      <c r="Y14" s="48">
        <f t="shared" si="2"/>
        <v>8370823897.2700005</v>
      </c>
      <c r="Z14" s="48">
        <f t="shared" si="2"/>
        <v>8187249401.5799999</v>
      </c>
      <c r="AA14" s="48">
        <f t="shared" si="2"/>
        <v>8639317229.7499981</v>
      </c>
      <c r="AB14" s="48">
        <f t="shared" si="2"/>
        <v>8461036656.79</v>
      </c>
      <c r="AC14" s="48">
        <f t="shared" si="2"/>
        <v>8723286774.4099998</v>
      </c>
      <c r="AD14" s="48">
        <f t="shared" si="2"/>
        <v>9525184989.9300003</v>
      </c>
      <c r="AE14" s="48">
        <f t="shared" si="2"/>
        <v>8706706872.9000015</v>
      </c>
      <c r="AF14" s="48">
        <f t="shared" si="2"/>
        <v>8541306828.8399992</v>
      </c>
      <c r="AG14" s="48">
        <f t="shared" si="2"/>
        <v>8546779764.5999994</v>
      </c>
      <c r="AH14" s="48">
        <f t="shared" si="2"/>
        <v>8105241526.4499989</v>
      </c>
      <c r="AI14" s="48">
        <f t="shared" si="2"/>
        <v>8457715582.1199989</v>
      </c>
      <c r="AJ14" s="48">
        <f t="shared" si="2"/>
        <v>8337611988.5699987</v>
      </c>
      <c r="AK14" s="48">
        <f t="shared" si="2"/>
        <v>8155036263.3399982</v>
      </c>
      <c r="AL14" s="48">
        <f t="shared" si="2"/>
        <v>7905732219.7200003</v>
      </c>
      <c r="AM14" s="48">
        <f t="shared" si="2"/>
        <v>7864017035.4000006</v>
      </c>
      <c r="AN14" s="48">
        <f t="shared" si="2"/>
        <v>7702969648.7299995</v>
      </c>
      <c r="AO14" s="48">
        <f t="shared" si="2"/>
        <v>7555881069.9299994</v>
      </c>
      <c r="AP14" s="48">
        <f t="shared" si="2"/>
        <v>7578402183.1399994</v>
      </c>
      <c r="AQ14" s="48">
        <f t="shared" si="2"/>
        <v>7532602239.7700005</v>
      </c>
      <c r="AR14" s="48">
        <f t="shared" si="2"/>
        <v>7346025444.8900003</v>
      </c>
      <c r="AS14" s="48">
        <f t="shared" si="2"/>
        <v>7369873991.2200003</v>
      </c>
      <c r="AT14" s="48">
        <f t="shared" si="2"/>
        <v>4968490950.539999</v>
      </c>
      <c r="AU14" s="48">
        <f t="shared" si="2"/>
        <v>5268494435.6499996</v>
      </c>
      <c r="AV14" s="48">
        <f t="shared" si="2"/>
        <v>5198227177</v>
      </c>
      <c r="AW14" s="48">
        <f t="shared" si="2"/>
        <v>6654816410.0100002</v>
      </c>
      <c r="AX14" s="48">
        <f t="shared" si="2"/>
        <v>6093223535.3899994</v>
      </c>
      <c r="AY14" s="48">
        <f t="shared" si="2"/>
        <v>7140817653.4900007</v>
      </c>
      <c r="AZ14" s="48">
        <f t="shared" si="2"/>
        <v>7176341378.4200001</v>
      </c>
      <c r="BA14" s="48">
        <f t="shared" si="2"/>
        <v>7109572301.4099998</v>
      </c>
      <c r="BB14" s="48">
        <f t="shared" si="2"/>
        <v>6351603943.0899992</v>
      </c>
      <c r="BC14" s="48">
        <f t="shared" si="2"/>
        <v>6377877740.5799999</v>
      </c>
      <c r="BD14" s="48">
        <f t="shared" si="2"/>
        <v>4219220042.1600008</v>
      </c>
      <c r="BE14" s="48">
        <f t="shared" si="2"/>
        <v>4162699323.1899996</v>
      </c>
      <c r="BF14" s="48">
        <f t="shared" si="2"/>
        <v>4168081784.5500011</v>
      </c>
      <c r="BG14" s="48">
        <f t="shared" si="2"/>
        <v>4157180406.4700003</v>
      </c>
      <c r="BH14" s="48">
        <f t="shared" si="2"/>
        <v>4074047400.8400002</v>
      </c>
      <c r="BI14" s="48">
        <f t="shared" si="2"/>
        <v>3926602961.8099999</v>
      </c>
      <c r="BJ14" s="48">
        <f t="shared" si="2"/>
        <v>3831959136.8899999</v>
      </c>
      <c r="BK14" s="48">
        <f t="shared" si="2"/>
        <v>3706861225.7400007</v>
      </c>
      <c r="BL14" s="48">
        <f t="shared" si="2"/>
        <v>1566853139.71</v>
      </c>
      <c r="BM14" s="48">
        <f t="shared" si="2"/>
        <v>1484191370.3299999</v>
      </c>
      <c r="BN14" s="48">
        <f t="shared" si="2"/>
        <v>1347559757.98</v>
      </c>
      <c r="BO14" s="48">
        <f t="shared" si="2"/>
        <v>1072957190.49</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1575986609.6199989</v>
      </c>
      <c r="F15" s="58">
        <f t="shared" ref="F15:BQ15" si="4">F11+F13-F3-F4-F7</f>
        <v>-369347140.98000145</v>
      </c>
      <c r="G15" s="58">
        <f t="shared" si="4"/>
        <v>1287962542.5499992</v>
      </c>
      <c r="H15" s="58">
        <f t="shared" si="4"/>
        <v>806473995.6400013</v>
      </c>
      <c r="I15" s="58">
        <f t="shared" si="4"/>
        <v>1164704963.2600002</v>
      </c>
      <c r="J15" s="58">
        <f t="shared" si="4"/>
        <v>2605949119.7399998</v>
      </c>
      <c r="K15" s="58">
        <f t="shared" si="4"/>
        <v>3244056293.1599998</v>
      </c>
      <c r="L15" s="58">
        <f t="shared" si="4"/>
        <v>2884980245.039999</v>
      </c>
      <c r="M15" s="58">
        <f t="shared" si="4"/>
        <v>1528127586.9300003</v>
      </c>
      <c r="N15" s="58">
        <f t="shared" si="4"/>
        <v>1944821223.7900028</v>
      </c>
      <c r="O15" s="58">
        <f t="shared" si="4"/>
        <v>2509907999.3000011</v>
      </c>
      <c r="P15" s="58">
        <f t="shared" si="4"/>
        <v>3565980717.3599997</v>
      </c>
      <c r="Q15" s="58">
        <f t="shared" si="4"/>
        <v>3357835137.5600023</v>
      </c>
      <c r="R15" s="58">
        <f t="shared" si="4"/>
        <v>2544307916.3599987</v>
      </c>
      <c r="S15" s="58">
        <f t="shared" si="4"/>
        <v>2650928704.8899994</v>
      </c>
      <c r="T15" s="58">
        <f t="shared" si="4"/>
        <v>1944355391.6100006</v>
      </c>
      <c r="U15" s="58">
        <f t="shared" si="4"/>
        <v>1855396028.5500002</v>
      </c>
      <c r="V15" s="58">
        <f t="shared" si="4"/>
        <v>1336348691.9299994</v>
      </c>
      <c r="W15" s="58">
        <f t="shared" si="4"/>
        <v>1216002908.4700003</v>
      </c>
      <c r="X15" s="58">
        <f t="shared" si="4"/>
        <v>612879722.07999992</v>
      </c>
      <c r="Y15" s="58">
        <f t="shared" si="4"/>
        <v>414415272.46000004</v>
      </c>
      <c r="Z15" s="58">
        <f t="shared" si="4"/>
        <v>146325802.85999966</v>
      </c>
      <c r="AA15" s="58">
        <f t="shared" si="4"/>
        <v>233626306.98999977</v>
      </c>
      <c r="AB15" s="58">
        <f t="shared" si="4"/>
        <v>-351389743.87999916</v>
      </c>
      <c r="AC15" s="58">
        <f t="shared" si="4"/>
        <v>-546737596.96000004</v>
      </c>
      <c r="AD15" s="58">
        <f t="shared" si="4"/>
        <v>-419720725.56999874</v>
      </c>
      <c r="AE15" s="58">
        <f t="shared" si="4"/>
        <v>-259581330.31999969</v>
      </c>
      <c r="AF15" s="58">
        <f t="shared" si="4"/>
        <v>-564114003.76000023</v>
      </c>
      <c r="AG15" s="58">
        <f t="shared" si="4"/>
        <v>-569314264.12000084</v>
      </c>
      <c r="AH15" s="58">
        <f t="shared" si="4"/>
        <v>-111313087.28000069</v>
      </c>
      <c r="AI15" s="58">
        <f t="shared" si="4"/>
        <v>-854102165.14000034</v>
      </c>
      <c r="AJ15" s="58">
        <f t="shared" si="4"/>
        <v>-254109933.67000008</v>
      </c>
      <c r="AK15" s="58">
        <f t="shared" si="4"/>
        <v>-430872064.90999985</v>
      </c>
      <c r="AL15" s="58">
        <f t="shared" si="4"/>
        <v>-498487329.63999939</v>
      </c>
      <c r="AM15" s="58">
        <f t="shared" si="4"/>
        <v>-292042330.03999996</v>
      </c>
      <c r="AN15" s="58">
        <f t="shared" si="4"/>
        <v>-580745841.08000088</v>
      </c>
      <c r="AO15" s="58">
        <f t="shared" si="4"/>
        <v>-677460767.35999966</v>
      </c>
      <c r="AP15" s="58">
        <f t="shared" si="4"/>
        <v>-563618706.20999908</v>
      </c>
      <c r="AQ15" s="58">
        <f t="shared" si="4"/>
        <v>-620154745.94000053</v>
      </c>
      <c r="AR15" s="58">
        <f t="shared" si="4"/>
        <v>-687998894.43999958</v>
      </c>
      <c r="AS15" s="58">
        <f t="shared" si="4"/>
        <v>-827210091.05999947</v>
      </c>
      <c r="AT15" s="58">
        <f t="shared" si="4"/>
        <v>450033183.71999931</v>
      </c>
      <c r="AU15" s="58">
        <f t="shared" si="4"/>
        <v>109510311.23999977</v>
      </c>
      <c r="AV15" s="58">
        <f t="shared" si="4"/>
        <v>180730146.95999908</v>
      </c>
      <c r="AW15" s="58">
        <f t="shared" si="4"/>
        <v>-1460095872.4200001</v>
      </c>
      <c r="AX15" s="58">
        <f t="shared" si="4"/>
        <v>-917271341.44999981</v>
      </c>
      <c r="AY15" s="58">
        <f t="shared" si="4"/>
        <v>-1027740554.2799997</v>
      </c>
      <c r="AZ15" s="58">
        <f t="shared" si="4"/>
        <v>-1033372141.71</v>
      </c>
      <c r="BA15" s="58">
        <f t="shared" si="4"/>
        <v>-1192421087.9700003</v>
      </c>
      <c r="BB15" s="58">
        <f t="shared" si="4"/>
        <v>-506901362.45000172</v>
      </c>
      <c r="BC15" s="58">
        <f t="shared" si="4"/>
        <v>-599950680.13000011</v>
      </c>
      <c r="BD15" s="58">
        <f t="shared" si="4"/>
        <v>1049840141.3999996</v>
      </c>
      <c r="BE15" s="58">
        <f t="shared" si="4"/>
        <v>1018152193.0300007</v>
      </c>
      <c r="BF15" s="58">
        <f t="shared" si="4"/>
        <v>1064764938.5300007</v>
      </c>
      <c r="BG15" s="58">
        <f t="shared" si="4"/>
        <v>1114295564.6700001</v>
      </c>
      <c r="BH15" s="58">
        <f t="shared" si="4"/>
        <v>1088642828.8099995</v>
      </c>
      <c r="BI15" s="58">
        <f t="shared" si="4"/>
        <v>947158565.73000002</v>
      </c>
      <c r="BJ15" s="58">
        <f t="shared" si="4"/>
        <v>863301615.01000023</v>
      </c>
      <c r="BK15" s="58">
        <f t="shared" si="4"/>
        <v>797269155.94000053</v>
      </c>
      <c r="BL15" s="58">
        <f t="shared" si="4"/>
        <v>1049445262.8200002</v>
      </c>
      <c r="BM15" s="58">
        <f t="shared" si="4"/>
        <v>934224940.50999999</v>
      </c>
      <c r="BN15" s="58">
        <f t="shared" si="4"/>
        <v>823708768.09000015</v>
      </c>
      <c r="BO15" s="58">
        <f t="shared" si="4"/>
        <v>390586106.44000006</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-1575986609.6199999</v>
      </c>
      <c r="F16" s="58">
        <f t="shared" ref="F16:BQ16" si="6">F10-F2</f>
        <v>369347140.98000026</v>
      </c>
      <c r="G16" s="58">
        <f t="shared" si="6"/>
        <v>-1287962542.55</v>
      </c>
      <c r="H16" s="58">
        <f t="shared" si="6"/>
        <v>-806473995.6400001</v>
      </c>
      <c r="I16" s="58">
        <f t="shared" si="6"/>
        <v>-1164704963.26</v>
      </c>
      <c r="J16" s="58">
        <f t="shared" si="6"/>
        <v>-2605949119.7399998</v>
      </c>
      <c r="K16" s="58">
        <f t="shared" si="6"/>
        <v>-3244056293.1599998</v>
      </c>
      <c r="L16" s="58">
        <f t="shared" si="6"/>
        <v>-2884980245.04</v>
      </c>
      <c r="M16" s="58">
        <f t="shared" si="6"/>
        <v>-1528127586.9300003</v>
      </c>
      <c r="N16" s="58">
        <f t="shared" si="6"/>
        <v>-1944821223.79</v>
      </c>
      <c r="O16" s="58">
        <f t="shared" si="6"/>
        <v>-2509907999.2999997</v>
      </c>
      <c r="P16" s="58">
        <f t="shared" si="6"/>
        <v>-3565980717.3600001</v>
      </c>
      <c r="Q16" s="58">
        <f t="shared" si="6"/>
        <v>-3357835137.5600004</v>
      </c>
      <c r="R16" s="58">
        <f t="shared" si="6"/>
        <v>-2544307916.3599997</v>
      </c>
      <c r="S16" s="58">
        <f t="shared" si="6"/>
        <v>-2650928704.8899999</v>
      </c>
      <c r="T16" s="58">
        <f t="shared" si="6"/>
        <v>-1944355391.6099999</v>
      </c>
      <c r="U16" s="58">
        <f t="shared" si="6"/>
        <v>-1855396028.55</v>
      </c>
      <c r="V16" s="58">
        <f t="shared" si="6"/>
        <v>-1336348691.9300001</v>
      </c>
      <c r="W16" s="58">
        <f t="shared" si="6"/>
        <v>-1216002908.47</v>
      </c>
      <c r="X16" s="58">
        <f t="shared" si="6"/>
        <v>-612879722.08000004</v>
      </c>
      <c r="Y16" s="58">
        <f t="shared" si="6"/>
        <v>-414415272.45999992</v>
      </c>
      <c r="Z16" s="58">
        <f t="shared" si="6"/>
        <v>-146325802.86000001</v>
      </c>
      <c r="AA16" s="58">
        <f t="shared" si="6"/>
        <v>-233626306.99000001</v>
      </c>
      <c r="AB16" s="58">
        <f t="shared" si="6"/>
        <v>351389743.87999988</v>
      </c>
      <c r="AC16" s="58">
        <f t="shared" si="6"/>
        <v>546737596.95999992</v>
      </c>
      <c r="AD16" s="58">
        <f t="shared" si="6"/>
        <v>419720725.56999993</v>
      </c>
      <c r="AE16" s="58">
        <f t="shared" si="6"/>
        <v>259581330.32000017</v>
      </c>
      <c r="AF16" s="58">
        <f t="shared" si="6"/>
        <v>564114003.75999999</v>
      </c>
      <c r="AG16" s="58">
        <f t="shared" si="6"/>
        <v>569314264.12000012</v>
      </c>
      <c r="AH16" s="58">
        <f t="shared" si="6"/>
        <v>111313087.27999997</v>
      </c>
      <c r="AI16" s="58">
        <f t="shared" si="6"/>
        <v>854102165.1400001</v>
      </c>
      <c r="AJ16" s="58">
        <f t="shared" si="6"/>
        <v>254109933.67000008</v>
      </c>
      <c r="AK16" s="58">
        <f t="shared" si="6"/>
        <v>430872064.90999985</v>
      </c>
      <c r="AL16" s="58">
        <f t="shared" si="6"/>
        <v>498487329.63999999</v>
      </c>
      <c r="AM16" s="58">
        <f t="shared" si="6"/>
        <v>292042330.03999996</v>
      </c>
      <c r="AN16" s="58">
        <f t="shared" si="6"/>
        <v>580745841.07999992</v>
      </c>
      <c r="AO16" s="58">
        <f t="shared" si="6"/>
        <v>677460767.36000001</v>
      </c>
      <c r="AP16" s="58">
        <f t="shared" si="6"/>
        <v>563618706.20999992</v>
      </c>
      <c r="AQ16" s="58">
        <f t="shared" si="6"/>
        <v>620154745.94000006</v>
      </c>
      <c r="AR16" s="58">
        <f t="shared" si="6"/>
        <v>687998894.44000006</v>
      </c>
      <c r="AS16" s="58">
        <f t="shared" si="6"/>
        <v>827210091.05999994</v>
      </c>
      <c r="AT16" s="58">
        <f t="shared" si="6"/>
        <v>-450033183.72000003</v>
      </c>
      <c r="AU16" s="58">
        <f t="shared" si="6"/>
        <v>-109510311.23999995</v>
      </c>
      <c r="AV16" s="58">
        <f t="shared" si="6"/>
        <v>-180730146.95999998</v>
      </c>
      <c r="AW16" s="58">
        <f t="shared" si="6"/>
        <v>1460095872.4200001</v>
      </c>
      <c r="AX16" s="58">
        <f t="shared" si="6"/>
        <v>917271341.45000005</v>
      </c>
      <c r="AY16" s="58">
        <f t="shared" si="6"/>
        <v>1027740554.28</v>
      </c>
      <c r="AZ16" s="58">
        <f t="shared" si="6"/>
        <v>1033372141.71</v>
      </c>
      <c r="BA16" s="58">
        <f t="shared" si="6"/>
        <v>1192421087.97</v>
      </c>
      <c r="BB16" s="58">
        <f t="shared" si="6"/>
        <v>506901362.45000005</v>
      </c>
      <c r="BC16" s="58">
        <f t="shared" si="6"/>
        <v>599950680.13</v>
      </c>
      <c r="BD16" s="58">
        <f t="shared" si="6"/>
        <v>-1049840141.4</v>
      </c>
      <c r="BE16" s="58">
        <f t="shared" si="6"/>
        <v>-1018152193.03</v>
      </c>
      <c r="BF16" s="58">
        <f t="shared" si="6"/>
        <v>-1064764938.53</v>
      </c>
      <c r="BG16" s="58">
        <f t="shared" si="6"/>
        <v>-1114295564.6700001</v>
      </c>
      <c r="BH16" s="58">
        <f t="shared" si="6"/>
        <v>-1088642828.8099999</v>
      </c>
      <c r="BI16" s="58">
        <f t="shared" si="6"/>
        <v>-947158565.73000002</v>
      </c>
      <c r="BJ16" s="58">
        <f t="shared" si="6"/>
        <v>-863301615.00999999</v>
      </c>
      <c r="BK16" s="58">
        <f t="shared" si="6"/>
        <v>-797269155.94000006</v>
      </c>
      <c r="BL16" s="58">
        <f t="shared" si="6"/>
        <v>-1049445262.8200001</v>
      </c>
      <c r="BM16" s="58">
        <f t="shared" si="6"/>
        <v>-934224940.50999999</v>
      </c>
      <c r="BN16" s="58">
        <f t="shared" si="6"/>
        <v>-823708768.09000003</v>
      </c>
      <c r="BO16" s="58">
        <f t="shared" si="6"/>
        <v>-390586106.44</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0.48435769728928241</v>
      </c>
      <c r="F17" s="59">
        <f t="shared" ref="F17:BQ17" si="8">(F11+F13-F7-F3)/F4</f>
        <v>1.2003195314122059</v>
      </c>
      <c r="G17" s="59">
        <f t="shared" si="8"/>
        <v>0.49765214936294938</v>
      </c>
      <c r="H17" s="59">
        <f t="shared" si="8"/>
        <v>0.56243959651847453</v>
      </c>
      <c r="I17" s="59">
        <f t="shared" si="8"/>
        <v>0.38940944132490718</v>
      </c>
      <c r="J17" s="59">
        <f t="shared" si="8"/>
        <v>-0.59121870177675862</v>
      </c>
      <c r="K17" s="59">
        <f t="shared" si="8"/>
        <v>-0.83688968704022959</v>
      </c>
      <c r="L17" s="59">
        <f t="shared" si="8"/>
        <v>-1.1994799912826588</v>
      </c>
      <c r="M17" s="59">
        <f t="shared" si="8"/>
        <v>7.4585661580183052E-2</v>
      </c>
      <c r="N17" s="59">
        <f t="shared" si="8"/>
        <v>-0.62491268749403805</v>
      </c>
      <c r="O17" s="59">
        <f t="shared" si="8"/>
        <v>-0.72914421020678177</v>
      </c>
      <c r="P17" s="59">
        <f t="shared" si="8"/>
        <v>-2.3438819170876224</v>
      </c>
      <c r="Q17" s="59">
        <f t="shared" si="8"/>
        <v>-1.554073893839929</v>
      </c>
      <c r="R17" s="59">
        <f t="shared" si="8"/>
        <v>-1.3893830200523507</v>
      </c>
      <c r="S17" s="59">
        <f t="shared" si="8"/>
        <v>-1.3861215632787924</v>
      </c>
      <c r="T17" s="59">
        <f t="shared" si="8"/>
        <v>-1.2670647487636062</v>
      </c>
      <c r="U17" s="59">
        <f t="shared" si="8"/>
        <v>-0.5807764037513764</v>
      </c>
      <c r="V17" s="59">
        <f t="shared" si="8"/>
        <v>-0.16322591407275694</v>
      </c>
      <c r="W17" s="59">
        <f t="shared" si="8"/>
        <v>-0.21821138188331957</v>
      </c>
      <c r="X17" s="59">
        <f t="shared" si="8"/>
        <v>0.17888509408138925</v>
      </c>
      <c r="Y17" s="59">
        <f t="shared" si="8"/>
        <v>0.5680602516621055</v>
      </c>
      <c r="Z17" s="59">
        <f t="shared" si="8"/>
        <v>0.85840251867497464</v>
      </c>
      <c r="AA17" s="59">
        <f t="shared" si="8"/>
        <v>0.77842315674040741</v>
      </c>
      <c r="AB17" s="59">
        <f t="shared" si="8"/>
        <v>1.4242119368237531</v>
      </c>
      <c r="AC17" s="59">
        <f t="shared" si="8"/>
        <v>1.560560708233155</v>
      </c>
      <c r="AD17" s="59">
        <f t="shared" si="8"/>
        <v>1.3196956706526428</v>
      </c>
      <c r="AE17" s="59">
        <f t="shared" si="8"/>
        <v>1.187064791222056</v>
      </c>
      <c r="AF17" s="59">
        <f t="shared" si="8"/>
        <v>1.4128307969888385</v>
      </c>
      <c r="AG17" s="59">
        <f t="shared" si="8"/>
        <v>1.3408738927278814</v>
      </c>
      <c r="AH17" s="59">
        <f t="shared" si="8"/>
        <v>1.0714511866677046</v>
      </c>
      <c r="AI17" s="59">
        <f t="shared" si="8"/>
        <v>1.7800478118376688</v>
      </c>
      <c r="AJ17" s="59">
        <f t="shared" si="8"/>
        <v>1.1312973421583337</v>
      </c>
      <c r="AK17" s="59">
        <f t="shared" si="8"/>
        <v>1.2129210469220875</v>
      </c>
      <c r="AL17" s="59">
        <f t="shared" si="8"/>
        <v>7.5088061406786366</v>
      </c>
      <c r="AM17" s="59">
        <f t="shared" si="8"/>
        <v>1.9619781015033593</v>
      </c>
      <c r="AN17" s="59">
        <f t="shared" si="8"/>
        <v>3.2425280783370765</v>
      </c>
      <c r="AO17" s="59">
        <f t="shared" si="8"/>
        <v>2.6871344725486281</v>
      </c>
      <c r="AP17" s="59">
        <f t="shared" si="8"/>
        <v>2.0328168531814419</v>
      </c>
      <c r="AQ17" s="59">
        <f t="shared" si="8"/>
        <v>1.9829715670797989</v>
      </c>
      <c r="AR17" s="59">
        <f t="shared" si="8"/>
        <v>1.9327370552419987</v>
      </c>
      <c r="AS17" s="59">
        <f t="shared" si="8"/>
        <v>1.8473410972120226</v>
      </c>
      <c r="AT17" s="59">
        <f t="shared" si="8"/>
        <v>0.68260249062712286</v>
      </c>
      <c r="AU17" s="59">
        <f t="shared" si="8"/>
        <v>0.8983739351401645</v>
      </c>
      <c r="AV17" s="59">
        <f t="shared" si="8"/>
        <v>0.86451185177015566</v>
      </c>
      <c r="AW17" s="59">
        <f t="shared" si="8"/>
        <v>-13.686371710105254</v>
      </c>
      <c r="AX17" s="59">
        <f t="shared" si="8"/>
        <v>2.6661176181378563</v>
      </c>
      <c r="AY17" s="59">
        <f t="shared" si="8"/>
        <v>-1.15845987642807</v>
      </c>
      <c r="AZ17" s="59">
        <f t="shared" si="8"/>
        <v>-2.0657494981543243</v>
      </c>
      <c r="BA17" s="59">
        <f t="shared" si="8"/>
        <v>-2.7045670496437606</v>
      </c>
      <c r="BB17" s="59">
        <f t="shared" si="8"/>
        <v>1.8566661485025526</v>
      </c>
      <c r="BC17" s="59">
        <f t="shared" si="8"/>
        <v>2.0999646385594981</v>
      </c>
      <c r="BD17" s="59">
        <f t="shared" si="8"/>
        <v>0.63390808482313366</v>
      </c>
      <c r="BE17" s="59">
        <f t="shared" si="8"/>
        <v>0.65524370269672616</v>
      </c>
      <c r="BF17" s="59">
        <f t="shared" si="8"/>
        <v>0.52270667703455553</v>
      </c>
      <c r="BG17" s="59">
        <f t="shared" si="8"/>
        <v>8.9699023608796935</v>
      </c>
      <c r="BH17" s="59">
        <f t="shared" si="8"/>
        <v>13.197960366468738</v>
      </c>
      <c r="BI17" s="59">
        <f t="shared" si="8"/>
        <v>13.560310912139432</v>
      </c>
      <c r="BJ17" s="59">
        <f t="shared" si="8"/>
        <v>13.942821241571572</v>
      </c>
      <c r="BK17" s="59">
        <f t="shared" si="8"/>
        <v>-40113.817241822937</v>
      </c>
      <c r="BL17" s="59">
        <f t="shared" si="8"/>
        <v>11.693703063360523</v>
      </c>
      <c r="BM17" s="59">
        <f t="shared" si="8"/>
        <v>8.7466322904030047</v>
      </c>
      <c r="BN17" s="59">
        <f t="shared" si="8"/>
        <v>10.977618976695055</v>
      </c>
      <c r="BO17" s="59">
        <f t="shared" si="8"/>
        <v>2.2995236401770831</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8" t="s">
        <v>745</v>
      </c>
      <c r="B18" s="280"/>
      <c r="C18" s="280"/>
      <c r="D18" s="280"/>
      <c r="E18" s="280"/>
      <c r="F18" s="280"/>
      <c r="G18" s="280"/>
      <c r="H18" s="280"/>
      <c r="I18" s="280"/>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0"/>
      <c r="AG18" s="280"/>
    </row>
    <row r="19" spans="1:90" x14ac:dyDescent="0.25">
      <c r="A19" s="112" t="s">
        <v>575</v>
      </c>
      <c r="B19" s="113"/>
      <c r="C19" s="113"/>
      <c r="D19" s="113"/>
      <c r="E19" s="113" t="s">
        <v>568</v>
      </c>
      <c r="F19" s="113"/>
      <c r="G19" s="113"/>
      <c r="H19" s="113"/>
      <c r="I19" s="113" t="s">
        <v>603</v>
      </c>
      <c r="M19" s="113" t="s">
        <v>570</v>
      </c>
      <c r="N19" s="63"/>
      <c r="O19" s="63"/>
      <c r="P19" s="63"/>
      <c r="Q19" s="63"/>
      <c r="R19" s="63"/>
      <c r="S19" s="63"/>
      <c r="T19" s="63"/>
      <c r="U19" s="63"/>
    </row>
    <row r="20" spans="1:90" s="63" customFormat="1" ht="14.25" customHeight="1" x14ac:dyDescent="0.25">
      <c r="A20" s="112" t="s">
        <v>576</v>
      </c>
      <c r="B20" s="114"/>
      <c r="C20" s="114"/>
      <c r="D20" s="114"/>
      <c r="E20" s="114">
        <f>POWER(E9/U9,1/5)-1</f>
        <v>0.17726748213968557</v>
      </c>
      <c r="F20" s="114"/>
      <c r="G20" s="114"/>
      <c r="H20" s="114"/>
      <c r="I20" s="114">
        <f>POWER(E9/Y9,1/6)-1</f>
        <v>0.13781093550241241</v>
      </c>
      <c r="M20" s="114">
        <f>POWER(E9/AC9,1/7)-1</f>
        <v>0.11045570454057563</v>
      </c>
    </row>
    <row r="21" spans="1:90" s="63" customFormat="1" ht="14.25" customHeight="1" x14ac:dyDescent="0.25">
      <c r="A21" s="112" t="s">
        <v>574</v>
      </c>
      <c r="B21" s="114"/>
      <c r="C21" s="114"/>
      <c r="D21" s="114"/>
      <c r="E21" s="114">
        <f>POWER(E4/U4,1/5)-1</f>
        <v>0.21095376324729753</v>
      </c>
      <c r="F21" s="114"/>
      <c r="G21" s="114"/>
      <c r="H21" s="114"/>
      <c r="I21" s="114">
        <f>POWER(E4/Y4,1/6)-1</f>
        <v>0.21301238141639112</v>
      </c>
      <c r="M21" s="114">
        <f>POWER(E4/AC4,1/7)-1</f>
        <v>0.17723714498606324</v>
      </c>
    </row>
    <row r="22" spans="1:90" s="63" customFormat="1" ht="14.25" customHeight="1" x14ac:dyDescent="0.25">
      <c r="A22" s="112" t="s">
        <v>577</v>
      </c>
      <c r="B22" s="114"/>
      <c r="C22" s="114"/>
      <c r="D22" s="114"/>
      <c r="E22" s="114">
        <f>POWER(E5/U5,1/5)-1</f>
        <v>0.11667807146538745</v>
      </c>
      <c r="F22" s="114"/>
      <c r="G22" s="114"/>
      <c r="H22" s="114"/>
      <c r="I22" s="114">
        <f>POWER(E5/Y5,1/6)-1</f>
        <v>8.0864942344014645E-2</v>
      </c>
      <c r="M22" s="114">
        <f>POWER(E5/AC5,1/7)-1</f>
        <v>4.6391770170113977E-2</v>
      </c>
    </row>
    <row r="23" spans="1:90" s="63" customFormat="1" ht="14.25" customHeight="1" x14ac:dyDescent="0.25">
      <c r="A23" s="112" t="s">
        <v>578</v>
      </c>
      <c r="B23" s="114"/>
      <c r="C23" s="114"/>
      <c r="D23" s="114"/>
      <c r="E23" s="114">
        <f>POWER(E6/U6,1/5)-1</f>
        <v>0.17816067842263283</v>
      </c>
      <c r="F23" s="114"/>
      <c r="G23" s="114"/>
      <c r="H23" s="114"/>
      <c r="I23" s="114">
        <f>POWER(E6/Y6,1/6)-1</f>
        <v>0.16203448858291569</v>
      </c>
      <c r="M23" s="114">
        <f>POWER(E6/AC6,1/7)-1</f>
        <v>0.12461160987651376</v>
      </c>
    </row>
    <row r="24" spans="1:90" s="63" customFormat="1" ht="14.25" customHeight="1" x14ac:dyDescent="0.25">
      <c r="A24" s="112" t="s">
        <v>579</v>
      </c>
      <c r="B24" s="114"/>
      <c r="C24" s="114"/>
      <c r="D24" s="114"/>
      <c r="E24" s="114">
        <f>POWER(E7/U7,1/5)-1</f>
        <v>0.19918984405931428</v>
      </c>
      <c r="F24" s="114"/>
      <c r="G24" s="114"/>
      <c r="H24" s="114"/>
      <c r="I24" s="114">
        <f>POWER(E7/Y7,1/6)-1</f>
        <v>0.14573921149611935</v>
      </c>
      <c r="M24" s="114">
        <f>POWER(E7/AC7,1/7)-1</f>
        <v>0.11069177985149325</v>
      </c>
    </row>
    <row r="25" spans="1:90" s="106" customFormat="1" x14ac:dyDescent="0.25">
      <c r="A25" s="142" t="s">
        <v>555</v>
      </c>
      <c r="B25" s="107"/>
      <c r="C25" s="107"/>
      <c r="D25" s="107"/>
      <c r="E25" s="107">
        <f>(E2-I2)/I2</f>
        <v>1.572536014540157</v>
      </c>
      <c r="F25" s="107">
        <f t="shared" ref="F25:BQ25" si="10">(F2-J2)/J2</f>
        <v>-0.54693940488838266</v>
      </c>
      <c r="G25" s="107">
        <f t="shared" si="10"/>
        <v>-0.53949959026302263</v>
      </c>
      <c r="H25" s="107">
        <f t="shared" si="10"/>
        <v>-0.71787358645198796</v>
      </c>
      <c r="I25" s="107">
        <f t="shared" si="10"/>
        <v>-0.23395765146040606</v>
      </c>
      <c r="J25" s="106">
        <f t="shared" si="10"/>
        <v>0.33994276073438606</v>
      </c>
      <c r="K25" s="106">
        <f t="shared" si="10"/>
        <v>0.29250008130367738</v>
      </c>
      <c r="L25" s="106">
        <f t="shared" si="10"/>
        <v>-0.19097143991966528</v>
      </c>
      <c r="M25" s="107">
        <f t="shared" si="10"/>
        <v>-0.5449069045002527</v>
      </c>
      <c r="N25" s="107">
        <f t="shared" si="10"/>
        <v>-0.23561876639037152</v>
      </c>
      <c r="O25" s="107">
        <f t="shared" si="10"/>
        <v>-5.3196717561610846E-2</v>
      </c>
      <c r="P25" s="107">
        <f t="shared" si="10"/>
        <v>0.83401693576565394</v>
      </c>
      <c r="Q25" s="107">
        <f t="shared" si="10"/>
        <v>0.80976734125283389</v>
      </c>
      <c r="R25" s="107">
        <f t="shared" si="10"/>
        <v>0.89882398719745171</v>
      </c>
      <c r="S25" s="107">
        <f t="shared" si="10"/>
        <v>0.38136283402844096</v>
      </c>
      <c r="T25" s="107">
        <f t="shared" si="10"/>
        <v>0.46862938308271834</v>
      </c>
      <c r="U25" s="107">
        <f t="shared" si="10"/>
        <v>0.42954583191001988</v>
      </c>
      <c r="V25" s="106">
        <f t="shared" si="10"/>
        <v>0.40293055768947184</v>
      </c>
      <c r="W25" s="106">
        <f t="shared" si="10"/>
        <v>0.49250744023618703</v>
      </c>
      <c r="X25" s="106">
        <f t="shared" si="10"/>
        <v>0.79641469441151502</v>
      </c>
      <c r="Y25" s="106">
        <f t="shared" si="10"/>
        <v>0.30970932037034909</v>
      </c>
      <c r="Z25" s="106">
        <f t="shared" si="10"/>
        <v>-0.55102601000328166</v>
      </c>
      <c r="AA25" s="106">
        <f t="shared" si="10"/>
        <v>1.3230300129925134E-2</v>
      </c>
      <c r="AB25" s="106">
        <f t="shared" si="10"/>
        <v>-0.22502949074385648</v>
      </c>
      <c r="AC25" s="106">
        <f t="shared" si="10"/>
        <v>-0.11251371394086088</v>
      </c>
      <c r="AD25" s="106">
        <f t="shared" si="10"/>
        <v>1.2004264530871853</v>
      </c>
      <c r="AE25" s="106">
        <f t="shared" si="10"/>
        <v>0.69564281385830551</v>
      </c>
      <c r="AF25" s="106">
        <f t="shared" si="10"/>
        <v>-0.29717355588006344</v>
      </c>
      <c r="AG25" s="106">
        <f t="shared" si="10"/>
        <v>-3.498850123930447E-2</v>
      </c>
      <c r="AH25" s="106">
        <f t="shared" si="10"/>
        <v>0.21497872009022476</v>
      </c>
      <c r="AI25" s="106">
        <f t="shared" si="10"/>
        <v>-0.24219976355933304</v>
      </c>
      <c r="AJ25" s="106">
        <f t="shared" si="10"/>
        <v>0.99446379847907718</v>
      </c>
      <c r="AK25" s="106">
        <f t="shared" si="10"/>
        <v>1.0634983169152343</v>
      </c>
      <c r="AL25" s="106">
        <f t="shared" si="10"/>
        <v>0.25344072468844969</v>
      </c>
      <c r="AM25" s="106">
        <f t="shared" si="10"/>
        <v>0.68955068457406288</v>
      </c>
      <c r="AN25" s="106">
        <f t="shared" si="10"/>
        <v>0.62664646316373762</v>
      </c>
      <c r="AO25" s="106">
        <f t="shared" si="10"/>
        <v>9.1694965539569247E-3</v>
      </c>
      <c r="AP25" s="106">
        <f t="shared" si="10"/>
        <v>0.21098156691241687</v>
      </c>
      <c r="AQ25" s="106">
        <f t="shared" si="10"/>
        <v>0.24372330968226608</v>
      </c>
      <c r="AR25" s="106">
        <f t="shared" si="10"/>
        <v>-0.25533543459495173</v>
      </c>
      <c r="AS25" s="106">
        <f t="shared" si="10"/>
        <v>0.15004690582509059</v>
      </c>
      <c r="AT25" s="106">
        <f t="shared" si="10"/>
        <v>8.2267723162122372E-2</v>
      </c>
      <c r="AU25" s="106">
        <f t="shared" si="10"/>
        <v>0.12646306621434319</v>
      </c>
      <c r="AV25" s="106">
        <f t="shared" si="10"/>
        <v>9.8291886425563371E-2</v>
      </c>
      <c r="AW25" s="106">
        <f t="shared" si="10"/>
        <v>0.28633741792741507</v>
      </c>
      <c r="AX25" s="106">
        <f t="shared" si="10"/>
        <v>-0.18332528877346085</v>
      </c>
      <c r="AY25" s="106">
        <f t="shared" si="10"/>
        <v>-0.16564340927717613</v>
      </c>
      <c r="AZ25" s="106">
        <f t="shared" si="10"/>
        <v>-0.51426142116268669</v>
      </c>
      <c r="BA25" s="106">
        <f t="shared" si="10"/>
        <v>-0.63109198568613922</v>
      </c>
      <c r="BB25" s="106">
        <f t="shared" si="10"/>
        <v>-0.44297692750023882</v>
      </c>
      <c r="BC25" s="106">
        <f t="shared" si="10"/>
        <v>-0.55124175692282307</v>
      </c>
      <c r="BD25" s="106">
        <f t="shared" si="10"/>
        <v>-3.5643175505427567E-2</v>
      </c>
      <c r="BE25" s="106">
        <f t="shared" si="10"/>
        <v>7.4954321133424262E-2</v>
      </c>
      <c r="BF25" s="106">
        <f t="shared" si="10"/>
        <v>0.23336377462663074</v>
      </c>
      <c r="BG25" s="106">
        <f t="shared" si="10"/>
        <v>0.39764037824367865</v>
      </c>
      <c r="BH25" s="106">
        <f t="shared" si="10"/>
        <v>3.7350748417950622E-2</v>
      </c>
      <c r="BI25" s="106">
        <f t="shared" si="10"/>
        <v>1.3844230290982674E-2</v>
      </c>
      <c r="BJ25" s="106">
        <f t="shared" si="10"/>
        <v>4.8066559995236041E-2</v>
      </c>
      <c r="BK25" s="106">
        <f t="shared" si="10"/>
        <v>1.0412122776376143</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2" t="s">
        <v>563</v>
      </c>
      <c r="E26" s="107">
        <f>E2/E9</f>
        <v>0.16580019320843828</v>
      </c>
      <c r="F26" s="107">
        <f t="shared" ref="F26:BQ26" si="12">F2/F9</f>
        <v>6.9705383152224354E-2</v>
      </c>
      <c r="G26" s="107">
        <f t="shared" si="12"/>
        <v>9.5102689661594283E-2</v>
      </c>
      <c r="H26" s="107">
        <f t="shared" si="12"/>
        <v>5.3697866206198312E-2</v>
      </c>
      <c r="I26" s="107">
        <f t="shared" si="12"/>
        <v>7.9519123654490598E-2</v>
      </c>
      <c r="J26" s="107">
        <f t="shared" si="12"/>
        <v>0.18484878890702219</v>
      </c>
      <c r="K26" s="107">
        <f t="shared" si="12"/>
        <v>0.23380384375074734</v>
      </c>
      <c r="L26" s="107">
        <f t="shared" si="12"/>
        <v>0.21276912566704925</v>
      </c>
      <c r="M26" s="107">
        <f t="shared" si="12"/>
        <v>0.15626669323973055</v>
      </c>
      <c r="N26" s="107">
        <f t="shared" si="12"/>
        <v>0.2061101179314567</v>
      </c>
      <c r="O26" s="107">
        <f t="shared" si="12"/>
        <v>0.26771112022130494</v>
      </c>
      <c r="P26" s="107">
        <f t="shared" si="12"/>
        <v>0.38845428190122766</v>
      </c>
      <c r="Q26" s="107">
        <f t="shared" si="12"/>
        <v>0.37887076939287817</v>
      </c>
      <c r="R26" s="107">
        <f t="shared" si="12"/>
        <v>0.30269995872383626</v>
      </c>
      <c r="S26" s="107">
        <f t="shared" si="12"/>
        <v>0.30879012011886431</v>
      </c>
      <c r="T26" s="107">
        <f t="shared" si="12"/>
        <v>0.23450310565824328</v>
      </c>
      <c r="U26" s="107">
        <f t="shared" si="12"/>
        <v>0.23100614786124335</v>
      </c>
      <c r="V26" s="107">
        <f t="shared" si="12"/>
        <v>0.17175646545084811</v>
      </c>
      <c r="W26" s="107">
        <f t="shared" si="12"/>
        <v>0.22177169301792965</v>
      </c>
      <c r="X26" s="107">
        <f t="shared" si="12"/>
        <v>0.15697734481476153</v>
      </c>
      <c r="Y26" s="107">
        <f t="shared" si="12"/>
        <v>0.1550494869726366</v>
      </c>
      <c r="Z26" s="107">
        <f t="shared" si="12"/>
        <v>0.11665698954836798</v>
      </c>
      <c r="AA26" s="107">
        <f t="shared" si="12"/>
        <v>0.14883132724566106</v>
      </c>
      <c r="AB26" s="107">
        <f t="shared" si="12"/>
        <v>8.7103029494449771E-2</v>
      </c>
      <c r="AC26" s="107">
        <f t="shared" si="12"/>
        <v>0.11360134439200811</v>
      </c>
      <c r="AD26" s="107">
        <f t="shared" si="12"/>
        <v>0.22333366036029431</v>
      </c>
      <c r="AE26" s="107">
        <f t="shared" si="12"/>
        <v>0.14575104725528926</v>
      </c>
      <c r="AF26" s="107">
        <f t="shared" si="12"/>
        <v>0.1113390054094513</v>
      </c>
      <c r="AG26" s="107">
        <f t="shared" si="12"/>
        <v>0.13064700462914747</v>
      </c>
      <c r="AH26" s="107">
        <f t="shared" si="12"/>
        <v>0.11927647193795983</v>
      </c>
      <c r="AI26" s="107">
        <f t="shared" si="12"/>
        <v>8.8486732235610155E-2</v>
      </c>
      <c r="AJ26" s="107">
        <f t="shared" si="12"/>
        <v>0.16228631046454703</v>
      </c>
      <c r="AK26" s="107">
        <f t="shared" si="12"/>
        <v>0.14188731984572397</v>
      </c>
      <c r="AL26" s="107">
        <f t="shared" si="12"/>
        <v>0.1006491181367362</v>
      </c>
      <c r="AM26" s="107">
        <f t="shared" si="12"/>
        <v>0.12558334644296285</v>
      </c>
      <c r="AN26" s="107">
        <f t="shared" si="12"/>
        <v>8.807227658645285E-2</v>
      </c>
      <c r="AO26" s="107">
        <f t="shared" si="12"/>
        <v>7.4213044673451287E-2</v>
      </c>
      <c r="AP26" s="107">
        <f t="shared" si="12"/>
        <v>8.3766548971537041E-2</v>
      </c>
      <c r="AQ26" s="107">
        <f t="shared" si="12"/>
        <v>7.7599734886286506E-2</v>
      </c>
      <c r="AR26" s="107">
        <f t="shared" si="12"/>
        <v>5.6774302540718351E-2</v>
      </c>
      <c r="AS26" s="107">
        <f t="shared" si="12"/>
        <v>7.5394763889038818E-2</v>
      </c>
      <c r="AT26" s="107">
        <f t="shared" si="12"/>
        <v>0.10550820570640783</v>
      </c>
      <c r="AU26" s="107">
        <f t="shared" si="12"/>
        <v>8.9206186292956763E-2</v>
      </c>
      <c r="AV26" s="107">
        <f t="shared" si="12"/>
        <v>0.10774280849788262</v>
      </c>
      <c r="AW26" s="107">
        <f t="shared" si="12"/>
        <v>7.2602172293326106E-2</v>
      </c>
      <c r="AX26" s="107">
        <f t="shared" si="12"/>
        <v>7.9493006573079519E-2</v>
      </c>
      <c r="AY26" s="107">
        <f t="shared" si="12"/>
        <v>5.8427405090800542E-2</v>
      </c>
      <c r="AZ26" s="107">
        <f t="shared" si="12"/>
        <v>7.1059587525123299E-2</v>
      </c>
      <c r="BA26" s="107">
        <f t="shared" si="12"/>
        <v>5.2830815677267752E-2</v>
      </c>
      <c r="BB26" s="107">
        <f t="shared" si="12"/>
        <v>9.3377774002303848E-2</v>
      </c>
      <c r="BC26" s="107">
        <f t="shared" si="12"/>
        <v>7.8403716754928868E-2</v>
      </c>
      <c r="BD26" s="107">
        <f t="shared" si="12"/>
        <v>0.24882327323761513</v>
      </c>
      <c r="BE26" s="107">
        <f t="shared" si="12"/>
        <v>0.24458941518018645</v>
      </c>
      <c r="BF26" s="107">
        <f t="shared" si="12"/>
        <v>0.25545682488208549</v>
      </c>
      <c r="BG26" s="107">
        <f t="shared" si="12"/>
        <v>0.26804118554387812</v>
      </c>
      <c r="BH26" s="107">
        <f t="shared" si="12"/>
        <v>0.26721408017627385</v>
      </c>
      <c r="BI26" s="107">
        <f t="shared" si="12"/>
        <v>0.24121577224436247</v>
      </c>
      <c r="BJ26" s="107">
        <f t="shared" si="12"/>
        <v>0.22528988023360069</v>
      </c>
      <c r="BK26" s="107">
        <f t="shared" si="12"/>
        <v>0.21507931033507768</v>
      </c>
      <c r="BL26" s="107">
        <f t="shared" si="12"/>
        <v>0.66977895772301665</v>
      </c>
      <c r="BM26" s="107">
        <f t="shared" si="12"/>
        <v>0.62945045981656755</v>
      </c>
      <c r="BN26" s="107">
        <f t="shared" si="12"/>
        <v>0.6112595476468845</v>
      </c>
      <c r="BO26" s="107">
        <f t="shared" si="12"/>
        <v>0.3640276703506003</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3" t="s">
        <v>556</v>
      </c>
      <c r="E27" s="108">
        <f>(E3-I3)/I3</f>
        <v>0.70164017830655723</v>
      </c>
      <c r="F27" s="108">
        <f t="shared" ref="F27:BQ27" si="14">(F3-J3)/J3</f>
        <v>0.72379994787313651</v>
      </c>
      <c r="G27" s="108">
        <f t="shared" si="14"/>
        <v>0.20099217697317545</v>
      </c>
      <c r="H27" s="108">
        <f t="shared" si="14"/>
        <v>0.23923003558065342</v>
      </c>
      <c r="I27" s="108">
        <f t="shared" si="14"/>
        <v>0.16439161163768193</v>
      </c>
      <c r="J27" s="108">
        <f t="shared" si="14"/>
        <v>0.14469657321482671</v>
      </c>
      <c r="K27" s="108">
        <f t="shared" si="14"/>
        <v>0.23370050338824006</v>
      </c>
      <c r="L27" s="108">
        <f t="shared" si="14"/>
        <v>0.12470368631504639</v>
      </c>
      <c r="M27" s="108">
        <f t="shared" si="14"/>
        <v>0.10952120199298949</v>
      </c>
      <c r="N27" s="108">
        <f t="shared" si="14"/>
        <v>2.7850315736772564E-2</v>
      </c>
      <c r="O27" s="108">
        <f t="shared" si="14"/>
        <v>2.4279501157740815E-2</v>
      </c>
      <c r="P27" s="108">
        <f t="shared" si="14"/>
        <v>2.2933098255547721E-2</v>
      </c>
      <c r="Q27" s="108">
        <f t="shared" si="14"/>
        <v>2.5904015302347153E-2</v>
      </c>
      <c r="R27" s="108">
        <f t="shared" si="14"/>
        <v>5.9213960306242687E-2</v>
      </c>
      <c r="S27" s="108">
        <f t="shared" si="14"/>
        <v>5.5370305182567685E-2</v>
      </c>
      <c r="T27" s="108">
        <f t="shared" si="14"/>
        <v>0.23805192871148451</v>
      </c>
      <c r="U27" s="108">
        <f t="shared" si="14"/>
        <v>0.23805192871148451</v>
      </c>
      <c r="V27" s="108">
        <f t="shared" si="14"/>
        <v>0.18907563025210083</v>
      </c>
      <c r="W27" s="108">
        <f t="shared" si="14"/>
        <v>0.18907563025210083</v>
      </c>
      <c r="X27" s="108">
        <f t="shared" si="14"/>
        <v>0</v>
      </c>
      <c r="Y27" s="108">
        <f t="shared" si="14"/>
        <v>0</v>
      </c>
      <c r="Z27" s="108">
        <f t="shared" si="14"/>
        <v>0</v>
      </c>
      <c r="AA27" s="108">
        <f t="shared" si="14"/>
        <v>0</v>
      </c>
      <c r="AB27" s="108">
        <f t="shared" si="14"/>
        <v>0</v>
      </c>
      <c r="AC27" s="108">
        <f t="shared" si="14"/>
        <v>0</v>
      </c>
      <c r="AD27" s="108">
        <f t="shared" si="14"/>
        <v>-0.52208835341365467</v>
      </c>
      <c r="AE27" s="108">
        <f t="shared" si="14"/>
        <v>-0.52208835341365467</v>
      </c>
      <c r="AF27" s="108">
        <f t="shared" si="14"/>
        <v>-0.52208835341365467</v>
      </c>
      <c r="AG27" s="108">
        <f t="shared" si="14"/>
        <v>-0.52208835341365467</v>
      </c>
      <c r="AH27" s="108">
        <f t="shared" si="14"/>
        <v>0</v>
      </c>
      <c r="AI27" s="108">
        <f t="shared" si="14"/>
        <v>0</v>
      </c>
      <c r="AJ27" s="108">
        <f t="shared" si="14"/>
        <v>0</v>
      </c>
      <c r="AK27" s="108">
        <f t="shared" si="14"/>
        <v>0</v>
      </c>
      <c r="AL27" s="108">
        <f t="shared" si="14"/>
        <v>0</v>
      </c>
      <c r="AM27" s="108">
        <f t="shared" si="14"/>
        <v>0</v>
      </c>
      <c r="AN27" s="108">
        <f t="shared" si="14"/>
        <v>-1.1042514360727472E-3</v>
      </c>
      <c r="AO27" s="108">
        <f t="shared" si="14"/>
        <v>-5.4969771337738125E-3</v>
      </c>
      <c r="AP27" s="108">
        <f t="shared" si="14"/>
        <v>-6.0033109333781434E-3</v>
      </c>
      <c r="AQ27" s="108">
        <f t="shared" si="14"/>
        <v>-6.0033109333781434E-3</v>
      </c>
      <c r="AR27" s="108">
        <f t="shared" si="14"/>
        <v>-2.1578248433440455E-2</v>
      </c>
      <c r="AS27" s="108">
        <f t="shared" si="14"/>
        <v>-7.1772407436216892E-2</v>
      </c>
      <c r="AT27" s="108">
        <f t="shared" si="14"/>
        <v>-5.6102256213307757E-2</v>
      </c>
      <c r="AU27" s="108">
        <f t="shared" si="14"/>
        <v>-6.8590518994722904E-2</v>
      </c>
      <c r="AV27" s="108">
        <f t="shared" si="14"/>
        <v>-6.2115963887629376E-2</v>
      </c>
      <c r="AW27" s="108">
        <f t="shared" si="14"/>
        <v>-9.3036413782728158E-2</v>
      </c>
      <c r="AX27" s="108">
        <f t="shared" si="14"/>
        <v>-3.1640738796493768E-2</v>
      </c>
      <c r="AY27" s="108">
        <f t="shared" si="14"/>
        <v>-2.0721265326998323E-2</v>
      </c>
      <c r="AZ27" s="108">
        <f t="shared" si="14"/>
        <v>-2.2065067446039241E-2</v>
      </c>
      <c r="BA27" s="108">
        <f t="shared" si="14"/>
        <v>7.3802212339905596E-2</v>
      </c>
      <c r="BB27" s="108">
        <f t="shared" si="14"/>
        <v>-5.5327662609264902E-2</v>
      </c>
      <c r="BC27" s="108">
        <f t="shared" si="14"/>
        <v>0.3566164623654382</v>
      </c>
      <c r="BD27" s="108">
        <f t="shared" si="14"/>
        <v>0.56240862317978446</v>
      </c>
      <c r="BE27" s="108">
        <f t="shared" si="14"/>
        <v>0.55135294078501906</v>
      </c>
      <c r="BF27" s="108">
        <f t="shared" si="14"/>
        <v>0.70325498770399486</v>
      </c>
      <c r="BG27" s="108">
        <f t="shared" si="14"/>
        <v>0.18360254842492818</v>
      </c>
      <c r="BH27" s="108">
        <f t="shared" si="14"/>
        <v>3.511846140958709E-2</v>
      </c>
      <c r="BI27" s="108">
        <f t="shared" si="14"/>
        <v>3.5159653339883634E-2</v>
      </c>
      <c r="BJ27" s="108">
        <f t="shared" si="14"/>
        <v>4.1915992580249924E-2</v>
      </c>
      <c r="BK27" s="108">
        <f t="shared" si="14"/>
        <v>3.7083888734354971</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3" t="s">
        <v>564</v>
      </c>
      <c r="E28" s="108">
        <f>E3/E9</f>
        <v>1.0976335707972238E-2</v>
      </c>
      <c r="F28" s="108">
        <f t="shared" ref="F28:BQ28" si="16">F3/F9</f>
        <v>1.0768187313219012E-2</v>
      </c>
      <c r="G28" s="108">
        <f t="shared" si="16"/>
        <v>8.6567596399956068E-3</v>
      </c>
      <c r="H28" s="108">
        <f t="shared" si="16"/>
        <v>8.3146656523663473E-3</v>
      </c>
      <c r="I28" s="108">
        <f t="shared" si="16"/>
        <v>7.9586181197521689E-3</v>
      </c>
      <c r="J28" s="108">
        <f t="shared" si="16"/>
        <v>7.5052008685589601E-3</v>
      </c>
      <c r="K28" s="108">
        <f t="shared" si="16"/>
        <v>8.1602609842417826E-3</v>
      </c>
      <c r="L28" s="108">
        <f t="shared" si="16"/>
        <v>7.5004649801415626E-3</v>
      </c>
      <c r="M28" s="108">
        <f t="shared" si="16"/>
        <v>1.0289309105048182E-2</v>
      </c>
      <c r="N28" s="108">
        <f t="shared" si="16"/>
        <v>9.7958220333087872E-3</v>
      </c>
      <c r="O28" s="108">
        <f t="shared" si="16"/>
        <v>9.7890297978904441E-3</v>
      </c>
      <c r="P28" s="108">
        <f t="shared" si="16"/>
        <v>9.8502040325704442E-3</v>
      </c>
      <c r="Q28" s="108">
        <f t="shared" si="16"/>
        <v>1.0232353441988223E-2</v>
      </c>
      <c r="R28" s="108">
        <f t="shared" si="16"/>
        <v>1.0698775607400549E-2</v>
      </c>
      <c r="S28" s="108">
        <f t="shared" si="16"/>
        <v>1.0437053489120524E-2</v>
      </c>
      <c r="T28" s="108">
        <f t="shared" si="16"/>
        <v>1.0661296529445382E-2</v>
      </c>
      <c r="U28" s="108">
        <f t="shared" si="16"/>
        <v>1.1005860106799647E-2</v>
      </c>
      <c r="V28" s="108">
        <f t="shared" si="16"/>
        <v>1.0882679136208794E-2</v>
      </c>
      <c r="W28" s="108">
        <f t="shared" si="16"/>
        <v>9.8112314587792977E-3</v>
      </c>
      <c r="X28" s="108">
        <f t="shared" si="16"/>
        <v>8.4658731133515491E-3</v>
      </c>
      <c r="Y28" s="108">
        <f t="shared" si="16"/>
        <v>8.5296263398022126E-3</v>
      </c>
      <c r="Z28" s="108">
        <f t="shared" si="16"/>
        <v>8.7208776107664462E-3</v>
      </c>
      <c r="AA28" s="108">
        <f t="shared" si="16"/>
        <v>8.2645419888194276E-3</v>
      </c>
      <c r="AB28" s="108">
        <f t="shared" si="16"/>
        <v>8.4386822674620311E-3</v>
      </c>
      <c r="AC28" s="108">
        <f t="shared" si="16"/>
        <v>8.1849882786673763E-3</v>
      </c>
      <c r="AD28" s="108">
        <f t="shared" si="16"/>
        <v>7.495917410053861E-3</v>
      </c>
      <c r="AE28" s="108">
        <f t="shared" si="16"/>
        <v>8.2005746882596407E-3</v>
      </c>
      <c r="AF28" s="108">
        <f t="shared" si="16"/>
        <v>8.3593765486699983E-3</v>
      </c>
      <c r="AG28" s="108">
        <f t="shared" si="16"/>
        <v>8.3540236166763579E-3</v>
      </c>
      <c r="AH28" s="108">
        <f t="shared" si="16"/>
        <v>1.8432516725437477E-2</v>
      </c>
      <c r="AI28" s="108">
        <f t="shared" si="16"/>
        <v>1.7664344295974965E-2</v>
      </c>
      <c r="AJ28" s="108">
        <f t="shared" si="16"/>
        <v>1.7918799796010167E-2</v>
      </c>
      <c r="AK28" s="108">
        <f t="shared" si="16"/>
        <v>1.8319967585136321E-2</v>
      </c>
      <c r="AL28" s="108">
        <f t="shared" si="16"/>
        <v>1.8897680296751988E-2</v>
      </c>
      <c r="AM28" s="108">
        <f t="shared" si="16"/>
        <v>1.8997924257726485E-2</v>
      </c>
      <c r="AN28" s="108">
        <f t="shared" si="16"/>
        <v>1.939511731357163E-2</v>
      </c>
      <c r="AO28" s="108">
        <f t="shared" si="16"/>
        <v>1.9772677549751864E-2</v>
      </c>
      <c r="AP28" s="108">
        <f t="shared" si="16"/>
        <v>1.9713918104317118E-2</v>
      </c>
      <c r="AQ28" s="108">
        <f t="shared" si="16"/>
        <v>1.9833783232467848E-2</v>
      </c>
      <c r="AR28" s="108">
        <f t="shared" si="16"/>
        <v>2.0360010819733772E-2</v>
      </c>
      <c r="AS28" s="108">
        <f t="shared" si="16"/>
        <v>2.0383766113093584E-2</v>
      </c>
      <c r="AT28" s="108">
        <f t="shared" si="16"/>
        <v>3.025109897677572E-2</v>
      </c>
      <c r="AU28" s="108">
        <f t="shared" si="16"/>
        <v>2.8528512907398842E-2</v>
      </c>
      <c r="AV28" s="108">
        <f t="shared" si="16"/>
        <v>2.9406888728595482E-2</v>
      </c>
      <c r="AW28" s="108">
        <f t="shared" si="16"/>
        <v>2.4319460531858128E-2</v>
      </c>
      <c r="AX28" s="108">
        <f t="shared" si="16"/>
        <v>2.6133260692824404E-2</v>
      </c>
      <c r="AY28" s="108">
        <f t="shared" si="16"/>
        <v>2.2598367248760607E-2</v>
      </c>
      <c r="AZ28" s="108">
        <f t="shared" si="16"/>
        <v>2.271182849803122E-2</v>
      </c>
      <c r="BA28" s="108">
        <f t="shared" si="16"/>
        <v>2.5099015672800797E-2</v>
      </c>
      <c r="BB28" s="108">
        <f t="shared" si="16"/>
        <v>2.5889328826759622E-2</v>
      </c>
      <c r="BC28" s="108">
        <f t="shared" si="16"/>
        <v>2.5837024179929564E-2</v>
      </c>
      <c r="BD28" s="108">
        <f t="shared" si="16"/>
        <v>3.9501451549011135E-2</v>
      </c>
      <c r="BE28" s="108">
        <f t="shared" si="16"/>
        <v>3.9920946366275668E-2</v>
      </c>
      <c r="BF28" s="108">
        <f t="shared" si="16"/>
        <v>4.1762527164229596E-2</v>
      </c>
      <c r="BG28" s="108">
        <f t="shared" si="16"/>
        <v>2.9218823628860129E-2</v>
      </c>
      <c r="BH28" s="108">
        <f t="shared" si="16"/>
        <v>2.6183308659591446E-2</v>
      </c>
      <c r="BI28" s="108">
        <f t="shared" si="16"/>
        <v>2.7280245067258534E-2</v>
      </c>
      <c r="BJ28" s="108">
        <f t="shared" si="16"/>
        <v>2.6669966150250652E-2</v>
      </c>
      <c r="BK28" s="108">
        <f t="shared" si="16"/>
        <v>2.7685309279284618E-2</v>
      </c>
      <c r="BL28" s="108">
        <f t="shared" si="16"/>
        <v>6.5770668563789908E-2</v>
      </c>
      <c r="BM28" s="108">
        <f t="shared" si="16"/>
        <v>6.9721708162871099E-2</v>
      </c>
      <c r="BN28" s="108">
        <f t="shared" si="16"/>
        <v>7.2788470944719158E-2</v>
      </c>
      <c r="BO28" s="108">
        <f t="shared" si="16"/>
        <v>2.0314259117874045E-2</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2" t="s">
        <v>573</v>
      </c>
      <c r="E29" s="107">
        <f>(E4-I4)/I4</f>
        <v>0.60227900667507051</v>
      </c>
      <c r="F29" s="107">
        <f t="shared" ref="F29:BQ29" si="18">(F4-J4)/J4</f>
        <v>0.12583666566194335</v>
      </c>
      <c r="G29" s="107">
        <f t="shared" si="18"/>
        <v>0.45175516030104068</v>
      </c>
      <c r="H29" s="107">
        <f t="shared" si="18"/>
        <v>0.40517212554706206</v>
      </c>
      <c r="I29" s="107">
        <f t="shared" si="18"/>
        <v>0.1551608181840976</v>
      </c>
      <c r="J29" s="107">
        <f t="shared" si="18"/>
        <v>0.36831598950032696</v>
      </c>
      <c r="K29" s="107">
        <f t="shared" si="18"/>
        <v>0.21668658060744006</v>
      </c>
      <c r="L29" s="107">
        <f t="shared" si="18"/>
        <v>0.22997071270579467</v>
      </c>
      <c r="M29" s="107">
        <f t="shared" si="18"/>
        <v>0.25602267679086588</v>
      </c>
      <c r="N29" s="107">
        <f t="shared" si="18"/>
        <v>0.12399857204033192</v>
      </c>
      <c r="O29" s="107">
        <f t="shared" si="18"/>
        <v>0.30653517218162785</v>
      </c>
      <c r="P29" s="107">
        <f t="shared" si="18"/>
        <v>0.2434156608409957</v>
      </c>
      <c r="Q29" s="107">
        <f t="shared" si="18"/>
        <v>0.12010757254607521</v>
      </c>
      <c r="R29" s="107">
        <f t="shared" si="18"/>
        <v>-7.3110052784804008E-2</v>
      </c>
      <c r="S29" s="107">
        <f t="shared" si="18"/>
        <v>0.11299578979661845</v>
      </c>
      <c r="T29" s="107">
        <f t="shared" si="18"/>
        <v>0.149053919162347</v>
      </c>
      <c r="U29" s="107">
        <f t="shared" si="18"/>
        <v>0.22335808608241484</v>
      </c>
      <c r="V29" s="107">
        <f t="shared" si="18"/>
        <v>0.11170699128820438</v>
      </c>
      <c r="W29" s="107">
        <f t="shared" si="18"/>
        <v>-5.329518130168167E-2</v>
      </c>
      <c r="X29" s="107">
        <f t="shared" si="18"/>
        <v>-9.8916328855012156E-2</v>
      </c>
      <c r="Y29" s="107">
        <f t="shared" si="18"/>
        <v>-1.6314443290809805E-2</v>
      </c>
      <c r="Z29" s="107">
        <f t="shared" si="18"/>
        <v>-0.2128785866105419</v>
      </c>
      <c r="AA29" s="107">
        <f t="shared" si="18"/>
        <v>-0.24017081117331668</v>
      </c>
      <c r="AB29" s="107">
        <f t="shared" si="18"/>
        <v>-0.39380632082713057</v>
      </c>
      <c r="AC29" s="107">
        <f t="shared" si="18"/>
        <v>-0.41602001650455478</v>
      </c>
      <c r="AD29" s="107">
        <f t="shared" si="18"/>
        <v>-0.15727305951717332</v>
      </c>
      <c r="AE29" s="107">
        <f t="shared" si="18"/>
        <v>0.26733900195298865</v>
      </c>
      <c r="AF29" s="107">
        <f t="shared" si="18"/>
        <v>-0.29396035989669017</v>
      </c>
      <c r="AG29" s="107">
        <f t="shared" si="18"/>
        <v>-0.17466819800922073</v>
      </c>
      <c r="AH29" s="107">
        <f t="shared" si="18"/>
        <v>19.341547760358232</v>
      </c>
      <c r="AI29" s="107">
        <f t="shared" si="18"/>
        <v>2.6066830676822583</v>
      </c>
      <c r="AJ29" s="107">
        <f t="shared" si="18"/>
        <v>6.4733872914248662</v>
      </c>
      <c r="AK29" s="107">
        <f t="shared" si="18"/>
        <v>4.0395910348922142</v>
      </c>
      <c r="AL29" s="107">
        <f t="shared" si="18"/>
        <v>-0.85965701652100468</v>
      </c>
      <c r="AM29" s="107">
        <f t="shared" si="18"/>
        <v>-0.51880456001992514</v>
      </c>
      <c r="AN29" s="107">
        <f t="shared" si="18"/>
        <v>-0.64890899007313174</v>
      </c>
      <c r="AO29" s="107">
        <f t="shared" si="18"/>
        <v>-0.58868277461458995</v>
      </c>
      <c r="AP29" s="107">
        <f t="shared" si="18"/>
        <v>-0.61512379730711841</v>
      </c>
      <c r="AQ29" s="107">
        <f t="shared" si="18"/>
        <v>-0.41452384533849168</v>
      </c>
      <c r="AR29" s="107">
        <f t="shared" si="18"/>
        <v>-0.44703299868895313</v>
      </c>
      <c r="AS29" s="107">
        <f t="shared" si="18"/>
        <v>-10.819529871104841</v>
      </c>
      <c r="AT29" s="107">
        <f t="shared" si="18"/>
        <v>1.5754246938509702</v>
      </c>
      <c r="AU29" s="107">
        <f t="shared" si="18"/>
        <v>-3.2631346292807226</v>
      </c>
      <c r="AV29" s="107">
        <f t="shared" si="18"/>
        <v>-4.9573932716984626</v>
      </c>
      <c r="AW29" s="107">
        <f t="shared" si="18"/>
        <v>-0.69113075326677975</v>
      </c>
      <c r="AX29" s="107">
        <f t="shared" si="18"/>
        <v>-6.9577261454973879E-2</v>
      </c>
      <c r="AY29" s="107">
        <f t="shared" si="18"/>
        <v>-1.8729767710578191</v>
      </c>
      <c r="AZ29" s="107">
        <f t="shared" si="18"/>
        <v>-1.1175403683008174</v>
      </c>
      <c r="BA29" s="107">
        <f t="shared" si="18"/>
        <v>-1.1089912654579941</v>
      </c>
      <c r="BB29" s="107">
        <f t="shared" si="18"/>
        <v>-0.7347572819780559</v>
      </c>
      <c r="BC29" s="107">
        <f t="shared" si="18"/>
        <v>-4.9011210391053446</v>
      </c>
      <c r="BD29" s="107">
        <f t="shared" si="18"/>
        <v>-33.131783950037303</v>
      </c>
      <c r="BE29" s="107">
        <f t="shared" si="18"/>
        <v>-40.163201935384564</v>
      </c>
      <c r="BF29" s="107">
        <f t="shared" si="18"/>
        <v>-34.445275876985534</v>
      </c>
      <c r="BG29" s="107">
        <f t="shared" si="18"/>
        <v>-7035.7271276795218</v>
      </c>
      <c r="BH29" s="107">
        <f t="shared" si="18"/>
        <v>-9.0575756695315243E-2</v>
      </c>
      <c r="BI29" s="107">
        <f t="shared" si="18"/>
        <v>-0.37470668467130053</v>
      </c>
      <c r="BJ29" s="107">
        <f t="shared" si="18"/>
        <v>-0.19204564424794485</v>
      </c>
      <c r="BK29" s="107">
        <f t="shared" si="18"/>
        <v>-1.0000661252821723</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2" t="s">
        <v>557</v>
      </c>
      <c r="E30" s="107">
        <f>(E5-I5)/I5</f>
        <v>0.16832857450959293</v>
      </c>
      <c r="F30" s="107">
        <f t="shared" ref="F30:BQ30" si="20">(F5-J5)/J5</f>
        <v>0.15028962584687558</v>
      </c>
      <c r="G30" s="107">
        <f t="shared" si="20"/>
        <v>0.13747152360175349</v>
      </c>
      <c r="H30" s="107">
        <f t="shared" si="20"/>
        <v>0.27225820303626247</v>
      </c>
      <c r="I30" s="107">
        <f t="shared" si="20"/>
        <v>0.25797390819249078</v>
      </c>
      <c r="J30" s="107">
        <f t="shared" si="20"/>
        <v>0.11675818001496861</v>
      </c>
      <c r="K30" s="107">
        <f t="shared" si="20"/>
        <v>2.3304239403826827E-2</v>
      </c>
      <c r="L30" s="107">
        <f t="shared" si="20"/>
        <v>-3.0745769873681314E-2</v>
      </c>
      <c r="M30" s="107">
        <f t="shared" si="20"/>
        <v>5.713518495330399E-3</v>
      </c>
      <c r="N30" s="107">
        <f t="shared" si="20"/>
        <v>1.9047229552679193E-2</v>
      </c>
      <c r="O30" s="107">
        <f t="shared" si="20"/>
        <v>7.797470092880246E-2</v>
      </c>
      <c r="P30" s="107">
        <f t="shared" si="20"/>
        <v>0.18210898772374226</v>
      </c>
      <c r="Q30" s="107">
        <f t="shared" si="20"/>
        <v>0.17470554665203689</v>
      </c>
      <c r="R30" s="107">
        <f t="shared" si="20"/>
        <v>2.8881598053844071E-3</v>
      </c>
      <c r="S30" s="107">
        <f t="shared" si="20"/>
        <v>-8.3800189093536287E-2</v>
      </c>
      <c r="T30" s="107">
        <f t="shared" si="20"/>
        <v>-5.4639854913900665E-2</v>
      </c>
      <c r="U30" s="107">
        <f t="shared" si="20"/>
        <v>-8.1691412556616258E-2</v>
      </c>
      <c r="V30" s="107">
        <f t="shared" si="20"/>
        <v>-8.4452097104822738E-2</v>
      </c>
      <c r="W30" s="107">
        <f t="shared" si="20"/>
        <v>-4.71424520915045E-2</v>
      </c>
      <c r="X30" s="107">
        <f t="shared" si="20"/>
        <v>-2.4712652237616321E-2</v>
      </c>
      <c r="Y30" s="107">
        <f t="shared" si="20"/>
        <v>-0.13854693181535668</v>
      </c>
      <c r="Z30" s="107">
        <f t="shared" si="20"/>
        <v>-5.6723551909764768E-2</v>
      </c>
      <c r="AA30" s="107">
        <f t="shared" si="20"/>
        <v>-0.12668681606813365</v>
      </c>
      <c r="AB30" s="107">
        <f t="shared" si="20"/>
        <v>-0.10434261460167332</v>
      </c>
      <c r="AC30" s="107">
        <f t="shared" si="20"/>
        <v>-0.11514879156552578</v>
      </c>
      <c r="AD30" s="107">
        <f t="shared" si="20"/>
        <v>0.46670140790108827</v>
      </c>
      <c r="AE30" s="107">
        <f t="shared" si="20"/>
        <v>-5.211194467323179E-3</v>
      </c>
      <c r="AF30" s="107">
        <f t="shared" si="20"/>
        <v>0.12543745117307897</v>
      </c>
      <c r="AG30" s="107">
        <f t="shared" si="20"/>
        <v>-3.0294021965576756E-3</v>
      </c>
      <c r="AH30" s="107">
        <f t="shared" si="20"/>
        <v>-0.32545750193071071</v>
      </c>
      <c r="AI30" s="107">
        <f t="shared" si="20"/>
        <v>-0.17705949444021904</v>
      </c>
      <c r="AJ30" s="107">
        <f t="shared" si="20"/>
        <v>-0.12515118394918734</v>
      </c>
      <c r="AK30" s="107">
        <f t="shared" si="20"/>
        <v>-1.0296050531570327E-2</v>
      </c>
      <c r="AL30" s="107">
        <f t="shared" si="20"/>
        <v>-1.7760202581801044E-2</v>
      </c>
      <c r="AM30" s="107">
        <f t="shared" si="20"/>
        <v>0.15159810457959111</v>
      </c>
      <c r="AN30" s="107">
        <f t="shared" si="20"/>
        <v>0.28855470933126087</v>
      </c>
      <c r="AO30" s="107">
        <f t="shared" si="20"/>
        <v>0.39019021526943576</v>
      </c>
      <c r="AP30" s="107">
        <f t="shared" si="20"/>
        <v>0.2366489974011915</v>
      </c>
      <c r="AQ30" s="107">
        <f t="shared" si="20"/>
        <v>-3.159364245181031E-2</v>
      </c>
      <c r="AR30" s="107">
        <f t="shared" si="20"/>
        <v>-0.14523358732964375</v>
      </c>
      <c r="AS30" s="107">
        <f t="shared" si="20"/>
        <v>-0.19085636354018354</v>
      </c>
      <c r="AT30" s="107">
        <f t="shared" si="20"/>
        <v>-0.25971078896970828</v>
      </c>
      <c r="AU30" s="107">
        <f t="shared" si="20"/>
        <v>-1.9853568915256151E-2</v>
      </c>
      <c r="AV30" s="107">
        <f t="shared" si="20"/>
        <v>1.0514286774210294E-2</v>
      </c>
      <c r="AW30" s="107">
        <f t="shared" si="20"/>
        <v>-0.10569143024782542</v>
      </c>
      <c r="AX30" s="107">
        <f t="shared" si="20"/>
        <v>0.31929279474924532</v>
      </c>
      <c r="AY30" s="107">
        <f t="shared" si="20"/>
        <v>0.28296213520962948</v>
      </c>
      <c r="AZ30" s="107">
        <f t="shared" si="20"/>
        <v>0.23283406906845411</v>
      </c>
      <c r="BA30" s="107">
        <f t="shared" si="20"/>
        <v>0.53017050439720437</v>
      </c>
      <c r="BB30" s="107">
        <f t="shared" si="20"/>
        <v>0.63520197807010603</v>
      </c>
      <c r="BC30" s="107">
        <f t="shared" si="20"/>
        <v>0.56100991945547107</v>
      </c>
      <c r="BD30" s="107">
        <f t="shared" si="20"/>
        <v>0.73314688651926851</v>
      </c>
      <c r="BE30" s="107">
        <f t="shared" si="20"/>
        <v>0.48985923932945868</v>
      </c>
      <c r="BF30" s="107">
        <f t="shared" si="20"/>
        <v>0.4817367688751879</v>
      </c>
      <c r="BG30" s="107">
        <f t="shared" si="20"/>
        <v>1.0626905954116401</v>
      </c>
      <c r="BH30" s="107">
        <f t="shared" si="20"/>
        <v>0.49909685584174768</v>
      </c>
      <c r="BI30" s="107">
        <f t="shared" si="20"/>
        <v>0.5372600582999838</v>
      </c>
      <c r="BJ30" s="107">
        <f t="shared" si="20"/>
        <v>1.4197194124489483</v>
      </c>
      <c r="BK30" s="107">
        <f t="shared" si="20"/>
        <v>-0.24404762774060137</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2" t="s">
        <v>558</v>
      </c>
      <c r="E31" s="107">
        <f>(E6-I6)/I6</f>
        <v>0.4443116402267529</v>
      </c>
      <c r="F31" s="107">
        <f t="shared" ref="F31:BQ31" si="22">(F6-J6)/J6</f>
        <v>0.13611242188286557</v>
      </c>
      <c r="G31" s="107">
        <f t="shared" si="22"/>
        <v>0.34205456389987776</v>
      </c>
      <c r="H31" s="107">
        <f t="shared" si="22"/>
        <v>0.34048528392530203</v>
      </c>
      <c r="I31" s="107">
        <f t="shared" si="22"/>
        <v>0.19058202490301374</v>
      </c>
      <c r="J31" s="107">
        <f t="shared" si="22"/>
        <v>0.24999313412989599</v>
      </c>
      <c r="K31" s="107">
        <f t="shared" si="22"/>
        <v>0.14139681980746277</v>
      </c>
      <c r="L31" s="107">
        <f t="shared" si="22"/>
        <v>8.7592812394880537E-2</v>
      </c>
      <c r="M31" s="107">
        <f t="shared" si="22"/>
        <v>0.15682845907248216</v>
      </c>
      <c r="N31" s="107">
        <f t="shared" si="22"/>
        <v>7.2065291330653439E-2</v>
      </c>
      <c r="O31" s="107">
        <f t="shared" si="22"/>
        <v>0.20690630038358149</v>
      </c>
      <c r="P31" s="107">
        <f t="shared" si="22"/>
        <v>0.20916952932552696</v>
      </c>
      <c r="Q31" s="107">
        <f t="shared" si="22"/>
        <v>0.14112553192245342</v>
      </c>
      <c r="R31" s="107">
        <f t="shared" si="22"/>
        <v>-3.6999412716688752E-2</v>
      </c>
      <c r="S31" s="107">
        <f t="shared" si="22"/>
        <v>1.7708793085045728E-2</v>
      </c>
      <c r="T31" s="107">
        <f t="shared" si="22"/>
        <v>2.5610816439409895E-2</v>
      </c>
      <c r="U31" s="107">
        <f t="shared" si="22"/>
        <v>8.4654663433047228E-2</v>
      </c>
      <c r="V31" s="107">
        <f t="shared" si="22"/>
        <v>8.9891965704255138E-3</v>
      </c>
      <c r="W31" s="107">
        <f t="shared" si="22"/>
        <v>-5.0326033790785894E-2</v>
      </c>
      <c r="X31" s="107">
        <f t="shared" si="22"/>
        <v>-5.5360318427606588E-2</v>
      </c>
      <c r="Y31" s="107">
        <f t="shared" si="22"/>
        <v>-7.5932212960738141E-2</v>
      </c>
      <c r="Z31" s="107">
        <f t="shared" si="22"/>
        <v>-0.13816899422780954</v>
      </c>
      <c r="AA31" s="107">
        <f t="shared" si="22"/>
        <v>-0.18933497030721072</v>
      </c>
      <c r="AB31" s="107">
        <f t="shared" si="22"/>
        <v>-0.25188677676813354</v>
      </c>
      <c r="AC31" s="107">
        <f t="shared" si="22"/>
        <v>-0.29991523553731386</v>
      </c>
      <c r="AD31" s="107">
        <f t="shared" si="22"/>
        <v>5.8088059592695682E-2</v>
      </c>
      <c r="AE31" s="107">
        <f t="shared" si="22"/>
        <v>0.128801150367476</v>
      </c>
      <c r="AF31" s="107">
        <f t="shared" si="22"/>
        <v>-0.13612522842289188</v>
      </c>
      <c r="AG31" s="107">
        <f t="shared" si="22"/>
        <v>-0.11593455001205293</v>
      </c>
      <c r="AH31" s="107">
        <f t="shared" si="22"/>
        <v>0.83869346007900358</v>
      </c>
      <c r="AI31" s="107">
        <f t="shared" si="22"/>
        <v>0.32626806003206671</v>
      </c>
      <c r="AJ31" s="107">
        <f t="shared" si="22"/>
        <v>0.9469439868223144</v>
      </c>
      <c r="AK31" s="107">
        <f t="shared" si="22"/>
        <v>1.0996008837328537</v>
      </c>
      <c r="AL31" s="107">
        <f t="shared" si="22"/>
        <v>-0.27514826973395806</v>
      </c>
      <c r="AM31" s="107">
        <f t="shared" si="22"/>
        <v>-8.0123015118070115E-2</v>
      </c>
      <c r="AN31" s="107">
        <f t="shared" si="22"/>
        <v>-0.1013202190938485</v>
      </c>
      <c r="AO31" s="107">
        <f t="shared" si="22"/>
        <v>-0.15858878249563069</v>
      </c>
      <c r="AP31" s="107">
        <f t="shared" si="22"/>
        <v>-0.26240683256035813</v>
      </c>
      <c r="AQ31" s="107">
        <f t="shared" si="22"/>
        <v>-0.21015321962567049</v>
      </c>
      <c r="AR31" s="107">
        <f t="shared" si="22"/>
        <v>-0.30335822256352546</v>
      </c>
      <c r="AS31" s="107">
        <f t="shared" si="22"/>
        <v>1.0579443236849531</v>
      </c>
      <c r="AT31" s="107">
        <f t="shared" si="22"/>
        <v>0.27085794541940778</v>
      </c>
      <c r="AU31" s="107">
        <f t="shared" si="22"/>
        <v>1.9544559867541158</v>
      </c>
      <c r="AV31" s="107">
        <f t="shared" si="22"/>
        <v>1.9523604606878213</v>
      </c>
      <c r="AW31" s="107">
        <f t="shared" si="22"/>
        <v>0.15053286882114469</v>
      </c>
      <c r="AX31" s="107">
        <f t="shared" si="22"/>
        <v>0.17706100321454318</v>
      </c>
      <c r="AY31" s="107">
        <f t="shared" si="22"/>
        <v>-0.48750495610982109</v>
      </c>
      <c r="AZ31" s="107">
        <f t="shared" si="22"/>
        <v>-0.77546633613600413</v>
      </c>
      <c r="BA31" s="107">
        <f t="shared" si="22"/>
        <v>-0.79818809321073902</v>
      </c>
      <c r="BB31" s="107">
        <f t="shared" si="22"/>
        <v>-0.4340111102457283</v>
      </c>
      <c r="BC31" s="107">
        <f t="shared" si="22"/>
        <v>2.1243250970688843</v>
      </c>
      <c r="BD31" s="107">
        <f t="shared" si="22"/>
        <v>7.1352034481418185</v>
      </c>
      <c r="BE31" s="107">
        <f t="shared" si="22"/>
        <v>8.3830508964547388</v>
      </c>
      <c r="BF31" s="107">
        <f t="shared" si="22"/>
        <v>7.0114736488115623</v>
      </c>
      <c r="BG31" s="107">
        <f t="shared" si="22"/>
        <v>0.60359226632428198</v>
      </c>
      <c r="BH31" s="107">
        <f t="shared" si="22"/>
        <v>0.70852502062051104</v>
      </c>
      <c r="BI31" s="107">
        <f t="shared" si="22"/>
        <v>1.1445396570376978</v>
      </c>
      <c r="BJ31" s="107">
        <f t="shared" si="22"/>
        <v>2.8588861610038965</v>
      </c>
      <c r="BK31" s="107">
        <f t="shared" si="22"/>
        <v>1.9753290642603034</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3" t="s">
        <v>560</v>
      </c>
      <c r="E32" s="108">
        <f>(E7-I7)/I7</f>
        <v>0.1738985979671952</v>
      </c>
      <c r="F32" s="108">
        <f t="shared" ref="F32:BQ32" si="24">(F7-J7)/J7</f>
        <v>0.33744826895922758</v>
      </c>
      <c r="G32" s="108">
        <f t="shared" si="24"/>
        <v>0.35479674083563589</v>
      </c>
      <c r="H32" s="108">
        <f t="shared" si="24"/>
        <v>0.35143628787693487</v>
      </c>
      <c r="I32" s="108">
        <f t="shared" si="24"/>
        <v>0.56515122675779383</v>
      </c>
      <c r="J32" s="108">
        <f t="shared" si="24"/>
        <v>0.5151818646904065</v>
      </c>
      <c r="K32" s="108">
        <f t="shared" si="24"/>
        <v>0.49343189670391913</v>
      </c>
      <c r="L32" s="108">
        <f t="shared" si="24"/>
        <v>0.80338397166126641</v>
      </c>
      <c r="M32" s="108">
        <f t="shared" si="24"/>
        <v>0.45662510689260088</v>
      </c>
      <c r="N32" s="108">
        <f t="shared" si="24"/>
        <v>0.25738469146809173</v>
      </c>
      <c r="O32" s="108">
        <f t="shared" si="24"/>
        <v>0.18258569054216242</v>
      </c>
      <c r="P32" s="108">
        <f t="shared" si="24"/>
        <v>-7.3963713328489958E-2</v>
      </c>
      <c r="Q32" s="108">
        <f t="shared" si="24"/>
        <v>-7.3372834929903222E-2</v>
      </c>
      <c r="R32" s="108">
        <f t="shared" si="24"/>
        <v>-9.160948065801329E-2</v>
      </c>
      <c r="S32" s="108">
        <f t="shared" si="24"/>
        <v>-9.0516456168102846E-2</v>
      </c>
      <c r="T32" s="108">
        <f t="shared" si="24"/>
        <v>-8.5890282355943939E-2</v>
      </c>
      <c r="U32" s="108">
        <f t="shared" si="24"/>
        <v>-8.7831753092655188E-2</v>
      </c>
      <c r="V32" s="108">
        <f t="shared" si="24"/>
        <v>-8.1614809577080158E-2</v>
      </c>
      <c r="W32" s="108">
        <f t="shared" si="24"/>
        <v>-8.2640136691762206E-2</v>
      </c>
      <c r="X32" s="108">
        <f t="shared" si="24"/>
        <v>-8.2072309042597325E-2</v>
      </c>
      <c r="Y32" s="108">
        <f t="shared" si="24"/>
        <v>-7.8192484351073066E-2</v>
      </c>
      <c r="Z32" s="108">
        <f t="shared" si="24"/>
        <v>-5.1534355774319189E-2</v>
      </c>
      <c r="AA32" s="108">
        <f t="shared" si="24"/>
        <v>-4.7687409664168713E-2</v>
      </c>
      <c r="AB32" s="108">
        <f t="shared" si="24"/>
        <v>-4.5511779774885436E-2</v>
      </c>
      <c r="AC32" s="108">
        <f t="shared" si="24"/>
        <v>-4.3491235995116326E-2</v>
      </c>
      <c r="AD32" s="108">
        <f t="shared" si="24"/>
        <v>1.081079712967482E-2</v>
      </c>
      <c r="AE32" s="108">
        <f t="shared" si="24"/>
        <v>1.144955740180258E-2</v>
      </c>
      <c r="AF32" s="108">
        <f t="shared" si="24"/>
        <v>1.3097326961012214E-2</v>
      </c>
      <c r="AG32" s="108">
        <f t="shared" si="24"/>
        <v>1.7669406798570788E-2</v>
      </c>
      <c r="AH32" s="108">
        <f t="shared" si="24"/>
        <v>0.21453846317849817</v>
      </c>
      <c r="AI32" s="108">
        <f t="shared" si="24"/>
        <v>0.23102438241417486</v>
      </c>
      <c r="AJ32" s="108">
        <f t="shared" si="24"/>
        <v>0.2293749280858268</v>
      </c>
      <c r="AK32" s="108">
        <f t="shared" si="24"/>
        <v>0.22420577470620617</v>
      </c>
      <c r="AL32" s="108">
        <f t="shared" si="24"/>
        <v>-4.1237909211120465E-2</v>
      </c>
      <c r="AM32" s="108">
        <f t="shared" si="24"/>
        <v>-5.3698862172846584E-2</v>
      </c>
      <c r="AN32" s="108">
        <f t="shared" si="24"/>
        <v>-5.0936077754057466E-2</v>
      </c>
      <c r="AO32" s="108">
        <f t="shared" si="24"/>
        <v>-5.1432818343681894E-2</v>
      </c>
      <c r="AP32" s="108">
        <f t="shared" si="24"/>
        <v>0.2850279059186831</v>
      </c>
      <c r="AQ32" s="108">
        <f t="shared" si="24"/>
        <v>0.29756265009661614</v>
      </c>
      <c r="AR32" s="108">
        <f t="shared" si="24"/>
        <v>0.29175733880043797</v>
      </c>
      <c r="AS32" s="108">
        <f t="shared" si="24"/>
        <v>0.29267688217884752</v>
      </c>
      <c r="AT32" s="108">
        <f t="shared" si="24"/>
        <v>-4.8049713206030749E-2</v>
      </c>
      <c r="AU32" s="108">
        <f t="shared" si="24"/>
        <v>-5.9199217965472568E-2</v>
      </c>
      <c r="AV32" s="108">
        <f t="shared" si="24"/>
        <v>-5.6293611977983979E-2</v>
      </c>
      <c r="AW32" s="108">
        <f t="shared" si="24"/>
        <v>-5.1854654207481546E-2</v>
      </c>
      <c r="AX32" s="108">
        <f t="shared" si="24"/>
        <v>-3.0007095075249384E-2</v>
      </c>
      <c r="AY32" s="108">
        <f t="shared" si="24"/>
        <v>-2.7544783288209529E-2</v>
      </c>
      <c r="AZ32" s="108">
        <f t="shared" si="24"/>
        <v>5.0409698746204268E-2</v>
      </c>
      <c r="BA32" s="108">
        <f t="shared" si="24"/>
        <v>5.0917914264534618E-2</v>
      </c>
      <c r="BB32" s="108">
        <f t="shared" si="24"/>
        <v>0.1987744661895135</v>
      </c>
      <c r="BC32" s="108">
        <f t="shared" si="24"/>
        <v>1.2499501544355391</v>
      </c>
      <c r="BD32" s="108">
        <f t="shared" si="24"/>
        <v>1.1044784085390167</v>
      </c>
      <c r="BE32" s="108">
        <f t="shared" si="24"/>
        <v>1.1207709931533887</v>
      </c>
      <c r="BF32" s="108">
        <f t="shared" si="24"/>
        <v>0.84304743896316015</v>
      </c>
      <c r="BG32" s="108">
        <f t="shared" si="24"/>
        <v>-9.0425715377289526E-3</v>
      </c>
      <c r="BH32" s="108">
        <f t="shared" si="24"/>
        <v>7.8213930966224785</v>
      </c>
      <c r="BI32" s="108">
        <f t="shared" si="24"/>
        <v>7.5824346044246749</v>
      </c>
      <c r="BJ32" s="108">
        <f t="shared" si="24"/>
        <v>7.1576005759598784</v>
      </c>
      <c r="BK32" s="108">
        <f t="shared" si="24"/>
        <v>6.7968861083928829</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3" t="s">
        <v>567</v>
      </c>
      <c r="E33" s="108">
        <f>E7/E9</f>
        <v>0.99149675018198558</v>
      </c>
      <c r="F33" s="108">
        <f t="shared" ref="F33:BQ33" si="26">F7/F9</f>
        <v>1.0283832240541191</v>
      </c>
      <c r="G33" s="108">
        <f t="shared" si="26"/>
        <v>1.0594604408619388</v>
      </c>
      <c r="H33" s="108">
        <f t="shared" si="26"/>
        <v>1.0595844487267685</v>
      </c>
      <c r="I33" s="108">
        <f t="shared" si="26"/>
        <v>1.0420983962076027</v>
      </c>
      <c r="J33" s="108">
        <f t="shared" si="26"/>
        <v>0.92381406977564184</v>
      </c>
      <c r="K33" s="108">
        <f t="shared" si="26"/>
        <v>0.88531835833304318</v>
      </c>
      <c r="L33" s="108">
        <f t="shared" si="26"/>
        <v>0.87646651357304806</v>
      </c>
      <c r="M33" s="108">
        <f t="shared" si="26"/>
        <v>1.0023053246869187</v>
      </c>
      <c r="N33" s="108">
        <f t="shared" si="26"/>
        <v>0.91093787110136781</v>
      </c>
      <c r="O33" s="108">
        <f t="shared" si="26"/>
        <v>0.87732274944810251</v>
      </c>
      <c r="P33" s="108">
        <f t="shared" si="26"/>
        <v>0.71786417418430637</v>
      </c>
      <c r="Q33" s="108">
        <f t="shared" si="26"/>
        <v>0.75923666103225729</v>
      </c>
      <c r="R33" s="108">
        <f t="shared" si="26"/>
        <v>0.81328667197804727</v>
      </c>
      <c r="S33" s="108">
        <f t="shared" si="26"/>
        <v>0.81018371847353721</v>
      </c>
      <c r="T33" s="108">
        <f t="shared" si="26"/>
        <v>0.85827468387552797</v>
      </c>
      <c r="U33" s="108">
        <f t="shared" si="26"/>
        <v>0.90412260494307928</v>
      </c>
      <c r="V33" s="108">
        <f t="shared" si="26"/>
        <v>0.96462053750552224</v>
      </c>
      <c r="W33" s="108">
        <f t="shared" si="26"/>
        <v>0.88376978287851493</v>
      </c>
      <c r="X33" s="108">
        <f t="shared" si="26"/>
        <v>0.92305710584200451</v>
      </c>
      <c r="Y33" s="108">
        <f t="shared" si="26"/>
        <v>0.95103665651075631</v>
      </c>
      <c r="Z33" s="108">
        <f t="shared" si="26"/>
        <v>1.0008418978086424</v>
      </c>
      <c r="AA33" s="108">
        <f t="shared" si="26"/>
        <v>0.96494855753447528</v>
      </c>
      <c r="AB33" s="108">
        <f t="shared" si="26"/>
        <v>1.0023582720450677</v>
      </c>
      <c r="AC33" s="108">
        <f t="shared" si="26"/>
        <v>0.99002250596697983</v>
      </c>
      <c r="AD33" s="108">
        <f t="shared" si="26"/>
        <v>0.90700248030285124</v>
      </c>
      <c r="AE33" s="108">
        <f t="shared" si="26"/>
        <v>1.0054260493065461</v>
      </c>
      <c r="AF33" s="108">
        <f t="shared" si="26"/>
        <v>1.0402833778185123</v>
      </c>
      <c r="AG33" s="108">
        <f t="shared" si="26"/>
        <v>1.0564130335248629</v>
      </c>
      <c r="AH33" s="108">
        <f t="shared" si="26"/>
        <v>1.0544987287841465</v>
      </c>
      <c r="AI33" s="108">
        <f t="shared" si="26"/>
        <v>1.0233088998259487</v>
      </c>
      <c r="AJ33" s="108">
        <f t="shared" si="26"/>
        <v>1.0519210180461092</v>
      </c>
      <c r="AK33" s="108">
        <f t="shared" si="26"/>
        <v>1.0879367525100732</v>
      </c>
      <c r="AL33" s="108">
        <f t="shared" si="26"/>
        <v>0.89014067863396962</v>
      </c>
      <c r="AM33" s="108">
        <f t="shared" si="26"/>
        <v>0.89402307297677308</v>
      </c>
      <c r="AN33" s="108">
        <f t="shared" si="26"/>
        <v>0.92615201181484774</v>
      </c>
      <c r="AO33" s="108">
        <f t="shared" si="26"/>
        <v>0.95915767787053596</v>
      </c>
      <c r="AP33" s="108">
        <f t="shared" si="26"/>
        <v>0.96852814384797159</v>
      </c>
      <c r="AQ33" s="108">
        <f t="shared" si="26"/>
        <v>0.98632212558416665</v>
      </c>
      <c r="AR33" s="108">
        <f t="shared" si="26"/>
        <v>1.0232754819027938</v>
      </c>
      <c r="AS33" s="108">
        <f t="shared" si="26"/>
        <v>1.0366853556861484</v>
      </c>
      <c r="AT33" s="108">
        <f t="shared" si="26"/>
        <v>1.1496160869547742</v>
      </c>
      <c r="AU33" s="108">
        <f t="shared" si="26"/>
        <v>1.0867982960303879</v>
      </c>
      <c r="AV33" s="108">
        <f t="shared" si="26"/>
        <v>1.1194605760320737</v>
      </c>
      <c r="AW33" s="108">
        <f t="shared" si="26"/>
        <v>0.88813904894652362</v>
      </c>
      <c r="AX33" s="108">
        <f t="shared" si="26"/>
        <v>0.9847272487264751</v>
      </c>
      <c r="AY33" s="108">
        <f t="shared" si="26"/>
        <v>0.85229484492234453</v>
      </c>
      <c r="AZ33" s="108">
        <f t="shared" si="26"/>
        <v>0.8592589697060411</v>
      </c>
      <c r="BA33" s="108">
        <f t="shared" si="26"/>
        <v>0.87679618463317655</v>
      </c>
      <c r="BB33" s="108">
        <f t="shared" si="26"/>
        <v>0.97389267474392816</v>
      </c>
      <c r="BC33" s="108">
        <f t="shared" si="26"/>
        <v>0.98127786966183828</v>
      </c>
      <c r="BD33" s="108">
        <f t="shared" si="26"/>
        <v>1.3913495944820844</v>
      </c>
      <c r="BE33" s="108">
        <f t="shared" si="26"/>
        <v>1.4249456138581789</v>
      </c>
      <c r="BF33" s="108">
        <f t="shared" si="26"/>
        <v>1.2380004228604884</v>
      </c>
      <c r="BG33" s="108">
        <f t="shared" si="26"/>
        <v>0.66910831337289789</v>
      </c>
      <c r="BH33" s="108">
        <f t="shared" si="26"/>
        <v>0.68469615531838335</v>
      </c>
      <c r="BI33" s="108">
        <f t="shared" si="26"/>
        <v>0.71229938067401088</v>
      </c>
      <c r="BJ33" s="108">
        <f t="shared" si="26"/>
        <v>0.73063360244552877</v>
      </c>
      <c r="BK33" s="108">
        <f t="shared" si="26"/>
        <v>0.75724074197831392</v>
      </c>
      <c r="BL33" s="108">
        <f t="shared" si="26"/>
        <v>0.201817349983756</v>
      </c>
      <c r="BM33" s="108">
        <f t="shared" si="26"/>
        <v>0.21957310916552555</v>
      </c>
      <c r="BN33" s="108">
        <f t="shared" si="26"/>
        <v>0.25468891362893742</v>
      </c>
      <c r="BO33" s="108">
        <f t="shared" si="26"/>
        <v>0.33553413965713602</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2" t="s">
        <v>561</v>
      </c>
      <c r="E34" s="107">
        <f>(E10-I10)/I10</f>
        <v>242.07090389213425</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t="e">
        <f t="shared" si="28"/>
        <v>#DIV/0!</v>
      </c>
      <c r="R34" s="107">
        <f t="shared" si="28"/>
        <v>-1</v>
      </c>
      <c r="S34" s="107">
        <f t="shared" si="28"/>
        <v>-1</v>
      </c>
      <c r="T34" s="107">
        <f t="shared" si="28"/>
        <v>-1</v>
      </c>
      <c r="U34" s="107">
        <f t="shared" si="28"/>
        <v>-1</v>
      </c>
      <c r="V34" s="107">
        <f t="shared" si="28"/>
        <v>-0.99556106148142176</v>
      </c>
      <c r="W34" s="107">
        <f t="shared" si="28"/>
        <v>-0.33179851557512791</v>
      </c>
      <c r="X34" s="107">
        <f t="shared" si="28"/>
        <v>-0.34668876600338888</v>
      </c>
      <c r="Y34" s="107">
        <f t="shared" si="28"/>
        <v>-0.42546125287597525</v>
      </c>
      <c r="Z34" s="107">
        <f t="shared" si="28"/>
        <v>-0.68246201306314935</v>
      </c>
      <c r="AA34" s="107">
        <f t="shared" si="28"/>
        <v>-0.31167108583681841</v>
      </c>
      <c r="AB34" s="107">
        <f t="shared" si="28"/>
        <v>-0.28164771924968129</v>
      </c>
      <c r="AC34" s="107">
        <f t="shared" si="28"/>
        <v>-8.7910612213102104E-2</v>
      </c>
      <c r="AD34" s="107">
        <f t="shared" si="28"/>
        <v>1.3625524887347731</v>
      </c>
      <c r="AE34" s="107">
        <f t="shared" si="28"/>
        <v>-4.6118506340656014E-2</v>
      </c>
      <c r="AF34" s="107">
        <f t="shared" si="28"/>
        <v>-5.7302246600855367E-2</v>
      </c>
      <c r="AG34" s="107">
        <f t="shared" si="28"/>
        <v>6.1687085195840617E-2</v>
      </c>
      <c r="AH34" s="107">
        <f t="shared" si="28"/>
        <v>-0.16698801565641308</v>
      </c>
      <c r="AI34" s="107">
        <f t="shared" si="28"/>
        <v>0.25231152167980808</v>
      </c>
      <c r="AJ34" s="107">
        <f t="shared" si="28"/>
        <v>0.27639475913083933</v>
      </c>
      <c r="AK34" s="107">
        <f t="shared" si="28"/>
        <v>0.282475355187988</v>
      </c>
      <c r="AL34" s="107">
        <f t="shared" si="28"/>
        <v>7.9901686528738441E-2</v>
      </c>
      <c r="AM34" s="107">
        <f t="shared" si="28"/>
        <v>6.2214908666993474E-2</v>
      </c>
      <c r="AN34" s="107">
        <f t="shared" si="28"/>
        <v>0.13944848264787435</v>
      </c>
      <c r="AO34" s="107">
        <f t="shared" si="28"/>
        <v>-0.1046051615605378</v>
      </c>
      <c r="AP34" s="107">
        <f t="shared" si="28"/>
        <v>15.155037407721817</v>
      </c>
      <c r="AQ34" s="107">
        <f t="shared" si="28"/>
        <v>2.3419592459715135</v>
      </c>
      <c r="AR34" s="107">
        <f t="shared" si="28"/>
        <v>1.9131126336768405</v>
      </c>
      <c r="AS34" s="107">
        <f t="shared" si="28"/>
        <v>-0.28837771747330504</v>
      </c>
      <c r="AT34" s="107">
        <f t="shared" si="28"/>
        <v>-0.94707386951000261</v>
      </c>
      <c r="AU34" s="107">
        <f t="shared" si="28"/>
        <v>-0.75053151307302635</v>
      </c>
      <c r="AV34" s="107">
        <f t="shared" si="28"/>
        <v>-0.75420428148407337</v>
      </c>
      <c r="AW34" s="107">
        <f t="shared" si="28"/>
        <v>0.23929737511901428</v>
      </c>
      <c r="AX34" s="107">
        <f t="shared" si="28"/>
        <v>0.27421818181818181</v>
      </c>
      <c r="AY34" s="107">
        <f t="shared" si="28"/>
        <v>0.31359999999999999</v>
      </c>
      <c r="AZ34" s="107" t="e">
        <f t="shared" si="28"/>
        <v>#DIV/0!</v>
      </c>
      <c r="BA34" s="107" t="e">
        <f t="shared" si="28"/>
        <v>#DIV/0!</v>
      </c>
      <c r="BB34" s="107" t="e">
        <f t="shared" si="28"/>
        <v>#DIV/0!</v>
      </c>
      <c r="BC34" s="107" t="e">
        <f t="shared" si="28"/>
        <v>#DIV/0!</v>
      </c>
      <c r="BD34" s="107" t="e">
        <f t="shared" si="28"/>
        <v>#DIV/0!</v>
      </c>
      <c r="BE34" s="107" t="e">
        <f t="shared" si="28"/>
        <v>#DIV/0!</v>
      </c>
      <c r="BF34" s="107" t="e">
        <f t="shared" si="28"/>
        <v>#DIV/0!</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2" t="s">
        <v>565</v>
      </c>
      <c r="E35" s="107">
        <f>E10/E12</f>
        <v>0.46866332550552897</v>
      </c>
      <c r="F35" s="107">
        <f t="shared" ref="F35:BQ35" si="30">F10/F12</f>
        <v>0.69059747939406002</v>
      </c>
      <c r="G35" s="107">
        <f t="shared" si="30"/>
        <v>0.23391192297131452</v>
      </c>
      <c r="H35" s="107">
        <f t="shared" si="30"/>
        <v>1.9693754167818185E-3</v>
      </c>
      <c r="I35" s="107">
        <f t="shared" si="30"/>
        <v>1.5385570911445516E-3</v>
      </c>
      <c r="J35" s="107">
        <f t="shared" si="30"/>
        <v>0</v>
      </c>
      <c r="K35" s="107">
        <f t="shared" si="30"/>
        <v>0</v>
      </c>
      <c r="L35" s="107">
        <f t="shared" si="30"/>
        <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t="e">
        <f t="shared" si="30"/>
        <v>#DIV/0!</v>
      </c>
      <c r="V35" s="107">
        <f t="shared" si="30"/>
        <v>1</v>
      </c>
      <c r="W35" s="107">
        <f t="shared" si="30"/>
        <v>1</v>
      </c>
      <c r="X35" s="107">
        <f t="shared" si="30"/>
        <v>1</v>
      </c>
      <c r="Y35" s="107">
        <f t="shared" si="30"/>
        <v>1</v>
      </c>
      <c r="Z35" s="107">
        <f t="shared" si="30"/>
        <v>0.90794523188202669</v>
      </c>
      <c r="AA35" s="107">
        <f t="shared" si="30"/>
        <v>0.92770073525280672</v>
      </c>
      <c r="AB35" s="107">
        <f t="shared" si="30"/>
        <v>0.92755918502183832</v>
      </c>
      <c r="AC35" s="107">
        <f t="shared" si="30"/>
        <v>0.94761864183974043</v>
      </c>
      <c r="AD35" s="107">
        <f t="shared" si="30"/>
        <v>0.96587050331127788</v>
      </c>
      <c r="AE35" s="107">
        <f t="shared" si="30"/>
        <v>0.94439615061999438</v>
      </c>
      <c r="AF35" s="107">
        <f t="shared" si="30"/>
        <v>0.94392853892578332</v>
      </c>
      <c r="AG35" s="107">
        <f t="shared" si="30"/>
        <v>0.94932219675800245</v>
      </c>
      <c r="AH35" s="107">
        <f t="shared" si="30"/>
        <v>0.79971480883647639</v>
      </c>
      <c r="AI35" s="107">
        <f t="shared" si="30"/>
        <v>0.90409014781465846</v>
      </c>
      <c r="AJ35" s="107">
        <f t="shared" si="30"/>
        <v>0.90434338544357173</v>
      </c>
      <c r="AK35" s="107">
        <f t="shared" si="30"/>
        <v>0.90329746011020851</v>
      </c>
      <c r="AL35" s="107">
        <f t="shared" si="30"/>
        <v>0.83810306587836525</v>
      </c>
      <c r="AM35" s="107">
        <f t="shared" si="30"/>
        <v>0.82576507428363444</v>
      </c>
      <c r="AN35" s="107">
        <f t="shared" si="30"/>
        <v>0.82343292472687457</v>
      </c>
      <c r="AO35" s="107">
        <f t="shared" si="30"/>
        <v>0.82097932742754487</v>
      </c>
      <c r="AP35" s="107">
        <f t="shared" si="30"/>
        <v>0.79448903163629014</v>
      </c>
      <c r="AQ35" s="107">
        <f t="shared" si="30"/>
        <v>0.79533667115202256</v>
      </c>
      <c r="AR35" s="107">
        <f t="shared" si="30"/>
        <v>0.75946081266657939</v>
      </c>
      <c r="AS35" s="107">
        <f t="shared" si="30"/>
        <v>0.8521129364682728</v>
      </c>
      <c r="AT35" s="107">
        <f t="shared" si="30"/>
        <v>0.1881951016051959</v>
      </c>
      <c r="AU35" s="107">
        <f t="shared" si="30"/>
        <v>0.52973817127661171</v>
      </c>
      <c r="AV35" s="107">
        <f t="shared" si="30"/>
        <v>0.54242666328747624</v>
      </c>
      <c r="AW35" s="107">
        <f t="shared" si="30"/>
        <v>0.85861040539047828</v>
      </c>
      <c r="AX35" s="107">
        <f t="shared" si="30"/>
        <v>0.79564496718966415</v>
      </c>
      <c r="AY35" s="107">
        <f t="shared" si="30"/>
        <v>0.51514460099252757</v>
      </c>
      <c r="AZ35" s="107">
        <f t="shared" si="30"/>
        <v>0.53157075348222038</v>
      </c>
      <c r="BA35" s="107">
        <f t="shared" si="30"/>
        <v>0.53552318537698429</v>
      </c>
      <c r="BB35" s="107">
        <f t="shared" si="30"/>
        <v>0.52380952380952384</v>
      </c>
      <c r="BC35" s="107">
        <f t="shared" si="30"/>
        <v>0.52380952380952384</v>
      </c>
      <c r="BD35" s="107" t="e">
        <f t="shared" si="30"/>
        <v>#DIV/0!</v>
      </c>
      <c r="BE35" s="107" t="e">
        <f t="shared" si="30"/>
        <v>#DIV/0!</v>
      </c>
      <c r="BF35" s="107" t="e">
        <f t="shared" si="30"/>
        <v>#DIV/0!</v>
      </c>
      <c r="BG35" s="107" t="e">
        <f t="shared" si="30"/>
        <v>#DIV/0!</v>
      </c>
      <c r="BH35" s="107" t="e">
        <f t="shared" si="30"/>
        <v>#DIV/0!</v>
      </c>
      <c r="BI35" s="107" t="e">
        <f t="shared" si="30"/>
        <v>#DIV/0!</v>
      </c>
      <c r="BJ35" s="107" t="e">
        <f t="shared" si="30"/>
        <v>#DIV/0!</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2" t="s">
        <v>562</v>
      </c>
      <c r="E36" s="107">
        <f>(E11-I11)/I11</f>
        <v>-0.57535685560803462</v>
      </c>
      <c r="F36" s="107">
        <f t="shared" ref="F36:BQ36" si="32">(F11-J11)/J11</f>
        <v>-0.77349779262729379</v>
      </c>
      <c r="G36" s="107">
        <f t="shared" si="32"/>
        <v>-0.78002615412938148</v>
      </c>
      <c r="H36" s="107">
        <f t="shared" si="32"/>
        <v>0.23226137472469949</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f t="shared" si="32"/>
        <v>-1</v>
      </c>
      <c r="W36" s="107">
        <f t="shared" si="32"/>
        <v>-1</v>
      </c>
      <c r="X36" s="107">
        <f t="shared" si="32"/>
        <v>-1</v>
      </c>
      <c r="Y36" s="107">
        <f t="shared" si="32"/>
        <v>-1</v>
      </c>
      <c r="Z36" s="107">
        <f t="shared" si="32"/>
        <v>-8.8888888888888892E-2</v>
      </c>
      <c r="AA36" s="107">
        <f t="shared" si="32"/>
        <v>-8.8888888888888892E-2</v>
      </c>
      <c r="AB36" s="107">
        <f t="shared" si="32"/>
        <v>-5.5555555555555552E-2</v>
      </c>
      <c r="AC36" s="107">
        <f t="shared" si="32"/>
        <v>-5.5555555555555552E-2</v>
      </c>
      <c r="AD36" s="107">
        <f t="shared" si="32"/>
        <v>-0.66666666666666663</v>
      </c>
      <c r="AE36" s="107">
        <f t="shared" si="32"/>
        <v>-0.47058823529411764</v>
      </c>
      <c r="AF36" s="107">
        <f t="shared" si="32"/>
        <v>-0.47058823529411764</v>
      </c>
      <c r="AG36" s="107">
        <f t="shared" si="32"/>
        <v>-0.47058823529411764</v>
      </c>
      <c r="AH36" s="107">
        <f t="shared" si="32"/>
        <v>0.08</v>
      </c>
      <c r="AI36" s="107">
        <f t="shared" si="32"/>
        <v>-0.37037037037037035</v>
      </c>
      <c r="AJ36" s="107">
        <f t="shared" si="32"/>
        <v>-0.37037037037037035</v>
      </c>
      <c r="AK36" s="107">
        <f t="shared" si="32"/>
        <v>-0.37037037037037035</v>
      </c>
      <c r="AL36" s="107">
        <f t="shared" si="32"/>
        <v>-0.19354838709677419</v>
      </c>
      <c r="AM36" s="107">
        <f t="shared" si="32"/>
        <v>-0.12903225806451613</v>
      </c>
      <c r="AN36" s="107">
        <f t="shared" si="32"/>
        <v>-0.22857142857142856</v>
      </c>
      <c r="AO36" s="107">
        <f t="shared" si="32"/>
        <v>0.125</v>
      </c>
      <c r="AP36" s="107">
        <f t="shared" si="32"/>
        <v>-3.125E-2</v>
      </c>
      <c r="AQ36" s="107">
        <f t="shared" si="32"/>
        <v>-3.125E-2</v>
      </c>
      <c r="AR36" s="107">
        <f t="shared" si="32"/>
        <v>9.375E-2</v>
      </c>
      <c r="AS36" s="107">
        <f t="shared" si="32"/>
        <v>-0.25</v>
      </c>
      <c r="AT36" s="107">
        <f t="shared" si="32"/>
        <v>-0.1111111111111111</v>
      </c>
      <c r="AU36" s="107">
        <f t="shared" si="32"/>
        <v>-0.76470588235294112</v>
      </c>
      <c r="AV36" s="107">
        <f t="shared" si="32"/>
        <v>-0.76470588235294112</v>
      </c>
      <c r="AW36" s="107">
        <f t="shared" si="32"/>
        <v>-0.76470588235294112</v>
      </c>
      <c r="AX36" s="107">
        <f t="shared" si="32"/>
        <v>-0.64</v>
      </c>
      <c r="AY36" s="107">
        <f t="shared" si="32"/>
        <v>0.36</v>
      </c>
      <c r="AZ36" s="107" t="e">
        <f t="shared" si="32"/>
        <v>#DIV/0!</v>
      </c>
      <c r="BA36" s="107" t="e">
        <f t="shared" si="32"/>
        <v>#DIV/0!</v>
      </c>
      <c r="BB36" s="107" t="e">
        <f t="shared" si="32"/>
        <v>#DIV/0!</v>
      </c>
      <c r="BC36" s="107" t="e">
        <f t="shared" si="32"/>
        <v>#DIV/0!</v>
      </c>
      <c r="BD36" s="107" t="e">
        <f t="shared" si="32"/>
        <v>#DIV/0!</v>
      </c>
      <c r="BE36" s="107" t="e">
        <f t="shared" si="32"/>
        <v>#DIV/0!</v>
      </c>
      <c r="BF36" s="107" t="e">
        <f t="shared" si="32"/>
        <v>#DIV/0!</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2" t="s">
        <v>566</v>
      </c>
      <c r="B37" s="107"/>
      <c r="C37" s="107"/>
      <c r="D37" s="107"/>
      <c r="E37" s="107">
        <f>E11/E12</f>
        <v>0.53133667449447108</v>
      </c>
      <c r="F37" s="107">
        <f t="shared" ref="F37:BQ37" si="34">F11/F12</f>
        <v>0.30940252060593987</v>
      </c>
      <c r="G37" s="107">
        <f t="shared" si="34"/>
        <v>0.76608807702868553</v>
      </c>
      <c r="H37" s="107">
        <f t="shared" si="34"/>
        <v>0.99803062458321812</v>
      </c>
      <c r="I37" s="107">
        <f t="shared" si="34"/>
        <v>0.99846144290885541</v>
      </c>
      <c r="J37" s="107">
        <f t="shared" si="34"/>
        <v>1</v>
      </c>
      <c r="K37" s="107">
        <f t="shared" si="34"/>
        <v>1</v>
      </c>
      <c r="L37" s="107">
        <f t="shared" si="34"/>
        <v>1</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t="e">
        <f t="shared" si="34"/>
        <v>#DIV/0!</v>
      </c>
      <c r="V37" s="109">
        <f t="shared" si="34"/>
        <v>0</v>
      </c>
      <c r="W37" s="109">
        <f t="shared" si="34"/>
        <v>0</v>
      </c>
      <c r="X37" s="109">
        <f t="shared" si="34"/>
        <v>0</v>
      </c>
      <c r="Y37" s="109">
        <f t="shared" si="34"/>
        <v>0</v>
      </c>
      <c r="Z37" s="109">
        <f t="shared" si="34"/>
        <v>9.2054768117973279E-2</v>
      </c>
      <c r="AA37" s="109">
        <f t="shared" si="34"/>
        <v>7.2299264747193254E-2</v>
      </c>
      <c r="AB37" s="109">
        <f t="shared" si="34"/>
        <v>7.2440814978161641E-2</v>
      </c>
      <c r="AC37" s="109">
        <f t="shared" si="34"/>
        <v>5.2381358160259607E-2</v>
      </c>
      <c r="AD37" s="109">
        <f t="shared" si="34"/>
        <v>3.4129496688722137E-2</v>
      </c>
      <c r="AE37" s="109">
        <f t="shared" si="34"/>
        <v>5.5603849380005656E-2</v>
      </c>
      <c r="AF37" s="109">
        <f t="shared" si="34"/>
        <v>5.6071461074216657E-2</v>
      </c>
      <c r="AG37" s="109">
        <f t="shared" si="34"/>
        <v>5.0677803241997534E-2</v>
      </c>
      <c r="AH37" s="109">
        <f t="shared" si="34"/>
        <v>0.20028519116352364</v>
      </c>
      <c r="AI37" s="109">
        <f t="shared" si="34"/>
        <v>9.5909852185341565E-2</v>
      </c>
      <c r="AJ37" s="109">
        <f t="shared" si="34"/>
        <v>9.565661455642821E-2</v>
      </c>
      <c r="AK37" s="109">
        <f t="shared" si="34"/>
        <v>9.6702539889791508E-2</v>
      </c>
      <c r="AL37" s="109">
        <f t="shared" si="34"/>
        <v>0.16189693412163481</v>
      </c>
      <c r="AM37" s="109">
        <f t="shared" si="34"/>
        <v>0.17423492571636554</v>
      </c>
      <c r="AN37" s="109">
        <f t="shared" si="34"/>
        <v>0.17656707527312546</v>
      </c>
      <c r="AO37" s="109">
        <f t="shared" si="34"/>
        <v>0.1790206725724551</v>
      </c>
      <c r="AP37" s="109">
        <f t="shared" si="34"/>
        <v>0.20551096836370988</v>
      </c>
      <c r="AQ37" s="109">
        <f t="shared" si="34"/>
        <v>0.20466332884797747</v>
      </c>
      <c r="AR37" s="109">
        <f t="shared" si="34"/>
        <v>0.24053918733342056</v>
      </c>
      <c r="AS37" s="109">
        <f t="shared" si="34"/>
        <v>0.14788706353172715</v>
      </c>
      <c r="AT37" s="109">
        <f t="shared" si="34"/>
        <v>0.81180489839480419</v>
      </c>
      <c r="AU37" s="109">
        <f t="shared" si="34"/>
        <v>0.47026182872338829</v>
      </c>
      <c r="AV37" s="109">
        <f t="shared" si="34"/>
        <v>0.45757333671252387</v>
      </c>
      <c r="AW37" s="109">
        <f t="shared" si="34"/>
        <v>0.14138959460952172</v>
      </c>
      <c r="AX37" s="109">
        <f t="shared" si="34"/>
        <v>0.20435503281033582</v>
      </c>
      <c r="AY37" s="109">
        <f t="shared" si="34"/>
        <v>0.48485539900747249</v>
      </c>
      <c r="AZ37" s="109">
        <f t="shared" si="34"/>
        <v>0.46842924651777962</v>
      </c>
      <c r="BA37" s="109">
        <f t="shared" si="34"/>
        <v>0.46447681462301565</v>
      </c>
      <c r="BB37" s="109">
        <f t="shared" si="34"/>
        <v>0.47619047619047616</v>
      </c>
      <c r="BC37" s="109">
        <f t="shared" si="34"/>
        <v>0.47619047619047616</v>
      </c>
      <c r="BD37" s="109" t="e">
        <f t="shared" si="34"/>
        <v>#DIV/0!</v>
      </c>
      <c r="BE37" s="109" t="e">
        <f t="shared" si="34"/>
        <v>#DIV/0!</v>
      </c>
      <c r="BF37" s="109" t="e">
        <f t="shared" si="34"/>
        <v>#DIV/0!</v>
      </c>
      <c r="BG37" s="109" t="e">
        <f t="shared" si="34"/>
        <v>#DIV/0!</v>
      </c>
      <c r="BH37" s="109" t="e">
        <f t="shared" si="34"/>
        <v>#DIV/0!</v>
      </c>
      <c r="BI37" s="109" t="e">
        <f t="shared" si="34"/>
        <v>#DIV/0!</v>
      </c>
      <c r="BJ37" s="109" t="e">
        <f t="shared" si="34"/>
        <v>#DIV/0!</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8" customFormat="1" x14ac:dyDescent="0.25">
      <c r="A38" s="185" t="s">
        <v>636</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553</v>
      </c>
      <c r="B39" s="222"/>
      <c r="C39" s="222"/>
      <c r="D39" s="222"/>
      <c r="E39" s="223">
        <f>E2/E9</f>
        <v>0.16580019320843828</v>
      </c>
      <c r="F39" s="223">
        <f t="shared" ref="F39:U39" si="37">F2/F9</f>
        <v>6.9705383152224354E-2</v>
      </c>
      <c r="G39" s="223">
        <f t="shared" si="37"/>
        <v>9.5102689661594283E-2</v>
      </c>
      <c r="H39" s="223">
        <f t="shared" si="37"/>
        <v>5.3697866206198312E-2</v>
      </c>
      <c r="I39" s="223">
        <f t="shared" si="37"/>
        <v>7.9519123654490598E-2</v>
      </c>
      <c r="J39" s="223">
        <f t="shared" si="37"/>
        <v>0.18484878890702219</v>
      </c>
      <c r="K39" s="223">
        <f t="shared" si="37"/>
        <v>0.23380384375074734</v>
      </c>
      <c r="L39" s="223">
        <f t="shared" si="37"/>
        <v>0.21276912566704925</v>
      </c>
      <c r="M39" s="223">
        <f t="shared" si="37"/>
        <v>0.15626669323973055</v>
      </c>
      <c r="N39" s="223">
        <f t="shared" si="37"/>
        <v>0.2061101179314567</v>
      </c>
      <c r="O39" s="223">
        <f t="shared" si="37"/>
        <v>0.26771112022130494</v>
      </c>
      <c r="P39" s="223">
        <f t="shared" si="37"/>
        <v>0.38845428190122766</v>
      </c>
      <c r="Q39" s="223">
        <f t="shared" si="37"/>
        <v>0.37887076939287817</v>
      </c>
      <c r="R39" s="223">
        <f t="shared" si="37"/>
        <v>0.30269995872383626</v>
      </c>
      <c r="S39" s="223">
        <f t="shared" si="37"/>
        <v>0.30879012011886431</v>
      </c>
      <c r="T39" s="223">
        <f t="shared" si="37"/>
        <v>0.23450310565824328</v>
      </c>
      <c r="U39" s="223">
        <f t="shared" si="37"/>
        <v>0.23100614786124335</v>
      </c>
    </row>
    <row r="40" spans="1:89" s="224" customFormat="1" x14ac:dyDescent="0.25">
      <c r="A40" s="221" t="s">
        <v>554</v>
      </c>
      <c r="B40" s="222"/>
      <c r="C40" s="222"/>
      <c r="D40" s="222"/>
      <c r="E40" s="223">
        <f>E3/E9</f>
        <v>1.0976335707972238E-2</v>
      </c>
      <c r="F40" s="223">
        <f t="shared" ref="F40:U40" si="38">F3/F9</f>
        <v>1.0768187313219012E-2</v>
      </c>
      <c r="G40" s="223">
        <f t="shared" si="38"/>
        <v>8.6567596399956068E-3</v>
      </c>
      <c r="H40" s="223">
        <f t="shared" si="38"/>
        <v>8.3146656523663473E-3</v>
      </c>
      <c r="I40" s="223">
        <f t="shared" si="38"/>
        <v>7.9586181197521689E-3</v>
      </c>
      <c r="J40" s="223">
        <f t="shared" si="38"/>
        <v>7.5052008685589601E-3</v>
      </c>
      <c r="K40" s="223">
        <f t="shared" si="38"/>
        <v>8.1602609842417826E-3</v>
      </c>
      <c r="L40" s="223">
        <f t="shared" si="38"/>
        <v>7.5004649801415626E-3</v>
      </c>
      <c r="M40" s="223">
        <f t="shared" si="38"/>
        <v>1.0289309105048182E-2</v>
      </c>
      <c r="N40" s="223">
        <f t="shared" si="38"/>
        <v>9.7958220333087872E-3</v>
      </c>
      <c r="O40" s="223">
        <f t="shared" si="38"/>
        <v>9.7890297978904441E-3</v>
      </c>
      <c r="P40" s="223">
        <f t="shared" si="38"/>
        <v>9.8502040325704442E-3</v>
      </c>
      <c r="Q40" s="223">
        <f t="shared" si="38"/>
        <v>1.0232353441988223E-2</v>
      </c>
      <c r="R40" s="223">
        <f t="shared" si="38"/>
        <v>1.0698775607400549E-2</v>
      </c>
      <c r="S40" s="223">
        <f t="shared" si="38"/>
        <v>1.0437053489120524E-2</v>
      </c>
      <c r="T40" s="223">
        <f t="shared" si="38"/>
        <v>1.0661296529445382E-2</v>
      </c>
      <c r="U40" s="223">
        <f t="shared" si="38"/>
        <v>1.1005860106799647E-2</v>
      </c>
    </row>
    <row r="41" spans="1:89" x14ac:dyDescent="0.25">
      <c r="A41" s="183" t="s">
        <v>559</v>
      </c>
      <c r="B41" s="64"/>
      <c r="C41" s="64"/>
      <c r="D41" s="64"/>
      <c r="E41" s="89">
        <f>E4/E9</f>
        <v>-0.16827327909839607</v>
      </c>
      <c r="F41" s="89">
        <f t="shared" ref="F41:U41" si="39">F4/F9</f>
        <v>-0.10885679451956243</v>
      </c>
      <c r="G41" s="89">
        <f t="shared" si="39"/>
        <v>-0.16321989016352867</v>
      </c>
      <c r="H41" s="89">
        <f t="shared" si="39"/>
        <v>-0.12159698058533325</v>
      </c>
      <c r="I41" s="89">
        <f t="shared" si="39"/>
        <v>-0.12957613798184534</v>
      </c>
      <c r="J41" s="89">
        <f t="shared" si="39"/>
        <v>-0.11616805955122299</v>
      </c>
      <c r="K41" s="89">
        <f t="shared" si="39"/>
        <v>-0.12728246306803226</v>
      </c>
      <c r="L41" s="89">
        <f t="shared" si="39"/>
        <v>-9.6736104220238789E-2</v>
      </c>
      <c r="M41" s="89">
        <f t="shared" si="39"/>
        <v>-0.16886132703169748</v>
      </c>
      <c r="N41" s="213">
        <f t="shared" si="39"/>
        <v>-0.12684381106613341</v>
      </c>
      <c r="O41" s="213">
        <f t="shared" si="39"/>
        <v>-0.15482289946729805</v>
      </c>
      <c r="P41" s="213">
        <f t="shared" si="39"/>
        <v>-0.11616866011810451</v>
      </c>
      <c r="Q41" s="213">
        <f t="shared" si="39"/>
        <v>-0.14833978386712376</v>
      </c>
      <c r="R41" s="213">
        <f t="shared" si="39"/>
        <v>-0.12668540630928404</v>
      </c>
      <c r="S41" s="213">
        <f t="shared" si="39"/>
        <v>-0.12941089208152196</v>
      </c>
      <c r="T41" s="213">
        <f t="shared" si="39"/>
        <v>-0.10343908606321664</v>
      </c>
      <c r="U41" s="213">
        <f t="shared" si="39"/>
        <v>-0.14613461291112231</v>
      </c>
    </row>
    <row r="42" spans="1:89" x14ac:dyDescent="0.25">
      <c r="A42" s="183" t="s">
        <v>335</v>
      </c>
      <c r="B42" s="64"/>
      <c r="C42" s="64"/>
      <c r="D42" s="64"/>
      <c r="E42" s="89">
        <f>E5/E9</f>
        <v>7.0230693533631428E-2</v>
      </c>
      <c r="F42" s="89">
        <f t="shared" ref="F42:U42" si="40">F5/F9</f>
        <v>8.0614016765065424E-2</v>
      </c>
      <c r="G42" s="89">
        <f t="shared" si="40"/>
        <v>6.8574017851711425E-2</v>
      </c>
      <c r="H42" s="89">
        <f t="shared" si="40"/>
        <v>0.10438249689507506</v>
      </c>
      <c r="I42" s="89">
        <f t="shared" si="40"/>
        <v>7.416687403752982E-2</v>
      </c>
      <c r="J42" s="89">
        <f t="shared" si="40"/>
        <v>8.4199582910444423E-2</v>
      </c>
      <c r="K42" s="89">
        <f t="shared" si="40"/>
        <v>6.8250829050271689E-2</v>
      </c>
      <c r="L42" s="89">
        <f t="shared" si="40"/>
        <v>9.1716558458327838E-2</v>
      </c>
      <c r="M42" s="89">
        <f t="shared" si="40"/>
        <v>8.8753595828864565E-2</v>
      </c>
      <c r="N42" s="213">
        <f t="shared" si="40"/>
        <v>0.11264703028655791</v>
      </c>
      <c r="O42" s="213">
        <f t="shared" si="40"/>
        <v>9.8707124761014273E-2</v>
      </c>
      <c r="P42" s="213">
        <f t="shared" si="40"/>
        <v>0.13976717983668094</v>
      </c>
      <c r="Q42" s="213">
        <f t="shared" si="40"/>
        <v>9.7372561316668729E-2</v>
      </c>
      <c r="R42" s="213">
        <f t="shared" si="40"/>
        <v>0.12409334756958185</v>
      </c>
      <c r="S42" s="213">
        <f t="shared" si="40"/>
        <v>9.9999233942512519E-2</v>
      </c>
      <c r="T42" s="213">
        <f t="shared" si="40"/>
        <v>0.13090604753184901</v>
      </c>
      <c r="U42" s="213">
        <f t="shared" si="40"/>
        <v>9.1466647122785238E-2</v>
      </c>
    </row>
    <row r="43" spans="1:89" x14ac:dyDescent="0.25">
      <c r="A43" s="183" t="s">
        <v>336</v>
      </c>
      <c r="B43" s="64"/>
      <c r="C43" s="64"/>
      <c r="D43" s="64"/>
      <c r="E43" s="89">
        <f>E6/E9</f>
        <v>0.23850397263202749</v>
      </c>
      <c r="F43" s="89">
        <f t="shared" ref="F43:U43" si="41">F6/F9</f>
        <v>0.18947081128462784</v>
      </c>
      <c r="G43" s="89">
        <f t="shared" si="41"/>
        <v>0.23179390801524011</v>
      </c>
      <c r="H43" s="89">
        <f t="shared" si="41"/>
        <v>0.22597947748040831</v>
      </c>
      <c r="I43" s="89">
        <f t="shared" si="41"/>
        <v>0.20374301201937517</v>
      </c>
      <c r="J43" s="89">
        <f t="shared" si="41"/>
        <v>0.20036764246166741</v>
      </c>
      <c r="K43" s="89">
        <f t="shared" si="41"/>
        <v>0.19553329211830395</v>
      </c>
      <c r="L43" s="89">
        <f t="shared" si="41"/>
        <v>0.18845266267856661</v>
      </c>
      <c r="M43" s="89">
        <f t="shared" si="41"/>
        <v>0.25761492286056203</v>
      </c>
      <c r="N43" s="213">
        <f t="shared" si="41"/>
        <v>0.2394908413526913</v>
      </c>
      <c r="O43" s="213">
        <f t="shared" si="41"/>
        <v>0.25353002422831233</v>
      </c>
      <c r="P43" s="213">
        <f t="shared" si="41"/>
        <v>0.25593583995478547</v>
      </c>
      <c r="Q43" s="213">
        <f t="shared" si="41"/>
        <v>0.24571234518379248</v>
      </c>
      <c r="R43" s="213">
        <f t="shared" si="41"/>
        <v>0.25077875387886589</v>
      </c>
      <c r="S43" s="213">
        <f t="shared" si="41"/>
        <v>0.22941012602403446</v>
      </c>
      <c r="T43" s="213">
        <f t="shared" si="41"/>
        <v>0.23434513359506565</v>
      </c>
      <c r="U43" s="213">
        <f t="shared" si="41"/>
        <v>0.23760126003390758</v>
      </c>
    </row>
    <row r="44" spans="1:89" x14ac:dyDescent="0.25">
      <c r="A44" s="183" t="s">
        <v>337</v>
      </c>
      <c r="B44" s="64"/>
      <c r="C44" s="64"/>
      <c r="D44" s="64"/>
      <c r="E44" s="89">
        <f>E7/E9</f>
        <v>0.99149675018198558</v>
      </c>
      <c r="F44" s="89">
        <f t="shared" ref="F44:U44" si="42">F7/F9</f>
        <v>1.0283832240541191</v>
      </c>
      <c r="G44" s="89">
        <f t="shared" si="42"/>
        <v>1.0594604408619388</v>
      </c>
      <c r="H44" s="89">
        <f t="shared" si="42"/>
        <v>1.0595844487267685</v>
      </c>
      <c r="I44" s="89">
        <f t="shared" si="42"/>
        <v>1.0420983962076027</v>
      </c>
      <c r="J44" s="89">
        <f t="shared" si="42"/>
        <v>0.92381406977564184</v>
      </c>
      <c r="K44" s="89">
        <f t="shared" si="42"/>
        <v>0.88531835833304318</v>
      </c>
      <c r="L44" s="89">
        <f t="shared" si="42"/>
        <v>0.87646651357304806</v>
      </c>
      <c r="M44" s="89">
        <f t="shared" si="42"/>
        <v>1.0023053246869187</v>
      </c>
      <c r="N44" s="213">
        <f t="shared" si="42"/>
        <v>0.91093787110136781</v>
      </c>
      <c r="O44" s="213">
        <f t="shared" si="42"/>
        <v>0.87732274944810251</v>
      </c>
      <c r="P44" s="213">
        <f t="shared" si="42"/>
        <v>0.71786417418430637</v>
      </c>
      <c r="Q44" s="213">
        <f t="shared" si="42"/>
        <v>0.75923666103225729</v>
      </c>
      <c r="R44" s="213">
        <f t="shared" si="42"/>
        <v>0.81328667197804727</v>
      </c>
      <c r="S44" s="213">
        <f t="shared" si="42"/>
        <v>0.81018371847353721</v>
      </c>
      <c r="T44" s="213">
        <f t="shared" si="42"/>
        <v>0.85827468387552797</v>
      </c>
      <c r="U44" s="213">
        <f t="shared" si="42"/>
        <v>0.90412260494307928</v>
      </c>
    </row>
    <row r="45" spans="1:89" s="224" customFormat="1" x14ac:dyDescent="0.25">
      <c r="A45" s="221" t="s">
        <v>338</v>
      </c>
      <c r="B45" s="222"/>
      <c r="C45" s="222"/>
      <c r="D45" s="222"/>
      <c r="E45" s="223">
        <f>E8/E9</f>
        <v>0.82322347108358951</v>
      </c>
      <c r="F45" s="223">
        <f t="shared" ref="F45:U45" si="43">F8/F9</f>
        <v>0.91952642953455654</v>
      </c>
      <c r="G45" s="223">
        <f t="shared" si="43"/>
        <v>0.89624055069841013</v>
      </c>
      <c r="H45" s="223">
        <f t="shared" si="43"/>
        <v>0.93798746814143541</v>
      </c>
      <c r="I45" s="223">
        <f t="shared" si="43"/>
        <v>0.91252225822575728</v>
      </c>
      <c r="J45" s="223">
        <f t="shared" si="43"/>
        <v>0.80764601022441873</v>
      </c>
      <c r="K45" s="223">
        <f t="shared" si="43"/>
        <v>0.75803589526501092</v>
      </c>
      <c r="L45" s="223">
        <f t="shared" si="43"/>
        <v>0.77973040935280924</v>
      </c>
      <c r="M45" s="223">
        <f t="shared" si="43"/>
        <v>0.83344399765522115</v>
      </c>
      <c r="N45" s="223">
        <f t="shared" si="43"/>
        <v>0.78409406003523441</v>
      </c>
      <c r="O45" s="223">
        <f t="shared" si="43"/>
        <v>0.72249984998080452</v>
      </c>
      <c r="P45" s="223">
        <f t="shared" si="43"/>
        <v>0.60169551406620192</v>
      </c>
      <c r="Q45" s="223">
        <f t="shared" si="43"/>
        <v>0.61089687716513363</v>
      </c>
      <c r="R45" s="223">
        <f t="shared" si="43"/>
        <v>0.68660126566876323</v>
      </c>
      <c r="S45" s="223">
        <f t="shared" si="43"/>
        <v>0.6807728263920152</v>
      </c>
      <c r="T45" s="223">
        <f t="shared" si="43"/>
        <v>0.75483559781231135</v>
      </c>
      <c r="U45" s="223">
        <f t="shared" si="43"/>
        <v>0.75798799203195699</v>
      </c>
    </row>
    <row r="46" spans="1:89" x14ac:dyDescent="0.25">
      <c r="A46" s="184" t="s">
        <v>339</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340</v>
      </c>
      <c r="B47" s="64"/>
      <c r="C47" s="64"/>
      <c r="D47" s="64"/>
      <c r="E47" s="89">
        <f>E10/E14</f>
        <v>7.9031372089457999E-2</v>
      </c>
      <c r="F47" s="89">
        <f t="shared" ref="F47:U47" si="45">F10/F14</f>
        <v>9.1511525221417811E-2</v>
      </c>
      <c r="G47" s="89">
        <f t="shared" si="45"/>
        <v>1.3109528656730176E-2</v>
      </c>
      <c r="H47" s="89">
        <f t="shared" si="45"/>
        <v>4.9184231914472024E-4</v>
      </c>
      <c r="I47" s="89">
        <f t="shared" si="45"/>
        <v>4.0115717319475782E-4</v>
      </c>
      <c r="J47" s="89">
        <f t="shared" si="45"/>
        <v>0</v>
      </c>
      <c r="K47" s="89">
        <f t="shared" si="45"/>
        <v>0</v>
      </c>
      <c r="L47" s="89">
        <f t="shared" si="45"/>
        <v>0</v>
      </c>
      <c r="M47" s="89">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341</v>
      </c>
      <c r="B48" s="64"/>
      <c r="C48" s="64"/>
      <c r="D48" s="64"/>
      <c r="E48" s="89">
        <f>E11/E14</f>
        <v>8.9600069263905679E-2</v>
      </c>
      <c r="F48" s="89">
        <f t="shared" ref="F48:U48" si="46">F11/F14</f>
        <v>4.0999131060894874E-2</v>
      </c>
      <c r="G48" s="89">
        <f t="shared" si="46"/>
        <v>4.2935193177897492E-2</v>
      </c>
      <c r="H48" s="89">
        <f t="shared" si="46"/>
        <v>0.24925349061917637</v>
      </c>
      <c r="I48" s="89">
        <f t="shared" si="46"/>
        <v>0.26033481128952379</v>
      </c>
      <c r="J48" s="89">
        <f t="shared" si="46"/>
        <v>0.2174747275522706</v>
      </c>
      <c r="K48" s="89">
        <f t="shared" si="46"/>
        <v>0.22096894463679781</v>
      </c>
      <c r="L48" s="89">
        <f t="shared" si="46"/>
        <v>0.22611727437263693</v>
      </c>
      <c r="M48" s="89">
        <f t="shared" si="46"/>
        <v>0</v>
      </c>
      <c r="N48" s="213">
        <f t="shared" si="46"/>
        <v>0</v>
      </c>
      <c r="O48" s="213">
        <f t="shared" si="46"/>
        <v>0</v>
      </c>
      <c r="P48" s="213">
        <f t="shared" si="46"/>
        <v>0</v>
      </c>
      <c r="Q48" s="213">
        <f t="shared" si="46"/>
        <v>0</v>
      </c>
      <c r="R48" s="213">
        <f t="shared" si="46"/>
        <v>0</v>
      </c>
      <c r="S48" s="213">
        <f t="shared" si="46"/>
        <v>0</v>
      </c>
      <c r="T48" s="213">
        <f t="shared" si="46"/>
        <v>0</v>
      </c>
      <c r="U48" s="213">
        <f t="shared" si="46"/>
        <v>0</v>
      </c>
    </row>
    <row r="49" spans="1:21" x14ac:dyDescent="0.25">
      <c r="A49" s="183" t="s">
        <v>342</v>
      </c>
      <c r="B49" s="64"/>
      <c r="C49" s="64"/>
      <c r="D49" s="64"/>
      <c r="E49" s="89">
        <f>E12/E14</f>
        <v>0.16863144135336366</v>
      </c>
      <c r="F49" s="89">
        <f t="shared" ref="F49:U49" si="47">F12/F14</f>
        <v>0.13251065628231268</v>
      </c>
      <c r="G49" s="89">
        <f t="shared" si="47"/>
        <v>5.6044721834627664E-2</v>
      </c>
      <c r="H49" s="89">
        <f t="shared" si="47"/>
        <v>0.2497453329383211</v>
      </c>
      <c r="I49" s="89">
        <f t="shared" si="47"/>
        <v>0.26073596846271857</v>
      </c>
      <c r="J49" s="89">
        <f t="shared" si="47"/>
        <v>0.2174747275522706</v>
      </c>
      <c r="K49" s="89">
        <f t="shared" si="47"/>
        <v>0.22096894463679781</v>
      </c>
      <c r="L49" s="89">
        <f t="shared" si="47"/>
        <v>0.22611727437263693</v>
      </c>
      <c r="M49" s="89">
        <f t="shared" si="47"/>
        <v>0</v>
      </c>
      <c r="N49" s="213">
        <f t="shared" si="47"/>
        <v>0</v>
      </c>
      <c r="O49" s="213">
        <f t="shared" si="47"/>
        <v>0</v>
      </c>
      <c r="P49" s="213">
        <f t="shared" si="47"/>
        <v>0</v>
      </c>
      <c r="Q49" s="213">
        <f t="shared" si="47"/>
        <v>0</v>
      </c>
      <c r="R49" s="213">
        <f t="shared" si="47"/>
        <v>0</v>
      </c>
      <c r="S49" s="213">
        <f t="shared" si="47"/>
        <v>0</v>
      </c>
      <c r="T49" s="213">
        <f t="shared" si="47"/>
        <v>0</v>
      </c>
      <c r="U49" s="213">
        <f t="shared" si="47"/>
        <v>0</v>
      </c>
    </row>
    <row r="50" spans="1:21" x14ac:dyDescent="0.25">
      <c r="A50" s="183" t="s">
        <v>346</v>
      </c>
      <c r="B50" s="64"/>
      <c r="C50" s="64"/>
      <c r="D50" s="64"/>
      <c r="E50" s="89">
        <f>E13/E14</f>
        <v>0.83136855864663639</v>
      </c>
      <c r="F50" s="89">
        <f t="shared" ref="F50:U50" si="48">F13/F14</f>
        <v>0.86748934371768727</v>
      </c>
      <c r="G50" s="89">
        <f t="shared" si="48"/>
        <v>0.94395527816537239</v>
      </c>
      <c r="H50" s="89">
        <f t="shared" si="48"/>
        <v>0.75025466706167887</v>
      </c>
      <c r="I50" s="89">
        <f t="shared" si="48"/>
        <v>0.73926403153728149</v>
      </c>
      <c r="J50" s="89">
        <f t="shared" si="48"/>
        <v>0.7825252724477294</v>
      </c>
      <c r="K50" s="89">
        <f t="shared" si="48"/>
        <v>0.77903105536320216</v>
      </c>
      <c r="L50" s="89">
        <f t="shared" si="48"/>
        <v>0.77388272562736304</v>
      </c>
      <c r="M50" s="89">
        <f t="shared" si="48"/>
        <v>1</v>
      </c>
      <c r="N50" s="213">
        <f t="shared" si="48"/>
        <v>1</v>
      </c>
      <c r="O50" s="213">
        <f t="shared" si="48"/>
        <v>1</v>
      </c>
      <c r="P50" s="213">
        <f t="shared" si="48"/>
        <v>1</v>
      </c>
      <c r="Q50" s="213">
        <f t="shared" si="48"/>
        <v>1</v>
      </c>
      <c r="R50" s="213">
        <f t="shared" si="48"/>
        <v>1</v>
      </c>
      <c r="S50" s="213">
        <f t="shared" si="48"/>
        <v>1</v>
      </c>
      <c r="T50" s="213">
        <f t="shared" si="48"/>
        <v>1</v>
      </c>
      <c r="U50" s="213">
        <f t="shared" si="48"/>
        <v>1</v>
      </c>
    </row>
    <row r="51" spans="1:21" x14ac:dyDescent="0.25">
      <c r="A51" s="184" t="s">
        <v>343</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642</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646</v>
      </c>
      <c r="B55" s="64"/>
      <c r="C55" s="64"/>
      <c r="D55" s="64"/>
      <c r="E55" s="213">
        <f>E2/E9</f>
        <v>0.16580019320843828</v>
      </c>
      <c r="F55" s="213">
        <f t="shared" ref="F55:U55" si="51">F2/F9</f>
        <v>6.9705383152224354E-2</v>
      </c>
      <c r="G55" s="213">
        <f t="shared" si="51"/>
        <v>9.5102689661594283E-2</v>
      </c>
      <c r="H55" s="213">
        <f t="shared" si="51"/>
        <v>5.3697866206198312E-2</v>
      </c>
      <c r="I55" s="213">
        <f t="shared" si="51"/>
        <v>7.9519123654490598E-2</v>
      </c>
      <c r="J55" s="213">
        <f t="shared" si="51"/>
        <v>0.18484878890702219</v>
      </c>
      <c r="K55" s="213">
        <f t="shared" si="51"/>
        <v>0.23380384375074734</v>
      </c>
      <c r="L55" s="213">
        <f t="shared" si="51"/>
        <v>0.21276912566704925</v>
      </c>
      <c r="M55" s="213">
        <f t="shared" si="51"/>
        <v>0.15626669323973055</v>
      </c>
      <c r="N55" s="213">
        <f t="shared" si="51"/>
        <v>0.2061101179314567</v>
      </c>
      <c r="O55" s="213">
        <f t="shared" si="51"/>
        <v>0.26771112022130494</v>
      </c>
      <c r="P55" s="213">
        <f t="shared" si="51"/>
        <v>0.38845428190122766</v>
      </c>
      <c r="Q55" s="213">
        <f t="shared" si="51"/>
        <v>0.37887076939287817</v>
      </c>
      <c r="R55" s="213">
        <f t="shared" si="51"/>
        <v>0.30269995872383626</v>
      </c>
      <c r="S55" s="213">
        <f t="shared" si="51"/>
        <v>0.30879012011886431</v>
      </c>
      <c r="T55" s="213">
        <f t="shared" si="51"/>
        <v>0.23450310565824328</v>
      </c>
      <c r="U55" s="213">
        <f t="shared" si="51"/>
        <v>0.23100614786124335</v>
      </c>
    </row>
    <row r="56" spans="1:21" x14ac:dyDescent="0.25">
      <c r="A56" s="183" t="s">
        <v>647</v>
      </c>
      <c r="B56" s="64"/>
      <c r="C56" s="64"/>
      <c r="D56" s="64"/>
      <c r="E56" s="213">
        <f>E4/E9</f>
        <v>-0.16827327909839607</v>
      </c>
      <c r="F56" s="213">
        <f t="shared" ref="F56:U56" si="52">F4/F9</f>
        <v>-0.10885679451956243</v>
      </c>
      <c r="G56" s="213">
        <f t="shared" si="52"/>
        <v>-0.16321989016352867</v>
      </c>
      <c r="H56" s="213">
        <f t="shared" si="52"/>
        <v>-0.12159698058533325</v>
      </c>
      <c r="I56" s="213">
        <f t="shared" si="52"/>
        <v>-0.12957613798184534</v>
      </c>
      <c r="J56" s="213">
        <f t="shared" si="52"/>
        <v>-0.11616805955122299</v>
      </c>
      <c r="K56" s="213">
        <f t="shared" si="52"/>
        <v>-0.12728246306803226</v>
      </c>
      <c r="L56" s="213">
        <f t="shared" si="52"/>
        <v>-9.6736104220238789E-2</v>
      </c>
      <c r="M56" s="213">
        <f t="shared" si="52"/>
        <v>-0.16886132703169748</v>
      </c>
      <c r="N56" s="213">
        <f t="shared" si="52"/>
        <v>-0.12684381106613341</v>
      </c>
      <c r="O56" s="213">
        <f t="shared" si="52"/>
        <v>-0.15482289946729805</v>
      </c>
      <c r="P56" s="213">
        <f t="shared" si="52"/>
        <v>-0.11616866011810451</v>
      </c>
      <c r="Q56" s="213">
        <f t="shared" si="52"/>
        <v>-0.14833978386712376</v>
      </c>
      <c r="R56" s="213">
        <f t="shared" si="52"/>
        <v>-0.12668540630928404</v>
      </c>
      <c r="S56" s="213">
        <f t="shared" si="52"/>
        <v>-0.12941089208152196</v>
      </c>
      <c r="T56" s="213">
        <f t="shared" si="52"/>
        <v>-0.10343908606321664</v>
      </c>
      <c r="U56" s="213">
        <f t="shared" si="52"/>
        <v>-0.14613461291112231</v>
      </c>
    </row>
    <row r="57" spans="1:21" x14ac:dyDescent="0.25">
      <c r="A57" s="183" t="s">
        <v>648</v>
      </c>
      <c r="B57" s="64"/>
      <c r="C57" s="64"/>
      <c r="D57" s="64"/>
      <c r="E57" s="213">
        <f>E5/E9</f>
        <v>7.0230693533631428E-2</v>
      </c>
      <c r="F57" s="213">
        <f t="shared" ref="F57:U57" si="53">F5/F9</f>
        <v>8.0614016765065424E-2</v>
      </c>
      <c r="G57" s="213">
        <f t="shared" si="53"/>
        <v>6.8574017851711425E-2</v>
      </c>
      <c r="H57" s="213">
        <f t="shared" si="53"/>
        <v>0.10438249689507506</v>
      </c>
      <c r="I57" s="213">
        <f t="shared" si="53"/>
        <v>7.416687403752982E-2</v>
      </c>
      <c r="J57" s="213">
        <f t="shared" si="53"/>
        <v>8.4199582910444423E-2</v>
      </c>
      <c r="K57" s="213">
        <f t="shared" si="53"/>
        <v>6.8250829050271689E-2</v>
      </c>
      <c r="L57" s="213">
        <f t="shared" si="53"/>
        <v>9.1716558458327838E-2</v>
      </c>
      <c r="M57" s="213">
        <f t="shared" si="53"/>
        <v>8.8753595828864565E-2</v>
      </c>
      <c r="N57" s="213">
        <f t="shared" si="53"/>
        <v>0.11264703028655791</v>
      </c>
      <c r="O57" s="213">
        <f t="shared" si="53"/>
        <v>9.8707124761014273E-2</v>
      </c>
      <c r="P57" s="213">
        <f t="shared" si="53"/>
        <v>0.13976717983668094</v>
      </c>
      <c r="Q57" s="213">
        <f t="shared" si="53"/>
        <v>9.7372561316668729E-2</v>
      </c>
      <c r="R57" s="213">
        <f t="shared" si="53"/>
        <v>0.12409334756958185</v>
      </c>
      <c r="S57" s="213">
        <f t="shared" si="53"/>
        <v>9.9999233942512519E-2</v>
      </c>
      <c r="T57" s="213">
        <f t="shared" si="53"/>
        <v>0.13090604753184901</v>
      </c>
      <c r="U57" s="213">
        <f t="shared" si="53"/>
        <v>9.1466647122785238E-2</v>
      </c>
    </row>
    <row r="58" spans="1:21" x14ac:dyDescent="0.25">
      <c r="A58" s="183" t="s">
        <v>649</v>
      </c>
      <c r="B58" s="64"/>
      <c r="C58" s="64"/>
      <c r="D58" s="64"/>
      <c r="E58" s="213">
        <f>E6/E9</f>
        <v>0.23850397263202749</v>
      </c>
      <c r="F58" s="213">
        <f t="shared" ref="F58:U58" si="54">F6/F9</f>
        <v>0.18947081128462784</v>
      </c>
      <c r="G58" s="213">
        <f t="shared" si="54"/>
        <v>0.23179390801524011</v>
      </c>
      <c r="H58" s="213">
        <f t="shared" si="54"/>
        <v>0.22597947748040831</v>
      </c>
      <c r="I58" s="213">
        <f t="shared" si="54"/>
        <v>0.20374301201937517</v>
      </c>
      <c r="J58" s="213">
        <f t="shared" si="54"/>
        <v>0.20036764246166741</v>
      </c>
      <c r="K58" s="213">
        <f t="shared" si="54"/>
        <v>0.19553329211830395</v>
      </c>
      <c r="L58" s="213">
        <f t="shared" si="54"/>
        <v>0.18845266267856661</v>
      </c>
      <c r="M58" s="213">
        <f t="shared" si="54"/>
        <v>0.25761492286056203</v>
      </c>
      <c r="N58" s="213">
        <f t="shared" si="54"/>
        <v>0.2394908413526913</v>
      </c>
      <c r="O58" s="213">
        <f t="shared" si="54"/>
        <v>0.25353002422831233</v>
      </c>
      <c r="P58" s="213">
        <f t="shared" si="54"/>
        <v>0.25593583995478547</v>
      </c>
      <c r="Q58" s="213">
        <f t="shared" si="54"/>
        <v>0.24571234518379248</v>
      </c>
      <c r="R58" s="213">
        <f t="shared" si="54"/>
        <v>0.25077875387886589</v>
      </c>
      <c r="S58" s="213">
        <f t="shared" si="54"/>
        <v>0.22941012602403446</v>
      </c>
      <c r="T58" s="213">
        <f t="shared" si="54"/>
        <v>0.23434513359506565</v>
      </c>
      <c r="U58" s="213">
        <f t="shared" si="54"/>
        <v>0.23760126003390758</v>
      </c>
    </row>
    <row r="59" spans="1:21" s="224" customFormat="1" x14ac:dyDescent="0.25">
      <c r="A59" s="226" t="s">
        <v>643</v>
      </c>
      <c r="B59" s="222"/>
      <c r="C59" s="222"/>
      <c r="D59" s="222"/>
      <c r="E59" s="223">
        <f>E55+E56</f>
        <v>-2.4730858899577879E-3</v>
      </c>
      <c r="F59" s="223">
        <f t="shared" ref="F59:U59" si="55">F55+F56</f>
        <v>-3.9151411367338074E-2</v>
      </c>
      <c r="G59" s="223">
        <f t="shared" si="55"/>
        <v>-6.8117200501934386E-2</v>
      </c>
      <c r="H59" s="223">
        <f t="shared" si="55"/>
        <v>-6.7899114379134928E-2</v>
      </c>
      <c r="I59" s="223">
        <f t="shared" si="55"/>
        <v>-5.0057014327354737E-2</v>
      </c>
      <c r="J59" s="223">
        <f t="shared" si="55"/>
        <v>6.8680729355799205E-2</v>
      </c>
      <c r="K59" s="223">
        <f t="shared" si="55"/>
        <v>0.10652138068271508</v>
      </c>
      <c r="L59" s="223">
        <f t="shared" si="55"/>
        <v>0.11603302144681046</v>
      </c>
      <c r="M59" s="223">
        <f t="shared" si="55"/>
        <v>-1.259463379196693E-2</v>
      </c>
      <c r="N59" s="223">
        <f t="shared" si="55"/>
        <v>7.9266306865323294E-2</v>
      </c>
      <c r="O59" s="223">
        <f t="shared" si="55"/>
        <v>0.1128882207540069</v>
      </c>
      <c r="P59" s="223">
        <f t="shared" si="55"/>
        <v>0.27228562178312316</v>
      </c>
      <c r="Q59" s="223">
        <f t="shared" si="55"/>
        <v>0.23053098552575441</v>
      </c>
      <c r="R59" s="223">
        <f t="shared" si="55"/>
        <v>0.17601455241455222</v>
      </c>
      <c r="S59" s="223">
        <f t="shared" si="55"/>
        <v>0.17937922803734235</v>
      </c>
      <c r="T59" s="223">
        <f t="shared" si="55"/>
        <v>0.13106401959502664</v>
      </c>
      <c r="U59" s="223">
        <f t="shared" si="55"/>
        <v>8.4871534950121036E-2</v>
      </c>
    </row>
    <row r="60" spans="1:21" x14ac:dyDescent="0.25">
      <c r="A60" s="183" t="s">
        <v>650</v>
      </c>
      <c r="B60" s="64"/>
      <c r="C60" s="64"/>
      <c r="D60" s="64"/>
      <c r="E60" s="213">
        <f>E3/E9</f>
        <v>1.0976335707972238E-2</v>
      </c>
      <c r="F60" s="213">
        <f t="shared" ref="F60:U60" si="56">F3/F9</f>
        <v>1.0768187313219012E-2</v>
      </c>
      <c r="G60" s="213">
        <f t="shared" si="56"/>
        <v>8.6567596399956068E-3</v>
      </c>
      <c r="H60" s="213">
        <f t="shared" si="56"/>
        <v>8.3146656523663473E-3</v>
      </c>
      <c r="I60" s="213">
        <f t="shared" si="56"/>
        <v>7.9586181197521689E-3</v>
      </c>
      <c r="J60" s="213">
        <f t="shared" si="56"/>
        <v>7.5052008685589601E-3</v>
      </c>
      <c r="K60" s="213">
        <f t="shared" si="56"/>
        <v>8.1602609842417826E-3</v>
      </c>
      <c r="L60" s="213">
        <f t="shared" si="56"/>
        <v>7.5004649801415626E-3</v>
      </c>
      <c r="M60" s="213">
        <f t="shared" si="56"/>
        <v>1.0289309105048182E-2</v>
      </c>
      <c r="N60" s="213">
        <f t="shared" si="56"/>
        <v>9.7958220333087872E-3</v>
      </c>
      <c r="O60" s="213">
        <f t="shared" si="56"/>
        <v>9.7890297978904441E-3</v>
      </c>
      <c r="P60" s="213">
        <f t="shared" si="56"/>
        <v>9.8502040325704442E-3</v>
      </c>
      <c r="Q60" s="213">
        <f t="shared" si="56"/>
        <v>1.0232353441988223E-2</v>
      </c>
      <c r="R60" s="213">
        <f t="shared" si="56"/>
        <v>1.0698775607400549E-2</v>
      </c>
      <c r="S60" s="213">
        <f t="shared" si="56"/>
        <v>1.0437053489120524E-2</v>
      </c>
      <c r="T60" s="213">
        <f t="shared" si="56"/>
        <v>1.0661296529445382E-2</v>
      </c>
      <c r="U60" s="213">
        <f t="shared" si="56"/>
        <v>1.1005860106799647E-2</v>
      </c>
    </row>
    <row r="61" spans="1:21" x14ac:dyDescent="0.25">
      <c r="A61" s="183" t="s">
        <v>651</v>
      </c>
      <c r="B61" s="64"/>
      <c r="C61" s="64"/>
      <c r="D61" s="64"/>
      <c r="E61" s="213">
        <f>E7/E9</f>
        <v>0.99149675018198558</v>
      </c>
      <c r="F61" s="213">
        <f t="shared" ref="F61:U61" si="57">F7/F9</f>
        <v>1.0283832240541191</v>
      </c>
      <c r="G61" s="213">
        <f t="shared" si="57"/>
        <v>1.0594604408619388</v>
      </c>
      <c r="H61" s="213">
        <f t="shared" si="57"/>
        <v>1.0595844487267685</v>
      </c>
      <c r="I61" s="213">
        <f t="shared" si="57"/>
        <v>1.0420983962076027</v>
      </c>
      <c r="J61" s="213">
        <f t="shared" si="57"/>
        <v>0.92381406977564184</v>
      </c>
      <c r="K61" s="213">
        <f t="shared" si="57"/>
        <v>0.88531835833304318</v>
      </c>
      <c r="L61" s="213">
        <f t="shared" si="57"/>
        <v>0.87646651357304806</v>
      </c>
      <c r="M61" s="213">
        <f t="shared" si="57"/>
        <v>1.0023053246869187</v>
      </c>
      <c r="N61" s="213">
        <f t="shared" si="57"/>
        <v>0.91093787110136781</v>
      </c>
      <c r="O61" s="213">
        <f t="shared" si="57"/>
        <v>0.87732274944810251</v>
      </c>
      <c r="P61" s="213">
        <f t="shared" si="57"/>
        <v>0.71786417418430637</v>
      </c>
      <c r="Q61" s="213">
        <f t="shared" si="57"/>
        <v>0.75923666103225729</v>
      </c>
      <c r="R61" s="213">
        <f t="shared" si="57"/>
        <v>0.81328667197804727</v>
      </c>
      <c r="S61" s="213">
        <f t="shared" si="57"/>
        <v>0.81018371847353721</v>
      </c>
      <c r="T61" s="213">
        <f t="shared" si="57"/>
        <v>0.85827468387552797</v>
      </c>
      <c r="U61" s="213">
        <f t="shared" si="57"/>
        <v>0.90412260494307928</v>
      </c>
    </row>
    <row r="62" spans="1:21" s="224" customFormat="1" x14ac:dyDescent="0.25">
      <c r="A62" s="226" t="s">
        <v>644</v>
      </c>
      <c r="B62" s="222"/>
      <c r="C62" s="222"/>
      <c r="D62" s="222"/>
      <c r="E62" s="223">
        <f>E60+E61</f>
        <v>1.0024730858899578</v>
      </c>
      <c r="F62" s="223">
        <f t="shared" ref="F62:M62" si="58">F60+F61</f>
        <v>1.0391514113673381</v>
      </c>
      <c r="G62" s="223">
        <f t="shared" si="58"/>
        <v>1.0681172005019344</v>
      </c>
      <c r="H62" s="223">
        <f t="shared" si="58"/>
        <v>1.0678991143791348</v>
      </c>
      <c r="I62" s="223">
        <f t="shared" si="58"/>
        <v>1.0500570143273549</v>
      </c>
      <c r="J62" s="223">
        <f t="shared" si="58"/>
        <v>0.93131927064420084</v>
      </c>
      <c r="K62" s="223">
        <f t="shared" si="58"/>
        <v>0.89347861931728501</v>
      </c>
      <c r="L62" s="223">
        <f t="shared" si="58"/>
        <v>0.88396697855318962</v>
      </c>
      <c r="M62" s="223">
        <f t="shared" si="58"/>
        <v>1.0125946337919669</v>
      </c>
      <c r="N62" s="223">
        <f t="shared" ref="N62" si="59">N60+N61</f>
        <v>0.92073369313467657</v>
      </c>
      <c r="O62" s="223">
        <f t="shared" ref="O62" si="60">O60+O61</f>
        <v>0.88711177924599294</v>
      </c>
      <c r="P62" s="223">
        <f t="shared" ref="P62" si="61">P60+P61</f>
        <v>0.72771437821687679</v>
      </c>
      <c r="Q62" s="223">
        <f t="shared" ref="Q62" si="62">Q60+Q61</f>
        <v>0.76946901447424554</v>
      </c>
      <c r="R62" s="223">
        <f t="shared" ref="R62" si="63">R60+R61</f>
        <v>0.82398544758544778</v>
      </c>
      <c r="S62" s="223">
        <f t="shared" ref="S62" si="64">S60+S61</f>
        <v>0.8206207719626577</v>
      </c>
      <c r="T62" s="223">
        <f t="shared" ref="T62" si="65">T60+T61</f>
        <v>0.86893598040497333</v>
      </c>
      <c r="U62" s="223">
        <f t="shared" ref="U62" si="66">U60+U61</f>
        <v>0.91512846504987888</v>
      </c>
    </row>
    <row r="63" spans="1:21" x14ac:dyDescent="0.25">
      <c r="A63" s="225" t="s">
        <v>645</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2" t="s">
        <v>701</v>
      </c>
      <c r="B64" s="283"/>
      <c r="C64" s="283"/>
      <c r="D64" s="283"/>
      <c r="E64" s="283"/>
      <c r="F64" s="283"/>
      <c r="G64" s="283"/>
      <c r="H64" s="283"/>
      <c r="I64" s="283"/>
      <c r="J64" s="283"/>
      <c r="K64" s="283"/>
      <c r="L64" s="283"/>
      <c r="M64" s="283"/>
      <c r="N64" s="283"/>
      <c r="O64" s="283"/>
      <c r="P64" s="283"/>
      <c r="Q64" s="283"/>
      <c r="R64" s="283"/>
      <c r="S64" s="283"/>
      <c r="T64" s="283"/>
      <c r="U64" s="283"/>
    </row>
    <row r="66" spans="1:21" s="9" customFormat="1" x14ac:dyDescent="0.25">
      <c r="A66" s="231" t="s">
        <v>652</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653</v>
      </c>
      <c r="E67" s="192">
        <f>E10</f>
        <v>1435450920.5799999</v>
      </c>
      <c r="F67" s="192">
        <f t="shared" ref="F67:U67" si="68">F10</f>
        <v>1550000000</v>
      </c>
      <c r="G67" s="192">
        <f t="shared" si="68"/>
        <v>205926709.66</v>
      </c>
      <c r="H67" s="192">
        <f t="shared" si="68"/>
        <v>7455134.0499999998</v>
      </c>
      <c r="I67" s="192">
        <f t="shared" si="68"/>
        <v>5905482.2999999998</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654</v>
      </c>
      <c r="E68" s="192">
        <f>E11</f>
        <v>1627410716.8899999</v>
      </c>
      <c r="F68" s="192">
        <f t="shared" ref="F68:U68" si="69">F11</f>
        <v>694433329.47000003</v>
      </c>
      <c r="G68" s="192">
        <f t="shared" si="69"/>
        <v>674433329.47000003</v>
      </c>
      <c r="H68" s="192">
        <f t="shared" si="69"/>
        <v>3778077063.8599997</v>
      </c>
      <c r="I68" s="192">
        <f t="shared" si="69"/>
        <v>3832419617.2300005</v>
      </c>
      <c r="J68" s="192">
        <f t="shared" si="69"/>
        <v>3065900935.4699998</v>
      </c>
      <c r="K68" s="192">
        <f t="shared" si="69"/>
        <v>3065970533</v>
      </c>
      <c r="L68" s="192">
        <f t="shared" si="69"/>
        <v>3065970533</v>
      </c>
      <c r="M68" s="192">
        <f t="shared" si="69"/>
        <v>0</v>
      </c>
      <c r="N68" s="192">
        <f t="shared" si="69"/>
        <v>0</v>
      </c>
      <c r="O68" s="192">
        <f t="shared" si="69"/>
        <v>0</v>
      </c>
      <c r="P68" s="192">
        <f t="shared" si="69"/>
        <v>0</v>
      </c>
      <c r="Q68" s="192">
        <f t="shared" si="69"/>
        <v>0</v>
      </c>
      <c r="R68" s="192">
        <f t="shared" si="69"/>
        <v>0</v>
      </c>
      <c r="S68" s="192">
        <f t="shared" si="69"/>
        <v>0</v>
      </c>
      <c r="T68" s="192">
        <f t="shared" si="69"/>
        <v>0</v>
      </c>
      <c r="U68" s="192">
        <f t="shared" si="69"/>
        <v>0</v>
      </c>
    </row>
    <row r="69" spans="1:21" x14ac:dyDescent="0.25">
      <c r="A69" s="17" t="s">
        <v>655</v>
      </c>
      <c r="E69" s="192">
        <f>E12</f>
        <v>3062861637.4699998</v>
      </c>
      <c r="F69" s="192">
        <f t="shared" ref="F69:U69" si="70">F12</f>
        <v>2244433329.4700003</v>
      </c>
      <c r="G69" s="192">
        <f t="shared" si="70"/>
        <v>880360039.13</v>
      </c>
      <c r="H69" s="192">
        <f t="shared" si="70"/>
        <v>3785532197.9099998</v>
      </c>
      <c r="I69" s="192">
        <f t="shared" si="70"/>
        <v>3838325099.5300007</v>
      </c>
      <c r="J69" s="192">
        <f t="shared" si="70"/>
        <v>3065900935.4699998</v>
      </c>
      <c r="K69" s="192">
        <f t="shared" si="70"/>
        <v>3065970533</v>
      </c>
      <c r="L69" s="192">
        <f t="shared" si="70"/>
        <v>3065970533</v>
      </c>
      <c r="M69" s="192">
        <f t="shared" si="70"/>
        <v>0</v>
      </c>
      <c r="N69" s="192">
        <f t="shared" si="70"/>
        <v>0</v>
      </c>
      <c r="O69" s="192">
        <f t="shared" si="70"/>
        <v>0</v>
      </c>
      <c r="P69" s="192">
        <f t="shared" si="70"/>
        <v>0</v>
      </c>
      <c r="Q69" s="192">
        <f t="shared" si="70"/>
        <v>0</v>
      </c>
      <c r="R69" s="192">
        <f t="shared" si="70"/>
        <v>0</v>
      </c>
      <c r="S69" s="192">
        <f t="shared" si="70"/>
        <v>0</v>
      </c>
      <c r="T69" s="192">
        <f t="shared" si="70"/>
        <v>0</v>
      </c>
      <c r="U69" s="192">
        <f t="shared" si="70"/>
        <v>0</v>
      </c>
    </row>
    <row r="70" spans="1:21" s="233" customFormat="1" x14ac:dyDescent="0.25">
      <c r="A70" s="233" t="s">
        <v>658</v>
      </c>
      <c r="E70" s="233">
        <f>E69/E74</f>
        <v>0.16863144135336366</v>
      </c>
      <c r="F70" s="233">
        <f t="shared" ref="F70:U70" si="71">F69/F74</f>
        <v>0.13251065628231268</v>
      </c>
      <c r="G70" s="233">
        <f t="shared" si="71"/>
        <v>5.6044721834627664E-2</v>
      </c>
      <c r="H70" s="233">
        <f t="shared" si="71"/>
        <v>0.2497453329383211</v>
      </c>
      <c r="I70" s="233">
        <f t="shared" si="71"/>
        <v>0.26073596846271857</v>
      </c>
      <c r="J70" s="233">
        <f t="shared" si="71"/>
        <v>0.2174747275522706</v>
      </c>
      <c r="K70" s="233">
        <f t="shared" si="71"/>
        <v>0.22096894463679781</v>
      </c>
      <c r="L70" s="233">
        <f t="shared" si="71"/>
        <v>0.22611727437263693</v>
      </c>
      <c r="M70" s="233">
        <f t="shared" si="71"/>
        <v>0</v>
      </c>
      <c r="N70" s="233">
        <f t="shared" si="71"/>
        <v>0</v>
      </c>
      <c r="O70" s="233">
        <f t="shared" si="71"/>
        <v>0</v>
      </c>
      <c r="P70" s="233">
        <f t="shared" si="71"/>
        <v>0</v>
      </c>
      <c r="Q70" s="233">
        <f t="shared" si="71"/>
        <v>0</v>
      </c>
      <c r="R70" s="233">
        <f t="shared" si="71"/>
        <v>0</v>
      </c>
      <c r="S70" s="233">
        <f t="shared" si="71"/>
        <v>0</v>
      </c>
      <c r="T70" s="233">
        <f t="shared" si="71"/>
        <v>0</v>
      </c>
      <c r="U70" s="233">
        <f t="shared" si="71"/>
        <v>0</v>
      </c>
    </row>
    <row r="71" spans="1:21" x14ac:dyDescent="0.25">
      <c r="A71" s="17" t="s">
        <v>656</v>
      </c>
      <c r="E71" s="192">
        <f>E13</f>
        <v>15100190358.579996</v>
      </c>
      <c r="F71" s="192">
        <f t="shared" ref="F71:U71" si="72">F13</f>
        <v>14693323922.959995</v>
      </c>
      <c r="G71" s="192">
        <f t="shared" si="72"/>
        <v>14827810334.660004</v>
      </c>
      <c r="H71" s="192">
        <f t="shared" si="72"/>
        <v>11372037128.299999</v>
      </c>
      <c r="I71" s="192">
        <f t="shared" si="72"/>
        <v>10882793441.039999</v>
      </c>
      <c r="J71" s="192">
        <f t="shared" si="72"/>
        <v>11031833408.090002</v>
      </c>
      <c r="K71" s="192">
        <f t="shared" si="72"/>
        <v>10809149059.209999</v>
      </c>
      <c r="L71" s="192">
        <f t="shared" si="72"/>
        <v>10493234713.51</v>
      </c>
      <c r="M71" s="192">
        <f t="shared" si="72"/>
        <v>9778971802.9400024</v>
      </c>
      <c r="N71" s="192">
        <f t="shared" si="72"/>
        <v>9435835772.2000008</v>
      </c>
      <c r="O71" s="192">
        <f t="shared" si="72"/>
        <v>9375434226.3600025</v>
      </c>
      <c r="P71" s="192">
        <f t="shared" si="72"/>
        <v>9179923825.0300007</v>
      </c>
      <c r="Q71" s="192">
        <f t="shared" si="72"/>
        <v>8862745317.9900017</v>
      </c>
      <c r="R71" s="192">
        <f t="shared" si="72"/>
        <v>8405379132.1499996</v>
      </c>
      <c r="S71" s="192">
        <f t="shared" si="72"/>
        <v>8584888350.2799988</v>
      </c>
      <c r="T71" s="192">
        <f t="shared" si="72"/>
        <v>8291384398.3100004</v>
      </c>
      <c r="U71" s="192">
        <f t="shared" si="72"/>
        <v>8031803680.2399998</v>
      </c>
    </row>
    <row r="72" spans="1:21" s="233" customFormat="1" x14ac:dyDescent="0.25">
      <c r="A72" s="233" t="s">
        <v>659</v>
      </c>
      <c r="E72" s="233">
        <f>E71/E74</f>
        <v>0.83136855864663639</v>
      </c>
      <c r="F72" s="233">
        <f t="shared" ref="F72:U72" si="73">F71/F74</f>
        <v>0.86748934371768727</v>
      </c>
      <c r="G72" s="233">
        <f t="shared" si="73"/>
        <v>0.94395527816537239</v>
      </c>
      <c r="H72" s="233">
        <f t="shared" si="73"/>
        <v>0.75025466706167887</v>
      </c>
      <c r="I72" s="233">
        <f t="shared" si="73"/>
        <v>0.73926403153728149</v>
      </c>
      <c r="J72" s="233">
        <f t="shared" si="73"/>
        <v>0.7825252724477294</v>
      </c>
      <c r="K72" s="233">
        <f t="shared" si="73"/>
        <v>0.77903105536320216</v>
      </c>
      <c r="L72" s="233">
        <f t="shared" si="73"/>
        <v>0.77388272562736304</v>
      </c>
      <c r="M72" s="233">
        <f t="shared" si="73"/>
        <v>1</v>
      </c>
      <c r="N72" s="233">
        <f t="shared" si="73"/>
        <v>1</v>
      </c>
      <c r="O72" s="233">
        <f t="shared" si="73"/>
        <v>1</v>
      </c>
      <c r="P72" s="233">
        <f t="shared" si="73"/>
        <v>1</v>
      </c>
      <c r="Q72" s="233">
        <f t="shared" si="73"/>
        <v>1</v>
      </c>
      <c r="R72" s="233">
        <f t="shared" si="73"/>
        <v>1</v>
      </c>
      <c r="S72" s="233">
        <f t="shared" si="73"/>
        <v>1</v>
      </c>
      <c r="T72" s="233">
        <f t="shared" si="73"/>
        <v>1</v>
      </c>
      <c r="U72" s="233">
        <f t="shared" si="73"/>
        <v>1</v>
      </c>
    </row>
    <row r="73" spans="1:21" s="235" customFormat="1" x14ac:dyDescent="0.25">
      <c r="A73" s="234" t="s">
        <v>660</v>
      </c>
      <c r="E73" s="236">
        <f>E74/E71</f>
        <v>1.2028359619804174</v>
      </c>
      <c r="F73" s="236">
        <f t="shared" ref="F73:U73" si="74">F74/F71</f>
        <v>1.1527519124493553</v>
      </c>
      <c r="G73" s="236">
        <f t="shared" si="74"/>
        <v>1.0593722214717136</v>
      </c>
      <c r="H73" s="236">
        <f t="shared" si="74"/>
        <v>1.3328807455692766</v>
      </c>
      <c r="I73" s="236">
        <f t="shared" si="74"/>
        <v>1.3526966785067636</v>
      </c>
      <c r="J73" s="236">
        <f t="shared" si="74"/>
        <v>1.2779139987032142</v>
      </c>
      <c r="K73" s="236">
        <f t="shared" si="74"/>
        <v>1.2836458740836423</v>
      </c>
      <c r="L73" s="236">
        <f t="shared" si="74"/>
        <v>1.2921854525042287</v>
      </c>
      <c r="M73" s="236">
        <f t="shared" si="74"/>
        <v>1</v>
      </c>
      <c r="N73" s="236">
        <f t="shared" si="74"/>
        <v>1</v>
      </c>
      <c r="O73" s="236">
        <f t="shared" si="74"/>
        <v>1</v>
      </c>
      <c r="P73" s="236">
        <f t="shared" si="74"/>
        <v>1</v>
      </c>
      <c r="Q73" s="236">
        <f t="shared" si="74"/>
        <v>1</v>
      </c>
      <c r="R73" s="236">
        <f t="shared" si="74"/>
        <v>1</v>
      </c>
      <c r="S73" s="236">
        <f t="shared" si="74"/>
        <v>1</v>
      </c>
      <c r="T73" s="236">
        <f t="shared" si="74"/>
        <v>1</v>
      </c>
      <c r="U73" s="236">
        <f t="shared" si="74"/>
        <v>1</v>
      </c>
    </row>
    <row r="74" spans="1:21" x14ac:dyDescent="0.25">
      <c r="A74" s="17" t="s">
        <v>657</v>
      </c>
      <c r="E74" s="192">
        <f>E14</f>
        <v>18163051996.049995</v>
      </c>
      <c r="F74" s="192">
        <f t="shared" ref="F74:U74" si="75">F14</f>
        <v>16937757252.429996</v>
      </c>
      <c r="G74" s="192">
        <f t="shared" si="75"/>
        <v>15708170373.790003</v>
      </c>
      <c r="H74" s="192">
        <f t="shared" si="75"/>
        <v>15157569326.209999</v>
      </c>
      <c r="I74" s="192">
        <f t="shared" si="75"/>
        <v>14721118540.57</v>
      </c>
      <c r="J74" s="192">
        <f t="shared" si="75"/>
        <v>14097734343.560001</v>
      </c>
      <c r="K74" s="192">
        <f t="shared" si="75"/>
        <v>13875119592.209999</v>
      </c>
      <c r="L74" s="192">
        <f t="shared" si="75"/>
        <v>13559205246.51</v>
      </c>
      <c r="M74" s="192">
        <f t="shared" si="75"/>
        <v>9778971802.9400024</v>
      </c>
      <c r="N74" s="192">
        <f t="shared" si="75"/>
        <v>9435835772.2000008</v>
      </c>
      <c r="O74" s="192">
        <f t="shared" si="75"/>
        <v>9375434226.3600025</v>
      </c>
      <c r="P74" s="192">
        <f t="shared" si="75"/>
        <v>9179923825.0300007</v>
      </c>
      <c r="Q74" s="192">
        <f t="shared" si="75"/>
        <v>8862745317.9900017</v>
      </c>
      <c r="R74" s="192">
        <f t="shared" si="75"/>
        <v>8405379132.1499996</v>
      </c>
      <c r="S74" s="192">
        <f t="shared" si="75"/>
        <v>8584888350.2799988</v>
      </c>
      <c r="T74" s="192">
        <f t="shared" si="75"/>
        <v>8291384398.3100004</v>
      </c>
      <c r="U74" s="192">
        <f t="shared" si="75"/>
        <v>8031803680.2399998</v>
      </c>
    </row>
    <row r="75" spans="1:21" ht="83.4" customHeight="1" x14ac:dyDescent="0.25">
      <c r="A75" s="280" t="s">
        <v>702</v>
      </c>
      <c r="B75" s="279"/>
      <c r="C75" s="279"/>
      <c r="D75" s="279"/>
      <c r="E75" s="279"/>
      <c r="F75" s="279"/>
      <c r="G75" s="279"/>
      <c r="H75" s="279"/>
      <c r="I75" s="279"/>
      <c r="J75" s="279"/>
      <c r="K75" s="279"/>
      <c r="L75" s="279"/>
      <c r="M75" s="279"/>
      <c r="N75" s="279"/>
      <c r="O75" s="279"/>
      <c r="P75" s="279"/>
      <c r="Q75" s="279"/>
      <c r="R75" s="279"/>
      <c r="S75" s="279"/>
      <c r="T75" s="279"/>
      <c r="U75" s="279"/>
    </row>
    <row r="77" spans="1:21" s="237" customFormat="1" x14ac:dyDescent="0.25">
      <c r="A77" s="238" t="s">
        <v>661</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653</v>
      </c>
      <c r="B78" s="64"/>
      <c r="C78" s="64"/>
      <c r="D78" s="64"/>
      <c r="E78" s="88">
        <f>E10</f>
        <v>1435450920.5799999</v>
      </c>
      <c r="F78" s="88">
        <f t="shared" ref="F78:U78" si="77">F10</f>
        <v>1550000000</v>
      </c>
      <c r="G78" s="88">
        <f t="shared" si="77"/>
        <v>205926709.66</v>
      </c>
      <c r="H78" s="88">
        <f t="shared" si="77"/>
        <v>7455134.0499999998</v>
      </c>
      <c r="I78" s="88">
        <f t="shared" si="77"/>
        <v>5905482.2999999998</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0</v>
      </c>
    </row>
    <row r="79" spans="1:21" x14ac:dyDescent="0.25">
      <c r="A79" s="183" t="s">
        <v>662</v>
      </c>
      <c r="B79" s="64"/>
      <c r="C79" s="64"/>
      <c r="D79" s="64"/>
      <c r="E79" s="88">
        <f>E78</f>
        <v>1435450920.5799999</v>
      </c>
      <c r="F79" s="88">
        <f t="shared" ref="F79:U79" si="78">F78</f>
        <v>1550000000</v>
      </c>
      <c r="G79" s="88">
        <f t="shared" si="78"/>
        <v>205926709.66</v>
      </c>
      <c r="H79" s="88">
        <f t="shared" si="78"/>
        <v>7455134.0499999998</v>
      </c>
      <c r="I79" s="88">
        <f t="shared" si="78"/>
        <v>5905482.2999999998</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0</v>
      </c>
    </row>
    <row r="80" spans="1:21" s="219" customFormat="1" x14ac:dyDescent="0.25">
      <c r="A80" s="223" t="s">
        <v>663</v>
      </c>
      <c r="B80" s="223"/>
      <c r="C80" s="223"/>
      <c r="D80" s="223"/>
      <c r="E80" s="223">
        <f>E79/E85</f>
        <v>7.9031372089457999E-2</v>
      </c>
      <c r="F80" s="223">
        <f t="shared" ref="F80:U80" si="79">F79/F85</f>
        <v>9.1511525221417811E-2</v>
      </c>
      <c r="G80" s="223">
        <f t="shared" si="79"/>
        <v>1.3109528656730176E-2</v>
      </c>
      <c r="H80" s="223">
        <f t="shared" si="79"/>
        <v>4.9184231914472024E-4</v>
      </c>
      <c r="I80" s="223">
        <f t="shared" si="79"/>
        <v>4.0115717319475782E-4</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654</v>
      </c>
      <c r="B81" s="64"/>
      <c r="C81" s="64"/>
      <c r="D81" s="64"/>
      <c r="E81" s="88">
        <f>E11</f>
        <v>1627410716.8899999</v>
      </c>
      <c r="F81" s="88">
        <f t="shared" ref="F81:U81" si="80">F11</f>
        <v>694433329.47000003</v>
      </c>
      <c r="G81" s="88">
        <f t="shared" si="80"/>
        <v>674433329.47000003</v>
      </c>
      <c r="H81" s="88">
        <f t="shared" si="80"/>
        <v>3778077063.8599997</v>
      </c>
      <c r="I81" s="88">
        <f t="shared" si="80"/>
        <v>3832419617.2300005</v>
      </c>
      <c r="J81" s="88">
        <f t="shared" si="80"/>
        <v>3065900935.4699998</v>
      </c>
      <c r="K81" s="88">
        <f t="shared" si="80"/>
        <v>3065970533</v>
      </c>
      <c r="L81" s="88">
        <f t="shared" si="80"/>
        <v>3065970533</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3" t="s">
        <v>656</v>
      </c>
      <c r="B82" s="64"/>
      <c r="C82" s="64"/>
      <c r="D82" s="64"/>
      <c r="E82" s="88">
        <f>E13</f>
        <v>15100190358.579996</v>
      </c>
      <c r="F82" s="88">
        <f t="shared" ref="F82:U82" si="81">F13</f>
        <v>14693323922.959995</v>
      </c>
      <c r="G82" s="88">
        <f t="shared" si="81"/>
        <v>14827810334.660004</v>
      </c>
      <c r="H82" s="88">
        <f t="shared" si="81"/>
        <v>11372037128.299999</v>
      </c>
      <c r="I82" s="88">
        <f t="shared" si="81"/>
        <v>10882793441.039999</v>
      </c>
      <c r="J82" s="88">
        <f t="shared" si="81"/>
        <v>11031833408.090002</v>
      </c>
      <c r="K82" s="88">
        <f t="shared" si="81"/>
        <v>10809149059.209999</v>
      </c>
      <c r="L82" s="88">
        <f t="shared" si="81"/>
        <v>10493234713.51</v>
      </c>
      <c r="M82" s="88">
        <f t="shared" si="81"/>
        <v>9778971802.9400024</v>
      </c>
      <c r="N82" s="88">
        <f t="shared" si="81"/>
        <v>9435835772.2000008</v>
      </c>
      <c r="O82" s="88">
        <f t="shared" si="81"/>
        <v>9375434226.3600025</v>
      </c>
      <c r="P82" s="88">
        <f t="shared" si="81"/>
        <v>9179923825.0300007</v>
      </c>
      <c r="Q82" s="88">
        <f t="shared" si="81"/>
        <v>8862745317.9900017</v>
      </c>
      <c r="R82" s="88">
        <f t="shared" si="81"/>
        <v>8405379132.1499996</v>
      </c>
      <c r="S82" s="88">
        <f t="shared" si="81"/>
        <v>8584888350.2799988</v>
      </c>
      <c r="T82" s="88">
        <f t="shared" si="81"/>
        <v>8291384398.3100004</v>
      </c>
      <c r="U82" s="88">
        <f t="shared" si="81"/>
        <v>8031803680.2399998</v>
      </c>
    </row>
    <row r="83" spans="1:21" x14ac:dyDescent="0.25">
      <c r="A83" s="183" t="s">
        <v>664</v>
      </c>
      <c r="B83" s="64"/>
      <c r="C83" s="64"/>
      <c r="D83" s="64"/>
      <c r="E83" s="88">
        <f>E81+E82</f>
        <v>16727601075.469995</v>
      </c>
      <c r="F83" s="88">
        <f t="shared" ref="F83:U83" si="82">F81+F82</f>
        <v>15387757252.429995</v>
      </c>
      <c r="G83" s="88">
        <f t="shared" si="82"/>
        <v>15502243664.130003</v>
      </c>
      <c r="H83" s="88">
        <f t="shared" si="82"/>
        <v>15150114192.16</v>
      </c>
      <c r="I83" s="88">
        <f t="shared" si="82"/>
        <v>14715213058.27</v>
      </c>
      <c r="J83" s="88">
        <f t="shared" si="82"/>
        <v>14097734343.560001</v>
      </c>
      <c r="K83" s="88">
        <f t="shared" si="82"/>
        <v>13875119592.209999</v>
      </c>
      <c r="L83" s="88">
        <f t="shared" si="82"/>
        <v>13559205246.51</v>
      </c>
      <c r="M83" s="88">
        <f t="shared" si="82"/>
        <v>9778971802.9400024</v>
      </c>
      <c r="N83" s="88">
        <f t="shared" si="82"/>
        <v>9435835772.2000008</v>
      </c>
      <c r="O83" s="88">
        <f t="shared" si="82"/>
        <v>9375434226.3600025</v>
      </c>
      <c r="P83" s="88">
        <f t="shared" si="82"/>
        <v>9179923825.0300007</v>
      </c>
      <c r="Q83" s="88">
        <f t="shared" si="82"/>
        <v>8862745317.9900017</v>
      </c>
      <c r="R83" s="88">
        <f t="shared" si="82"/>
        <v>8405379132.1499996</v>
      </c>
      <c r="S83" s="88">
        <f t="shared" si="82"/>
        <v>8584888350.2799988</v>
      </c>
      <c r="T83" s="88">
        <f t="shared" si="82"/>
        <v>8291384398.3100004</v>
      </c>
      <c r="U83" s="88">
        <f t="shared" si="82"/>
        <v>8031803680.2399998</v>
      </c>
    </row>
    <row r="84" spans="1:21" s="219" customFormat="1" x14ac:dyDescent="0.25">
      <c r="A84" s="223" t="s">
        <v>665</v>
      </c>
      <c r="B84" s="223"/>
      <c r="C84" s="223"/>
      <c r="D84" s="223"/>
      <c r="E84" s="223">
        <f>E83/E85</f>
        <v>0.92096862791054201</v>
      </c>
      <c r="F84" s="223">
        <f t="shared" ref="F84:U84" si="83">F83/F85</f>
        <v>0.90848847477858208</v>
      </c>
      <c r="G84" s="223">
        <f t="shared" si="83"/>
        <v>0.98689047134326979</v>
      </c>
      <c r="H84" s="223">
        <f t="shared" si="83"/>
        <v>0.99950815768085532</v>
      </c>
      <c r="I84" s="223">
        <f t="shared" si="83"/>
        <v>0.99959884282680533</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657</v>
      </c>
      <c r="B85" s="64"/>
      <c r="C85" s="64"/>
      <c r="D85" s="64"/>
      <c r="E85" s="88">
        <f>E14</f>
        <v>18163051996.049995</v>
      </c>
      <c r="F85" s="88">
        <f t="shared" ref="F85:U85" si="84">F14</f>
        <v>16937757252.429996</v>
      </c>
      <c r="G85" s="88">
        <f t="shared" si="84"/>
        <v>15708170373.790003</v>
      </c>
      <c r="H85" s="88">
        <f t="shared" si="84"/>
        <v>15157569326.209999</v>
      </c>
      <c r="I85" s="88">
        <f t="shared" si="84"/>
        <v>14721118540.57</v>
      </c>
      <c r="J85" s="88">
        <f t="shared" si="84"/>
        <v>14097734343.560001</v>
      </c>
      <c r="K85" s="88">
        <f t="shared" si="84"/>
        <v>13875119592.209999</v>
      </c>
      <c r="L85" s="88">
        <f t="shared" si="84"/>
        <v>13559205246.51</v>
      </c>
      <c r="M85" s="88">
        <f t="shared" si="84"/>
        <v>9778971802.9400024</v>
      </c>
      <c r="N85" s="88">
        <f t="shared" si="84"/>
        <v>9435835772.2000008</v>
      </c>
      <c r="O85" s="88">
        <f t="shared" si="84"/>
        <v>9375434226.3600025</v>
      </c>
      <c r="P85" s="88">
        <f t="shared" si="84"/>
        <v>9179923825.0300007</v>
      </c>
      <c r="Q85" s="88">
        <f t="shared" si="84"/>
        <v>8862745317.9900017</v>
      </c>
      <c r="R85" s="88">
        <f t="shared" si="84"/>
        <v>8405379132.1499996</v>
      </c>
      <c r="S85" s="88">
        <f t="shared" si="84"/>
        <v>8584888350.2799988</v>
      </c>
      <c r="T85" s="88">
        <f t="shared" si="84"/>
        <v>8291384398.3100004</v>
      </c>
      <c r="U85" s="88">
        <f t="shared" si="84"/>
        <v>8031803680.2399998</v>
      </c>
    </row>
    <row r="87" spans="1:21" s="56" customFormat="1" ht="85.8" customHeight="1" x14ac:dyDescent="0.25">
      <c r="A87" s="278" t="s">
        <v>703</v>
      </c>
      <c r="B87" s="281"/>
      <c r="C87" s="281"/>
      <c r="D87" s="281"/>
      <c r="E87" s="281"/>
      <c r="F87" s="281"/>
      <c r="G87" s="281"/>
      <c r="H87" s="281"/>
      <c r="I87" s="281"/>
      <c r="J87" s="281"/>
      <c r="K87" s="281"/>
      <c r="L87" s="281"/>
      <c r="M87" s="281"/>
      <c r="N87" s="281"/>
      <c r="O87" s="281"/>
      <c r="P87" s="281"/>
      <c r="Q87" s="281"/>
      <c r="R87" s="281"/>
      <c r="S87" s="281"/>
      <c r="T87" s="281"/>
      <c r="U87" s="281"/>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8.33203125" hidden="1" customWidth="1"/>
    <col min="33" max="33" width="19.33203125" bestFit="1" customWidth="1"/>
    <col min="34" max="35" width="19.33203125" hidden="1" customWidth="1"/>
    <col min="36" max="36" width="18.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1" width="19.33203125" hidden="1" customWidth="1"/>
    <col min="52" max="52" width="18.33203125" hidden="1" customWidth="1"/>
    <col min="53" max="53" width="19.33203125" bestFit="1" customWidth="1"/>
    <col min="54" max="54" width="19.33203125" hidden="1" customWidth="1"/>
    <col min="55" max="56" width="18.33203125" hidden="1" customWidth="1"/>
    <col min="57" max="57" width="19.33203125" bestFit="1" customWidth="1"/>
    <col min="58" max="58" width="19.33203125" hidden="1" customWidth="1"/>
    <col min="59" max="59" width="17.21875" hidden="1" customWidth="1"/>
    <col min="60" max="60" width="18.33203125" hidden="1" customWidth="1"/>
    <col min="61" max="61" width="19.33203125" bestFit="1" customWidth="1"/>
    <col min="62" max="63" width="18.33203125" hidden="1" customWidth="1"/>
    <col min="64" max="64" width="17.21875" hidden="1" customWidth="1"/>
    <col min="65" max="65" width="17.21875" bestFit="1" customWidth="1"/>
    <col min="66" max="66" width="17.21875" hidden="1" customWidth="1"/>
    <col min="67" max="68" width="17.21875" bestFit="1" customWidth="1"/>
    <col min="69" max="69" width="9.5546875" hidden="1" customWidth="1"/>
    <col min="70"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6761550874.3699999</v>
      </c>
      <c r="F2" s="26">
        <f>股权价值增加表!F4</f>
        <v>4918489181.8699999</v>
      </c>
      <c r="G2" s="26">
        <f>股权价值增加表!G4</f>
        <v>3213661518.3800001</v>
      </c>
      <c r="H2" s="26">
        <f>股权价值增加表!H4</f>
        <v>1583747526.6900001</v>
      </c>
      <c r="I2" s="26">
        <f>股权价值增加表!I4</f>
        <v>6166683056.1199999</v>
      </c>
      <c r="J2" s="26">
        <f>股权价值增加表!J4</f>
        <v>4534592334.7799997</v>
      </c>
      <c r="K2" s="26">
        <f>股权价值增加表!K4</f>
        <v>2984650287.6599998</v>
      </c>
      <c r="L2" s="26">
        <f>股权价值增加表!L4</f>
        <v>1442696919.48</v>
      </c>
      <c r="M2" s="26">
        <f>股权价值增加表!M4</f>
        <v>5619735354.2299995</v>
      </c>
      <c r="N2" s="26">
        <f>股权价值增加表!N4</f>
        <v>4196487790.0300002</v>
      </c>
      <c r="O2" s="26">
        <f>股权价值增加表!O4</f>
        <v>2773932728.75</v>
      </c>
      <c r="P2" s="26">
        <f>股权价值增加表!P4</f>
        <v>1389542513.23</v>
      </c>
      <c r="Q2" s="26">
        <f>股权价值增加表!Q4</f>
        <v>5527678576.3100004</v>
      </c>
      <c r="R2" s="26">
        <f>股权价值增加表!R4</f>
        <v>4079988837.6900001</v>
      </c>
      <c r="S2" s="26">
        <f>股权价值增加表!S4</f>
        <v>2681437778.79</v>
      </c>
      <c r="T2" s="26">
        <f>股权价值增加表!T4</f>
        <v>1288196061.04</v>
      </c>
      <c r="U2" s="26">
        <f>股权价值增加表!U4</f>
        <v>5141313419.2600002</v>
      </c>
      <c r="V2" s="26">
        <f>股权价值增加表!V4</f>
        <v>3796730790.04</v>
      </c>
      <c r="W2" s="26">
        <f>股权价值增加表!W4</f>
        <v>2462324707.5300002</v>
      </c>
      <c r="X2" s="26">
        <f>股权价值增加表!X4</f>
        <v>1184294457.5799999</v>
      </c>
      <c r="Y2" s="26">
        <f>股权价值增加表!Y4</f>
        <v>4673315397</v>
      </c>
      <c r="Z2" s="26">
        <f>股权价值增加表!Z4</f>
        <v>3460081754.52</v>
      </c>
      <c r="AA2" s="26">
        <f>股权价值增加表!AA4</f>
        <v>2289404113.9400001</v>
      </c>
      <c r="AB2" s="26">
        <f>股权价值增加表!AB4</f>
        <v>1111786173.6600001</v>
      </c>
      <c r="AC2" s="26">
        <f>股权价值增加表!AC4</f>
        <v>4239351634.9299998</v>
      </c>
      <c r="AD2" s="26">
        <f>股权价值增加表!AD4</f>
        <v>3105533447.9099998</v>
      </c>
      <c r="AE2" s="26">
        <f>股权价值增加表!AE4</f>
        <v>2028306165.1800001</v>
      </c>
      <c r="AF2" s="26">
        <f>股权价值增加表!AF4</f>
        <v>986571753.74000001</v>
      </c>
      <c r="AG2" s="26">
        <f>股权价值增加表!AG4</f>
        <v>3865479479.1999998</v>
      </c>
      <c r="AH2" s="26">
        <f>股权价值增加表!AH4</f>
        <v>2735574710.4200001</v>
      </c>
      <c r="AI2" s="26">
        <f>股权价值增加表!AI4</f>
        <v>1772855408.4400001</v>
      </c>
      <c r="AJ2" s="26">
        <f>股权价值增加表!AJ4</f>
        <v>866730658.66999996</v>
      </c>
      <c r="AK2" s="26">
        <f>股权价值增加表!AK4</f>
        <v>3306089482.5799999</v>
      </c>
      <c r="AL2" s="26">
        <f>股权价值增加表!AL4</f>
        <v>2349252600.0599999</v>
      </c>
      <c r="AM2" s="26">
        <f>股权价值增加表!AM4</f>
        <v>1549833425.46</v>
      </c>
      <c r="AN2" s="26">
        <f>股权价值增加表!AN4</f>
        <v>768414498.45000005</v>
      </c>
      <c r="AO2" s="26">
        <f>股权价值增加表!AO4</f>
        <v>3049701649.1599998</v>
      </c>
      <c r="AP2" s="26">
        <f>股权价值增加表!AP4</f>
        <v>2265222000.3400002</v>
      </c>
      <c r="AQ2" s="26">
        <f>股权价值增加表!AQ4</f>
        <v>1511455848.98</v>
      </c>
      <c r="AR2" s="26">
        <f>股权价值增加表!AR4</f>
        <v>754796835.00999999</v>
      </c>
      <c r="AS2" s="26">
        <f>股权价值增加表!AS4</f>
        <v>2683440041.75</v>
      </c>
      <c r="AT2" s="26">
        <f>股权价值增加表!AT4</f>
        <v>1953381247.0799999</v>
      </c>
      <c r="AU2" s="26">
        <f>股权价值增加表!AU4</f>
        <v>1274734794.4300001</v>
      </c>
      <c r="AV2" s="26">
        <f>股权价值增加表!AV4</f>
        <v>621061130.22000003</v>
      </c>
      <c r="AW2" s="26">
        <f>股权价值增加表!AW4</f>
        <v>2409797561.5500002</v>
      </c>
      <c r="AX2" s="26">
        <f>股权价值增加表!AX4</f>
        <v>1782559040.05</v>
      </c>
      <c r="AY2" s="26">
        <f>股权价值增加表!AY4</f>
        <v>1187910368.9100001</v>
      </c>
      <c r="AZ2" s="26">
        <f>股权价值增加表!AZ4</f>
        <v>589704365.50999999</v>
      </c>
      <c r="BA2" s="26">
        <f>股权价值增加表!BA4</f>
        <v>2149308234.9299998</v>
      </c>
      <c r="BB2" s="26">
        <f>股权价值增加表!BB4</f>
        <v>1520411535.9000001</v>
      </c>
      <c r="BC2" s="26">
        <f>股权价值增加表!BC4</f>
        <v>979579514.60000002</v>
      </c>
      <c r="BD2" s="26">
        <f>股权价值增加表!BD4</f>
        <v>446053032.56999999</v>
      </c>
      <c r="BE2" s="26">
        <f>股权价值增加表!BE4</f>
        <v>1540782654.2</v>
      </c>
      <c r="BF2" s="26">
        <f>股权价值增加表!BF4</f>
        <v>1093635054.0999999</v>
      </c>
      <c r="BG2" s="26">
        <f>股权价值增加表!BG4</f>
        <v>714288559.48000002</v>
      </c>
      <c r="BH2" s="26">
        <f>股权价值增加表!BH4</f>
        <v>349186247.05000001</v>
      </c>
      <c r="BI2" s="26">
        <f>股权价值增加表!BI4</f>
        <v>1061851063.5700001</v>
      </c>
      <c r="BJ2" s="26">
        <f>股权价值增加表!BJ4</f>
        <v>698265414.20000005</v>
      </c>
      <c r="BK2" s="26">
        <f>股权价值增加表!BK4</f>
        <v>395320373.35000002</v>
      </c>
      <c r="BL2" s="26">
        <f>股权价值增加表!BL4</f>
        <v>246816885.5</v>
      </c>
      <c r="BM2" s="26">
        <f>股权价值增加表!BM4</f>
        <v>939655600.10000002</v>
      </c>
      <c r="BN2" s="26">
        <f>股权价值增加表!BN4</f>
        <v>432349125.27999997</v>
      </c>
      <c r="BO2" s="26">
        <f>股权价值增加表!BO4</f>
        <v>838384482.12</v>
      </c>
      <c r="BP2" s="26">
        <f>股权价值增加表!BP4</f>
        <v>780254893.07000005</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9.6464795228876798E-2</v>
      </c>
      <c r="F3" s="66">
        <f t="shared" ref="F3:BQ3" si="0">(F2-J2)/J2</f>
        <v>8.4659616289106898E-2</v>
      </c>
      <c r="G3" s="66">
        <f t="shared" si="0"/>
        <v>7.6729669692574845E-2</v>
      </c>
      <c r="H3" s="66">
        <f t="shared" si="0"/>
        <v>9.7768703395332515E-2</v>
      </c>
      <c r="I3" s="66">
        <f t="shared" si="0"/>
        <v>9.7326238232608303E-2</v>
      </c>
      <c r="J3" s="66">
        <f t="shared" si="0"/>
        <v>8.0568456687343887E-2</v>
      </c>
      <c r="K3" s="66">
        <f t="shared" si="0"/>
        <v>7.5963471185169718E-2</v>
      </c>
      <c r="L3" s="66">
        <f t="shared" si="0"/>
        <v>3.8253170193722437E-2</v>
      </c>
      <c r="M3" s="66">
        <f t="shared" si="0"/>
        <v>1.6653786331666844E-2</v>
      </c>
      <c r="N3" s="66">
        <f t="shared" si="0"/>
        <v>2.8553742908267194E-2</v>
      </c>
      <c r="O3" s="66">
        <f t="shared" si="0"/>
        <v>3.4494535242111206E-2</v>
      </c>
      <c r="P3" s="66">
        <f t="shared" si="0"/>
        <v>7.8673157957166839E-2</v>
      </c>
      <c r="Q3" s="66">
        <f t="shared" si="0"/>
        <v>7.5149115710905351E-2</v>
      </c>
      <c r="R3" s="66">
        <f t="shared" si="0"/>
        <v>7.4605776209646896E-2</v>
      </c>
      <c r="S3" s="66">
        <f t="shared" si="0"/>
        <v>8.8986261880869402E-2</v>
      </c>
      <c r="T3" s="66">
        <f t="shared" si="0"/>
        <v>8.7732913714984109E-2</v>
      </c>
      <c r="U3" s="66">
        <f t="shared" si="0"/>
        <v>0.10014261450456095</v>
      </c>
      <c r="V3" s="66">
        <f t="shared" si="0"/>
        <v>9.7295110174846614E-2</v>
      </c>
      <c r="W3" s="66">
        <f t="shared" si="0"/>
        <v>7.553083028771565E-2</v>
      </c>
      <c r="X3" s="66">
        <f t="shared" si="0"/>
        <v>6.5217832023672831E-2</v>
      </c>
      <c r="Y3" s="66">
        <f t="shared" si="0"/>
        <v>0.10236559725179904</v>
      </c>
      <c r="Z3" s="66">
        <f t="shared" si="0"/>
        <v>0.1141666359602755</v>
      </c>
      <c r="AA3" s="66">
        <f t="shared" si="0"/>
        <v>0.12872708925421478</v>
      </c>
      <c r="AB3" s="66">
        <f t="shared" si="0"/>
        <v>0.12691871568927862</v>
      </c>
      <c r="AC3" s="66">
        <f t="shared" si="0"/>
        <v>9.6720771056163168E-2</v>
      </c>
      <c r="AD3" s="66">
        <f t="shared" si="0"/>
        <v>0.1352398587692745</v>
      </c>
      <c r="AE3" s="66">
        <f t="shared" si="0"/>
        <v>0.14409001181025835</v>
      </c>
      <c r="AF3" s="66">
        <f t="shared" si="0"/>
        <v>0.13826797733669244</v>
      </c>
      <c r="AG3" s="66">
        <f t="shared" si="0"/>
        <v>0.16919989600023294</v>
      </c>
      <c r="AH3" s="66">
        <f t="shared" si="0"/>
        <v>0.16444468779139948</v>
      </c>
      <c r="AI3" s="66">
        <f t="shared" si="0"/>
        <v>0.1439006149411223</v>
      </c>
      <c r="AJ3" s="66">
        <f t="shared" si="0"/>
        <v>0.12794677926863354</v>
      </c>
      <c r="AK3" s="66">
        <f t="shared" si="0"/>
        <v>8.4069808432119489E-2</v>
      </c>
      <c r="AL3" s="66">
        <f t="shared" si="0"/>
        <v>3.7095966623751295E-2</v>
      </c>
      <c r="AM3" s="66">
        <f t="shared" si="0"/>
        <v>2.5391132996639615E-2</v>
      </c>
      <c r="AN3" s="66">
        <f t="shared" si="0"/>
        <v>1.8041495152559355E-2</v>
      </c>
      <c r="AO3" s="66">
        <f t="shared" si="0"/>
        <v>0.13648958117623641</v>
      </c>
      <c r="AP3" s="66">
        <f t="shared" si="0"/>
        <v>0.15964152094024323</v>
      </c>
      <c r="AQ3" s="66">
        <f t="shared" si="0"/>
        <v>0.18570219906474758</v>
      </c>
      <c r="AR3" s="66">
        <f t="shared" si="0"/>
        <v>0.21533420509286491</v>
      </c>
      <c r="AS3" s="66">
        <f t="shared" si="0"/>
        <v>0.11355413606775785</v>
      </c>
      <c r="AT3" s="66">
        <f t="shared" si="0"/>
        <v>9.5829761142278064E-2</v>
      </c>
      <c r="AU3" s="66">
        <f t="shared" si="0"/>
        <v>7.30900476941439E-2</v>
      </c>
      <c r="AV3" s="66">
        <f t="shared" si="0"/>
        <v>5.317370286530175E-2</v>
      </c>
      <c r="AW3" s="66">
        <f t="shared" si="0"/>
        <v>0.12119682155709237</v>
      </c>
      <c r="AX3" s="66">
        <f t="shared" si="0"/>
        <v>0.17241878133660893</v>
      </c>
      <c r="AY3" s="66">
        <f t="shared" si="0"/>
        <v>0.21267375563184329</v>
      </c>
      <c r="AZ3" s="66">
        <f t="shared" si="0"/>
        <v>0.32204989642673598</v>
      </c>
      <c r="BA3" s="66">
        <f t="shared" si="0"/>
        <v>0.39494576283762511</v>
      </c>
      <c r="BB3" s="66">
        <f t="shared" si="0"/>
        <v>0.39023665179716943</v>
      </c>
      <c r="BC3" s="66">
        <f t="shared" si="0"/>
        <v>0.37140585775744617</v>
      </c>
      <c r="BD3" s="66">
        <f t="shared" si="0"/>
        <v>0.27740721846393229</v>
      </c>
      <c r="BE3" s="66">
        <f t="shared" si="0"/>
        <v>0.45103461969497527</v>
      </c>
      <c r="BF3" s="66">
        <f t="shared" si="0"/>
        <v>0.56621684514186243</v>
      </c>
      <c r="BG3" s="66">
        <f t="shared" si="0"/>
        <v>0.80685997391689956</v>
      </c>
      <c r="BH3" s="66">
        <f t="shared" si="0"/>
        <v>0.41475833933574213</v>
      </c>
      <c r="BI3" s="66">
        <f t="shared" si="0"/>
        <v>0.13004281936594189</v>
      </c>
      <c r="BJ3" s="66">
        <f t="shared" si="0"/>
        <v>0.61504990613265642</v>
      </c>
      <c r="BK3" s="66">
        <f t="shared" si="0"/>
        <v>-0.52847365167069393</v>
      </c>
      <c r="BL3" s="66">
        <f t="shared" si="0"/>
        <v>-0.68367146724466998</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4018885671.1100001</v>
      </c>
      <c r="F4" s="26">
        <f>股权价值增加表!F5</f>
        <v>3002665926.9299998</v>
      </c>
      <c r="G4" s="26">
        <f>股权价值增加表!G5</f>
        <v>1945463196.1800001</v>
      </c>
      <c r="H4" s="26">
        <f>股权价值增加表!H5</f>
        <v>971224272.83000004</v>
      </c>
      <c r="I4" s="26">
        <f>股权价值增加表!I5</f>
        <v>3724036883.98</v>
      </c>
      <c r="J4" s="26">
        <f>股权价值增加表!J5</f>
        <v>2749765918.6599998</v>
      </c>
      <c r="K4" s="26">
        <f>股权价值增加表!K5</f>
        <v>1815901788.3</v>
      </c>
      <c r="L4" s="26">
        <f>股权价值增加表!L5</f>
        <v>867913057.74000001</v>
      </c>
      <c r="M4" s="26">
        <f>股权价值增加表!M5</f>
        <v>3366175400.3800001</v>
      </c>
      <c r="N4" s="26">
        <f>股权价值增加表!N5</f>
        <v>2517395939.8499999</v>
      </c>
      <c r="O4" s="26">
        <f>股权价值增加表!O5</f>
        <v>1668575136.21</v>
      </c>
      <c r="P4" s="26">
        <f>股权价值增加表!P5</f>
        <v>838067151.16999996</v>
      </c>
      <c r="Q4" s="26">
        <f>股权价值增加表!Q5</f>
        <v>3392685032.23</v>
      </c>
      <c r="R4" s="26">
        <f>股权价值增加表!R5</f>
        <v>2677452727.9299998</v>
      </c>
      <c r="S4" s="26">
        <f>股权价值增加表!S5</f>
        <v>1743613893.3199999</v>
      </c>
      <c r="T4" s="26">
        <f>股权价值增加表!T5</f>
        <v>824476872.63</v>
      </c>
      <c r="U4" s="26">
        <f>股权价值增加表!U5</f>
        <v>3261251903.25</v>
      </c>
      <c r="V4" s="26">
        <f>股权价值增加表!V5</f>
        <v>2498174227.54</v>
      </c>
      <c r="W4" s="26">
        <f>股权价值增加表!W5</f>
        <v>1592668691.73</v>
      </c>
      <c r="X4" s="26">
        <f>股权价值增加表!X5</f>
        <v>755928102.26999998</v>
      </c>
      <c r="Y4" s="26">
        <f>股权价值增加表!Y5</f>
        <v>2852876091.1100001</v>
      </c>
      <c r="Z4" s="26">
        <f>股权价值增加表!Z5</f>
        <v>2168564062.7800002</v>
      </c>
      <c r="AA4" s="26">
        <f>股权价值增加表!AA5</f>
        <v>1442906245.6199999</v>
      </c>
      <c r="AB4" s="26">
        <f>股权价值增加表!AB5</f>
        <v>699965846.80999994</v>
      </c>
      <c r="AC4" s="26">
        <f>股权价值增加表!AC5</f>
        <v>2654413969.4099998</v>
      </c>
      <c r="AD4" s="26">
        <f>股权价值增加表!AD5</f>
        <v>1917839834.2</v>
      </c>
      <c r="AE4" s="26">
        <f>股权价值增加表!AE5</f>
        <v>1256174881.8900001</v>
      </c>
      <c r="AF4" s="26">
        <f>股权价值增加表!AF5</f>
        <v>593893100.21000004</v>
      </c>
      <c r="AG4" s="26">
        <f>股权价值增加表!AG5</f>
        <v>2452525912.1199999</v>
      </c>
      <c r="AH4" s="26">
        <f>股权价值增加表!AH5</f>
        <v>1660920523.8699999</v>
      </c>
      <c r="AI4" s="26">
        <f>股权价值增加表!AI5</f>
        <v>1083542723.5899999</v>
      </c>
      <c r="AJ4" s="26">
        <f>股权价值增加表!AJ5</f>
        <v>506191413.54000002</v>
      </c>
      <c r="AK4" s="26">
        <f>股权价值增加表!AK5</f>
        <v>1899423599.27</v>
      </c>
      <c r="AL4" s="26">
        <f>股权价值增加表!AL5</f>
        <v>1352172928.6800001</v>
      </c>
      <c r="AM4" s="26">
        <f>股权价值增加表!AM5</f>
        <v>884672269.42999995</v>
      </c>
      <c r="AN4" s="26">
        <f>股权价值增加表!AN5</f>
        <v>460544269.88999999</v>
      </c>
      <c r="AO4" s="26">
        <f>股权价值增加表!AO5</f>
        <v>1763487215.6800001</v>
      </c>
      <c r="AP4" s="26">
        <f>股权价值增加表!AP5</f>
        <v>1279522189.3599999</v>
      </c>
      <c r="AQ4" s="26">
        <f>股权价值增加表!AQ5</f>
        <v>847681923.76999998</v>
      </c>
      <c r="AR4" s="26">
        <f>股权价值增加表!AR5</f>
        <v>411365648.81</v>
      </c>
      <c r="AS4" s="26">
        <f>股权价值增加表!AS5</f>
        <v>1428817493.7</v>
      </c>
      <c r="AT4" s="26">
        <f>股权价值增加表!AT5</f>
        <v>1011694595.3</v>
      </c>
      <c r="AU4" s="26">
        <f>股权价值增加表!AU5</f>
        <v>669408137.97000003</v>
      </c>
      <c r="AV4" s="26">
        <f>股权价值增加表!AV5</f>
        <v>319436716.14999998</v>
      </c>
      <c r="AW4" s="26">
        <f>股权价值增加表!AW5</f>
        <v>1261005099.5</v>
      </c>
      <c r="AX4" s="26">
        <f>股权价值增加表!AX5</f>
        <v>929014676.63999999</v>
      </c>
      <c r="AY4" s="26">
        <f>股权价值增加表!AY5</f>
        <v>634601482.57000005</v>
      </c>
      <c r="AZ4" s="26">
        <f>股权价值增加表!AZ5</f>
        <v>304009835.44</v>
      </c>
      <c r="BA4" s="26">
        <f>股权价值增加表!BA5</f>
        <v>1186017320.75</v>
      </c>
      <c r="BB4" s="26">
        <f>股权价值增加表!BB5</f>
        <v>809111428.25</v>
      </c>
      <c r="BC4" s="26">
        <f>股权价值增加表!BC5</f>
        <v>495517793.13999999</v>
      </c>
      <c r="BD4" s="26">
        <f>股权价值增加表!BD5</f>
        <v>223402857.93000001</v>
      </c>
      <c r="BE4" s="26">
        <f>股权价值增加表!BE5</f>
        <v>702627418.32000005</v>
      </c>
      <c r="BF4" s="26">
        <f>股权价值增加表!BF5</f>
        <v>425396369.06</v>
      </c>
      <c r="BG4" s="26">
        <f>股权价值增加表!BG5</f>
        <v>216560112.52000001</v>
      </c>
      <c r="BH4" s="26">
        <f>股权价值增加表!BH5</f>
        <v>103015076.8</v>
      </c>
      <c r="BI4" s="26">
        <f>股权价值增加表!BI5</f>
        <v>378786711.06999999</v>
      </c>
      <c r="BJ4" s="26">
        <f>股权价值增加表!BJ5</f>
        <v>253324099.94</v>
      </c>
      <c r="BK4" s="26">
        <f>股权价值增加表!BK5</f>
        <v>166822223.65000001</v>
      </c>
      <c r="BL4" s="26">
        <f>股权价值增加表!BL5</f>
        <v>87977754.920000002</v>
      </c>
      <c r="BM4" s="26">
        <f>股权价值增加表!BM5</f>
        <v>366154973.02999997</v>
      </c>
      <c r="BN4" s="26">
        <f>股权价值增加表!BN5</f>
        <v>166437524.66</v>
      </c>
      <c r="BO4" s="26">
        <f>股权价值增加表!BO5</f>
        <v>343845482.26999998</v>
      </c>
      <c r="BP4" s="26">
        <f>股权价值增加表!BP5</f>
        <v>313875163.81999999</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0.59437335395105717</v>
      </c>
      <c r="F5" s="66">
        <f t="shared" si="2"/>
        <v>0.61048541857082872</v>
      </c>
      <c r="G5" s="66">
        <f t="shared" si="2"/>
        <v>0.60537277652087762</v>
      </c>
      <c r="H5" s="66">
        <f t="shared" si="2"/>
        <v>0.61324438173541396</v>
      </c>
      <c r="I5" s="66">
        <f t="shared" si="2"/>
        <v>0.60389626807302099</v>
      </c>
      <c r="J5" s="66">
        <f t="shared" si="2"/>
        <v>0.60639760217682448</v>
      </c>
      <c r="K5" s="66">
        <f t="shared" si="2"/>
        <v>0.60841358728284645</v>
      </c>
      <c r="L5" s="66">
        <f t="shared" si="2"/>
        <v>0.60159070558827221</v>
      </c>
      <c r="M5" s="66">
        <f t="shared" si="2"/>
        <v>0.59899180089437221</v>
      </c>
      <c r="N5" s="66">
        <f t="shared" si="2"/>
        <v>0.599881630975031</v>
      </c>
      <c r="O5" s="66">
        <f t="shared" si="2"/>
        <v>0.60151968319790494</v>
      </c>
      <c r="P5" s="66">
        <f t="shared" si="2"/>
        <v>0.60312451270159972</v>
      </c>
      <c r="Q5" s="66">
        <f t="shared" si="2"/>
        <v>0.61376308072072916</v>
      </c>
      <c r="R5" s="66">
        <f t="shared" si="2"/>
        <v>0.65624020908986469</v>
      </c>
      <c r="S5" s="66">
        <f t="shared" si="2"/>
        <v>0.6502533480776147</v>
      </c>
      <c r="T5" s="66">
        <f t="shared" si="2"/>
        <v>0.64002437017574376</v>
      </c>
      <c r="U5" s="66">
        <f t="shared" si="2"/>
        <v>0.63432271820522446</v>
      </c>
      <c r="V5" s="66">
        <f t="shared" si="2"/>
        <v>0.65798034300811747</v>
      </c>
      <c r="W5" s="66">
        <f t="shared" si="2"/>
        <v>0.64681505524412863</v>
      </c>
      <c r="X5" s="66">
        <f t="shared" si="2"/>
        <v>0.63829404708578275</v>
      </c>
      <c r="Y5" s="66">
        <f t="shared" si="2"/>
        <v>0.61046085032937913</v>
      </c>
      <c r="Z5" s="66">
        <f t="shared" si="2"/>
        <v>0.62673781044252652</v>
      </c>
      <c r="AA5" s="66">
        <f t="shared" si="2"/>
        <v>0.63025406341949775</v>
      </c>
      <c r="AB5" s="66">
        <f t="shared" si="2"/>
        <v>0.62958675273475684</v>
      </c>
      <c r="AC5" s="66">
        <f t="shared" si="2"/>
        <v>0.62613677703426207</v>
      </c>
      <c r="AD5" s="66">
        <f t="shared" si="2"/>
        <v>0.61755568451233123</v>
      </c>
      <c r="AE5" s="66">
        <f t="shared" si="2"/>
        <v>0.61932212377736473</v>
      </c>
      <c r="AF5" s="66">
        <f t="shared" si="2"/>
        <v>0.60197659010468074</v>
      </c>
      <c r="AG5" s="66">
        <f t="shared" si="2"/>
        <v>0.6344687445159003</v>
      </c>
      <c r="AH5" s="66">
        <f t="shared" si="2"/>
        <v>0.60715597257988774</v>
      </c>
      <c r="AI5" s="66">
        <f t="shared" si="2"/>
        <v>0.61118505120699529</v>
      </c>
      <c r="AJ5" s="66">
        <f t="shared" si="2"/>
        <v>0.58402389309356129</v>
      </c>
      <c r="AK5" s="66">
        <f t="shared" ref="AK5:BP5" si="3">AK4/AK2</f>
        <v>0.57452274334321141</v>
      </c>
      <c r="AL5" s="66">
        <f t="shared" si="3"/>
        <v>0.57557579318863605</v>
      </c>
      <c r="AM5" s="66">
        <f t="shared" si="3"/>
        <v>0.57081764717225902</v>
      </c>
      <c r="AN5" s="66">
        <f t="shared" si="3"/>
        <v>0.59934354546795054</v>
      </c>
      <c r="AO5" s="66">
        <f t="shared" si="3"/>
        <v>0.57824909402719094</v>
      </c>
      <c r="AP5" s="66">
        <f t="shared" si="3"/>
        <v>0.5648550955129118</v>
      </c>
      <c r="AQ5" s="66">
        <f t="shared" si="3"/>
        <v>0.56083803198224724</v>
      </c>
      <c r="AR5" s="66">
        <f t="shared" si="3"/>
        <v>0.54500181999908626</v>
      </c>
      <c r="AS5" s="66">
        <f t="shared" si="3"/>
        <v>0.53245739478799747</v>
      </c>
      <c r="AT5" s="66">
        <f t="shared" si="3"/>
        <v>0.51791968250556586</v>
      </c>
      <c r="AU5" s="66">
        <f t="shared" si="3"/>
        <v>0.52513522098479082</v>
      </c>
      <c r="AV5" s="66">
        <f t="shared" si="3"/>
        <v>0.51434021645638184</v>
      </c>
      <c r="AW5" s="66">
        <f t="shared" si="3"/>
        <v>0.52328258589858967</v>
      </c>
      <c r="AX5" s="66">
        <f t="shared" si="3"/>
        <v>0.5211690921687181</v>
      </c>
      <c r="AY5" s="66">
        <f t="shared" si="3"/>
        <v>0.53421663719653878</v>
      </c>
      <c r="AZ5" s="66">
        <f t="shared" si="3"/>
        <v>0.51552922654232025</v>
      </c>
      <c r="BA5" s="66">
        <f t="shared" si="3"/>
        <v>0.55181350979592136</v>
      </c>
      <c r="BB5" s="66">
        <f t="shared" si="3"/>
        <v>0.53216606763710883</v>
      </c>
      <c r="BC5" s="66">
        <f t="shared" si="3"/>
        <v>0.50584744347408994</v>
      </c>
      <c r="BD5" s="66">
        <f t="shared" si="3"/>
        <v>0.50084371502382052</v>
      </c>
      <c r="BE5" s="66">
        <f t="shared" si="3"/>
        <v>0.45601981331027891</v>
      </c>
      <c r="BF5" s="66">
        <f t="shared" si="3"/>
        <v>0.38897470181227617</v>
      </c>
      <c r="BG5" s="66">
        <f t="shared" si="3"/>
        <v>0.30318294986784494</v>
      </c>
      <c r="BH5" s="66">
        <f t="shared" si="3"/>
        <v>0.29501470252707079</v>
      </c>
      <c r="BI5" s="66">
        <f t="shared" si="3"/>
        <v>0.35672301329764533</v>
      </c>
      <c r="BJ5" s="66">
        <f t="shared" si="3"/>
        <v>0.36279055898856516</v>
      </c>
      <c r="BK5" s="66">
        <f t="shared" si="3"/>
        <v>0.42199247723137867</v>
      </c>
      <c r="BL5" s="66">
        <f t="shared" si="3"/>
        <v>0.35644949794166331</v>
      </c>
      <c r="BM5" s="66">
        <f t="shared" si="3"/>
        <v>0.38966933522349362</v>
      </c>
      <c r="BN5" s="66">
        <f t="shared" si="3"/>
        <v>0.38496093765012462</v>
      </c>
      <c r="BO5" s="66">
        <f t="shared" si="3"/>
        <v>0.41012863382266723</v>
      </c>
      <c r="BP5" s="66">
        <f t="shared" si="3"/>
        <v>0.40227259913106483</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7.9174507749473627E-2</v>
      </c>
      <c r="F6" s="66">
        <f t="shared" ref="F6:BQ6" si="5">(F4-J4)/J4</f>
        <v>9.1971468027082739E-2</v>
      </c>
      <c r="G6" s="66">
        <f t="shared" si="5"/>
        <v>7.1348246207352514E-2</v>
      </c>
      <c r="H6" s="66">
        <f t="shared" si="5"/>
        <v>0.11903406011544175</v>
      </c>
      <c r="I6" s="66">
        <f t="shared" si="5"/>
        <v>0.10631100315200501</v>
      </c>
      <c r="J6" s="66">
        <f t="shared" si="5"/>
        <v>9.2305693805101549E-2</v>
      </c>
      <c r="K6" s="66">
        <f t="shared" si="5"/>
        <v>8.8294886393091965E-2</v>
      </c>
      <c r="L6" s="66">
        <f t="shared" si="5"/>
        <v>3.5612786550973982E-2</v>
      </c>
      <c r="M6" s="66">
        <f t="shared" si="5"/>
        <v>-7.8137615482021961E-3</v>
      </c>
      <c r="N6" s="66">
        <f t="shared" si="5"/>
        <v>-5.9779501019890463E-2</v>
      </c>
      <c r="O6" s="66">
        <f t="shared" si="5"/>
        <v>-4.3036338146583163E-2</v>
      </c>
      <c r="P6" s="66">
        <f t="shared" si="5"/>
        <v>1.648351699259715E-2</v>
      </c>
      <c r="Q6" s="66">
        <f t="shared" si="5"/>
        <v>4.0301434197407553E-2</v>
      </c>
      <c r="R6" s="66">
        <f t="shared" si="5"/>
        <v>7.1763809911104093E-2</v>
      </c>
      <c r="S6" s="66">
        <f t="shared" si="5"/>
        <v>9.4775016532810175E-2</v>
      </c>
      <c r="T6" s="66">
        <f t="shared" si="5"/>
        <v>9.0681600742389096E-2</v>
      </c>
      <c r="U6" s="66">
        <f t="shared" si="5"/>
        <v>0.1431453028796314</v>
      </c>
      <c r="V6" s="66">
        <f t="shared" si="5"/>
        <v>0.15199466338912512</v>
      </c>
      <c r="W6" s="66">
        <f t="shared" si="5"/>
        <v>0.10379222251245365</v>
      </c>
      <c r="X6" s="66">
        <f t="shared" si="5"/>
        <v>7.9949980009796875E-2</v>
      </c>
      <c r="Y6" s="66">
        <f t="shared" si="5"/>
        <v>7.4766831393715399E-2</v>
      </c>
      <c r="Z6" s="66">
        <f t="shared" si="5"/>
        <v>0.13073262120691442</v>
      </c>
      <c r="AA6" s="66">
        <f t="shared" si="5"/>
        <v>0.14865077022480327</v>
      </c>
      <c r="AB6" s="66">
        <f t="shared" si="5"/>
        <v>0.1786057904402201</v>
      </c>
      <c r="AC6" s="66">
        <f t="shared" si="5"/>
        <v>8.2318419671857782E-2</v>
      </c>
      <c r="AD6" s="66">
        <f t="shared" si="5"/>
        <v>0.15468489108158509</v>
      </c>
      <c r="AE6" s="66">
        <f t="shared" si="5"/>
        <v>0.1593219672298978</v>
      </c>
      <c r="AF6" s="66">
        <f t="shared" si="5"/>
        <v>0.17325795010363149</v>
      </c>
      <c r="AG6" s="66">
        <f t="shared" si="5"/>
        <v>0.29119481987197177</v>
      </c>
      <c r="AH6" s="66">
        <f t="shared" si="5"/>
        <v>0.22833440060910051</v>
      </c>
      <c r="AI6" s="66">
        <f t="shared" si="5"/>
        <v>0.22479562322907837</v>
      </c>
      <c r="AJ6" s="66">
        <f t="shared" si="5"/>
        <v>9.9115647798425022E-2</v>
      </c>
      <c r="AK6" s="66">
        <f t="shared" si="5"/>
        <v>7.7083849761611617E-2</v>
      </c>
      <c r="AL6" s="66">
        <f t="shared" si="5"/>
        <v>5.677958532031329E-2</v>
      </c>
      <c r="AM6" s="66">
        <f t="shared" si="5"/>
        <v>4.3637058456417542E-2</v>
      </c>
      <c r="AN6" s="66">
        <f t="shared" si="5"/>
        <v>0.11954965423647811</v>
      </c>
      <c r="AO6" s="66">
        <f t="shared" si="5"/>
        <v>0.23422846056661492</v>
      </c>
      <c r="AP6" s="66">
        <f t="shared" si="5"/>
        <v>0.26473166438195755</v>
      </c>
      <c r="AQ6" s="66">
        <f t="shared" si="5"/>
        <v>0.26631553410841474</v>
      </c>
      <c r="AR6" s="66">
        <f t="shared" si="5"/>
        <v>0.28778449067461725</v>
      </c>
      <c r="AS6" s="66">
        <f t="shared" si="5"/>
        <v>0.13307828355851947</v>
      </c>
      <c r="AT6" s="66">
        <f t="shared" si="5"/>
        <v>8.8997430007275377E-2</v>
      </c>
      <c r="AU6" s="66">
        <f t="shared" si="5"/>
        <v>5.4848052448665072E-2</v>
      </c>
      <c r="AV6" s="66">
        <f t="shared" si="5"/>
        <v>5.0744676361119442E-2</v>
      </c>
      <c r="AW6" s="66">
        <f t="shared" si="5"/>
        <v>6.3226546052953164E-2</v>
      </c>
      <c r="AX6" s="66">
        <f t="shared" si="5"/>
        <v>0.14819126785705489</v>
      </c>
      <c r="AY6" s="66">
        <f t="shared" si="5"/>
        <v>0.28068354225718867</v>
      </c>
      <c r="AZ6" s="66">
        <f t="shared" si="5"/>
        <v>0.36081444193187984</v>
      </c>
      <c r="BA6" s="66">
        <f t="shared" si="5"/>
        <v>0.68797472149008565</v>
      </c>
      <c r="BB6" s="66">
        <f t="shared" si="5"/>
        <v>0.90201771124162777</v>
      </c>
      <c r="BC6" s="66">
        <f t="shared" si="5"/>
        <v>1.2881304750626106</v>
      </c>
      <c r="BD6" s="66">
        <f t="shared" si="5"/>
        <v>1.168642347020024</v>
      </c>
      <c r="BE6" s="66">
        <f t="shared" si="5"/>
        <v>0.85494210273431193</v>
      </c>
      <c r="BF6" s="66">
        <f t="shared" si="5"/>
        <v>0.67925739856869305</v>
      </c>
      <c r="BG6" s="66">
        <f t="shared" si="5"/>
        <v>0.29814905821152565</v>
      </c>
      <c r="BH6" s="66">
        <f t="shared" si="5"/>
        <v>0.17092186421071717</v>
      </c>
      <c r="BI6" s="66">
        <f t="shared" si="5"/>
        <v>3.4498338054704154E-2</v>
      </c>
      <c r="BJ6" s="66">
        <f t="shared" si="5"/>
        <v>0.52203717555576867</v>
      </c>
      <c r="BK6" s="66">
        <f t="shared" si="5"/>
        <v>-0.5148337487272695</v>
      </c>
      <c r="BL6" s="66">
        <f t="shared" si="5"/>
        <v>-0.71970463081796054</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356</v>
      </c>
      <c r="E7" s="27">
        <f>股权价值增加表!E6</f>
        <v>2742665203.2599998</v>
      </c>
      <c r="F7" s="27">
        <f>股权价值增加表!F6</f>
        <v>1915823254.9400001</v>
      </c>
      <c r="G7" s="27">
        <f>股权价值增加表!G6</f>
        <v>1268198322.2</v>
      </c>
      <c r="H7" s="27">
        <f>股权价值增加表!H6</f>
        <v>612523253.86000001</v>
      </c>
      <c r="I7" s="27">
        <f>股权价值增加表!I6</f>
        <v>2442646172.1399999</v>
      </c>
      <c r="J7" s="27">
        <f>股权价值增加表!J6</f>
        <v>1784826416.1199999</v>
      </c>
      <c r="K7" s="27">
        <f>股权价值增加表!K6</f>
        <v>1168748499.3599999</v>
      </c>
      <c r="L7" s="27">
        <f>股权价值增加表!L6</f>
        <v>574783861.74000001</v>
      </c>
      <c r="M7" s="27">
        <f>股权价值增加表!M6</f>
        <v>2253559953.8499994</v>
      </c>
      <c r="N7" s="27">
        <f>股权价值增加表!N6</f>
        <v>1679091850.1800003</v>
      </c>
      <c r="O7" s="27">
        <f>股权价值增加表!O6</f>
        <v>1105357592.54</v>
      </c>
      <c r="P7" s="27">
        <f>股权价值增加表!P6</f>
        <v>551475362.06000006</v>
      </c>
      <c r="Q7" s="27">
        <f>股权价值增加表!Q6</f>
        <v>2134993544.0800004</v>
      </c>
      <c r="R7" s="27">
        <f>股权价值增加表!R6</f>
        <v>1402536109.7600002</v>
      </c>
      <c r="S7" s="27">
        <f>股权价值增加表!S6</f>
        <v>937823885.47000003</v>
      </c>
      <c r="T7" s="27">
        <f>股权价值增加表!T6</f>
        <v>463719188.40999997</v>
      </c>
      <c r="U7" s="27">
        <f>股权价值增加表!U6</f>
        <v>1880061516.0100002</v>
      </c>
      <c r="V7" s="27">
        <f>股权价值增加表!V6</f>
        <v>1298556562.5</v>
      </c>
      <c r="W7" s="27">
        <f>股权价值增加表!W6</f>
        <v>869656015.80000019</v>
      </c>
      <c r="X7" s="27">
        <f>股权价值增加表!X6</f>
        <v>428366355.30999994</v>
      </c>
      <c r="Y7" s="27">
        <f>股权价值增加表!Y6</f>
        <v>1820439305.8899999</v>
      </c>
      <c r="Z7" s="27">
        <f>股权价值增加表!Z6</f>
        <v>1291517691.7399998</v>
      </c>
      <c r="AA7" s="27">
        <f>股权价值增加表!AA6</f>
        <v>846497868.32000017</v>
      </c>
      <c r="AB7" s="27">
        <f>股权价值增加表!AB6</f>
        <v>411820326.85000014</v>
      </c>
      <c r="AC7" s="27">
        <f>股权价值增加表!AC6</f>
        <v>1584937665.52</v>
      </c>
      <c r="AD7" s="27">
        <f>股权价值增加表!AD6</f>
        <v>1187693613.7099998</v>
      </c>
      <c r="AE7" s="27">
        <f>股权价值增加表!AE6</f>
        <v>772131283.28999996</v>
      </c>
      <c r="AF7" s="27">
        <f>股权价值增加表!AF6</f>
        <v>392678653.52999997</v>
      </c>
      <c r="AG7" s="27">
        <f>股权价值增加表!AG6</f>
        <v>1412953567.0799999</v>
      </c>
      <c r="AH7" s="27">
        <f>股权价值增加表!AH6</f>
        <v>1074654186.5500002</v>
      </c>
      <c r="AI7" s="27">
        <f>股权价值增加表!AI6</f>
        <v>689312684.85000014</v>
      </c>
      <c r="AJ7" s="27">
        <f>股权价值增加表!AJ6</f>
        <v>360539245.12999994</v>
      </c>
      <c r="AK7" s="27">
        <f>股权价值增加表!AK6</f>
        <v>1406665883.3099999</v>
      </c>
      <c r="AL7" s="27">
        <f>股权价值增加表!AL6</f>
        <v>997079671.37999988</v>
      </c>
      <c r="AM7" s="27">
        <f>股权价值增加表!AM6</f>
        <v>665161156.03000009</v>
      </c>
      <c r="AN7" s="27">
        <f>股权价值增加表!AN6</f>
        <v>307870228.56000006</v>
      </c>
      <c r="AO7" s="27">
        <f>股权价值增加表!AO6</f>
        <v>1286214433.4799998</v>
      </c>
      <c r="AP7" s="27">
        <f>股权价值增加表!AP6</f>
        <v>985699810.98000026</v>
      </c>
      <c r="AQ7" s="27">
        <f>股权价值增加表!AQ6</f>
        <v>663773925.21000004</v>
      </c>
      <c r="AR7" s="27">
        <f>股权价值增加表!AR6</f>
        <v>343431186.19999999</v>
      </c>
      <c r="AS7" s="27">
        <f>股权价值增加表!AS6</f>
        <v>1254622548.05</v>
      </c>
      <c r="AT7" s="27">
        <f>股权价值增加表!AT6</f>
        <v>941686651.77999997</v>
      </c>
      <c r="AU7" s="27">
        <f>股权价值增加表!AU6</f>
        <v>605326656.46000004</v>
      </c>
      <c r="AV7" s="27">
        <f>股权价值增加表!AV6</f>
        <v>301624414.07000005</v>
      </c>
      <c r="AW7" s="27">
        <f>股权价值增加表!AW6</f>
        <v>1148792462.0500002</v>
      </c>
      <c r="AX7" s="27">
        <f>股权价值增加表!AX6</f>
        <v>853544363.40999997</v>
      </c>
      <c r="AY7" s="27">
        <f>股权价值增加表!AY6</f>
        <v>553308886.34000003</v>
      </c>
      <c r="AZ7" s="27">
        <f>股权价值增加表!AZ6</f>
        <v>285694530.06999999</v>
      </c>
      <c r="BA7" s="27">
        <f>股权价值增加表!BA6</f>
        <v>963290914.17999983</v>
      </c>
      <c r="BB7" s="27">
        <f>股权价值增加表!BB6</f>
        <v>711300107.6500001</v>
      </c>
      <c r="BC7" s="27">
        <f>股权价值增加表!BC6</f>
        <v>484061721.46000004</v>
      </c>
      <c r="BD7" s="27">
        <f>股权价值增加表!BD6</f>
        <v>222650174.63999999</v>
      </c>
      <c r="BE7" s="27">
        <f>股权价值增加表!BE6</f>
        <v>838155235.88</v>
      </c>
      <c r="BF7" s="27">
        <f>股权价值增加表!BF6</f>
        <v>668238685.03999996</v>
      </c>
      <c r="BG7" s="27">
        <f>股权价值增加表!BG6</f>
        <v>497728446.96000004</v>
      </c>
      <c r="BH7" s="27">
        <f>股权价值增加表!BH6</f>
        <v>246171170.25</v>
      </c>
      <c r="BI7" s="27">
        <f>股权价值增加表!BI6</f>
        <v>683064352.5</v>
      </c>
      <c r="BJ7" s="27">
        <f>股权价值增加表!BJ6</f>
        <v>444941314.26000005</v>
      </c>
      <c r="BK7" s="27">
        <f>股权价值增加表!BK6</f>
        <v>228498149.70000002</v>
      </c>
      <c r="BL7" s="27">
        <f>股权价值增加表!BL6</f>
        <v>158839130.57999998</v>
      </c>
      <c r="BM7" s="27">
        <f>股权价值增加表!BM6</f>
        <v>573500627.07000005</v>
      </c>
      <c r="BN7" s="27">
        <f>股权价值增加表!BN6</f>
        <v>265911600.61999997</v>
      </c>
      <c r="BO7" s="27">
        <f>股权价值增加表!BO6</f>
        <v>494538999.85000002</v>
      </c>
      <c r="BP7" s="27">
        <f>股权价值增加表!BP6</f>
        <v>466379729.25000006</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0.40562664604894283</v>
      </c>
      <c r="F8" s="66">
        <f t="shared" ref="F8:BQ8" si="7">F7/F2</f>
        <v>0.38951458142917128</v>
      </c>
      <c r="G8" s="66">
        <f t="shared" si="7"/>
        <v>0.39462722347912238</v>
      </c>
      <c r="H8" s="66">
        <f t="shared" si="7"/>
        <v>0.3867556182645861</v>
      </c>
      <c r="I8" s="66">
        <f t="shared" si="7"/>
        <v>0.39610373192697895</v>
      </c>
      <c r="J8" s="66">
        <f t="shared" si="7"/>
        <v>0.39360239782317552</v>
      </c>
      <c r="K8" s="66">
        <f t="shared" si="7"/>
        <v>0.39158641271715361</v>
      </c>
      <c r="L8" s="66">
        <f t="shared" si="7"/>
        <v>0.39840929441172773</v>
      </c>
      <c r="M8" s="66">
        <f t="shared" si="7"/>
        <v>0.40100819910562779</v>
      </c>
      <c r="N8" s="66">
        <f t="shared" si="7"/>
        <v>0.400118369024969</v>
      </c>
      <c r="O8" s="66">
        <f t="shared" si="7"/>
        <v>0.39848031680209506</v>
      </c>
      <c r="P8" s="66">
        <f t="shared" si="7"/>
        <v>0.39687548729840028</v>
      </c>
      <c r="Q8" s="66">
        <f t="shared" si="7"/>
        <v>0.38623691927927084</v>
      </c>
      <c r="R8" s="66">
        <f t="shared" si="7"/>
        <v>0.34375979091013525</v>
      </c>
      <c r="S8" s="66">
        <f t="shared" si="7"/>
        <v>0.34974665192238524</v>
      </c>
      <c r="T8" s="66">
        <f t="shared" si="7"/>
        <v>0.35997562982425618</v>
      </c>
      <c r="U8" s="66">
        <f t="shared" si="7"/>
        <v>0.3656772817947756</v>
      </c>
      <c r="V8" s="66">
        <f t="shared" si="7"/>
        <v>0.34201965699188253</v>
      </c>
      <c r="W8" s="66">
        <f t="shared" si="7"/>
        <v>0.35318494475587137</v>
      </c>
      <c r="X8" s="66">
        <f t="shared" si="7"/>
        <v>0.36170595291421725</v>
      </c>
      <c r="Y8" s="66">
        <f t="shared" si="7"/>
        <v>0.38953914967062087</v>
      </c>
      <c r="Z8" s="66">
        <f t="shared" si="7"/>
        <v>0.37326218955747353</v>
      </c>
      <c r="AA8" s="66">
        <f t="shared" si="7"/>
        <v>0.36974593658050225</v>
      </c>
      <c r="AB8" s="66">
        <f t="shared" si="7"/>
        <v>0.37041324726524311</v>
      </c>
      <c r="AC8" s="66">
        <f t="shared" si="7"/>
        <v>0.37386322296573787</v>
      </c>
      <c r="AD8" s="66">
        <f t="shared" si="7"/>
        <v>0.38244431548766877</v>
      </c>
      <c r="AE8" s="66">
        <f t="shared" si="7"/>
        <v>0.38067787622263521</v>
      </c>
      <c r="AF8" s="66">
        <f t="shared" si="7"/>
        <v>0.39802340989531926</v>
      </c>
      <c r="AG8" s="66">
        <f t="shared" si="7"/>
        <v>0.36553125548409976</v>
      </c>
      <c r="AH8" s="66">
        <f t="shared" si="7"/>
        <v>0.39284402742011226</v>
      </c>
      <c r="AI8" s="66">
        <f t="shared" si="7"/>
        <v>0.38881494879300477</v>
      </c>
      <c r="AJ8" s="66">
        <f t="shared" si="7"/>
        <v>0.41597610690643871</v>
      </c>
      <c r="AK8" s="66">
        <f t="shared" si="7"/>
        <v>0.42547725665678859</v>
      </c>
      <c r="AL8" s="66">
        <f t="shared" si="7"/>
        <v>0.42442420681136395</v>
      </c>
      <c r="AM8" s="66">
        <f t="shared" si="7"/>
        <v>0.42918235282774098</v>
      </c>
      <c r="AN8" s="66">
        <f t="shared" si="7"/>
        <v>0.40065645453204951</v>
      </c>
      <c r="AO8" s="66">
        <f t="shared" si="7"/>
        <v>0.42175090597280906</v>
      </c>
      <c r="AP8" s="66">
        <f t="shared" si="7"/>
        <v>0.4351449044870882</v>
      </c>
      <c r="AQ8" s="66">
        <f t="shared" si="7"/>
        <v>0.4391619680177527</v>
      </c>
      <c r="AR8" s="66">
        <f t="shared" si="7"/>
        <v>0.45499818000091374</v>
      </c>
      <c r="AS8" s="66">
        <f t="shared" si="7"/>
        <v>0.46754260521200258</v>
      </c>
      <c r="AT8" s="66">
        <f t="shared" si="7"/>
        <v>0.48208031749443409</v>
      </c>
      <c r="AU8" s="66">
        <f t="shared" si="7"/>
        <v>0.47486477901520913</v>
      </c>
      <c r="AV8" s="66">
        <f t="shared" si="7"/>
        <v>0.48565978354361816</v>
      </c>
      <c r="AW8" s="66">
        <f t="shared" si="7"/>
        <v>0.47671741410141028</v>
      </c>
      <c r="AX8" s="66">
        <f t="shared" si="7"/>
        <v>0.47883090783128196</v>
      </c>
      <c r="AY8" s="66">
        <f t="shared" si="7"/>
        <v>0.46578336280346122</v>
      </c>
      <c r="AZ8" s="66">
        <f t="shared" si="7"/>
        <v>0.48447077345767975</v>
      </c>
      <c r="BA8" s="66">
        <f t="shared" si="7"/>
        <v>0.44818649020407858</v>
      </c>
      <c r="BB8" s="66">
        <f t="shared" si="7"/>
        <v>0.46783393236289117</v>
      </c>
      <c r="BC8" s="66">
        <f t="shared" si="7"/>
        <v>0.49415255652591006</v>
      </c>
      <c r="BD8" s="66">
        <f t="shared" si="7"/>
        <v>0.49915628497617948</v>
      </c>
      <c r="BE8" s="66">
        <f t="shared" si="7"/>
        <v>0.54398018668972103</v>
      </c>
      <c r="BF8" s="66">
        <f t="shared" si="7"/>
        <v>0.61102529818772389</v>
      </c>
      <c r="BG8" s="66">
        <f t="shared" si="7"/>
        <v>0.69681705013215511</v>
      </c>
      <c r="BH8" s="66">
        <f t="shared" si="7"/>
        <v>0.70498529747292915</v>
      </c>
      <c r="BI8" s="66">
        <f t="shared" si="7"/>
        <v>0.64327698670235456</v>
      </c>
      <c r="BJ8" s="66">
        <f t="shared" si="7"/>
        <v>0.63720944101143484</v>
      </c>
      <c r="BK8" s="66">
        <f t="shared" si="7"/>
        <v>0.57800752276862133</v>
      </c>
      <c r="BL8" s="66">
        <f t="shared" si="7"/>
        <v>0.64355050205833664</v>
      </c>
      <c r="BM8" s="66">
        <f t="shared" si="7"/>
        <v>0.61033066477650644</v>
      </c>
      <c r="BN8" s="66">
        <f t="shared" si="7"/>
        <v>0.61503906234987538</v>
      </c>
      <c r="BO8" s="66">
        <f t="shared" si="7"/>
        <v>0.58987136617733282</v>
      </c>
      <c r="BP8" s="66">
        <f t="shared" si="7"/>
        <v>0.59772740086893517</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0.12282541554397684</v>
      </c>
      <c r="F9" s="66">
        <f t="shared" ref="F9:BQ9" si="9">(F7-J7)/J7</f>
        <v>7.3394722106798316E-2</v>
      </c>
      <c r="G9" s="66">
        <f t="shared" si="9"/>
        <v>8.5090866764285317E-2</v>
      </c>
      <c r="H9" s="66">
        <f t="shared" si="9"/>
        <v>6.5658405936719205E-2</v>
      </c>
      <c r="I9" s="66">
        <f t="shared" si="9"/>
        <v>8.3905563713520939E-2</v>
      </c>
      <c r="J9" s="66">
        <f t="shared" si="9"/>
        <v>6.297128172509725E-2</v>
      </c>
      <c r="K9" s="66">
        <f t="shared" si="9"/>
        <v>5.7348777669617344E-2</v>
      </c>
      <c r="L9" s="66">
        <f t="shared" si="9"/>
        <v>4.2265713545084904E-2</v>
      </c>
      <c r="M9" s="66">
        <f t="shared" si="9"/>
        <v>5.5534786088119535E-2</v>
      </c>
      <c r="N9" s="66">
        <f t="shared" si="9"/>
        <v>0.19718261690055441</v>
      </c>
      <c r="O9" s="66">
        <f t="shared" si="9"/>
        <v>0.17864090440183095</v>
      </c>
      <c r="P9" s="66">
        <f t="shared" si="9"/>
        <v>0.18924421469574809</v>
      </c>
      <c r="Q9" s="66">
        <f t="shared" si="9"/>
        <v>0.13559770565967169</v>
      </c>
      <c r="R9" s="66">
        <f t="shared" si="9"/>
        <v>8.0073175295358165E-2</v>
      </c>
      <c r="S9" s="66">
        <f t="shared" si="9"/>
        <v>7.838486531630777E-2</v>
      </c>
      <c r="T9" s="66">
        <f t="shared" si="9"/>
        <v>8.2529434587401015E-2</v>
      </c>
      <c r="U9" s="66">
        <f t="shared" si="9"/>
        <v>3.275155064334951E-2</v>
      </c>
      <c r="V9" s="66">
        <f t="shared" si="9"/>
        <v>5.4500769172717229E-3</v>
      </c>
      <c r="W9" s="66">
        <f t="shared" si="9"/>
        <v>2.735759692574392E-2</v>
      </c>
      <c r="X9" s="66">
        <f t="shared" si="9"/>
        <v>4.0177784779493075E-2</v>
      </c>
      <c r="Y9" s="66">
        <f t="shared" si="9"/>
        <v>0.14858732017876203</v>
      </c>
      <c r="Z9" s="66">
        <f t="shared" si="9"/>
        <v>8.7416549884178116E-2</v>
      </c>
      <c r="AA9" s="66">
        <f t="shared" si="9"/>
        <v>9.6313394677041378E-2</v>
      </c>
      <c r="AB9" s="66">
        <f t="shared" si="9"/>
        <v>4.8746406630269704E-2</v>
      </c>
      <c r="AC9" s="66">
        <f t="shared" si="9"/>
        <v>0.12171956846071114</v>
      </c>
      <c r="AD9" s="66">
        <f t="shared" si="9"/>
        <v>0.10518679271412325</v>
      </c>
      <c r="AE9" s="66">
        <f t="shared" si="9"/>
        <v>0.12014663339326448</v>
      </c>
      <c r="AF9" s="66">
        <f t="shared" si="9"/>
        <v>8.9142607452932079E-2</v>
      </c>
      <c r="AG9" s="66">
        <f t="shared" si="9"/>
        <v>4.4699198612854294E-3</v>
      </c>
      <c r="AH9" s="66">
        <f t="shared" si="9"/>
        <v>7.7801721764755222E-2</v>
      </c>
      <c r="AI9" s="66">
        <f t="shared" si="9"/>
        <v>3.6309289261790223E-2</v>
      </c>
      <c r="AJ9" s="66">
        <f t="shared" si="9"/>
        <v>0.17107538074190679</v>
      </c>
      <c r="AK9" s="66">
        <f t="shared" si="9"/>
        <v>9.3648031537093723E-2</v>
      </c>
      <c r="AL9" s="66">
        <f t="shared" si="9"/>
        <v>1.1544955445091909E-2</v>
      </c>
      <c r="AM9" s="66">
        <f t="shared" si="9"/>
        <v>2.0899146039235726E-3</v>
      </c>
      <c r="AN9" s="66">
        <f t="shared" si="9"/>
        <v>-0.10354609327555567</v>
      </c>
      <c r="AO9" s="66">
        <f t="shared" si="9"/>
        <v>2.5180390292763023E-2</v>
      </c>
      <c r="AP9" s="66">
        <f t="shared" si="9"/>
        <v>4.6738646148169881E-2</v>
      </c>
      <c r="AQ9" s="66">
        <f t="shared" si="9"/>
        <v>9.6554923075425791E-2</v>
      </c>
      <c r="AR9" s="66">
        <f t="shared" si="9"/>
        <v>0.13860539856796059</v>
      </c>
      <c r="AS9" s="66">
        <f t="shared" si="9"/>
        <v>9.2122893817694285E-2</v>
      </c>
      <c r="AT9" s="66">
        <f t="shared" si="9"/>
        <v>0.10326620636080619</v>
      </c>
      <c r="AU9" s="66">
        <f t="shared" si="9"/>
        <v>9.4012171870371627E-2</v>
      </c>
      <c r="AV9" s="66">
        <f t="shared" si="9"/>
        <v>5.5758449404323451E-2</v>
      </c>
      <c r="AW9" s="66">
        <f t="shared" si="9"/>
        <v>0.19257064002094146</v>
      </c>
      <c r="AX9" s="66">
        <f t="shared" si="9"/>
        <v>0.19997783527679724</v>
      </c>
      <c r="AY9" s="66">
        <f t="shared" si="9"/>
        <v>0.14305441188603088</v>
      </c>
      <c r="AZ9" s="66">
        <f t="shared" si="9"/>
        <v>0.28315430487281479</v>
      </c>
      <c r="BA9" s="66">
        <f t="shared" si="9"/>
        <v>0.14929892810204398</v>
      </c>
      <c r="BB9" s="66">
        <f t="shared" si="9"/>
        <v>6.4440182189426112E-2</v>
      </c>
      <c r="BC9" s="66">
        <f t="shared" si="9"/>
        <v>-2.7458196499462541E-2</v>
      </c>
      <c r="BD9" s="66">
        <f t="shared" si="9"/>
        <v>-9.5547320127345473E-2</v>
      </c>
      <c r="BE9" s="66">
        <f t="shared" si="9"/>
        <v>0.22705164280989176</v>
      </c>
      <c r="BF9" s="66">
        <f t="shared" si="9"/>
        <v>0.50185802851635575</v>
      </c>
      <c r="BG9" s="66">
        <f t="shared" si="9"/>
        <v>1.1782602949453991</v>
      </c>
      <c r="BH9" s="66">
        <f t="shared" si="9"/>
        <v>0.54981438988684761</v>
      </c>
      <c r="BI9" s="66">
        <f t="shared" si="9"/>
        <v>0.19104377616770568</v>
      </c>
      <c r="BJ9" s="66">
        <f t="shared" si="9"/>
        <v>0.6732677823102643</v>
      </c>
      <c r="BK9" s="66">
        <f t="shared" si="9"/>
        <v>-0.53795726976172475</v>
      </c>
      <c r="BL9" s="66">
        <f t="shared" si="9"/>
        <v>-0.65942102407530834</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359</v>
      </c>
      <c r="E10" s="27">
        <f>股权价值增加表!E8</f>
        <v>88497276.790000007</v>
      </c>
      <c r="F10" s="27">
        <f>股权价值增加表!F8</f>
        <v>34517828.649999999</v>
      </c>
      <c r="G10" s="27">
        <f>股权价值增加表!G8</f>
        <v>24856226</v>
      </c>
      <c r="H10" s="27">
        <f>股权价值增加表!H8</f>
        <v>13498270.630000001</v>
      </c>
      <c r="I10" s="27">
        <f>股权价值增加表!I8</f>
        <v>66248735.149999999</v>
      </c>
      <c r="J10" s="27">
        <f>股权价值增加表!J8</f>
        <v>15786416.99</v>
      </c>
      <c r="K10" s="27">
        <f>股权价值增加表!K8</f>
        <v>12429837.359999999</v>
      </c>
      <c r="L10" s="27">
        <f>股权价值增加表!L8</f>
        <v>10726445.859999999</v>
      </c>
      <c r="M10" s="27">
        <f>股权价值增加表!M8</f>
        <v>45668378.630000003</v>
      </c>
      <c r="N10" s="27">
        <f>股权价值增加表!N8</f>
        <v>34357856.170000002</v>
      </c>
      <c r="O10" s="27">
        <f>股权价值增加表!O8</f>
        <v>23760269.260000002</v>
      </c>
      <c r="P10" s="27">
        <f>股权价值增加表!P8</f>
        <v>12043357.199999999</v>
      </c>
      <c r="Q10" s="27">
        <f>股权价值增加表!Q8</f>
        <v>46645736.369999997</v>
      </c>
      <c r="R10" s="27">
        <f>股权价值增加表!R8</f>
        <v>35792743.100000001</v>
      </c>
      <c r="S10" s="27">
        <f>股权价值增加表!S8</f>
        <v>24157734.989999998</v>
      </c>
      <c r="T10" s="27">
        <f>股权价值增加表!T8</f>
        <v>12220718.98</v>
      </c>
      <c r="U10" s="27">
        <f>股权价值增加表!U8</f>
        <v>47792552.579999998</v>
      </c>
      <c r="V10" s="27">
        <f>股权价值增加表!V8</f>
        <v>35097895.82</v>
      </c>
      <c r="W10" s="27">
        <f>股权价值增加表!W8</f>
        <v>24011125.850000001</v>
      </c>
      <c r="X10" s="27">
        <f>股权价值增加表!X8</f>
        <v>12174046.9</v>
      </c>
      <c r="Y10" s="27">
        <f>股权价值增加表!Y8</f>
        <v>166424816.94</v>
      </c>
      <c r="Z10" s="27">
        <f>股权价值增加表!Z8</f>
        <v>139283693.12</v>
      </c>
      <c r="AA10" s="27">
        <f>股权价值增加表!AA8</f>
        <v>92408832.439999998</v>
      </c>
      <c r="AB10" s="27">
        <f>股权价值增加表!AB8</f>
        <v>45573545.920000002</v>
      </c>
      <c r="AC10" s="27">
        <f>股权价值增加表!AC8</f>
        <v>169200364.30000001</v>
      </c>
      <c r="AD10" s="27">
        <f>股权价值增加表!AD8</f>
        <v>122723176.72</v>
      </c>
      <c r="AE10" s="27">
        <f>股权价值增加表!AE8</f>
        <v>80552794.989999995</v>
      </c>
      <c r="AF10" s="27">
        <f>股权价值增加表!AF8</f>
        <v>39214724.990000002</v>
      </c>
      <c r="AG10" s="27">
        <f>股权价值增加表!AG8</f>
        <v>152582492.87</v>
      </c>
      <c r="AH10" s="27">
        <f>股权价值增加表!AH8</f>
        <v>106783888.64</v>
      </c>
      <c r="AI10" s="27">
        <f>股权价值增加表!AI8</f>
        <v>69099331.670000002</v>
      </c>
      <c r="AJ10" s="27">
        <f>股权价值增加表!AJ8</f>
        <v>34029503.170000002</v>
      </c>
      <c r="AK10" s="27">
        <f>股权价值增加表!AK8</f>
        <v>127395848.56</v>
      </c>
      <c r="AL10" s="27">
        <f>股权价值增加表!AL8</f>
        <v>90368840.230000004</v>
      </c>
      <c r="AM10" s="27">
        <f>股权价值增加表!AM8</f>
        <v>59840232.649999999</v>
      </c>
      <c r="AN10" s="27">
        <f>股权价值增加表!AN8</f>
        <v>29863950.399999999</v>
      </c>
      <c r="AO10" s="27">
        <f>股权价值增加表!AO8</f>
        <v>118431827.86</v>
      </c>
      <c r="AP10" s="27">
        <f>股权价值增加表!AP8</f>
        <v>86587155.549999997</v>
      </c>
      <c r="AQ10" s="27">
        <f>股权价值增加表!AQ8</f>
        <v>58295818.299999997</v>
      </c>
      <c r="AR10" s="27">
        <f>股权价值增加表!AR8</f>
        <v>27824671.039999999</v>
      </c>
      <c r="AS10" s="27">
        <f>股权价值增加表!AS8</f>
        <v>102107616.62</v>
      </c>
      <c r="AT10" s="27">
        <f>股权价值增加表!AT8</f>
        <v>70643760.450000003</v>
      </c>
      <c r="AU10" s="27">
        <f>股权价值增加表!AU8</f>
        <v>46694223.850000001</v>
      </c>
      <c r="AV10" s="27">
        <f>股权价值增加表!AV8</f>
        <v>22359372.82</v>
      </c>
      <c r="AW10" s="27">
        <f>股权价值增加表!AW8</f>
        <v>87761551.019999996</v>
      </c>
      <c r="AX10" s="27">
        <f>股权价值增加表!AX8</f>
        <v>61597734.390000001</v>
      </c>
      <c r="AY10" s="27">
        <f>股权价值增加表!AY8</f>
        <v>40658815.710000001</v>
      </c>
      <c r="AZ10" s="27">
        <f>股权价值增加表!AZ8</f>
        <v>19622694.5</v>
      </c>
      <c r="BA10" s="27">
        <f>股权价值增加表!BA8</f>
        <v>76417388.680000007</v>
      </c>
      <c r="BB10" s="27">
        <f>股权价值增加表!BB8</f>
        <v>53116111.219999999</v>
      </c>
      <c r="BC10" s="27">
        <f>股权价值增加表!BC8</f>
        <v>34727464.689999998</v>
      </c>
      <c r="BD10" s="27">
        <f>股权价值增加表!BD8</f>
        <v>14936893.83</v>
      </c>
      <c r="BE10" s="27">
        <f>股权价值增加表!BE8</f>
        <v>53465533.909999996</v>
      </c>
      <c r="BF10" s="27">
        <f>股权价值增加表!BF8</f>
        <v>36805575.740000002</v>
      </c>
      <c r="BG10" s="27">
        <f>股权价值增加表!BG8</f>
        <v>23550724.350000001</v>
      </c>
      <c r="BH10" s="27">
        <f>股权价值增加表!BH8</f>
        <v>11140954.43</v>
      </c>
      <c r="BI10" s="27">
        <f>股权价值增加表!BI8</f>
        <v>33658697.229999997</v>
      </c>
      <c r="BJ10" s="27">
        <f>股权价值增加表!BJ8</f>
        <v>22267457.57</v>
      </c>
      <c r="BK10" s="27">
        <f>股权价值增加表!BK8</f>
        <v>12810024.34</v>
      </c>
      <c r="BL10" s="27">
        <f>股权价值增加表!BL8</f>
        <v>8041250.4400000004</v>
      </c>
      <c r="BM10" s="27">
        <f>股权价值增加表!BM8</f>
        <v>32429301.510000002</v>
      </c>
      <c r="BN10" s="27">
        <f>股权价值增加表!BN8</f>
        <v>14596900.119999999</v>
      </c>
      <c r="BO10" s="27">
        <f>股权价值增加表!BO8</f>
        <v>29422726.68</v>
      </c>
      <c r="BP10" s="27">
        <f>股权价值增加表!BP8</f>
        <v>26973430.960000001</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1.308831042378952E-2</v>
      </c>
      <c r="F11" s="57">
        <f t="shared" ref="F11:BQ11" si="11">F10/F2</f>
        <v>7.0179738886558636E-3</v>
      </c>
      <c r="G11" s="57">
        <f t="shared" si="11"/>
        <v>7.7345500942893235E-3</v>
      </c>
      <c r="H11" s="57">
        <f t="shared" si="11"/>
        <v>8.5229939763259554E-3</v>
      </c>
      <c r="I11" s="57">
        <f t="shared" si="11"/>
        <v>1.0743009580207432E-2</v>
      </c>
      <c r="J11" s="57">
        <f t="shared" si="11"/>
        <v>3.4813310270295542E-3</v>
      </c>
      <c r="K11" s="57">
        <f t="shared" si="11"/>
        <v>4.1645875268506369E-3</v>
      </c>
      <c r="L11" s="57">
        <f t="shared" si="11"/>
        <v>7.4349960238815765E-3</v>
      </c>
      <c r="M11" s="57">
        <f t="shared" si="11"/>
        <v>8.1264286930567316E-3</v>
      </c>
      <c r="N11" s="57">
        <f t="shared" si="11"/>
        <v>8.1872884872028623E-3</v>
      </c>
      <c r="O11" s="57">
        <f t="shared" si="11"/>
        <v>8.5655535239698988E-3</v>
      </c>
      <c r="P11" s="57">
        <f t="shared" si="11"/>
        <v>8.6671383461346153E-3</v>
      </c>
      <c r="Q11" s="57">
        <f t="shared" si="11"/>
        <v>8.4385761085874027E-3</v>
      </c>
      <c r="R11" s="57">
        <f t="shared" si="11"/>
        <v>8.7727551529932779E-3</v>
      </c>
      <c r="S11" s="57">
        <f t="shared" si="11"/>
        <v>9.0092468977226049E-3</v>
      </c>
      <c r="T11" s="57">
        <f t="shared" si="11"/>
        <v>9.4866917774409591E-3</v>
      </c>
      <c r="U11" s="57">
        <f t="shared" si="11"/>
        <v>9.2957866371194461E-3</v>
      </c>
      <c r="V11" s="57">
        <f t="shared" si="11"/>
        <v>9.2442413647216299E-3</v>
      </c>
      <c r="W11" s="57">
        <f t="shared" si="11"/>
        <v>9.7514051565059309E-3</v>
      </c>
      <c r="X11" s="57">
        <f t="shared" si="11"/>
        <v>1.0279577703062615E-2</v>
      </c>
      <c r="Y11" s="57">
        <f t="shared" si="11"/>
        <v>3.5611723755438196E-2</v>
      </c>
      <c r="Z11" s="57">
        <f t="shared" si="11"/>
        <v>4.0254451484578332E-2</v>
      </c>
      <c r="AA11" s="57">
        <f t="shared" si="11"/>
        <v>4.0363705069511299E-2</v>
      </c>
      <c r="AB11" s="57">
        <f t="shared" si="11"/>
        <v>4.0991286813697181E-2</v>
      </c>
      <c r="AC11" s="57">
        <f t="shared" si="11"/>
        <v>3.9911849469121435E-2</v>
      </c>
      <c r="AD11" s="57">
        <f t="shared" si="11"/>
        <v>3.9517583300412287E-2</v>
      </c>
      <c r="AE11" s="57">
        <f t="shared" si="11"/>
        <v>3.9714317479704261E-2</v>
      </c>
      <c r="AF11" s="57">
        <f t="shared" si="11"/>
        <v>3.9748477332075136E-2</v>
      </c>
      <c r="AG11" s="57">
        <f t="shared" si="11"/>
        <v>3.9473109013006193E-2</v>
      </c>
      <c r="AH11" s="57">
        <f t="shared" si="11"/>
        <v>3.9035266788091189E-2</v>
      </c>
      <c r="AI11" s="57">
        <f t="shared" si="11"/>
        <v>3.897629290072957E-2</v>
      </c>
      <c r="AJ11" s="57">
        <f t="shared" si="11"/>
        <v>3.9261912371045406E-2</v>
      </c>
      <c r="AK11" s="57">
        <f t="shared" si="11"/>
        <v>3.8533696450521682E-2</v>
      </c>
      <c r="AL11" s="57">
        <f t="shared" si="11"/>
        <v>3.8467059790714707E-2</v>
      </c>
      <c r="AM11" s="57">
        <f t="shared" si="11"/>
        <v>3.8610751108454799E-2</v>
      </c>
      <c r="AN11" s="57">
        <f t="shared" si="11"/>
        <v>3.8864376531468084E-2</v>
      </c>
      <c r="AO11" s="57">
        <f t="shared" si="11"/>
        <v>3.8833906225751787E-2</v>
      </c>
      <c r="AP11" s="57">
        <f t="shared" si="11"/>
        <v>3.8224578225447059E-2</v>
      </c>
      <c r="AQ11" s="57">
        <f t="shared" si="11"/>
        <v>3.8569316026889372E-2</v>
      </c>
      <c r="AR11" s="57">
        <f t="shared" si="11"/>
        <v>3.6863788703660055E-2</v>
      </c>
      <c r="AS11" s="57">
        <f t="shared" si="11"/>
        <v>3.8051014753961387E-2</v>
      </c>
      <c r="AT11" s="57">
        <f t="shared" si="11"/>
        <v>3.616486057476051E-2</v>
      </c>
      <c r="AU11" s="57">
        <f t="shared" si="11"/>
        <v>3.6630539979007483E-2</v>
      </c>
      <c r="AV11" s="57">
        <f t="shared" si="11"/>
        <v>3.6001887305488887E-2</v>
      </c>
      <c r="AW11" s="57">
        <f t="shared" si="11"/>
        <v>3.6418640478476996E-2</v>
      </c>
      <c r="AX11" s="57">
        <f t="shared" si="11"/>
        <v>3.4555789180633373E-2</v>
      </c>
      <c r="AY11" s="57">
        <f t="shared" si="11"/>
        <v>3.4227174687689287E-2</v>
      </c>
      <c r="AZ11" s="57">
        <f t="shared" si="11"/>
        <v>3.3275477760842935E-2</v>
      </c>
      <c r="BA11" s="57">
        <f t="shared" si="11"/>
        <v>3.5554411153358292E-2</v>
      </c>
      <c r="BB11" s="57">
        <f t="shared" si="11"/>
        <v>3.4935351361010412E-2</v>
      </c>
      <c r="BC11" s="57">
        <f t="shared" si="11"/>
        <v>3.5451399475396904E-2</v>
      </c>
      <c r="BD11" s="57">
        <f t="shared" si="11"/>
        <v>3.3486811520905699E-2</v>
      </c>
      <c r="BE11" s="57">
        <f t="shared" si="11"/>
        <v>3.4700243908028797E-2</v>
      </c>
      <c r="BF11" s="57">
        <f t="shared" si="11"/>
        <v>3.3654348954907008E-2</v>
      </c>
      <c r="BG11" s="57">
        <f t="shared" si="11"/>
        <v>3.2970882758005894E-2</v>
      </c>
      <c r="BH11" s="57">
        <f t="shared" si="11"/>
        <v>3.1905478878739249E-2</v>
      </c>
      <c r="BI11" s="57">
        <f t="shared" si="11"/>
        <v>3.1698133933056163E-2</v>
      </c>
      <c r="BJ11" s="57">
        <f t="shared" si="11"/>
        <v>3.1889675640761526E-2</v>
      </c>
      <c r="BK11" s="57">
        <f t="shared" si="11"/>
        <v>3.2404159268205848E-2</v>
      </c>
      <c r="BL11" s="57">
        <f t="shared" si="11"/>
        <v>3.257982298784011E-2</v>
      </c>
      <c r="BM11" s="57">
        <f t="shared" si="11"/>
        <v>3.4511901495131635E-2</v>
      </c>
      <c r="BN11" s="57">
        <f t="shared" si="11"/>
        <v>3.3761835670528269E-2</v>
      </c>
      <c r="BO11" s="57">
        <f t="shared" si="11"/>
        <v>3.5094550659620458E-2</v>
      </c>
      <c r="BP11" s="57">
        <f t="shared" si="11"/>
        <v>3.457002474392698E-2</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361</v>
      </c>
      <c r="E12" s="27">
        <f>股权价值增加表!E9</f>
        <v>88346033.540000007</v>
      </c>
      <c r="F12" s="27">
        <f>股权价值增加表!F9</f>
        <v>51892699.420000002</v>
      </c>
      <c r="G12" s="27">
        <f>股权价值增加表!G9</f>
        <v>35551715.840000004</v>
      </c>
      <c r="H12" s="27">
        <f>股权价值增加表!H9</f>
        <v>17129339.449999999</v>
      </c>
      <c r="I12" s="27">
        <f>股权价值增加表!I9</f>
        <v>100995007.13</v>
      </c>
      <c r="J12" s="27">
        <f>股权价值增加表!J9</f>
        <v>61680867.380000003</v>
      </c>
      <c r="K12" s="27">
        <f>股权价值增加表!K9</f>
        <v>40640309.130000003</v>
      </c>
      <c r="L12" s="27">
        <f>股权价值增加表!L9</f>
        <v>20076273.859999999</v>
      </c>
      <c r="M12" s="27">
        <f>股权价值增加表!M9</f>
        <v>102912919.31</v>
      </c>
      <c r="N12" s="27">
        <f>股权价值增加表!N9</f>
        <v>64985735.950000003</v>
      </c>
      <c r="O12" s="27">
        <f>股权价值增加表!O9</f>
        <v>41442020.189999998</v>
      </c>
      <c r="P12" s="27">
        <f>股权价值增加表!P9</f>
        <v>21367767.329999998</v>
      </c>
      <c r="Q12" s="27">
        <f>股权价值增加表!Q9</f>
        <v>92682716.930000007</v>
      </c>
      <c r="R12" s="27">
        <f>股权价值增加表!R9</f>
        <v>61917201.149999999</v>
      </c>
      <c r="S12" s="27">
        <f>股权价值增加表!S9</f>
        <v>39927187.939999998</v>
      </c>
      <c r="T12" s="27">
        <f>股权价值增加表!T9</f>
        <v>18053894.469999999</v>
      </c>
      <c r="U12" s="27">
        <f>股权价值增加表!U9</f>
        <v>83407246.450000003</v>
      </c>
      <c r="V12" s="27">
        <f>股权价值增加表!V9</f>
        <v>57642664.75</v>
      </c>
      <c r="W12" s="27">
        <f>股权价值增加表!W9</f>
        <v>36701262.729999997</v>
      </c>
      <c r="X12" s="27">
        <f>股权价值增加表!X9</f>
        <v>17373827.649999999</v>
      </c>
      <c r="Y12" s="27">
        <f>股权价值增加表!Y9</f>
        <v>81942323.430000007</v>
      </c>
      <c r="Z12" s="27">
        <f>股权价值增加表!Z9</f>
        <v>52502798.219999999</v>
      </c>
      <c r="AA12" s="27">
        <f>股权价值增加表!AA9</f>
        <v>34749475.560000002</v>
      </c>
      <c r="AB12" s="27">
        <f>股权价值增加表!AB9</f>
        <v>16458861.560000001</v>
      </c>
      <c r="AC12" s="27">
        <f>股权价值增加表!AC9</f>
        <v>79814451.209999993</v>
      </c>
      <c r="AD12" s="27">
        <f>股权价值增加表!AD9</f>
        <v>48924578.799999997</v>
      </c>
      <c r="AE12" s="27">
        <f>股权价值增加表!AE9</f>
        <v>30216828.109999999</v>
      </c>
      <c r="AF12" s="27">
        <f>股权价值增加表!AF9</f>
        <v>15557984.369999999</v>
      </c>
      <c r="AG12" s="27">
        <f>股权价值增加表!AG9</f>
        <v>67428980.969999999</v>
      </c>
      <c r="AH12" s="27">
        <f>股权价值增加表!AH9</f>
        <v>43454439.25</v>
      </c>
      <c r="AI12" s="27">
        <f>股权价值增加表!AI9</f>
        <v>29674073.93</v>
      </c>
      <c r="AJ12" s="27">
        <f>股权价值增加表!AJ9</f>
        <v>12812477.4</v>
      </c>
      <c r="AK12" s="27">
        <f>股权价值增加表!AK9</f>
        <v>65774131.609999999</v>
      </c>
      <c r="AL12" s="27">
        <f>股权价值增加表!AL9</f>
        <v>42380496.229999997</v>
      </c>
      <c r="AM12" s="27">
        <f>股权价值增加表!AM9</f>
        <v>26870669.620000001</v>
      </c>
      <c r="AN12" s="27">
        <f>股权价值增加表!AN9</f>
        <v>12569236.4</v>
      </c>
      <c r="AO12" s="27">
        <f>股权价值增加表!AO9</f>
        <v>75545843.230000004</v>
      </c>
      <c r="AP12" s="27">
        <f>股权价值增加表!AP9</f>
        <v>46665882.57</v>
      </c>
      <c r="AQ12" s="27">
        <f>股权价值增加表!AQ9</f>
        <v>33802889.579999998</v>
      </c>
      <c r="AR12" s="27">
        <f>股权价值增加表!AR9</f>
        <v>29765027.510000002</v>
      </c>
      <c r="AS12" s="27">
        <f>股权价值增加表!AS9</f>
        <v>137147759.13999999</v>
      </c>
      <c r="AT12" s="27">
        <f>股权价值增加表!AT9</f>
        <v>78003260.709999993</v>
      </c>
      <c r="AU12" s="27">
        <f>股权价值增加表!AU9</f>
        <v>59803642.780000001</v>
      </c>
      <c r="AV12" s="27">
        <f>股权价值增加表!AV9</f>
        <v>35355127.969999999</v>
      </c>
      <c r="AW12" s="27">
        <f>股权价值增加表!AW9</f>
        <v>124460487.72</v>
      </c>
      <c r="AX12" s="27">
        <f>股权价值增加表!AX9</f>
        <v>78190214.439999998</v>
      </c>
      <c r="AY12" s="27">
        <f>股权价值增加表!AY9</f>
        <v>54991117.420000002</v>
      </c>
      <c r="AZ12" s="27">
        <f>股权价值增加表!AZ9</f>
        <v>31669450.59</v>
      </c>
      <c r="BA12" s="27">
        <f>股权价值增加表!BA9</f>
        <v>130997928.13</v>
      </c>
      <c r="BB12" s="27">
        <f>股权价值增加表!BB9</f>
        <v>86596110.730000004</v>
      </c>
      <c r="BC12" s="27">
        <f>股权价值增加表!BC9</f>
        <v>51132273.850000001</v>
      </c>
      <c r="BD12" s="27">
        <f>股权价值增加表!BD9</f>
        <v>32506050.199999999</v>
      </c>
      <c r="BE12" s="27">
        <f>股权价值增加表!BE9</f>
        <v>119220500.42</v>
      </c>
      <c r="BF12" s="27">
        <f>股权价值增加表!BF9</f>
        <v>68503698.090000004</v>
      </c>
      <c r="BG12" s="27">
        <f>股权价值增加表!BG9</f>
        <v>42265455.289999999</v>
      </c>
      <c r="BH12" s="27">
        <f>股权价值增加表!BH9</f>
        <v>21236144.390000001</v>
      </c>
      <c r="BI12" s="27">
        <f>股权价值增加表!BI9</f>
        <v>87086378.620000005</v>
      </c>
      <c r="BJ12" s="27">
        <f>股权价值增加表!BJ9</f>
        <v>60305886.82</v>
      </c>
      <c r="BK12" s="27">
        <f>股权价值增加表!BK9</f>
        <v>42042691.340000004</v>
      </c>
      <c r="BL12" s="27">
        <f>股权价值增加表!BL9</f>
        <v>21612863.420000002</v>
      </c>
      <c r="BM12" s="27">
        <f>股权价值增加表!BM9</f>
        <v>95786708.530000001</v>
      </c>
      <c r="BN12" s="27">
        <f>股权价值增加表!BN9</f>
        <v>44661365.219999999</v>
      </c>
      <c r="BO12" s="27">
        <f>股权价值增加表!BO9</f>
        <v>80849191.870000005</v>
      </c>
      <c r="BP12" s="27">
        <f>股权价值增加表!BP9</f>
        <v>68453581.040000007</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1.3065942293635637E-2</v>
      </c>
      <c r="F13" s="57">
        <f t="shared" ref="F13:BQ13" si="13">F12/F2</f>
        <v>1.0550536455641954E-2</v>
      </c>
      <c r="G13" s="57">
        <f t="shared" si="13"/>
        <v>1.106268212649898E-2</v>
      </c>
      <c r="H13" s="57">
        <f t="shared" si="13"/>
        <v>1.0815700836988814E-2</v>
      </c>
      <c r="I13" s="57">
        <f t="shared" si="13"/>
        <v>1.637752519642947E-2</v>
      </c>
      <c r="J13" s="57">
        <f t="shared" si="13"/>
        <v>1.3602296044765072E-2</v>
      </c>
      <c r="K13" s="57">
        <f t="shared" si="13"/>
        <v>1.3616439184860907E-2</v>
      </c>
      <c r="L13" s="57">
        <f t="shared" si="13"/>
        <v>1.3915794501894558E-2</v>
      </c>
      <c r="M13" s="57">
        <f t="shared" si="13"/>
        <v>1.831276969876117E-2</v>
      </c>
      <c r="N13" s="57">
        <f t="shared" si="13"/>
        <v>1.5485744079702286E-2</v>
      </c>
      <c r="O13" s="57">
        <f t="shared" si="13"/>
        <v>1.4939807213232152E-2</v>
      </c>
      <c r="P13" s="57">
        <f t="shared" si="13"/>
        <v>1.537755565342905E-2</v>
      </c>
      <c r="Q13" s="57">
        <f t="shared" si="13"/>
        <v>1.6767023561610618E-2</v>
      </c>
      <c r="R13" s="57">
        <f t="shared" si="13"/>
        <v>1.5175826114528331E-2</v>
      </c>
      <c r="S13" s="57">
        <f t="shared" si="13"/>
        <v>1.4890216083260063E-2</v>
      </c>
      <c r="T13" s="57">
        <f t="shared" si="13"/>
        <v>1.4014865451012588E-2</v>
      </c>
      <c r="U13" s="57">
        <f t="shared" si="13"/>
        <v>1.6222945315402495E-2</v>
      </c>
      <c r="V13" s="57">
        <f t="shared" si="13"/>
        <v>1.5182183814879515E-2</v>
      </c>
      <c r="W13" s="57">
        <f t="shared" si="13"/>
        <v>1.4905127101135113E-2</v>
      </c>
      <c r="X13" s="57">
        <f t="shared" si="13"/>
        <v>1.4670192483634404E-2</v>
      </c>
      <c r="Y13" s="57">
        <f t="shared" si="13"/>
        <v>1.7534088001550735E-2</v>
      </c>
      <c r="Z13" s="57">
        <f t="shared" si="13"/>
        <v>1.5173860603557748E-2</v>
      </c>
      <c r="AA13" s="57">
        <f t="shared" si="13"/>
        <v>1.5178393079846936E-2</v>
      </c>
      <c r="AB13" s="57">
        <f t="shared" si="13"/>
        <v>1.48039811520748E-2</v>
      </c>
      <c r="AC13" s="57">
        <f t="shared" si="13"/>
        <v>1.8827041982639851E-2</v>
      </c>
      <c r="AD13" s="57">
        <f t="shared" si="13"/>
        <v>1.5754001565472065E-2</v>
      </c>
      <c r="AE13" s="57">
        <f t="shared" si="13"/>
        <v>1.4897567551059747E-2</v>
      </c>
      <c r="AF13" s="57">
        <f t="shared" si="13"/>
        <v>1.5769744381005389E-2</v>
      </c>
      <c r="AG13" s="57">
        <f t="shared" si="13"/>
        <v>1.7443885378989287E-2</v>
      </c>
      <c r="AH13" s="57">
        <f t="shared" si="13"/>
        <v>1.5884939674459968E-2</v>
      </c>
      <c r="AI13" s="57">
        <f t="shared" si="13"/>
        <v>1.6738011339633894E-2</v>
      </c>
      <c r="AJ13" s="57">
        <f t="shared" si="13"/>
        <v>1.4782536272180303E-2</v>
      </c>
      <c r="AK13" s="57">
        <f t="shared" si="13"/>
        <v>1.9894843124049776E-2</v>
      </c>
      <c r="AL13" s="57">
        <f t="shared" si="13"/>
        <v>1.8039991199293597E-2</v>
      </c>
      <c r="AM13" s="57">
        <f t="shared" si="13"/>
        <v>1.7337779130698915E-2</v>
      </c>
      <c r="AN13" s="57">
        <f t="shared" si="13"/>
        <v>1.6357364970798854E-2</v>
      </c>
      <c r="AO13" s="57">
        <f t="shared" si="13"/>
        <v>2.4771552079793809E-2</v>
      </c>
      <c r="AP13" s="57">
        <f t="shared" si="13"/>
        <v>2.0601019486388376E-2</v>
      </c>
      <c r="AQ13" s="57">
        <f t="shared" si="13"/>
        <v>2.2364457157522492E-2</v>
      </c>
      <c r="AR13" s="57">
        <f t="shared" si="13"/>
        <v>3.9434489029893265E-2</v>
      </c>
      <c r="AS13" s="57">
        <f t="shared" si="13"/>
        <v>5.1108933684450561E-2</v>
      </c>
      <c r="AT13" s="57">
        <f t="shared" si="13"/>
        <v>3.9932430408351004E-2</v>
      </c>
      <c r="AU13" s="57">
        <f t="shared" si="13"/>
        <v>4.6914576303490094E-2</v>
      </c>
      <c r="AV13" s="57">
        <f t="shared" si="13"/>
        <v>5.692696942324512E-2</v>
      </c>
      <c r="AW13" s="57">
        <f t="shared" si="13"/>
        <v>5.1647694273516509E-2</v>
      </c>
      <c r="AX13" s="57">
        <f t="shared" si="13"/>
        <v>4.386402508037366E-2</v>
      </c>
      <c r="AY13" s="57">
        <f t="shared" si="13"/>
        <v>4.629231199527168E-2</v>
      </c>
      <c r="AZ13" s="57">
        <f t="shared" si="13"/>
        <v>5.3703944624203331E-2</v>
      </c>
      <c r="BA13" s="57">
        <f t="shared" si="13"/>
        <v>6.0948879272435502E-2</v>
      </c>
      <c r="BB13" s="57">
        <f t="shared" si="13"/>
        <v>5.6955704876798283E-2</v>
      </c>
      <c r="BC13" s="57">
        <f t="shared" si="13"/>
        <v>5.2198186148144671E-2</v>
      </c>
      <c r="BD13" s="57">
        <f t="shared" si="13"/>
        <v>7.287485528954174E-2</v>
      </c>
      <c r="BE13" s="57">
        <f t="shared" si="13"/>
        <v>7.7376585266597034E-2</v>
      </c>
      <c r="BF13" s="57">
        <f t="shared" si="13"/>
        <v>6.2638535435730613E-2</v>
      </c>
      <c r="BG13" s="57">
        <f t="shared" si="13"/>
        <v>5.9171401710212367E-2</v>
      </c>
      <c r="BH13" s="57">
        <f t="shared" si="13"/>
        <v>6.0816096193385287E-2</v>
      </c>
      <c r="BI13" s="57">
        <f t="shared" si="13"/>
        <v>8.2013741481984245E-2</v>
      </c>
      <c r="BJ13" s="57">
        <f t="shared" si="13"/>
        <v>8.6365278293343825E-2</v>
      </c>
      <c r="BK13" s="57">
        <f t="shared" si="13"/>
        <v>0.10635093502448247</v>
      </c>
      <c r="BL13" s="57">
        <f t="shared" si="13"/>
        <v>8.7566389050800997E-2</v>
      </c>
      <c r="BM13" s="57">
        <f t="shared" si="13"/>
        <v>0.10193810212997846</v>
      </c>
      <c r="BN13" s="57">
        <f t="shared" si="13"/>
        <v>0.10329930745453965</v>
      </c>
      <c r="BO13" s="57">
        <f t="shared" si="13"/>
        <v>9.6434504209284566E-2</v>
      </c>
      <c r="BP13" s="57">
        <f t="shared" si="13"/>
        <v>8.7732331636731872E-2</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363</v>
      </c>
      <c r="E14" s="26">
        <f>股权价值增加表!E10</f>
        <v>423106162.88999999</v>
      </c>
      <c r="F14" s="26">
        <f>股权价值增加表!F10</f>
        <v>284589272.5</v>
      </c>
      <c r="G14" s="26">
        <f>股权价值增加表!G10</f>
        <v>188651299.72999999</v>
      </c>
      <c r="H14" s="26">
        <f>股权价值增加表!H10</f>
        <v>73484374.579999998</v>
      </c>
      <c r="I14" s="26">
        <f>股权价值增加表!I10</f>
        <v>392988817.47000003</v>
      </c>
      <c r="J14" s="26">
        <f>股权价值增加表!J10</f>
        <v>327590784.36000001</v>
      </c>
      <c r="K14" s="26">
        <f>股权价值增加表!K10</f>
        <v>216845498.27000001</v>
      </c>
      <c r="L14" s="26">
        <f>股权价值增加表!L10</f>
        <v>89286502.950000003</v>
      </c>
      <c r="M14" s="26">
        <f>股权价值增加表!M10</f>
        <v>455666559.31999999</v>
      </c>
      <c r="N14" s="26">
        <f>股权价值增加表!N10</f>
        <v>322818634.85000002</v>
      </c>
      <c r="O14" s="26">
        <f>股权价值增加表!O10</f>
        <v>209557360.25999999</v>
      </c>
      <c r="P14" s="26">
        <f>股权价值增加表!P10</f>
        <v>84681239.599999994</v>
      </c>
      <c r="Q14" s="26">
        <f>股权价值增加表!Q10</f>
        <v>455870489.81</v>
      </c>
      <c r="R14" s="26">
        <f>股权价值增加表!R10</f>
        <v>281980813.13</v>
      </c>
      <c r="S14" s="26">
        <f>股权价值增加表!S10</f>
        <v>179989960.66999999</v>
      </c>
      <c r="T14" s="26">
        <f>股权价值增加表!T10</f>
        <v>86358624.719999999</v>
      </c>
      <c r="U14" s="26">
        <f>股权价值增加表!U10</f>
        <v>436353452.29000002</v>
      </c>
      <c r="V14" s="26">
        <f>股权价值增加表!V10</f>
        <v>262839330.08000001</v>
      </c>
      <c r="W14" s="26">
        <f>股权价值增加表!W10</f>
        <v>164194897.00999999</v>
      </c>
      <c r="X14" s="26">
        <f>股权价值增加表!X10</f>
        <v>76310427.370000005</v>
      </c>
      <c r="Y14" s="26">
        <f>股权价值增加表!Y10</f>
        <v>387062971.48000002</v>
      </c>
      <c r="Z14" s="26">
        <f>股权价值增加表!Z10</f>
        <v>260234192.06</v>
      </c>
      <c r="AA14" s="26">
        <f>股权价值增加表!AA10</f>
        <v>155355234.15000001</v>
      </c>
      <c r="AB14" s="26">
        <f>股权价值增加表!AB10</f>
        <v>85626509.780000001</v>
      </c>
      <c r="AC14" s="26">
        <f>股权价值增加表!AC10</f>
        <v>338756450.43000001</v>
      </c>
      <c r="AD14" s="26">
        <f>股权价值增加表!AD10</f>
        <v>245199400.41999999</v>
      </c>
      <c r="AE14" s="26">
        <f>股权价值增加表!AE10</f>
        <v>158370424.96000001</v>
      </c>
      <c r="AF14" s="26">
        <f>股权价值增加表!AF10</f>
        <v>89286653.439999998</v>
      </c>
      <c r="AG14" s="26">
        <f>股权价值增加表!AG10</f>
        <v>311857687.66000003</v>
      </c>
      <c r="AH14" s="26">
        <f>股权价值增加表!AH10</f>
        <v>198214841.53</v>
      </c>
      <c r="AI14" s="26">
        <f>股权价值增加表!AI10</f>
        <v>126727324.89</v>
      </c>
      <c r="AJ14" s="26">
        <f>股权价值增加表!AJ10</f>
        <v>63373600.039999999</v>
      </c>
      <c r="AK14" s="26">
        <f>股权价值增加表!AK10</f>
        <v>311473450.31999999</v>
      </c>
      <c r="AL14" s="26">
        <f>股权价值增加表!AL10</f>
        <v>185716818.49000001</v>
      </c>
      <c r="AM14" s="26">
        <f>股权价值增加表!AM10</f>
        <v>120528199.76000001</v>
      </c>
      <c r="AN14" s="26">
        <f>股权价值增加表!AN10</f>
        <v>55646948.100000001</v>
      </c>
      <c r="AO14" s="26">
        <f>股权价值增加表!AO10</f>
        <v>264302441.94999999</v>
      </c>
      <c r="AP14" s="26">
        <f>股权价值增加表!AP10</f>
        <v>202891718.09</v>
      </c>
      <c r="AQ14" s="26">
        <f>股权价值增加表!AQ10</f>
        <v>131828549.09999999</v>
      </c>
      <c r="AR14" s="26">
        <f>股权价值增加表!AR10</f>
        <v>62528258.32</v>
      </c>
      <c r="AS14" s="26">
        <f>股权价值增加表!AS10</f>
        <v>316943006.45999998</v>
      </c>
      <c r="AT14" s="26">
        <f>股权价值增加表!AT10</f>
        <v>197815182.84</v>
      </c>
      <c r="AU14" s="26">
        <f>股权价值增加表!AU10</f>
        <v>130839109.81999999</v>
      </c>
      <c r="AV14" s="26">
        <f>股权价值增加表!AV10</f>
        <v>65076056.170000002</v>
      </c>
      <c r="AW14" s="26">
        <f>股权价值增加表!AW10</f>
        <v>310538507.25999999</v>
      </c>
      <c r="AX14" s="26">
        <f>股权价值增加表!AX10</f>
        <v>223543034.24000001</v>
      </c>
      <c r="AY14" s="26">
        <f>股权价值增加表!AY10</f>
        <v>161455075.41</v>
      </c>
      <c r="AZ14" s="26">
        <f>股权价值增加表!AZ10</f>
        <v>73114370.700000003</v>
      </c>
      <c r="BA14" s="26">
        <f>股权价值增加表!BA10</f>
        <v>265805389.63</v>
      </c>
      <c r="BB14" s="26">
        <f>股权价值增加表!BB10</f>
        <v>200453074.44999999</v>
      </c>
      <c r="BC14" s="26">
        <f>股权价值增加表!BC10</f>
        <v>153442825.65000001</v>
      </c>
      <c r="BD14" s="26">
        <f>股权价值增加表!BD10</f>
        <v>64704028.07</v>
      </c>
      <c r="BE14" s="26">
        <f>股权价值增加表!BE10</f>
        <v>208076532.65000001</v>
      </c>
      <c r="BF14" s="26">
        <f>股权价值增加表!BF10</f>
        <v>131649559.81999999</v>
      </c>
      <c r="BG14" s="26">
        <f>股权价值增加表!BG10</f>
        <v>85028547.609999999</v>
      </c>
      <c r="BH14" s="26">
        <f>股权价值增加表!BH10</f>
        <v>26984979.5</v>
      </c>
      <c r="BI14" s="26">
        <f>股权价值增加表!BI10</f>
        <v>128960330.62</v>
      </c>
      <c r="BJ14" s="26">
        <f>股权价值增加表!BJ10</f>
        <v>75597284.420000002</v>
      </c>
      <c r="BK14" s="26">
        <f>股权价值增加表!BK10</f>
        <v>55702496.810000002</v>
      </c>
      <c r="BL14" s="26">
        <f>股权价值增加表!BL10</f>
        <v>27066088.969999999</v>
      </c>
      <c r="BM14" s="26">
        <f>股权价值增加表!BM10</f>
        <v>96118093.340000004</v>
      </c>
      <c r="BN14" s="26">
        <f>股权价值增加表!BN10</f>
        <v>43744713.18</v>
      </c>
      <c r="BO14" s="26">
        <f>股权价值增加表!BO10</f>
        <v>87647162.879999995</v>
      </c>
      <c r="BP14" s="26">
        <f>股权价值增加表!BP10</f>
        <v>65587939.369999997</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6.2575313082950432E-2</v>
      </c>
      <c r="F15" s="57">
        <f t="shared" ref="F15:BQ15" si="15">F14/F2</f>
        <v>5.7861115878636481E-2</v>
      </c>
      <c r="G15" s="57">
        <f t="shared" si="15"/>
        <v>5.8702915242019232E-2</v>
      </c>
      <c r="H15" s="57">
        <f t="shared" si="15"/>
        <v>4.6399046149471081E-2</v>
      </c>
      <c r="I15" s="57">
        <f t="shared" si="15"/>
        <v>6.3727746974118649E-2</v>
      </c>
      <c r="J15" s="57">
        <f t="shared" si="15"/>
        <v>7.224260973746241E-2</v>
      </c>
      <c r="K15" s="57">
        <f t="shared" si="15"/>
        <v>7.265356988942559E-2</v>
      </c>
      <c r="L15" s="57">
        <f t="shared" si="15"/>
        <v>6.1888607194213789E-2</v>
      </c>
      <c r="M15" s="57">
        <f t="shared" si="15"/>
        <v>8.1083277164825523E-2</v>
      </c>
      <c r="N15" s="57">
        <f t="shared" si="15"/>
        <v>7.6925908283815653E-2</v>
      </c>
      <c r="O15" s="57">
        <f t="shared" si="15"/>
        <v>7.5545220721495832E-2</v>
      </c>
      <c r="P15" s="57">
        <f t="shared" si="15"/>
        <v>6.094181271442925E-2</v>
      </c>
      <c r="Q15" s="57">
        <f t="shared" si="15"/>
        <v>8.2470513347814106E-2</v>
      </c>
      <c r="R15" s="57">
        <f t="shared" si="15"/>
        <v>6.9113133478485522E-2</v>
      </c>
      <c r="S15" s="57">
        <f t="shared" si="15"/>
        <v>6.7124421865653192E-2</v>
      </c>
      <c r="T15" s="57">
        <f t="shared" si="15"/>
        <v>6.7038417001741221E-2</v>
      </c>
      <c r="U15" s="57">
        <f t="shared" si="15"/>
        <v>8.4871980505091496E-2</v>
      </c>
      <c r="V15" s="57">
        <f t="shared" si="15"/>
        <v>6.9227802711087374E-2</v>
      </c>
      <c r="W15" s="57">
        <f t="shared" si="15"/>
        <v>6.6682877570077542E-2</v>
      </c>
      <c r="X15" s="57">
        <f t="shared" si="15"/>
        <v>6.4435349571704964E-2</v>
      </c>
      <c r="Y15" s="57">
        <f t="shared" si="15"/>
        <v>8.2824063560630254E-2</v>
      </c>
      <c r="Z15" s="57">
        <f t="shared" si="15"/>
        <v>7.5210417129609408E-2</v>
      </c>
      <c r="AA15" s="57">
        <f t="shared" si="15"/>
        <v>6.7858371182289004E-2</v>
      </c>
      <c r="AB15" s="57">
        <f t="shared" si="15"/>
        <v>7.7017066598442693E-2</v>
      </c>
      <c r="AC15" s="57">
        <f t="shared" si="15"/>
        <v>7.9907608427389518E-2</v>
      </c>
      <c r="AD15" s="57">
        <f t="shared" si="15"/>
        <v>7.8955646278747155E-2</v>
      </c>
      <c r="AE15" s="57">
        <f t="shared" si="15"/>
        <v>7.8080137840504757E-2</v>
      </c>
      <c r="AF15" s="57">
        <f t="shared" si="15"/>
        <v>9.0501935719852877E-2</v>
      </c>
      <c r="AG15" s="57">
        <f t="shared" si="15"/>
        <v>8.0677620806964459E-2</v>
      </c>
      <c r="AH15" s="57">
        <f t="shared" si="15"/>
        <v>7.2458208059529669E-2</v>
      </c>
      <c r="AI15" s="57">
        <f t="shared" si="15"/>
        <v>7.1482042069923785E-2</v>
      </c>
      <c r="AJ15" s="57">
        <f t="shared" si="15"/>
        <v>7.3117985854160183E-2</v>
      </c>
      <c r="AK15" s="57">
        <f t="shared" si="15"/>
        <v>9.4212044761998681E-2</v>
      </c>
      <c r="AL15" s="57">
        <f t="shared" si="15"/>
        <v>7.9053575799067674E-2</v>
      </c>
      <c r="AM15" s="57">
        <f t="shared" si="15"/>
        <v>7.776848645797306E-2</v>
      </c>
      <c r="AN15" s="57">
        <f t="shared" si="15"/>
        <v>7.2417878908125385E-2</v>
      </c>
      <c r="AO15" s="57">
        <f t="shared" si="15"/>
        <v>8.6665015911572399E-2</v>
      </c>
      <c r="AP15" s="57">
        <f t="shared" si="15"/>
        <v>8.9568138601667666E-2</v>
      </c>
      <c r="AQ15" s="57">
        <f t="shared" si="15"/>
        <v>8.7219583151544891E-2</v>
      </c>
      <c r="AR15" s="57">
        <f t="shared" si="15"/>
        <v>8.2841177148247569E-2</v>
      </c>
      <c r="AS15" s="57">
        <f t="shared" si="15"/>
        <v>0.11811070921238331</v>
      </c>
      <c r="AT15" s="57">
        <f t="shared" si="15"/>
        <v>0.10126808739241397</v>
      </c>
      <c r="AU15" s="57">
        <f t="shared" si="15"/>
        <v>0.10264025928507343</v>
      </c>
      <c r="AV15" s="57">
        <f t="shared" si="15"/>
        <v>0.10478204640974384</v>
      </c>
      <c r="AW15" s="57">
        <f t="shared" si="15"/>
        <v>0.12886497696522659</v>
      </c>
      <c r="AX15" s="57">
        <f t="shared" si="15"/>
        <v>0.12540568318776679</v>
      </c>
      <c r="AY15" s="57">
        <f t="shared" si="15"/>
        <v>0.13591520003158786</v>
      </c>
      <c r="AZ15" s="57">
        <f t="shared" si="15"/>
        <v>0.12398478793143708</v>
      </c>
      <c r="BA15" s="57">
        <f t="shared" si="15"/>
        <v>0.12367020481762446</v>
      </c>
      <c r="BB15" s="57">
        <f t="shared" si="15"/>
        <v>0.13184132698081824</v>
      </c>
      <c r="BC15" s="57">
        <f t="shared" si="15"/>
        <v>0.15664152155392572</v>
      </c>
      <c r="BD15" s="57">
        <f t="shared" si="15"/>
        <v>0.14505904756929519</v>
      </c>
      <c r="BE15" s="57">
        <f t="shared" si="15"/>
        <v>0.13504599891672378</v>
      </c>
      <c r="BF15" s="57">
        <f t="shared" si="15"/>
        <v>0.12037796276413265</v>
      </c>
      <c r="BG15" s="57">
        <f t="shared" si="15"/>
        <v>0.11903949248732268</v>
      </c>
      <c r="BH15" s="57">
        <f t="shared" si="15"/>
        <v>7.7279617189894706E-2</v>
      </c>
      <c r="BI15" s="57">
        <f t="shared" si="15"/>
        <v>0.12144860521816353</v>
      </c>
      <c r="BJ15" s="57">
        <f t="shared" si="15"/>
        <v>0.10826439758098504</v>
      </c>
      <c r="BK15" s="57">
        <f t="shared" si="15"/>
        <v>0.14090469544478385</v>
      </c>
      <c r="BL15" s="57">
        <f t="shared" si="15"/>
        <v>0.10966060492648101</v>
      </c>
      <c r="BM15" s="57">
        <f t="shared" si="15"/>
        <v>0.10229076837276437</v>
      </c>
      <c r="BN15" s="57">
        <f t="shared" si="15"/>
        <v>0.10117914116668987</v>
      </c>
      <c r="BO15" s="57">
        <f t="shared" si="15"/>
        <v>0.10454292123629126</v>
      </c>
      <c r="BP15" s="57">
        <f t="shared" si="15"/>
        <v>8.4059632246504631E-2</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365</v>
      </c>
      <c r="E16" s="26">
        <f>股权价值增加表!E11</f>
        <v>18778746.5</v>
      </c>
      <c r="F16" s="26">
        <f>股权价值增加表!F11</f>
        <v>8285494.7300000004</v>
      </c>
      <c r="G16" s="26">
        <f>股权价值增加表!G11</f>
        <v>2316763.0299999998</v>
      </c>
      <c r="H16" s="26">
        <f>股权价值增加表!H11</f>
        <v>9822682.1099999994</v>
      </c>
      <c r="I16" s="26">
        <f>股权价值增加表!I11</f>
        <v>19264380.059999999</v>
      </c>
      <c r="J16" s="26">
        <f>股权价值增加表!J11</f>
        <v>10244979.960000001</v>
      </c>
      <c r="K16" s="26">
        <f>股权价值增加表!K11</f>
        <v>1861728.29</v>
      </c>
      <c r="L16" s="26">
        <f>股权价值增加表!L11</f>
        <v>8375522.2000000002</v>
      </c>
      <c r="M16" s="26">
        <f>股权价值增加表!M11</f>
        <v>-32346015.109999999</v>
      </c>
      <c r="N16" s="26">
        <f>股权价值增加表!N11</f>
        <v>11889580.9</v>
      </c>
      <c r="O16" s="26">
        <f>股权价值增加表!O11</f>
        <v>4584363.67</v>
      </c>
      <c r="P16" s="26">
        <f>股权价值增加表!P11</f>
        <v>12515762.42</v>
      </c>
      <c r="Q16" s="26">
        <f>股权价值增加表!Q11</f>
        <v>9538268.1899999995</v>
      </c>
      <c r="R16" s="26">
        <f>股权价值增加表!R11</f>
        <v>11649849.84</v>
      </c>
      <c r="S16" s="26">
        <f>股权价值增加表!S11</f>
        <v>5290955.2</v>
      </c>
      <c r="T16" s="26">
        <f>股权价值增加表!T11</f>
        <v>4862422.7</v>
      </c>
      <c r="U16" s="26">
        <f>股权价值增加表!U11</f>
        <v>-4057640.07</v>
      </c>
      <c r="V16" s="26">
        <f>股权价值增加表!V11</f>
        <v>8206893.4900000002</v>
      </c>
      <c r="W16" s="26">
        <f>股权价值增加表!W11</f>
        <v>7400979.79</v>
      </c>
      <c r="X16" s="26">
        <f>股权价值增加表!X11</f>
        <v>4015438.1</v>
      </c>
      <c r="Y16" s="26">
        <f>股权价值增加表!Y11</f>
        <v>-11440237.9</v>
      </c>
      <c r="Z16" s="26">
        <f>股权价值增加表!Z11</f>
        <v>10316827.1</v>
      </c>
      <c r="AA16" s="26">
        <f>股权价值增加表!AA11</f>
        <v>6693247.29</v>
      </c>
      <c r="AB16" s="26">
        <f>股权价值增加表!AB11</f>
        <v>3332150.6</v>
      </c>
      <c r="AC16" s="26">
        <f>股权价值增加表!AC11</f>
        <v>-21689827.030000001</v>
      </c>
      <c r="AD16" s="26">
        <f>股权价值增加表!AD11</f>
        <v>13372200.42</v>
      </c>
      <c r="AE16" s="26">
        <f>股权价值增加表!AE11</f>
        <v>9212405.5299999993</v>
      </c>
      <c r="AF16" s="26">
        <f>股权价值增加表!AF11</f>
        <v>6249827.6100000003</v>
      </c>
      <c r="AG16" s="26">
        <f>股权价值增加表!AG11</f>
        <v>-576863.06999999995</v>
      </c>
      <c r="AH16" s="26">
        <f>股权价值增加表!AH11</f>
        <v>8495484.9600000009</v>
      </c>
      <c r="AI16" s="26">
        <f>股权价值增加表!AI11</f>
        <v>13628950.09</v>
      </c>
      <c r="AJ16" s="26">
        <f>股权价值增加表!AJ11</f>
        <v>5447805.0499999998</v>
      </c>
      <c r="AK16" s="26">
        <f>股权价值增加表!AK11</f>
        <v>79162009.390000001</v>
      </c>
      <c r="AL16" s="26">
        <f>股权价值增加表!AL11</f>
        <v>52289484.939999998</v>
      </c>
      <c r="AM16" s="26">
        <f>股权价值增加表!AM11</f>
        <v>38756508.899999999</v>
      </c>
      <c r="AN16" s="26">
        <f>股权价值增加表!AN11</f>
        <v>7692611.3200000003</v>
      </c>
      <c r="AO16" s="26">
        <f>股权价值增加表!AO11</f>
        <v>22697326.989999998</v>
      </c>
      <c r="AP16" s="26">
        <f>股权价值增加表!AP11</f>
        <v>9183900.9199999999</v>
      </c>
      <c r="AQ16" s="26">
        <f>股权价值增加表!AQ11</f>
        <v>7249583.5</v>
      </c>
      <c r="AR16" s="26">
        <f>股权价值增加表!AR11</f>
        <v>3145493</v>
      </c>
      <c r="AS16" s="26">
        <f>股权价值增加表!AS11</f>
        <v>2744457.39</v>
      </c>
      <c r="AT16" s="26">
        <f>股权价值增加表!AT11</f>
        <v>4012628.23</v>
      </c>
      <c r="AU16" s="26">
        <f>股权价值增加表!AU11</f>
        <v>4012628.23</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2.7772839173896904E-3</v>
      </c>
      <c r="F17" s="57">
        <f t="shared" ref="F17:BQ17" si="17">F16/F2</f>
        <v>1.6845609339837708E-3</v>
      </c>
      <c r="G17" s="57">
        <f t="shared" si="17"/>
        <v>7.2091071718339368E-4</v>
      </c>
      <c r="H17" s="57">
        <f t="shared" si="17"/>
        <v>6.202176763949999E-3</v>
      </c>
      <c r="I17" s="57">
        <f t="shared" si="17"/>
        <v>3.123945220580366E-3</v>
      </c>
      <c r="J17" s="57">
        <f t="shared" si="17"/>
        <v>2.25929459665464E-3</v>
      </c>
      <c r="K17" s="57">
        <f t="shared" si="17"/>
        <v>6.2376764798787072E-4</v>
      </c>
      <c r="L17" s="57">
        <f t="shared" si="17"/>
        <v>5.805462039122424E-3</v>
      </c>
      <c r="M17" s="57">
        <f t="shared" si="17"/>
        <v>-5.7557897429552467E-3</v>
      </c>
      <c r="N17" s="57">
        <f t="shared" si="17"/>
        <v>2.8332218500068608E-3</v>
      </c>
      <c r="O17" s="57">
        <f t="shared" si="17"/>
        <v>1.6526585603486581E-3</v>
      </c>
      <c r="P17" s="57">
        <f t="shared" si="17"/>
        <v>9.0071101105838308E-3</v>
      </c>
      <c r="Q17" s="57">
        <f t="shared" si="17"/>
        <v>1.725546820120512E-3</v>
      </c>
      <c r="R17" s="57">
        <f t="shared" si="17"/>
        <v>2.8553631648158841E-3</v>
      </c>
      <c r="S17" s="57">
        <f t="shared" si="17"/>
        <v>1.973178435036276E-3</v>
      </c>
      <c r="T17" s="57">
        <f t="shared" si="17"/>
        <v>3.7745983294456111E-3</v>
      </c>
      <c r="U17" s="57">
        <f t="shared" si="17"/>
        <v>-7.8922246887333785E-4</v>
      </c>
      <c r="V17" s="57">
        <f t="shared" si="17"/>
        <v>2.1615684502912934E-3</v>
      </c>
      <c r="W17" s="57">
        <f t="shared" si="17"/>
        <v>3.0056879855719959E-3</v>
      </c>
      <c r="X17" s="57">
        <f t="shared" si="17"/>
        <v>3.3905740876345818E-3</v>
      </c>
      <c r="Y17" s="57">
        <f t="shared" si="17"/>
        <v>-2.4479918276741979E-3</v>
      </c>
      <c r="Z17" s="57">
        <f t="shared" si="17"/>
        <v>2.9816714840690817E-3</v>
      </c>
      <c r="AA17" s="57">
        <f t="shared" si="17"/>
        <v>2.9235761608207779E-3</v>
      </c>
      <c r="AB17" s="57">
        <f t="shared" si="17"/>
        <v>2.9971146241462602E-3</v>
      </c>
      <c r="AC17" s="57">
        <f t="shared" si="17"/>
        <v>-5.116307609703186E-3</v>
      </c>
      <c r="AD17" s="57">
        <f t="shared" si="17"/>
        <v>4.3059270313122499E-3</v>
      </c>
      <c r="AE17" s="57">
        <f t="shared" si="17"/>
        <v>4.5419205878035936E-3</v>
      </c>
      <c r="AF17" s="57">
        <f t="shared" si="17"/>
        <v>6.3348941283870091E-3</v>
      </c>
      <c r="AG17" s="57">
        <f t="shared" si="17"/>
        <v>-1.4923454466750594E-4</v>
      </c>
      <c r="AH17" s="57">
        <f t="shared" si="17"/>
        <v>3.105557646676616E-3</v>
      </c>
      <c r="AI17" s="57">
        <f t="shared" si="17"/>
        <v>7.6875700212870766E-3</v>
      </c>
      <c r="AJ17" s="57">
        <f t="shared" si="17"/>
        <v>6.2854648044407112E-3</v>
      </c>
      <c r="AK17" s="57">
        <f t="shared" si="17"/>
        <v>2.3944303324852447E-2</v>
      </c>
      <c r="AL17" s="57">
        <f t="shared" si="17"/>
        <v>2.2257923621608219E-2</v>
      </c>
      <c r="AM17" s="57">
        <f t="shared" si="17"/>
        <v>2.5006886716549444E-2</v>
      </c>
      <c r="AN17" s="57">
        <f t="shared" si="17"/>
        <v>1.0011017927846335E-2</v>
      </c>
      <c r="AO17" s="57">
        <f t="shared" si="17"/>
        <v>7.4424745765710159E-3</v>
      </c>
      <c r="AP17" s="57">
        <f t="shared" si="17"/>
        <v>4.0543050167363443E-3</v>
      </c>
      <c r="AQ17" s="57">
        <f t="shared" si="17"/>
        <v>4.796424258698891E-3</v>
      </c>
      <c r="AR17" s="57">
        <f t="shared" si="17"/>
        <v>4.1673372940922923E-3</v>
      </c>
      <c r="AS17" s="57">
        <f t="shared" si="17"/>
        <v>1.0227384801973097E-3</v>
      </c>
      <c r="AT17" s="57">
        <f t="shared" si="17"/>
        <v>2.0541961462967112E-3</v>
      </c>
      <c r="AU17" s="57">
        <f t="shared" si="17"/>
        <v>3.1478141551743348E-3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366</v>
      </c>
      <c r="E18" s="26">
        <f>股权价值增加表!E12</f>
        <v>11746451.93</v>
      </c>
      <c r="F18" s="26">
        <f>股权价值增加表!F12</f>
        <v>1204</v>
      </c>
      <c r="G18" s="26">
        <f>股权价值增加表!G12</f>
        <v>868</v>
      </c>
      <c r="H18" s="26">
        <f>股权价值增加表!H12</f>
        <v>644</v>
      </c>
      <c r="I18" s="26">
        <f>股权价值增加表!I12</f>
        <v>12017833.970000001</v>
      </c>
      <c r="J18" s="26">
        <f>股权价值增加表!J12</f>
        <v>0</v>
      </c>
      <c r="K18" s="26">
        <f>股权价值增加表!K12</f>
        <v>0</v>
      </c>
      <c r="L18" s="26">
        <f>股权价值增加表!L12</f>
        <v>0</v>
      </c>
      <c r="M18" s="26">
        <f>股权价值增加表!M12</f>
        <v>2652605.88</v>
      </c>
      <c r="N18" s="26">
        <f>股权价值增加表!N12</f>
        <v>0</v>
      </c>
      <c r="O18" s="26">
        <f>股权价值增加表!O12</f>
        <v>0</v>
      </c>
      <c r="P18" s="26">
        <f>股权价值增加表!P12</f>
        <v>0</v>
      </c>
      <c r="Q18" s="26">
        <f>股权价值增加表!Q12</f>
        <v>3041993.9</v>
      </c>
      <c r="R18" s="26">
        <f>股权价值增加表!R12</f>
        <v>0</v>
      </c>
      <c r="S18" s="26">
        <f>股权价值增加表!S12</f>
        <v>0</v>
      </c>
      <c r="T18" s="26">
        <f>股权价值增加表!T12</f>
        <v>0</v>
      </c>
      <c r="U18" s="26">
        <f>股权价值增加表!U12</f>
        <v>3404750.12</v>
      </c>
      <c r="V18" s="26">
        <f>股权价值增加表!V12</f>
        <v>0</v>
      </c>
      <c r="W18" s="26">
        <f>股权价值增加表!W12</f>
        <v>0</v>
      </c>
      <c r="X18" s="26">
        <f>股权价值增加表!X12</f>
        <v>0</v>
      </c>
      <c r="Y18" s="26">
        <f>股权价值增加表!Y12</f>
        <v>5866969.0599999996</v>
      </c>
      <c r="Z18" s="26">
        <f>股权价值增加表!Z12</f>
        <v>0</v>
      </c>
      <c r="AA18" s="26">
        <f>股权价值增加表!AA12</f>
        <v>0</v>
      </c>
      <c r="AB18" s="26">
        <f>股权价值增加表!AB12</f>
        <v>0</v>
      </c>
      <c r="AC18" s="26">
        <f>股权价值增加表!AC12</f>
        <v>9000926.25</v>
      </c>
      <c r="AD18" s="26">
        <f>股权价值增加表!AD12</f>
        <v>0</v>
      </c>
      <c r="AE18" s="26">
        <f>股权价值增加表!AE12</f>
        <v>0</v>
      </c>
      <c r="AF18" s="26">
        <f>股权价值增加表!AF12</f>
        <v>0</v>
      </c>
      <c r="AG18" s="26">
        <f>股权价值增加表!AG12</f>
        <v>6881416.9900000002</v>
      </c>
      <c r="AH18" s="26">
        <f>股权价值增加表!AH12</f>
        <v>0</v>
      </c>
      <c r="AI18" s="26">
        <f>股权价值增加表!AI12</f>
        <v>0</v>
      </c>
      <c r="AJ18" s="26">
        <f>股权价值增加表!AJ12</f>
        <v>0</v>
      </c>
      <c r="AK18" s="26">
        <f>股权价值增加表!AK12</f>
        <v>8681269.6899999995</v>
      </c>
      <c r="AL18" s="26">
        <f>股权价值增加表!AL12</f>
        <v>0</v>
      </c>
      <c r="AM18" s="26">
        <f>股权价值增加表!AM12</f>
        <v>0</v>
      </c>
      <c r="AN18" s="26">
        <f>股权价值增加表!AN12</f>
        <v>0</v>
      </c>
      <c r="AO18" s="26">
        <f>股权价值增加表!AO12</f>
        <v>10100245.08</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1.7372422611690343E-3</v>
      </c>
      <c r="F19" s="57">
        <f t="shared" ref="F19:BQ19" si="19">F18/F2</f>
        <v>2.4479061668734656E-7</v>
      </c>
      <c r="G19" s="57">
        <f t="shared" si="19"/>
        <v>2.7009689571711861E-7</v>
      </c>
      <c r="H19" s="57">
        <f t="shared" si="19"/>
        <v>4.0663046928063519E-7</v>
      </c>
      <c r="I19" s="57">
        <f t="shared" si="19"/>
        <v>1.9488327615723893E-3</v>
      </c>
      <c r="J19" s="57">
        <f t="shared" si="19"/>
        <v>0</v>
      </c>
      <c r="K19" s="57">
        <f t="shared" si="19"/>
        <v>0</v>
      </c>
      <c r="L19" s="57">
        <f t="shared" si="19"/>
        <v>0</v>
      </c>
      <c r="M19" s="57">
        <f t="shared" si="19"/>
        <v>4.7201615606389219E-4</v>
      </c>
      <c r="N19" s="57">
        <f t="shared" si="19"/>
        <v>0</v>
      </c>
      <c r="O19" s="57">
        <f t="shared" si="19"/>
        <v>0</v>
      </c>
      <c r="P19" s="57">
        <f t="shared" si="19"/>
        <v>0</v>
      </c>
      <c r="Q19" s="57">
        <f t="shared" si="19"/>
        <v>5.5032033031679668E-4</v>
      </c>
      <c r="R19" s="57">
        <f t="shared" si="19"/>
        <v>0</v>
      </c>
      <c r="S19" s="57">
        <f t="shared" si="19"/>
        <v>0</v>
      </c>
      <c r="T19" s="57">
        <f t="shared" si="19"/>
        <v>0</v>
      </c>
      <c r="U19" s="57">
        <f t="shared" si="19"/>
        <v>6.6223352718497615E-4</v>
      </c>
      <c r="V19" s="57">
        <f t="shared" si="19"/>
        <v>0</v>
      </c>
      <c r="W19" s="57">
        <f t="shared" si="19"/>
        <v>0</v>
      </c>
      <c r="X19" s="57">
        <f t="shared" si="19"/>
        <v>0</v>
      </c>
      <c r="Y19" s="57">
        <f t="shared" si="19"/>
        <v>1.2554190251670703E-3</v>
      </c>
      <c r="Z19" s="57">
        <f t="shared" si="19"/>
        <v>0</v>
      </c>
      <c r="AA19" s="57">
        <f t="shared" si="19"/>
        <v>0</v>
      </c>
      <c r="AB19" s="57">
        <f t="shared" si="19"/>
        <v>0</v>
      </c>
      <c r="AC19" s="57">
        <f t="shared" si="19"/>
        <v>2.1231846341400796E-3</v>
      </c>
      <c r="AD19" s="57">
        <f t="shared" si="19"/>
        <v>0</v>
      </c>
      <c r="AE19" s="57">
        <f t="shared" si="19"/>
        <v>0</v>
      </c>
      <c r="AF19" s="57">
        <f t="shared" si="19"/>
        <v>0</v>
      </c>
      <c r="AG19" s="57">
        <f t="shared" si="19"/>
        <v>1.7802233919565857E-3</v>
      </c>
      <c r="AH19" s="57">
        <f t="shared" si="19"/>
        <v>0</v>
      </c>
      <c r="AI19" s="57">
        <f t="shared" si="19"/>
        <v>0</v>
      </c>
      <c r="AJ19" s="57">
        <f t="shared" si="19"/>
        <v>0</v>
      </c>
      <c r="AK19" s="57">
        <f t="shared" si="19"/>
        <v>2.6258423239123359E-3</v>
      </c>
      <c r="AL19" s="57">
        <f t="shared" si="19"/>
        <v>0</v>
      </c>
      <c r="AM19" s="57">
        <f t="shared" si="19"/>
        <v>0</v>
      </c>
      <c r="AN19" s="57">
        <f t="shared" si="19"/>
        <v>0</v>
      </c>
      <c r="AO19" s="57">
        <f t="shared" si="19"/>
        <v>3.3118797318360568E-3</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368</v>
      </c>
      <c r="E20" s="26">
        <f>股权价值增加表!E13-股权价值增加表!E14</f>
        <v>845448.16000000015</v>
      </c>
      <c r="F20" s="26">
        <f>股权价值增加表!F13-股权价值增加表!F14</f>
        <v>-29737705.569999997</v>
      </c>
      <c r="G20" s="26">
        <f>股权价值增加表!G13-股权价值增加表!G14</f>
        <v>803493.95000000019</v>
      </c>
      <c r="H20" s="26">
        <f>股权价值增加表!H13-股权价值增加表!H14</f>
        <v>36663899.909999996</v>
      </c>
      <c r="I20" s="26">
        <f>股权价值增加表!I13-股权价值增加表!I14</f>
        <v>5192174.8599999994</v>
      </c>
      <c r="J20" s="26">
        <f>股权价值增加表!J13-股权价值增加表!J14</f>
        <v>25897651.109999999</v>
      </c>
      <c r="K20" s="26">
        <f>股权价值增加表!K13-股权价值增加表!K14</f>
        <v>12484350.42</v>
      </c>
      <c r="L20" s="26">
        <f>股权价值增加表!L13-股权价值增加表!L14</f>
        <v>6290517.6200000001</v>
      </c>
      <c r="M20" s="26">
        <f>股权价值增加表!M13-股权价值增加表!M14</f>
        <v>4932821.1000000015</v>
      </c>
      <c r="N20" s="26">
        <f>股权价值增加表!N13-股权价值增加表!N14</f>
        <v>18417214.919999998</v>
      </c>
      <c r="O20" s="26">
        <f>股权价值增加表!O13-股权价值增加表!O14</f>
        <v>12311495.129999999</v>
      </c>
      <c r="P20" s="26">
        <f>股权价值增加表!P13-股权价值增加表!P14</f>
        <v>6378366.9699999997</v>
      </c>
      <c r="Q20" s="26">
        <f>股权价值增加表!Q13-股权价值增加表!Q14</f>
        <v>-26311060.380000003</v>
      </c>
      <c r="R20" s="26">
        <f>股权价值增加表!R13-股权价值增加表!R14</f>
        <v>22137628.16</v>
      </c>
      <c r="S20" s="26">
        <f>股权价值增加表!S13-股权价值增加表!S14</f>
        <v>16086286.970000001</v>
      </c>
      <c r="T20" s="26">
        <f>股权价值增加表!T13-股权价值增加表!T14</f>
        <v>10745293.92</v>
      </c>
      <c r="U20" s="26">
        <f>股权价值增加表!U13-股权价值增加表!U14</f>
        <v>-25895111.32</v>
      </c>
      <c r="V20" s="26">
        <f>股权价值增加表!V13-股权价值增加表!V14</f>
        <v>20632507.610000003</v>
      </c>
      <c r="W20" s="26">
        <f>股权价值增加表!W13-股权价值增加表!W14</f>
        <v>13828222.34</v>
      </c>
      <c r="X20" s="26">
        <f>股权价值增加表!X13-股权价值增加表!X14</f>
        <v>6880581.3399999999</v>
      </c>
      <c r="Y20" s="26">
        <f>股权价值增加表!Y13-股权价值增加表!Y14</f>
        <v>-80486594.289999992</v>
      </c>
      <c r="Z20" s="26">
        <f>股权价值增加表!Z13-股权价值增加表!Z14</f>
        <v>34160524.089999996</v>
      </c>
      <c r="AA20" s="26">
        <f>股权价值增加表!AA13-股权价值增加表!AA14</f>
        <v>28237866.140000001</v>
      </c>
      <c r="AB20" s="26">
        <f>股权价值增加表!AB13-股权价值增加表!AB14</f>
        <v>20819533.879999999</v>
      </c>
      <c r="AC20" s="26">
        <f>股权价值增加表!AC13-股权价值增加表!AC14</f>
        <v>22629823.68</v>
      </c>
      <c r="AD20" s="26">
        <f>股权价值增加表!AD13-股权价值增加表!AD14</f>
        <v>19176812.100000001</v>
      </c>
      <c r="AE20" s="26">
        <f>股权价值增加表!AE13-股权价值增加表!AE14</f>
        <v>12605540.359999999</v>
      </c>
      <c r="AF20" s="26">
        <f>股权价值增加表!AF13-股权价值增加表!AF14</f>
        <v>6563246</v>
      </c>
      <c r="AG20" s="26">
        <f>股权价值增加表!AG13-股权价值增加表!AG14</f>
        <v>1337580.8600000013</v>
      </c>
      <c r="AH20" s="26">
        <f>股权价值增加表!AH13-股权价值增加表!AH14</f>
        <v>5117783.55</v>
      </c>
      <c r="AI20" s="26">
        <f>股权价值增加表!AI13-股权价值增加表!AI14</f>
        <v>5231921.4700000007</v>
      </c>
      <c r="AJ20" s="26">
        <f>股权价值增加表!AJ13-股权价值增加表!AJ14</f>
        <v>486417.82</v>
      </c>
      <c r="AK20" s="26">
        <f>股权价值增加表!AK13-股权价值增加表!AK14</f>
        <v>919350.06</v>
      </c>
      <c r="AL20" s="26">
        <f>股权价值增加表!AL13-股权价值增加表!AL14</f>
        <v>3298389.83</v>
      </c>
      <c r="AM20" s="26">
        <f>股权价值增加表!AM13-股权价值增加表!AM14</f>
        <v>3132872.23</v>
      </c>
      <c r="AN20" s="26">
        <f>股权价值增加表!AN13-股权价值增加表!AN14</f>
        <v>2051988.87</v>
      </c>
      <c r="AO20" s="26">
        <f>股权价值增加表!AO13-股权价值增加表!AO14</f>
        <v>-3277645.7</v>
      </c>
      <c r="AP20" s="26">
        <f>股权价值增加表!AP13-股权价值增加表!AP14</f>
        <v>-897049.8600000001</v>
      </c>
      <c r="AQ20" s="26">
        <f>股权价值增加表!AQ13-股权价值增加表!AQ14</f>
        <v>-742960.27000000014</v>
      </c>
      <c r="AR20" s="26">
        <f>股权价值增加表!AR13-股权价值增加表!AR14</f>
        <v>99673.950000000012</v>
      </c>
      <c r="AS20" s="26">
        <f>股权价值增加表!AS13-股权价值增加表!AS14</f>
        <v>4193160.79</v>
      </c>
      <c r="AT20" s="26">
        <f>股权价值增加表!AT13-股权价值增加表!AT14</f>
        <v>784450</v>
      </c>
      <c r="AU20" s="26">
        <f>股权价值增加表!AU13-股权价值增加表!AU14</f>
        <v>598149.97</v>
      </c>
      <c r="AV20" s="26">
        <f>股权价值增加表!AV13-股权价值增加表!AV14</f>
        <v>131372.87</v>
      </c>
      <c r="AW20" s="26">
        <f>股权价值增加表!AW13-股权价值增加表!AW14</f>
        <v>-160457.35999999987</v>
      </c>
      <c r="AX20" s="26">
        <f>股权价值增加表!AX13-股权价值增加表!AX14</f>
        <v>1095305.21</v>
      </c>
      <c r="AY20" s="26">
        <f>股权价值增加表!AY13-股权价值增加表!AY14</f>
        <v>693898.35999999987</v>
      </c>
      <c r="AZ20" s="26">
        <f>股权价值增加表!AZ13-股权价值增加表!AZ14</f>
        <v>291891.95</v>
      </c>
      <c r="BA20" s="26">
        <f>股权价值增加表!BA13-股权价值增加表!BA14</f>
        <v>1244171.9300000002</v>
      </c>
      <c r="BB20" s="26">
        <f>股权价值增加表!BB13-股权价值增加表!BB14</f>
        <v>1768683.13</v>
      </c>
      <c r="BC20" s="26">
        <f>股权价值增加表!BC13-股权价值增加表!BC14</f>
        <v>826004.66</v>
      </c>
      <c r="BD20" s="26">
        <f>股权价值增加表!BD13-股权价值增加表!BD14</f>
        <v>236698.03999999998</v>
      </c>
      <c r="BE20" s="26">
        <f>股权价值增加表!BE13-股权价值增加表!BE14</f>
        <v>-1585766.37</v>
      </c>
      <c r="BF20" s="26">
        <f>股权价值增加表!BF13-股权价值增加表!BF14</f>
        <v>-2888196.49</v>
      </c>
      <c r="BG20" s="26">
        <f>股权价值增加表!BG13-股权价值增加表!BG14</f>
        <v>-3392478.42</v>
      </c>
      <c r="BH20" s="26">
        <f>股权价值增加表!BH13-股权价值增加表!BH14</f>
        <v>-2051878.5899999999</v>
      </c>
      <c r="BI20" s="26">
        <f>股权价值增加表!BI13-股权价值增加表!BI14</f>
        <v>-9401846.7199999988</v>
      </c>
      <c r="BJ20" s="26">
        <f>股权价值增加表!BJ13-股权价值增加表!BJ14</f>
        <v>-637803.06999999995</v>
      </c>
      <c r="BK20" s="26">
        <f>股权价值增加表!BK13-股权价值增加表!BK14</f>
        <v>-414194.86</v>
      </c>
      <c r="BL20" s="26">
        <f>股权价值增加表!BL13-股权价值增加表!BL14</f>
        <v>-191846.48</v>
      </c>
      <c r="BM20" s="26">
        <f>股权价值增加表!BM13-股权价值增加表!BM14</f>
        <v>-1083447.8700000001</v>
      </c>
      <c r="BN20" s="26">
        <f>股权价值增加表!BN13-股权价值增加表!BN14</f>
        <v>194030.12</v>
      </c>
      <c r="BO20" s="26">
        <f>股权价值增加表!BO13-股权价值增加表!BO14</f>
        <v>-2558483.52</v>
      </c>
      <c r="BP20" s="26">
        <f>股权价值增加表!BP13-股权价值增加表!BP14</f>
        <v>-8700979.5</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1.2503760981888255E-4</v>
      </c>
      <c r="F21" s="57">
        <f t="shared" ref="F21:BQ21" si="21">F20/F2</f>
        <v>-6.0461057187267781E-3</v>
      </c>
      <c r="G21" s="57">
        <f t="shared" si="21"/>
        <v>2.5002444887383155E-4</v>
      </c>
      <c r="H21" s="57">
        <f t="shared" si="21"/>
        <v>2.3150091344816048E-2</v>
      </c>
      <c r="I21" s="57">
        <f t="shared" si="21"/>
        <v>8.4197206387105143E-4</v>
      </c>
      <c r="J21" s="57">
        <f t="shared" si="21"/>
        <v>5.7111310561187307E-3</v>
      </c>
      <c r="K21" s="57">
        <f t="shared" si="21"/>
        <v>4.1828519983116257E-3</v>
      </c>
      <c r="L21" s="57">
        <f t="shared" si="21"/>
        <v>4.3602488749108371E-3</v>
      </c>
      <c r="M21" s="57">
        <f t="shared" si="21"/>
        <v>8.7776750844451165E-4</v>
      </c>
      <c r="N21" s="57">
        <f t="shared" si="21"/>
        <v>4.3887211977014558E-3</v>
      </c>
      <c r="O21" s="57">
        <f t="shared" si="21"/>
        <v>4.4382817947960299E-3</v>
      </c>
      <c r="P21" s="57">
        <f t="shared" si="21"/>
        <v>4.5902639964382572E-3</v>
      </c>
      <c r="Q21" s="57">
        <f t="shared" si="21"/>
        <v>-4.7598752381807158E-3</v>
      </c>
      <c r="R21" s="57">
        <f t="shared" si="21"/>
        <v>5.4259040994175459E-3</v>
      </c>
      <c r="S21" s="57">
        <f t="shared" si="21"/>
        <v>5.9991274447020529E-3</v>
      </c>
      <c r="T21" s="57">
        <f t="shared" si="21"/>
        <v>8.3413497719632811E-3</v>
      </c>
      <c r="U21" s="57">
        <f t="shared" si="21"/>
        <v>-5.0366723847244345E-3</v>
      </c>
      <c r="V21" s="57">
        <f t="shared" si="21"/>
        <v>5.4342824790542055E-3</v>
      </c>
      <c r="W21" s="57">
        <f t="shared" si="21"/>
        <v>5.6159215304594518E-3</v>
      </c>
      <c r="X21" s="57">
        <f t="shared" si="21"/>
        <v>5.8098569118189185E-3</v>
      </c>
      <c r="Y21" s="57">
        <f t="shared" si="21"/>
        <v>-1.7222589843105339E-2</v>
      </c>
      <c r="Z21" s="57">
        <f t="shared" si="21"/>
        <v>9.8727505630105891E-3</v>
      </c>
      <c r="AA21" s="57">
        <f t="shared" si="21"/>
        <v>1.2334155411035507E-2</v>
      </c>
      <c r="AB21" s="57">
        <f t="shared" si="21"/>
        <v>1.8726203269340987E-2</v>
      </c>
      <c r="AC21" s="57">
        <f t="shared" si="21"/>
        <v>5.3380388391333954E-3</v>
      </c>
      <c r="AD21" s="57">
        <f t="shared" si="21"/>
        <v>6.1750460658879227E-3</v>
      </c>
      <c r="AE21" s="57">
        <f t="shared" si="21"/>
        <v>6.2148114404027028E-3</v>
      </c>
      <c r="AF21" s="57">
        <f t="shared" si="21"/>
        <v>6.6525784618496897E-3</v>
      </c>
      <c r="AG21" s="57">
        <f t="shared" si="21"/>
        <v>3.4603232721774202E-4</v>
      </c>
      <c r="AH21" s="57">
        <f t="shared" si="21"/>
        <v>1.8708257283217291E-3</v>
      </c>
      <c r="AI21" s="57">
        <f t="shared" si="21"/>
        <v>2.9511270039804085E-3</v>
      </c>
      <c r="AJ21" s="57">
        <f t="shared" si="21"/>
        <v>5.6120989275539089E-4</v>
      </c>
      <c r="AK21" s="57">
        <f t="shared" si="21"/>
        <v>2.7807779095034033E-4</v>
      </c>
      <c r="AL21" s="57">
        <f t="shared" si="21"/>
        <v>1.4040166774385008E-3</v>
      </c>
      <c r="AM21" s="57">
        <f t="shared" si="21"/>
        <v>2.021425127716641E-3</v>
      </c>
      <c r="AN21" s="57">
        <f t="shared" si="21"/>
        <v>2.6704192517699103E-3</v>
      </c>
      <c r="AO21" s="57">
        <f t="shared" si="21"/>
        <v>-1.0747430657365401E-3</v>
      </c>
      <c r="AP21" s="57">
        <f t="shared" si="21"/>
        <v>-3.9600968905712409E-4</v>
      </c>
      <c r="AQ21" s="57">
        <f t="shared" si="21"/>
        <v>-4.9155274399935922E-4</v>
      </c>
      <c r="AR21" s="57">
        <f t="shared" si="21"/>
        <v>1.3205401159197954E-4</v>
      </c>
      <c r="AS21" s="57">
        <f t="shared" si="21"/>
        <v>1.5626064770448303E-3</v>
      </c>
      <c r="AT21" s="57">
        <f t="shared" si="21"/>
        <v>4.0158571255489951E-4</v>
      </c>
      <c r="AU21" s="57">
        <f t="shared" si="21"/>
        <v>4.6923483426798891E-4</v>
      </c>
      <c r="AV21" s="57">
        <f t="shared" si="21"/>
        <v>2.1152969266240097E-4</v>
      </c>
      <c r="AW21" s="57">
        <f t="shared" si="21"/>
        <v>-6.6585410559048157E-5</v>
      </c>
      <c r="AX21" s="57">
        <f t="shared" si="21"/>
        <v>6.1445662409547862E-4</v>
      </c>
      <c r="AY21" s="57">
        <f t="shared" si="21"/>
        <v>5.841335997737821E-4</v>
      </c>
      <c r="AZ21" s="57">
        <f t="shared" si="21"/>
        <v>4.949801410195771E-4</v>
      </c>
      <c r="BA21" s="57">
        <f t="shared" si="21"/>
        <v>5.7887087099934794E-4</v>
      </c>
      <c r="BB21" s="57">
        <f t="shared" si="21"/>
        <v>1.1632923640986692E-3</v>
      </c>
      <c r="BC21" s="57">
        <f t="shared" si="21"/>
        <v>8.4322369719755678E-4</v>
      </c>
      <c r="BD21" s="57">
        <f t="shared" si="21"/>
        <v>5.3064999611420523E-4</v>
      </c>
      <c r="BE21" s="57">
        <f t="shared" si="21"/>
        <v>-1.0291953674824801E-3</v>
      </c>
      <c r="BF21" s="57">
        <f t="shared" si="21"/>
        <v>-2.6409143335084694E-3</v>
      </c>
      <c r="BG21" s="57">
        <f t="shared" si="21"/>
        <v>-4.7494508696453355E-3</v>
      </c>
      <c r="BH21" s="57">
        <f t="shared" si="21"/>
        <v>-5.8761724075180747E-3</v>
      </c>
      <c r="BI21" s="57">
        <f t="shared" si="21"/>
        <v>-8.8542047397781824E-3</v>
      </c>
      <c r="BJ21" s="57">
        <f t="shared" si="21"/>
        <v>-9.13410655933358E-4</v>
      </c>
      <c r="BK21" s="57">
        <f t="shared" si="21"/>
        <v>-1.0477447860580899E-3</v>
      </c>
      <c r="BL21" s="57">
        <f t="shared" si="21"/>
        <v>-7.7728263854946018E-4</v>
      </c>
      <c r="BM21" s="57">
        <f t="shared" si="21"/>
        <v>-1.1530265662064883E-3</v>
      </c>
      <c r="BN21" s="57">
        <f t="shared" si="21"/>
        <v>4.4878110918887901E-4</v>
      </c>
      <c r="BO21" s="57">
        <f t="shared" si="21"/>
        <v>-3.0516828192363871E-3</v>
      </c>
      <c r="BP21" s="57">
        <f t="shared" si="21"/>
        <v>-1.1151457782936835E-2</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9.336912958875318E-2</v>
      </c>
      <c r="F22" s="66">
        <f t="shared" ref="F22:BQ22" si="23">F11+F13+F15+F17+F19+F21</f>
        <v>7.1068326228807974E-2</v>
      </c>
      <c r="G22" s="66">
        <f t="shared" si="23"/>
        <v>7.847135272576046E-2</v>
      </c>
      <c r="H22" s="66">
        <f t="shared" si="23"/>
        <v>9.5090415702021189E-2</v>
      </c>
      <c r="I22" s="66">
        <f t="shared" si="23"/>
        <v>9.676303179677935E-2</v>
      </c>
      <c r="J22" s="66">
        <f t="shared" si="23"/>
        <v>9.7296662462030406E-2</v>
      </c>
      <c r="K22" s="66">
        <f t="shared" si="23"/>
        <v>9.524121624743663E-2</v>
      </c>
      <c r="L22" s="66">
        <f t="shared" si="23"/>
        <v>9.3405108634023182E-2</v>
      </c>
      <c r="M22" s="66">
        <f t="shared" si="23"/>
        <v>0.10311646947819658</v>
      </c>
      <c r="N22" s="66">
        <f t="shared" si="23"/>
        <v>0.10782088389842912</v>
      </c>
      <c r="O22" s="66">
        <f t="shared" si="23"/>
        <v>0.10514152181384256</v>
      </c>
      <c r="P22" s="66">
        <f t="shared" si="23"/>
        <v>9.8583880821015005E-2</v>
      </c>
      <c r="Q22" s="66">
        <f t="shared" si="23"/>
        <v>0.1051921049302687</v>
      </c>
      <c r="R22" s="66">
        <f t="shared" si="23"/>
        <v>0.10134298201024056</v>
      </c>
      <c r="S22" s="66">
        <f t="shared" si="23"/>
        <v>9.8996190726374195E-2</v>
      </c>
      <c r="T22" s="66">
        <f t="shared" si="23"/>
        <v>0.10265592233160367</v>
      </c>
      <c r="U22" s="66">
        <f t="shared" si="23"/>
        <v>0.10522705113120064</v>
      </c>
      <c r="V22" s="66">
        <f t="shared" si="23"/>
        <v>0.10125007882003402</v>
      </c>
      <c r="W22" s="66">
        <f t="shared" si="23"/>
        <v>9.9961019343750027E-2</v>
      </c>
      <c r="X22" s="66">
        <f t="shared" si="23"/>
        <v>9.8585550757855481E-2</v>
      </c>
      <c r="Y22" s="66">
        <f t="shared" si="23"/>
        <v>0.11755471267200671</v>
      </c>
      <c r="Z22" s="66">
        <f t="shared" si="23"/>
        <v>0.14349315126482518</v>
      </c>
      <c r="AA22" s="66">
        <f t="shared" si="23"/>
        <v>0.1386582009035035</v>
      </c>
      <c r="AB22" s="66">
        <f t="shared" si="23"/>
        <v>0.15453565245770193</v>
      </c>
      <c r="AC22" s="66">
        <f t="shared" si="23"/>
        <v>0.14099141574272106</v>
      </c>
      <c r="AD22" s="66">
        <f t="shared" si="23"/>
        <v>0.14470820424183167</v>
      </c>
      <c r="AE22" s="66">
        <f t="shared" si="23"/>
        <v>0.14344875489947506</v>
      </c>
      <c r="AF22" s="66">
        <f t="shared" si="23"/>
        <v>0.15900763002317009</v>
      </c>
      <c r="AG22" s="66">
        <f t="shared" si="23"/>
        <v>0.13957163637346676</v>
      </c>
      <c r="AH22" s="66">
        <f t="shared" si="23"/>
        <v>0.13235479789707916</v>
      </c>
      <c r="AI22" s="66">
        <f t="shared" si="23"/>
        <v>0.13783504333555474</v>
      </c>
      <c r="AJ22" s="66">
        <f t="shared" si="23"/>
        <v>0.134009109194582</v>
      </c>
      <c r="AK22" s="66">
        <f t="shared" si="23"/>
        <v>0.17948880777628526</v>
      </c>
      <c r="AL22" s="66">
        <f t="shared" si="23"/>
        <v>0.15922256708812271</v>
      </c>
      <c r="AM22" s="66">
        <f t="shared" si="23"/>
        <v>0.16074532854139284</v>
      </c>
      <c r="AN22" s="66">
        <f t="shared" si="23"/>
        <v>0.1403210575900086</v>
      </c>
      <c r="AO22" s="66">
        <f t="shared" si="23"/>
        <v>0.1599500854597885</v>
      </c>
      <c r="AP22" s="66">
        <f t="shared" si="23"/>
        <v>0.15205203164118233</v>
      </c>
      <c r="AQ22" s="66">
        <f t="shared" si="23"/>
        <v>0.15245822785065627</v>
      </c>
      <c r="AR22" s="66">
        <f t="shared" si="23"/>
        <v>0.16343884618748517</v>
      </c>
      <c r="AS22" s="66">
        <f t="shared" si="23"/>
        <v>0.20985600260803744</v>
      </c>
      <c r="AT22" s="66">
        <f t="shared" si="23"/>
        <v>0.17982116023437708</v>
      </c>
      <c r="AU22" s="66">
        <f t="shared" si="23"/>
        <v>0.18980242455701338</v>
      </c>
      <c r="AV22" s="66">
        <f t="shared" si="23"/>
        <v>0.19792243283114022</v>
      </c>
      <c r="AW22" s="66">
        <f t="shared" si="23"/>
        <v>0.21686472630666104</v>
      </c>
      <c r="AX22" s="66">
        <f t="shared" si="23"/>
        <v>0.2044399540728693</v>
      </c>
      <c r="AY22" s="66">
        <f t="shared" si="23"/>
        <v>0.2170188203143226</v>
      </c>
      <c r="AZ22" s="66">
        <f t="shared" si="23"/>
        <v>0.21145919045750294</v>
      </c>
      <c r="BA22" s="66">
        <f t="shared" si="23"/>
        <v>0.22075236611441759</v>
      </c>
      <c r="BB22" s="66">
        <f t="shared" si="23"/>
        <v>0.22489567558272561</v>
      </c>
      <c r="BC22" s="66">
        <f t="shared" si="23"/>
        <v>0.24513433087466485</v>
      </c>
      <c r="BD22" s="66">
        <f t="shared" si="23"/>
        <v>0.2519513643758568</v>
      </c>
      <c r="BE22" s="66">
        <f t="shared" si="23"/>
        <v>0.24609363272386714</v>
      </c>
      <c r="BF22" s="66">
        <f t="shared" si="23"/>
        <v>0.21402993282126181</v>
      </c>
      <c r="BG22" s="66">
        <f t="shared" si="23"/>
        <v>0.2064323260858956</v>
      </c>
      <c r="BH22" s="66">
        <f t="shared" si="23"/>
        <v>0.16412501985450115</v>
      </c>
      <c r="BI22" s="66">
        <f t="shared" si="23"/>
        <v>0.22630627589342575</v>
      </c>
      <c r="BJ22" s="66">
        <f t="shared" si="23"/>
        <v>0.22560594085915703</v>
      </c>
      <c r="BK22" s="66">
        <f t="shared" si="23"/>
        <v>0.27861204495141412</v>
      </c>
      <c r="BL22" s="66">
        <f t="shared" si="23"/>
        <v>0.22902953432657266</v>
      </c>
      <c r="BM22" s="66">
        <f t="shared" si="23"/>
        <v>0.23758774543166797</v>
      </c>
      <c r="BN22" s="66">
        <f t="shared" si="23"/>
        <v>0.2386890654009467</v>
      </c>
      <c r="BO22" s="66">
        <f t="shared" si="23"/>
        <v>0.23302029328595991</v>
      </c>
      <c r="BP22" s="66">
        <f t="shared" si="23"/>
        <v>0.19521053084422665</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371</v>
      </c>
      <c r="E23" s="27">
        <f>股权价值增加表!E17</f>
        <v>1551194361.6703229</v>
      </c>
      <c r="F23" s="27">
        <f>股权价值增加表!F17</f>
        <v>1120839555.780117</v>
      </c>
      <c r="G23" s="27">
        <f>股权价值增加表!G17</f>
        <v>759581085.38976228</v>
      </c>
      <c r="H23" s="27">
        <f>股权价值增加表!H17</f>
        <v>404074235.20721805</v>
      </c>
      <c r="I23" s="27">
        <f>股权价值增加表!I17</f>
        <v>1351979179.41695</v>
      </c>
      <c r="J23" s="27">
        <f>股权价值增加表!J17</f>
        <v>1037031649.8165784</v>
      </c>
      <c r="K23" s="27">
        <f>股权价值增加表!K17</f>
        <v>672587360.72893238</v>
      </c>
      <c r="L23" s="27">
        <f>股权价值增加表!L17</f>
        <v>333970418.855169</v>
      </c>
      <c r="M23" s="27">
        <f>股权价值增加表!M17</f>
        <v>1237978362.1763356</v>
      </c>
      <c r="N23" s="27">
        <f>股权价值增加表!N17</f>
        <v>932172698.65544367</v>
      </c>
      <c r="O23" s="27">
        <f>股权价值增加表!O17</f>
        <v>632925015.42150402</v>
      </c>
      <c r="P23" s="27">
        <f>股权价值增加表!P17</f>
        <v>316320435.554874</v>
      </c>
      <c r="Q23" s="27">
        <f>股权价值增加表!Q17</f>
        <v>1136647136.3612013</v>
      </c>
      <c r="R23" s="27">
        <f>股权价值增加表!R17</f>
        <v>782926792.63099265</v>
      </c>
      <c r="S23" s="27">
        <f>股权价值增加表!S17</f>
        <v>546291402.80499661</v>
      </c>
      <c r="T23" s="27">
        <f>股权价值增加表!T17</f>
        <v>261745421.59678024</v>
      </c>
      <c r="U23" s="27">
        <f>股权价值增加表!U17</f>
        <v>944429273.81328082</v>
      </c>
      <c r="V23" s="27">
        <f>股权价值增加表!V17</f>
        <v>717700833.35298574</v>
      </c>
      <c r="W23" s="27">
        <f>股权价值增加表!W17</f>
        <v>489518973.53236234</v>
      </c>
      <c r="X23" s="27">
        <f>股权价值增加表!X17</f>
        <v>240248930.50691202</v>
      </c>
      <c r="Y23" s="27">
        <f>股权价值增加表!Y17</f>
        <v>822645029.4970901</v>
      </c>
      <c r="Z23" s="27">
        <f>股权价值增加表!Z17</f>
        <v>646307386.62399971</v>
      </c>
      <c r="AA23" s="27">
        <f>股权价值增加表!AA17</f>
        <v>436027357.87625539</v>
      </c>
      <c r="AB23" s="27">
        <f>股权价值增加表!AB17</f>
        <v>206400399.81846446</v>
      </c>
      <c r="AC23" s="27">
        <f>股权价值增加表!AC17</f>
        <v>759223243.76394987</v>
      </c>
      <c r="AD23" s="27">
        <f>股权价值增加表!AD17</f>
        <v>552661630.99391448</v>
      </c>
      <c r="AE23" s="27">
        <f>股权价值增加表!AE17</f>
        <v>353962103.98085904</v>
      </c>
      <c r="AF23" s="27">
        <f>股权价值增加表!AF17</f>
        <v>182232859.24908486</v>
      </c>
      <c r="AG23" s="27">
        <f>股权价值增加表!AG17</f>
        <v>669639566.71135592</v>
      </c>
      <c r="AH23" s="27">
        <f>股权价值增加表!AH17</f>
        <v>533902725.65194821</v>
      </c>
      <c r="AI23" s="27">
        <f>股权价值增加表!AI17</f>
        <v>334195805.56039202</v>
      </c>
      <c r="AJ23" s="27">
        <f>股权价值增加表!AJ17</f>
        <v>182151280.48639029</v>
      </c>
      <c r="AK23" s="27">
        <f>股权价值增加表!AK17</f>
        <v>607280874.68394041</v>
      </c>
      <c r="AL23" s="27">
        <f>股权价值增加表!AL17</f>
        <v>458898585.5407393</v>
      </c>
      <c r="AM23" s="27">
        <f>股权价值增加表!AM17</f>
        <v>313904009.09812629</v>
      </c>
      <c r="AN23" s="27">
        <f>股权价值增加表!AN17</f>
        <v>148435316.80734849</v>
      </c>
      <c r="AO23" s="27">
        <f>股权价值增加表!AO17</f>
        <v>575788815.01414335</v>
      </c>
      <c r="AP23" s="27">
        <f>股权价值增加表!AP17</f>
        <v>466326802.2297821</v>
      </c>
      <c r="AQ23" s="27">
        <f>股权价值增加表!AQ17</f>
        <v>316724182.06819969</v>
      </c>
      <c r="AR23" s="27">
        <f>股权价值增加表!AR17</f>
        <v>167058058.52202147</v>
      </c>
      <c r="AS23" s="27">
        <f>股权价值增加表!AS17</f>
        <v>458706374.87980783</v>
      </c>
      <c r="AT23" s="27">
        <f>股权价值增加表!AT17</f>
        <v>388813519.65412438</v>
      </c>
      <c r="AU23" s="27">
        <f>股权价值增加表!AU17</f>
        <v>234322936.1465652</v>
      </c>
      <c r="AV23" s="27">
        <f>股权价值增加表!AV17</f>
        <v>117753496.9886069</v>
      </c>
      <c r="AW23" s="27">
        <f>股权价值增加表!AW17</f>
        <v>403157953.43067563</v>
      </c>
      <c r="AX23" s="27">
        <f>股权价值增加表!AX17</f>
        <v>326615011.46807033</v>
      </c>
      <c r="AY23" s="27">
        <f>股权价值增加表!AY17</f>
        <v>197068770.34483141</v>
      </c>
      <c r="AZ23" s="27">
        <f>股权价值增加表!AZ17</f>
        <v>109752551.03043367</v>
      </c>
      <c r="BA23" s="27">
        <f>股权价值增加表!BA17</f>
        <v>321986603.1734947</v>
      </c>
      <c r="BB23" s="27">
        <f>股权价值增加表!BB17</f>
        <v>232156691.51561767</v>
      </c>
      <c r="BC23" s="27">
        <f>股权价值增加表!BC17</f>
        <v>149537739.6520133</v>
      </c>
      <c r="BD23" s="27">
        <f>股权价值增加表!BD17</f>
        <v>72689536.720258355</v>
      </c>
      <c r="BE23" s="27">
        <f>股权价值增加表!BE17</f>
        <v>309892039.70070088</v>
      </c>
      <c r="BF23" s="27">
        <f>股权价值增加表!BF17</f>
        <v>286848213.69710016</v>
      </c>
      <c r="BG23" s="27">
        <f>股权价值增加表!BG17</f>
        <v>231394675.75912696</v>
      </c>
      <c r="BH23" s="27">
        <f>股权价值增加表!BH17</f>
        <v>126248719.45772703</v>
      </c>
      <c r="BI23" s="27">
        <f>股权价值增加表!BI17</f>
        <v>282989185.31673062</v>
      </c>
      <c r="BJ23" s="27">
        <f>股权价值增加表!BJ17</f>
        <v>186519071.24332774</v>
      </c>
      <c r="BK23" s="27">
        <f>股权价值增加表!BK17</f>
        <v>76394854.373993993</v>
      </c>
      <c r="BL23" s="27">
        <f>股权价值增加表!BL17</f>
        <v>67301806.93909964</v>
      </c>
      <c r="BM23" s="27">
        <f>股权价值增加表!BM17</f>
        <v>277309593.2524597</v>
      </c>
      <c r="BN23" s="27">
        <f>股权价值增加表!BN17</f>
        <v>132748619.24619257</v>
      </c>
      <c r="BO23" s="27">
        <f>股权价值增加表!BO17</f>
        <v>280543031.96774328</v>
      </c>
      <c r="BP23" s="27">
        <f>股权价值增加表!BP17</f>
        <v>192645016.99542958</v>
      </c>
      <c r="BQ23" s="27" t="e">
        <f>股权价值增加表!BQ17</f>
        <v>#DIV/0!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0.22941398955529618</v>
      </c>
      <c r="F24" s="57">
        <f t="shared" ref="F24:BQ24" si="25">F23/F2</f>
        <v>0.22788289540447379</v>
      </c>
      <c r="G24" s="57">
        <f t="shared" si="25"/>
        <v>0.23636001521798894</v>
      </c>
      <c r="H24" s="57">
        <f t="shared" si="25"/>
        <v>0.25513803709087707</v>
      </c>
      <c r="I24" s="57">
        <f t="shared" si="25"/>
        <v>0.21923928424944844</v>
      </c>
      <c r="J24" s="57">
        <f t="shared" si="25"/>
        <v>0.22869346861957571</v>
      </c>
      <c r="K24" s="57">
        <f t="shared" si="25"/>
        <v>0.22534879999500665</v>
      </c>
      <c r="L24" s="57">
        <f t="shared" si="25"/>
        <v>0.23149035278701779</v>
      </c>
      <c r="M24" s="57">
        <f t="shared" si="25"/>
        <v>0.22029122087475236</v>
      </c>
      <c r="N24" s="57">
        <f t="shared" si="25"/>
        <v>0.22213163609580755</v>
      </c>
      <c r="O24" s="57">
        <f t="shared" si="25"/>
        <v>0.22816884088847933</v>
      </c>
      <c r="P24" s="57">
        <f t="shared" si="25"/>
        <v>0.22764358236120838</v>
      </c>
      <c r="Q24" s="57">
        <f t="shared" si="25"/>
        <v>0.20562829778716432</v>
      </c>
      <c r="R24" s="57">
        <f t="shared" si="25"/>
        <v>0.19189434671940636</v>
      </c>
      <c r="S24" s="57">
        <f t="shared" si="25"/>
        <v>0.20373077724425545</v>
      </c>
      <c r="T24" s="57">
        <f t="shared" si="25"/>
        <v>0.20318756555230047</v>
      </c>
      <c r="U24" s="57">
        <f t="shared" si="25"/>
        <v>0.1836941646613745</v>
      </c>
      <c r="V24" s="57">
        <f t="shared" si="25"/>
        <v>0.18903126743558885</v>
      </c>
      <c r="W24" s="57">
        <f t="shared" si="25"/>
        <v>0.19880358266128401</v>
      </c>
      <c r="X24" s="57">
        <f t="shared" si="25"/>
        <v>0.20286249671204176</v>
      </c>
      <c r="Y24" s="57">
        <f t="shared" si="25"/>
        <v>0.17603028248963914</v>
      </c>
      <c r="Z24" s="57">
        <f t="shared" si="25"/>
        <v>0.18678962882299258</v>
      </c>
      <c r="AA24" s="57">
        <f t="shared" si="25"/>
        <v>0.19045451837066221</v>
      </c>
      <c r="AB24" s="57">
        <f t="shared" si="25"/>
        <v>0.18564756848791736</v>
      </c>
      <c r="AC24" s="57">
        <f t="shared" si="25"/>
        <v>0.17908947149095977</v>
      </c>
      <c r="AD24" s="57">
        <f t="shared" si="25"/>
        <v>0.1779602893557149</v>
      </c>
      <c r="AE24" s="57">
        <f t="shared" si="25"/>
        <v>0.17451118083519063</v>
      </c>
      <c r="AF24" s="57">
        <f t="shared" si="25"/>
        <v>0.18471323404329928</v>
      </c>
      <c r="AG24" s="57">
        <f t="shared" si="25"/>
        <v>0.17323583537686885</v>
      </c>
      <c r="AH24" s="57">
        <f t="shared" si="25"/>
        <v>0.19517022277559246</v>
      </c>
      <c r="AI24" s="57">
        <f t="shared" si="25"/>
        <v>0.18850708521935416</v>
      </c>
      <c r="AJ24" s="57">
        <f t="shared" si="25"/>
        <v>0.21015903690992288</v>
      </c>
      <c r="AK24" s="57">
        <f t="shared" si="25"/>
        <v>0.18368555294215197</v>
      </c>
      <c r="AL24" s="57">
        <f t="shared" si="25"/>
        <v>0.19533811967645329</v>
      </c>
      <c r="AM24" s="57">
        <f t="shared" si="25"/>
        <v>0.20254048205532646</v>
      </c>
      <c r="AN24" s="57">
        <f t="shared" si="25"/>
        <v>0.19317089553458891</v>
      </c>
      <c r="AO24" s="57">
        <f t="shared" si="25"/>
        <v>0.18880168660850374</v>
      </c>
      <c r="AP24" s="57">
        <f t="shared" si="25"/>
        <v>0.20586362050156162</v>
      </c>
      <c r="AQ24" s="57">
        <f t="shared" si="25"/>
        <v>0.20954907963864094</v>
      </c>
      <c r="AR24" s="57">
        <f t="shared" si="25"/>
        <v>0.22132850957146394</v>
      </c>
      <c r="AS24" s="57">
        <f t="shared" si="25"/>
        <v>0.17093967733322762</v>
      </c>
      <c r="AT24" s="57">
        <f t="shared" si="25"/>
        <v>0.19904640747183372</v>
      </c>
      <c r="AU24" s="57">
        <f t="shared" si="25"/>
        <v>0.18382093057351834</v>
      </c>
      <c r="AV24" s="57">
        <f t="shared" si="25"/>
        <v>0.18960049383044594</v>
      </c>
      <c r="AW24" s="57">
        <f t="shared" si="25"/>
        <v>0.16729951090636896</v>
      </c>
      <c r="AX24" s="57">
        <f t="shared" si="25"/>
        <v>0.18322815914075358</v>
      </c>
      <c r="AY24" s="57">
        <f t="shared" si="25"/>
        <v>0.16589531963228613</v>
      </c>
      <c r="AZ24" s="57">
        <f t="shared" si="25"/>
        <v>0.18611453034693962</v>
      </c>
      <c r="BA24" s="57">
        <f t="shared" si="25"/>
        <v>0.14980941213579885</v>
      </c>
      <c r="BB24" s="57">
        <f t="shared" si="25"/>
        <v>0.15269332416515352</v>
      </c>
      <c r="BC24" s="57">
        <f t="shared" si="25"/>
        <v>0.15265502945217807</v>
      </c>
      <c r="BD24" s="57">
        <f t="shared" si="25"/>
        <v>0.16296164673838651</v>
      </c>
      <c r="BE24" s="57">
        <f t="shared" si="25"/>
        <v>0.20112638135947991</v>
      </c>
      <c r="BF24" s="57">
        <f t="shared" si="25"/>
        <v>0.26228878877072948</v>
      </c>
      <c r="BG24" s="57">
        <f t="shared" si="25"/>
        <v>0.32395125567681166</v>
      </c>
      <c r="BH24" s="57">
        <f t="shared" si="25"/>
        <v>0.36155123669475292</v>
      </c>
      <c r="BI24" s="57">
        <f t="shared" si="25"/>
        <v>0.26650553455708359</v>
      </c>
      <c r="BJ24" s="57">
        <f t="shared" si="25"/>
        <v>0.26711772837413394</v>
      </c>
      <c r="BK24" s="57">
        <f t="shared" si="25"/>
        <v>0.19324795665503736</v>
      </c>
      <c r="BL24" s="57">
        <f t="shared" si="25"/>
        <v>0.27267910298260223</v>
      </c>
      <c r="BM24" s="57">
        <f t="shared" si="25"/>
        <v>0.29511833188984121</v>
      </c>
      <c r="BN24" s="57">
        <f t="shared" si="25"/>
        <v>0.3070403326483459</v>
      </c>
      <c r="BO24" s="57">
        <f t="shared" si="25"/>
        <v>0.33462335950963901</v>
      </c>
      <c r="BP24" s="57">
        <f t="shared" si="25"/>
        <v>0.24690010752440941</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6" t="s">
        <v>671</v>
      </c>
      <c r="B25" s="287"/>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7"/>
      <c r="AB25" s="287"/>
      <c r="AC25" s="287"/>
      <c r="AD25" s="287"/>
      <c r="AE25" s="287"/>
      <c r="AF25" s="287"/>
      <c r="AG25" s="287"/>
    </row>
    <row r="26" spans="1:89" s="63" customFormat="1" ht="15" thickBot="1" x14ac:dyDescent="0.3">
      <c r="A26" s="150" t="s">
        <v>601</v>
      </c>
      <c r="B26" s="151"/>
      <c r="C26" s="151"/>
      <c r="D26" s="151"/>
      <c r="E26" s="152">
        <f>POWER(E2/Y2,1/6)-1</f>
        <v>6.3498474616842993E-2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37437</v>
      </c>
      <c r="BO27" s="1">
        <v>37256</v>
      </c>
      <c r="BP27" s="1">
        <v>36891</v>
      </c>
      <c r="BQ27" s="1">
        <v>25569</v>
      </c>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2113035979.7699997</v>
      </c>
      <c r="F28" s="26">
        <f>股权价值增加表!F15</f>
        <v>1506799050.0699999</v>
      </c>
      <c r="G28" s="26">
        <f>股权价值增加表!G15</f>
        <v>1017624943.55</v>
      </c>
      <c r="H28" s="26">
        <f>股权价值增加表!H15</f>
        <v>535251843.00000006</v>
      </c>
      <c r="I28" s="26">
        <f>股权价值增加表!I15</f>
        <v>1856323573.2199998</v>
      </c>
      <c r="J28" s="26">
        <f>股权价值增加表!J15</f>
        <v>1395421018.5399997</v>
      </c>
      <c r="K28" s="26">
        <f>股权价值增加表!K15</f>
        <v>909455476.7299999</v>
      </c>
      <c r="L28" s="26">
        <f>股权价值增加表!L15</f>
        <v>452609634.49000001</v>
      </c>
      <c r="M28" s="26">
        <f>股权价值增加表!M15</f>
        <v>1683938326.9199996</v>
      </c>
      <c r="N28" s="26">
        <f>股权价值增加表!N15</f>
        <v>1263457257.2300005</v>
      </c>
      <c r="O28" s="26">
        <f>股权价值增加表!O15</f>
        <v>838325074.28999996</v>
      </c>
      <c r="P28" s="26">
        <f>股权价值增加表!P15</f>
        <v>427245602.48000002</v>
      </c>
      <c r="Q28" s="26">
        <f>股权价值增加表!Q15</f>
        <v>1500903278.5000005</v>
      </c>
      <c r="R28" s="26">
        <f>股权价值增加表!R15</f>
        <v>1033333130.7000002</v>
      </c>
      <c r="S28" s="26">
        <f>股权价值增加表!S15</f>
        <v>704544333.63999999</v>
      </c>
      <c r="T28" s="26">
        <f>股权价值增加表!T15</f>
        <v>352968821.45999998</v>
      </c>
      <c r="U28" s="26">
        <f>股权价值增加表!U15</f>
        <v>1287266043.3200004</v>
      </c>
      <c r="V28" s="26">
        <f>股权价值增加表!V15</f>
        <v>955402285.97000003</v>
      </c>
      <c r="W28" s="26">
        <f>股权价值增加表!W15</f>
        <v>651175972.76000023</v>
      </c>
      <c r="X28" s="26">
        <f>股权价值增加表!X15</f>
        <v>325373196.62999994</v>
      </c>
      <c r="Y28" s="26">
        <f>股权价值增加表!Y15</f>
        <v>1110095868.5899997</v>
      </c>
      <c r="Z28" s="26">
        <f>股权价值增加表!Z15</f>
        <v>863340705.32999969</v>
      </c>
      <c r="AA28" s="26">
        <f>股权价值增加表!AA15</f>
        <v>585528945.0200001</v>
      </c>
      <c r="AB28" s="26">
        <f>股权价值增加表!AB15</f>
        <v>281648792.87000018</v>
      </c>
      <c r="AC28" s="26">
        <f>股权价值增加表!AC15</f>
        <v>1032485124.0399998</v>
      </c>
      <c r="AD28" s="26">
        <f>股权价值增加表!AD15</f>
        <v>776651069.44999981</v>
      </c>
      <c r="AE28" s="26">
        <f>股权价值增加表!AE15</f>
        <v>506384370.06</v>
      </c>
      <c r="AF28" s="26">
        <f>股权价值增加表!AF15</f>
        <v>248932709.11999995</v>
      </c>
      <c r="AG28" s="26">
        <f>股权价值增加表!AG15</f>
        <v>876117432.51999998</v>
      </c>
      <c r="AH28" s="26">
        <f>股权价值增加表!AH15</f>
        <v>722823315.72000027</v>
      </c>
      <c r="AI28" s="26">
        <f>股权价值增加表!AI15</f>
        <v>455414925.74000007</v>
      </c>
      <c r="AJ28" s="26">
        <f>股权价值增加表!AJ15</f>
        <v>245362277.28999996</v>
      </c>
      <c r="AK28" s="26">
        <f>股权价值增加表!AK15</f>
        <v>815098523.79999995</v>
      </c>
      <c r="AL28" s="26">
        <f>股权价值增加表!AL15</f>
        <v>629622421.31999981</v>
      </c>
      <c r="AM28" s="26">
        <f>股权价值增加表!AM15</f>
        <v>422298417.33000004</v>
      </c>
      <c r="AN28" s="26">
        <f>股权价值增加表!AN15</f>
        <v>204149471.21000007</v>
      </c>
      <c r="AO28" s="26">
        <f>股权价值增加表!AO15</f>
        <v>791859102.66999984</v>
      </c>
      <c r="AP28" s="26">
        <f>股权价值增加表!AP15</f>
        <v>639474103.99000013</v>
      </c>
      <c r="AQ28" s="26">
        <f>股权价值增加表!AQ15</f>
        <v>431854124.46000004</v>
      </c>
      <c r="AR28" s="26">
        <f>股权价值增加表!AR15</f>
        <v>220267410.27999997</v>
      </c>
      <c r="AS28" s="26">
        <f>股权价值增加表!AS15</f>
        <v>699872869.23000002</v>
      </c>
      <c r="AT28" s="26">
        <f>股权价值增加表!AT15</f>
        <v>591996269.54999995</v>
      </c>
      <c r="AU28" s="26">
        <f>股权价值增加表!AU15</f>
        <v>364575201.75000012</v>
      </c>
      <c r="AV28" s="26">
        <f>股权价值增加表!AV15</f>
        <v>178965229.98000005</v>
      </c>
      <c r="AW28" s="26">
        <f>股权价值增加表!AW15</f>
        <v>625871458.69000018</v>
      </c>
      <c r="AX28" s="26">
        <f>股权价值增加表!AX15</f>
        <v>491308685.55000001</v>
      </c>
      <c r="AY28" s="26">
        <f>股权价值增加表!AY15</f>
        <v>296897776.16000009</v>
      </c>
      <c r="AZ28" s="26">
        <f>股权价值增加表!AZ15</f>
        <v>161579906.22999999</v>
      </c>
      <c r="BA28" s="26">
        <f>股权价值增加表!BA15</f>
        <v>491314379.66999984</v>
      </c>
      <c r="BB28" s="26">
        <f>股权价值增加表!BB15</f>
        <v>372903494.38000011</v>
      </c>
      <c r="BC28" s="26">
        <f>股权价值增加表!BC15</f>
        <v>245585161.93000004</v>
      </c>
      <c r="BD28" s="26">
        <f>股权价值增加表!BD15</f>
        <v>110739900.58</v>
      </c>
      <c r="BE28" s="26">
        <f>股权价值增加表!BE15</f>
        <v>455806902.52999997</v>
      </c>
      <c r="BF28" s="26">
        <f>股权价值增加表!BF15</f>
        <v>428391654.89999998</v>
      </c>
      <c r="BG28" s="26">
        <f>股权价值增加表!BG15</f>
        <v>343491241.29000008</v>
      </c>
      <c r="BH28" s="26">
        <f>股权价值增加表!BH15</f>
        <v>184757213.34</v>
      </c>
      <c r="BI28" s="26">
        <f>股权价值增加表!BI15</f>
        <v>423957099.31</v>
      </c>
      <c r="BJ28" s="26">
        <f>股权价值增加表!BJ15</f>
        <v>286132882.38000005</v>
      </c>
      <c r="BK28" s="26">
        <f>股权价值增加表!BK15</f>
        <v>117528742.35000001</v>
      </c>
      <c r="BL28" s="26">
        <f>股权价值增加表!BL15</f>
        <v>101927081.27</v>
      </c>
      <c r="BM28" s="26">
        <f>股权价值增加表!BM15</f>
        <v>348083075.82000005</v>
      </c>
      <c r="BN28" s="26">
        <f>股权价值增加表!BN15</f>
        <v>163102652.21999997</v>
      </c>
      <c r="BO28" s="26">
        <f>股权价值增加表!BO15</f>
        <v>294061434.89999998</v>
      </c>
      <c r="BP28" s="26">
        <f>股权价值增加表!BP15</f>
        <v>296663798.38000005</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379</v>
      </c>
      <c r="E29" s="59">
        <f t="shared" ref="E29:AJ29" si="27">E28/E34</f>
        <v>0.97103646034819402</v>
      </c>
      <c r="F29" s="59">
        <f t="shared" si="27"/>
        <v>0.97301761900884054</v>
      </c>
      <c r="G29" s="59">
        <f t="shared" si="27"/>
        <v>0.9775509438529193</v>
      </c>
      <c r="H29" s="59">
        <f t="shared" si="27"/>
        <v>0.97212425314715278</v>
      </c>
      <c r="I29" s="59">
        <f t="shared" si="27"/>
        <v>0.97784567877064577</v>
      </c>
      <c r="J29" s="59">
        <f t="shared" si="27"/>
        <v>1.0067475347574015</v>
      </c>
      <c r="K29" s="59">
        <f t="shared" si="27"/>
        <v>1.0032029167409406</v>
      </c>
      <c r="L29" s="59">
        <f t="shared" si="27"/>
        <v>1.0336888950146119</v>
      </c>
      <c r="M29" s="59">
        <f t="shared" si="27"/>
        <v>0.97247991090456964</v>
      </c>
      <c r="N29" s="59">
        <f t="shared" si="27"/>
        <v>1.0247922187589529</v>
      </c>
      <c r="O29" s="59">
        <f t="shared" si="27"/>
        <v>0.98058423381477489</v>
      </c>
      <c r="P29" s="59">
        <f t="shared" si="27"/>
        <v>1.0121034120873367</v>
      </c>
      <c r="Q29" s="59">
        <f t="shared" si="27"/>
        <v>0.9257182842159416</v>
      </c>
      <c r="R29" s="59">
        <f t="shared" si="27"/>
        <v>0.99515785544764546</v>
      </c>
      <c r="S29" s="59">
        <f t="shared" si="27"/>
        <v>1.003889907145574</v>
      </c>
      <c r="T29" s="59">
        <f t="shared" si="27"/>
        <v>1.0167768381551106</v>
      </c>
      <c r="U29" s="59">
        <f t="shared" si="27"/>
        <v>0.9925400559792219</v>
      </c>
      <c r="V29" s="59">
        <f t="shared" si="27"/>
        <v>1</v>
      </c>
      <c r="W29" s="59">
        <f t="shared" si="27"/>
        <v>1.0081746910070331</v>
      </c>
      <c r="X29" s="59">
        <f t="shared" si="27"/>
        <v>0.98305049906726438</v>
      </c>
      <c r="Y29" s="59">
        <f t="shared" si="27"/>
        <v>0.97776404068356682</v>
      </c>
      <c r="Z29" s="59">
        <f t="shared" si="27"/>
        <v>1</v>
      </c>
      <c r="AA29" s="59">
        <f t="shared" si="27"/>
        <v>1.0022594655752057</v>
      </c>
      <c r="AB29" s="59">
        <f t="shared" si="27"/>
        <v>1.0035274148722593</v>
      </c>
      <c r="AC29" s="59">
        <f t="shared" si="27"/>
        <v>1.0162229175374524</v>
      </c>
      <c r="AD29" s="59">
        <f t="shared" si="27"/>
        <v>1</v>
      </c>
      <c r="AE29" s="59">
        <f t="shared" si="27"/>
        <v>1.0413980855277787</v>
      </c>
      <c r="AF29" s="59">
        <f t="shared" si="27"/>
        <v>1.0175357770335012</v>
      </c>
      <c r="AG29" s="59">
        <f t="shared" si="27"/>
        <v>0.91203657081409173</v>
      </c>
      <c r="AH29" s="59">
        <f t="shared" si="27"/>
        <v>0.99752102308162383</v>
      </c>
      <c r="AI29" s="59">
        <f t="shared" si="27"/>
        <v>1</v>
      </c>
      <c r="AJ29" s="59">
        <f t="shared" si="27"/>
        <v>1</v>
      </c>
      <c r="AK29" s="59">
        <f t="shared" ref="AK29:BP29" si="28">AK28/AK34</f>
        <v>0.98753308789699068</v>
      </c>
      <c r="AL29" s="59">
        <f t="shared" si="28"/>
        <v>0.9946741562600705</v>
      </c>
      <c r="AM29" s="59">
        <f t="shared" si="28"/>
        <v>1</v>
      </c>
      <c r="AN29" s="59">
        <f t="shared" si="28"/>
        <v>1</v>
      </c>
      <c r="AO29" s="59">
        <f t="shared" si="28"/>
        <v>0.99792363509375359</v>
      </c>
      <c r="AP29" s="59">
        <f t="shared" si="28"/>
        <v>1.0000550422089856</v>
      </c>
      <c r="AQ29" s="59">
        <f t="shared" si="28"/>
        <v>1.0000815066864626</v>
      </c>
      <c r="AR29" s="59">
        <f t="shared" si="28"/>
        <v>0.999410331398222</v>
      </c>
      <c r="AS29" s="59">
        <f t="shared" si="28"/>
        <v>1.0001093515141921</v>
      </c>
      <c r="AT29" s="59">
        <f t="shared" si="28"/>
        <v>0.9934648762635</v>
      </c>
      <c r="AU29" s="59">
        <f t="shared" si="28"/>
        <v>1</v>
      </c>
      <c r="AV29" s="59">
        <f t="shared" si="28"/>
        <v>1</v>
      </c>
      <c r="AW29" s="59">
        <f t="shared" si="28"/>
        <v>1.003647620173137</v>
      </c>
      <c r="AX29" s="59">
        <f t="shared" si="28"/>
        <v>1.0088448803418757</v>
      </c>
      <c r="AY29" s="59">
        <f t="shared" si="28"/>
        <v>1.0070294056304785</v>
      </c>
      <c r="AZ29" s="59">
        <f t="shared" si="28"/>
        <v>1.0028265849257521</v>
      </c>
      <c r="BA29" s="59">
        <f t="shared" si="28"/>
        <v>1.0058794872566761</v>
      </c>
      <c r="BB29" s="59">
        <f t="shared" si="28"/>
        <v>1.0050570296622909</v>
      </c>
      <c r="BC29" s="59">
        <f t="shared" si="28"/>
        <v>1.0062677435486838</v>
      </c>
      <c r="BD29" s="59">
        <f t="shared" si="28"/>
        <v>1.0049237161005351</v>
      </c>
      <c r="BE29" s="59">
        <f t="shared" si="28"/>
        <v>1.0137170860809535</v>
      </c>
      <c r="BF29" s="59">
        <f t="shared" si="28"/>
        <v>1.0024074308281787</v>
      </c>
      <c r="BG29" s="59">
        <f t="shared" si="28"/>
        <v>1.0025540386150429</v>
      </c>
      <c r="BH29" s="59">
        <f t="shared" si="28"/>
        <v>1.0028453559142125</v>
      </c>
      <c r="BI29" s="59">
        <f t="shared" si="28"/>
        <v>0.99705148792978104</v>
      </c>
      <c r="BJ29" s="59">
        <f t="shared" si="28"/>
        <v>0.99813572276335949</v>
      </c>
      <c r="BK29" s="59">
        <f t="shared" si="28"/>
        <v>1.007298029624915</v>
      </c>
      <c r="BL29" s="59">
        <f t="shared" si="28"/>
        <v>1.0042106432887021</v>
      </c>
      <c r="BM29" s="59">
        <f t="shared" si="28"/>
        <v>1.0060134696891359</v>
      </c>
      <c r="BN29" s="59">
        <f t="shared" si="28"/>
        <v>1.0027651401611701</v>
      </c>
      <c r="BO29" s="59">
        <f t="shared" si="28"/>
        <v>1.0082374168768262</v>
      </c>
      <c r="BP29" s="59">
        <f t="shared" si="28"/>
        <v>0.99960385996655343</v>
      </c>
      <c r="BQ29" s="59" t="e">
        <f t="shared" ref="BQ29:CK29" si="29">BQ28/BQ34</f>
        <v>#DIV/0!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35319095.43</v>
      </c>
      <c r="F30" s="26">
        <f>股权价值增加表!F20</f>
        <v>37229182</v>
      </c>
      <c r="G30" s="26">
        <f>股权价值增加表!G20</f>
        <v>18822094.550000001</v>
      </c>
      <c r="H30" s="26">
        <f>股权价值增加表!H20</f>
        <v>8870360.2899999991</v>
      </c>
      <c r="I30" s="26">
        <f>股权价值增加表!I20</f>
        <v>26299728.890000001</v>
      </c>
      <c r="J30" s="26">
        <f>股权价值增加表!J20</f>
        <v>5187464.43</v>
      </c>
      <c r="K30" s="26">
        <f>股权价值增加表!K20</f>
        <v>12605733.449999999</v>
      </c>
      <c r="L30" s="26">
        <f>股权价值增加表!L20</f>
        <v>0</v>
      </c>
      <c r="M30" s="26">
        <f>股权价值增加表!M20</f>
        <v>9932121.0500000007</v>
      </c>
      <c r="N30" s="26">
        <f>股权价值增加表!N20</f>
        <v>1745025.4</v>
      </c>
      <c r="O30" s="26">
        <f>股权价值增加表!O20</f>
        <v>1089662.45</v>
      </c>
      <c r="P30" s="26">
        <f>股权价值增加表!P20</f>
        <v>0</v>
      </c>
      <c r="Q30" s="26">
        <f>股权价值增加表!Q20</f>
        <v>2289834.85</v>
      </c>
      <c r="R30" s="26">
        <f>股权价值增加表!R20</f>
        <v>0</v>
      </c>
      <c r="S30" s="26">
        <f>股权价值增加表!S20</f>
        <v>0</v>
      </c>
      <c r="T30" s="26">
        <f>股权价值增加表!T20</f>
        <v>0</v>
      </c>
      <c r="U30" s="26">
        <f>股权价值增加表!U20</f>
        <v>-503092.29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380</v>
      </c>
      <c r="E31" s="59">
        <f>E30/E34</f>
        <v>1.6230736124417694E-2</v>
      </c>
      <c r="F31" s="59">
        <f t="shared" ref="F31:BQ31" si="30">F30/F34</f>
        <v>2.404079696334022E-2</v>
      </c>
      <c r="G31" s="59">
        <f t="shared" si="30"/>
        <v>1.8080881772074356E-2</v>
      </c>
      <c r="H31" s="59">
        <f t="shared" si="30"/>
        <v>1.6110345970471344E-2</v>
      </c>
      <c r="I31" s="59">
        <f t="shared" si="30"/>
        <v>1.3853768070895573E-2</v>
      </c>
      <c r="J31" s="59">
        <f t="shared" si="30"/>
        <v>3.74257443248803E-3</v>
      </c>
      <c r="K31" s="59">
        <f t="shared" si="30"/>
        <v>1.3905143119450616E-2</v>
      </c>
      <c r="L31" s="59">
        <f t="shared" si="30"/>
        <v>0</v>
      </c>
      <c r="M31" s="59">
        <f t="shared" si="30"/>
        <v>5.7358325060893221E-3</v>
      </c>
      <c r="N31" s="59">
        <f t="shared" si="30"/>
        <v>1.4153929159244902E-3</v>
      </c>
      <c r="O31" s="59">
        <f t="shared" si="30"/>
        <v>1.2745721813879022E-3</v>
      </c>
      <c r="P31" s="59">
        <f t="shared" si="30"/>
        <v>0</v>
      </c>
      <c r="Q31" s="59">
        <f t="shared" si="30"/>
        <v>1.4123108523011114E-3</v>
      </c>
      <c r="R31" s="59">
        <f t="shared" si="30"/>
        <v>0</v>
      </c>
      <c r="S31" s="59">
        <f t="shared" si="30"/>
        <v>0</v>
      </c>
      <c r="T31" s="59">
        <f t="shared" si="30"/>
        <v>0</v>
      </c>
      <c r="U31" s="59">
        <f t="shared" si="30"/>
        <v>-3.8790679849789572E-4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t="e">
        <f t="shared" si="30"/>
        <v>#DIV/0!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27707375.649999999</v>
      </c>
      <c r="F32" s="26">
        <f>股权价值增加表!F27</f>
        <v>4555288.55</v>
      </c>
      <c r="G32" s="26">
        <f>股权价值增加表!G27</f>
        <v>4547244.55</v>
      </c>
      <c r="H32" s="26">
        <f>股权价值增加表!H27</f>
        <v>6478032.5</v>
      </c>
      <c r="I32" s="26">
        <f>股权价值增加表!I27</f>
        <v>15757611.690000003</v>
      </c>
      <c r="J32" s="26">
        <f>股权价值增加表!J27</f>
        <v>-14540009.630000001</v>
      </c>
      <c r="K32" s="26">
        <f>股权价值增加表!K27</f>
        <v>-15509343.6</v>
      </c>
      <c r="L32" s="26">
        <f>股权价值增加表!L27</f>
        <v>-14750974.43</v>
      </c>
      <c r="M32" s="26">
        <f>股权价值增加表!M27</f>
        <v>37721442.039999992</v>
      </c>
      <c r="N32" s="26">
        <f>股权价值增加表!N27</f>
        <v>-32311132.5</v>
      </c>
      <c r="O32" s="26">
        <f>股权价值增加表!O27</f>
        <v>15509343.6</v>
      </c>
      <c r="P32" s="26">
        <f>股权价值增加表!P27</f>
        <v>-5109289.75</v>
      </c>
      <c r="Q32" s="26">
        <f>股权价值增加表!Q27</f>
        <v>118146017.66999999</v>
      </c>
      <c r="R32" s="26">
        <f>股权价值增加表!R27</f>
        <v>5027894.18</v>
      </c>
      <c r="S32" s="26">
        <f>股权价值增加表!S27</f>
        <v>-2729992.62</v>
      </c>
      <c r="T32" s="26">
        <f>股权价值增加表!T27</f>
        <v>-5823992.6100000003</v>
      </c>
      <c r="U32" s="26">
        <f>股权价值增加表!U27</f>
        <v>10178200.68</v>
      </c>
      <c r="V32" s="26">
        <f>股权价值增加表!V27</f>
        <v>0</v>
      </c>
      <c r="W32" s="26">
        <f>股权价值增加表!W27</f>
        <v>-5280000</v>
      </c>
      <c r="X32" s="26">
        <f>股权价值增加表!X27</f>
        <v>5610000</v>
      </c>
      <c r="Y32" s="26">
        <f>股权价值增加表!Y27</f>
        <v>25245402.309999999</v>
      </c>
      <c r="Z32" s="26">
        <f>股权价值增加表!Z27</f>
        <v>0</v>
      </c>
      <c r="AA32" s="26">
        <f>股权价值增加表!AA27</f>
        <v>-1320000</v>
      </c>
      <c r="AB32" s="26">
        <f>股权价值增加表!AB27</f>
        <v>-990000</v>
      </c>
      <c r="AC32" s="26">
        <f>股权价值增加表!AC27</f>
        <v>-16482526.359999999</v>
      </c>
      <c r="AD32" s="26">
        <f>股权价值增加表!AD27</f>
        <v>0</v>
      </c>
      <c r="AE32" s="26">
        <f>股权价值增加表!AE27</f>
        <v>-20130000</v>
      </c>
      <c r="AF32" s="26">
        <f>股权价值增加表!AF27</f>
        <v>-4290000</v>
      </c>
      <c r="AG32" s="26">
        <f>股权价值增加表!AG27</f>
        <v>84499126.680000007</v>
      </c>
      <c r="AH32" s="26">
        <f>股权价值增加表!AH27</f>
        <v>1796315.34</v>
      </c>
      <c r="AI32" s="26">
        <f>股权价值增加表!AI27</f>
        <v>0</v>
      </c>
      <c r="AJ32" s="26">
        <f>股权价值增加表!AJ27</f>
        <v>0</v>
      </c>
      <c r="AK32" s="26">
        <f>股权价值增加表!AK27</f>
        <v>10290046.76</v>
      </c>
      <c r="AL32" s="26">
        <f>股权价值增加表!AL27</f>
        <v>3371225.25</v>
      </c>
      <c r="AM32" s="26">
        <f>股权价值增加表!AM27</f>
        <v>0</v>
      </c>
      <c r="AN32" s="26">
        <f>股权价值增加表!AN27</f>
        <v>0</v>
      </c>
      <c r="AO32" s="26">
        <f>股权价值增加表!AO27</f>
        <v>1647609.4900000002</v>
      </c>
      <c r="AP32" s="26">
        <f>股权价值增加表!AP27</f>
        <v>-35196.129999999997</v>
      </c>
      <c r="AQ32" s="26">
        <f>股权价值增加表!AQ27</f>
        <v>-35196.129999999997</v>
      </c>
      <c r="AR32" s="26">
        <f>股权价值增加表!AR27</f>
        <v>129961.41</v>
      </c>
      <c r="AS32" s="26">
        <f>股权价值增加表!AS27</f>
        <v>-76523.789999999994</v>
      </c>
      <c r="AT32" s="26">
        <f>股权价值增加表!AT27</f>
        <v>3894218.07</v>
      </c>
      <c r="AU32" s="26">
        <f>股权价值增加表!AU27</f>
        <v>0</v>
      </c>
      <c r="AV32" s="26">
        <f>股权价值增加表!AV27</f>
        <v>0</v>
      </c>
      <c r="AW32" s="26">
        <f>股权价值增加表!AW27</f>
        <v>-2274644.3199999998</v>
      </c>
      <c r="AX32" s="26">
        <f>股权价值增加表!AX27</f>
        <v>-4307467.5</v>
      </c>
      <c r="AY32" s="26">
        <f>股权价值增加表!AY27</f>
        <v>-2072446.83</v>
      </c>
      <c r="AZ32" s="26">
        <f>股权价值增加表!AZ27</f>
        <v>-455432.01</v>
      </c>
      <c r="BA32" s="26">
        <f>股权价值增加表!BA27</f>
        <v>-2871791.97</v>
      </c>
      <c r="BB32" s="26">
        <f>股权价值增加表!BB27</f>
        <v>-1876295.55</v>
      </c>
      <c r="BC32" s="26">
        <f>股权价值增加表!BC27</f>
        <v>-1529677.19</v>
      </c>
      <c r="BD32" s="26">
        <f>股权价值增加表!BD27</f>
        <v>-542580.31999999995</v>
      </c>
      <c r="BE32" s="26">
        <f>股权价值增加表!BE27</f>
        <v>-6167739.1100000003</v>
      </c>
      <c r="BF32" s="26">
        <f>股权价值增加表!BF27</f>
        <v>-1028846.4</v>
      </c>
      <c r="BG32" s="26">
        <f>股权价值增加表!BG27</f>
        <v>-875054.97</v>
      </c>
      <c r="BH32" s="26">
        <f>股权价值增加表!BH27</f>
        <v>-524208.47</v>
      </c>
      <c r="BI32" s="26">
        <f>股权价值增加表!BI27</f>
        <v>1253739.29</v>
      </c>
      <c r="BJ32" s="26">
        <f>股权价值增加表!BJ27</f>
        <v>534427.34</v>
      </c>
      <c r="BK32" s="26">
        <f>股权价值增加表!BK27</f>
        <v>-851513.87</v>
      </c>
      <c r="BL32" s="26">
        <f>股权价值增加表!BL27</f>
        <v>-427379.04</v>
      </c>
      <c r="BM32" s="26">
        <f>股权价值增加表!BM27</f>
        <v>-2080674.95</v>
      </c>
      <c r="BN32" s="26">
        <f>股权价值增加表!BN27</f>
        <v>-449758.05</v>
      </c>
      <c r="BO32" s="26">
        <f>股权价值增加表!BO27</f>
        <v>-2402516.1</v>
      </c>
      <c r="BP32" s="26">
        <f>股权价值增加表!BP27</f>
        <v>117566.98</v>
      </c>
      <c r="BQ32" s="26">
        <f>股权价值增加表!BQ27</f>
        <v>0</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381</v>
      </c>
      <c r="E33" s="59">
        <f>E32/E34</f>
        <v>1.273280352738825E-2</v>
      </c>
      <c r="F33" s="59">
        <f t="shared" ref="F33:BQ33" si="32">F32/F34</f>
        <v>2.9415840278193186E-3</v>
      </c>
      <c r="G33" s="59">
        <f t="shared" si="32"/>
        <v>4.3681743750064971E-3</v>
      </c>
      <c r="H33" s="59">
        <f t="shared" si="32"/>
        <v>1.1765400882375817E-2</v>
      </c>
      <c r="I33" s="59">
        <f t="shared" si="32"/>
        <v>8.3005531584585419E-3</v>
      </c>
      <c r="J33" s="59">
        <f t="shared" si="32"/>
        <v>-1.0490109189889471E-2</v>
      </c>
      <c r="K33" s="59">
        <f t="shared" si="32"/>
        <v>-1.7108059860391184E-2</v>
      </c>
      <c r="L33" s="59">
        <f t="shared" si="32"/>
        <v>-3.368889501461194E-2</v>
      </c>
      <c r="M33" s="59">
        <f t="shared" si="32"/>
        <v>2.178425658934113E-2</v>
      </c>
      <c r="N33" s="59">
        <f t="shared" si="32"/>
        <v>-2.6207611674877375E-2</v>
      </c>
      <c r="O33" s="59">
        <f t="shared" si="32"/>
        <v>1.8141194003837152E-2</v>
      </c>
      <c r="P33" s="59">
        <f t="shared" si="32"/>
        <v>-1.2103412087336635E-2</v>
      </c>
      <c r="Q33" s="59">
        <f t="shared" si="32"/>
        <v>7.2869404931757337E-2</v>
      </c>
      <c r="R33" s="59">
        <f t="shared" si="32"/>
        <v>4.8421445523545688E-3</v>
      </c>
      <c r="S33" s="59">
        <f t="shared" si="32"/>
        <v>-3.8899071455739918E-3</v>
      </c>
      <c r="T33" s="59">
        <f t="shared" si="32"/>
        <v>-1.6776838155110548E-2</v>
      </c>
      <c r="U33" s="59">
        <f t="shared" si="32"/>
        <v>7.8478508192759335E-3</v>
      </c>
      <c r="V33" s="59">
        <f t="shared" si="32"/>
        <v>0</v>
      </c>
      <c r="W33" s="59">
        <f t="shared" si="32"/>
        <v>-8.1746910070329918E-3</v>
      </c>
      <c r="X33" s="59">
        <f t="shared" si="32"/>
        <v>1.6949500932735617E-2</v>
      </c>
      <c r="Y33" s="59">
        <f t="shared" si="32"/>
        <v>2.2235959316433237E-2</v>
      </c>
      <c r="Z33" s="59">
        <f t="shared" si="32"/>
        <v>0</v>
      </c>
      <c r="AA33" s="59">
        <f t="shared" si="32"/>
        <v>-2.2594655752058205E-3</v>
      </c>
      <c r="AB33" s="59">
        <f t="shared" si="32"/>
        <v>-3.5274148722593676E-3</v>
      </c>
      <c r="AC33" s="59">
        <f t="shared" si="32"/>
        <v>-1.6222917537452336E-2</v>
      </c>
      <c r="AD33" s="59">
        <f t="shared" si="32"/>
        <v>0</v>
      </c>
      <c r="AE33" s="59">
        <f t="shared" si="32"/>
        <v>-4.1398085527778627E-2</v>
      </c>
      <c r="AF33" s="59">
        <f t="shared" si="32"/>
        <v>-1.7535777033501159E-2</v>
      </c>
      <c r="AG33" s="59">
        <f t="shared" si="32"/>
        <v>8.7963429185908215E-2</v>
      </c>
      <c r="AH33" s="59">
        <f t="shared" si="32"/>
        <v>2.4789769183761745E-3</v>
      </c>
      <c r="AI33" s="59">
        <f t="shared" si="32"/>
        <v>0</v>
      </c>
      <c r="AJ33" s="59">
        <f t="shared" si="32"/>
        <v>0</v>
      </c>
      <c r="AK33" s="59">
        <f t="shared" si="32"/>
        <v>1.2466912103009289E-2</v>
      </c>
      <c r="AL33" s="59">
        <f t="shared" si="32"/>
        <v>5.325843739929532E-3</v>
      </c>
      <c r="AM33" s="59">
        <f t="shared" si="32"/>
        <v>0</v>
      </c>
      <c r="AN33" s="59">
        <f t="shared" si="32"/>
        <v>0</v>
      </c>
      <c r="AO33" s="59">
        <f t="shared" si="32"/>
        <v>2.0763649062464163E-3</v>
      </c>
      <c r="AP33" s="59">
        <f t="shared" si="32"/>
        <v>-5.5042208985672015E-5</v>
      </c>
      <c r="AQ33" s="59">
        <f t="shared" si="32"/>
        <v>-8.1506686462578569E-5</v>
      </c>
      <c r="AR33" s="59">
        <f t="shared" si="32"/>
        <v>5.8966860177805242E-4</v>
      </c>
      <c r="AS33" s="59">
        <f t="shared" si="32"/>
        <v>-1.0935151419215446E-4</v>
      </c>
      <c r="AT33" s="59">
        <f t="shared" si="32"/>
        <v>6.5351237364999638E-3</v>
      </c>
      <c r="AU33" s="59">
        <f t="shared" si="32"/>
        <v>0</v>
      </c>
      <c r="AV33" s="59">
        <f t="shared" si="32"/>
        <v>0</v>
      </c>
      <c r="AW33" s="59">
        <f t="shared" si="32"/>
        <v>-3.6476201731370293E-3</v>
      </c>
      <c r="AX33" s="59">
        <f t="shared" si="32"/>
        <v>-8.8448803418757684E-3</v>
      </c>
      <c r="AY33" s="59">
        <f t="shared" si="32"/>
        <v>-7.0294056304785659E-3</v>
      </c>
      <c r="AZ33" s="59">
        <f t="shared" si="32"/>
        <v>-2.8265849257521941E-3</v>
      </c>
      <c r="BA33" s="59">
        <f t="shared" si="32"/>
        <v>-5.8794872566760034E-3</v>
      </c>
      <c r="BB33" s="59">
        <f t="shared" si="32"/>
        <v>-5.0570296622908621E-3</v>
      </c>
      <c r="BC33" s="59">
        <f t="shared" si="32"/>
        <v>-6.2677435486836654E-3</v>
      </c>
      <c r="BD33" s="59">
        <f t="shared" si="32"/>
        <v>-4.9237161005352371E-3</v>
      </c>
      <c r="BE33" s="59">
        <f t="shared" si="32"/>
        <v>-1.3717086080953372E-2</v>
      </c>
      <c r="BF33" s="59">
        <f t="shared" si="32"/>
        <v>-2.4074308281788635E-3</v>
      </c>
      <c r="BG33" s="59">
        <f t="shared" si="32"/>
        <v>-2.5540386150428615E-3</v>
      </c>
      <c r="BH33" s="59">
        <f t="shared" si="32"/>
        <v>-2.8453559142125281E-3</v>
      </c>
      <c r="BI33" s="59">
        <f t="shared" si="32"/>
        <v>2.9485120702188988E-3</v>
      </c>
      <c r="BJ33" s="59">
        <f t="shared" si="32"/>
        <v>1.8642772366406115E-3</v>
      </c>
      <c r="BK33" s="59">
        <f t="shared" si="32"/>
        <v>-7.2980296249148613E-3</v>
      </c>
      <c r="BL33" s="59">
        <f t="shared" si="32"/>
        <v>-4.2106432887019912E-3</v>
      </c>
      <c r="BM33" s="59">
        <f t="shared" si="32"/>
        <v>-6.0134696891359163E-3</v>
      </c>
      <c r="BN33" s="59">
        <f t="shared" si="32"/>
        <v>-2.7651401611699959E-3</v>
      </c>
      <c r="BO33" s="59">
        <f t="shared" si="32"/>
        <v>-8.2374168768261941E-3</v>
      </c>
      <c r="BP33" s="59">
        <f t="shared" si="32"/>
        <v>3.9614003344647179E-4</v>
      </c>
      <c r="BQ33" s="59" t="e">
        <f t="shared" si="32"/>
        <v>#DIV/0!</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377</v>
      </c>
      <c r="E34" s="58">
        <f>股权价值增加表!E31</f>
        <v>2176062450.8499999</v>
      </c>
      <c r="F34" s="58">
        <f>股权价值增加表!F31</f>
        <v>1548583520.6199999</v>
      </c>
      <c r="G34" s="58">
        <f>股权价值增加表!G31</f>
        <v>1040994282.6499999</v>
      </c>
      <c r="H34" s="58">
        <f>股权价值增加表!H31</f>
        <v>550600235.79000008</v>
      </c>
      <c r="I34" s="58">
        <f>股权价值增加表!I31</f>
        <v>1898380913.8</v>
      </c>
      <c r="J34" s="58">
        <f>股权价值增加表!J31</f>
        <v>1386068473.3399997</v>
      </c>
      <c r="K34" s="58">
        <f>股权价值增加表!K31</f>
        <v>906551866.57999992</v>
      </c>
      <c r="L34" s="58">
        <f>股权价值增加表!L31</f>
        <v>437858660.06</v>
      </c>
      <c r="M34" s="58">
        <f>股权价值增加表!M31</f>
        <v>1731591890.0099995</v>
      </c>
      <c r="N34" s="58">
        <f>股权价值增加表!N31</f>
        <v>1232891150.1300006</v>
      </c>
      <c r="O34" s="58">
        <f>股权价值增加表!O31</f>
        <v>854924080.34000003</v>
      </c>
      <c r="P34" s="58">
        <f>股权价值增加表!P31</f>
        <v>422136312.73000002</v>
      </c>
      <c r="Q34" s="58">
        <f>股权价值增加表!Q31</f>
        <v>1621339131.0200005</v>
      </c>
      <c r="R34" s="58">
        <f>股权价值增加表!R31</f>
        <v>1038361024.8800001</v>
      </c>
      <c r="S34" s="58">
        <f>股权价值增加表!S31</f>
        <v>701814341.01999998</v>
      </c>
      <c r="T34" s="58">
        <f>股权价值增加表!T31</f>
        <v>347144828.84999996</v>
      </c>
      <c r="U34" s="58">
        <f>股权价值增加表!U31</f>
        <v>1296941151.7100005</v>
      </c>
      <c r="V34" s="58">
        <f>股权价值增加表!V31</f>
        <v>955402285.97000003</v>
      </c>
      <c r="W34" s="58">
        <f>股权价值增加表!W31</f>
        <v>645895972.76000023</v>
      </c>
      <c r="X34" s="58">
        <f>股权价值增加表!X31</f>
        <v>330983196.62999994</v>
      </c>
      <c r="Y34" s="58">
        <f>股权价值增加表!Y31</f>
        <v>1135341270.8999996</v>
      </c>
      <c r="Z34" s="58">
        <f>股权价值增加表!Z31</f>
        <v>863340705.32999969</v>
      </c>
      <c r="AA34" s="58">
        <f>股权价值增加表!AA31</f>
        <v>584208945.0200001</v>
      </c>
      <c r="AB34" s="58">
        <f>股权价值增加表!AB31</f>
        <v>280658792.87000018</v>
      </c>
      <c r="AC34" s="58">
        <f>股权价值增加表!AC31</f>
        <v>1016002597.6799998</v>
      </c>
      <c r="AD34" s="58">
        <f>股权价值增加表!AD31</f>
        <v>776651069.44999981</v>
      </c>
      <c r="AE34" s="58">
        <f>股权价值增加表!AE31</f>
        <v>486254370.06</v>
      </c>
      <c r="AF34" s="58">
        <f>股权价值增加表!AF31</f>
        <v>244642709.11999995</v>
      </c>
      <c r="AG34" s="58">
        <f>股权价值增加表!AG31</f>
        <v>960616559.20000005</v>
      </c>
      <c r="AH34" s="58">
        <f>股权价值增加表!AH31</f>
        <v>724619631.0600003</v>
      </c>
      <c r="AI34" s="58">
        <f>股权价值增加表!AI31</f>
        <v>455414925.74000007</v>
      </c>
      <c r="AJ34" s="58">
        <f>股权价值增加表!AJ31</f>
        <v>245362277.28999996</v>
      </c>
      <c r="AK34" s="58">
        <f>股权价值增加表!AK31</f>
        <v>825388570.55999994</v>
      </c>
      <c r="AL34" s="58">
        <f>股权价值增加表!AL31</f>
        <v>632993646.56999981</v>
      </c>
      <c r="AM34" s="58">
        <f>股权价值增加表!AM31</f>
        <v>422298417.33000004</v>
      </c>
      <c r="AN34" s="58">
        <f>股权价值增加表!AN31</f>
        <v>204149471.21000007</v>
      </c>
      <c r="AO34" s="58">
        <f>股权价值增加表!AO31</f>
        <v>793506712.15999985</v>
      </c>
      <c r="AP34" s="58">
        <f>股权价值增加表!AP31</f>
        <v>639438907.86000013</v>
      </c>
      <c r="AQ34" s="58">
        <f>股权价值增加表!AQ31</f>
        <v>431818928.33000004</v>
      </c>
      <c r="AR34" s="58">
        <f>股权价值增加表!AR31</f>
        <v>220397371.68999997</v>
      </c>
      <c r="AS34" s="58">
        <f>股权价值增加表!AS31</f>
        <v>699796345.44000006</v>
      </c>
      <c r="AT34" s="58">
        <f>股权价值增加表!AT31</f>
        <v>595890487.62</v>
      </c>
      <c r="AU34" s="58">
        <f>股权价值增加表!AU31</f>
        <v>364575201.75000012</v>
      </c>
      <c r="AV34" s="58">
        <f>股权价值增加表!AV31</f>
        <v>178965229.98000005</v>
      </c>
      <c r="AW34" s="58">
        <f>股权价值增加表!AW31</f>
        <v>623596814.37000012</v>
      </c>
      <c r="AX34" s="58">
        <f>股权价值增加表!AX31</f>
        <v>487001218.05000001</v>
      </c>
      <c r="AY34" s="58">
        <f>股权价值增加表!AY31</f>
        <v>294825329.3300001</v>
      </c>
      <c r="AZ34" s="58">
        <f>股权价值增加表!AZ31</f>
        <v>161124474.22</v>
      </c>
      <c r="BA34" s="58">
        <f>股权价值增加表!BA31</f>
        <v>488442587.69999981</v>
      </c>
      <c r="BB34" s="58">
        <f>股权价值增加表!BB31</f>
        <v>371027198.8300001</v>
      </c>
      <c r="BC34" s="58">
        <f>股权价值增加表!BC31</f>
        <v>244055484.74000004</v>
      </c>
      <c r="BD34" s="58">
        <f>股权价值增加表!BD31</f>
        <v>110197320.26000001</v>
      </c>
      <c r="BE34" s="58">
        <f>股权价值增加表!BE31</f>
        <v>449639163.41999996</v>
      </c>
      <c r="BF34" s="58">
        <f>股权价值增加表!BF31</f>
        <v>427362808.5</v>
      </c>
      <c r="BG34" s="58">
        <f>股权价值增加表!BG31</f>
        <v>342616186.32000005</v>
      </c>
      <c r="BH34" s="58">
        <f>股权价值增加表!BH31</f>
        <v>184233004.87</v>
      </c>
      <c r="BI34" s="58">
        <f>股权价值增加表!BI31</f>
        <v>425210838.60000002</v>
      </c>
      <c r="BJ34" s="58">
        <f>股权价值增加表!BJ31</f>
        <v>286667309.72000003</v>
      </c>
      <c r="BK34" s="58">
        <f>股权价值增加表!BK31</f>
        <v>116677228.48</v>
      </c>
      <c r="BL34" s="58">
        <f>股权价值增加表!BL31</f>
        <v>101499702.22999999</v>
      </c>
      <c r="BM34" s="58">
        <f>股权价值增加表!BM31</f>
        <v>346002400.87000006</v>
      </c>
      <c r="BN34" s="58">
        <f>股权价值增加表!BN31</f>
        <v>162652894.16999996</v>
      </c>
      <c r="BO34" s="58">
        <f>股权价值增加表!BO31</f>
        <v>291658918.79999995</v>
      </c>
      <c r="BP34" s="58">
        <f>股权价值增加表!BP31</f>
        <v>296781365.36000007</v>
      </c>
      <c r="BQ34" s="58">
        <f>股权价值增加表!BQ31</f>
        <v>0</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6" t="s">
        <v>678</v>
      </c>
      <c r="B35" s="287"/>
      <c r="C35" s="287"/>
      <c r="D35" s="287"/>
      <c r="E35" s="287"/>
      <c r="F35" s="287"/>
      <c r="G35" s="287"/>
      <c r="H35" s="287"/>
      <c r="I35" s="287"/>
      <c r="J35" s="287"/>
      <c r="K35" s="287"/>
      <c r="L35" s="287"/>
      <c r="M35" s="287"/>
      <c r="N35" s="287"/>
      <c r="O35" s="287"/>
      <c r="P35" s="287"/>
      <c r="Q35" s="287"/>
      <c r="R35" s="287"/>
      <c r="S35" s="287"/>
      <c r="T35" s="287"/>
      <c r="U35" s="287"/>
      <c r="V35" s="287"/>
      <c r="W35" s="287"/>
      <c r="X35" s="287"/>
      <c r="Y35" s="287"/>
      <c r="Z35" s="287"/>
      <c r="AA35" s="287"/>
      <c r="AB35" s="287"/>
      <c r="AC35" s="287"/>
      <c r="AD35" s="287"/>
      <c r="AE35" s="287"/>
      <c r="AF35" s="287"/>
      <c r="AG35" s="287"/>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36891</v>
      </c>
      <c r="BQ38" s="1">
        <v>25569</v>
      </c>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2176062450.8499999</v>
      </c>
      <c r="F39" s="26">
        <f>股权价值增加表!F31</f>
        <v>1548583520.6199999</v>
      </c>
      <c r="G39" s="26">
        <f>股权价值增加表!G31</f>
        <v>1040994282.6499999</v>
      </c>
      <c r="H39" s="26">
        <f>股权价值增加表!H31</f>
        <v>550600235.79000008</v>
      </c>
      <c r="I39" s="26">
        <f>股权价值增加表!I31</f>
        <v>1898380913.8</v>
      </c>
      <c r="J39" s="26">
        <f>股权价值增加表!J31</f>
        <v>1386068473.3399997</v>
      </c>
      <c r="K39" s="26">
        <f>股权价值增加表!K31</f>
        <v>906551866.57999992</v>
      </c>
      <c r="L39" s="26">
        <f>股权价值增加表!L31</f>
        <v>437858660.06</v>
      </c>
      <c r="M39" s="26">
        <f>股权价值增加表!M31</f>
        <v>1731591890.0099995</v>
      </c>
      <c r="N39" s="26">
        <f>股权价值增加表!N31</f>
        <v>1232891150.1300006</v>
      </c>
      <c r="O39" s="26">
        <f>股权价值增加表!O31</f>
        <v>854924080.34000003</v>
      </c>
      <c r="P39" s="26">
        <f>股权价值增加表!P31</f>
        <v>422136312.73000002</v>
      </c>
      <c r="Q39" s="26">
        <f>股权价值增加表!Q31</f>
        <v>1621339131.0200005</v>
      </c>
      <c r="R39" s="26">
        <f>股权价值增加表!R31</f>
        <v>1038361024.8800001</v>
      </c>
      <c r="S39" s="26">
        <f>股权价值增加表!S31</f>
        <v>701814341.01999998</v>
      </c>
      <c r="T39" s="26">
        <f>股权价值增加表!T31</f>
        <v>347144828.84999996</v>
      </c>
      <c r="U39" s="26">
        <f>股权价值增加表!U31</f>
        <v>1296941151.7100005</v>
      </c>
      <c r="V39" s="26">
        <f>股权价值增加表!V31</f>
        <v>955402285.97000003</v>
      </c>
      <c r="W39" s="26">
        <f>股权价值增加表!W31</f>
        <v>645895972.76000023</v>
      </c>
      <c r="X39" s="26">
        <f>股权价值增加表!X31</f>
        <v>330983196.62999994</v>
      </c>
      <c r="Y39" s="26">
        <f>股权价值增加表!Y31</f>
        <v>1135341270.8999996</v>
      </c>
      <c r="Z39" s="26">
        <f>股权价值增加表!Z31</f>
        <v>863340705.32999969</v>
      </c>
      <c r="AA39" s="26">
        <f>股权价值增加表!AA31</f>
        <v>584208945.0200001</v>
      </c>
      <c r="AB39" s="26">
        <f>股权价值增加表!AB31</f>
        <v>280658792.87000018</v>
      </c>
      <c r="AC39" s="26">
        <f>股权价值增加表!AC31</f>
        <v>1016002597.6799998</v>
      </c>
      <c r="AD39" s="26">
        <f>股权价值增加表!AD31</f>
        <v>776651069.44999981</v>
      </c>
      <c r="AE39" s="26">
        <f>股权价值增加表!AE31</f>
        <v>486254370.06</v>
      </c>
      <c r="AF39" s="26">
        <f>股权价值增加表!AF31</f>
        <v>244642709.11999995</v>
      </c>
      <c r="AG39" s="26">
        <f>股权价值增加表!AG31</f>
        <v>960616559.20000005</v>
      </c>
      <c r="AH39" s="26">
        <f>股权价值增加表!AH31</f>
        <v>724619631.0600003</v>
      </c>
      <c r="AI39" s="26">
        <f>股权价值增加表!AI31</f>
        <v>455414925.74000007</v>
      </c>
      <c r="AJ39" s="26">
        <f>股权价值增加表!AJ31</f>
        <v>245362277.28999996</v>
      </c>
      <c r="AK39" s="26">
        <f>股权价值增加表!AK31</f>
        <v>825388570.55999994</v>
      </c>
      <c r="AL39" s="26">
        <f>股权价值增加表!AL31</f>
        <v>632993646.56999981</v>
      </c>
      <c r="AM39" s="26">
        <f>股权价值增加表!AM31</f>
        <v>422298417.33000004</v>
      </c>
      <c r="AN39" s="26">
        <f>股权价值增加表!AN31</f>
        <v>204149471.21000007</v>
      </c>
      <c r="AO39" s="26">
        <f>股权价值增加表!AO31</f>
        <v>793506712.15999985</v>
      </c>
      <c r="AP39" s="26">
        <f>股权价值增加表!AP31</f>
        <v>639438907.86000013</v>
      </c>
      <c r="AQ39" s="26">
        <f>股权价值增加表!AQ31</f>
        <v>431818928.33000004</v>
      </c>
      <c r="AR39" s="26">
        <f>股权价值增加表!AR31</f>
        <v>220397371.68999997</v>
      </c>
      <c r="AS39" s="26">
        <f>股权价值增加表!AS31</f>
        <v>699796345.44000006</v>
      </c>
      <c r="AT39" s="26">
        <f>股权价值增加表!AT31</f>
        <v>595890487.62</v>
      </c>
      <c r="AU39" s="26">
        <f>股权价值增加表!AU31</f>
        <v>364575201.75000012</v>
      </c>
      <c r="AV39" s="26">
        <f>股权价值增加表!AV31</f>
        <v>178965229.98000005</v>
      </c>
      <c r="AW39" s="26">
        <f>股权价值增加表!AW31</f>
        <v>623596814.37000012</v>
      </c>
      <c r="AX39" s="26">
        <f>股权价值增加表!AX31</f>
        <v>487001218.05000001</v>
      </c>
      <c r="AY39" s="26">
        <f>股权价值增加表!AY31</f>
        <v>294825329.3300001</v>
      </c>
      <c r="AZ39" s="26">
        <f>股权价值增加表!AZ31</f>
        <v>161124474.22</v>
      </c>
      <c r="BA39" s="26">
        <f>股权价值增加表!BA31</f>
        <v>488442587.69999981</v>
      </c>
      <c r="BB39" s="26">
        <f>股权价值增加表!BB31</f>
        <v>371027198.8300001</v>
      </c>
      <c r="BC39" s="26">
        <f>股权价值增加表!BC31</f>
        <v>244055484.74000004</v>
      </c>
      <c r="BD39" s="26">
        <f>股权价值增加表!BD31</f>
        <v>110197320.26000001</v>
      </c>
      <c r="BE39" s="26">
        <f>股权价值增加表!BE31</f>
        <v>449639163.41999996</v>
      </c>
      <c r="BF39" s="26">
        <f>股权价值增加表!BF31</f>
        <v>427362808.5</v>
      </c>
      <c r="BG39" s="26">
        <f>股权价值增加表!BG31</f>
        <v>342616186.32000005</v>
      </c>
      <c r="BH39" s="26">
        <f>股权价值增加表!BH31</f>
        <v>184233004.87</v>
      </c>
      <c r="BI39" s="26">
        <f>股权价值增加表!BI31</f>
        <v>425210838.60000002</v>
      </c>
      <c r="BJ39" s="26">
        <f>股权价值增加表!BJ31</f>
        <v>286667309.72000003</v>
      </c>
      <c r="BK39" s="26">
        <f>股权价值增加表!BK31</f>
        <v>116677228.48</v>
      </c>
      <c r="BL39" s="26">
        <f>股权价值增加表!BL31</f>
        <v>101499702.22999999</v>
      </c>
      <c r="BM39" s="26">
        <f>股权价值增加表!BM31</f>
        <v>346002400.87000006</v>
      </c>
      <c r="BN39" s="26">
        <f>股权价值增加表!BN31</f>
        <v>162652894.16999996</v>
      </c>
      <c r="BO39" s="26">
        <f>股权价值增加表!BO31</f>
        <v>291658918.79999995</v>
      </c>
      <c r="BP39" s="26">
        <f>股权价值增加表!BP31</f>
        <v>296781365.36000007</v>
      </c>
      <c r="BQ39" s="26">
        <f>股权价值增加表!BQ31</f>
        <v>0</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2123176431.3699999</v>
      </c>
      <c r="F40" s="26">
        <f>股权价值增加表!F38</f>
        <v>1550852248.4799998</v>
      </c>
      <c r="G40" s="26">
        <f>股权价值增加表!G38</f>
        <v>1044088194.8999999</v>
      </c>
      <c r="H40" s="26">
        <f>股权价值增加表!H38</f>
        <v>552685101.54000008</v>
      </c>
      <c r="I40" s="26">
        <f>股权价值增加表!I38</f>
        <v>1887326434.0999999</v>
      </c>
      <c r="J40" s="26">
        <f>股权价值增加表!J38</f>
        <v>1406349577.6199996</v>
      </c>
      <c r="K40" s="26">
        <f>股权价值增加表!K38</f>
        <v>922950928.68999994</v>
      </c>
      <c r="L40" s="26">
        <f>股权价值增加表!L38</f>
        <v>446540909.11000001</v>
      </c>
      <c r="M40" s="26">
        <f>股权价值增加表!M38</f>
        <v>1728286958.4999995</v>
      </c>
      <c r="N40" s="26">
        <f>股权价值增加表!N38</f>
        <v>1261807500.1200006</v>
      </c>
      <c r="O40" s="26">
        <f>股权价值增加表!O38</f>
        <v>880879386.66000009</v>
      </c>
      <c r="P40" s="26">
        <f>股权价值增加表!P38</f>
        <v>430896569.27000004</v>
      </c>
      <c r="Q40" s="26">
        <f>股权价值增加表!Q38</f>
        <v>1618488689.4900005</v>
      </c>
      <c r="R40" s="26">
        <f>股权价值增加表!R38</f>
        <v>1054791856.3700001</v>
      </c>
      <c r="S40" s="26">
        <f>股权价值增加表!S38</f>
        <v>714092223.15999997</v>
      </c>
      <c r="T40" s="26">
        <f>股权价值增加表!T38</f>
        <v>350872273.33999997</v>
      </c>
      <c r="U40" s="26">
        <f>股权价值增加表!U38</f>
        <v>1272691487.7800004</v>
      </c>
      <c r="V40" s="26">
        <f>股权价值增加表!V38</f>
        <v>941513019.37</v>
      </c>
      <c r="W40" s="26">
        <f>股权价值增加表!W38</f>
        <v>630070159.33000028</v>
      </c>
      <c r="X40" s="26">
        <f>股权价值增加表!X38</f>
        <v>320646301.32999992</v>
      </c>
      <c r="Y40" s="26">
        <f>股权价值增加表!Y38</f>
        <v>1067230396.1199996</v>
      </c>
      <c r="Z40" s="26">
        <f>股权价值增加表!Z38</f>
        <v>812729475.40999973</v>
      </c>
      <c r="AA40" s="26">
        <f>股权价值增加表!AA38</f>
        <v>546987167.83000016</v>
      </c>
      <c r="AB40" s="26">
        <f>股权价值增加表!AB38</f>
        <v>259062968.78000018</v>
      </c>
      <c r="AC40" s="26">
        <f>股权价值增加表!AC38</f>
        <v>931754510.33999979</v>
      </c>
      <c r="AD40" s="26">
        <f>股权价值增加表!AD38</f>
        <v>725206336.18999982</v>
      </c>
      <c r="AE40" s="26">
        <f>股权价值增加表!AE38</f>
        <v>456166075.52999997</v>
      </c>
      <c r="AF40" s="26">
        <f>股权价值增加表!AF38</f>
        <v>228066885.10999995</v>
      </c>
      <c r="AG40" s="26">
        <f>股权价值增加表!AG38</f>
        <v>899403097.38</v>
      </c>
      <c r="AH40" s="26">
        <f>股权价值增加表!AH38</f>
        <v>656595056.28000033</v>
      </c>
      <c r="AI40" s="26">
        <f>股权价值增加表!AI38</f>
        <v>398646635.97000009</v>
      </c>
      <c r="AJ40" s="26">
        <f>股权价值增加表!AJ38</f>
        <v>224890905.39999998</v>
      </c>
      <c r="AK40" s="26">
        <f>股权价值增加表!AK38</f>
        <v>748527367.45999992</v>
      </c>
      <c r="AL40" s="26">
        <f>股权价值增加表!AL38</f>
        <v>549179352.9599998</v>
      </c>
      <c r="AM40" s="26">
        <f>股权价值增加表!AM38</f>
        <v>362305306.15000004</v>
      </c>
      <c r="AN40" s="26">
        <f>股权价值增加表!AN38</f>
        <v>177048412.33000007</v>
      </c>
      <c r="AO40" s="26">
        <f>股权价值增加表!AO38</f>
        <v>686928728.0999999</v>
      </c>
      <c r="AP40" s="26">
        <f>股权价值增加表!AP38</f>
        <v>554659526.41000009</v>
      </c>
      <c r="AQ40" s="26">
        <f>股权价值增加表!AQ38</f>
        <v>369423677.38000005</v>
      </c>
      <c r="AR40" s="26">
        <f>股权价值增加表!AR38</f>
        <v>189795408.36999997</v>
      </c>
      <c r="AS40" s="26">
        <f>股权价值增加表!AS38</f>
        <v>598610117.04000008</v>
      </c>
      <c r="AT40" s="26">
        <f>股权价值增加表!AT38</f>
        <v>515056478.07999998</v>
      </c>
      <c r="AU40" s="26">
        <f>股权价值增加表!AU38</f>
        <v>306898218.41000009</v>
      </c>
      <c r="AV40" s="26">
        <f>股权价值增加表!AV38</f>
        <v>153834679.15000004</v>
      </c>
      <c r="AW40" s="26">
        <f>股权价值增加表!AW38</f>
        <v>470503658.85000014</v>
      </c>
      <c r="AX40" s="26">
        <f>股权价值增加表!AX38</f>
        <v>364444212.5</v>
      </c>
      <c r="AY40" s="26">
        <f>股权价值增加表!AY38</f>
        <v>216049042.67000011</v>
      </c>
      <c r="AZ40" s="26">
        <f>股权价值增加表!AZ38</f>
        <v>120340345.13</v>
      </c>
      <c r="BA40" s="26">
        <f>股权价值增加表!BA38</f>
        <v>398035276.46999979</v>
      </c>
      <c r="BB40" s="26">
        <f>股权价值增加表!BB38</f>
        <v>315652680.91000009</v>
      </c>
      <c r="BC40" s="26">
        <f>股权价值增加表!BC38</f>
        <v>214420336.20000005</v>
      </c>
      <c r="BD40" s="26">
        <f>股权价值增加表!BD38</f>
        <v>94187627.100000009</v>
      </c>
      <c r="BE40" s="26">
        <f>股权价值增加表!BE38</f>
        <v>441522806.26999998</v>
      </c>
      <c r="BF40" s="26">
        <f>股权价值增加表!BF38</f>
        <v>414794360.70999998</v>
      </c>
      <c r="BG40" s="26">
        <f>股权价值增加表!BG38</f>
        <v>347942788.25000006</v>
      </c>
      <c r="BH40" s="26">
        <f>股权价值增加表!BH38</f>
        <v>186202093.30000001</v>
      </c>
      <c r="BI40" s="26">
        <f>股权价值增加表!BI38</f>
        <v>448388272.60000002</v>
      </c>
      <c r="BJ40" s="26">
        <f>股权价值增加表!BJ38</f>
        <v>306872665.28000003</v>
      </c>
      <c r="BK40" s="26">
        <f>股权价值增加表!BK38</f>
        <v>133821844.83000001</v>
      </c>
      <c r="BL40" s="26">
        <f>股权价值增加表!BL38</f>
        <v>107102487.20999999</v>
      </c>
      <c r="BM40" s="26">
        <f>股权价值增加表!BM38</f>
        <v>355198319.56000006</v>
      </c>
      <c r="BN40" s="26">
        <f>股权价值增加表!BN38</f>
        <v>165678370.14999995</v>
      </c>
      <c r="BO40" s="26">
        <f>股权价值增加表!BO38</f>
        <v>301640895.83999997</v>
      </c>
      <c r="BP40" s="26">
        <f>股权价值增加表!BP38</f>
        <v>306194904.11000007</v>
      </c>
      <c r="BQ40" s="26">
        <f>股权价值增加表!BQ38</f>
        <v>0</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2.4303539385711059E-2</v>
      </c>
      <c r="F41" s="59">
        <f t="shared" ref="F41:BQ41" si="34">1-F40/F39</f>
        <v>-1.4650342263047289E-3</v>
      </c>
      <c r="G41" s="59">
        <f t="shared" si="34"/>
        <v>-2.9720742001810851E-3</v>
      </c>
      <c r="H41" s="59">
        <f t="shared" si="34"/>
        <v>-3.7865326138275535E-3</v>
      </c>
      <c r="I41" s="59">
        <f t="shared" si="34"/>
        <v>5.8231093768595921E-3</v>
      </c>
      <c r="J41" s="59">
        <f t="shared" si="34"/>
        <v>-1.4632108492539819E-2</v>
      </c>
      <c r="K41" s="59">
        <f t="shared" si="34"/>
        <v>-1.8089491307172523E-2</v>
      </c>
      <c r="L41" s="59">
        <f t="shared" si="34"/>
        <v>-1.9828885076317304E-2</v>
      </c>
      <c r="M41" s="59">
        <f t="shared" si="34"/>
        <v>1.9086087946397212E-3</v>
      </c>
      <c r="N41" s="59">
        <f t="shared" si="34"/>
        <v>-2.3454098106674648E-2</v>
      </c>
      <c r="O41" s="59">
        <f t="shared" si="34"/>
        <v>-3.0359779209491622E-2</v>
      </c>
      <c r="P41" s="59">
        <f t="shared" si="34"/>
        <v>-2.0752198462497873E-2</v>
      </c>
      <c r="Q41" s="59">
        <f t="shared" si="34"/>
        <v>1.7580785385761244E-3</v>
      </c>
      <c r="R41" s="59">
        <f t="shared" si="34"/>
        <v>-1.5823813776040918E-2</v>
      </c>
      <c r="S41" s="59">
        <f t="shared" si="34"/>
        <v>-1.7494487391288782E-2</v>
      </c>
      <c r="T41" s="59">
        <f t="shared" si="34"/>
        <v>-1.0737433429004462E-2</v>
      </c>
      <c r="U41" s="59">
        <f t="shared" si="34"/>
        <v>1.8697582305895022E-2</v>
      </c>
      <c r="V41" s="59">
        <f t="shared" si="34"/>
        <v>1.4537610809564394E-2</v>
      </c>
      <c r="W41" s="59">
        <f t="shared" si="34"/>
        <v>2.4502108849470128E-2</v>
      </c>
      <c r="X41" s="59">
        <f t="shared" si="34"/>
        <v>3.1230876386620476E-2</v>
      </c>
      <c r="Y41" s="59">
        <f t="shared" si="34"/>
        <v>5.9991543094357502E-2</v>
      </c>
      <c r="Z41" s="59">
        <f t="shared" si="34"/>
        <v>5.8622545661917491E-2</v>
      </c>
      <c r="AA41" s="59">
        <f t="shared" si="34"/>
        <v>6.3713124400595511E-2</v>
      </c>
      <c r="AB41" s="59">
        <f t="shared" si="34"/>
        <v>7.6946900074508218E-2</v>
      </c>
      <c r="AC41" s="59">
        <f t="shared" si="34"/>
        <v>8.2921133796682311E-2</v>
      </c>
      <c r="AD41" s="59">
        <f t="shared" si="34"/>
        <v>6.6239184214903046E-2</v>
      </c>
      <c r="AE41" s="59">
        <f t="shared" si="34"/>
        <v>6.1877684567209879E-2</v>
      </c>
      <c r="AF41" s="59">
        <f t="shared" si="34"/>
        <v>6.7755234029350797E-2</v>
      </c>
      <c r="AG41" s="59">
        <f t="shared" si="34"/>
        <v>6.3723096623462872E-2</v>
      </c>
      <c r="AH41" s="59">
        <f t="shared" si="34"/>
        <v>9.3876251572830194E-2</v>
      </c>
      <c r="AI41" s="59">
        <f t="shared" si="34"/>
        <v>0.12465179896718936</v>
      </c>
      <c r="AJ41" s="59">
        <f t="shared" si="34"/>
        <v>8.3433248648097424E-2</v>
      </c>
      <c r="AK41" s="59">
        <f t="shared" si="34"/>
        <v>9.312123506611214E-2</v>
      </c>
      <c r="AL41" s="59">
        <f t="shared" si="34"/>
        <v>0.13240937577203848</v>
      </c>
      <c r="AM41" s="59">
        <f t="shared" si="34"/>
        <v>0.1420633104886091</v>
      </c>
      <c r="AN41" s="59">
        <f t="shared" si="34"/>
        <v>0.13275106087403121</v>
      </c>
      <c r="AO41" s="59">
        <f t="shared" si="34"/>
        <v>0.13431264339262439</v>
      </c>
      <c r="AP41" s="59">
        <f t="shared" si="34"/>
        <v>0.13258402078429954</v>
      </c>
      <c r="AQ41" s="59">
        <f t="shared" si="34"/>
        <v>0.14449401556181196</v>
      </c>
      <c r="AR41" s="59">
        <f t="shared" si="34"/>
        <v>0.13884903928456638</v>
      </c>
      <c r="AS41" s="59">
        <f t="shared" si="34"/>
        <v>0.1445938222732196</v>
      </c>
      <c r="AT41" s="59">
        <f t="shared" si="34"/>
        <v>0.13565245832812811</v>
      </c>
      <c r="AU41" s="59">
        <f t="shared" si="34"/>
        <v>0.15820325426179382</v>
      </c>
      <c r="AV41" s="59">
        <f t="shared" si="34"/>
        <v>0.14042141500227967</v>
      </c>
      <c r="AW41" s="59">
        <f t="shared" si="34"/>
        <v>0.2455002206428285</v>
      </c>
      <c r="AX41" s="59">
        <f t="shared" si="34"/>
        <v>0.25165646615983861</v>
      </c>
      <c r="AY41" s="59">
        <f t="shared" si="34"/>
        <v>0.26719646795280994</v>
      </c>
      <c r="AZ41" s="59">
        <f t="shared" si="34"/>
        <v>0.25312187541610343</v>
      </c>
      <c r="BA41" s="59">
        <f t="shared" si="34"/>
        <v>0.18509301503727182</v>
      </c>
      <c r="BB41" s="59">
        <f t="shared" si="34"/>
        <v>0.14924651910862174</v>
      </c>
      <c r="BC41" s="59">
        <f t="shared" si="34"/>
        <v>0.12142791452349966</v>
      </c>
      <c r="BD41" s="59">
        <f t="shared" si="34"/>
        <v>0.14528205515548531</v>
      </c>
      <c r="BE41" s="59">
        <f t="shared" si="34"/>
        <v>1.8050823438657271E-2</v>
      </c>
      <c r="BF41" s="59">
        <f t="shared" si="34"/>
        <v>2.9409315785138168E-2</v>
      </c>
      <c r="BG41" s="59">
        <f t="shared" si="34"/>
        <v>-1.5546848463910523E-2</v>
      </c>
      <c r="BH41" s="59">
        <f t="shared" si="34"/>
        <v>-1.0688032968845462E-2</v>
      </c>
      <c r="BI41" s="59">
        <f t="shared" si="34"/>
        <v>-5.4508097856374782E-2</v>
      </c>
      <c r="BJ41" s="59">
        <f t="shared" si="34"/>
        <v>-7.0483640355558652E-2</v>
      </c>
      <c r="BK41" s="59">
        <f t="shared" si="34"/>
        <v>-0.14694055192559552</v>
      </c>
      <c r="BL41" s="59">
        <f t="shared" si="34"/>
        <v>-5.5200013959686212E-2</v>
      </c>
      <c r="BM41" s="59">
        <f t="shared" si="34"/>
        <v>-2.6577615261852205E-2</v>
      </c>
      <c r="BN41" s="59">
        <f t="shared" si="34"/>
        <v>-1.8600812456726734E-2</v>
      </c>
      <c r="BO41" s="59">
        <f t="shared" si="34"/>
        <v>-3.4224830432307174E-2</v>
      </c>
      <c r="BP41" s="59">
        <f t="shared" si="34"/>
        <v>-3.1718766232446072E-2</v>
      </c>
      <c r="BQ41" s="59" t="e">
        <f t="shared" si="34"/>
        <v>#DIV/0!</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9">
        <f>E39/(E39-E40)</f>
        <v>41.146270266623574</v>
      </c>
      <c r="F42" s="29">
        <f t="shared" ref="F42:BQ42" si="36">F39/(F39-F40)</f>
        <v>-682.57790981597566</v>
      </c>
      <c r="G42" s="29">
        <f t="shared" si="36"/>
        <v>-336.46535471392241</v>
      </c>
      <c r="H42" s="29">
        <f t="shared" si="36"/>
        <v>-264.09385630225836</v>
      </c>
      <c r="I42" s="29">
        <f t="shared" si="36"/>
        <v>171.72955809037234</v>
      </c>
      <c r="J42" s="29">
        <f t="shared" si="36"/>
        <v>-68.342850280931629</v>
      </c>
      <c r="K42" s="29">
        <f t="shared" si="36"/>
        <v>-55.280714256652033</v>
      </c>
      <c r="L42" s="29">
        <f t="shared" si="36"/>
        <v>-50.431478933445177</v>
      </c>
      <c r="M42" s="29">
        <f t="shared" si="36"/>
        <v>523.94183805945329</v>
      </c>
      <c r="N42" s="29">
        <f t="shared" si="36"/>
        <v>-42.636472118934961</v>
      </c>
      <c r="O42" s="29">
        <f t="shared" si="36"/>
        <v>-32.938315957428401</v>
      </c>
      <c r="P42" s="29">
        <f t="shared" si="36"/>
        <v>-48.187665601171879</v>
      </c>
      <c r="Q42" s="29">
        <f t="shared" si="36"/>
        <v>568.80280263809402</v>
      </c>
      <c r="R42" s="29">
        <f t="shared" si="36"/>
        <v>-63.195890330441181</v>
      </c>
      <c r="S42" s="29">
        <f t="shared" si="36"/>
        <v>-57.160863169843132</v>
      </c>
      <c r="T42" s="29">
        <f t="shared" si="36"/>
        <v>-93.132125718121443</v>
      </c>
      <c r="U42" s="29">
        <f t="shared" si="36"/>
        <v>53.48285054398265</v>
      </c>
      <c r="V42" s="29">
        <f t="shared" si="36"/>
        <v>68.78709391106355</v>
      </c>
      <c r="W42" s="29">
        <f t="shared" si="36"/>
        <v>40.812813547745861</v>
      </c>
      <c r="X42" s="29">
        <f t="shared" si="36"/>
        <v>32.019594571108748</v>
      </c>
      <c r="Y42" s="29">
        <f t="shared" si="36"/>
        <v>16.669016138277236</v>
      </c>
      <c r="Z42" s="29">
        <f t="shared" si="36"/>
        <v>17.05828344212664</v>
      </c>
      <c r="AA42" s="29">
        <f t="shared" si="36"/>
        <v>15.69535334215462</v>
      </c>
      <c r="AB42" s="29">
        <f t="shared" si="36"/>
        <v>12.995975133913037</v>
      </c>
      <c r="AC42" s="29">
        <f t="shared" si="36"/>
        <v>12.0596517945828</v>
      </c>
      <c r="AD42" s="29">
        <f t="shared" si="36"/>
        <v>15.096804283634455</v>
      </c>
      <c r="AE42" s="29">
        <f t="shared" si="36"/>
        <v>16.16091498888952</v>
      </c>
      <c r="AF42" s="29">
        <f t="shared" si="36"/>
        <v>14.759007393684321</v>
      </c>
      <c r="AG42" s="29">
        <f t="shared" si="36"/>
        <v>15.692897128163095</v>
      </c>
      <c r="AH42" s="29">
        <f t="shared" si="36"/>
        <v>10.652321361853584</v>
      </c>
      <c r="AI42" s="29">
        <f t="shared" si="36"/>
        <v>8.0223471164119982</v>
      </c>
      <c r="AJ42" s="29">
        <f t="shared" si="36"/>
        <v>11.985629424760557</v>
      </c>
      <c r="AK42" s="29">
        <f t="shared" si="36"/>
        <v>10.738689186092115</v>
      </c>
      <c r="AL42" s="29">
        <f t="shared" si="36"/>
        <v>7.5523352796530201</v>
      </c>
      <c r="AM42" s="29">
        <f t="shared" si="36"/>
        <v>7.0391151421195559</v>
      </c>
      <c r="AN42" s="29">
        <f t="shared" si="36"/>
        <v>7.5328964862202499</v>
      </c>
      <c r="AO42" s="29">
        <f t="shared" si="36"/>
        <v>7.4453154575834475</v>
      </c>
      <c r="AP42" s="29">
        <f t="shared" si="36"/>
        <v>7.5423870394374033</v>
      </c>
      <c r="AQ42" s="29">
        <f t="shared" si="36"/>
        <v>6.9207018443765094</v>
      </c>
      <c r="AR42" s="29">
        <f t="shared" si="36"/>
        <v>7.2020663963726372</v>
      </c>
      <c r="AS42" s="29">
        <f t="shared" si="36"/>
        <v>6.9159247904134773</v>
      </c>
      <c r="AT42" s="29">
        <f t="shared" si="36"/>
        <v>7.3717794157560457</v>
      </c>
      <c r="AU42" s="29">
        <f t="shared" si="36"/>
        <v>6.3209824896851119</v>
      </c>
      <c r="AV42" s="29">
        <f t="shared" si="36"/>
        <v>7.1214209028143278</v>
      </c>
      <c r="AW42" s="29">
        <f t="shared" si="36"/>
        <v>4.0733160947128946</v>
      </c>
      <c r="AX42" s="29">
        <f t="shared" si="36"/>
        <v>3.9736709938732666</v>
      </c>
      <c r="AY42" s="29">
        <f t="shared" si="36"/>
        <v>3.7425644420442414</v>
      </c>
      <c r="AZ42" s="29">
        <f t="shared" si="36"/>
        <v>3.9506660511112064</v>
      </c>
      <c r="BA42" s="29">
        <f t="shared" si="36"/>
        <v>5.4026890198889026</v>
      </c>
      <c r="BB42" s="29">
        <f t="shared" si="36"/>
        <v>6.7003237728593126</v>
      </c>
      <c r="BC42" s="29">
        <f t="shared" si="36"/>
        <v>8.2353386692355048</v>
      </c>
      <c r="BD42" s="29">
        <f t="shared" si="36"/>
        <v>6.8831625415111972</v>
      </c>
      <c r="BE42" s="29">
        <f t="shared" si="36"/>
        <v>55.399134748524624</v>
      </c>
      <c r="BF42" s="29">
        <f t="shared" si="36"/>
        <v>34.002831188114378</v>
      </c>
      <c r="BG42" s="29">
        <f t="shared" si="36"/>
        <v>-64.321717827335291</v>
      </c>
      <c r="BH42" s="29">
        <f t="shared" si="36"/>
        <v>-93.562585642737915</v>
      </c>
      <c r="BI42" s="29">
        <f t="shared" si="36"/>
        <v>-18.345897936760387</v>
      </c>
      <c r="BJ42" s="29">
        <f t="shared" si="36"/>
        <v>-14.187689440492083</v>
      </c>
      <c r="BK42" s="29">
        <f t="shared" si="36"/>
        <v>-6.805473280829637</v>
      </c>
      <c r="BL42" s="29">
        <f t="shared" si="36"/>
        <v>-18.115937447594128</v>
      </c>
      <c r="BM42" s="29">
        <f t="shared" si="36"/>
        <v>-37.625648130866644</v>
      </c>
      <c r="BN42" s="29">
        <f t="shared" si="36"/>
        <v>-53.761092550468881</v>
      </c>
      <c r="BO42" s="29">
        <f t="shared" si="36"/>
        <v>-29.218552360044232</v>
      </c>
      <c r="BP42" s="29">
        <f t="shared" si="36"/>
        <v>-31.527077461703769</v>
      </c>
      <c r="BQ42" s="29" t="e">
        <f t="shared" si="36"/>
        <v>#DIV/0!</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6" t="s">
        <v>700</v>
      </c>
      <c r="B43" s="287"/>
      <c r="C43" s="287"/>
      <c r="D43" s="287"/>
      <c r="E43" s="287"/>
      <c r="F43" s="287"/>
      <c r="G43" s="287"/>
      <c r="H43" s="287"/>
      <c r="I43" s="287"/>
      <c r="J43" s="287"/>
      <c r="K43" s="287"/>
      <c r="L43" s="287"/>
      <c r="M43" s="287"/>
      <c r="N43" s="287"/>
      <c r="O43" s="287"/>
      <c r="P43" s="287"/>
      <c r="Q43" s="287"/>
      <c r="R43" s="287"/>
      <c r="S43" s="287"/>
      <c r="T43" s="287"/>
      <c r="U43" s="287"/>
      <c r="V43" s="287"/>
      <c r="W43" s="287"/>
      <c r="X43" s="287"/>
      <c r="Y43" s="287"/>
      <c r="Z43" s="287"/>
      <c r="AA43" s="287"/>
      <c r="AB43" s="287"/>
      <c r="AC43" s="287"/>
      <c r="AD43" s="287"/>
      <c r="AE43" s="287"/>
      <c r="AF43" s="287"/>
      <c r="AG43" s="287"/>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37437</v>
      </c>
      <c r="BO46" s="1">
        <v>37256</v>
      </c>
      <c r="BP46" s="1">
        <v>36891</v>
      </c>
      <c r="BQ46" s="1">
        <v>25569</v>
      </c>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1558638537.4899998</v>
      </c>
      <c r="F47" s="26">
        <f>股权价值增加表!F42</f>
        <v>1153608734.4799998</v>
      </c>
      <c r="G47" s="26">
        <f>股权价值增加表!G42</f>
        <v>779333927.83999991</v>
      </c>
      <c r="H47" s="26">
        <f>股权价值增加表!H42</f>
        <v>417235013.08000004</v>
      </c>
      <c r="I47" s="26">
        <f>股权价值增加表!I42</f>
        <v>1374558875.6599998</v>
      </c>
      <c r="J47" s="26">
        <f>股权价值增加表!J42</f>
        <v>1045153400.5299997</v>
      </c>
      <c r="K47" s="26">
        <f>股权价值增加表!K42</f>
        <v>682567915.74000001</v>
      </c>
      <c r="L47" s="26">
        <f>股权价值增加表!L42</f>
        <v>329492443.56999999</v>
      </c>
      <c r="M47" s="26">
        <f>股权价值增加表!M42</f>
        <v>1270582077.7699995</v>
      </c>
      <c r="N47" s="26">
        <f>股权价值增加表!N42</f>
        <v>930955515.78000069</v>
      </c>
      <c r="O47" s="26">
        <f>股权价值增加表!O42</f>
        <v>665052992.55000007</v>
      </c>
      <c r="P47" s="26">
        <f>股权价值增加表!P42</f>
        <v>319023507.04000002</v>
      </c>
      <c r="Q47" s="26">
        <f>股权价值增加表!Q42</f>
        <v>1225695593.1100006</v>
      </c>
      <c r="R47" s="26">
        <f>股权价值增加表!R42</f>
        <v>799185451.88000011</v>
      </c>
      <c r="S47" s="26">
        <f>股权价值增加表!S42</f>
        <v>553694670.00999999</v>
      </c>
      <c r="T47" s="26">
        <f>股权价值增加表!T42</f>
        <v>260190718.06999999</v>
      </c>
      <c r="U47" s="26">
        <f>股权价值增加表!U42</f>
        <v>933736350.64000046</v>
      </c>
      <c r="V47" s="26">
        <f>股权价值增加表!V42</f>
        <v>707267177.96000004</v>
      </c>
      <c r="W47" s="26">
        <f>股权价值增加表!W42</f>
        <v>473652761.39000028</v>
      </c>
      <c r="X47" s="26">
        <f>股权价值增加表!X42</f>
        <v>236758687.44999993</v>
      </c>
      <c r="Y47" s="26">
        <f>股权价值增加表!Y42</f>
        <v>790879243.43999958</v>
      </c>
      <c r="Z47" s="26">
        <f>股权价值增加表!Z42</f>
        <v>608419202.33999968</v>
      </c>
      <c r="AA47" s="26">
        <f>股权价值增加表!AA42</f>
        <v>407326352.71000016</v>
      </c>
      <c r="AB47" s="26">
        <f>股权价值增加表!AB42</f>
        <v>189848853.21000019</v>
      </c>
      <c r="AC47" s="26">
        <f>股权价值增加表!AC42</f>
        <v>685152420.36999977</v>
      </c>
      <c r="AD47" s="26">
        <f>股权价值增加表!AD42</f>
        <v>516053775.40999985</v>
      </c>
      <c r="AE47" s="26">
        <f>股权价值增加表!AE42</f>
        <v>318859572.69999993</v>
      </c>
      <c r="AF47" s="26">
        <f>股权价值增加表!AF42</f>
        <v>166957892.83999994</v>
      </c>
      <c r="AG47" s="26">
        <f>股权价值增加表!AG42</f>
        <v>687437412.00999999</v>
      </c>
      <c r="AH47" s="26">
        <f>股权价值增加表!AH42</f>
        <v>484984203.71000034</v>
      </c>
      <c r="AI47" s="26">
        <f>股权价值增加表!AI42</f>
        <v>292537697.19000006</v>
      </c>
      <c r="AJ47" s="26">
        <f>股权价值增加表!AJ42</f>
        <v>166953807.40999997</v>
      </c>
      <c r="AK47" s="26">
        <f>股权价值增加表!AK42</f>
        <v>557682710.93999994</v>
      </c>
      <c r="AL47" s="26">
        <f>股权价值增加表!AL42</f>
        <v>400267874.43999982</v>
      </c>
      <c r="AM47" s="26">
        <f>股权价值增加表!AM42</f>
        <v>269309766.39000005</v>
      </c>
      <c r="AN47" s="26">
        <f>股权价值增加表!AN42</f>
        <v>128730371.03000008</v>
      </c>
      <c r="AO47" s="26">
        <f>股权价值增加表!AO42</f>
        <v>499490221.19999993</v>
      </c>
      <c r="AP47" s="26">
        <f>股权价值增加表!AP42</f>
        <v>404477056.48000008</v>
      </c>
      <c r="AQ47" s="26">
        <f>股权价值增加表!AQ42</f>
        <v>270937349.97000003</v>
      </c>
      <c r="AR47" s="26">
        <f>股权价值增加表!AR42</f>
        <v>143947088.66999996</v>
      </c>
      <c r="AS47" s="26">
        <f>股权价值增加表!AS42</f>
        <v>392337364.1500001</v>
      </c>
      <c r="AT47" s="26">
        <f>股权价值增加表!AT42</f>
        <v>338280716.21999997</v>
      </c>
      <c r="AU47" s="26">
        <f>股权价值增加表!AU42</f>
        <v>197252285.10000008</v>
      </c>
      <c r="AV47" s="26">
        <f>股权价值增加表!AV42</f>
        <v>101218384.32000004</v>
      </c>
      <c r="AW47" s="26">
        <f>股权价值增加表!AW42</f>
        <v>303077076.85000014</v>
      </c>
      <c r="AX47" s="26">
        <f>股权价值增加表!AX42</f>
        <v>242277318</v>
      </c>
      <c r="AY47" s="26">
        <f>股权价值增加表!AY42</f>
        <v>143404641.57000011</v>
      </c>
      <c r="AZ47" s="26">
        <f>股权价值增加表!AZ42</f>
        <v>81740732.359999985</v>
      </c>
      <c r="BA47" s="26">
        <f>股权价值增加表!BA42</f>
        <v>260855435.77999979</v>
      </c>
      <c r="BB47" s="26">
        <f>股权价值增加表!BB42</f>
        <v>196514334.60000008</v>
      </c>
      <c r="BC47" s="26">
        <f>股权价值增加表!BC42</f>
        <v>130561358.67000005</v>
      </c>
      <c r="BD47" s="26">
        <f>股权价值增加表!BD42</f>
        <v>61824644.440000013</v>
      </c>
      <c r="BE47" s="26">
        <f>股权价值增加表!BE42</f>
        <v>300180629.66999996</v>
      </c>
      <c r="BF47" s="26">
        <f>股权价值增加表!BF42</f>
        <v>277743555.59999996</v>
      </c>
      <c r="BG47" s="26">
        <f>股权价值增加表!BG42</f>
        <v>234393483.71000004</v>
      </c>
      <c r="BH47" s="26">
        <f>股权价值增加表!BH42</f>
        <v>127236038.12</v>
      </c>
      <c r="BI47" s="26">
        <f>股权价值增加表!BI42</f>
        <v>299296867.95000005</v>
      </c>
      <c r="BJ47" s="26">
        <f>股权价值增加表!BJ42</f>
        <v>200038541.68000004</v>
      </c>
      <c r="BK47" s="26">
        <f>股权价值增加表!BK42</f>
        <v>86985533.440000013</v>
      </c>
      <c r="BL47" s="26">
        <f>股权价值增加表!BL42</f>
        <v>70719094.739999995</v>
      </c>
      <c r="BM47" s="26">
        <f>股权价值增加表!BM42</f>
        <v>282978140.46000004</v>
      </c>
      <c r="BN47" s="26">
        <f>股权价值增加表!BN42</f>
        <v>134844986.12999994</v>
      </c>
      <c r="BO47" s="26">
        <f>股权价值增加表!BO42</f>
        <v>287774054.81</v>
      </c>
      <c r="BP47" s="26">
        <f>股权价值增加表!BP42</f>
        <v>198834245.46000007</v>
      </c>
      <c r="BQ47" s="26">
        <f>股权价值增加表!BQ42</f>
        <v>0</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0.23051494641534059</v>
      </c>
      <c r="F48" s="63">
        <f>股权价值增加表!F43</f>
        <v>0.23454534346284767</v>
      </c>
      <c r="G48" s="63">
        <f>股权价值增加表!G43</f>
        <v>0.24250653759978447</v>
      </c>
      <c r="H48" s="63">
        <f>股权价值增加表!H43</f>
        <v>0.26344793349228629</v>
      </c>
      <c r="I48" s="63">
        <f>股权价值增加表!I43</f>
        <v>0.22290084688167114</v>
      </c>
      <c r="J48" s="63">
        <f>股权价值增加表!J43</f>
        <v>0.23048453386068418</v>
      </c>
      <c r="K48" s="63">
        <f>股权价值增加表!K43</f>
        <v>0.22869276127996258</v>
      </c>
      <c r="L48" s="63">
        <f>股权价值增加表!L43</f>
        <v>0.22838646088518783</v>
      </c>
      <c r="M48" s="63">
        <f>股权价值增加表!M43</f>
        <v>0.22609286695567021</v>
      </c>
      <c r="N48" s="63">
        <f>股权价值增加表!N43</f>
        <v>0.22184158809940094</v>
      </c>
      <c r="O48" s="63">
        <f>股权价值增加表!O43</f>
        <v>0.23975094480740661</v>
      </c>
      <c r="P48" s="63">
        <f>股权价值增加表!P43</f>
        <v>0.22958887835567401</v>
      </c>
      <c r="Q48" s="63">
        <f>股权价值增加表!Q43</f>
        <v>0.22173785544676392</v>
      </c>
      <c r="R48" s="63">
        <f>股权价值增加表!R43</f>
        <v>0.19587932312395279</v>
      </c>
      <c r="S48" s="63">
        <f>股权价值增加表!S43</f>
        <v>0.20649170918292012</v>
      </c>
      <c r="T48" s="63">
        <f>股权价值增加表!T43</f>
        <v>0.20198068131021926</v>
      </c>
      <c r="U48" s="63">
        <f>股权价值增加表!U43</f>
        <v>0.18161436086392008</v>
      </c>
      <c r="V48" s="63">
        <f>股权价值增加表!V43</f>
        <v>0.18628320443877158</v>
      </c>
      <c r="W48" s="63">
        <f>股权价值增加表!W43</f>
        <v>0.19235999214138147</v>
      </c>
      <c r="X48" s="63">
        <f>股权价值增加表!X43</f>
        <v>0.19991538922996835</v>
      </c>
      <c r="Y48" s="63">
        <f>股权价值增加表!Y43</f>
        <v>0.16923301259480553</v>
      </c>
      <c r="Z48" s="63">
        <f>股权价值增加表!Z43</f>
        <v>0.17583954527814405</v>
      </c>
      <c r="AA48" s="63">
        <f>股权价值增加表!AA43</f>
        <v>0.17791806620326325</v>
      </c>
      <c r="AB48" s="63">
        <f>股权价值增加表!AB43</f>
        <v>0.17076022144169842</v>
      </c>
      <c r="AC48" s="63">
        <f>股权价值增加表!AC43</f>
        <v>0.16161726588677114</v>
      </c>
      <c r="AD48" s="63">
        <f>股权价值增加表!AD43</f>
        <v>0.16617234496614425</v>
      </c>
      <c r="AE48" s="63">
        <f>股权价值增加表!AE43</f>
        <v>0.1572048530807986</v>
      </c>
      <c r="AF48" s="63">
        <f>股权价值增加表!AF43</f>
        <v>0.16923035978587306</v>
      </c>
      <c r="AG48" s="63">
        <f>股权价值增加表!AG43</f>
        <v>0.17784014006776519</v>
      </c>
      <c r="AH48" s="63">
        <f>股权价值增加表!AH43</f>
        <v>0.17728786637142854</v>
      </c>
      <c r="AI48" s="63">
        <f>股权价值增加表!AI43</f>
        <v>0.16500933792870034</v>
      </c>
      <c r="AJ48" s="63">
        <f>股权价值增加表!AJ43</f>
        <v>0.19262478572777261</v>
      </c>
      <c r="AK48" s="63">
        <f>股权价值增加表!AK43</f>
        <v>0.16868348962678303</v>
      </c>
      <c r="AL48" s="63">
        <f>股权价值增加表!AL43</f>
        <v>0.17038094346677618</v>
      </c>
      <c r="AM48" s="63">
        <f>股权价值增加表!AM43</f>
        <v>0.17376691066658809</v>
      </c>
      <c r="AN48" s="63">
        <f>股权价值增加表!AN43</f>
        <v>0.1675272542223856</v>
      </c>
      <c r="AO48" s="63">
        <f>股权价值增加表!AO43</f>
        <v>0.16378330691383464</v>
      </c>
      <c r="AP48" s="63">
        <f>股权价值增加表!AP43</f>
        <v>0.17855956564932257</v>
      </c>
      <c r="AQ48" s="63">
        <f>股权价值增加表!AQ43</f>
        <v>0.17925588111147345</v>
      </c>
      <c r="AR48" s="63">
        <f>股权价值增加表!AR43</f>
        <v>0.19070971418168819</v>
      </c>
      <c r="AS48" s="63">
        <f>股权价值增加表!AS43</f>
        <v>0.14620686806705696</v>
      </c>
      <c r="AT48" s="63">
        <f>股权价值增加表!AT43</f>
        <v>0.17317700614034093</v>
      </c>
      <c r="AU48" s="63">
        <f>股权价值增加表!AU43</f>
        <v>0.15473986115535648</v>
      </c>
      <c r="AV48" s="63">
        <f>股权价值增加表!AV43</f>
        <v>0.16297652420164371</v>
      </c>
      <c r="AW48" s="63">
        <f>股权价值增加表!AW43</f>
        <v>0.12576868766314903</v>
      </c>
      <c r="AX48" s="63">
        <f>股权价值增加表!AX43</f>
        <v>0.13591545219910597</v>
      </c>
      <c r="AY48" s="63">
        <f>股权价值增加表!AY43</f>
        <v>0.12072008572632041</v>
      </c>
      <c r="AZ48" s="63">
        <f>股权价值增加表!AZ43</f>
        <v>0.13861306976981139</v>
      </c>
      <c r="BA48" s="63">
        <f>股权价值增加表!BA43</f>
        <v>0.12136715969382378</v>
      </c>
      <c r="BB48" s="63">
        <f>股权价值增加表!BB43</f>
        <v>0.12925075215485943</v>
      </c>
      <c r="BC48" s="63">
        <f>股权价值增加表!BC43</f>
        <v>0.13328306352273328</v>
      </c>
      <c r="BD48" s="63">
        <f>股权价值增加表!BD43</f>
        <v>0.13860379803672279</v>
      </c>
      <c r="BE48" s="63">
        <f>股权价值增加表!BE43</f>
        <v>0.19482347419458634</v>
      </c>
      <c r="BF48" s="63">
        <f>股权价值增加表!BF43</f>
        <v>0.25396365502253149</v>
      </c>
      <c r="BG48" s="63">
        <f>股权价值增加表!BG43</f>
        <v>0.32814957008500573</v>
      </c>
      <c r="BH48" s="63">
        <f>股权价值增加表!BH43</f>
        <v>0.36437872108342534</v>
      </c>
      <c r="BI48" s="63">
        <f>股权价值增加表!BI43</f>
        <v>0.28186332172023071</v>
      </c>
      <c r="BJ48" s="63">
        <f>股权价值增加表!BJ43</f>
        <v>0.28647923499001221</v>
      </c>
      <c r="BK48" s="63">
        <f>股权价值增加表!BK43</f>
        <v>0.22003807368406658</v>
      </c>
      <c r="BL48" s="63">
        <f>股权价值增加表!BL43</f>
        <v>0.28652454063966382</v>
      </c>
      <c r="BM48" s="63">
        <f>股权价值增加表!BM43</f>
        <v>0.30115091149340772</v>
      </c>
      <c r="BN48" s="63">
        <f>股权价值增加表!BN43</f>
        <v>0.31188911517438828</v>
      </c>
      <c r="BO48" s="63">
        <f>股权价值增加表!BO43</f>
        <v>0.34324830784357269</v>
      </c>
      <c r="BP48" s="63">
        <f>股权价值增加表!BP43</f>
        <v>0.25483242364256697</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0.13391908130643976</v>
      </c>
      <c r="F49" s="59">
        <f t="shared" ref="F49:BQ49" si="38">(F47-J47)/J47</f>
        <v>0.1037697757046976</v>
      </c>
      <c r="G49" s="59">
        <f t="shared" si="38"/>
        <v>0.14176759538293252</v>
      </c>
      <c r="H49" s="59">
        <f t="shared" si="38"/>
        <v>0.26629615101130333</v>
      </c>
      <c r="I49" s="59">
        <f t="shared" si="38"/>
        <v>8.1833987515777154E-2</v>
      </c>
      <c r="J49" s="59">
        <f t="shared" si="38"/>
        <v>0.12266739152871166</v>
      </c>
      <c r="K49" s="59">
        <f t="shared" si="38"/>
        <v>2.6336131686052266E-2</v>
      </c>
      <c r="L49" s="59">
        <f t="shared" si="38"/>
        <v>3.2815564680904054E-2</v>
      </c>
      <c r="M49" s="59">
        <f t="shared" si="38"/>
        <v>3.66212336181342E-2</v>
      </c>
      <c r="N49" s="59">
        <f t="shared" si="38"/>
        <v>0.16488045870958398</v>
      </c>
      <c r="O49" s="59">
        <f t="shared" si="38"/>
        <v>0.20111864637958118</v>
      </c>
      <c r="P49" s="59">
        <f t="shared" si="38"/>
        <v>0.22611409586936934</v>
      </c>
      <c r="Q49" s="59">
        <f t="shared" si="38"/>
        <v>0.31267845818563855</v>
      </c>
      <c r="R49" s="59">
        <f t="shared" si="38"/>
        <v>0.12996258950560063</v>
      </c>
      <c r="S49" s="59">
        <f t="shared" si="38"/>
        <v>0.16898858223713409</v>
      </c>
      <c r="T49" s="59">
        <f t="shared" si="38"/>
        <v>9.8970098509895549E-2</v>
      </c>
      <c r="U49" s="59">
        <f t="shared" si="38"/>
        <v>0.1806307453191352</v>
      </c>
      <c r="V49" s="59">
        <f t="shared" si="38"/>
        <v>0.16246688999924377</v>
      </c>
      <c r="W49" s="59">
        <f t="shared" si="38"/>
        <v>0.1628335810799402</v>
      </c>
      <c r="X49" s="59">
        <f t="shared" si="38"/>
        <v>0.24709042718372759</v>
      </c>
      <c r="Y49" s="59">
        <f t="shared" si="38"/>
        <v>0.1543113910520883</v>
      </c>
      <c r="Z49" s="59">
        <f t="shared" si="38"/>
        <v>0.17898411237591735</v>
      </c>
      <c r="AA49" s="59">
        <f t="shared" si="38"/>
        <v>0.27744746460296643</v>
      </c>
      <c r="AB49" s="59">
        <f t="shared" si="38"/>
        <v>0.1371061887558514</v>
      </c>
      <c r="AC49" s="59">
        <f t="shared" si="38"/>
        <v>-3.323926804214992E-3</v>
      </c>
      <c r="AD49" s="59">
        <f t="shared" si="38"/>
        <v>6.4063059090018887E-2</v>
      </c>
      <c r="AE49" s="59">
        <f t="shared" si="38"/>
        <v>8.9977721718729808E-2</v>
      </c>
      <c r="AF49" s="59">
        <f t="shared" si="38"/>
        <v>2.447042127014497E-5</v>
      </c>
      <c r="AG49" s="59">
        <f t="shared" si="38"/>
        <v>0.23266760565571867</v>
      </c>
      <c r="AH49" s="59">
        <f t="shared" si="38"/>
        <v>0.21164908472488342</v>
      </c>
      <c r="AI49" s="59">
        <f t="shared" si="38"/>
        <v>8.6249864278455324E-2</v>
      </c>
      <c r="AJ49" s="59">
        <f t="shared" si="38"/>
        <v>0.29692632806202413</v>
      </c>
      <c r="AK49" s="59">
        <f t="shared" si="38"/>
        <v>0.11650376177574709</v>
      </c>
      <c r="AL49" s="59">
        <f t="shared" si="38"/>
        <v>-1.0406479113132066E-2</v>
      </c>
      <c r="AM49" s="59">
        <f t="shared" si="38"/>
        <v>-6.0072322261223859E-3</v>
      </c>
      <c r="AN49" s="59">
        <f t="shared" si="38"/>
        <v>-0.10571049251912519</v>
      </c>
      <c r="AO49" s="59">
        <f t="shared" si="38"/>
        <v>0.27311407691731521</v>
      </c>
      <c r="AP49" s="59">
        <f t="shared" si="38"/>
        <v>0.19568464025880061</v>
      </c>
      <c r="AQ49" s="59">
        <f t="shared" si="38"/>
        <v>0.37355747150226509</v>
      </c>
      <c r="AR49" s="59">
        <f t="shared" si="38"/>
        <v>0.42214371072071172</v>
      </c>
      <c r="AS49" s="59">
        <f t="shared" si="38"/>
        <v>0.29451348887127132</v>
      </c>
      <c r="AT49" s="59">
        <f t="shared" si="38"/>
        <v>0.39625417274926233</v>
      </c>
      <c r="AU49" s="59">
        <f t="shared" si="38"/>
        <v>0.3754944257066834</v>
      </c>
      <c r="AV49" s="59">
        <f t="shared" si="38"/>
        <v>0.23828575298563739</v>
      </c>
      <c r="AW49" s="59">
        <f t="shared" si="38"/>
        <v>0.16185839081233189</v>
      </c>
      <c r="AX49" s="59">
        <f t="shared" si="38"/>
        <v>0.23287351272948767</v>
      </c>
      <c r="AY49" s="59">
        <f t="shared" si="38"/>
        <v>9.8369709313933115E-2</v>
      </c>
      <c r="AZ49" s="59">
        <f t="shared" si="38"/>
        <v>0.32213833335229719</v>
      </c>
      <c r="BA49" s="59">
        <f t="shared" si="38"/>
        <v>-0.13100510160576267</v>
      </c>
      <c r="BB49" s="59">
        <f t="shared" si="38"/>
        <v>-0.29246122677634467</v>
      </c>
      <c r="BC49" s="59">
        <f t="shared" si="38"/>
        <v>-0.44298213157011135</v>
      </c>
      <c r="BD49" s="59">
        <f t="shared" si="38"/>
        <v>-0.51409486373906588</v>
      </c>
      <c r="BE49" s="59">
        <f t="shared" si="38"/>
        <v>2.9527930781672895E-3</v>
      </c>
      <c r="BF49" s="59">
        <f t="shared" si="38"/>
        <v>0.38845021198116902</v>
      </c>
      <c r="BG49" s="59">
        <f t="shared" si="38"/>
        <v>1.694626042291016</v>
      </c>
      <c r="BH49" s="59">
        <f t="shared" si="38"/>
        <v>0.79917515329891531</v>
      </c>
      <c r="BI49" s="59">
        <f t="shared" si="38"/>
        <v>5.7667802408598832E-2</v>
      </c>
      <c r="BJ49" s="59">
        <f t="shared" si="38"/>
        <v>0.48347037158021572</v>
      </c>
      <c r="BK49" s="59">
        <f t="shared" si="38"/>
        <v>-0.69772975712688434</v>
      </c>
      <c r="BL49" s="59">
        <f t="shared" si="38"/>
        <v>-0.64433141496127877</v>
      </c>
      <c r="BM49" s="59" t="e">
        <f t="shared" si="38"/>
        <v>#DIV/0!</v>
      </c>
      <c r="BN49" s="59">
        <f t="shared" si="38"/>
        <v>-1.9119157782511662</v>
      </c>
      <c r="BO49" s="59">
        <f t="shared" si="38"/>
        <v>-2.8811313015099049</v>
      </c>
      <c r="BP49" s="59">
        <f t="shared" si="38"/>
        <v>-2.5532449424005699</v>
      </c>
      <c r="BQ49" s="59">
        <f t="shared" si="38"/>
        <v>-1</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350655561.32679963</v>
      </c>
      <c r="F50" s="26">
        <f>股权价值增加表!F47</f>
        <v>-21263692.50480032</v>
      </c>
      <c r="G50" s="26">
        <f>股权价值增加表!G47</f>
        <v>-363982810.34080005</v>
      </c>
      <c r="H50" s="26">
        <f>股权价值增加表!H47</f>
        <v>-491862549.43359995</v>
      </c>
      <c r="I50" s="26">
        <f>股权价值增加表!I47</f>
        <v>504600808.12719989</v>
      </c>
      <c r="J50" s="26">
        <f>股权价值增加表!J47</f>
        <v>181373525.72919965</v>
      </c>
      <c r="K50" s="26">
        <f>股权价值增加表!K47</f>
        <v>-152199552.47520006</v>
      </c>
      <c r="L50" s="26">
        <f>股权价值增加表!L47</f>
        <v>-509779316.98920006</v>
      </c>
      <c r="M50" s="26">
        <f>股权价值增加表!M47</f>
        <v>488771350.05639946</v>
      </c>
      <c r="N50" s="26">
        <f>股权价值增加表!N47</f>
        <v>176581270.52560067</v>
      </c>
      <c r="O50" s="26">
        <f>股权价值增加表!O47</f>
        <v>-68049050.845999956</v>
      </c>
      <c r="P50" s="26">
        <f>股权价值增加表!P47</f>
        <v>-414779382.44080001</v>
      </c>
      <c r="Q50" s="26">
        <f>股权价值增加表!Q47</f>
        <v>517168584.19240069</v>
      </c>
      <c r="R50" s="26">
        <f>股权价值增加表!R47</f>
        <v>127251289.58080018</v>
      </c>
      <c r="S50" s="26">
        <f>股权价值增加表!S47</f>
        <v>-98560229.739600062</v>
      </c>
      <c r="T50" s="26">
        <f>股权价值增加表!T47</f>
        <v>-402623865.52200001</v>
      </c>
      <c r="U50" s="26">
        <f>股权价值增加表!U47</f>
        <v>291625540.91120052</v>
      </c>
      <c r="V50" s="26">
        <f>股权价值增加表!V47</f>
        <v>83808848.315999985</v>
      </c>
      <c r="W50" s="26">
        <f>股权价值增加表!W47</f>
        <v>-131644414.92839974</v>
      </c>
      <c r="X50" s="26">
        <f>股权价值增加表!X47</f>
        <v>-379997350.75960004</v>
      </c>
      <c r="Y50" s="26">
        <f>股权价值增加表!Y47</f>
        <v>193063900.22639954</v>
      </c>
      <c r="Z50" s="26">
        <f>股权价值增加表!Z47</f>
        <v>25934609.794399738</v>
      </c>
      <c r="AA50" s="26">
        <f>股权价值增加表!AA47</f>
        <v>-159651611.8651998</v>
      </c>
      <c r="AB50" s="26">
        <f>股权价值增加表!AB47</f>
        <v>-392189673.30679989</v>
      </c>
      <c r="AC50" s="26">
        <f>股权价值增加表!AC47</f>
        <v>118062304.0411998</v>
      </c>
      <c r="AD50" s="26">
        <f>股权价值增加表!AD47</f>
        <v>-34068279.011600256</v>
      </c>
      <c r="AE50" s="26">
        <f>股权价值增加表!AE47</f>
        <v>-219566080.94800007</v>
      </c>
      <c r="AF50" s="26">
        <f>股权价值增加表!AF47</f>
        <v>-387254968.29360008</v>
      </c>
      <c r="AG50" s="26">
        <f>股权价值增加表!AG47</f>
        <v>146544776.35000002</v>
      </c>
      <c r="AH50" s="26">
        <f>股权价值增加表!AH47</f>
        <v>-39445078.623599708</v>
      </c>
      <c r="AI50" s="26">
        <f>股权价值增加表!AI47</f>
        <v>-217712016.7044</v>
      </c>
      <c r="AJ50" s="26">
        <f>股权价值增加表!AJ47</f>
        <v>-357232223.62440008</v>
      </c>
      <c r="AK50" s="26">
        <f>股权价值增加表!AK47</f>
        <v>46852984.498399913</v>
      </c>
      <c r="AL50" s="26">
        <f>股权价值增加表!AL47</f>
        <v>-97558092.212800205</v>
      </c>
      <c r="AM50" s="26">
        <f>股权价值增加表!AM47</f>
        <v>-219327376.74519992</v>
      </c>
      <c r="AN50" s="26">
        <f>股权价值增加表!AN47</f>
        <v>-364300420.4763999</v>
      </c>
      <c r="AO50" s="26">
        <f>股权价值增加表!AO47</f>
        <v>16757859.375999928</v>
      </c>
      <c r="AP50" s="26">
        <f>股权价值增加表!AP47</f>
        <v>-69518548.041599989</v>
      </c>
      <c r="AQ50" s="26">
        <f>股权价值增加表!AQ47</f>
        <v>-193062547.36120003</v>
      </c>
      <c r="AR50" s="26">
        <f>股权价值增加表!AR47</f>
        <v>-326456130.44920003</v>
      </c>
      <c r="AS50" s="26">
        <f>股权价值增加表!AS47</f>
        <v>-66550087.875599861</v>
      </c>
      <c r="AT50" s="26">
        <f>股权价值增加表!AT47</f>
        <v>-23161146.411200047</v>
      </c>
      <c r="AU50" s="26">
        <f>股权价值增加表!AU47</f>
        <v>-156067833.1527999</v>
      </c>
      <c r="AV50" s="26">
        <f>股权价值增加表!AV47</f>
        <v>-245048115.22479999</v>
      </c>
      <c r="AW50" s="26">
        <f>股权价值增加表!AW47</f>
        <v>-45548493.753199875</v>
      </c>
      <c r="AX50" s="26">
        <f>股权价值增加表!AX47</f>
        <v>-101796960.83599997</v>
      </c>
      <c r="AY50" s="26">
        <f>股权价值增加表!AY47</f>
        <v>-192960823.1523999</v>
      </c>
      <c r="AZ50" s="26">
        <f>股权价值增加表!AZ47</f>
        <v>-258246353.37600002</v>
      </c>
      <c r="BA50" s="26">
        <f>股权价值增加表!BA47</f>
        <v>-71392391.364800215</v>
      </c>
      <c r="BB50" s="26">
        <f>股权价值增加表!BB47</f>
        <v>-129802732.9095999</v>
      </c>
      <c r="BC50" s="26">
        <f>股权价值增加表!BC47</f>
        <v>-190465638.96919993</v>
      </c>
      <c r="BD50" s="26">
        <f>股权价值增加表!BD47</f>
        <v>-274116031.76959997</v>
      </c>
      <c r="BE50" s="26">
        <f>股权价值增加表!BE47</f>
        <v>-29814074.986800075</v>
      </c>
      <c r="BF50" s="26">
        <f>股权价值增加表!BF47</f>
        <v>-48875286.626400054</v>
      </c>
      <c r="BG50" s="26">
        <f>股权价值增加表!BG47</f>
        <v>-94795122.685199976</v>
      </c>
      <c r="BH50" s="26">
        <f>股权价值增加表!BH47</f>
        <v>-194166846.66640002</v>
      </c>
      <c r="BI50" s="26">
        <f>股权价值增加表!BI47</f>
        <v>-11927133.785999954</v>
      </c>
      <c r="BJ50" s="26">
        <f>股权价值增加表!BJ47</f>
        <v>-103047982.10639998</v>
      </c>
      <c r="BK50" s="26">
        <f>股权价值增加表!BK47</f>
        <v>-206928665.3488</v>
      </c>
      <c r="BL50" s="26">
        <f>股权价值增加表!BL47</f>
        <v>-39027923.742400005</v>
      </c>
      <c r="BM50" s="26">
        <f>股权价值增加表!BM47</f>
        <v>168311698.09200004</v>
      </c>
      <c r="BN50" s="26">
        <f>股权价值增加表!BN47</f>
        <v>44469245.125199944</v>
      </c>
      <c r="BO50" s="26">
        <f>股权价值增加表!BO47</f>
        <v>209975160.36760002</v>
      </c>
      <c r="BP50" s="26">
        <f>股权价值增加表!BP47</f>
        <v>198834245.46000007</v>
      </c>
      <c r="BQ50" s="26">
        <f>股权价值增加表!BQ47</f>
        <v>0</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6" t="s">
        <v>685</v>
      </c>
      <c r="B51" s="287"/>
      <c r="C51" s="287"/>
      <c r="D51" s="287"/>
      <c r="E51" s="287"/>
      <c r="F51" s="287"/>
      <c r="G51" s="287"/>
      <c r="H51" s="287"/>
      <c r="I51" s="287"/>
      <c r="J51" s="287"/>
      <c r="K51" s="287"/>
      <c r="L51" s="287"/>
      <c r="M51" s="287"/>
      <c r="N51" s="287"/>
      <c r="O51" s="287"/>
      <c r="P51" s="287"/>
      <c r="Q51" s="287"/>
      <c r="R51" s="287"/>
      <c r="S51" s="287"/>
      <c r="T51" s="287"/>
      <c r="U51" s="287"/>
      <c r="V51" s="287"/>
      <c r="W51" s="287"/>
      <c r="X51" s="287"/>
      <c r="Y51" s="287"/>
      <c r="Z51" s="287"/>
      <c r="AA51" s="287"/>
      <c r="AB51" s="287"/>
      <c r="AC51" s="287"/>
      <c r="AD51" s="287"/>
      <c r="AE51" s="287"/>
      <c r="AF51" s="287"/>
      <c r="AG51" s="287"/>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2">
        <f>E39</f>
        <v>2176062450.8499999</v>
      </c>
      <c r="F54" s="192">
        <f t="shared" ref="F54:AC54" si="41">F39</f>
        <v>1548583520.6199999</v>
      </c>
      <c r="G54" s="192">
        <f t="shared" si="41"/>
        <v>1040994282.6499999</v>
      </c>
      <c r="H54" s="192">
        <f t="shared" si="41"/>
        <v>550600235.79000008</v>
      </c>
      <c r="I54" s="192">
        <f t="shared" si="41"/>
        <v>1898380913.8</v>
      </c>
      <c r="J54" s="192">
        <f t="shared" si="41"/>
        <v>1386068473.3399997</v>
      </c>
      <c r="K54" s="192">
        <f t="shared" si="41"/>
        <v>906551866.57999992</v>
      </c>
      <c r="L54" s="192">
        <f t="shared" si="41"/>
        <v>437858660.06</v>
      </c>
      <c r="M54" s="192">
        <f t="shared" si="41"/>
        <v>1731591890.0099995</v>
      </c>
      <c r="N54" s="192">
        <f t="shared" si="41"/>
        <v>1232891150.1300006</v>
      </c>
      <c r="O54" s="192">
        <f t="shared" si="41"/>
        <v>854924080.34000003</v>
      </c>
      <c r="P54" s="192">
        <f t="shared" si="41"/>
        <v>422136312.73000002</v>
      </c>
      <c r="Q54" s="192">
        <f t="shared" si="41"/>
        <v>1621339131.0200005</v>
      </c>
      <c r="R54" s="192">
        <f t="shared" si="41"/>
        <v>1038361024.8800001</v>
      </c>
      <c r="S54" s="192">
        <f t="shared" si="41"/>
        <v>701814341.01999998</v>
      </c>
      <c r="T54" s="192">
        <f t="shared" si="41"/>
        <v>347144828.84999996</v>
      </c>
      <c r="U54" s="192">
        <f t="shared" si="41"/>
        <v>1296941151.7100005</v>
      </c>
      <c r="V54" s="192">
        <f t="shared" si="41"/>
        <v>955402285.97000003</v>
      </c>
      <c r="W54" s="192">
        <f t="shared" si="41"/>
        <v>645895972.76000023</v>
      </c>
      <c r="X54" s="192">
        <f t="shared" si="41"/>
        <v>330983196.62999994</v>
      </c>
      <c r="Y54" s="192">
        <f t="shared" si="41"/>
        <v>1135341270.8999996</v>
      </c>
      <c r="Z54" s="192">
        <f t="shared" si="41"/>
        <v>863340705.32999969</v>
      </c>
      <c r="AA54" s="192">
        <f t="shared" si="41"/>
        <v>584208945.0200001</v>
      </c>
      <c r="AB54" s="192">
        <f t="shared" si="41"/>
        <v>280658792.87000018</v>
      </c>
      <c r="AC54" s="192">
        <f t="shared" si="41"/>
        <v>1016002597.6799998</v>
      </c>
    </row>
    <row r="55" spans="1:88" s="63" customFormat="1" x14ac:dyDescent="0.25">
      <c r="A55" s="63" t="s">
        <v>674</v>
      </c>
      <c r="E55" s="63">
        <f>E54/E2</f>
        <v>0.32182889566038386</v>
      </c>
      <c r="F55" s="63">
        <f t="shared" ref="F55:AC55" si="42">F54/F2</f>
        <v>0.31484943106680402</v>
      </c>
      <c r="G55" s="63">
        <f t="shared" si="42"/>
        <v>0.32392779286063794</v>
      </c>
      <c r="H55" s="63">
        <f t="shared" si="42"/>
        <v>0.34765657184055299</v>
      </c>
      <c r="I55" s="63">
        <f t="shared" si="42"/>
        <v>0.30784473541509322</v>
      </c>
      <c r="J55" s="63">
        <f t="shared" si="42"/>
        <v>0.30566550882842397</v>
      </c>
      <c r="K55" s="63">
        <f t="shared" si="42"/>
        <v>0.3037380527722553</v>
      </c>
      <c r="L55" s="63">
        <f t="shared" si="42"/>
        <v>0.30350010050469922</v>
      </c>
      <c r="M55" s="63">
        <f t="shared" si="42"/>
        <v>0.30812694564106524</v>
      </c>
      <c r="N55" s="63">
        <f t="shared" si="42"/>
        <v>0.2937911920199312</v>
      </c>
      <c r="O55" s="63">
        <f t="shared" si="42"/>
        <v>0.30819928381076822</v>
      </c>
      <c r="P55" s="63">
        <f t="shared" si="42"/>
        <v>0.30379517626181984</v>
      </c>
      <c r="Q55" s="63">
        <f t="shared" si="42"/>
        <v>0.29331284528166701</v>
      </c>
      <c r="R55" s="63">
        <f t="shared" si="42"/>
        <v>0.25450094747511548</v>
      </c>
      <c r="S55" s="63">
        <f t="shared" si="42"/>
        <v>0.26173060832188844</v>
      </c>
      <c r="T55" s="63">
        <f t="shared" si="42"/>
        <v>0.26948136184311833</v>
      </c>
      <c r="U55" s="63">
        <f t="shared" si="42"/>
        <v>0.25225872183778902</v>
      </c>
      <c r="V55" s="63">
        <f t="shared" si="42"/>
        <v>0.25163814312995697</v>
      </c>
      <c r="W55" s="63">
        <f t="shared" si="42"/>
        <v>0.26231145339393902</v>
      </c>
      <c r="X55" s="63">
        <f t="shared" si="42"/>
        <v>0.27947711357725558</v>
      </c>
      <c r="Y55" s="63">
        <f t="shared" si="42"/>
        <v>0.24294128995205919</v>
      </c>
      <c r="Z55" s="63">
        <f t="shared" si="42"/>
        <v>0.2495145394186695</v>
      </c>
      <c r="AA55" s="63">
        <f t="shared" si="42"/>
        <v>0.25517947725471363</v>
      </c>
      <c r="AB55" s="63">
        <f t="shared" si="42"/>
        <v>0.25243954235019078</v>
      </c>
      <c r="AC55" s="63">
        <f t="shared" si="42"/>
        <v>0.23965990207292065</v>
      </c>
    </row>
    <row r="56" spans="1:88" x14ac:dyDescent="0.25">
      <c r="A56" s="17" t="s">
        <v>675</v>
      </c>
      <c r="E56" s="192">
        <f>E23</f>
        <v>1551194361.6703229</v>
      </c>
      <c r="F56" s="192">
        <f t="shared" ref="F56:AC56" si="43">F23</f>
        <v>1120839555.780117</v>
      </c>
      <c r="G56" s="192">
        <f t="shared" si="43"/>
        <v>759581085.38976228</v>
      </c>
      <c r="H56" s="192">
        <f t="shared" si="43"/>
        <v>404074235.20721805</v>
      </c>
      <c r="I56" s="192">
        <f t="shared" si="43"/>
        <v>1351979179.41695</v>
      </c>
      <c r="J56" s="192">
        <f t="shared" si="43"/>
        <v>1037031649.8165784</v>
      </c>
      <c r="K56" s="192">
        <f t="shared" si="43"/>
        <v>672587360.72893238</v>
      </c>
      <c r="L56" s="192">
        <f t="shared" si="43"/>
        <v>333970418.855169</v>
      </c>
      <c r="M56" s="192">
        <f t="shared" si="43"/>
        <v>1237978362.1763356</v>
      </c>
      <c r="N56" s="192">
        <f t="shared" si="43"/>
        <v>932172698.65544367</v>
      </c>
      <c r="O56" s="192">
        <f t="shared" si="43"/>
        <v>632925015.42150402</v>
      </c>
      <c r="P56" s="192">
        <f t="shared" si="43"/>
        <v>316320435.554874</v>
      </c>
      <c r="Q56" s="192">
        <f t="shared" si="43"/>
        <v>1136647136.3612013</v>
      </c>
      <c r="R56" s="192">
        <f t="shared" si="43"/>
        <v>782926792.63099265</v>
      </c>
      <c r="S56" s="192">
        <f t="shared" si="43"/>
        <v>546291402.80499661</v>
      </c>
      <c r="T56" s="192">
        <f t="shared" si="43"/>
        <v>261745421.59678024</v>
      </c>
      <c r="U56" s="192">
        <f t="shared" si="43"/>
        <v>944429273.81328082</v>
      </c>
      <c r="V56" s="192">
        <f t="shared" si="43"/>
        <v>717700833.35298574</v>
      </c>
      <c r="W56" s="192">
        <f t="shared" si="43"/>
        <v>489518973.53236234</v>
      </c>
      <c r="X56" s="192">
        <f t="shared" si="43"/>
        <v>240248930.50691202</v>
      </c>
      <c r="Y56" s="192">
        <f t="shared" si="43"/>
        <v>822645029.4970901</v>
      </c>
      <c r="Z56" s="192">
        <f t="shared" si="43"/>
        <v>646307386.62399971</v>
      </c>
      <c r="AA56" s="192">
        <f t="shared" si="43"/>
        <v>436027357.87625539</v>
      </c>
      <c r="AB56" s="192">
        <f t="shared" si="43"/>
        <v>206400399.81846446</v>
      </c>
      <c r="AC56" s="192">
        <f t="shared" si="43"/>
        <v>759223243.76394987</v>
      </c>
    </row>
    <row r="57" spans="1:88" s="63" customFormat="1" x14ac:dyDescent="0.25">
      <c r="A57" s="63" t="s">
        <v>676</v>
      </c>
      <c r="E57" s="63">
        <f>E56/E2</f>
        <v>0.22941398955529618</v>
      </c>
      <c r="F57" s="63">
        <f t="shared" ref="F57:AC57" si="44">F56/F2</f>
        <v>0.22788289540447379</v>
      </c>
      <c r="G57" s="63">
        <f t="shared" si="44"/>
        <v>0.23636001521798894</v>
      </c>
      <c r="H57" s="63">
        <f t="shared" si="44"/>
        <v>0.25513803709087707</v>
      </c>
      <c r="I57" s="63">
        <f t="shared" si="44"/>
        <v>0.21923928424944844</v>
      </c>
      <c r="J57" s="63">
        <f t="shared" si="44"/>
        <v>0.22869346861957571</v>
      </c>
      <c r="K57" s="63">
        <f t="shared" si="44"/>
        <v>0.22534879999500665</v>
      </c>
      <c r="L57" s="63">
        <f t="shared" si="44"/>
        <v>0.23149035278701779</v>
      </c>
      <c r="M57" s="63">
        <f t="shared" si="44"/>
        <v>0.22029122087475236</v>
      </c>
      <c r="N57" s="63">
        <f t="shared" si="44"/>
        <v>0.22213163609580755</v>
      </c>
      <c r="O57" s="63">
        <f t="shared" si="44"/>
        <v>0.22816884088847933</v>
      </c>
      <c r="P57" s="63">
        <f t="shared" si="44"/>
        <v>0.22764358236120838</v>
      </c>
      <c r="Q57" s="63">
        <f t="shared" si="44"/>
        <v>0.20562829778716432</v>
      </c>
      <c r="R57" s="63">
        <f t="shared" si="44"/>
        <v>0.19189434671940636</v>
      </c>
      <c r="S57" s="63">
        <f t="shared" si="44"/>
        <v>0.20373077724425545</v>
      </c>
      <c r="T57" s="63">
        <f t="shared" si="44"/>
        <v>0.20318756555230047</v>
      </c>
      <c r="U57" s="63">
        <f t="shared" si="44"/>
        <v>0.1836941646613745</v>
      </c>
      <c r="V57" s="63">
        <f t="shared" si="44"/>
        <v>0.18903126743558885</v>
      </c>
      <c r="W57" s="63">
        <f t="shared" si="44"/>
        <v>0.19880358266128401</v>
      </c>
      <c r="X57" s="63">
        <f t="shared" si="44"/>
        <v>0.20286249671204176</v>
      </c>
      <c r="Y57" s="63">
        <f t="shared" si="44"/>
        <v>0.17603028248963914</v>
      </c>
      <c r="Z57" s="63">
        <f t="shared" si="44"/>
        <v>0.18678962882299258</v>
      </c>
      <c r="AA57" s="63">
        <f t="shared" si="44"/>
        <v>0.19045451837066221</v>
      </c>
      <c r="AB57" s="63">
        <f t="shared" si="44"/>
        <v>0.18564756848791736</v>
      </c>
      <c r="AC57" s="63">
        <f t="shared" si="44"/>
        <v>0.17908947149095977</v>
      </c>
    </row>
    <row r="58" spans="1:88" ht="93" customHeight="1" x14ac:dyDescent="0.25">
      <c r="A58" s="280" t="s">
        <v>677</v>
      </c>
      <c r="B58" s="288"/>
      <c r="C58" s="288"/>
      <c r="D58" s="288"/>
      <c r="E58" s="288"/>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row>
    <row r="60" spans="1:88" s="224" customFormat="1" x14ac:dyDescent="0.25">
      <c r="A60" s="226" t="s">
        <v>679</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8" t="s">
        <v>680</v>
      </c>
      <c r="B61" s="88"/>
      <c r="C61" s="88"/>
      <c r="D61" s="88"/>
      <c r="E61" s="88">
        <f>股权价值增加表!E38</f>
        <v>2123176431.3699999</v>
      </c>
      <c r="F61" s="88">
        <f>股权价值增加表!F38</f>
        <v>1550852248.4799998</v>
      </c>
      <c r="G61" s="88">
        <f>股权价值增加表!G38</f>
        <v>1044088194.8999999</v>
      </c>
      <c r="H61" s="88">
        <f>股权价值增加表!H38</f>
        <v>552685101.54000008</v>
      </c>
      <c r="I61" s="88">
        <f>股权价值增加表!I38</f>
        <v>1887326434.0999999</v>
      </c>
      <c r="J61" s="88">
        <f>股权价值增加表!J38</f>
        <v>1406349577.6199996</v>
      </c>
      <c r="K61" s="88">
        <f>股权价值增加表!K38</f>
        <v>922950928.68999994</v>
      </c>
      <c r="L61" s="88">
        <f>股权价值增加表!L38</f>
        <v>446540909.11000001</v>
      </c>
      <c r="M61" s="88">
        <f>股权价值增加表!M38</f>
        <v>1728286958.4999995</v>
      </c>
      <c r="N61" s="88">
        <f>股权价值增加表!N38</f>
        <v>1261807500.1200006</v>
      </c>
      <c r="O61" s="88">
        <f>股权价值增加表!O38</f>
        <v>880879386.66000009</v>
      </c>
      <c r="P61" s="88">
        <f>股权价值增加表!P38</f>
        <v>430896569.27000004</v>
      </c>
      <c r="Q61" s="88">
        <f>股权价值增加表!Q38</f>
        <v>1618488689.4900005</v>
      </c>
      <c r="R61" s="88">
        <f>股权价值增加表!R38</f>
        <v>1054791856.3700001</v>
      </c>
      <c r="S61" s="88">
        <f>股权价值增加表!S38</f>
        <v>714092223.15999997</v>
      </c>
      <c r="T61" s="88">
        <f>股权价值增加表!T38</f>
        <v>350872273.33999997</v>
      </c>
      <c r="U61" s="88">
        <f>股权价值增加表!U38</f>
        <v>1272691487.7800004</v>
      </c>
      <c r="V61" s="88">
        <f>股权价值增加表!V38</f>
        <v>941513019.37</v>
      </c>
      <c r="W61" s="88">
        <f>股权价值增加表!W38</f>
        <v>630070159.33000028</v>
      </c>
      <c r="X61" s="88">
        <f>股权价值增加表!X38</f>
        <v>320646301.32999992</v>
      </c>
      <c r="Y61" s="88">
        <f>股权价值增加表!Y38</f>
        <v>1067230396.1199996</v>
      </c>
      <c r="Z61" s="88">
        <f>股权价值增加表!Z38</f>
        <v>812729475.40999973</v>
      </c>
      <c r="AA61" s="88">
        <f>股权价值增加表!AA38</f>
        <v>546987167.83000016</v>
      </c>
      <c r="AB61" s="88">
        <f>股权价值增加表!AB38</f>
        <v>259062968.78000018</v>
      </c>
      <c r="AC61" s="88">
        <f>股权价值增加表!AC38</f>
        <v>931754510.33999979</v>
      </c>
    </row>
    <row r="62" spans="1:88" s="192" customFormat="1" x14ac:dyDescent="0.25">
      <c r="A62" s="88" t="s">
        <v>681</v>
      </c>
      <c r="B62" s="88"/>
      <c r="C62" s="88"/>
      <c r="D62" s="88"/>
      <c r="E62" s="88">
        <f>股权价值增加表!E40</f>
        <v>564537893.88</v>
      </c>
      <c r="F62" s="88">
        <f>股权价值增加表!F40</f>
        <v>397243514</v>
      </c>
      <c r="G62" s="88">
        <f>股权价值增加表!G40</f>
        <v>264754267.06</v>
      </c>
      <c r="H62" s="88">
        <f>股权价值增加表!H40</f>
        <v>135450088.46000001</v>
      </c>
      <c r="I62" s="88">
        <f>股权价值增加表!I40</f>
        <v>512767558.44</v>
      </c>
      <c r="J62" s="88">
        <f>股权价值增加表!J40</f>
        <v>361196177.08999997</v>
      </c>
      <c r="K62" s="88">
        <f>股权价值增加表!K40</f>
        <v>240383012.94999999</v>
      </c>
      <c r="L62" s="88">
        <f>股权价值增加表!L40</f>
        <v>117048465.54000001</v>
      </c>
      <c r="M62" s="88">
        <f>股权价值增加表!M40</f>
        <v>457704880.73000002</v>
      </c>
      <c r="N62" s="88">
        <f>股权价值增加表!N40</f>
        <v>330851984.33999997</v>
      </c>
      <c r="O62" s="88">
        <f>股权价值增加表!O40</f>
        <v>215826394.11000001</v>
      </c>
      <c r="P62" s="88">
        <f>股权价值增加表!P40</f>
        <v>111873062.23</v>
      </c>
      <c r="Q62" s="88">
        <f>股权价值增加表!Q40</f>
        <v>392793096.38</v>
      </c>
      <c r="R62" s="88">
        <f>股权价值增加表!R40</f>
        <v>255606404.49000001</v>
      </c>
      <c r="S62" s="88">
        <f>股权价值增加表!S40</f>
        <v>160397553.15000001</v>
      </c>
      <c r="T62" s="88">
        <f>股权价值增加表!T40</f>
        <v>90681555.269999996</v>
      </c>
      <c r="U62" s="88">
        <f>股权价值增加表!U40</f>
        <v>338955137.13999999</v>
      </c>
      <c r="V62" s="88">
        <f>股权价值增加表!V40</f>
        <v>234245841.41</v>
      </c>
      <c r="W62" s="88">
        <f>股权价值增加表!W40</f>
        <v>156417397.94</v>
      </c>
      <c r="X62" s="88">
        <f>股权价值增加表!X40</f>
        <v>83887613.879999995</v>
      </c>
      <c r="Y62" s="88">
        <f>股权价值增加表!Y40</f>
        <v>276351152.68000001</v>
      </c>
      <c r="Z62" s="88">
        <f>股权价值增加表!Z40</f>
        <v>204310273.06999999</v>
      </c>
      <c r="AA62" s="88">
        <f>股权价值增加表!AA40</f>
        <v>139660815.12</v>
      </c>
      <c r="AB62" s="88">
        <f>股权价值增加表!AB40</f>
        <v>69214115.569999993</v>
      </c>
      <c r="AC62" s="88">
        <f>股权价值增加表!AC40</f>
        <v>246602089.97</v>
      </c>
    </row>
    <row r="63" spans="1:88" x14ac:dyDescent="0.25">
      <c r="A63" s="183" t="s">
        <v>682</v>
      </c>
      <c r="B63" s="64"/>
      <c r="C63" s="64"/>
      <c r="D63" s="64"/>
      <c r="E63" s="64">
        <f>股权价值增加表!E42</f>
        <v>1558638537.4899998</v>
      </c>
      <c r="F63" s="64">
        <f>股权价值增加表!F42</f>
        <v>1153608734.4799998</v>
      </c>
      <c r="G63" s="64">
        <f>股权价值增加表!G42</f>
        <v>779333927.83999991</v>
      </c>
      <c r="H63" s="64">
        <f>股权价值增加表!H42</f>
        <v>417235013.08000004</v>
      </c>
      <c r="I63" s="64">
        <f>股权价值增加表!I42</f>
        <v>1374558875.6599998</v>
      </c>
      <c r="J63" s="64">
        <f>股权价值增加表!J42</f>
        <v>1045153400.5299997</v>
      </c>
      <c r="K63" s="64">
        <f>股权价值增加表!K42</f>
        <v>682567915.74000001</v>
      </c>
      <c r="L63" s="64">
        <f>股权价值增加表!L42</f>
        <v>329492443.56999999</v>
      </c>
      <c r="M63" s="64">
        <f>股权价值增加表!M42</f>
        <v>1270582077.7699995</v>
      </c>
      <c r="N63" s="64">
        <f>股权价值增加表!N42</f>
        <v>930955515.78000069</v>
      </c>
      <c r="O63" s="64">
        <f>股权价值增加表!O42</f>
        <v>665052992.55000007</v>
      </c>
      <c r="P63" s="64">
        <f>股权价值增加表!P42</f>
        <v>319023507.04000002</v>
      </c>
      <c r="Q63" s="64">
        <f>股权价值增加表!Q42</f>
        <v>1225695593.1100006</v>
      </c>
      <c r="R63" s="64">
        <f>股权价值增加表!R42</f>
        <v>799185451.88000011</v>
      </c>
      <c r="S63" s="64">
        <f>股权价值增加表!S42</f>
        <v>553694670.00999999</v>
      </c>
      <c r="T63" s="64">
        <f>股权价值增加表!T42</f>
        <v>260190718.06999999</v>
      </c>
      <c r="U63" s="64">
        <f>股权价值增加表!U42</f>
        <v>933736350.64000046</v>
      </c>
      <c r="V63" s="64">
        <f>股权价值增加表!V42</f>
        <v>707267177.96000004</v>
      </c>
      <c r="W63" s="64">
        <f>股权价值增加表!W42</f>
        <v>473652761.39000028</v>
      </c>
      <c r="X63" s="64">
        <f>股权价值增加表!X42</f>
        <v>236758687.44999993</v>
      </c>
      <c r="Y63" s="64">
        <f>股权价值增加表!Y42</f>
        <v>790879243.43999958</v>
      </c>
      <c r="Z63" s="64">
        <f>股权价值增加表!Z42</f>
        <v>608419202.33999968</v>
      </c>
      <c r="AA63" s="64">
        <f>股权价值增加表!AA42</f>
        <v>407326352.71000016</v>
      </c>
      <c r="AB63" s="64">
        <f>股权价值增加表!AB42</f>
        <v>189848853.21000019</v>
      </c>
      <c r="AC63" s="64">
        <f>股权价值增加表!AC42</f>
        <v>685152420.36999977</v>
      </c>
    </row>
    <row r="64" spans="1:88" s="63" customFormat="1" x14ac:dyDescent="0.25">
      <c r="A64" s="213" t="s">
        <v>683</v>
      </c>
      <c r="B64" s="213"/>
      <c r="C64" s="213"/>
      <c r="D64" s="213"/>
      <c r="E64" s="213">
        <f>1-E63/E61</f>
        <v>0.26589306735838558</v>
      </c>
      <c r="F64" s="213">
        <f t="shared" ref="F64:AC64" si="46">1-F63/F61</f>
        <v>0.25614529971461875</v>
      </c>
      <c r="G64" s="213">
        <f t="shared" si="46"/>
        <v>0.2535746198005403</v>
      </c>
      <c r="H64" s="213">
        <f t="shared" si="46"/>
        <v>0.24507642431934984</v>
      </c>
      <c r="I64" s="213">
        <f t="shared" si="46"/>
        <v>0.27168991499052519</v>
      </c>
      <c r="J64" s="213">
        <f t="shared" si="46"/>
        <v>0.25683242832216813</v>
      </c>
      <c r="K64" s="213">
        <f t="shared" si="46"/>
        <v>0.26045048060267961</v>
      </c>
      <c r="L64" s="213">
        <f t="shared" si="46"/>
        <v>0.26212260321968961</v>
      </c>
      <c r="M64" s="213">
        <f t="shared" si="46"/>
        <v>0.26483153071249665</v>
      </c>
      <c r="N64" s="213">
        <f t="shared" si="46"/>
        <v>0.26220480089754994</v>
      </c>
      <c r="O64" s="213">
        <f t="shared" si="46"/>
        <v>0.24501242437780446</v>
      </c>
      <c r="P64" s="213">
        <f t="shared" si="46"/>
        <v>0.25962857494903913</v>
      </c>
      <c r="Q64" s="213">
        <f t="shared" si="46"/>
        <v>0.24269128288055708</v>
      </c>
      <c r="R64" s="213">
        <f t="shared" si="46"/>
        <v>0.24232876178021834</v>
      </c>
      <c r="S64" s="213">
        <f t="shared" si="46"/>
        <v>0.22461742047856081</v>
      </c>
      <c r="T64" s="213">
        <f t="shared" si="46"/>
        <v>0.25844605618674332</v>
      </c>
      <c r="U64" s="213">
        <f t="shared" si="46"/>
        <v>0.26632938178226606</v>
      </c>
      <c r="V64" s="213">
        <f t="shared" si="46"/>
        <v>0.24879724081430354</v>
      </c>
      <c r="W64" s="213">
        <f t="shared" si="46"/>
        <v>0.2482539374763123</v>
      </c>
      <c r="X64" s="213">
        <f t="shared" si="46"/>
        <v>0.26162040083433014</v>
      </c>
      <c r="Y64" s="213">
        <f t="shared" si="46"/>
        <v>0.25894235554449774</v>
      </c>
      <c r="Z64" s="213">
        <f t="shared" si="46"/>
        <v>0.25138779784863974</v>
      </c>
      <c r="AA64" s="213">
        <f t="shared" si="46"/>
        <v>0.25532740680930488</v>
      </c>
      <c r="AB64" s="213">
        <f t="shared" si="46"/>
        <v>0.2671710121131885</v>
      </c>
      <c r="AC64" s="213">
        <f t="shared" si="46"/>
        <v>0.26466422993757688</v>
      </c>
    </row>
    <row r="65" spans="1:29" ht="42.6" customHeight="1" x14ac:dyDescent="0.25">
      <c r="A65" s="282" t="s">
        <v>684</v>
      </c>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c r="AA65" s="282"/>
      <c r="AB65" s="282"/>
      <c r="AC65" s="282"/>
    </row>
    <row r="68" spans="1:29" ht="55.8" customHeight="1" x14ac:dyDescent="0.25">
      <c r="A68" s="280" t="s">
        <v>736</v>
      </c>
      <c r="B68" s="279"/>
      <c r="C68" s="279"/>
      <c r="D68" s="279"/>
      <c r="E68" s="279"/>
      <c r="F68" s="279"/>
      <c r="G68" s="279"/>
      <c r="H68" s="279"/>
      <c r="I68" s="279"/>
      <c r="J68" s="279"/>
      <c r="K68" s="279"/>
      <c r="L68" s="279"/>
      <c r="M68" s="279"/>
      <c r="N68" s="279"/>
      <c r="O68" s="279"/>
      <c r="P68" s="279"/>
      <c r="Q68" s="279"/>
      <c r="R68" s="279"/>
      <c r="S68" s="279"/>
      <c r="T68" s="279"/>
      <c r="U68" s="279"/>
      <c r="V68" s="279"/>
      <c r="W68" s="279"/>
      <c r="X68" s="279"/>
      <c r="Y68" s="279"/>
      <c r="Z68" s="279"/>
      <c r="AA68" s="279"/>
      <c r="AB68" s="279"/>
      <c r="AC68" s="279"/>
    </row>
    <row r="69" spans="1:29" x14ac:dyDescent="0.25">
      <c r="A69" s="284" t="s">
        <v>704</v>
      </c>
      <c r="B69" s="284"/>
      <c r="C69" s="284"/>
      <c r="D69" s="284"/>
      <c r="E69" s="284"/>
      <c r="F69" s="256"/>
      <c r="G69" s="256"/>
      <c r="H69" s="256"/>
      <c r="I69" s="256" t="s">
        <v>708</v>
      </c>
      <c r="J69" s="256"/>
      <c r="K69" s="256"/>
      <c r="L69" s="256"/>
      <c r="M69" s="256" t="s">
        <v>709</v>
      </c>
    </row>
    <row r="70" spans="1:29" ht="57.6" x14ac:dyDescent="0.25">
      <c r="A70" s="285" t="s">
        <v>705</v>
      </c>
      <c r="B70" s="65"/>
      <c r="C70" s="65"/>
      <c r="D70" s="65"/>
      <c r="E70" s="65" t="s">
        <v>706</v>
      </c>
      <c r="F70" s="65"/>
      <c r="G70" s="65"/>
      <c r="H70" s="65"/>
      <c r="I70" s="257" t="s">
        <v>710</v>
      </c>
      <c r="J70" s="258"/>
      <c r="K70" s="258"/>
      <c r="L70" s="258"/>
      <c r="M70" s="257" t="s">
        <v>711</v>
      </c>
    </row>
    <row r="71" spans="1:29" ht="54.6" customHeight="1" x14ac:dyDescent="0.25">
      <c r="A71" s="285"/>
      <c r="B71" s="65"/>
      <c r="C71" s="65"/>
      <c r="D71" s="65"/>
      <c r="E71" s="65" t="s">
        <v>707</v>
      </c>
      <c r="F71" s="65"/>
      <c r="G71" s="65"/>
      <c r="H71" s="65"/>
      <c r="I71" s="257" t="s">
        <v>712</v>
      </c>
      <c r="J71" s="258"/>
      <c r="K71" s="258"/>
      <c r="L71" s="258"/>
      <c r="M71" s="257" t="s">
        <v>713</v>
      </c>
    </row>
    <row r="72" spans="1:29" ht="57.6" x14ac:dyDescent="0.25">
      <c r="A72" s="285" t="s">
        <v>721</v>
      </c>
      <c r="B72" s="65"/>
      <c r="C72" s="65"/>
      <c r="D72" s="65"/>
      <c r="E72" s="65" t="s">
        <v>714</v>
      </c>
      <c r="F72" s="65"/>
      <c r="G72" s="65"/>
      <c r="H72" s="65"/>
      <c r="I72" s="257" t="s">
        <v>722</v>
      </c>
      <c r="J72" s="258"/>
      <c r="K72" s="258"/>
      <c r="L72" s="258"/>
      <c r="M72" s="257" t="s">
        <v>723</v>
      </c>
    </row>
    <row r="73" spans="1:29" ht="43.2" x14ac:dyDescent="0.25">
      <c r="A73" s="285"/>
      <c r="B73" s="65"/>
      <c r="C73" s="65"/>
      <c r="D73" s="65"/>
      <c r="E73" s="65" t="s">
        <v>715</v>
      </c>
      <c r="F73" s="65"/>
      <c r="G73" s="65"/>
      <c r="H73" s="65"/>
      <c r="I73" s="257" t="s">
        <v>724</v>
      </c>
      <c r="J73" s="258"/>
      <c r="K73" s="258"/>
      <c r="L73" s="258"/>
      <c r="M73" s="257" t="s">
        <v>725</v>
      </c>
    </row>
    <row r="74" spans="1:29" ht="72" x14ac:dyDescent="0.25">
      <c r="A74" s="285"/>
      <c r="B74" s="65"/>
      <c r="C74" s="65"/>
      <c r="D74" s="65"/>
      <c r="E74" s="65" t="s">
        <v>716</v>
      </c>
      <c r="F74" s="65"/>
      <c r="G74" s="65"/>
      <c r="H74" s="65"/>
      <c r="I74" s="257" t="s">
        <v>726</v>
      </c>
      <c r="J74" s="258"/>
      <c r="K74" s="258"/>
      <c r="L74" s="258"/>
      <c r="M74" s="257" t="s">
        <v>727</v>
      </c>
    </row>
    <row r="75" spans="1:29" ht="72" x14ac:dyDescent="0.25">
      <c r="A75" s="285"/>
      <c r="B75" s="65"/>
      <c r="C75" s="65"/>
      <c r="D75" s="65"/>
      <c r="E75" s="65" t="s">
        <v>717</v>
      </c>
      <c r="F75" s="65"/>
      <c r="G75" s="65"/>
      <c r="H75" s="65"/>
      <c r="I75" s="257" t="s">
        <v>728</v>
      </c>
      <c r="J75" s="258"/>
      <c r="K75" s="258"/>
      <c r="L75" s="258"/>
      <c r="M75" s="257" t="s">
        <v>729</v>
      </c>
    </row>
    <row r="76" spans="1:29" x14ac:dyDescent="0.25">
      <c r="A76" s="285"/>
      <c r="B76" s="65"/>
      <c r="C76" s="65"/>
      <c r="D76" s="65"/>
      <c r="E76" s="65" t="s">
        <v>718</v>
      </c>
      <c r="F76" s="65"/>
      <c r="G76" s="65"/>
      <c r="H76" s="65"/>
      <c r="I76" s="257" t="s">
        <v>730</v>
      </c>
      <c r="J76" s="258"/>
      <c r="K76" s="258"/>
      <c r="L76" s="258"/>
      <c r="M76" s="257" t="s">
        <v>731</v>
      </c>
    </row>
    <row r="77" spans="1:29" ht="57.6" x14ac:dyDescent="0.25">
      <c r="A77" s="285"/>
      <c r="B77" s="65"/>
      <c r="C77" s="65"/>
      <c r="D77" s="65"/>
      <c r="E77" s="65" t="s">
        <v>719</v>
      </c>
      <c r="F77" s="65"/>
      <c r="G77" s="65"/>
      <c r="H77" s="65"/>
      <c r="I77" s="257" t="s">
        <v>732</v>
      </c>
      <c r="J77" s="258"/>
      <c r="K77" s="258"/>
      <c r="L77" s="258"/>
      <c r="M77" s="257" t="s">
        <v>733</v>
      </c>
    </row>
    <row r="78" spans="1:29" ht="57.6" x14ac:dyDescent="0.25">
      <c r="A78" s="285"/>
      <c r="B78" s="65"/>
      <c r="C78" s="65"/>
      <c r="D78" s="65"/>
      <c r="E78" s="65" t="s">
        <v>720</v>
      </c>
      <c r="F78" s="65"/>
      <c r="G78" s="65"/>
      <c r="H78" s="65"/>
      <c r="I78" s="257" t="s">
        <v>734</v>
      </c>
      <c r="J78" s="258"/>
      <c r="K78" s="258"/>
      <c r="L78" s="258"/>
      <c r="M78" s="257"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7" width="20.44140625" hidden="1" customWidth="1"/>
    <col min="28" max="28" width="19.33203125" hidden="1" customWidth="1"/>
    <col min="29" max="29" width="19.33203125" bestFit="1" customWidth="1"/>
    <col min="30" max="32" width="20.44140625" hidden="1" customWidth="1"/>
    <col min="33" max="33" width="20.44140625" bestFit="1" customWidth="1"/>
    <col min="34" max="36" width="20.44140625" hidden="1" customWidth="1"/>
    <col min="37" max="37" width="20.44140625" bestFit="1" customWidth="1"/>
    <col min="38" max="38" width="20.44140625" hidden="1" customWidth="1"/>
    <col min="39" max="40" width="19.33203125" hidden="1" customWidth="1"/>
    <col min="41" max="41" width="19.33203125" bestFit="1" customWidth="1"/>
    <col min="42" max="43" width="20.44140625" hidden="1" customWidth="1"/>
    <col min="44" max="44" width="19.33203125" hidden="1" customWidth="1"/>
    <col min="45" max="45" width="19.33203125" bestFit="1" customWidth="1"/>
    <col min="46" max="48" width="20.44140625" hidden="1" customWidth="1"/>
    <col min="49" max="49" width="19.33203125" bestFit="1" customWidth="1"/>
    <col min="50" max="51" width="20.44140625" hidden="1" customWidth="1"/>
    <col min="52" max="52" width="19.33203125" hidden="1" customWidth="1"/>
    <col min="53" max="53" width="19.33203125" bestFit="1" customWidth="1"/>
    <col min="54" max="55" width="19.332031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8.33203125" bestFit="1" customWidth="1"/>
    <col min="68" max="68" width="17.21875" bestFit="1" customWidth="1"/>
    <col min="69" max="69" width="19.33203125" hidden="1" customWidth="1"/>
    <col min="70"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1558638537.4899998</v>
      </c>
      <c r="F2" s="26">
        <f>股权价值增加表!F42</f>
        <v>1153608734.4799998</v>
      </c>
      <c r="G2" s="26">
        <f>股权价值增加表!G42</f>
        <v>779333927.83999991</v>
      </c>
      <c r="H2" s="26">
        <f>股权价值增加表!H42</f>
        <v>417235013.08000004</v>
      </c>
      <c r="I2" s="26">
        <f>股权价值增加表!I42</f>
        <v>1374558875.6599998</v>
      </c>
      <c r="J2" s="26">
        <f>股权价值增加表!J42</f>
        <v>1045153400.5299997</v>
      </c>
      <c r="K2" s="26">
        <f>股权价值增加表!K42</f>
        <v>682567915.74000001</v>
      </c>
      <c r="L2" s="26">
        <f>股权价值增加表!L42</f>
        <v>329492443.56999999</v>
      </c>
      <c r="M2" s="26">
        <f>股权价值增加表!M42</f>
        <v>1270582077.7699995</v>
      </c>
      <c r="N2" s="26">
        <f>股权价值增加表!N42</f>
        <v>930955515.78000069</v>
      </c>
      <c r="O2" s="26">
        <f>股权价值增加表!O42</f>
        <v>665052992.55000007</v>
      </c>
      <c r="P2" s="26">
        <f>股权价值增加表!P42</f>
        <v>319023507.04000002</v>
      </c>
      <c r="Q2" s="26">
        <f>股权价值增加表!Q42</f>
        <v>1225695593.1100006</v>
      </c>
      <c r="R2" s="26">
        <f>股权价值增加表!R42</f>
        <v>799185451.88000011</v>
      </c>
      <c r="S2" s="26">
        <f>股权价值增加表!S42</f>
        <v>553694670.00999999</v>
      </c>
      <c r="T2" s="26">
        <f>股权价值增加表!T42</f>
        <v>260190718.06999999</v>
      </c>
      <c r="U2" s="26">
        <f>股权价值增加表!U42</f>
        <v>933736350.64000046</v>
      </c>
      <c r="V2" s="26">
        <f>股权价值增加表!V42</f>
        <v>707267177.96000004</v>
      </c>
      <c r="W2" s="26">
        <f>股权价值增加表!W42</f>
        <v>473652761.39000028</v>
      </c>
      <c r="X2" s="26">
        <f>股权价值增加表!X42</f>
        <v>236758687.44999993</v>
      </c>
      <c r="Y2" s="26">
        <f>股权价值增加表!Y42</f>
        <v>790879243.43999958</v>
      </c>
      <c r="Z2" s="26">
        <f>股权价值增加表!Z42</f>
        <v>608419202.33999968</v>
      </c>
      <c r="AA2" s="26">
        <f>股权价值增加表!AA42</f>
        <v>407326352.71000016</v>
      </c>
      <c r="AB2" s="26">
        <f>股权价值增加表!AB42</f>
        <v>189848853.21000019</v>
      </c>
      <c r="AC2" s="26">
        <f>股权价值增加表!AC42</f>
        <v>685152420.36999977</v>
      </c>
      <c r="AD2" s="26">
        <f>股权价值增加表!AD42</f>
        <v>516053775.40999985</v>
      </c>
      <c r="AE2" s="26">
        <f>股权价值增加表!AE42</f>
        <v>318859572.69999993</v>
      </c>
      <c r="AF2" s="26">
        <f>股权价值增加表!AF42</f>
        <v>166957892.83999994</v>
      </c>
      <c r="AG2" s="26">
        <f>股权价值增加表!AG42</f>
        <v>687437412.00999999</v>
      </c>
      <c r="AH2" s="26">
        <f>股权价值增加表!AH42</f>
        <v>484984203.71000034</v>
      </c>
      <c r="AI2" s="26">
        <f>股权价值增加表!AI42</f>
        <v>292537697.19000006</v>
      </c>
      <c r="AJ2" s="26">
        <f>股权价值增加表!AJ42</f>
        <v>166953807.40999997</v>
      </c>
      <c r="AK2" s="26">
        <f>股权价值增加表!AK42</f>
        <v>557682710.93999994</v>
      </c>
      <c r="AL2" s="26">
        <f>股权价值增加表!AL42</f>
        <v>400267874.43999982</v>
      </c>
      <c r="AM2" s="26">
        <f>股权价值增加表!AM42</f>
        <v>269309766.39000005</v>
      </c>
      <c r="AN2" s="26">
        <f>股权价值增加表!AN42</f>
        <v>128730371.03000008</v>
      </c>
      <c r="AO2" s="26">
        <f>股权价值增加表!AO42</f>
        <v>499490221.19999993</v>
      </c>
      <c r="AP2" s="26">
        <f>股权价值增加表!AP42</f>
        <v>404477056.48000008</v>
      </c>
      <c r="AQ2" s="26">
        <f>股权价值增加表!AQ42</f>
        <v>270937349.97000003</v>
      </c>
      <c r="AR2" s="26">
        <f>股权价值增加表!AR42</f>
        <v>143947088.66999996</v>
      </c>
      <c r="AS2" s="26">
        <f>股权价值增加表!AS42</f>
        <v>392337364.1500001</v>
      </c>
      <c r="AT2" s="26">
        <f>股权价值增加表!AT42</f>
        <v>338280716.21999997</v>
      </c>
      <c r="AU2" s="26">
        <f>股权价值增加表!AU42</f>
        <v>197252285.10000008</v>
      </c>
      <c r="AV2" s="26">
        <f>股权价值增加表!AV42</f>
        <v>101218384.32000004</v>
      </c>
      <c r="AW2" s="26">
        <f>股权价值增加表!AW42</f>
        <v>303077076.85000014</v>
      </c>
      <c r="AX2" s="26">
        <f>股权价值增加表!AX42</f>
        <v>242277318</v>
      </c>
      <c r="AY2" s="26">
        <f>股权价值增加表!AY42</f>
        <v>143404641.57000011</v>
      </c>
      <c r="AZ2" s="26">
        <f>股权价值增加表!AZ42</f>
        <v>81740732.359999985</v>
      </c>
      <c r="BA2" s="26">
        <f>股权价值增加表!BA42</f>
        <v>260855435.77999979</v>
      </c>
      <c r="BB2" s="26">
        <f>股权价值增加表!BB42</f>
        <v>196514334.60000008</v>
      </c>
      <c r="BC2" s="26">
        <f>股权价值增加表!BC42</f>
        <v>130561358.67000005</v>
      </c>
      <c r="BD2" s="26">
        <f>股权价值增加表!BD42</f>
        <v>61824644.440000013</v>
      </c>
      <c r="BE2" s="26">
        <f>股权价值增加表!BE42</f>
        <v>300180629.66999996</v>
      </c>
      <c r="BF2" s="26">
        <f>股权价值增加表!BF42</f>
        <v>277743555.59999996</v>
      </c>
      <c r="BG2" s="26">
        <f>股权价值增加表!BG42</f>
        <v>234393483.71000004</v>
      </c>
      <c r="BH2" s="26">
        <f>股权价值增加表!BH42</f>
        <v>127236038.12</v>
      </c>
      <c r="BI2" s="26">
        <f>股权价值增加表!BI42</f>
        <v>299296867.95000005</v>
      </c>
      <c r="BJ2" s="26">
        <f>股权价值增加表!BJ42</f>
        <v>200038541.68000004</v>
      </c>
      <c r="BK2" s="26">
        <f>股权价值增加表!BK42</f>
        <v>86985533.440000013</v>
      </c>
      <c r="BL2" s="26">
        <f>股权价值增加表!BL42</f>
        <v>70719094.739999995</v>
      </c>
      <c r="BM2" s="26">
        <f>股权价值增加表!BM42</f>
        <v>282978140.46000004</v>
      </c>
      <c r="BN2" s="26">
        <f>股权价值增加表!BN42</f>
        <v>134844986.12999994</v>
      </c>
      <c r="BO2" s="26">
        <f>股权价值增加表!BO42</f>
        <v>287774054.81</v>
      </c>
      <c r="BP2" s="26">
        <f>股权价值增加表!BP42</f>
        <v>198834245.46000007</v>
      </c>
      <c r="BQ2" s="26">
        <f>股权价值增加表!BQ42</f>
        <v>0</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15099787202.039999</v>
      </c>
      <c r="F3" s="26">
        <f>资产资本表!F107</f>
        <v>14685905337.309999</v>
      </c>
      <c r="G3" s="26">
        <f>资产资本表!G107</f>
        <v>14291459227.26</v>
      </c>
      <c r="H3" s="26">
        <f>资产资本表!H107</f>
        <v>11363719531.42</v>
      </c>
      <c r="I3" s="26">
        <f>资产资本表!I107</f>
        <v>10874475844.16</v>
      </c>
      <c r="J3" s="26">
        <f>资产资本表!J107</f>
        <v>10797248435.01</v>
      </c>
      <c r="K3" s="26">
        <f>资产资本表!K107</f>
        <v>10434593352.689999</v>
      </c>
      <c r="L3" s="26">
        <f>资产资本表!L107</f>
        <v>10490897006.99</v>
      </c>
      <c r="M3" s="26">
        <f>资产资本表!M107</f>
        <v>9772634096.4200001</v>
      </c>
      <c r="N3" s="26">
        <f>资产资本表!N107</f>
        <v>9429678065.6800003</v>
      </c>
      <c r="O3" s="26">
        <f>资产资本表!O107</f>
        <v>9163775542.4499989</v>
      </c>
      <c r="P3" s="26">
        <f>资产资本表!P107</f>
        <v>9172536118.5099983</v>
      </c>
      <c r="Q3" s="26">
        <f>资产资本表!Q107</f>
        <v>8856587611.4699993</v>
      </c>
      <c r="R3" s="26">
        <f>资产资本表!R107</f>
        <v>8399177028.7399998</v>
      </c>
      <c r="S3" s="26">
        <f>资产资本表!S107</f>
        <v>8153186246.8699999</v>
      </c>
      <c r="T3" s="26">
        <f>资产资本表!T107</f>
        <v>8285182294.9000006</v>
      </c>
      <c r="U3" s="26">
        <f>资产资本表!U107</f>
        <v>8026385121.6099997</v>
      </c>
      <c r="V3" s="26">
        <f>资产资本表!V107</f>
        <v>7793229120.5500002</v>
      </c>
      <c r="W3" s="26">
        <f>资产资本表!W107</f>
        <v>7566214703.9799995</v>
      </c>
      <c r="X3" s="26">
        <f>资产资本表!X107</f>
        <v>7709450477.6199999</v>
      </c>
      <c r="Y3" s="26">
        <f>资产资本表!Y107</f>
        <v>7472691790.1700001</v>
      </c>
      <c r="Z3" s="26">
        <f>资产资本表!Z107</f>
        <v>7281057406.8199997</v>
      </c>
      <c r="AA3" s="26">
        <f>资产资本表!AA107</f>
        <v>7087224557.1899996</v>
      </c>
      <c r="AB3" s="26">
        <f>资产资本表!AB107</f>
        <v>7275481581.46</v>
      </c>
      <c r="AC3" s="26">
        <f>资产资本表!AC107</f>
        <v>7088626454.1100006</v>
      </c>
      <c r="AD3" s="26">
        <f>资产资本表!AD107</f>
        <v>6876525680.2700005</v>
      </c>
      <c r="AE3" s="26">
        <f>资产资本表!AE107</f>
        <v>6730320670.6000004</v>
      </c>
      <c r="AF3" s="26">
        <f>资产资本表!AF107</f>
        <v>6927660764.1700001</v>
      </c>
      <c r="AG3" s="26">
        <f>资产资本表!AG107</f>
        <v>6761157945.75</v>
      </c>
      <c r="AH3" s="26">
        <f>资产资本表!AH107</f>
        <v>6555366029.1700001</v>
      </c>
      <c r="AI3" s="26">
        <f>资产资本表!AI107</f>
        <v>6378121423.6800003</v>
      </c>
      <c r="AJ3" s="26">
        <f>资产资本表!AJ107</f>
        <v>6552325387.9300003</v>
      </c>
      <c r="AK3" s="26">
        <f>资产资本表!AK107</f>
        <v>6385371580.5200005</v>
      </c>
      <c r="AL3" s="26">
        <f>资产资本表!AL107</f>
        <v>6222824583.1599998</v>
      </c>
      <c r="AM3" s="26">
        <f>资产资本表!AM107</f>
        <v>6107964289.1899996</v>
      </c>
      <c r="AN3" s="26">
        <f>资产资本表!AN107</f>
        <v>6162884893.8299999</v>
      </c>
      <c r="AO3" s="26">
        <f>资产资本表!AO107</f>
        <v>6034154522.8000002</v>
      </c>
      <c r="AP3" s="26">
        <f>资产资本表!AP107</f>
        <v>5924945056.5199995</v>
      </c>
      <c r="AQ3" s="26">
        <f>资产资本表!AQ107</f>
        <v>5799998716.6400003</v>
      </c>
      <c r="AR3" s="26">
        <f>资产资本表!AR107</f>
        <v>5880040238.9899998</v>
      </c>
      <c r="AS3" s="26">
        <f>资产资本表!AS107</f>
        <v>5736093150.3200006</v>
      </c>
      <c r="AT3" s="26">
        <f>资产资本表!AT107</f>
        <v>4518023282.8900003</v>
      </c>
      <c r="AU3" s="26">
        <f>资产资本表!AU107</f>
        <v>4416501478.1599998</v>
      </c>
      <c r="AV3" s="26">
        <f>资产资本表!AV107</f>
        <v>4328331244.3100004</v>
      </c>
      <c r="AW3" s="26">
        <f>资产资本表!AW107</f>
        <v>4357819632.54</v>
      </c>
      <c r="AX3" s="26">
        <f>资产资本表!AX107</f>
        <v>4300928485.4499998</v>
      </c>
      <c r="AY3" s="26">
        <f>资产资本表!AY107</f>
        <v>4204568309.0300002</v>
      </c>
      <c r="AZ3" s="26">
        <f>资产资本表!AZ107</f>
        <v>4249838571.6999998</v>
      </c>
      <c r="BA3" s="26">
        <f>资产资本表!BA107</f>
        <v>4153097839.3100004</v>
      </c>
      <c r="BB3" s="26">
        <f>资产资本表!BB107</f>
        <v>4078963343.8699999</v>
      </c>
      <c r="BC3" s="26">
        <f>资产资本表!BC107</f>
        <v>4012837470.4900002</v>
      </c>
      <c r="BD3" s="26">
        <f>资产资本表!BD107</f>
        <v>4199258452.6199999</v>
      </c>
      <c r="BE3" s="26">
        <f>资产资本表!BE107</f>
        <v>4124933808.21</v>
      </c>
      <c r="BF3" s="26">
        <f>资产资本表!BF107</f>
        <v>4082735527.8299999</v>
      </c>
      <c r="BG3" s="26">
        <f>资产资本表!BG107</f>
        <v>4114857579.9400001</v>
      </c>
      <c r="BH3" s="26">
        <f>资产资本表!BH107</f>
        <v>4017536059.8299999</v>
      </c>
      <c r="BI3" s="26">
        <f>资产资本表!BI107</f>
        <v>3890300021.6999998</v>
      </c>
      <c r="BJ3" s="26">
        <f>资产资本表!BJ107</f>
        <v>3788581547.3299999</v>
      </c>
      <c r="BK3" s="26">
        <f>资产资本表!BK107</f>
        <v>3673927484.8599997</v>
      </c>
      <c r="BL3" s="26">
        <f>资产资本表!BL107</f>
        <v>1371837731.03</v>
      </c>
      <c r="BM3" s="26">
        <f>资产资本表!BM107</f>
        <v>1433330529.6000001</v>
      </c>
      <c r="BN3" s="26">
        <f>资产资本表!BN107</f>
        <v>1129696762.5599999</v>
      </c>
      <c r="BO3" s="26">
        <f>资产资本表!BO107</f>
        <v>972486180.52999997</v>
      </c>
      <c r="BP3" s="26">
        <f>资产资本表!BP107</f>
        <v>0</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431</v>
      </c>
      <c r="E4" s="59">
        <f>E2/E3</f>
        <v>0.10322254987006875</v>
      </c>
      <c r="F4" s="59">
        <f t="shared" ref="F4:BQ4" si="0">F2/F3</f>
        <v>7.8552102031409735E-2</v>
      </c>
      <c r="G4" s="59">
        <f t="shared" si="0"/>
        <v>5.4531445351183781E-2</v>
      </c>
      <c r="H4" s="59">
        <f t="shared" si="0"/>
        <v>3.6716412432247235E-2</v>
      </c>
      <c r="I4" s="59">
        <f t="shared" si="0"/>
        <v>0.12640231082017525</v>
      </c>
      <c r="J4" s="59">
        <f t="shared" si="0"/>
        <v>9.6798124709356267E-2</v>
      </c>
      <c r="K4" s="59">
        <f t="shared" si="0"/>
        <v>6.54139450066865E-2</v>
      </c>
      <c r="L4" s="59">
        <f t="shared" si="0"/>
        <v>3.140746147354815E-2</v>
      </c>
      <c r="M4" s="59">
        <f t="shared" si="0"/>
        <v>0.13001428941614121</v>
      </c>
      <c r="N4" s="59">
        <f t="shared" si="0"/>
        <v>9.8726118675067073E-2</v>
      </c>
      <c r="O4" s="59">
        <f t="shared" si="0"/>
        <v>7.2574125093879546E-2</v>
      </c>
      <c r="P4" s="59">
        <f t="shared" si="0"/>
        <v>3.478029444836056E-2</v>
      </c>
      <c r="Q4" s="59">
        <f t="shared" si="0"/>
        <v>0.13839366208297035</v>
      </c>
      <c r="R4" s="59">
        <f t="shared" si="0"/>
        <v>9.5150447376615141E-2</v>
      </c>
      <c r="S4" s="59">
        <f t="shared" si="0"/>
        <v>6.7911446303899017E-2</v>
      </c>
      <c r="T4" s="59">
        <f t="shared" si="0"/>
        <v>3.140434438360664E-2</v>
      </c>
      <c r="U4" s="59">
        <f t="shared" si="0"/>
        <v>0.11633336009831333</v>
      </c>
      <c r="V4" s="59">
        <f t="shared" si="0"/>
        <v>9.0754059327603248E-2</v>
      </c>
      <c r="W4" s="59">
        <f t="shared" si="0"/>
        <v>6.2601020446967789E-2</v>
      </c>
      <c r="X4" s="59">
        <f t="shared" si="0"/>
        <v>3.0710189803708317E-2</v>
      </c>
      <c r="Y4" s="59">
        <f t="shared" si="0"/>
        <v>0.1058359244095102</v>
      </c>
      <c r="Z4" s="59">
        <f t="shared" si="0"/>
        <v>8.3561929036585728E-2</v>
      </c>
      <c r="AA4" s="59">
        <f t="shared" si="0"/>
        <v>5.7473323925762584E-2</v>
      </c>
      <c r="AB4" s="59">
        <f t="shared" si="0"/>
        <v>2.6094334936368906E-2</v>
      </c>
      <c r="AC4" s="59">
        <f t="shared" si="0"/>
        <v>9.6655173580595E-2</v>
      </c>
      <c r="AD4" s="59">
        <f t="shared" si="0"/>
        <v>7.5045713403012762E-2</v>
      </c>
      <c r="AE4" s="59">
        <f t="shared" si="0"/>
        <v>4.737657955777224E-2</v>
      </c>
      <c r="AF4" s="59">
        <f t="shared" si="0"/>
        <v>2.4100183095498773E-2</v>
      </c>
      <c r="AG4" s="59">
        <f t="shared" si="0"/>
        <v>0.10167450864568497</v>
      </c>
      <c r="AH4" s="59">
        <f t="shared" si="0"/>
        <v>7.3982780145597157E-2</v>
      </c>
      <c r="AI4" s="59">
        <f t="shared" si="0"/>
        <v>4.5865808716638368E-2</v>
      </c>
      <c r="AJ4" s="59">
        <f t="shared" si="0"/>
        <v>2.5480084935577921E-2</v>
      </c>
      <c r="AK4" s="59">
        <f t="shared" si="0"/>
        <v>8.7337550196974506E-2</v>
      </c>
      <c r="AL4" s="59">
        <f t="shared" si="0"/>
        <v>6.4322538598177964E-2</v>
      </c>
      <c r="AM4" s="59">
        <f t="shared" si="0"/>
        <v>4.4091575136847146E-2</v>
      </c>
      <c r="AN4" s="59">
        <f t="shared" si="0"/>
        <v>2.088800508977201E-2</v>
      </c>
      <c r="AO4" s="59">
        <f t="shared" si="0"/>
        <v>8.2777167756092507E-2</v>
      </c>
      <c r="AP4" s="59">
        <f t="shared" si="0"/>
        <v>6.8266802919109026E-2</v>
      </c>
      <c r="AQ4" s="59">
        <f t="shared" si="0"/>
        <v>4.6713346537938003E-2</v>
      </c>
      <c r="AR4" s="59">
        <f t="shared" si="0"/>
        <v>2.4480629862955735E-2</v>
      </c>
      <c r="AS4" s="59">
        <f t="shared" si="0"/>
        <v>6.8398011306373699E-2</v>
      </c>
      <c r="AT4" s="59">
        <f t="shared" si="0"/>
        <v>7.4873610656476117E-2</v>
      </c>
      <c r="AU4" s="59">
        <f t="shared" si="0"/>
        <v>4.466256517187428E-2</v>
      </c>
      <c r="AV4" s="59">
        <f t="shared" si="0"/>
        <v>2.3385082750554537E-2</v>
      </c>
      <c r="AW4" s="59">
        <f t="shared" si="0"/>
        <v>6.9547870817532789E-2</v>
      </c>
      <c r="AX4" s="59">
        <f t="shared" si="0"/>
        <v>5.6331398864134075E-2</v>
      </c>
      <c r="AY4" s="59">
        <f t="shared" si="0"/>
        <v>3.4106864493559333E-2</v>
      </c>
      <c r="AZ4" s="59">
        <f t="shared" si="0"/>
        <v>1.9233844058058527E-2</v>
      </c>
      <c r="BA4" s="59">
        <f t="shared" si="0"/>
        <v>6.2809846016856311E-2</v>
      </c>
      <c r="BB4" s="59">
        <f t="shared" si="0"/>
        <v>4.8177519147194169E-2</v>
      </c>
      <c r="BC4" s="59">
        <f t="shared" si="0"/>
        <v>3.2535919939477999E-2</v>
      </c>
      <c r="BD4" s="59">
        <f t="shared" si="0"/>
        <v>1.4722752871147143E-2</v>
      </c>
      <c r="BE4" s="59">
        <f t="shared" si="0"/>
        <v>7.2772229477365183E-2</v>
      </c>
      <c r="BF4" s="59">
        <f t="shared" si="0"/>
        <v>6.8028789449318658E-2</v>
      </c>
      <c r="BG4" s="59">
        <f t="shared" si="0"/>
        <v>5.6962720861269224E-2</v>
      </c>
      <c r="BH4" s="59">
        <f t="shared" si="0"/>
        <v>3.16701670439727E-2</v>
      </c>
      <c r="BI4" s="59">
        <f t="shared" si="0"/>
        <v>7.6934135228781675E-2</v>
      </c>
      <c r="BJ4" s="59">
        <f t="shared" si="0"/>
        <v>5.2800379028657057E-2</v>
      </c>
      <c r="BK4" s="59">
        <f t="shared" si="0"/>
        <v>2.3676442662099718E-2</v>
      </c>
      <c r="BL4" s="59">
        <f t="shared" si="0"/>
        <v>5.1550626681555731E-2</v>
      </c>
      <c r="BM4" s="59">
        <f t="shared" si="0"/>
        <v>0.19742699580882492</v>
      </c>
      <c r="BN4" s="59">
        <f t="shared" si="0"/>
        <v>0.11936387763423205</v>
      </c>
      <c r="BO4" s="59">
        <f t="shared" si="0"/>
        <v>0.29591582952177747</v>
      </c>
      <c r="BP4" s="59" t="e">
        <f t="shared" si="0"/>
        <v>#DIV/0!</v>
      </c>
      <c r="BQ4" s="59">
        <f t="shared" si="0"/>
        <v>0</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350655561.32679963</v>
      </c>
      <c r="F5" s="26">
        <f>股权价值增加表!F47</f>
        <v>-21263692.50480032</v>
      </c>
      <c r="G5" s="26">
        <f>股权价值增加表!G47</f>
        <v>-363982810.34080005</v>
      </c>
      <c r="H5" s="26">
        <f>股权价值增加表!H47</f>
        <v>-491862549.43359995</v>
      </c>
      <c r="I5" s="26">
        <f>股权价值增加表!I47</f>
        <v>504600808.12719989</v>
      </c>
      <c r="J5" s="26">
        <f>股权价值增加表!J47</f>
        <v>181373525.72919965</v>
      </c>
      <c r="K5" s="26">
        <f>股权价值增加表!K47</f>
        <v>-152199552.47520006</v>
      </c>
      <c r="L5" s="26">
        <f>股权价值增加表!L47</f>
        <v>-509779316.98920006</v>
      </c>
      <c r="M5" s="26">
        <f>股权价值增加表!M47</f>
        <v>488771350.05639946</v>
      </c>
      <c r="N5" s="26">
        <f>股权价值增加表!N47</f>
        <v>176581270.52560067</v>
      </c>
      <c r="O5" s="26">
        <f>股权价值增加表!O47</f>
        <v>-68049050.845999956</v>
      </c>
      <c r="P5" s="26">
        <f>股权价值增加表!P47</f>
        <v>-414779382.44080001</v>
      </c>
      <c r="Q5" s="26">
        <f>股权价值增加表!Q47</f>
        <v>517168584.19240069</v>
      </c>
      <c r="R5" s="26">
        <f>股权价值增加表!R47</f>
        <v>127251289.58080018</v>
      </c>
      <c r="S5" s="26">
        <f>股权价值增加表!S47</f>
        <v>-98560229.739600062</v>
      </c>
      <c r="T5" s="26">
        <f>股权价值增加表!T47</f>
        <v>-402623865.52200001</v>
      </c>
      <c r="U5" s="26">
        <f>股权价值增加表!U47</f>
        <v>291625540.91120052</v>
      </c>
      <c r="V5" s="26">
        <f>股权价值增加表!V47</f>
        <v>83808848.315999985</v>
      </c>
      <c r="W5" s="26">
        <f>股权价值增加表!W47</f>
        <v>-131644414.92839974</v>
      </c>
      <c r="X5" s="26">
        <f>股权价值增加表!X47</f>
        <v>-379997350.75960004</v>
      </c>
      <c r="Y5" s="26">
        <f>股权价值增加表!Y47</f>
        <v>193063900.22639954</v>
      </c>
      <c r="Z5" s="26">
        <f>股权价值增加表!Z47</f>
        <v>25934609.794399738</v>
      </c>
      <c r="AA5" s="26">
        <f>股权价值增加表!AA47</f>
        <v>-159651611.8651998</v>
      </c>
      <c r="AB5" s="26">
        <f>股权价值增加表!AB47</f>
        <v>-392189673.30679989</v>
      </c>
      <c r="AC5" s="26">
        <f>股权价值增加表!AC47</f>
        <v>118062304.0411998</v>
      </c>
      <c r="AD5" s="26">
        <f>股权价值增加表!AD47</f>
        <v>-34068279.011600256</v>
      </c>
      <c r="AE5" s="26">
        <f>股权价值增加表!AE47</f>
        <v>-219566080.94800007</v>
      </c>
      <c r="AF5" s="26">
        <f>股权价值增加表!AF47</f>
        <v>-387254968.29360008</v>
      </c>
      <c r="AG5" s="26">
        <f>股权价值增加表!AG47</f>
        <v>146544776.35000002</v>
      </c>
      <c r="AH5" s="26">
        <f>股权价值增加表!AH47</f>
        <v>-39445078.623599708</v>
      </c>
      <c r="AI5" s="26">
        <f>股权价值增加表!AI47</f>
        <v>-217712016.7044</v>
      </c>
      <c r="AJ5" s="26">
        <f>股权价值增加表!AJ47</f>
        <v>-357232223.62440008</v>
      </c>
      <c r="AK5" s="26">
        <f>股权价值增加表!AK47</f>
        <v>46852984.498399913</v>
      </c>
      <c r="AL5" s="26">
        <f>股权价值增加表!AL47</f>
        <v>-97558092.212800205</v>
      </c>
      <c r="AM5" s="26">
        <f>股权价值增加表!AM47</f>
        <v>-219327376.74519992</v>
      </c>
      <c r="AN5" s="26">
        <f>股权价值增加表!AN47</f>
        <v>-364300420.4763999</v>
      </c>
      <c r="AO5" s="26">
        <f>股权价值增加表!AO47</f>
        <v>16757859.375999928</v>
      </c>
      <c r="AP5" s="26">
        <f>股权价值增加表!AP47</f>
        <v>-69518548.041599989</v>
      </c>
      <c r="AQ5" s="26">
        <f>股权价值增加表!AQ47</f>
        <v>-193062547.36120003</v>
      </c>
      <c r="AR5" s="26">
        <f>股权价值增加表!AR47</f>
        <v>-326456130.44920003</v>
      </c>
      <c r="AS5" s="26">
        <f>股权价值增加表!AS47</f>
        <v>-66550087.875599861</v>
      </c>
      <c r="AT5" s="26">
        <f>股权价值增加表!AT47</f>
        <v>-23161146.411200047</v>
      </c>
      <c r="AU5" s="26">
        <f>股权价值增加表!AU47</f>
        <v>-156067833.1527999</v>
      </c>
      <c r="AV5" s="26">
        <f>股权价值增加表!AV47</f>
        <v>-245048115.22479999</v>
      </c>
      <c r="AW5" s="26">
        <f>股权价值增加表!AW47</f>
        <v>-45548493.753199875</v>
      </c>
      <c r="AX5" s="26">
        <f>股权价值增加表!AX47</f>
        <v>-101796960.83599997</v>
      </c>
      <c r="AY5" s="26">
        <f>股权价值增加表!AY47</f>
        <v>-192960823.1523999</v>
      </c>
      <c r="AZ5" s="26">
        <f>股权价值增加表!AZ47</f>
        <v>-258246353.37600002</v>
      </c>
      <c r="BA5" s="26">
        <f>股权价值增加表!BA47</f>
        <v>-71392391.364800215</v>
      </c>
      <c r="BB5" s="26">
        <f>股权价值增加表!BB47</f>
        <v>-129802732.9095999</v>
      </c>
      <c r="BC5" s="26">
        <f>股权价值增加表!BC47</f>
        <v>-190465638.96919993</v>
      </c>
      <c r="BD5" s="26">
        <f>股权价值增加表!BD47</f>
        <v>-274116031.76959997</v>
      </c>
      <c r="BE5" s="26">
        <f>股权价值增加表!BE47</f>
        <v>-29814074.986800075</v>
      </c>
      <c r="BF5" s="26">
        <f>股权价值增加表!BF47</f>
        <v>-48875286.626400054</v>
      </c>
      <c r="BG5" s="26">
        <f>股权价值增加表!BG47</f>
        <v>-94795122.685199976</v>
      </c>
      <c r="BH5" s="26">
        <f>股权价值增加表!BH47</f>
        <v>-194166846.66640002</v>
      </c>
      <c r="BI5" s="26">
        <f>股权价值增加表!BI47</f>
        <v>-11927133.785999954</v>
      </c>
      <c r="BJ5" s="26">
        <f>股权价值增加表!BJ47</f>
        <v>-103047982.10639998</v>
      </c>
      <c r="BK5" s="26">
        <f>股权价值增加表!BK47</f>
        <v>-206928665.3488</v>
      </c>
      <c r="BL5" s="26">
        <f>股权价值增加表!BL47</f>
        <v>-39027923.742400005</v>
      </c>
      <c r="BM5" s="26">
        <f>股权价值增加表!BM47</f>
        <v>168311698.09200004</v>
      </c>
      <c r="BN5" s="26">
        <f>股权价值增加表!BN47</f>
        <v>44469245.125199944</v>
      </c>
      <c r="BO5" s="26">
        <f>股权价值增加表!BO47</f>
        <v>209975160.36760002</v>
      </c>
      <c r="BP5" s="26">
        <f>股权价值增加表!BP47</f>
        <v>198834245.46000007</v>
      </c>
      <c r="BQ5" s="26">
        <f>股权价值增加表!BQ47</f>
        <v>0</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438</v>
      </c>
      <c r="E6" s="157">
        <f>股权价值增加表!E31/股权价值增加表!E4</f>
        <v>0.32182889566038386</v>
      </c>
      <c r="F6" s="157">
        <f>股权价值增加表!F31/股权价值增加表!F4</f>
        <v>0.31484943106680402</v>
      </c>
      <c r="G6" s="157">
        <f>股权价值增加表!G31/股权价值增加表!G4</f>
        <v>0.32392779286063794</v>
      </c>
      <c r="H6" s="157">
        <f>股权价值增加表!H31/股权价值增加表!H4</f>
        <v>0.34765657184055299</v>
      </c>
      <c r="I6" s="157">
        <f>股权价值增加表!I31/股权价值增加表!I4</f>
        <v>0.30784473541509322</v>
      </c>
      <c r="J6" s="157">
        <f>股权价值增加表!J31/股权价值增加表!J4</f>
        <v>0.30566550882842397</v>
      </c>
      <c r="K6" s="157">
        <f>股权价值增加表!K31/股权价值增加表!K4</f>
        <v>0.3037380527722553</v>
      </c>
      <c r="L6" s="157">
        <f>股权价值增加表!L31/股权价值增加表!L4</f>
        <v>0.30350010050469922</v>
      </c>
      <c r="M6" s="157">
        <f>股权价值增加表!M31/股权价值增加表!M4</f>
        <v>0.30812694564106524</v>
      </c>
      <c r="N6" s="157">
        <f>股权价值增加表!N31/股权价值增加表!N4</f>
        <v>0.2937911920199312</v>
      </c>
      <c r="O6" s="157">
        <f>股权价值增加表!O31/股权价值增加表!O4</f>
        <v>0.30819928381076822</v>
      </c>
      <c r="P6" s="157">
        <f>股权价值增加表!P31/股权价值增加表!P4</f>
        <v>0.30379517626181984</v>
      </c>
      <c r="Q6" s="157">
        <f>股权价值增加表!Q31/股权价值增加表!Q4</f>
        <v>0.29331284528166701</v>
      </c>
      <c r="R6" s="157">
        <f>股权价值增加表!R31/股权价值增加表!R4</f>
        <v>0.25450094747511548</v>
      </c>
      <c r="S6" s="157">
        <f>股权价值增加表!S31/股权价值增加表!S4</f>
        <v>0.26173060832188844</v>
      </c>
      <c r="T6" s="157">
        <f>股权价值增加表!T31/股权价值增加表!T4</f>
        <v>0.26948136184311833</v>
      </c>
      <c r="U6" s="157">
        <f>股权价值增加表!U31/股权价值增加表!U4</f>
        <v>0.25225872183778902</v>
      </c>
      <c r="V6" s="157">
        <f>股权价值增加表!V31/股权价值增加表!V4</f>
        <v>0.25163814312995697</v>
      </c>
      <c r="W6" s="157">
        <f>股权价值增加表!W31/股权价值增加表!W4</f>
        <v>0.26231145339393902</v>
      </c>
      <c r="X6" s="157">
        <f>股权价值增加表!X31/股权价值增加表!X4</f>
        <v>0.27947711357725558</v>
      </c>
      <c r="Y6" s="157">
        <f>股权价值增加表!Y31/股权价值增加表!Y4</f>
        <v>0.24294128995205919</v>
      </c>
      <c r="Z6" s="157">
        <f>股权价值增加表!Z31/股权价值增加表!Z4</f>
        <v>0.2495145394186695</v>
      </c>
      <c r="AA6" s="157">
        <f>股权价值增加表!AA31/股权价值增加表!AA4</f>
        <v>0.25517947725471363</v>
      </c>
      <c r="AB6" s="157">
        <f>股权价值增加表!AB31/股权价值增加表!AB4</f>
        <v>0.25243954235019078</v>
      </c>
      <c r="AC6" s="157">
        <f>股权价值增加表!AC31/股权价值增加表!AC4</f>
        <v>0.23965990207292065</v>
      </c>
      <c r="AD6" s="157">
        <f>股权价值增加表!AD31/股权价值增加表!AD4</f>
        <v>0.25008620337761295</v>
      </c>
      <c r="AE6" s="157">
        <f>股权价值增加表!AE31/股权价值增加表!AE4</f>
        <v>0.23973420699869924</v>
      </c>
      <c r="AF6" s="157">
        <f>股权价值增加表!AF31/股权价值增加表!AF4</f>
        <v>0.2479725455270563</v>
      </c>
      <c r="AG6" s="157">
        <f>股权价值增加表!AG31/股权价值增加表!AG4</f>
        <v>0.24851161786501305</v>
      </c>
      <c r="AH6" s="157">
        <f>股权价值增加表!AH31/股权价值增加表!AH4</f>
        <v>0.26488753105512791</v>
      </c>
      <c r="AI6" s="157">
        <f>股权价值增加表!AI31/股权价值增加表!AI4</f>
        <v>0.25688215946541076</v>
      </c>
      <c r="AJ6" s="157">
        <f>股权价值增加表!AJ31/股权价值增加表!AJ4</f>
        <v>0.28308941749736755</v>
      </c>
      <c r="AK6" s="157">
        <f>股权价值增加表!AK31/股权价值增加表!AK4</f>
        <v>0.24965705704852392</v>
      </c>
      <c r="AL6" s="157">
        <f>股权价值增加表!AL31/股权价值增加表!AL4</f>
        <v>0.26944469341178262</v>
      </c>
      <c r="AM6" s="157">
        <f>股权价值增加表!AM31/股权价值增加表!AM4</f>
        <v>0.27247987454178135</v>
      </c>
      <c r="AN6" s="157">
        <f>股权价值增加表!AN31/股权价值增加表!AN4</f>
        <v>0.26567623544558078</v>
      </c>
      <c r="AO6" s="157">
        <f>股权价值增加表!AO31/股权价值增加表!AO4</f>
        <v>0.26019158706182316</v>
      </c>
      <c r="AP6" s="157">
        <f>股权价值增加表!AP31/股权价值增加表!AP4</f>
        <v>0.28228531586044242</v>
      </c>
      <c r="AQ6" s="157">
        <f>股权价值增加表!AQ31/股权价值增加表!AQ4</f>
        <v>0.28569734843489564</v>
      </c>
      <c r="AR6" s="157">
        <f>股权价值增加表!AR31/股权价值增加表!AR4</f>
        <v>0.2919956224870498</v>
      </c>
      <c r="AS6" s="157">
        <f>股权价值增加表!AS31/股权价值增加表!AS4</f>
        <v>0.26078329850948684</v>
      </c>
      <c r="AT6" s="157">
        <f>股权价值增加表!AT31/股权价值增加表!AT4</f>
        <v>0.30505590678254091</v>
      </c>
      <c r="AU6" s="157">
        <f>股权价值增加表!AU31/股权价值增加表!AU4</f>
        <v>0.28600082412673183</v>
      </c>
      <c r="AV6" s="157">
        <f>股权价值增加表!AV31/股权价值增加表!AV4</f>
        <v>0.28816041009780269</v>
      </c>
      <c r="AW6" s="157">
        <f>股权价值增加表!AW31/股权价值增加表!AW4</f>
        <v>0.25877560186794191</v>
      </c>
      <c r="AX6" s="157">
        <f>股权价值增加表!AX31/股权价值增加表!AX4</f>
        <v>0.27320341548762384</v>
      </c>
      <c r="AY6" s="157">
        <f>股权价值增加表!AY31/股权价值增加表!AY4</f>
        <v>0.24818819419896571</v>
      </c>
      <c r="AZ6" s="157">
        <f>股权价值增加表!AZ31/股权价值增加表!AZ4</f>
        <v>0.27322923763783413</v>
      </c>
      <c r="BA6" s="157">
        <f>股权价值增加表!BA31/股权价值增加表!BA4</f>
        <v>0.22725571872938352</v>
      </c>
      <c r="BB6" s="157">
        <f>股权价值增加表!BB31/股权价值增加表!BB4</f>
        <v>0.24403077066261036</v>
      </c>
      <c r="BC6" s="157">
        <f>股权价值增加表!BC31/股权价值增加表!BC4</f>
        <v>0.24914310793816188</v>
      </c>
      <c r="BD6" s="157">
        <f>股权价值增加表!BD31/股权价值增加表!BD4</f>
        <v>0.24704981742884244</v>
      </c>
      <c r="BE6" s="157">
        <f>股权价值增加表!BE31/股权价值增加表!BE4</f>
        <v>0.29182517222291815</v>
      </c>
      <c r="BF6" s="157">
        <f>股权价值增加表!BF31/股权价值增加表!BF4</f>
        <v>0.39077277826623391</v>
      </c>
      <c r="BG6" s="157">
        <f>股权价值增加表!BG31/股权价值增加表!BG4</f>
        <v>0.4796607502287642</v>
      </c>
      <c r="BH6" s="157">
        <f>股权价值增加表!BH31/股权价值增加表!BH4</f>
        <v>0.52760670394793541</v>
      </c>
      <c r="BI6" s="157">
        <f>股权价值增加表!BI31/股权价值增加表!BI4</f>
        <v>0.40044301238482394</v>
      </c>
      <c r="BJ6" s="157">
        <f>股权价值增加表!BJ31/股权价值增加表!BJ4</f>
        <v>0.41054204302590819</v>
      </c>
      <c r="BK6" s="157">
        <f>股权价值增加表!BK31/股权价值增加表!BK4</f>
        <v>0.29514600396448298</v>
      </c>
      <c r="BL6" s="157">
        <f>股权价值增加表!BL31/股权价值增加表!BL4</f>
        <v>0.41123483923874404</v>
      </c>
      <c r="BM6" s="157">
        <f>股权价值增加表!BM31/股权价值增加表!BM4</f>
        <v>0.36822257094320282</v>
      </c>
      <c r="BN6" s="157">
        <f>股权价值增加表!BN31/股权价值增加表!BN4</f>
        <v>0.37620729327175562</v>
      </c>
      <c r="BO6" s="157">
        <f>股权价值增加表!BO31/股权价值增加表!BO4</f>
        <v>0.34788205771949643</v>
      </c>
      <c r="BP6" s="157">
        <f>股权价值增加表!BP31/股权价值增加表!BP4</f>
        <v>0.38036463211692351</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432</v>
      </c>
      <c r="E7" s="61">
        <f>股权价值增加表!E4/资产资本表!E70</f>
        <v>0.3722695324464449</v>
      </c>
      <c r="F7" s="61">
        <f>股权价值增加表!F4/资产资本表!F70</f>
        <v>0.29038609472126914</v>
      </c>
      <c r="G7" s="61">
        <f>股权价值增加表!G4/资产资本表!G70</f>
        <v>0.20458534901952563</v>
      </c>
      <c r="H7" s="61">
        <f>股权价值增加表!H4/资产资本表!H70</f>
        <v>0.10448558687780057</v>
      </c>
      <c r="I7" s="61">
        <f>股权价值增加表!I4/资产资本表!I70</f>
        <v>0.41890044150688749</v>
      </c>
      <c r="J7" s="61">
        <f>股权价值增加表!J4/资产资本表!J70</f>
        <v>0.32165397816929719</v>
      </c>
      <c r="K7" s="61">
        <f>股权价值增加表!K4/资产资本表!K70</f>
        <v>0.21510807657007094</v>
      </c>
      <c r="L7" s="61">
        <f>股权价值增加表!L4/资产资本表!L70</f>
        <v>0.10639981424068608</v>
      </c>
      <c r="M7" s="61">
        <f>股权价值增加表!M4/资产资本表!M70</f>
        <v>0.57467548403610824</v>
      </c>
      <c r="N7" s="61">
        <f>股权价值增加表!N4/资产资本表!N70</f>
        <v>0.44473938412469566</v>
      </c>
      <c r="O7" s="61">
        <f>股权价值增加表!O4/资产资本表!O70</f>
        <v>0.29587245366735138</v>
      </c>
      <c r="P7" s="61">
        <f>股权价值增加表!P4/资产资本表!P70</f>
        <v>0.15136754288104987</v>
      </c>
      <c r="Q7" s="61">
        <f>股权价值增加表!Q4/资产资本表!Q70</f>
        <v>0.62369823096345423</v>
      </c>
      <c r="R7" s="61">
        <f>股权价值增加表!R4/资产资本表!R70</f>
        <v>0.48540211851769088</v>
      </c>
      <c r="S7" s="61">
        <f>股权价值增加表!S4/资产资本表!S70</f>
        <v>0.31234393149708745</v>
      </c>
      <c r="T7" s="61">
        <f>股权价值增加表!T4/资产资本表!T70</f>
        <v>0.15536561799047308</v>
      </c>
      <c r="U7" s="61">
        <f>股权价值增加表!U4/资产资本表!U70</f>
        <v>0.64011940828543401</v>
      </c>
      <c r="V7" s="61">
        <f>股权价值增加表!V4/资产资本表!V70</f>
        <v>0.48667376860506284</v>
      </c>
      <c r="W7" s="61">
        <f>股权价值增加表!W4/资产资本表!W70</f>
        <v>0.28455168000291958</v>
      </c>
      <c r="X7" s="61">
        <f>股权价值增加表!X4/资产资本表!X70</f>
        <v>0.14042138104646748</v>
      </c>
      <c r="Y7" s="61">
        <f>股权价值增加表!Y4/资产资本表!Y70</f>
        <v>0.55828619193913764</v>
      </c>
      <c r="Z7" s="61">
        <f>股权价值增加表!Z4/资产资本表!Z70</f>
        <v>0.42261834039796847</v>
      </c>
      <c r="AA7" s="61">
        <f>股权价值增加表!AA4/资产资本表!AA70</f>
        <v>0.26499826931418863</v>
      </c>
      <c r="AB7" s="61">
        <f>股权价值增加表!AB4/资产资本表!AB70</f>
        <v>0.13140070404585583</v>
      </c>
      <c r="AC7" s="61">
        <f>股权价值增加表!AC4/资产资本表!AC70</f>
        <v>0.48598100057494997</v>
      </c>
      <c r="AD7" s="61">
        <f>股权价值增加表!AD4/资产资本表!AD70</f>
        <v>0.32603392492567457</v>
      </c>
      <c r="AE7" s="61">
        <f>股权价值增加表!AE4/资产资本表!AE70</f>
        <v>0.23295905039518328</v>
      </c>
      <c r="AF7" s="61">
        <f>股权价值增加表!AF4/资产资本表!AF70</f>
        <v>0.11550594932485138</v>
      </c>
      <c r="AG7" s="61">
        <f>股权价值增加表!AG4/资产资本表!AG70</f>
        <v>0.4522732053083281</v>
      </c>
      <c r="AH7" s="61">
        <f>股权价值增加表!AH4/资产资本表!AH70</f>
        <v>0.33750687150937375</v>
      </c>
      <c r="AI7" s="61">
        <f>股权价值增加表!AI4/资产资本表!AI70</f>
        <v>0.20961397805666321</v>
      </c>
      <c r="AJ7" s="61">
        <f>股权价值增加表!AJ4/资产资本表!AJ70</f>
        <v>0.10395430488468374</v>
      </c>
      <c r="AK7" s="61">
        <f>股权价值增加表!AK4/资产资本表!AK70</f>
        <v>0.40540463289441575</v>
      </c>
      <c r="AL7" s="61">
        <f>股权价值增加表!AL4/资产资本表!AL70</f>
        <v>0.29715812966698285</v>
      </c>
      <c r="AM7" s="61">
        <f>股权价值增加表!AM4/资产资本表!AM70</f>
        <v>0.19707910327297101</v>
      </c>
      <c r="AN7" s="61">
        <f>股权价值增加表!AN4/资产资本表!AN70</f>
        <v>9.9755618091613499E-2</v>
      </c>
      <c r="AO7" s="61">
        <f>股权价值增加表!AO4/资产资本表!AO70</f>
        <v>0.4036195939209315</v>
      </c>
      <c r="AP7" s="61">
        <f>股权价值增加表!AP4/资产资本表!AP70</f>
        <v>0.29890495985810017</v>
      </c>
      <c r="AQ7" s="61">
        <f>股权价值增加表!AQ4/资产资本表!AQ70</f>
        <v>0.20065520531536132</v>
      </c>
      <c r="AR7" s="61">
        <f>股权价值增加表!AR4/资产资本表!AR70</f>
        <v>0.10274900906245123</v>
      </c>
      <c r="AS7" s="61">
        <f>股权价值增加表!AS4/资产资本表!AS70</f>
        <v>0.36410935179446485</v>
      </c>
      <c r="AT7" s="61">
        <f>股权价值增加表!AT4/资产资本表!AT70</f>
        <v>0.39315383011167548</v>
      </c>
      <c r="AU7" s="61">
        <f>股权价值增加表!AU4/资产资本表!AU70</f>
        <v>0.24195428314478801</v>
      </c>
      <c r="AV7" s="61">
        <f>股权价值增加表!AV4/资产资本表!AV70</f>
        <v>0.11947556524038389</v>
      </c>
      <c r="AW7" s="61">
        <f>股权价值增加表!AW4/资产资本表!AW70</f>
        <v>0.36211330457219615</v>
      </c>
      <c r="AX7" s="61">
        <f>股权价值增加表!AX4/资产资本表!AX70</f>
        <v>0.29254778356591288</v>
      </c>
      <c r="AY7" s="61">
        <f>股权价值增加表!AY4/资产资本表!AY70</f>
        <v>0.16635495072884562</v>
      </c>
      <c r="AZ7" s="61">
        <f>股权价值增加表!AZ4/资产资本表!AZ70</f>
        <v>8.2173399287177443E-2</v>
      </c>
      <c r="BA7" s="61">
        <f>股权价值增加表!BA4/资产资本表!BA70</f>
        <v>0.30231188935285741</v>
      </c>
      <c r="BB7" s="61">
        <f>股权价值增加表!BB4/资产资本表!BB70</f>
        <v>0.23937442408607318</v>
      </c>
      <c r="BC7" s="61">
        <f>股权价值增加表!BC4/资产资本表!BC70</f>
        <v>0.15359019950591241</v>
      </c>
      <c r="BD7" s="61">
        <f>股权价值增加表!BD4/资产资本表!BD70</f>
        <v>0.10571931023100806</v>
      </c>
      <c r="BE7" s="61">
        <f>股权价值增加表!BE4/资产资本表!BE70</f>
        <v>0.37014027066918992</v>
      </c>
      <c r="BF7" s="61">
        <f>股权价值增加表!BF4/资产资本表!BF70</f>
        <v>0.26238330019190642</v>
      </c>
      <c r="BG7" s="61">
        <f>股权价值增加表!BG4/资产资本表!BG70</f>
        <v>0.17182043828752819</v>
      </c>
      <c r="BH7" s="61">
        <f>股权价值增加表!BH4/资产资本表!BH70</f>
        <v>8.5709912697138402E-2</v>
      </c>
      <c r="BI7" s="61">
        <f>股权价值增加表!BI4/资产资本表!BI70</f>
        <v>0.27042486187106912</v>
      </c>
      <c r="BJ7" s="61">
        <f>股权价值增加表!BJ4/资产资本表!BJ70</f>
        <v>0.18222151887734089</v>
      </c>
      <c r="BK7" s="61">
        <f>股权价值增加表!BK4/资产资本表!BK70</f>
        <v>0.10664558214506188</v>
      </c>
      <c r="BL7" s="61">
        <f>股权价值增加表!BL4/资产资本表!BL70</f>
        <v>0.15752394353033108</v>
      </c>
      <c r="BM7" s="61">
        <f>股权价值增加表!BM4/资产资本表!BM70</f>
        <v>0.63310946208444396</v>
      </c>
      <c r="BN7" s="61">
        <f>股权价值增加表!BN4/资产资本表!BN70</f>
        <v>0.32083855481711165</v>
      </c>
      <c r="BO7" s="61">
        <f>股权价值增加表!BO4/资产资本表!BO70</f>
        <v>0.78137738350690866</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0.11980709251524681</v>
      </c>
      <c r="F8" s="63">
        <f>股权价值增加表!F31/资产资本表!F70</f>
        <v>9.1427896712702642E-2</v>
      </c>
      <c r="G8" s="63">
        <f>股权价值增加表!G31/资产资本表!G70</f>
        <v>6.6270880559518214E-2</v>
      </c>
      <c r="H8" s="63">
        <f>股权价值增加表!H31/资产资本表!H70</f>
        <v>3.6325100940684418E-2</v>
      </c>
      <c r="I8" s="63">
        <f>股权价值增加表!I31/资产资本表!I70</f>
        <v>0.12895629558095351</v>
      </c>
      <c r="J8" s="63">
        <f>股权价值增加表!J31/资产资本表!J70</f>
        <v>9.8318526903804992E-2</v>
      </c>
      <c r="K8" s="63">
        <f>股权价值增加表!K31/资产资本表!K70</f>
        <v>6.5336508312978533E-2</v>
      </c>
      <c r="L8" s="63">
        <f>股权价值增加表!L31/资产资本表!L70</f>
        <v>3.2292354315729556E-2</v>
      </c>
      <c r="M8" s="63">
        <f>股权价值增加表!M31/资产资本表!M70</f>
        <v>0.17707300163084677</v>
      </c>
      <c r="N8" s="63">
        <f>股权价值增加表!N31/资产资本表!N70</f>
        <v>0.13066051380020441</v>
      </c>
      <c r="O8" s="63">
        <f>股权价值增加表!O31/资产资本表!O70</f>
        <v>9.11876783196124E-2</v>
      </c>
      <c r="P8" s="63">
        <f>股权价值增加表!P31/资产资本表!P70</f>
        <v>4.5984729369867125E-2</v>
      </c>
      <c r="Q8" s="63">
        <f>股权价值增加表!Q31/资产资本表!Q70</f>
        <v>0.18293870272103305</v>
      </c>
      <c r="R8" s="63">
        <f>股权价值增加表!R31/资产资本表!R70</f>
        <v>0.12353529906918062</v>
      </c>
      <c r="S8" s="63">
        <f>股权价值增加表!S31/资产资本表!S70</f>
        <v>8.1749967196382944E-2</v>
      </c>
      <c r="T8" s="63">
        <f>股权价值增加表!T31/资产资本表!T70</f>
        <v>4.1868138319670366E-2</v>
      </c>
      <c r="U8" s="63">
        <f>股权价值增加表!U31/资产资本表!U70</f>
        <v>0.16147570375764542</v>
      </c>
      <c r="V8" s="63">
        <f>股权价值增加表!V31/资产资本表!V70</f>
        <v>0.12246568344183635</v>
      </c>
      <c r="W8" s="63">
        <f>股权价值增加表!W31/资产资本表!W70</f>
        <v>7.4641164747252894E-2</v>
      </c>
      <c r="X8" s="63">
        <f>股权价值增加表!X31/资产资本表!X70</f>
        <v>3.924456225939868E-2</v>
      </c>
      <c r="Y8" s="63">
        <f>股权价值增加表!Y31/资产资本表!Y70</f>
        <v>0.13563076763211701</v>
      </c>
      <c r="Z8" s="63">
        <f>股权价值增加表!Z31/资产资本表!Z70</f>
        <v>0.10544942055428159</v>
      </c>
      <c r="AA8" s="63">
        <f>股权价值增加表!AA31/资产资本表!AA70</f>
        <v>6.7622119836998479E-2</v>
      </c>
      <c r="AB8" s="63">
        <f>股权价值增加表!AB31/资产资本表!AB70</f>
        <v>3.3170733593828709E-2</v>
      </c>
      <c r="AC8" s="63">
        <f>股权价值增加表!AC31/资产资本表!AC70</f>
        <v>0.11647015900709251</v>
      </c>
      <c r="AD8" s="63">
        <f>股权价值增加表!AD31/资产资本表!AD70</f>
        <v>8.1536586456963642E-2</v>
      </c>
      <c r="AE8" s="63">
        <f>股权价值增加表!AE31/资产资本表!AE70</f>
        <v>5.5848253209659277E-2</v>
      </c>
      <c r="AF8" s="63">
        <f>股权价值增加表!AF31/资产资本表!AF70</f>
        <v>2.864230427760257E-2</v>
      </c>
      <c r="AG8" s="63">
        <f>股权价值增加表!AG31/资产资本表!AG70</f>
        <v>0.11239514596816784</v>
      </c>
      <c r="AH8" s="63">
        <f>股权价值增加表!AH31/资产资本表!AH70</f>
        <v>8.9401361908258301E-2</v>
      </c>
      <c r="AI8" s="63">
        <f>股权价值增加表!AI31/资产资本表!AI70</f>
        <v>5.3846091337330877E-2</v>
      </c>
      <c r="AJ8" s="63">
        <f>股权价值增加表!AJ31/资产资本表!AJ70</f>
        <v>2.9428363616148867E-2</v>
      </c>
      <c r="AK8" s="63">
        <f>股权价值增加表!AK31/资产资本表!AK70</f>
        <v>0.10121212756225705</v>
      </c>
      <c r="AL8" s="63">
        <f>股权价值增加表!AL31/资产资本表!AL70</f>
        <v>8.0067681142938926E-2</v>
      </c>
      <c r="AM8" s="63">
        <f>股权价值增加表!AM31/资产资本表!AM70</f>
        <v>5.370008933462591E-2</v>
      </c>
      <c r="AN8" s="63">
        <f>股权价值增加表!AN31/资产资本表!AN70</f>
        <v>2.6502697079126943E-2</v>
      </c>
      <c r="AO8" s="63">
        <f>股权价值增加表!AO31/资产资本表!AO70</f>
        <v>0.10501842271153577</v>
      </c>
      <c r="AP8" s="63">
        <f>股权价值增加表!AP31/资产资本表!AP70</f>
        <v>8.4376481005796658E-2</v>
      </c>
      <c r="AQ8" s="63">
        <f>股权价值增加表!AQ31/资产资本表!AQ70</f>
        <v>5.7326660108258307E-2</v>
      </c>
      <c r="AR8" s="63">
        <f>股权价值增加表!AR31/资产资本表!AR70</f>
        <v>3.0002260861117968E-2</v>
      </c>
      <c r="AS8" s="63">
        <f>股权价值增加表!AS31/资产资本表!AS70</f>
        <v>9.4953637779111685E-2</v>
      </c>
      <c r="AT8" s="63">
        <f>股权价值增加表!AT31/资产资本表!AT70</f>
        <v>0.11993389814974621</v>
      </c>
      <c r="AU8" s="63">
        <f>股权价值增加表!AU31/资产资本表!AU70</f>
        <v>6.9199124380401988E-2</v>
      </c>
      <c r="AV8" s="63">
        <f>股权价值增加表!AV31/资产资本表!AV70</f>
        <v>3.4428127876335798E-2</v>
      </c>
      <c r="AW8" s="63">
        <f>股权价值增加表!AW31/资产资本表!AW70</f>
        <v>9.3706088335059431E-2</v>
      </c>
      <c r="AX8" s="63">
        <f>股权价值增加表!AX31/资产资本表!AX70</f>
        <v>7.9925053663541537E-2</v>
      </c>
      <c r="AY8" s="63">
        <f>股权价值增加表!AY31/资产资本表!AY70</f>
        <v>4.128733481745011E-2</v>
      </c>
      <c r="AZ8" s="63">
        <f>股权价值增加表!AZ31/资产资本表!AZ70</f>
        <v>2.2452175241344838E-2</v>
      </c>
      <c r="BA8" s="63">
        <f>股权价值增加表!BA31/资产资本表!BA70</f>
        <v>6.870210569532148E-2</v>
      </c>
      <c r="BB8" s="63">
        <f>股权价值增加表!BB31/资产资本表!BB70</f>
        <v>5.8414725186642959E-2</v>
      </c>
      <c r="BC8" s="63">
        <f>股权价值增加表!BC31/资产资本表!BC70</f>
        <v>3.8265939653745355E-2</v>
      </c>
      <c r="BD8" s="63">
        <f>股权价值增加表!BD31/资产资本表!BD70</f>
        <v>2.6117936291273694E-2</v>
      </c>
      <c r="BE8" s="63">
        <f>股权价值增加表!BE31/资产资本表!BE70</f>
        <v>0.10801624823467389</v>
      </c>
      <c r="BF8" s="63">
        <f>股权价值增加表!BF31/资产资本表!BF70</f>
        <v>0.10253225118665453</v>
      </c>
      <c r="BG8" s="63">
        <f>股权价值增加表!BG31/资产资本表!BG70</f>
        <v>8.2415520333630851E-2</v>
      </c>
      <c r="BH8" s="63">
        <f>股权价值增加表!BH31/资产资本表!BH70</f>
        <v>4.522112453380249E-2</v>
      </c>
      <c r="BI8" s="63">
        <f>股权价值增加表!BI31/资产资本表!BI70</f>
        <v>0.10828974631140083</v>
      </c>
      <c r="BJ8" s="63">
        <f>股权价值增加表!BJ31/资产资本表!BJ70</f>
        <v>7.4809594643187635E-2</v>
      </c>
      <c r="BK8" s="63">
        <f>股权价值增加表!BK31/资产资本表!BK70</f>
        <v>3.1476017410581029E-2</v>
      </c>
      <c r="BL8" s="63">
        <f>股权价值增加表!BL31/资产资本表!BL70</f>
        <v>6.477933359394869E-2</v>
      </c>
      <c r="BM8" s="63">
        <f>股权价值增加表!BM31/资产资本表!BM70</f>
        <v>0.23312519381720215</v>
      </c>
      <c r="BN8" s="63">
        <f>股权价值增加表!BN31/资产资本表!BN70</f>
        <v>0.12070180428496737</v>
      </c>
      <c r="BO8" s="63">
        <f>股权价值增加表!BO31/资产资本表!BO70</f>
        <v>0.27182717202985951</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433</v>
      </c>
      <c r="E9" s="157">
        <f>股权价值增加表!E38/股权价值增加表!E31</f>
        <v>0.97569646061428894</v>
      </c>
      <c r="F9" s="157">
        <f>股权价值增加表!F38/股权价值增加表!F31</f>
        <v>1.0014650342263047</v>
      </c>
      <c r="G9" s="157">
        <f>股权价值增加表!G38/股权价值增加表!G31</f>
        <v>1.0029720742001811</v>
      </c>
      <c r="H9" s="157">
        <f>股权价值增加表!H38/股权价值增加表!H31</f>
        <v>1.0037865326138276</v>
      </c>
      <c r="I9" s="157">
        <f>股权价值增加表!I38/股权价值增加表!I31</f>
        <v>0.99417689062314041</v>
      </c>
      <c r="J9" s="157">
        <f>股权价值增加表!J38/股权价值增加表!J31</f>
        <v>1.0146321084925398</v>
      </c>
      <c r="K9" s="157">
        <f>股权价值增加表!K38/股权价值增加表!K31</f>
        <v>1.0180894913071725</v>
      </c>
      <c r="L9" s="157">
        <f>股权价值增加表!L38/股权价值增加表!L31</f>
        <v>1.0198288850763173</v>
      </c>
      <c r="M9" s="157">
        <f>股权价值增加表!M38/股权价值增加表!M31</f>
        <v>0.99809139120536028</v>
      </c>
      <c r="N9" s="157">
        <f>股权价值增加表!N38/股权价值增加表!N31</f>
        <v>1.0234540981066746</v>
      </c>
      <c r="O9" s="157">
        <f>股权价值增加表!O38/股权价值增加表!O31</f>
        <v>1.0303597792094916</v>
      </c>
      <c r="P9" s="157">
        <f>股权价值增加表!P38/股权价值增加表!P31</f>
        <v>1.0207521984624979</v>
      </c>
      <c r="Q9" s="157">
        <f>股权价值增加表!Q38/股权价值增加表!Q31</f>
        <v>0.99824192146142388</v>
      </c>
      <c r="R9" s="157">
        <f>股权价值增加表!R38/股权价值增加表!R31</f>
        <v>1.0158238137760409</v>
      </c>
      <c r="S9" s="157">
        <f>股权价值增加表!S38/股权价值增加表!S31</f>
        <v>1.0174944873912888</v>
      </c>
      <c r="T9" s="157">
        <f>股权价值增加表!T38/股权价值增加表!T31</f>
        <v>1.0107374334290045</v>
      </c>
      <c r="U9" s="157">
        <f>股权价值增加表!U38/股权价值增加表!U31</f>
        <v>0.98130241769410498</v>
      </c>
      <c r="V9" s="157">
        <f>股权价值增加表!V38/股权价值增加表!V31</f>
        <v>0.98546238919043561</v>
      </c>
      <c r="W9" s="157">
        <f>股权价值增加表!W38/股权价值增加表!W31</f>
        <v>0.97549789115052987</v>
      </c>
      <c r="X9" s="157">
        <f>股权价值增加表!X38/股权价值增加表!X31</f>
        <v>0.96876912361337952</v>
      </c>
      <c r="Y9" s="157">
        <f>股权价值增加表!Y38/股权价值增加表!Y31</f>
        <v>0.9400084569056425</v>
      </c>
      <c r="Z9" s="157">
        <f>股权价值增加表!Z38/股权价值增加表!Z31</f>
        <v>0.94137745433808251</v>
      </c>
      <c r="AA9" s="157">
        <f>股权价值增加表!AA38/股权价值增加表!AA31</f>
        <v>0.93628687559940449</v>
      </c>
      <c r="AB9" s="157">
        <f>股权价值增加表!AB38/股权价值增加表!AB31</f>
        <v>0.92305309992549178</v>
      </c>
      <c r="AC9" s="157">
        <f>股权价值增加表!AC38/股权价值增加表!AC31</f>
        <v>0.91707886620331769</v>
      </c>
      <c r="AD9" s="157">
        <f>股权价值增加表!AD38/股权价值增加表!AD31</f>
        <v>0.93376081578509695</v>
      </c>
      <c r="AE9" s="157">
        <f>股权价值增加表!AE38/股权价值增加表!AE31</f>
        <v>0.93812231543279012</v>
      </c>
      <c r="AF9" s="157">
        <f>股权价值增加表!AF38/股权价值增加表!AF31</f>
        <v>0.9322447659706492</v>
      </c>
      <c r="AG9" s="157">
        <f>股权价值增加表!AG38/股权价值增加表!AG31</f>
        <v>0.93627690337653713</v>
      </c>
      <c r="AH9" s="157">
        <f>股权价值增加表!AH38/股权价值增加表!AH31</f>
        <v>0.90612374842716981</v>
      </c>
      <c r="AI9" s="157">
        <f>股权价值增加表!AI38/股权价值增加表!AI31</f>
        <v>0.87534820103281064</v>
      </c>
      <c r="AJ9" s="157">
        <f>股权价值增加表!AJ38/股权价值增加表!AJ31</f>
        <v>0.91656675135190258</v>
      </c>
      <c r="AK9" s="157">
        <f>股权价值增加表!AK38/股权价值增加表!AK31</f>
        <v>0.90687876493388786</v>
      </c>
      <c r="AL9" s="157">
        <f>股权价值增加表!AL38/股权价值增加表!AL31</f>
        <v>0.86759062422796152</v>
      </c>
      <c r="AM9" s="157">
        <f>股权价值增加表!AM38/股权价值增加表!AM31</f>
        <v>0.8579366895113909</v>
      </c>
      <c r="AN9" s="157">
        <f>股权价值增加表!AN38/股权价值增加表!AN31</f>
        <v>0.86724893912596879</v>
      </c>
      <c r="AO9" s="157">
        <f>股权价值增加表!AO38/股权价值增加表!AO31</f>
        <v>0.86568735660737561</v>
      </c>
      <c r="AP9" s="157">
        <f>股权价值增加表!AP38/股权价值增加表!AP31</f>
        <v>0.86741597921570046</v>
      </c>
      <c r="AQ9" s="157">
        <f>股权价值增加表!AQ38/股权价值增加表!AQ31</f>
        <v>0.85550598443818804</v>
      </c>
      <c r="AR9" s="157">
        <f>股权价值增加表!AR38/股权价值增加表!AR31</f>
        <v>0.86115096071543362</v>
      </c>
      <c r="AS9" s="157">
        <f>股权价值增加表!AS38/股权价值增加表!AS31</f>
        <v>0.8554061777267804</v>
      </c>
      <c r="AT9" s="157">
        <f>股权价值增加表!AT38/股权价值增加表!AT31</f>
        <v>0.86434754167187189</v>
      </c>
      <c r="AU9" s="157">
        <f>股权价值增加表!AU38/股权价值增加表!AU31</f>
        <v>0.84179674573820618</v>
      </c>
      <c r="AV9" s="157">
        <f>股权价值增加表!AV38/股权价值增加表!AV31</f>
        <v>0.85957858499772033</v>
      </c>
      <c r="AW9" s="157">
        <f>股权价值增加表!AW38/股权价值增加表!AW31</f>
        <v>0.7544997793571715</v>
      </c>
      <c r="AX9" s="157">
        <f>股权价值增加表!AX38/股权价值增加表!AX31</f>
        <v>0.74834353384016139</v>
      </c>
      <c r="AY9" s="157">
        <f>股权价值增加表!AY38/股权价值增加表!AY31</f>
        <v>0.73280353204719006</v>
      </c>
      <c r="AZ9" s="157">
        <f>股权价值增加表!AZ38/股权价值增加表!AZ31</f>
        <v>0.74687812458389657</v>
      </c>
      <c r="BA9" s="157">
        <f>股权价值增加表!BA38/股权价值增加表!BA31</f>
        <v>0.81490698496272818</v>
      </c>
      <c r="BB9" s="157">
        <f>股权价值增加表!BB38/股权价值增加表!BB31</f>
        <v>0.85075348089137826</v>
      </c>
      <c r="BC9" s="157">
        <f>股权价值增加表!BC38/股权价值增加表!BC31</f>
        <v>0.87857208547650034</v>
      </c>
      <c r="BD9" s="157">
        <f>股权价值增加表!BD38/股权价值增加表!BD31</f>
        <v>0.85471794484451469</v>
      </c>
      <c r="BE9" s="157">
        <f>股权价值增加表!BE38/股权价值增加表!BE31</f>
        <v>0.98194917656134273</v>
      </c>
      <c r="BF9" s="157">
        <f>股权价值增加表!BF38/股权价值增加表!BF31</f>
        <v>0.97059068421486183</v>
      </c>
      <c r="BG9" s="157">
        <f>股权价值增加表!BG38/股权价值增加表!BG31</f>
        <v>1.0155468484639105</v>
      </c>
      <c r="BH9" s="157">
        <f>股权价值增加表!BH38/股权价值增加表!BH31</f>
        <v>1.0106880329688455</v>
      </c>
      <c r="BI9" s="157">
        <f>股权价值增加表!BI38/股权价值增加表!BI31</f>
        <v>1.0545080978563748</v>
      </c>
      <c r="BJ9" s="157">
        <f>股权价值增加表!BJ38/股权价值增加表!BJ31</f>
        <v>1.0704836403555587</v>
      </c>
      <c r="BK9" s="157">
        <f>股权价值增加表!BK38/股权价值增加表!BK31</f>
        <v>1.1469405519255955</v>
      </c>
      <c r="BL9" s="157">
        <f>股权价值增加表!BL38/股权价值增加表!BL31</f>
        <v>1.0552000139596862</v>
      </c>
      <c r="BM9" s="157">
        <f>股权价值增加表!BM38/股权价值增加表!BM31</f>
        <v>1.0265776152618522</v>
      </c>
      <c r="BN9" s="157">
        <f>股权价值增加表!BN38/股权价值增加表!BN31</f>
        <v>1.0186008124567267</v>
      </c>
      <c r="BO9" s="157">
        <f>股权价值增加表!BO38/股权价值增加表!BO31</f>
        <v>1.0342248304323072</v>
      </c>
      <c r="BP9" s="157">
        <f>股权价值增加表!BP38/股权价值增加表!BP31</f>
        <v>1.0317187662324461</v>
      </c>
      <c r="BQ9" s="157" t="e">
        <f>股权价值增加表!BQ38/股权价值增加表!BQ31</f>
        <v>#DIV/0!</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434</v>
      </c>
      <c r="E10" s="61">
        <f>资产资本表!E70/资产资本表!E107</f>
        <v>1.2028680770809899</v>
      </c>
      <c r="F10" s="61">
        <f>资产资本表!F70/资产资本表!F107</f>
        <v>1.1533342251225804</v>
      </c>
      <c r="G10" s="61">
        <f>资产资本表!G70/资产资本表!G107</f>
        <v>1.0991299155671745</v>
      </c>
      <c r="H10" s="61">
        <f>资产资本表!H70/资产资本表!H107</f>
        <v>1.3338563385254478</v>
      </c>
      <c r="I10" s="61">
        <f>资产资本表!I70/资产资本表!I107</f>
        <v>1.3537313201606669</v>
      </c>
      <c r="J10" s="61">
        <f>资产资本表!J70/资产资本表!J107</f>
        <v>1.305678426167189</v>
      </c>
      <c r="K10" s="61">
        <f>资产资本表!K70/资产资本表!K107</f>
        <v>1.3297230781526379</v>
      </c>
      <c r="L10" s="61">
        <f>资产资本表!L70/资产资本表!L107</f>
        <v>1.292473392644653</v>
      </c>
      <c r="M10" s="61">
        <f>资产资本表!M70/资产资本表!M107</f>
        <v>1.0006485156875282</v>
      </c>
      <c r="N10" s="61">
        <f>资产资本表!N70/资产资本表!N107</f>
        <v>1.0006530134408735</v>
      </c>
      <c r="O10" s="61">
        <f>资产资本表!O70/资产资本表!O107</f>
        <v>1.0230973230334508</v>
      </c>
      <c r="P10" s="61">
        <f>资产资本表!P70/资产资本表!P107</f>
        <v>1.0008054159094664</v>
      </c>
      <c r="Q10" s="61">
        <f>资产资本表!Q70/资产资本表!Q107</f>
        <v>1.0006952685153849</v>
      </c>
      <c r="R10" s="61">
        <f>资产资本表!R70/资产资本表!R107</f>
        <v>1.0007384179889027</v>
      </c>
      <c r="S10" s="61">
        <f>资产资本表!S70/资产资本表!S107</f>
        <v>1.0529488828463509</v>
      </c>
      <c r="T10" s="61">
        <f>资产资本表!T70/资产资本表!T107</f>
        <v>1.000748577784923</v>
      </c>
      <c r="U10" s="61">
        <f>资产资本表!U70/资产资本表!U107</f>
        <v>1.0006750932764752</v>
      </c>
      <c r="V10" s="61">
        <f>资产资本表!V70/资产资本表!V107</f>
        <v>1.0010468904293452</v>
      </c>
      <c r="W10" s="61">
        <f>资产资本表!W70/资产资本表!W107</f>
        <v>1.1436825845132501</v>
      </c>
      <c r="X10" s="61">
        <f>资产资本表!X70/资产资本表!X107</f>
        <v>1.093964008096675</v>
      </c>
      <c r="Y10" s="61">
        <f>资产资本表!Y70/资产资本表!Y107</f>
        <v>1.1201885655556481</v>
      </c>
      <c r="Z10" s="61">
        <f>资产资本表!Z70/资产资本表!Z107</f>
        <v>1.1244588449352413</v>
      </c>
      <c r="AA10" s="61">
        <f>资产资本表!AA70/资产资本表!AA107</f>
        <v>1.2189986587888482</v>
      </c>
      <c r="AB10" s="61">
        <f>资产资本表!AB70/资产资本表!AB107</f>
        <v>1.1629521100501625</v>
      </c>
      <c r="AC10" s="61">
        <f>资产资本表!AC70/资产资本表!AC107</f>
        <v>1.2306032530959816</v>
      </c>
      <c r="AD10" s="61">
        <f>资产资本表!AD70/资产资本表!AD107</f>
        <v>1.385174059228701</v>
      </c>
      <c r="AE10" s="61">
        <f>资产资本表!AE70/资产资本表!AE107</f>
        <v>1.2936540915403083</v>
      </c>
      <c r="AF10" s="61">
        <f>资产资本表!AF70/资产资本表!AF107</f>
        <v>1.2329279853043338</v>
      </c>
      <c r="AG10" s="61">
        <f>资产资本表!AG70/资产资本表!AG107</f>
        <v>1.2641000007953407</v>
      </c>
      <c r="AH10" s="61">
        <f>资产资本表!AH70/资产资本表!AH107</f>
        <v>1.2364285213645398</v>
      </c>
      <c r="AI10" s="61">
        <f>资产资本表!AI70/资产资本表!AI107</f>
        <v>1.3260512022739339</v>
      </c>
      <c r="AJ10" s="61">
        <f>资产资本表!AJ70/资产资本表!AJ107</f>
        <v>1.2724661085862226</v>
      </c>
      <c r="AK10" s="61">
        <f>资产资本表!AK70/资产资本表!AK107</f>
        <v>1.2771435711304184</v>
      </c>
      <c r="AL10" s="61">
        <f>资产资本表!AL70/资产资本表!AL107</f>
        <v>1.2704411178669939</v>
      </c>
      <c r="AM10" s="61">
        <f>资产资本表!AM70/资产资本表!AM107</f>
        <v>1.2875021305081791</v>
      </c>
      <c r="AN10" s="61">
        <f>资产资本表!AN70/资产资本表!AN107</f>
        <v>1.2498967255484299</v>
      </c>
      <c r="AO10" s="61">
        <f>资产资本表!AO70/资产资本表!AO107</f>
        <v>1.2521855450304047</v>
      </c>
      <c r="AP10" s="61">
        <f>资产资本表!AP70/资产资本表!AP107</f>
        <v>1.2790670817783336</v>
      </c>
      <c r="AQ10" s="61">
        <f>资产资本表!AQ70/资产资本表!AQ107</f>
        <v>1.2987248114657715</v>
      </c>
      <c r="AR10" s="61">
        <f>资产资本表!AR70/资产资本表!AR107</f>
        <v>1.2493155057305882</v>
      </c>
      <c r="AS10" s="61">
        <f>资产资本表!AS70/资产资本表!AS107</f>
        <v>1.284824670395887</v>
      </c>
      <c r="AT10" s="61">
        <f>资产资本表!AT70/资产资本表!AT107</f>
        <v>1.099704591907692</v>
      </c>
      <c r="AU10" s="61">
        <f>资产资本表!AU70/资产资本表!AU107</f>
        <v>1.1929112809546611</v>
      </c>
      <c r="AV10" s="61">
        <f>资产资本表!AV70/资产资本表!AV107</f>
        <v>1.200977208903214</v>
      </c>
      <c r="AW10" s="61">
        <f>资产资本表!AW70/资产资本表!AW107</f>
        <v>1.5270977165549122</v>
      </c>
      <c r="AX10" s="61">
        <f>资产资本表!AX70/资产资本表!AX107</f>
        <v>1.4167228206661229</v>
      </c>
      <c r="AY10" s="61">
        <f>资产资本表!AY70/资产资本表!AY107</f>
        <v>1.6983473994592795</v>
      </c>
      <c r="AZ10" s="61">
        <f>资产资本表!AZ70/资产资本表!AZ107</f>
        <v>1.6886150514534379</v>
      </c>
      <c r="BA10" s="61">
        <f>资产资本表!BA70/资产资本表!BA107</f>
        <v>1.7118720955996527</v>
      </c>
      <c r="BB10" s="61">
        <f>资产资本表!BB70/资产资本表!BB107</f>
        <v>1.5571613195875855</v>
      </c>
      <c r="BC10" s="61">
        <f>资产资本表!BC70/资产资本表!BC107</f>
        <v>1.5893685671254483</v>
      </c>
      <c r="BD10" s="61">
        <f>资产资本表!BD70/资产资本表!BD107</f>
        <v>1.0047535987044443</v>
      </c>
      <c r="BE10" s="61">
        <f>资产资本表!BE70/资产资本表!BE107</f>
        <v>1.0091554232712374</v>
      </c>
      <c r="BF10" s="61">
        <f>资产资本表!BF70/资产资本表!BF107</f>
        <v>1.020904184495478</v>
      </c>
      <c r="BG10" s="61">
        <f>资产资本表!BG70/资产资本表!BG107</f>
        <v>1.0102853684988575</v>
      </c>
      <c r="BH10" s="61">
        <f>资产资本表!BH70/资产资本表!BH107</f>
        <v>1.0140661689573962</v>
      </c>
      <c r="BI10" s="61">
        <f>资产资本表!BI70/资产资本表!BI107</f>
        <v>1.0093316556325997</v>
      </c>
      <c r="BJ10" s="61">
        <f>资产资本表!BJ70/资产资本表!BJ107</f>
        <v>1.0114495594243103</v>
      </c>
      <c r="BK10" s="61">
        <f>资产资本表!BK70/资产资本表!BK107</f>
        <v>1.0089641782576599</v>
      </c>
      <c r="BL10" s="61">
        <f>资产资本表!BL70/资产资本表!BL107</f>
        <v>1.1421563237902628</v>
      </c>
      <c r="BM10" s="61">
        <f>资产资本表!BM70/资产资本表!BM107</f>
        <v>1.0354843768967885</v>
      </c>
      <c r="BN10" s="61">
        <f>资产资本表!BN70/资产资本表!BN107</f>
        <v>1.1928508628512857</v>
      </c>
      <c r="BO10" s="61">
        <f>资产资本表!BO70/资产资本表!BO107</f>
        <v>1.1033135606155799</v>
      </c>
      <c r="BP10" s="61" t="e">
        <f>资产资本表!BP70/资产资本表!BP107</f>
        <v>#DIV/0!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1.1736341253938376</v>
      </c>
      <c r="F11" s="28">
        <f t="shared" ref="F11:BQ11" si="2">F9*F10</f>
        <v>1.1550238992367536</v>
      </c>
      <c r="G11" s="28">
        <f t="shared" si="2"/>
        <v>1.102396611231879</v>
      </c>
      <c r="H11" s="28">
        <f t="shared" si="2"/>
        <v>1.3389070290534351</v>
      </c>
      <c r="I11" s="28">
        <f t="shared" si="2"/>
        <v>1.3458483946164908</v>
      </c>
      <c r="J11" s="28">
        <f t="shared" si="2"/>
        <v>1.324783254555236</v>
      </c>
      <c r="K11" s="28">
        <f t="shared" si="2"/>
        <v>1.3537770922158268</v>
      </c>
      <c r="L11" s="28">
        <f t="shared" si="2"/>
        <v>1.3181016990116017</v>
      </c>
      <c r="M11" s="28">
        <f t="shared" si="2"/>
        <v>0.99873866913014386</v>
      </c>
      <c r="N11" s="28">
        <f t="shared" si="2"/>
        <v>1.0241224273888554</v>
      </c>
      <c r="O11" s="28">
        <f t="shared" si="2"/>
        <v>1.0541583318705683</v>
      </c>
      <c r="P11" s="28">
        <f t="shared" si="2"/>
        <v>1.0215743285227623</v>
      </c>
      <c r="Q11" s="28">
        <f t="shared" si="2"/>
        <v>0.99893596764015335</v>
      </c>
      <c r="R11" s="28">
        <f t="shared" si="2"/>
        <v>1.0165739163536889</v>
      </c>
      <c r="S11" s="28">
        <f t="shared" si="2"/>
        <v>1.0713696838009781</v>
      </c>
      <c r="T11" s="28">
        <f t="shared" si="2"/>
        <v>1.0114940490180595</v>
      </c>
      <c r="U11" s="28">
        <f t="shared" si="2"/>
        <v>0.98196488835847917</v>
      </c>
      <c r="V11" s="28">
        <f t="shared" si="2"/>
        <v>0.98649406033415876</v>
      </c>
      <c r="W11" s="28">
        <f t="shared" si="2"/>
        <v>1.1156599493382631</v>
      </c>
      <c r="X11" s="28">
        <f t="shared" si="2"/>
        <v>1.059798553388396</v>
      </c>
      <c r="Y11" s="28">
        <f t="shared" si="2"/>
        <v>1.0529867249513098</v>
      </c>
      <c r="Z11" s="28">
        <f t="shared" si="2"/>
        <v>1.0585402049530781</v>
      </c>
      <c r="AA11" s="28">
        <f t="shared" si="2"/>
        <v>1.1413324455972751</v>
      </c>
      <c r="AB11" s="28">
        <f t="shared" si="2"/>
        <v>1.0734665502466942</v>
      </c>
      <c r="AC11" s="28">
        <f t="shared" si="2"/>
        <v>1.1285602360953773</v>
      </c>
      <c r="AD11" s="28">
        <f t="shared" si="2"/>
        <v>1.2934212595497461</v>
      </c>
      <c r="AE11" s="28">
        <f t="shared" si="2"/>
        <v>1.2136057717248967</v>
      </c>
      <c r="AF11" s="28">
        <f t="shared" si="2"/>
        <v>1.1493906611187026</v>
      </c>
      <c r="AG11" s="28">
        <f t="shared" si="2"/>
        <v>1.1835476343029396</v>
      </c>
      <c r="AH11" s="28">
        <f t="shared" si="2"/>
        <v>1.1203572464410998</v>
      </c>
      <c r="AI11" s="28">
        <f t="shared" si="2"/>
        <v>1.1607565343878838</v>
      </c>
      <c r="AJ11" s="28">
        <f t="shared" si="2"/>
        <v>1.1663001273522713</v>
      </c>
      <c r="AK11" s="28">
        <f t="shared" si="2"/>
        <v>1.1582143844300088</v>
      </c>
      <c r="AL11" s="28">
        <f t="shared" si="2"/>
        <v>1.1022228024950944</v>
      </c>
      <c r="AM11" s="28">
        <f t="shared" si="2"/>
        <v>1.1045953155870498</v>
      </c>
      <c r="AN11" s="28">
        <f t="shared" si="2"/>
        <v>1.083971609248898</v>
      </c>
      <c r="AO11" s="28">
        <f t="shared" si="2"/>
        <v>1.0840011944593368</v>
      </c>
      <c r="AP11" s="28">
        <f t="shared" si="2"/>
        <v>1.1094832252233218</v>
      </c>
      <c r="AQ11" s="28">
        <f t="shared" si="2"/>
        <v>1.1110668483473249</v>
      </c>
      <c r="AR11" s="28">
        <f t="shared" si="2"/>
        <v>1.075849247996584</v>
      </c>
      <c r="AS11" s="28">
        <f t="shared" si="2"/>
        <v>1.0990469603524162</v>
      </c>
      <c r="AT11" s="28">
        <f t="shared" si="2"/>
        <v>0.95052696058068264</v>
      </c>
      <c r="AU11" s="28">
        <f t="shared" si="2"/>
        <v>1.0041888342620287</v>
      </c>
      <c r="AV11" s="28">
        <f t="shared" si="2"/>
        <v>1.0323342898435364</v>
      </c>
      <c r="AW11" s="28">
        <f t="shared" si="2"/>
        <v>1.1521948901975216</v>
      </c>
      <c r="AX11" s="28">
        <f t="shared" si="2"/>
        <v>1.0601953620892877</v>
      </c>
      <c r="AY11" s="28">
        <f t="shared" si="2"/>
        <v>1.2445549729669201</v>
      </c>
      <c r="AZ11" s="28">
        <f t="shared" si="2"/>
        <v>1.2611896427736837</v>
      </c>
      <c r="BA11" s="28">
        <f t="shared" si="2"/>
        <v>1.3950165280669402</v>
      </c>
      <c r="BB11" s="28">
        <f t="shared" si="2"/>
        <v>1.3247604129485502</v>
      </c>
      <c r="BC11" s="28">
        <f t="shared" si="2"/>
        <v>1.3963748566102021</v>
      </c>
      <c r="BD11" s="28">
        <f t="shared" si="2"/>
        <v>0.8587809309597928</v>
      </c>
      <c r="BE11" s="28">
        <f t="shared" si="2"/>
        <v>0.99093933690360492</v>
      </c>
      <c r="BF11" s="28">
        <f t="shared" si="2"/>
        <v>0.99088009094728158</v>
      </c>
      <c r="BG11" s="28">
        <f t="shared" si="2"/>
        <v>1.0259921220282153</v>
      </c>
      <c r="BH11" s="28">
        <f t="shared" si="2"/>
        <v>1.0249045416038036</v>
      </c>
      <c r="BI11" s="28">
        <f t="shared" si="2"/>
        <v>1.0643484042873583</v>
      </c>
      <c r="BJ11" s="28">
        <f t="shared" si="2"/>
        <v>1.0827402064085616</v>
      </c>
      <c r="BK11" s="28">
        <f t="shared" si="2"/>
        <v>1.1572219314839953</v>
      </c>
      <c r="BL11" s="28">
        <f t="shared" si="2"/>
        <v>1.2052033688076291</v>
      </c>
      <c r="BM11" s="28">
        <f t="shared" si="2"/>
        <v>1.0630050822756101</v>
      </c>
      <c r="BN11" s="28">
        <f t="shared" si="2"/>
        <v>1.2150388580400271</v>
      </c>
      <c r="BO11" s="28">
        <f t="shared" si="2"/>
        <v>1.1410742801413132</v>
      </c>
      <c r="BP11" s="28" t="e">
        <f t="shared" si="2"/>
        <v>#DIV/0!</v>
      </c>
      <c r="BQ11" s="28" t="e">
        <f t="shared" si="2"/>
        <v>#DIV/0!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435</v>
      </c>
      <c r="E12" s="157">
        <f>E2/股权价值增加表!E38</f>
        <v>0.73410693264161442</v>
      </c>
      <c r="F12" s="157">
        <f>F2/股权价值增加表!F38</f>
        <v>0.74385470028538125</v>
      </c>
      <c r="G12" s="157">
        <f>G2/股权价值增加表!G38</f>
        <v>0.7464253801994597</v>
      </c>
      <c r="H12" s="157">
        <f>H2/股权价值增加表!H38</f>
        <v>0.75492357568065016</v>
      </c>
      <c r="I12" s="157">
        <f>I2/股权价值增加表!I38</f>
        <v>0.72831008500947481</v>
      </c>
      <c r="J12" s="157">
        <f>J2/股权价值增加表!J38</f>
        <v>0.74316757167783187</v>
      </c>
      <c r="K12" s="157">
        <f>K2/股权价值增加表!K38</f>
        <v>0.73954951939732039</v>
      </c>
      <c r="L12" s="157">
        <f>L2/股权价值增加表!L38</f>
        <v>0.73787739678031039</v>
      </c>
      <c r="M12" s="157">
        <f>M2/股权价值增加表!M38</f>
        <v>0.73516846928750335</v>
      </c>
      <c r="N12" s="157">
        <f>N2/股权价值增加表!N38</f>
        <v>0.73779519910245006</v>
      </c>
      <c r="O12" s="157">
        <f>O2/股权价值增加表!O38</f>
        <v>0.75498757562219554</v>
      </c>
      <c r="P12" s="157">
        <f>P2/股权价值增加表!P38</f>
        <v>0.74037142505096087</v>
      </c>
      <c r="Q12" s="157">
        <f>Q2/股权价值增加表!Q38</f>
        <v>0.75730871711944292</v>
      </c>
      <c r="R12" s="157">
        <f>R2/股权价值增加表!R38</f>
        <v>0.75767123821978166</v>
      </c>
      <c r="S12" s="157">
        <f>S2/股权价值增加表!S38</f>
        <v>0.77538257952143919</v>
      </c>
      <c r="T12" s="157">
        <f>T2/股权价值增加表!T38</f>
        <v>0.74155394381325668</v>
      </c>
      <c r="U12" s="157">
        <f>U2/股权价值增加表!U38</f>
        <v>0.73367061821773394</v>
      </c>
      <c r="V12" s="157">
        <f>V2/股权价值增加表!V38</f>
        <v>0.75120275918569646</v>
      </c>
      <c r="W12" s="157">
        <f>W2/股权价值增加表!W38</f>
        <v>0.7517460625236877</v>
      </c>
      <c r="X12" s="157">
        <f>X2/股权价值增加表!X38</f>
        <v>0.73837959916566986</v>
      </c>
      <c r="Y12" s="157">
        <f>Y2/股权价值增加表!Y38</f>
        <v>0.74105764445550226</v>
      </c>
      <c r="Z12" s="157">
        <f>Z2/股权价值增加表!Z38</f>
        <v>0.74861220215136026</v>
      </c>
      <c r="AA12" s="157">
        <f>AA2/股权价值增加表!AA38</f>
        <v>0.74467259319069512</v>
      </c>
      <c r="AB12" s="157">
        <f>AB2/股权价值增加表!AB38</f>
        <v>0.7328289878868115</v>
      </c>
      <c r="AC12" s="157">
        <f>AC2/股权价值增加表!AC38</f>
        <v>0.73533577006242312</v>
      </c>
      <c r="AD12" s="157">
        <f>AD2/股权价值增加表!AD38</f>
        <v>0.71159578958063152</v>
      </c>
      <c r="AE12" s="157">
        <f>AE2/股权价值增加表!AE38</f>
        <v>0.6989988730081047</v>
      </c>
      <c r="AF12" s="157">
        <f>AF2/股权价值增加表!AF38</f>
        <v>0.73205670678351109</v>
      </c>
      <c r="AG12" s="157">
        <f>AG2/股权价值增加表!AG38</f>
        <v>0.7643262670681642</v>
      </c>
      <c r="AH12" s="157">
        <f>AH2/股权价值增加表!AH38</f>
        <v>0.73863517410216728</v>
      </c>
      <c r="AI12" s="157">
        <f>AI2/股权价值增加表!AI38</f>
        <v>0.73382708091387183</v>
      </c>
      <c r="AJ12" s="157">
        <f>AJ2/股权价值增加表!AJ38</f>
        <v>0.74237687430289467</v>
      </c>
      <c r="AK12" s="157">
        <f>AK2/股权价值增加表!AK38</f>
        <v>0.74503984113820876</v>
      </c>
      <c r="AL12" s="157">
        <f>AL2/股权价值增加表!AL38</f>
        <v>0.72884727417848472</v>
      </c>
      <c r="AM12" s="157">
        <f>AM2/股权价值增加表!AM38</f>
        <v>0.74332272207600958</v>
      </c>
      <c r="AN12" s="157">
        <f>AN2/股权价值增加表!AN38</f>
        <v>0.7270913606955135</v>
      </c>
      <c r="AO12" s="157">
        <f>AO2/股权价值增加表!AO38</f>
        <v>0.72713543744422704</v>
      </c>
      <c r="AP12" s="157">
        <f>AP2/股权价值增加表!AP38</f>
        <v>0.72923484988701648</v>
      </c>
      <c r="AQ12" s="157">
        <f>AQ2/股权价值增加表!AQ38</f>
        <v>0.73340548145566187</v>
      </c>
      <c r="AR12" s="157">
        <f>AR2/股权价值增加表!AR38</f>
        <v>0.75843293526564026</v>
      </c>
      <c r="AS12" s="157">
        <f>AS2/股权价值增加表!AS38</f>
        <v>0.65541385449685519</v>
      </c>
      <c r="AT12" s="157">
        <f>AT2/股权价值增加表!AT38</f>
        <v>0.65678373269087842</v>
      </c>
      <c r="AU12" s="157">
        <f>AU2/股权价值增加表!AU38</f>
        <v>0.64272867441830916</v>
      </c>
      <c r="AV12" s="157">
        <f>AV2/股权价值增加表!AV38</f>
        <v>0.65796857301145162</v>
      </c>
      <c r="AW12" s="157">
        <f>AW2/股权价值增加表!AW38</f>
        <v>0.64415455894812335</v>
      </c>
      <c r="AX12" s="157">
        <f>AX2/股权价值增加表!AX38</f>
        <v>0.66478574687202641</v>
      </c>
      <c r="AY12" s="157">
        <f>AY2/股权价值增加表!AY38</f>
        <v>0.6637596714049816</v>
      </c>
      <c r="AZ12" s="157">
        <f>AZ2/股权价值增加表!AZ38</f>
        <v>0.67924628495703554</v>
      </c>
      <c r="BA12" s="157">
        <f>BA2/股权价值增加表!BA38</f>
        <v>0.65535758059791127</v>
      </c>
      <c r="BB12" s="157">
        <f>BB2/股权价值增加表!BB38</f>
        <v>0.62256507384466309</v>
      </c>
      <c r="BC12" s="157">
        <f>BC2/股权价值增加表!BC38</f>
        <v>0.60890380541246447</v>
      </c>
      <c r="BD12" s="157">
        <f>BD2/股权价值增加表!BD38</f>
        <v>0.65639878977267496</v>
      </c>
      <c r="BE12" s="157">
        <f>BE2/股权价值增加表!BE38</f>
        <v>0.67987570609531212</v>
      </c>
      <c r="BF12" s="157">
        <f>BF2/股权价值增加表!BF38</f>
        <v>0.66959337423148346</v>
      </c>
      <c r="BG12" s="157">
        <f>BG2/股权价值增加表!BG38</f>
        <v>0.67365524340624117</v>
      </c>
      <c r="BH12" s="157">
        <f>BH2/股权价值增加表!BH38</f>
        <v>0.68332227562556624</v>
      </c>
      <c r="BI12" s="157">
        <f>BI2/股权价值增加表!BI38</f>
        <v>0.66749486157279136</v>
      </c>
      <c r="BJ12" s="157">
        <f>BJ2/股权价值增加表!BJ38</f>
        <v>0.65186171436116258</v>
      </c>
      <c r="BK12" s="157">
        <f>BK2/股权价值增加表!BK38</f>
        <v>0.65000997072265521</v>
      </c>
      <c r="BL12" s="157">
        <f>BL2/股权价值增加表!BL38</f>
        <v>0.66029367367854241</v>
      </c>
      <c r="BM12" s="157">
        <f>BM2/股权价值增加表!BM38</f>
        <v>0.79667646178770679</v>
      </c>
      <c r="BN12" s="157">
        <f>BN2/股权价值增加表!BN38</f>
        <v>0.81389614110710751</v>
      </c>
      <c r="BO12" s="157">
        <f>BO2/股权价值增加表!BO38</f>
        <v>0.95402864392315223</v>
      </c>
      <c r="BP12" s="157">
        <f>BP2/股权价值增加表!BP38</f>
        <v>0.64937150419906775</v>
      </c>
      <c r="BQ12" s="157" t="e">
        <f>BQ2/股权价值增加表!BQ38</f>
        <v>#DIV/0!</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436</v>
      </c>
      <c r="E13" s="63">
        <f>1-E2/股权价值增加表!E38</f>
        <v>0.26589306735838558</v>
      </c>
      <c r="F13" s="63">
        <f>1-F2/股权价值增加表!F38</f>
        <v>0.25614529971461875</v>
      </c>
      <c r="G13" s="63">
        <f>1-G2/股权价值增加表!G38</f>
        <v>0.2535746198005403</v>
      </c>
      <c r="H13" s="63">
        <f>1-H2/股权价值增加表!H38</f>
        <v>0.24507642431934984</v>
      </c>
      <c r="I13" s="63">
        <f>1-I2/股权价值增加表!I38</f>
        <v>0.27168991499052519</v>
      </c>
      <c r="J13" s="63">
        <f>1-J2/股权价值增加表!J38</f>
        <v>0.25683242832216813</v>
      </c>
      <c r="K13" s="63">
        <f>1-K2/股权价值增加表!K38</f>
        <v>0.26045048060267961</v>
      </c>
      <c r="L13" s="63">
        <f>1-L2/股权价值增加表!L38</f>
        <v>0.26212260321968961</v>
      </c>
      <c r="M13" s="63">
        <f>1-M2/股权价值增加表!M38</f>
        <v>0.26483153071249665</v>
      </c>
      <c r="N13" s="63">
        <f>1-N2/股权价值增加表!N38</f>
        <v>0.26220480089754994</v>
      </c>
      <c r="O13" s="63">
        <f>1-O2/股权价值增加表!O38</f>
        <v>0.24501242437780446</v>
      </c>
      <c r="P13" s="63">
        <f>1-P2/股权价值增加表!P38</f>
        <v>0.25962857494903913</v>
      </c>
      <c r="Q13" s="63">
        <f>1-Q2/股权价值增加表!Q38</f>
        <v>0.24269128288055708</v>
      </c>
      <c r="R13" s="63">
        <f>1-R2/股权价值增加表!R38</f>
        <v>0.24232876178021834</v>
      </c>
      <c r="S13" s="63">
        <f>1-S2/股权价值增加表!S38</f>
        <v>0.22461742047856081</v>
      </c>
      <c r="T13" s="63">
        <f>1-T2/股权价值增加表!T38</f>
        <v>0.25844605618674332</v>
      </c>
      <c r="U13" s="63">
        <f>1-U2/股权价值增加表!U38</f>
        <v>0.26632938178226606</v>
      </c>
      <c r="V13" s="63">
        <f>1-V2/股权价值增加表!V38</f>
        <v>0.24879724081430354</v>
      </c>
      <c r="W13" s="63">
        <f>1-W2/股权价值增加表!W38</f>
        <v>0.2482539374763123</v>
      </c>
      <c r="X13" s="63">
        <f>1-X2/股权价值增加表!X38</f>
        <v>0.26162040083433014</v>
      </c>
      <c r="Y13" s="63">
        <f>1-Y2/股权价值增加表!Y38</f>
        <v>0.25894235554449774</v>
      </c>
      <c r="Z13" s="63">
        <f>1-Z2/股权价值增加表!Z38</f>
        <v>0.25138779784863974</v>
      </c>
      <c r="AA13" s="63">
        <f>1-AA2/股权价值增加表!AA38</f>
        <v>0.25532740680930488</v>
      </c>
      <c r="AB13" s="63">
        <f>1-AB2/股权价值增加表!AB38</f>
        <v>0.2671710121131885</v>
      </c>
      <c r="AC13" s="63">
        <f>1-AC2/股权价值增加表!AC38</f>
        <v>0.26466422993757688</v>
      </c>
      <c r="AD13" s="63">
        <f>1-AD2/股权价值增加表!AD38</f>
        <v>0.28840421041936848</v>
      </c>
      <c r="AE13" s="63">
        <f>1-AE2/股权价值增加表!AE38</f>
        <v>0.3010011269918953</v>
      </c>
      <c r="AF13" s="63">
        <f>1-AF2/股权价值增加表!AF38</f>
        <v>0.26794329321648891</v>
      </c>
      <c r="AG13" s="63">
        <f>1-AG2/股权价值增加表!AG38</f>
        <v>0.2356737329318358</v>
      </c>
      <c r="AH13" s="63">
        <f>1-AH2/股权价值增加表!AH38</f>
        <v>0.26136482589783272</v>
      </c>
      <c r="AI13" s="63">
        <f>1-AI2/股权价值增加表!AI38</f>
        <v>0.26617291908612817</v>
      </c>
      <c r="AJ13" s="63">
        <f>1-AJ2/股权价值增加表!AJ38</f>
        <v>0.25762312569710533</v>
      </c>
      <c r="AK13" s="63">
        <f>1-AK2/股权价值增加表!AK38</f>
        <v>0.25496015886179124</v>
      </c>
      <c r="AL13" s="63">
        <f>1-AL2/股权价值增加表!AL38</f>
        <v>0.27115272582151528</v>
      </c>
      <c r="AM13" s="63">
        <f>1-AM2/股权价值增加表!AM38</f>
        <v>0.25667727792399042</v>
      </c>
      <c r="AN13" s="63">
        <f>1-AN2/股权价值增加表!AN38</f>
        <v>0.2729086393044865</v>
      </c>
      <c r="AO13" s="63">
        <f>1-AO2/股权价值增加表!AO38</f>
        <v>0.27286456255577296</v>
      </c>
      <c r="AP13" s="63">
        <f>1-AP2/股权价值增加表!AP38</f>
        <v>0.27076515011298352</v>
      </c>
      <c r="AQ13" s="63">
        <f>1-AQ2/股权价值增加表!AQ38</f>
        <v>0.26659451854433813</v>
      </c>
      <c r="AR13" s="63">
        <f>1-AR2/股权价值增加表!AR38</f>
        <v>0.24156706473435974</v>
      </c>
      <c r="AS13" s="63">
        <f>1-AS2/股权价值增加表!AS38</f>
        <v>0.34458614550314481</v>
      </c>
      <c r="AT13" s="63">
        <f>1-AT2/股权价值增加表!AT38</f>
        <v>0.34321626730912158</v>
      </c>
      <c r="AU13" s="63">
        <f>1-AU2/股权价值增加表!AU38</f>
        <v>0.35727132558169084</v>
      </c>
      <c r="AV13" s="63">
        <f>1-AV2/股权价值增加表!AV38</f>
        <v>0.34203142698854838</v>
      </c>
      <c r="AW13" s="63">
        <f>1-AW2/股权价值增加表!AW38</f>
        <v>0.35584544105187665</v>
      </c>
      <c r="AX13" s="63">
        <f>1-AX2/股权价值增加表!AX38</f>
        <v>0.33521425312797359</v>
      </c>
      <c r="AY13" s="63">
        <f>1-AY2/股权价值增加表!AY38</f>
        <v>0.3362403285950184</v>
      </c>
      <c r="AZ13" s="63">
        <f>1-AZ2/股权价值增加表!AZ38</f>
        <v>0.32075371504296446</v>
      </c>
      <c r="BA13" s="63">
        <f>1-BA2/股权价值增加表!BA38</f>
        <v>0.34464241940208873</v>
      </c>
      <c r="BB13" s="63">
        <f>1-BB2/股权价值增加表!BB38</f>
        <v>0.37743492615533691</v>
      </c>
      <c r="BC13" s="63">
        <f>1-BC2/股权价值增加表!BC38</f>
        <v>0.39109619458753553</v>
      </c>
      <c r="BD13" s="63">
        <f>1-BD2/股权价值增加表!BD38</f>
        <v>0.34360121022732504</v>
      </c>
      <c r="BE13" s="63">
        <f>1-BE2/股权价值增加表!BE38</f>
        <v>0.32012429390468788</v>
      </c>
      <c r="BF13" s="63">
        <f>1-BF2/股权价值增加表!BF38</f>
        <v>0.33040662576851654</v>
      </c>
      <c r="BG13" s="63">
        <f>1-BG2/股权价值增加表!BG38</f>
        <v>0.32634475659375883</v>
      </c>
      <c r="BH13" s="63">
        <f>1-BH2/股权价值增加表!BH38</f>
        <v>0.31667772437443376</v>
      </c>
      <c r="BI13" s="63">
        <f>1-BI2/股权价值增加表!BI38</f>
        <v>0.33250513842720864</v>
      </c>
      <c r="BJ13" s="63">
        <f>1-BJ2/股权价值增加表!BJ38</f>
        <v>0.34813828563883742</v>
      </c>
      <c r="BK13" s="63">
        <f>1-BK2/股权价值增加表!BK38</f>
        <v>0.34999002927734479</v>
      </c>
      <c r="BL13" s="63">
        <f>1-BL2/股权价值增加表!BL38</f>
        <v>0.33970632632145759</v>
      </c>
      <c r="BM13" s="63">
        <f>1-BM2/股权价值增加表!BM38</f>
        <v>0.20332353821229321</v>
      </c>
      <c r="BN13" s="63">
        <f>1-BN2/股权价值增加表!BN38</f>
        <v>0.18610385889289249</v>
      </c>
      <c r="BO13" s="63">
        <f>1-BO2/股权价值增加表!BO38</f>
        <v>4.5971356076847769E-2</v>
      </c>
      <c r="BP13" s="63">
        <f>1-BP2/股权价值增加表!BP38</f>
        <v>0.35062849580093225</v>
      </c>
      <c r="BQ13" s="63" t="e">
        <f>1-BQ2/股权价值增加表!BQ38</f>
        <v>#DIV/0!</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437</v>
      </c>
      <c r="E14" s="59">
        <f>E6*E7*E9*E10*E12</f>
        <v>0.10322254987006875</v>
      </c>
      <c r="F14" s="59">
        <f t="shared" ref="F14:BQ14" si="4">F6*F7*F9*F10*F12</f>
        <v>7.8552102031409735E-2</v>
      </c>
      <c r="G14" s="59">
        <f t="shared" si="4"/>
        <v>5.4531445351183781E-2</v>
      </c>
      <c r="H14" s="59">
        <f t="shared" si="4"/>
        <v>3.6716412432247242E-2</v>
      </c>
      <c r="I14" s="59">
        <f t="shared" si="4"/>
        <v>0.12640231082017522</v>
      </c>
      <c r="J14" s="59">
        <f t="shared" si="4"/>
        <v>9.6798124709356267E-2</v>
      </c>
      <c r="K14" s="59">
        <f t="shared" si="4"/>
        <v>6.54139450066865E-2</v>
      </c>
      <c r="L14" s="59">
        <f t="shared" si="4"/>
        <v>3.140746147354815E-2</v>
      </c>
      <c r="M14" s="59">
        <f t="shared" si="4"/>
        <v>0.13001428941614121</v>
      </c>
      <c r="N14" s="59">
        <f t="shared" si="4"/>
        <v>9.8726118675067059E-2</v>
      </c>
      <c r="O14" s="59">
        <f t="shared" si="4"/>
        <v>7.2574125093879546E-2</v>
      </c>
      <c r="P14" s="59">
        <f t="shared" si="4"/>
        <v>3.478029444836056E-2</v>
      </c>
      <c r="Q14" s="59">
        <f t="shared" si="4"/>
        <v>0.13839366208297038</v>
      </c>
      <c r="R14" s="59">
        <f t="shared" si="4"/>
        <v>9.5150447376615141E-2</v>
      </c>
      <c r="S14" s="59">
        <f t="shared" si="4"/>
        <v>6.7911446303899031E-2</v>
      </c>
      <c r="T14" s="59">
        <f t="shared" si="4"/>
        <v>3.140434438360664E-2</v>
      </c>
      <c r="U14" s="59">
        <f t="shared" si="4"/>
        <v>0.1163333600983133</v>
      </c>
      <c r="V14" s="59">
        <f t="shared" si="4"/>
        <v>9.0754059327603276E-2</v>
      </c>
      <c r="W14" s="59">
        <f t="shared" si="4"/>
        <v>6.2601020446967789E-2</v>
      </c>
      <c r="X14" s="59">
        <f t="shared" si="4"/>
        <v>3.0710189803708314E-2</v>
      </c>
      <c r="Y14" s="59">
        <f t="shared" si="4"/>
        <v>0.10583592440951019</v>
      </c>
      <c r="Z14" s="59">
        <f t="shared" si="4"/>
        <v>8.3561929036585728E-2</v>
      </c>
      <c r="AA14" s="59">
        <f t="shared" si="4"/>
        <v>5.7473323925762591E-2</v>
      </c>
      <c r="AB14" s="59">
        <f t="shared" si="4"/>
        <v>2.609433493636891E-2</v>
      </c>
      <c r="AC14" s="59">
        <f t="shared" si="4"/>
        <v>9.6655173580594986E-2</v>
      </c>
      <c r="AD14" s="59">
        <f t="shared" si="4"/>
        <v>7.5045713403012776E-2</v>
      </c>
      <c r="AE14" s="59">
        <f t="shared" si="4"/>
        <v>4.7376579557772247E-2</v>
      </c>
      <c r="AF14" s="59">
        <f t="shared" si="4"/>
        <v>2.4100183095498773E-2</v>
      </c>
      <c r="AG14" s="59">
        <f t="shared" si="4"/>
        <v>0.10167450864568495</v>
      </c>
      <c r="AH14" s="59">
        <f t="shared" si="4"/>
        <v>7.3982780145597143E-2</v>
      </c>
      <c r="AI14" s="59">
        <f t="shared" si="4"/>
        <v>4.5865808716638361E-2</v>
      </c>
      <c r="AJ14" s="59">
        <f t="shared" si="4"/>
        <v>2.5480084935577924E-2</v>
      </c>
      <c r="AK14" s="59">
        <f t="shared" si="4"/>
        <v>8.7337550196974492E-2</v>
      </c>
      <c r="AL14" s="59">
        <f t="shared" si="4"/>
        <v>6.4322538598177964E-2</v>
      </c>
      <c r="AM14" s="59">
        <f t="shared" si="4"/>
        <v>4.4091575136847146E-2</v>
      </c>
      <c r="AN14" s="59">
        <f t="shared" si="4"/>
        <v>2.0888005089772014E-2</v>
      </c>
      <c r="AO14" s="59">
        <f t="shared" si="4"/>
        <v>8.2777167756092507E-2</v>
      </c>
      <c r="AP14" s="59">
        <f t="shared" si="4"/>
        <v>6.8266802919109026E-2</v>
      </c>
      <c r="AQ14" s="59">
        <f t="shared" si="4"/>
        <v>4.6713346537938009E-2</v>
      </c>
      <c r="AR14" s="59">
        <f t="shared" si="4"/>
        <v>2.4480629862955735E-2</v>
      </c>
      <c r="AS14" s="59">
        <f t="shared" si="4"/>
        <v>6.8398011306373699E-2</v>
      </c>
      <c r="AT14" s="59">
        <f t="shared" si="4"/>
        <v>7.4873610656476117E-2</v>
      </c>
      <c r="AU14" s="59">
        <f t="shared" si="4"/>
        <v>4.466256517187428E-2</v>
      </c>
      <c r="AV14" s="59">
        <f t="shared" si="4"/>
        <v>2.338508275055453E-2</v>
      </c>
      <c r="AW14" s="59">
        <f t="shared" si="4"/>
        <v>6.9547870817532789E-2</v>
      </c>
      <c r="AX14" s="59">
        <f t="shared" si="4"/>
        <v>5.6331398864134082E-2</v>
      </c>
      <c r="AY14" s="59">
        <f t="shared" si="4"/>
        <v>3.4106864493559333E-2</v>
      </c>
      <c r="AZ14" s="59">
        <f t="shared" si="4"/>
        <v>1.923384405805853E-2</v>
      </c>
      <c r="BA14" s="59">
        <f t="shared" si="4"/>
        <v>6.2809846016856311E-2</v>
      </c>
      <c r="BB14" s="59">
        <f t="shared" si="4"/>
        <v>4.8177519147194175E-2</v>
      </c>
      <c r="BC14" s="59">
        <f t="shared" si="4"/>
        <v>3.2535919939477999E-2</v>
      </c>
      <c r="BD14" s="59">
        <f t="shared" si="4"/>
        <v>1.4722752871147141E-2</v>
      </c>
      <c r="BE14" s="59">
        <f t="shared" si="4"/>
        <v>7.2772229477365183E-2</v>
      </c>
      <c r="BF14" s="59">
        <f t="shared" si="4"/>
        <v>6.8028789449318658E-2</v>
      </c>
      <c r="BG14" s="59">
        <f t="shared" si="4"/>
        <v>5.696272086126921E-2</v>
      </c>
      <c r="BH14" s="59">
        <f t="shared" si="4"/>
        <v>3.1670167043972713E-2</v>
      </c>
      <c r="BI14" s="59">
        <f t="shared" si="4"/>
        <v>7.6934135228781661E-2</v>
      </c>
      <c r="BJ14" s="59">
        <f t="shared" si="4"/>
        <v>5.2800379028657057E-2</v>
      </c>
      <c r="BK14" s="59">
        <f t="shared" si="4"/>
        <v>2.3676442662099721E-2</v>
      </c>
      <c r="BL14" s="59">
        <f t="shared" si="4"/>
        <v>5.1550626681555745E-2</v>
      </c>
      <c r="BM14" s="59">
        <f t="shared" si="4"/>
        <v>0.19742699580882497</v>
      </c>
      <c r="BN14" s="59">
        <f t="shared" si="4"/>
        <v>0.11936387763423206</v>
      </c>
      <c r="BO14" s="59">
        <f t="shared" si="4"/>
        <v>0.29591582952177753</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80" t="s">
        <v>699</v>
      </c>
      <c r="B15" s="279"/>
      <c r="C15" s="279"/>
      <c r="D15" s="279"/>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row>
    <row r="17" spans="1:89" ht="15" thickBot="1" x14ac:dyDescent="0.3"/>
    <row r="18" spans="1:89" s="249" customFormat="1" x14ac:dyDescent="0.25">
      <c r="A18" s="248"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37437</v>
      </c>
      <c r="BO18" s="1">
        <v>37256</v>
      </c>
      <c r="BP18" s="1">
        <v>36891</v>
      </c>
      <c r="BQ18" s="1">
        <v>25569</v>
      </c>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8" t="s">
        <v>447</v>
      </c>
      <c r="B19" s="75">
        <v>43373</v>
      </c>
      <c r="C19" s="75">
        <v>43281</v>
      </c>
      <c r="D19" s="75">
        <v>43190</v>
      </c>
      <c r="E19" s="75">
        <f>股权价值增加表!E4</f>
        <v>6761550874.3699999</v>
      </c>
      <c r="F19" s="75">
        <f>股权价值增加表!F4</f>
        <v>4918489181.8699999</v>
      </c>
      <c r="G19" s="75">
        <f>股权价值增加表!G4</f>
        <v>3213661518.3800001</v>
      </c>
      <c r="H19" s="75">
        <f>股权价值增加表!H4</f>
        <v>1583747526.6900001</v>
      </c>
      <c r="I19" s="75">
        <f>股权价值增加表!I4</f>
        <v>6166683056.1199999</v>
      </c>
      <c r="J19" s="75">
        <f>股权价值增加表!J4</f>
        <v>4534592334.7799997</v>
      </c>
      <c r="K19" s="75">
        <f>股权价值增加表!K4</f>
        <v>2984650287.6599998</v>
      </c>
      <c r="L19" s="75">
        <f>股权价值增加表!L4</f>
        <v>1442696919.48</v>
      </c>
      <c r="M19" s="75">
        <f>股权价值增加表!M4</f>
        <v>5619735354.2299995</v>
      </c>
      <c r="N19" s="75">
        <f>股权价值增加表!N4</f>
        <v>4196487790.0300002</v>
      </c>
      <c r="O19" s="75">
        <f>股权价值增加表!O4</f>
        <v>2773932728.75</v>
      </c>
      <c r="P19" s="75">
        <f>股权价值增加表!P4</f>
        <v>1389542513.23</v>
      </c>
      <c r="Q19" s="75">
        <f>股权价值增加表!Q4</f>
        <v>5527678576.3100004</v>
      </c>
      <c r="R19" s="75">
        <f>股权价值增加表!R4</f>
        <v>4079988837.6900001</v>
      </c>
      <c r="S19" s="75">
        <f>股权价值增加表!S4</f>
        <v>2681437778.79</v>
      </c>
      <c r="T19" s="75">
        <f>股权价值增加表!T4</f>
        <v>1288196061.04</v>
      </c>
      <c r="U19" s="75">
        <f>股权价值增加表!U4</f>
        <v>5141313419.2600002</v>
      </c>
      <c r="V19" s="75">
        <f>股权价值增加表!V4</f>
        <v>3796730790.04</v>
      </c>
      <c r="W19" s="75">
        <f>股权价值增加表!W4</f>
        <v>2462324707.5300002</v>
      </c>
      <c r="X19" s="75">
        <f>股权价值增加表!X4</f>
        <v>1184294457.5799999</v>
      </c>
      <c r="Y19" s="75">
        <f>股权价值增加表!Y4</f>
        <v>4673315397</v>
      </c>
      <c r="Z19" s="75">
        <f>股权价值增加表!Z4</f>
        <v>3460081754.52</v>
      </c>
      <c r="AA19" s="75">
        <f>股权价值增加表!AA4</f>
        <v>2289404113.9400001</v>
      </c>
      <c r="AB19" s="75">
        <f>股权价值增加表!AB4</f>
        <v>1111786173.6600001</v>
      </c>
      <c r="AC19" s="75">
        <f>股权价值增加表!AC4</f>
        <v>4239351634.9299998</v>
      </c>
      <c r="AD19" s="75">
        <f>股权价值增加表!AD4</f>
        <v>3105533447.9099998</v>
      </c>
      <c r="AE19" s="75">
        <f>股权价值增加表!AE4</f>
        <v>2028306165.1800001</v>
      </c>
      <c r="AF19" s="75">
        <f>股权价值增加表!AF4</f>
        <v>986571753.74000001</v>
      </c>
      <c r="AG19" s="75">
        <f>股权价值增加表!AG4</f>
        <v>3865479479.1999998</v>
      </c>
      <c r="AH19" s="75">
        <f>股权价值增加表!AH4</f>
        <v>2735574710.4200001</v>
      </c>
      <c r="AI19" s="75">
        <f>股权价值增加表!AI4</f>
        <v>1772855408.4400001</v>
      </c>
      <c r="AJ19" s="75">
        <f>股权价值增加表!AJ4</f>
        <v>866730658.66999996</v>
      </c>
      <c r="AK19" s="75">
        <f>股权价值增加表!AK4</f>
        <v>3306089482.5799999</v>
      </c>
      <c r="AL19" s="75">
        <f>股权价值增加表!AL4</f>
        <v>2349252600.0599999</v>
      </c>
      <c r="AM19" s="75">
        <f>股权价值增加表!AM4</f>
        <v>1549833425.46</v>
      </c>
      <c r="AN19" s="75">
        <f>股权价值增加表!AN4</f>
        <v>768414498.45000005</v>
      </c>
      <c r="AO19" s="75">
        <f>股权价值增加表!AO4</f>
        <v>3049701649.1599998</v>
      </c>
      <c r="AP19" s="75">
        <f>股权价值增加表!AP4</f>
        <v>2265222000.3400002</v>
      </c>
      <c r="AQ19" s="75">
        <f>股权价值增加表!AQ4</f>
        <v>1511455848.98</v>
      </c>
      <c r="AR19" s="75">
        <f>股权价值增加表!AR4</f>
        <v>754796835.00999999</v>
      </c>
      <c r="AS19" s="75">
        <f>股权价值增加表!AS4</f>
        <v>2683440041.75</v>
      </c>
      <c r="AT19" s="75">
        <f>股权价值增加表!AT4</f>
        <v>1953381247.0799999</v>
      </c>
      <c r="AU19" s="75">
        <f>股权价值增加表!AU4</f>
        <v>1274734794.4300001</v>
      </c>
      <c r="AV19" s="75">
        <f>股权价值增加表!AV4</f>
        <v>621061130.22000003</v>
      </c>
      <c r="AW19" s="75">
        <f>股权价值增加表!AW4</f>
        <v>2409797561.5500002</v>
      </c>
      <c r="AX19" s="75">
        <f>股权价值增加表!AX4</f>
        <v>1782559040.05</v>
      </c>
      <c r="AY19" s="75">
        <f>股权价值增加表!AY4</f>
        <v>1187910368.9100001</v>
      </c>
      <c r="AZ19" s="75">
        <f>股权价值增加表!AZ4</f>
        <v>589704365.50999999</v>
      </c>
      <c r="BA19" s="75">
        <f>股权价值增加表!BA4</f>
        <v>2149308234.9299998</v>
      </c>
      <c r="BB19" s="75">
        <f>股权价值增加表!BB4</f>
        <v>1520411535.9000001</v>
      </c>
      <c r="BC19" s="75">
        <f>股权价值增加表!BC4</f>
        <v>979579514.60000002</v>
      </c>
      <c r="BD19" s="75">
        <f>股权价值增加表!BD4</f>
        <v>446053032.56999999</v>
      </c>
      <c r="BE19" s="75">
        <f>股权价值增加表!BE4</f>
        <v>1540782654.2</v>
      </c>
      <c r="BF19" s="75">
        <f>股权价值增加表!BF4</f>
        <v>1093635054.0999999</v>
      </c>
      <c r="BG19" s="75">
        <f>股权价值增加表!BG4</f>
        <v>714288559.48000002</v>
      </c>
      <c r="BH19" s="75">
        <f>股权价值增加表!BH4</f>
        <v>349186247.05000001</v>
      </c>
      <c r="BI19" s="75">
        <f>股权价值增加表!BI4</f>
        <v>1061851063.5700001</v>
      </c>
      <c r="BJ19" s="75">
        <f>股权价值增加表!BJ4</f>
        <v>698265414.20000005</v>
      </c>
      <c r="BK19" s="75">
        <f>股权价值增加表!BK4</f>
        <v>395320373.35000002</v>
      </c>
      <c r="BL19" s="75">
        <f>股权价值增加表!BL4</f>
        <v>246816885.5</v>
      </c>
      <c r="BM19" s="75">
        <f>股权价值增加表!BM4</f>
        <v>939655600.10000002</v>
      </c>
      <c r="BN19" s="75">
        <f>股权价值增加表!BN4</f>
        <v>432349125.27999997</v>
      </c>
      <c r="BO19" s="75">
        <f>股权价值增加表!BO4</f>
        <v>838384482.12</v>
      </c>
      <c r="BP19" s="75">
        <f>股权价值增加表!BP4</f>
        <v>780254893.07000005</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8" t="s">
        <v>448</v>
      </c>
      <c r="E20" s="75">
        <f>股权价值增加表!E15</f>
        <v>2113035979.7699997</v>
      </c>
      <c r="F20" s="75">
        <f>股权价值增加表!F15</f>
        <v>1506799050.0699999</v>
      </c>
      <c r="G20" s="75">
        <f>股权价值增加表!G15</f>
        <v>1017624943.55</v>
      </c>
      <c r="H20" s="75">
        <f>股权价值增加表!H15</f>
        <v>535251843.00000006</v>
      </c>
      <c r="I20" s="75">
        <f>股权价值增加表!I15</f>
        <v>1856323573.2199998</v>
      </c>
      <c r="J20" s="75">
        <f>股权价值增加表!J15</f>
        <v>1395421018.5399997</v>
      </c>
      <c r="K20" s="75">
        <f>股权价值增加表!K15</f>
        <v>909455476.7299999</v>
      </c>
      <c r="L20" s="75">
        <f>股权价值增加表!L15</f>
        <v>452609634.49000001</v>
      </c>
      <c r="M20" s="75">
        <f>股权价值增加表!M15</f>
        <v>1683938326.9199996</v>
      </c>
      <c r="N20" s="75">
        <f>股权价值增加表!N15</f>
        <v>1263457257.2300005</v>
      </c>
      <c r="O20" s="75">
        <f>股权价值增加表!O15</f>
        <v>838325074.28999996</v>
      </c>
      <c r="P20" s="75">
        <f>股权价值增加表!P15</f>
        <v>427245602.48000002</v>
      </c>
      <c r="Q20" s="75">
        <f>股权价值增加表!Q15</f>
        <v>1500903278.5000005</v>
      </c>
      <c r="R20" s="75">
        <f>股权价值增加表!R15</f>
        <v>1033333130.7000002</v>
      </c>
      <c r="S20" s="75">
        <f>股权价值增加表!S15</f>
        <v>704544333.63999999</v>
      </c>
      <c r="T20" s="75">
        <f>股权价值增加表!T15</f>
        <v>352968821.45999998</v>
      </c>
      <c r="U20" s="75">
        <f>股权价值增加表!U15</f>
        <v>1287266043.3200004</v>
      </c>
      <c r="V20" s="75">
        <f>股权价值增加表!V15</f>
        <v>955402285.97000003</v>
      </c>
      <c r="W20" s="75">
        <f>股权价值增加表!W15</f>
        <v>651175972.76000023</v>
      </c>
      <c r="X20" s="75">
        <f>股权价值增加表!X15</f>
        <v>325373196.62999994</v>
      </c>
      <c r="Y20" s="75">
        <f>股权价值增加表!Y15</f>
        <v>1110095868.5899997</v>
      </c>
      <c r="Z20" s="75">
        <f>股权价值增加表!Z15</f>
        <v>863340705.32999969</v>
      </c>
      <c r="AA20" s="75">
        <f>股权价值增加表!AA15</f>
        <v>585528945.0200001</v>
      </c>
      <c r="AB20" s="75">
        <f>股权价值增加表!AB15</f>
        <v>281648792.87000018</v>
      </c>
      <c r="AC20" s="75">
        <f>股权价值增加表!AC15</f>
        <v>1032485124.0399998</v>
      </c>
      <c r="AD20" s="75">
        <f>股权价值增加表!AD15</f>
        <v>776651069.44999981</v>
      </c>
      <c r="AE20" s="75">
        <f>股权价值增加表!AE15</f>
        <v>506384370.06</v>
      </c>
      <c r="AF20" s="75">
        <f>股权价值增加表!AF15</f>
        <v>248932709.11999995</v>
      </c>
      <c r="AG20" s="75">
        <f>股权价值增加表!AG15</f>
        <v>876117432.51999998</v>
      </c>
      <c r="AH20" s="75">
        <f>股权价值增加表!AH15</f>
        <v>722823315.72000027</v>
      </c>
      <c r="AI20" s="75">
        <f>股权价值增加表!AI15</f>
        <v>455414925.74000007</v>
      </c>
      <c r="AJ20" s="75">
        <f>股权价值增加表!AJ15</f>
        <v>245362277.28999996</v>
      </c>
      <c r="AK20" s="75">
        <f>股权价值增加表!AK15</f>
        <v>815098523.79999995</v>
      </c>
      <c r="AL20" s="75">
        <f>股权价值增加表!AL15</f>
        <v>629622421.31999981</v>
      </c>
      <c r="AM20" s="75">
        <f>股权价值增加表!AM15</f>
        <v>422298417.33000004</v>
      </c>
      <c r="AN20" s="75">
        <f>股权价值增加表!AN15</f>
        <v>204149471.21000007</v>
      </c>
      <c r="AO20" s="75">
        <f>股权价值增加表!AO15</f>
        <v>791859102.66999984</v>
      </c>
      <c r="AP20" s="75">
        <f>股权价值增加表!AP15</f>
        <v>639474103.99000013</v>
      </c>
      <c r="AQ20" s="75">
        <f>股权价值增加表!AQ15</f>
        <v>431854124.46000004</v>
      </c>
      <c r="AR20" s="75">
        <f>股权价值增加表!AR15</f>
        <v>220267410.27999997</v>
      </c>
      <c r="AS20" s="75">
        <f>股权价值增加表!AS15</f>
        <v>699872869.23000002</v>
      </c>
      <c r="AT20" s="75">
        <f>股权价值增加表!AT15</f>
        <v>591996269.54999995</v>
      </c>
      <c r="AU20" s="75">
        <f>股权价值增加表!AU15</f>
        <v>364575201.75000012</v>
      </c>
      <c r="AV20" s="75">
        <f>股权价值增加表!AV15</f>
        <v>178965229.98000005</v>
      </c>
      <c r="AW20" s="75">
        <f>股权价值增加表!AW15</f>
        <v>625871458.69000018</v>
      </c>
      <c r="AX20" s="75">
        <f>股权价值增加表!AX15</f>
        <v>491308685.55000001</v>
      </c>
      <c r="AY20" s="75">
        <f>股权价值增加表!AY15</f>
        <v>296897776.16000009</v>
      </c>
      <c r="AZ20" s="75">
        <f>股权价值增加表!AZ15</f>
        <v>161579906.22999999</v>
      </c>
      <c r="BA20" s="75">
        <f>股权价值增加表!BA15</f>
        <v>491314379.66999984</v>
      </c>
      <c r="BB20" s="75">
        <f>股权价值增加表!BB15</f>
        <v>372903494.38000011</v>
      </c>
      <c r="BC20" s="75">
        <f>股权价值增加表!BC15</f>
        <v>245585161.93000004</v>
      </c>
      <c r="BD20" s="75">
        <f>股权价值增加表!BD15</f>
        <v>110739900.58</v>
      </c>
      <c r="BE20" s="75">
        <f>股权价值增加表!BE15</f>
        <v>455806902.52999997</v>
      </c>
      <c r="BF20" s="75">
        <f>股权价值增加表!BF15</f>
        <v>428391654.89999998</v>
      </c>
      <c r="BG20" s="75">
        <f>股权价值增加表!BG15</f>
        <v>343491241.29000008</v>
      </c>
      <c r="BH20" s="75">
        <f>股权价值增加表!BH15</f>
        <v>184757213.34</v>
      </c>
      <c r="BI20" s="75">
        <f>股权价值增加表!BI15</f>
        <v>423957099.31</v>
      </c>
      <c r="BJ20" s="75">
        <f>股权价值增加表!BJ15</f>
        <v>286132882.38000005</v>
      </c>
      <c r="BK20" s="75">
        <f>股权价值增加表!BK15</f>
        <v>117528742.35000001</v>
      </c>
      <c r="BL20" s="75">
        <f>股权价值增加表!BL15</f>
        <v>101927081.27</v>
      </c>
      <c r="BM20" s="75">
        <f>股权价值增加表!BM15</f>
        <v>348083075.82000005</v>
      </c>
      <c r="BN20" s="75">
        <f>股权价值增加表!BN15</f>
        <v>163102652.21999997</v>
      </c>
      <c r="BO20" s="75">
        <f>股权价值增加表!BO15</f>
        <v>294061434.89999998</v>
      </c>
      <c r="BP20" s="75">
        <f>股权价值增加表!BP15</f>
        <v>296663798.38000005</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3" customFormat="1" x14ac:dyDescent="0.25">
      <c r="A21" s="233" t="s">
        <v>449</v>
      </c>
      <c r="E21" s="243">
        <f>E20/E19</f>
        <v>0.31250759167982739</v>
      </c>
      <c r="F21" s="243">
        <f t="shared" ref="F21:BQ21" si="6">F20/F19</f>
        <v>0.3063540437629097</v>
      </c>
      <c r="G21" s="243">
        <f t="shared" si="6"/>
        <v>0.31665591965110951</v>
      </c>
      <c r="H21" s="243">
        <f t="shared" si="6"/>
        <v>0.33796538525219705</v>
      </c>
      <c r="I21" s="243">
        <f t="shared" si="6"/>
        <v>0.30102464425794173</v>
      </c>
      <c r="J21" s="243">
        <f t="shared" si="6"/>
        <v>0.30772799747338259</v>
      </c>
      <c r="K21" s="243">
        <f t="shared" si="6"/>
        <v>0.3047109004663402</v>
      </c>
      <c r="L21" s="243">
        <f t="shared" si="6"/>
        <v>0.31372468352752625</v>
      </c>
      <c r="M21" s="243">
        <f t="shared" si="6"/>
        <v>0.29964726464432029</v>
      </c>
      <c r="N21" s="243">
        <f t="shared" si="6"/>
        <v>0.30107492752194287</v>
      </c>
      <c r="O21" s="243">
        <f t="shared" si="6"/>
        <v>0.30221535857784454</v>
      </c>
      <c r="P21" s="243">
        <f t="shared" si="6"/>
        <v>0.30747213447026173</v>
      </c>
      <c r="Q21" s="243">
        <f t="shared" si="6"/>
        <v>0.27152506387264069</v>
      </c>
      <c r="R21" s="243">
        <f t="shared" si="6"/>
        <v>0.25326861709872978</v>
      </c>
      <c r="S21" s="243">
        <f t="shared" si="6"/>
        <v>0.26274871608541517</v>
      </c>
      <c r="T21" s="243">
        <f t="shared" si="6"/>
        <v>0.27400240703657913</v>
      </c>
      <c r="U21" s="243">
        <f t="shared" si="6"/>
        <v>0.2503768858941261</v>
      </c>
      <c r="V21" s="243">
        <f t="shared" si="6"/>
        <v>0.25163814312995697</v>
      </c>
      <c r="W21" s="243">
        <f t="shared" si="6"/>
        <v>0.26445576847304025</v>
      </c>
      <c r="X21" s="243">
        <f t="shared" si="6"/>
        <v>0.27474011597999964</v>
      </c>
      <c r="Y21" s="243">
        <f t="shared" si="6"/>
        <v>0.23753925731240341</v>
      </c>
      <c r="Z21" s="243">
        <f t="shared" si="6"/>
        <v>0.2495145394186695</v>
      </c>
      <c r="AA21" s="243">
        <f t="shared" si="6"/>
        <v>0.25575604649906969</v>
      </c>
      <c r="AB21" s="243">
        <f t="shared" si="6"/>
        <v>0.25333000134622324</v>
      </c>
      <c r="AC21" s="243">
        <f t="shared" si="6"/>
        <v>0.24354788490128354</v>
      </c>
      <c r="AD21" s="243">
        <f t="shared" si="6"/>
        <v>0.25008620337761295</v>
      </c>
      <c r="AE21" s="243">
        <f t="shared" si="6"/>
        <v>0.24965874420396558</v>
      </c>
      <c r="AF21" s="243">
        <f t="shared" si="6"/>
        <v>0.25232093679584849</v>
      </c>
      <c r="AG21" s="243">
        <f t="shared" si="6"/>
        <v>0.22665168376506847</v>
      </c>
      <c r="AH21" s="243">
        <f t="shared" si="6"/>
        <v>0.26423088097967656</v>
      </c>
      <c r="AI21" s="243">
        <f t="shared" si="6"/>
        <v>0.25688215946541076</v>
      </c>
      <c r="AJ21" s="243">
        <f t="shared" si="6"/>
        <v>0.28308941749736755</v>
      </c>
      <c r="AK21" s="243">
        <f t="shared" si="6"/>
        <v>0.246544604462404</v>
      </c>
      <c r="AL21" s="243">
        <f t="shared" si="6"/>
        <v>0.26800967307811824</v>
      </c>
      <c r="AM21" s="243">
        <f t="shared" si="6"/>
        <v>0.27247987454178135</v>
      </c>
      <c r="AN21" s="243">
        <f t="shared" si="6"/>
        <v>0.26567623544558078</v>
      </c>
      <c r="AO21" s="243">
        <f t="shared" si="6"/>
        <v>0.25965133438154747</v>
      </c>
      <c r="AP21" s="243">
        <f t="shared" si="6"/>
        <v>0.2823008534677916</v>
      </c>
      <c r="AQ21" s="243">
        <f t="shared" si="6"/>
        <v>0.2857206346790977</v>
      </c>
      <c r="AR21" s="243">
        <f t="shared" si="6"/>
        <v>0.29182344183661257</v>
      </c>
      <c r="AS21" s="243">
        <f t="shared" si="6"/>
        <v>0.26081181555805488</v>
      </c>
      <c r="AT21" s="243">
        <f t="shared" si="6"/>
        <v>0.3030623286851668</v>
      </c>
      <c r="AU21" s="243">
        <f t="shared" si="6"/>
        <v>0.28600082412673183</v>
      </c>
      <c r="AV21" s="243">
        <f t="shared" si="6"/>
        <v>0.28816041009780269</v>
      </c>
      <c r="AW21" s="243">
        <f t="shared" si="6"/>
        <v>0.2597195169736311</v>
      </c>
      <c r="AX21" s="243">
        <f t="shared" si="6"/>
        <v>0.27561986700660362</v>
      </c>
      <c r="AY21" s="243">
        <f t="shared" si="6"/>
        <v>0.24993280968868622</v>
      </c>
      <c r="AZ21" s="243">
        <f t="shared" si="6"/>
        <v>0.27400154328221599</v>
      </c>
      <c r="BA21" s="243">
        <f t="shared" si="6"/>
        <v>0.22859186583165969</v>
      </c>
      <c r="BB21" s="243">
        <f t="shared" si="6"/>
        <v>0.24526484150836289</v>
      </c>
      <c r="BC21" s="243">
        <f t="shared" si="6"/>
        <v>0.25070467304564031</v>
      </c>
      <c r="BD21" s="243">
        <f t="shared" si="6"/>
        <v>0.2482662205925511</v>
      </c>
      <c r="BE21" s="243">
        <f t="shared" si="6"/>
        <v>0.29582816323088895</v>
      </c>
      <c r="BF21" s="243">
        <f t="shared" si="6"/>
        <v>0.39171353669944514</v>
      </c>
      <c r="BG21" s="243">
        <f t="shared" si="6"/>
        <v>0.48088582230696891</v>
      </c>
      <c r="BH21" s="243">
        <f t="shared" si="6"/>
        <v>0.52910793280339186</v>
      </c>
      <c r="BI21" s="243">
        <f t="shared" si="6"/>
        <v>0.39926230132937246</v>
      </c>
      <c r="BJ21" s="243">
        <f t="shared" si="6"/>
        <v>0.40977667884041108</v>
      </c>
      <c r="BK21" s="243">
        <f t="shared" si="6"/>
        <v>0.29729998824509102</v>
      </c>
      <c r="BL21" s="243">
        <f t="shared" si="6"/>
        <v>0.41296640245466509</v>
      </c>
      <c r="BM21" s="243">
        <f t="shared" si="6"/>
        <v>0.37043686621242544</v>
      </c>
      <c r="BN21" s="243">
        <f t="shared" si="6"/>
        <v>0.37724755916730646</v>
      </c>
      <c r="BO21" s="243">
        <f t="shared" si="6"/>
        <v>0.35074770725290005</v>
      </c>
      <c r="BP21" s="243">
        <f t="shared" si="6"/>
        <v>0.38021395445883482</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686</v>
      </c>
      <c r="E22" s="26">
        <f>资产资本表!E69</f>
        <v>14952250709.659996</v>
      </c>
      <c r="F22" s="192">
        <f>资产资本表!F69</f>
        <v>15574715450.649996</v>
      </c>
      <c r="G22" s="192">
        <f>资产资本表!G69</f>
        <v>14078299266.270002</v>
      </c>
      <c r="H22" s="192">
        <f>资产资本表!H69</f>
        <v>14217610075.469999</v>
      </c>
      <c r="I22" s="192">
        <f>资产资本表!I69</f>
        <v>13433348334.25</v>
      </c>
      <c r="J22" s="192">
        <f>资产资本表!J69</f>
        <v>11385978895.780001</v>
      </c>
      <c r="K22" s="192">
        <f>资产资本表!K69</f>
        <v>10517838701.99</v>
      </c>
      <c r="L22" s="192">
        <f>资产资本表!L69</f>
        <v>10572524657.360001</v>
      </c>
      <c r="M22" s="192">
        <f>资产资本表!M69</f>
        <v>8150225352.4000015</v>
      </c>
      <c r="N22" s="192">
        <f>资产资本表!N69</f>
        <v>7398582780.4499998</v>
      </c>
      <c r="O22" s="192">
        <f>资产资本表!O69</f>
        <v>6773749822.0500021</v>
      </c>
      <c r="P22" s="192">
        <f>资产资本表!P69</f>
        <v>5523518984.9900007</v>
      </c>
      <c r="Q22" s="192">
        <f>资产资本表!Q69</f>
        <v>5414223437.8700008</v>
      </c>
      <c r="R22" s="192">
        <f>资产资本表!R69</f>
        <v>5771143950.5600004</v>
      </c>
      <c r="S22" s="192">
        <f>资产资本表!S69</f>
        <v>5844358706.4799995</v>
      </c>
      <c r="T22" s="192">
        <f>资产资本表!T69</f>
        <v>6258632098.9900007</v>
      </c>
      <c r="U22" s="192">
        <f>资产资本表!U69</f>
        <v>6088010743.9799995</v>
      </c>
      <c r="V22" s="192">
        <f>资产资本表!V69</f>
        <v>6376548987.249999</v>
      </c>
      <c r="W22" s="192">
        <f>资产资本表!W69</f>
        <v>6649380354.1400003</v>
      </c>
      <c r="X22" s="192">
        <f>资产资本表!X69</f>
        <v>7038536184.2900009</v>
      </c>
      <c r="Y22" s="192">
        <f>资产资本表!Y69</f>
        <v>7001531946.46</v>
      </c>
      <c r="Z22" s="192">
        <f>资产资本表!Z69</f>
        <v>7160749533.71</v>
      </c>
      <c r="AA22" s="192">
        <f>资产资本表!AA69</f>
        <v>7282116179.9499989</v>
      </c>
      <c r="AB22" s="192">
        <f>资产资本表!AB69</f>
        <v>7652654731.3199997</v>
      </c>
      <c r="AC22" s="192">
        <f>资产资本表!AC69</f>
        <v>7660909669.3199997</v>
      </c>
      <c r="AD22" s="192">
        <f>资产资本表!AD69</f>
        <v>7326490560.5199995</v>
      </c>
      <c r="AE22" s="192">
        <f>资产资本表!AE69</f>
        <v>7366295228.0300007</v>
      </c>
      <c r="AF22" s="192">
        <f>资产资本表!AF69</f>
        <v>7518926221.6199989</v>
      </c>
      <c r="AG22" s="192">
        <f>资产资本表!AG69</f>
        <v>7358768589.1299992</v>
      </c>
      <c r="AH22" s="192">
        <f>资产资本表!AH69</f>
        <v>6989076912.9699993</v>
      </c>
      <c r="AI22" s="192">
        <f>资产资本表!AI69</f>
        <v>7559919968.079999</v>
      </c>
      <c r="AJ22" s="192">
        <f>资产资本表!AJ69</f>
        <v>6835131700.8599987</v>
      </c>
      <c r="AK22" s="192">
        <f>资产资本表!AK69</f>
        <v>6848540024.6899986</v>
      </c>
      <c r="AL22" s="192">
        <f>资产资本表!AL69</f>
        <v>6960627243.5799999</v>
      </c>
      <c r="AM22" s="192">
        <f>资产资本表!AM69</f>
        <v>6727027459.6100006</v>
      </c>
      <c r="AN22" s="192">
        <f>资产资本表!AN69</f>
        <v>6875151575.29</v>
      </c>
      <c r="AO22" s="192">
        <f>资产资本表!AO69</f>
        <v>6845736130.539999</v>
      </c>
      <c r="AP22" s="192">
        <f>资产资本表!AP69</f>
        <v>6794185585.539999</v>
      </c>
      <c r="AQ22" s="192">
        <f>资产资本表!AQ69</f>
        <v>6798674302.960001</v>
      </c>
      <c r="AR22" s="192">
        <f>资产资本表!AR69</f>
        <v>6779394816.2700005</v>
      </c>
      <c r="AS22" s="192">
        <f>资产资本表!AS69</f>
        <v>6663998294.04</v>
      </c>
      <c r="AT22" s="192">
        <f>资产资本表!AT69</f>
        <v>4293972073.7699995</v>
      </c>
      <c r="AU22" s="192">
        <f>资产资本表!AU69</f>
        <v>4648209828.0299997</v>
      </c>
      <c r="AV22" s="192">
        <f>资产资本表!AV69</f>
        <v>4485291893.5599995</v>
      </c>
      <c r="AW22" s="192">
        <f>资产资本表!AW69</f>
        <v>6009820737.4000006</v>
      </c>
      <c r="AX22" s="192">
        <f>资产资本表!AX69</f>
        <v>5449619077.7299995</v>
      </c>
      <c r="AY22" s="192">
        <f>资产资本表!AY69</f>
        <v>6562227387.9800005</v>
      </c>
      <c r="AZ22" s="192">
        <f>资产资本表!AZ69</f>
        <v>6503405685.5</v>
      </c>
      <c r="BA22" s="192">
        <f>资产资本表!BA69</f>
        <v>6555524530.9899998</v>
      </c>
      <c r="BB22" s="192">
        <f>资产资本表!BB69</f>
        <v>5594066542.4799995</v>
      </c>
      <c r="BC22" s="192">
        <f>资产资本表!BC69</f>
        <v>5713043039.3100004</v>
      </c>
      <c r="BD22" s="192">
        <f>资产资本表!BD69</f>
        <v>3002714584.6900005</v>
      </c>
      <c r="BE22" s="192">
        <f>资产资本表!BE69</f>
        <v>2978368233.7399993</v>
      </c>
      <c r="BF22" s="192">
        <f>资产资本表!BF69</f>
        <v>2929247217.2700009</v>
      </c>
      <c r="BG22" s="192">
        <f>资产资本表!BG69</f>
        <v>2921416920.71</v>
      </c>
      <c r="BH22" s="192">
        <f>资产资本表!BH69</f>
        <v>2878732531.4400005</v>
      </c>
      <c r="BI22" s="192">
        <f>资产资本表!BI69</f>
        <v>2872325705</v>
      </c>
      <c r="BJ22" s="192">
        <f>资产资本表!BJ69</f>
        <v>2866459301.4099998</v>
      </c>
      <c r="BK22" s="192">
        <f>资产资本表!BK69</f>
        <v>2806966470.3100004</v>
      </c>
      <c r="BL22" s="192">
        <f>资产资本表!BL69</f>
        <v>414354898.3499999</v>
      </c>
      <c r="BM22" s="192">
        <f>资产资本表!BM69</f>
        <v>446486072.24000001</v>
      </c>
      <c r="BN22" s="192">
        <f>资产资本表!BN69</f>
        <v>425764175.60000002</v>
      </c>
      <c r="BO22" s="192">
        <f>资产资本表!BO69</f>
        <v>660574753.65999997</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687</v>
      </c>
      <c r="E23" s="245">
        <f>E19/E22</f>
        <v>0.45220957069704948</v>
      </c>
      <c r="F23" s="245">
        <f t="shared" ref="F23:BQ23" si="8">F19/F22</f>
        <v>0.31579961749251295</v>
      </c>
      <c r="G23" s="245">
        <f t="shared" si="8"/>
        <v>0.22827057854065982</v>
      </c>
      <c r="H23" s="245">
        <f t="shared" si="8"/>
        <v>0.11139337190168688</v>
      </c>
      <c r="I23" s="245">
        <f t="shared" si="8"/>
        <v>0.45905777939199799</v>
      </c>
      <c r="J23" s="245">
        <f t="shared" si="8"/>
        <v>0.39826108727995807</v>
      </c>
      <c r="K23" s="245">
        <f t="shared" si="8"/>
        <v>0.28377030416860233</v>
      </c>
      <c r="L23" s="245">
        <f t="shared" si="8"/>
        <v>0.13645718182134245</v>
      </c>
      <c r="M23" s="245">
        <f t="shared" si="8"/>
        <v>0.68951901465830667</v>
      </c>
      <c r="N23" s="245">
        <f t="shared" si="8"/>
        <v>0.56720157286322337</v>
      </c>
      <c r="O23" s="245">
        <f t="shared" si="8"/>
        <v>0.40951213162910988</v>
      </c>
      <c r="P23" s="245">
        <f t="shared" si="8"/>
        <v>0.25156834203087575</v>
      </c>
      <c r="Q23" s="245">
        <f t="shared" si="8"/>
        <v>1.0209550159393928</v>
      </c>
      <c r="R23" s="245">
        <f t="shared" si="8"/>
        <v>0.70696362326815643</v>
      </c>
      <c r="S23" s="245">
        <f t="shared" si="8"/>
        <v>0.45880787156628922</v>
      </c>
      <c r="T23" s="245">
        <f t="shared" si="8"/>
        <v>0.20582709458954859</v>
      </c>
      <c r="U23" s="245">
        <f t="shared" si="8"/>
        <v>0.8444980857407125</v>
      </c>
      <c r="V23" s="245">
        <f t="shared" si="8"/>
        <v>0.59542093970133647</v>
      </c>
      <c r="W23" s="245">
        <f t="shared" si="8"/>
        <v>0.37030889742935541</v>
      </c>
      <c r="X23" s="245">
        <f t="shared" si="8"/>
        <v>0.16825863028499347</v>
      </c>
      <c r="Y23" s="245">
        <f t="shared" si="8"/>
        <v>0.66747040972409544</v>
      </c>
      <c r="Z23" s="245">
        <f t="shared" si="8"/>
        <v>0.48320105852485029</v>
      </c>
      <c r="AA23" s="245">
        <f t="shared" si="8"/>
        <v>0.31438719973233381</v>
      </c>
      <c r="AB23" s="245">
        <f t="shared" si="8"/>
        <v>0.14528110998001723</v>
      </c>
      <c r="AC23" s="245">
        <f t="shared" si="8"/>
        <v>0.5533744448009259</v>
      </c>
      <c r="AD23" s="245">
        <f t="shared" si="8"/>
        <v>0.4238773560488398</v>
      </c>
      <c r="AE23" s="245">
        <f t="shared" si="8"/>
        <v>0.27534956207863509</v>
      </c>
      <c r="AF23" s="245">
        <f t="shared" si="8"/>
        <v>0.13121178804803288</v>
      </c>
      <c r="AG23" s="245">
        <f t="shared" si="8"/>
        <v>0.52528890294361075</v>
      </c>
      <c r="AH23" s="245">
        <f t="shared" si="8"/>
        <v>0.39140715497685391</v>
      </c>
      <c r="AI23" s="245">
        <f t="shared" si="8"/>
        <v>0.2345071662035404</v>
      </c>
      <c r="AJ23" s="245">
        <f t="shared" si="8"/>
        <v>0.12680526090827884</v>
      </c>
      <c r="AK23" s="245">
        <f t="shared" si="8"/>
        <v>0.48274368999247413</v>
      </c>
      <c r="AL23" s="245">
        <f t="shared" si="8"/>
        <v>0.3375058766760981</v>
      </c>
      <c r="AM23" s="245">
        <f t="shared" si="8"/>
        <v>0.23038904401169957</v>
      </c>
      <c r="AN23" s="245">
        <f t="shared" si="8"/>
        <v>0.11176691743230223</v>
      </c>
      <c r="AO23" s="245">
        <f t="shared" si="8"/>
        <v>0.44548922000583102</v>
      </c>
      <c r="AP23" s="245">
        <f t="shared" si="8"/>
        <v>0.33340596482395929</v>
      </c>
      <c r="AQ23" s="245">
        <f t="shared" si="8"/>
        <v>0.2223162607336468</v>
      </c>
      <c r="AR23" s="245">
        <f t="shared" si="8"/>
        <v>0.11133690476302523</v>
      </c>
      <c r="AS23" s="245">
        <f t="shared" si="8"/>
        <v>0.40267718017724524</v>
      </c>
      <c r="AT23" s="245">
        <f t="shared" si="8"/>
        <v>0.45491242456194653</v>
      </c>
      <c r="AU23" s="245">
        <f t="shared" si="8"/>
        <v>0.27424209353523465</v>
      </c>
      <c r="AV23" s="245">
        <f t="shared" si="8"/>
        <v>0.13846615670915915</v>
      </c>
      <c r="AW23" s="245">
        <f t="shared" si="8"/>
        <v>0.40097661258903694</v>
      </c>
      <c r="AX23" s="245">
        <f t="shared" si="8"/>
        <v>0.32709791540008193</v>
      </c>
      <c r="AY23" s="245">
        <f t="shared" si="8"/>
        <v>0.18102243318875078</v>
      </c>
      <c r="AZ23" s="245">
        <f t="shared" si="8"/>
        <v>9.0676238578319884E-2</v>
      </c>
      <c r="BA23" s="245">
        <f t="shared" si="8"/>
        <v>0.32786212983714003</v>
      </c>
      <c r="BB23" s="245">
        <f t="shared" si="8"/>
        <v>0.2717900340216477</v>
      </c>
      <c r="BC23" s="245">
        <f t="shared" si="8"/>
        <v>0.17146370294425611</v>
      </c>
      <c r="BD23" s="245">
        <f t="shared" si="8"/>
        <v>0.14854992707075768</v>
      </c>
      <c r="BE23" s="245">
        <f t="shared" si="8"/>
        <v>0.51732443179640253</v>
      </c>
      <c r="BF23" s="245">
        <f t="shared" si="8"/>
        <v>0.37335020671940611</v>
      </c>
      <c r="BG23" s="245">
        <f t="shared" si="8"/>
        <v>0.24450072648528526</v>
      </c>
      <c r="BH23" s="245">
        <f t="shared" si="8"/>
        <v>0.12129860736847614</v>
      </c>
      <c r="BI23" s="245">
        <f t="shared" si="8"/>
        <v>0.36968337599095508</v>
      </c>
      <c r="BJ23" s="245">
        <f t="shared" si="8"/>
        <v>0.24359857956347961</v>
      </c>
      <c r="BK23" s="245">
        <f t="shared" si="8"/>
        <v>0.14083544550011706</v>
      </c>
      <c r="BL23" s="245">
        <f t="shared" si="8"/>
        <v>0.59566542228135355</v>
      </c>
      <c r="BM23" s="245">
        <f t="shared" si="8"/>
        <v>2.1045574733961829</v>
      </c>
      <c r="BN23" s="245">
        <f t="shared" si="8"/>
        <v>1.0154661901056383</v>
      </c>
      <c r="BO23" s="245">
        <f t="shared" si="8"/>
        <v>1.2691742720635661</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694</v>
      </c>
      <c r="E24" s="160">
        <f>E21*E23</f>
        <v>0.14131892387310357</v>
      </c>
      <c r="F24" s="160">
        <f t="shared" ref="F24:BQ24" si="10">F21*F23</f>
        <v>9.6746489837611457E-2</v>
      </c>
      <c r="G24" s="160">
        <f t="shared" si="10"/>
        <v>7.228322997708346E-2</v>
      </c>
      <c r="H24" s="160">
        <f t="shared" si="10"/>
        <v>3.7647103849294872E-2</v>
      </c>
      <c r="I24" s="160">
        <f t="shared" si="10"/>
        <v>0.13818770473531689</v>
      </c>
      <c r="J24" s="160">
        <f t="shared" si="10"/>
        <v>0.12255608686023353</v>
      </c>
      <c r="K24" s="160">
        <f t="shared" si="10"/>
        <v>8.6467904908822071E-2</v>
      </c>
      <c r="L24" s="160">
        <f t="shared" si="10"/>
        <v>4.2809986181958769E-2</v>
      </c>
      <c r="M24" s="160">
        <f t="shared" si="10"/>
        <v>0.20661248666260859</v>
      </c>
      <c r="N24" s="160">
        <f t="shared" si="10"/>
        <v>0.17077017244012696</v>
      </c>
      <c r="O24" s="160">
        <f t="shared" si="10"/>
        <v>0.12376085570226891</v>
      </c>
      <c r="P24" s="160">
        <f t="shared" si="10"/>
        <v>7.735025508937822E-2</v>
      </c>
      <c r="Q24" s="160">
        <f t="shared" si="10"/>
        <v>0.27721487591403654</v>
      </c>
      <c r="R24" s="160">
        <f t="shared" si="10"/>
        <v>0.17905169920423336</v>
      </c>
      <c r="S24" s="160">
        <f t="shared" si="10"/>
        <v>0.12055117918392455</v>
      </c>
      <c r="T24" s="160">
        <f t="shared" si="10"/>
        <v>5.6397119350881965E-2</v>
      </c>
      <c r="U24" s="160">
        <f t="shared" si="10"/>
        <v>0.21144280085131029</v>
      </c>
      <c r="V24" s="160">
        <f t="shared" si="10"/>
        <v>0.1498306196471384</v>
      </c>
      <c r="W24" s="160">
        <f t="shared" si="10"/>
        <v>9.7930324042084432E-2</v>
      </c>
      <c r="X24" s="160">
        <f t="shared" si="10"/>
        <v>4.6227395599134982E-2</v>
      </c>
      <c r="Y24" s="160">
        <f t="shared" si="10"/>
        <v>0.15855042540386724</v>
      </c>
      <c r="Z24" s="160">
        <f t="shared" si="10"/>
        <v>0.12056568956444158</v>
      </c>
      <c r="AA24" s="160">
        <f t="shared" si="10"/>
        <v>8.0406427273455081E-2</v>
      </c>
      <c r="AB24" s="160">
        <f t="shared" si="10"/>
        <v>3.6804063786818574E-2</v>
      </c>
      <c r="AC24" s="160">
        <f t="shared" si="10"/>
        <v>0.13477317558968757</v>
      </c>
      <c r="AD24" s="160">
        <f t="shared" si="10"/>
        <v>0.10600587867199501</v>
      </c>
      <c r="AE24" s="160">
        <f t="shared" si="10"/>
        <v>6.87434258856639E-2</v>
      </c>
      <c r="AF24" s="160">
        <f t="shared" si="10"/>
        <v>3.3107481278937971E-2</v>
      </c>
      <c r="AG24" s="160">
        <f t="shared" si="10"/>
        <v>0.11905761431527501</v>
      </c>
      <c r="AH24" s="160">
        <f t="shared" si="10"/>
        <v>0.1034218573812829</v>
      </c>
      <c r="AI24" s="160">
        <f t="shared" si="10"/>
        <v>6.024070726447945E-2</v>
      </c>
      <c r="AJ24" s="160">
        <f t="shared" si="10"/>
        <v>3.5897227446126369E-2</v>
      </c>
      <c r="AK24" s="160">
        <f t="shared" si="10"/>
        <v>0.11901785210591591</v>
      </c>
      <c r="AL24" s="160">
        <f t="shared" si="10"/>
        <v>9.0454839669904738E-2</v>
      </c>
      <c r="AM24" s="160">
        <f t="shared" si="10"/>
        <v>6.2776377808108838E-2</v>
      </c>
      <c r="AN24" s="160">
        <f t="shared" si="10"/>
        <v>2.9693813870771114E-2</v>
      </c>
      <c r="AO24" s="160">
        <f t="shared" si="10"/>
        <v>0.1156718704271088</v>
      </c>
      <c r="AP24" s="160">
        <f t="shared" si="10"/>
        <v>9.4120788421056215E-2</v>
      </c>
      <c r="AQ24" s="160">
        <f t="shared" si="10"/>
        <v>6.3520343116301323E-2</v>
      </c>
      <c r="AR24" s="160">
        <f t="shared" si="10"/>
        <v>3.2490718751381167E-2</v>
      </c>
      <c r="AS24" s="160">
        <f t="shared" si="10"/>
        <v>0.10502296644582532</v>
      </c>
      <c r="AT24" s="160">
        <f t="shared" si="10"/>
        <v>0.13786681873555878</v>
      </c>
      <c r="AU24" s="160">
        <f t="shared" si="10"/>
        <v>7.8433464761317392E-2</v>
      </c>
      <c r="AV24" s="160">
        <f t="shared" si="10"/>
        <v>3.9900464501977914E-2</v>
      </c>
      <c r="AW24" s="160">
        <f t="shared" si="10"/>
        <v>0.10414145213934749</v>
      </c>
      <c r="AX24" s="160">
        <f t="shared" si="10"/>
        <v>9.0154683940707858E-2</v>
      </c>
      <c r="AY24" s="160">
        <f t="shared" si="10"/>
        <v>4.5243445343546962E-2</v>
      </c>
      <c r="AZ24" s="160">
        <f t="shared" si="10"/>
        <v>2.4845429309486061E-2</v>
      </c>
      <c r="BA24" s="160">
        <f t="shared" si="10"/>
        <v>7.4946615995013705E-2</v>
      </c>
      <c r="BB24" s="160">
        <f t="shared" si="10"/>
        <v>6.6660539617871981E-2</v>
      </c>
      <c r="BC24" s="160">
        <f t="shared" si="10"/>
        <v>4.2986751585834523E-2</v>
      </c>
      <c r="BD24" s="160">
        <f t="shared" si="10"/>
        <v>3.6879928963156103E-2</v>
      </c>
      <c r="BE24" s="160">
        <f t="shared" si="10"/>
        <v>0.15303913645279305</v>
      </c>
      <c r="BF24" s="160">
        <f t="shared" si="10"/>
        <v>0.14624632990152753</v>
      </c>
      <c r="BG24" s="160">
        <f t="shared" si="10"/>
        <v>0.11757693291052769</v>
      </c>
      <c r="BH24" s="160">
        <f t="shared" si="10"/>
        <v>6.4180055396664687E-2</v>
      </c>
      <c r="BI24" s="160">
        <f t="shared" si="10"/>
        <v>0.1476006354613604</v>
      </c>
      <c r="BJ24" s="160">
        <f t="shared" si="10"/>
        <v>9.9821016903764312E-2</v>
      </c>
      <c r="BK24" s="160">
        <f t="shared" si="10"/>
        <v>4.1870376291676961E-2</v>
      </c>
      <c r="BL24" s="160">
        <f t="shared" si="10"/>
        <v>0.24598980650616947</v>
      </c>
      <c r="BM24" s="160">
        <f t="shared" si="10"/>
        <v>0.77960567520882196</v>
      </c>
      <c r="BN24" s="160">
        <f t="shared" si="10"/>
        <v>0.38308214163427606</v>
      </c>
      <c r="BO24" s="160">
        <f t="shared" si="10"/>
        <v>0.44515996603066421</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37437</v>
      </c>
      <c r="BO25" s="1">
        <v>37256</v>
      </c>
      <c r="BP25" s="1">
        <v>36891</v>
      </c>
      <c r="BQ25" s="1">
        <v>25569</v>
      </c>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6" t="s">
        <v>443</v>
      </c>
      <c r="E26" s="75">
        <f>利润表!E14</f>
        <v>35319095.43</v>
      </c>
      <c r="F26" s="75">
        <f>利润表!F14</f>
        <v>37229182</v>
      </c>
      <c r="G26" s="75">
        <f>利润表!G14</f>
        <v>18822094.550000001</v>
      </c>
      <c r="H26" s="75">
        <f>利润表!H14</f>
        <v>8870360.2899999991</v>
      </c>
      <c r="I26" s="75">
        <f>利润表!I14</f>
        <v>26299728.890000001</v>
      </c>
      <c r="J26" s="75">
        <f>利润表!J14</f>
        <v>5187464.43</v>
      </c>
      <c r="K26" s="75">
        <f>利润表!K14</f>
        <v>12605733.449999999</v>
      </c>
      <c r="L26" s="75">
        <f>利润表!L14</f>
        <v>0</v>
      </c>
      <c r="M26" s="75">
        <f>利润表!M14</f>
        <v>9932121.0500000007</v>
      </c>
      <c r="N26" s="75">
        <f>利润表!N14</f>
        <v>1745025.4</v>
      </c>
      <c r="O26" s="75">
        <f>利润表!O14</f>
        <v>1089662.45</v>
      </c>
      <c r="P26" s="75">
        <f>利润表!P14</f>
        <v>0</v>
      </c>
      <c r="Q26" s="75">
        <f>利润表!Q14</f>
        <v>2289834.85</v>
      </c>
      <c r="R26" s="75">
        <f>利润表!R14</f>
        <v>0</v>
      </c>
      <c r="S26" s="75">
        <f>利润表!S14</f>
        <v>0</v>
      </c>
      <c r="T26" s="75">
        <f>利润表!T14</f>
        <v>0</v>
      </c>
      <c r="U26" s="75">
        <f>利润表!U14</f>
        <v>-503092.29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6" t="s">
        <v>444</v>
      </c>
      <c r="E27" s="75">
        <f>资产资本表!E19</f>
        <v>199363756.19</v>
      </c>
      <c r="F27" s="75">
        <f>资产资本表!F19</f>
        <v>182388942.75999999</v>
      </c>
      <c r="G27" s="75">
        <f>资产资本表!G19</f>
        <v>135981855.31</v>
      </c>
      <c r="H27" s="75">
        <f>资产资本表!H19</f>
        <v>126030121.05</v>
      </c>
      <c r="I27" s="75">
        <f>资产资本表!I19</f>
        <v>117159760.76000001</v>
      </c>
      <c r="J27" s="75">
        <f>资产资本表!J19</f>
        <v>105806328.04000001</v>
      </c>
      <c r="K27" s="75">
        <f>资产资本表!K19</f>
        <v>113224597.06</v>
      </c>
      <c r="L27" s="75">
        <f>资产资本表!L19</f>
        <v>101700344.11</v>
      </c>
      <c r="M27" s="75">
        <f>资产资本表!M19</f>
        <v>100618863.61</v>
      </c>
      <c r="N27" s="75">
        <f>资产资本表!N19</f>
        <v>92431767.959999993</v>
      </c>
      <c r="O27" s="75">
        <f>资产资本表!O19</f>
        <v>91776405.010000005</v>
      </c>
      <c r="P27" s="75">
        <f>资产资本表!P19</f>
        <v>90424122.680000007</v>
      </c>
      <c r="Q27" s="75">
        <f>资产资本表!Q19</f>
        <v>90686742.560000002</v>
      </c>
      <c r="R27" s="75">
        <f>资产资本表!R19</f>
        <v>89927265.230000004</v>
      </c>
      <c r="S27" s="75">
        <f>资产资本表!S19</f>
        <v>89600938.909999996</v>
      </c>
      <c r="T27" s="75">
        <f>资产资本表!T19</f>
        <v>88396907.709999993</v>
      </c>
      <c r="U27" s="75">
        <f>资产资本表!U19</f>
        <v>88396907.709999993</v>
      </c>
      <c r="V27" s="75">
        <f>资产资本表!V19</f>
        <v>84900000</v>
      </c>
      <c r="W27" s="75">
        <f>资产资本表!W19</f>
        <v>84900000</v>
      </c>
      <c r="X27" s="75">
        <f>资产资本表!X19</f>
        <v>71400000</v>
      </c>
      <c r="Y27" s="75">
        <f>资产资本表!Y19</f>
        <v>71400000</v>
      </c>
      <c r="Z27" s="75">
        <f>资产资本表!Z19</f>
        <v>71400000</v>
      </c>
      <c r="AA27" s="75">
        <f>资产资本表!AA19</f>
        <v>71400000</v>
      </c>
      <c r="AB27" s="75">
        <f>资产资本表!AB19</f>
        <v>71400000</v>
      </c>
      <c r="AC27" s="75">
        <f>资产资本表!AC19</f>
        <v>71400000</v>
      </c>
      <c r="AD27" s="75">
        <f>资产资本表!AD19</f>
        <v>71400000</v>
      </c>
      <c r="AE27" s="75">
        <f>资产资本表!AE19</f>
        <v>71400000</v>
      </c>
      <c r="AF27" s="75">
        <f>资产资本表!AF19</f>
        <v>71400000</v>
      </c>
      <c r="AG27" s="75">
        <f>资产资本表!AG19</f>
        <v>71400000</v>
      </c>
      <c r="AH27" s="75">
        <f>资产资本表!AH19</f>
        <v>149400000</v>
      </c>
      <c r="AI27" s="75">
        <f>资产资本表!AI19</f>
        <v>149400000</v>
      </c>
      <c r="AJ27" s="75">
        <f>资产资本表!AJ19</f>
        <v>149400000</v>
      </c>
      <c r="AK27" s="75">
        <f>资产资本表!AK19</f>
        <v>149400000</v>
      </c>
      <c r="AL27" s="75">
        <f>资产资本表!AL19</f>
        <v>149400000</v>
      </c>
      <c r="AM27" s="75">
        <f>资产资本表!AM19</f>
        <v>149400000</v>
      </c>
      <c r="AN27" s="75">
        <f>资产资本表!AN19</f>
        <v>149400000</v>
      </c>
      <c r="AO27" s="75">
        <f>资产资本表!AO19</f>
        <v>149400000</v>
      </c>
      <c r="AP27" s="75">
        <f>资产资本表!AP19</f>
        <v>149400000</v>
      </c>
      <c r="AQ27" s="75">
        <f>资产资本表!AQ19</f>
        <v>149400000</v>
      </c>
      <c r="AR27" s="75">
        <f>资产资本表!AR19</f>
        <v>149565157.53999999</v>
      </c>
      <c r="AS27" s="75">
        <f>资产资本表!AS19</f>
        <v>150225787.72</v>
      </c>
      <c r="AT27" s="75">
        <f>资产资本表!AT19</f>
        <v>150302311.50999999</v>
      </c>
      <c r="AU27" s="75">
        <f>资产资本表!AU19</f>
        <v>150302311.50999999</v>
      </c>
      <c r="AV27" s="75">
        <f>资产资本表!AV19</f>
        <v>152863688.18000001</v>
      </c>
      <c r="AW27" s="75">
        <f>资产资本表!AW19</f>
        <v>161841545.03</v>
      </c>
      <c r="AX27" s="75">
        <f>资产资本表!AX19</f>
        <v>159235799.11000001</v>
      </c>
      <c r="AY27" s="75">
        <f>资产资本表!AY19</f>
        <v>161370819.78999999</v>
      </c>
      <c r="AZ27" s="75">
        <f>资产资本表!AZ19</f>
        <v>162987834.63</v>
      </c>
      <c r="BA27" s="75">
        <f>资产资本表!BA19</f>
        <v>178443266.62</v>
      </c>
      <c r="BB27" s="75">
        <f>资产资本表!BB19</f>
        <v>164438763.06</v>
      </c>
      <c r="BC27" s="75">
        <f>资产资本表!BC19</f>
        <v>164785381.40000001</v>
      </c>
      <c r="BD27" s="75">
        <f>资产资本表!BD19</f>
        <v>166665316.06999999</v>
      </c>
      <c r="BE27" s="75">
        <f>资产资本表!BE19</f>
        <v>166178896.41999999</v>
      </c>
      <c r="BF27" s="75">
        <f>资产资本表!BF19</f>
        <v>174069628.75</v>
      </c>
      <c r="BG27" s="75">
        <f>资产资本表!BG19</f>
        <v>121467921.09</v>
      </c>
      <c r="BH27" s="75">
        <f>资产资本表!BH19</f>
        <v>106672040.59</v>
      </c>
      <c r="BI27" s="75">
        <f>资产资本表!BI19</f>
        <v>107118691.08</v>
      </c>
      <c r="BJ27" s="75">
        <f>资产资本表!BJ19</f>
        <v>102198220.47</v>
      </c>
      <c r="BK27" s="75">
        <f>资产资本表!BK19</f>
        <v>102625599.48999999</v>
      </c>
      <c r="BL27" s="75">
        <f>资产资本表!BL19</f>
        <v>103052978.54000001</v>
      </c>
      <c r="BM27" s="75">
        <f>资产资本表!BM19</f>
        <v>103480357.58</v>
      </c>
      <c r="BN27" s="75">
        <f>资产资本表!BN19</f>
        <v>98086814.290000007</v>
      </c>
      <c r="BO27" s="75">
        <f>资产资本表!BO19</f>
        <v>21796330.390000001</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4" t="s">
        <v>445</v>
      </c>
      <c r="E28" s="109">
        <f>E26/E27</f>
        <v>0.17715905892312633</v>
      </c>
      <c r="F28" s="109">
        <f t="shared" ref="F28:BQ28" si="12">F26/F27</f>
        <v>0.20411973136435543</v>
      </c>
      <c r="G28" s="109">
        <f t="shared" si="12"/>
        <v>0.13841622109869711</v>
      </c>
      <c r="H28" s="109">
        <f t="shared" si="12"/>
        <v>7.0382859399784725E-2</v>
      </c>
      <c r="I28" s="109">
        <f t="shared" si="12"/>
        <v>0.22447748885280328</v>
      </c>
      <c r="J28" s="109">
        <f t="shared" si="12"/>
        <v>4.9027922300062074E-2</v>
      </c>
      <c r="K28" s="109">
        <f t="shared" si="12"/>
        <v>0.11133387777321889</v>
      </c>
      <c r="L28" s="109">
        <f t="shared" si="12"/>
        <v>0</v>
      </c>
      <c r="M28" s="109">
        <f t="shared" si="12"/>
        <v>9.8710328199461975E-2</v>
      </c>
      <c r="N28" s="109">
        <f t="shared" si="12"/>
        <v>1.8879065482715451E-2</v>
      </c>
      <c r="O28" s="109">
        <f t="shared" si="12"/>
        <v>1.1873013002429871E-2</v>
      </c>
      <c r="P28" s="109">
        <f t="shared" si="12"/>
        <v>0</v>
      </c>
      <c r="Q28" s="109">
        <f t="shared" si="12"/>
        <v>2.524994045833109E-2</v>
      </c>
      <c r="R28" s="109">
        <f t="shared" si="12"/>
        <v>0</v>
      </c>
      <c r="S28" s="109">
        <f t="shared" si="12"/>
        <v>0</v>
      </c>
      <c r="T28" s="109">
        <f t="shared" si="12"/>
        <v>0</v>
      </c>
      <c r="U28" s="109">
        <f t="shared" si="12"/>
        <v>-5.6912883383938451E-3</v>
      </c>
      <c r="V28" s="109">
        <f t="shared" si="12"/>
        <v>0</v>
      </c>
      <c r="W28" s="109">
        <f t="shared" si="12"/>
        <v>0</v>
      </c>
      <c r="X28" s="109">
        <f t="shared" si="12"/>
        <v>0</v>
      </c>
      <c r="Y28" s="109">
        <f t="shared" si="12"/>
        <v>0</v>
      </c>
      <c r="Z28" s="109">
        <f t="shared" si="12"/>
        <v>0</v>
      </c>
      <c r="AA28" s="109">
        <f t="shared" si="12"/>
        <v>0</v>
      </c>
      <c r="AB28" s="109">
        <f t="shared" si="12"/>
        <v>0</v>
      </c>
      <c r="AC28" s="109">
        <f t="shared" si="12"/>
        <v>0</v>
      </c>
      <c r="AD28" s="109">
        <f t="shared" si="12"/>
        <v>0</v>
      </c>
      <c r="AE28" s="109">
        <f t="shared" si="12"/>
        <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f t="shared" si="12"/>
        <v>0</v>
      </c>
      <c r="BL28" s="109">
        <f t="shared" si="12"/>
        <v>0</v>
      </c>
      <c r="BM28" s="109">
        <f t="shared" si="12"/>
        <v>0</v>
      </c>
      <c r="BN28" s="109">
        <f t="shared" si="12"/>
        <v>0</v>
      </c>
      <c r="BO28" s="109">
        <f t="shared" si="12"/>
        <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91" t="s">
        <v>696</v>
      </c>
      <c r="B29" s="282"/>
      <c r="C29" s="282"/>
      <c r="D29" s="282"/>
      <c r="E29" s="282"/>
      <c r="F29" s="282"/>
      <c r="G29" s="282"/>
      <c r="H29" s="282"/>
      <c r="I29" s="282"/>
      <c r="J29" s="282"/>
      <c r="K29" s="282"/>
      <c r="L29" s="282"/>
      <c r="M29" s="282"/>
      <c r="N29" s="282"/>
      <c r="O29" s="282"/>
      <c r="P29" s="282"/>
      <c r="Q29" s="282"/>
      <c r="R29" s="282"/>
      <c r="S29" s="282"/>
      <c r="T29" s="282"/>
      <c r="U29" s="282"/>
    </row>
    <row r="30" spans="1:89" s="26" customFormat="1" x14ac:dyDescent="0.25">
      <c r="A30" s="17"/>
    </row>
    <row r="31" spans="1:89" s="115" customFormat="1" x14ac:dyDescent="0.25">
      <c r="A31" s="117"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37437</v>
      </c>
      <c r="BO31" s="1">
        <v>37256</v>
      </c>
      <c r="BP31" s="1">
        <v>36891</v>
      </c>
      <c r="BQ31" s="1">
        <v>25569</v>
      </c>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6" t="s">
        <v>450</v>
      </c>
      <c r="E32" s="75">
        <f>股权价值增加表!E29</f>
        <v>21199718.031598687</v>
      </c>
      <c r="F32" s="75">
        <f>股权价值增加表!F29</f>
        <v>4547161.0596400546</v>
      </c>
      <c r="G32" s="75">
        <f>股权价值增加表!G29</f>
        <v>4541238.3815554045</v>
      </c>
      <c r="H32" s="75">
        <f>股权价值增加表!H29</f>
        <v>6474158.8220372079</v>
      </c>
      <c r="I32" s="75">
        <f>股权价值增加表!I29</f>
        <v>8579513.1506208796</v>
      </c>
      <c r="J32" s="75">
        <f>股权价值增加表!J29</f>
        <v>-14540009.630000001</v>
      </c>
      <c r="K32" s="75">
        <f>股权价值增加表!K29</f>
        <v>-15509343.6</v>
      </c>
      <c r="L32" s="75">
        <f>股权价值增加表!L29</f>
        <v>-15034454.913991332</v>
      </c>
      <c r="M32" s="75">
        <f>股权价值增加表!M29</f>
        <v>22255130.529285319</v>
      </c>
      <c r="N32" s="75">
        <f>股权价值增加表!N29</f>
        <v>-32311132.5</v>
      </c>
      <c r="O32" s="75">
        <f>股权价值增加表!O29</f>
        <v>15509343.6</v>
      </c>
      <c r="P32" s="75">
        <f>股权价值增加表!P29</f>
        <v>-5041106.127398598</v>
      </c>
      <c r="Q32" s="75">
        <f>股权价值增加表!Q29</f>
        <v>106871871.18797368</v>
      </c>
      <c r="R32" s="75">
        <f>股权价值增加表!R29</f>
        <v>4657044.5370973544</v>
      </c>
      <c r="S32" s="75">
        <f>股权价值增加表!S29</f>
        <v>-3000439.0023197061</v>
      </c>
      <c r="T32" s="75">
        <f>股权价值增加表!T29</f>
        <v>-5823992.6100000003</v>
      </c>
      <c r="U32" s="75">
        <f>股权价值增加表!U29</f>
        <v>3887491.3368048677</v>
      </c>
      <c r="V32" s="75">
        <f>股权价值增加表!V29</f>
        <v>0</v>
      </c>
      <c r="W32" s="75">
        <f>股权价值增加表!W29</f>
        <v>-5280000</v>
      </c>
      <c r="X32" s="75">
        <f>股权价值增加表!X29</f>
        <v>5610000</v>
      </c>
      <c r="Y32" s="75">
        <f>股权价值增加表!Y29</f>
        <v>20160964.983784728</v>
      </c>
      <c r="Z32" s="75">
        <f>股权价值增加表!Z29</f>
        <v>0</v>
      </c>
      <c r="AA32" s="75">
        <f>股权价值增加表!AA29</f>
        <v>-1320000</v>
      </c>
      <c r="AB32" s="75">
        <f>股权价值增加表!AB29</f>
        <v>-990000</v>
      </c>
      <c r="AC32" s="75">
        <f>股权价值增加表!AC29</f>
        <v>-21552824.368480027</v>
      </c>
      <c r="AD32" s="75">
        <f>股权价值增加表!AD29</f>
        <v>0</v>
      </c>
      <c r="AE32" s="75">
        <f>股权价值增加表!AE29</f>
        <v>-20130000</v>
      </c>
      <c r="AF32" s="75">
        <f>股权价值增加表!AF29</f>
        <v>-4290000</v>
      </c>
      <c r="AG32" s="75">
        <f>股权价值增加表!AG29</f>
        <v>81595832.108864233</v>
      </c>
      <c r="AH32" s="75">
        <f>股权价值增加表!AH29</f>
        <v>1326821.6939032937</v>
      </c>
      <c r="AI32" s="75">
        <f>股权价值增加表!AI29</f>
        <v>0</v>
      </c>
      <c r="AJ32" s="75">
        <f>股权价值增加表!AJ29</f>
        <v>0</v>
      </c>
      <c r="AK32" s="75">
        <f>股权价值增加表!AK29</f>
        <v>7666494.8033751389</v>
      </c>
      <c r="AL32" s="75">
        <f>股权价值增加表!AL29</f>
        <v>2457108.3341041803</v>
      </c>
      <c r="AM32" s="75">
        <f>股权价值增加表!AM29</f>
        <v>0</v>
      </c>
      <c r="AN32" s="75">
        <f>股权价值增加表!AN29</f>
        <v>0</v>
      </c>
      <c r="AO32" s="75">
        <f>股权价值增加表!AO29</f>
        <v>1198035.2472484098</v>
      </c>
      <c r="AP32" s="75">
        <f>股权价值增加表!AP29</f>
        <v>-25666.244577153913</v>
      </c>
      <c r="AQ32" s="75">
        <f>股权价值增加表!AQ29</f>
        <v>-25813.034668026063</v>
      </c>
      <c r="AR32" s="75">
        <f>股权价值增加表!AR29</f>
        <v>98567.013657561358</v>
      </c>
      <c r="AS32" s="75">
        <f>股权价值增加表!AS29</f>
        <v>-50154.752164607897</v>
      </c>
      <c r="AT32" s="75">
        <f>股权价值增加表!AT29</f>
        <v>2557659.079926868</v>
      </c>
      <c r="AU32" s="75">
        <f>股权价值增加表!AU29</f>
        <v>0</v>
      </c>
      <c r="AV32" s="75">
        <f>股权价值增加表!AV29</f>
        <v>0</v>
      </c>
      <c r="AW32" s="75">
        <f>股权价值增加表!AW29</f>
        <v>-1465222.508713454</v>
      </c>
      <c r="AX32" s="75">
        <f>股权价值增加表!AX29</f>
        <v>-2863542.9991144803</v>
      </c>
      <c r="AY32" s="75">
        <f>股权价值增加表!AY29</f>
        <v>-1375606.6268850956</v>
      </c>
      <c r="AZ32" s="75">
        <f>股权价值增加表!AZ29</f>
        <v>-309350.5008430155</v>
      </c>
      <c r="BA32" s="75">
        <f>股权价值增加表!BA29</f>
        <v>-1882050.6374397096</v>
      </c>
      <c r="BB32" s="75">
        <f>股权价值增加表!BB29</f>
        <v>-1168116.0776401628</v>
      </c>
      <c r="BC32" s="75">
        <f>股权价值增加表!BC29</f>
        <v>-931426.26204364537</v>
      </c>
      <c r="BD32" s="75">
        <f>股权价值增加表!BD29</f>
        <v>-356149.06540247065</v>
      </c>
      <c r="BE32" s="75">
        <f>股权价值增加表!BE29</f>
        <v>-4193295.9824229227</v>
      </c>
      <c r="BF32" s="75">
        <f>股权价值增加表!BF29</f>
        <v>-688908.73254191456</v>
      </c>
      <c r="BG32" s="75">
        <f>股权价值增加表!BG29</f>
        <v>-589485.36880919116</v>
      </c>
      <c r="BH32" s="75">
        <f>股权价值增加表!BH29</f>
        <v>-358203.32462259638</v>
      </c>
      <c r="BI32" s="75">
        <f>股权价值增加表!BI29</f>
        <v>836864.53382691974</v>
      </c>
      <c r="BJ32" s="75">
        <f>股权价值增加表!BJ29</f>
        <v>348372.72205387591</v>
      </c>
      <c r="BK32" s="75">
        <f>股权价值增加表!BK29</f>
        <v>-553492.50570863485</v>
      </c>
      <c r="BL32" s="75">
        <f>股权价值增加表!BL29</f>
        <v>-282195.67637480865</v>
      </c>
      <c r="BM32" s="75">
        <f>股权价值增加表!BM29</f>
        <v>-1657624.7572963138</v>
      </c>
      <c r="BN32" s="75">
        <f>股权价值增加表!BN29</f>
        <v>-366056.34132685751</v>
      </c>
      <c r="BO32" s="75">
        <f>股权价值增加表!BO29</f>
        <v>-2292069.1768865404</v>
      </c>
      <c r="BP32" s="75">
        <f>股权价值增加表!BP29</f>
        <v>76344.646646741719</v>
      </c>
      <c r="BQ32" s="75" t="e">
        <f>股权价值增加表!BQ29</f>
        <v>#DIV/0!</v>
      </c>
      <c r="BR32" s="75">
        <f>股权价值增加表!BR29</f>
        <v>-147870000</v>
      </c>
      <c r="BS32" s="75">
        <f>股权价值增加表!BS29</f>
        <v>-56921533.426971629</v>
      </c>
      <c r="BT32" s="75">
        <f>股权价值增加表!BT29</f>
        <v>-63396403.961102709</v>
      </c>
      <c r="BU32" s="75">
        <f>股权价值增加表!BU29</f>
        <v>-31533634.159668338</v>
      </c>
      <c r="BV32" s="75">
        <f>股权价值增加表!BV29</f>
        <v>0</v>
      </c>
      <c r="BW32" s="75">
        <f>股权价值增加表!BW29</f>
        <v>0</v>
      </c>
      <c r="BX32" s="75">
        <f>股权价值增加表!BX29</f>
        <v>0</v>
      </c>
      <c r="BY32" s="75">
        <f>股权价值增加表!BY29</f>
        <v>0</v>
      </c>
      <c r="BZ32" s="75">
        <f>股权价值增加表!BZ29</f>
        <v>0</v>
      </c>
      <c r="CA32" s="75">
        <f>股权价值增加表!CA29</f>
        <v>0</v>
      </c>
      <c r="CB32" s="75">
        <f>股权价值增加表!CB29</f>
        <v>0</v>
      </c>
      <c r="CC32" s="75">
        <f>股权价值增加表!CC29</f>
        <v>0</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x14ac:dyDescent="0.25">
      <c r="A33" s="147" t="s">
        <v>451</v>
      </c>
    </row>
    <row r="34" spans="1:89" s="75" customFormat="1" x14ac:dyDescent="0.25">
      <c r="A34" s="146" t="s">
        <v>452</v>
      </c>
      <c r="E34" s="75">
        <f>资产资本表!E4</f>
        <v>2836957414.6999998</v>
      </c>
      <c r="F34" s="75">
        <f>资产资本表!F4</f>
        <v>1004886218.16</v>
      </c>
      <c r="G34" s="75">
        <f>资产资本表!G4</f>
        <v>1316719993.9300001</v>
      </c>
      <c r="H34" s="75">
        <f>资产资本表!H4</f>
        <v>635647757.70000005</v>
      </c>
      <c r="I34" s="75">
        <f>资产资本表!I4</f>
        <v>990161741.46000004</v>
      </c>
      <c r="J34" s="75">
        <f>资产资本表!J4</f>
        <v>2433451634.3499999</v>
      </c>
      <c r="K34" s="75">
        <f>资产资本表!K4</f>
        <v>3075724100.5599999</v>
      </c>
      <c r="L34" s="75">
        <f>资产资本表!L4</f>
        <v>2722109122.54</v>
      </c>
      <c r="M34" s="75">
        <f>资产资本表!M4</f>
        <v>1335887391.1500001</v>
      </c>
      <c r="N34" s="75">
        <f>资产资本表!N4</f>
        <v>1772978964.99</v>
      </c>
      <c r="O34" s="75">
        <f>资产资本表!O4</f>
        <v>2276520605.6999998</v>
      </c>
      <c r="P34" s="75">
        <f>资产资本表!P4</f>
        <v>3347022465.9699998</v>
      </c>
      <c r="Q34" s="75">
        <f>资产资本表!Q4</f>
        <v>3132739399.9200001</v>
      </c>
      <c r="R34" s="75">
        <f>资产资本表!R4</f>
        <v>2424972133.6599998</v>
      </c>
      <c r="S34" s="75">
        <f>资产资本表!S4</f>
        <v>2541501669.4899998</v>
      </c>
      <c r="T34" s="75">
        <f>资产资本表!T4</f>
        <v>1837366490.3299999</v>
      </c>
      <c r="U34" s="75">
        <f>资产资本表!U4</f>
        <v>1740129336.6099999</v>
      </c>
      <c r="V34" s="75">
        <f>资产资本表!V4</f>
        <v>1214538790.28</v>
      </c>
      <c r="W34" s="75">
        <f>资产资本表!W4</f>
        <v>1791907633.49</v>
      </c>
      <c r="X34" s="75">
        <f>资产资本表!X4</f>
        <v>1182245160.4300001</v>
      </c>
      <c r="Y34" s="75">
        <f>资产资本表!Y4</f>
        <v>1163691950.8099999</v>
      </c>
      <c r="Z34" s="75">
        <f>资产资本表!Z4</f>
        <v>838059867.87</v>
      </c>
      <c r="AA34" s="75">
        <f>资产资本表!AA4</f>
        <v>1160841049.8</v>
      </c>
      <c r="AB34" s="75">
        <f>资产资本表!AB4</f>
        <v>611581925.47000003</v>
      </c>
      <c r="AC34" s="75">
        <f>资产资本表!AC4</f>
        <v>854257105.09000003</v>
      </c>
      <c r="AD34" s="75">
        <f>资产资本表!AD4</f>
        <v>1997494429.4100001</v>
      </c>
      <c r="AE34" s="75">
        <f>资产资本表!AE4</f>
        <v>1121611644.8699999</v>
      </c>
      <c r="AF34" s="75">
        <f>资产资本表!AF4</f>
        <v>782460607.22000003</v>
      </c>
      <c r="AG34" s="75">
        <f>资产资本表!AG4</f>
        <v>942371175.47000003</v>
      </c>
      <c r="AH34" s="75">
        <f>资产资本表!AH4</f>
        <v>966764613.48000002</v>
      </c>
      <c r="AI34" s="75">
        <f>资产资本表!AI4</f>
        <v>748395614.03999996</v>
      </c>
      <c r="AJ34" s="75">
        <f>资产资本表!AJ4</f>
        <v>1353080287.71</v>
      </c>
      <c r="AK34" s="75">
        <f>资产资本表!AK4</f>
        <v>1157096238.6500001</v>
      </c>
      <c r="AL34" s="75">
        <f>资产资本表!AL4</f>
        <v>795704976.13999999</v>
      </c>
      <c r="AM34" s="75">
        <f>资产资本表!AM4</f>
        <v>987589575.78999996</v>
      </c>
      <c r="AN34" s="75">
        <f>资产资本表!AN4</f>
        <v>678418073.44000006</v>
      </c>
      <c r="AO34" s="75">
        <f>资产资本表!AO4</f>
        <v>560744939.38999999</v>
      </c>
      <c r="AP34" s="75">
        <f>资产资本表!AP4</f>
        <v>634816597.60000002</v>
      </c>
      <c r="AQ34" s="75">
        <f>资产资本表!AQ4</f>
        <v>584527936.80999994</v>
      </c>
      <c r="AR34" s="75">
        <f>资产资本表!AR4</f>
        <v>417065471.07999998</v>
      </c>
      <c r="AS34" s="75">
        <f>资产资本表!AS4</f>
        <v>555649909.46000004</v>
      </c>
      <c r="AT34" s="75">
        <f>资产资本表!AT4</f>
        <v>524216565.25999999</v>
      </c>
      <c r="AU34" s="75">
        <f>资产资本表!AU4</f>
        <v>428620450.08999997</v>
      </c>
      <c r="AV34" s="75">
        <f>资产资本表!AV4</f>
        <v>518130770.51999998</v>
      </c>
      <c r="AW34" s="75">
        <f>资产资本表!AW4</f>
        <v>483154127.57999998</v>
      </c>
      <c r="AX34" s="75">
        <f>资产资本表!AX4</f>
        <v>484368658.55000001</v>
      </c>
      <c r="AY34" s="75">
        <f>资产资本表!AY4</f>
        <v>417219445.72000003</v>
      </c>
      <c r="AZ34" s="75">
        <f>资产资本表!AZ4</f>
        <v>509947858.29000002</v>
      </c>
      <c r="BA34" s="75">
        <f>资产资本表!BA4</f>
        <v>375604503.80000001</v>
      </c>
      <c r="BB34" s="75">
        <f>资产资本表!BB4</f>
        <v>593098637.54999995</v>
      </c>
      <c r="BC34" s="75">
        <f>资产资本表!BC4</f>
        <v>500049319.87</v>
      </c>
      <c r="BD34" s="75">
        <f>资产资本表!BD4</f>
        <v>1049840141.4</v>
      </c>
      <c r="BE34" s="75">
        <f>资产资本表!BE4</f>
        <v>1018152193.03</v>
      </c>
      <c r="BF34" s="75">
        <f>资产资本表!BF4</f>
        <v>1062764938.53</v>
      </c>
      <c r="BG34" s="75">
        <f>资产资本表!BG4</f>
        <v>1113305564.6700001</v>
      </c>
      <c r="BH34" s="75">
        <f>资产资本表!BH4</f>
        <v>1087652828.8099999</v>
      </c>
      <c r="BI34" s="75">
        <f>资产资本表!BI4</f>
        <v>945968565.73000002</v>
      </c>
      <c r="BJ34" s="75">
        <f>资产资本表!BJ4</f>
        <v>848089280.00999999</v>
      </c>
      <c r="BK34" s="75">
        <f>资产资本表!BK4</f>
        <v>787846550.34000003</v>
      </c>
      <c r="BL34" s="75">
        <f>资产资本表!BL4</f>
        <v>1046575927.8200001</v>
      </c>
      <c r="BM34" s="75">
        <f>资产资本表!BM4</f>
        <v>931355605.50999999</v>
      </c>
      <c r="BN34" s="75">
        <f>资产资本表!BN4</f>
        <v>820603768.09000003</v>
      </c>
      <c r="BO34" s="75">
        <f>资产资本表!BO4</f>
        <v>390586106.44</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6" t="s">
        <v>453</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6" t="s">
        <v>454</v>
      </c>
      <c r="E36" s="75">
        <f>资产资本表!E13</f>
        <v>0</v>
      </c>
      <c r="F36" s="75">
        <f>资产资本表!F13</f>
        <v>1286525.3600000001</v>
      </c>
      <c r="G36" s="75">
        <f>资产资本表!G13</f>
        <v>2689142.78</v>
      </c>
      <c r="H36" s="75">
        <f>资产资本表!H13</f>
        <v>1216365.8899999999</v>
      </c>
      <c r="I36" s="75">
        <f>资产资本表!I13</f>
        <v>0</v>
      </c>
      <c r="J36" s="75">
        <f>资产资本表!J13</f>
        <v>9218562.4900000002</v>
      </c>
      <c r="K36" s="75">
        <f>资产资本表!K13</f>
        <v>6345715</v>
      </c>
      <c r="L36" s="75">
        <f>资产资本表!L13</f>
        <v>1315460</v>
      </c>
      <c r="M36" s="75">
        <f>资产资本表!M13</f>
        <v>9574593.3800000008</v>
      </c>
      <c r="N36" s="75">
        <f>资产资本表!N13</f>
        <v>4686000</v>
      </c>
      <c r="O36" s="75">
        <f>资产资本表!O13</f>
        <v>2470500</v>
      </c>
      <c r="P36" s="75">
        <f>资产资本表!P13</f>
        <v>15182709.09</v>
      </c>
      <c r="Q36" s="75">
        <f>资产资本表!Q13</f>
        <v>14857968.84</v>
      </c>
      <c r="R36" s="75">
        <f>资产资本表!R13</f>
        <v>0</v>
      </c>
      <c r="S36" s="75">
        <f>资产资本表!S13</f>
        <v>0</v>
      </c>
      <c r="T36" s="75">
        <f>资产资本表!T13</f>
        <v>0</v>
      </c>
      <c r="U36" s="75">
        <f>资产资本表!U13</f>
        <v>512467.18</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6" t="s">
        <v>455</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2453270.6</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6" t="s">
        <v>456</v>
      </c>
      <c r="E38" s="75">
        <f>资产资本表!E8</f>
        <v>174480115.5</v>
      </c>
      <c r="F38" s="75">
        <f>资产资本表!F8</f>
        <v>174480115.5</v>
      </c>
      <c r="G38" s="75">
        <f>资产资本表!G8</f>
        <v>174480115.5</v>
      </c>
      <c r="H38" s="75">
        <f>资产资本表!H8</f>
        <v>177065006.09999999</v>
      </c>
      <c r="I38" s="75">
        <f>资产资本表!I8</f>
        <v>168448704.09999999</v>
      </c>
      <c r="J38" s="75">
        <f>资产资本表!J8</f>
        <v>163278922.90000001</v>
      </c>
      <c r="K38" s="75">
        <f>资产资本表!K8</f>
        <v>161986477.59999999</v>
      </c>
      <c r="L38" s="75">
        <f>资产资本表!L8</f>
        <v>161555662.5</v>
      </c>
      <c r="M38" s="75">
        <f>资产资本表!M8</f>
        <v>182665602.40000001</v>
      </c>
      <c r="N38" s="75">
        <f>资产资本表!N8</f>
        <v>167156258.80000001</v>
      </c>
      <c r="O38" s="75">
        <f>资产资本表!O8</f>
        <v>230916893.59999999</v>
      </c>
      <c r="P38" s="75">
        <f>资产资本表!P8</f>
        <v>203775542.30000001</v>
      </c>
      <c r="Q38" s="75">
        <f>资产资本表!Q8</f>
        <v>210237768.80000001</v>
      </c>
      <c r="R38" s="75">
        <f>资产资本表!R8</f>
        <v>119335782.7</v>
      </c>
      <c r="S38" s="75">
        <f>资产资本表!S8</f>
        <v>109427035.40000001</v>
      </c>
      <c r="T38" s="75">
        <f>资产资本表!T8</f>
        <v>106988901.28</v>
      </c>
      <c r="U38" s="75">
        <f>资产资本表!U8</f>
        <v>114754224.76000001</v>
      </c>
      <c r="V38" s="75">
        <f>资产资本表!V8</f>
        <v>125400000</v>
      </c>
      <c r="W38" s="75">
        <f>资产资本表!W8</f>
        <v>127160000</v>
      </c>
      <c r="X38" s="75">
        <f>资产资本表!X8</f>
        <v>141680000</v>
      </c>
      <c r="Y38" s="75">
        <f>资产资本表!Y8</f>
        <v>134200000</v>
      </c>
      <c r="Z38" s="75">
        <f>资产资本表!Z8</f>
        <v>117040000</v>
      </c>
      <c r="AA38" s="75">
        <f>资产资本表!AA8</f>
        <v>124960000</v>
      </c>
      <c r="AB38" s="75">
        <f>资产资本表!AB8</f>
        <v>125400000</v>
      </c>
      <c r="AC38" s="75">
        <f>资产资本表!AC8</f>
        <v>126720000</v>
      </c>
      <c r="AD38" s="75">
        <f>资产资本表!AD8</f>
        <v>129800000</v>
      </c>
      <c r="AE38" s="75">
        <f>资产资本表!AE8</f>
        <v>147400000</v>
      </c>
      <c r="AF38" s="75">
        <f>资产资本表!AF8</f>
        <v>168520000</v>
      </c>
      <c r="AG38" s="75">
        <f>资产资本表!AG8</f>
        <v>174240000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6" t="s">
        <v>457</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6" t="s">
        <v>458</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41361846.020000003</v>
      </c>
      <c r="AV40" s="75">
        <f>资产资本表!AV10</f>
        <v>41940824.740000002</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6" t="s">
        <v>459</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6" t="s">
        <v>460</v>
      </c>
      <c r="E42" s="75">
        <f>资产资本表!E6</f>
        <v>0</v>
      </c>
      <c r="F42" s="75">
        <f>资产资本表!F6</f>
        <v>0</v>
      </c>
      <c r="G42" s="75">
        <f>资产资本表!G6</f>
        <v>0</v>
      </c>
      <c r="H42" s="75">
        <f>资产资本表!H6</f>
        <v>0</v>
      </c>
      <c r="I42" s="75">
        <f>资产资本表!I6</f>
        <v>12000000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7" t="s">
        <v>461</v>
      </c>
      <c r="E43" s="75">
        <f>SUM(E34:E42)</f>
        <v>3011437530.1999998</v>
      </c>
      <c r="F43" s="75">
        <f t="shared" ref="F43:BQ43" si="14">SUM(F34:F42)</f>
        <v>1180652859.02</v>
      </c>
      <c r="G43" s="75">
        <f t="shared" si="14"/>
        <v>1493889252.21</v>
      </c>
      <c r="H43" s="75">
        <f t="shared" si="14"/>
        <v>813929129.69000006</v>
      </c>
      <c r="I43" s="75">
        <f t="shared" si="14"/>
        <v>1170610445.5599999</v>
      </c>
      <c r="J43" s="75">
        <f t="shared" si="14"/>
        <v>2605949119.7399998</v>
      </c>
      <c r="K43" s="75">
        <f t="shared" si="14"/>
        <v>3244056293.1599998</v>
      </c>
      <c r="L43" s="75">
        <f t="shared" si="14"/>
        <v>2884980245.04</v>
      </c>
      <c r="M43" s="75">
        <f t="shared" si="14"/>
        <v>1528127586.9300003</v>
      </c>
      <c r="N43" s="75">
        <f t="shared" si="14"/>
        <v>1944821223.79</v>
      </c>
      <c r="O43" s="75">
        <f t="shared" si="14"/>
        <v>2509907999.2999997</v>
      </c>
      <c r="P43" s="75">
        <f t="shared" si="14"/>
        <v>3565980717.3600001</v>
      </c>
      <c r="Q43" s="75">
        <f t="shared" si="14"/>
        <v>3357835137.5600004</v>
      </c>
      <c r="R43" s="75">
        <f t="shared" si="14"/>
        <v>2544307916.3599997</v>
      </c>
      <c r="S43" s="75">
        <f t="shared" si="14"/>
        <v>2650928704.8899999</v>
      </c>
      <c r="T43" s="75">
        <f t="shared" si="14"/>
        <v>1944355391.6099999</v>
      </c>
      <c r="U43" s="75">
        <f t="shared" si="14"/>
        <v>1855396028.55</v>
      </c>
      <c r="V43" s="75">
        <f t="shared" si="14"/>
        <v>1339938790.28</v>
      </c>
      <c r="W43" s="75">
        <f t="shared" si="14"/>
        <v>1919067633.49</v>
      </c>
      <c r="X43" s="75">
        <f t="shared" si="14"/>
        <v>1323925160.4300001</v>
      </c>
      <c r="Y43" s="75">
        <f t="shared" si="14"/>
        <v>1297891950.8099999</v>
      </c>
      <c r="Z43" s="75">
        <f t="shared" si="14"/>
        <v>955099867.87</v>
      </c>
      <c r="AA43" s="75">
        <f t="shared" si="14"/>
        <v>1285801049.8</v>
      </c>
      <c r="AB43" s="75">
        <f t="shared" si="14"/>
        <v>736981925.47000003</v>
      </c>
      <c r="AC43" s="75">
        <f t="shared" si="14"/>
        <v>980977105.09000003</v>
      </c>
      <c r="AD43" s="75">
        <f t="shared" si="14"/>
        <v>2127294429.4100001</v>
      </c>
      <c r="AE43" s="75">
        <f t="shared" si="14"/>
        <v>1269011644.8699999</v>
      </c>
      <c r="AF43" s="75">
        <f t="shared" si="14"/>
        <v>950980607.22000003</v>
      </c>
      <c r="AG43" s="75">
        <f t="shared" si="14"/>
        <v>1116611175.47</v>
      </c>
      <c r="AH43" s="75">
        <f t="shared" si="14"/>
        <v>966764613.48000002</v>
      </c>
      <c r="AI43" s="75">
        <f t="shared" si="14"/>
        <v>748395614.03999996</v>
      </c>
      <c r="AJ43" s="75">
        <f t="shared" si="14"/>
        <v>1353080287.71</v>
      </c>
      <c r="AK43" s="75">
        <f t="shared" si="14"/>
        <v>1157096238.6500001</v>
      </c>
      <c r="AL43" s="75">
        <f t="shared" si="14"/>
        <v>795704976.13999999</v>
      </c>
      <c r="AM43" s="75">
        <f t="shared" si="14"/>
        <v>987589575.78999996</v>
      </c>
      <c r="AN43" s="75">
        <f t="shared" si="14"/>
        <v>678418073.44000006</v>
      </c>
      <c r="AO43" s="75">
        <f t="shared" si="14"/>
        <v>560744939.38999999</v>
      </c>
      <c r="AP43" s="75">
        <f t="shared" si="14"/>
        <v>634816597.60000002</v>
      </c>
      <c r="AQ43" s="75">
        <f t="shared" si="14"/>
        <v>584527936.80999994</v>
      </c>
      <c r="AR43" s="75">
        <f t="shared" si="14"/>
        <v>417065471.07999998</v>
      </c>
      <c r="AS43" s="75">
        <f t="shared" si="14"/>
        <v>555649909.46000004</v>
      </c>
      <c r="AT43" s="75">
        <f t="shared" si="14"/>
        <v>524216565.25999999</v>
      </c>
      <c r="AU43" s="75">
        <f t="shared" si="14"/>
        <v>469982296.10999995</v>
      </c>
      <c r="AV43" s="75">
        <f t="shared" si="14"/>
        <v>560071595.25999999</v>
      </c>
      <c r="AW43" s="75">
        <f t="shared" si="14"/>
        <v>483154127.57999998</v>
      </c>
      <c r="AX43" s="75">
        <f t="shared" si="14"/>
        <v>484368658.55000001</v>
      </c>
      <c r="AY43" s="75">
        <f t="shared" si="14"/>
        <v>417219445.72000003</v>
      </c>
      <c r="AZ43" s="75">
        <f t="shared" si="14"/>
        <v>509947858.29000002</v>
      </c>
      <c r="BA43" s="75">
        <f t="shared" si="14"/>
        <v>375604503.80000001</v>
      </c>
      <c r="BB43" s="75">
        <f t="shared" si="14"/>
        <v>593098637.54999995</v>
      </c>
      <c r="BC43" s="75">
        <f t="shared" si="14"/>
        <v>500049319.87</v>
      </c>
      <c r="BD43" s="75">
        <f t="shared" si="14"/>
        <v>1049840141.4</v>
      </c>
      <c r="BE43" s="75">
        <f t="shared" si="14"/>
        <v>1018152193.03</v>
      </c>
      <c r="BF43" s="75">
        <f t="shared" si="14"/>
        <v>1062764938.53</v>
      </c>
      <c r="BG43" s="75">
        <f t="shared" si="14"/>
        <v>1113305564.6700001</v>
      </c>
      <c r="BH43" s="75">
        <f t="shared" si="14"/>
        <v>1087652828.8099999</v>
      </c>
      <c r="BI43" s="75">
        <f t="shared" si="14"/>
        <v>945968565.73000002</v>
      </c>
      <c r="BJ43" s="75">
        <f t="shared" si="14"/>
        <v>848089280.00999999</v>
      </c>
      <c r="BK43" s="75">
        <f t="shared" si="14"/>
        <v>790299820.94000006</v>
      </c>
      <c r="BL43" s="75">
        <f t="shared" si="14"/>
        <v>1046575927.8200001</v>
      </c>
      <c r="BM43" s="75">
        <f t="shared" si="14"/>
        <v>931355605.50999999</v>
      </c>
      <c r="BN43" s="75">
        <f t="shared" si="14"/>
        <v>820603768.09000003</v>
      </c>
      <c r="BO43" s="75">
        <f t="shared" si="14"/>
        <v>390586106.44</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4" t="s">
        <v>462</v>
      </c>
      <c r="E44" s="109">
        <f>E32/E43</f>
        <v>7.0397336218994194E-3</v>
      </c>
      <c r="F44" s="109">
        <f t="shared" ref="F44:BQ44" si="16">F32/F43</f>
        <v>3.8513954587925379E-3</v>
      </c>
      <c r="G44" s="109">
        <f t="shared" si="16"/>
        <v>3.0398761988797217E-3</v>
      </c>
      <c r="H44" s="109">
        <f t="shared" si="16"/>
        <v>7.9542045933446454E-3</v>
      </c>
      <c r="I44" s="109">
        <f t="shared" si="16"/>
        <v>7.3290932804863087E-3</v>
      </c>
      <c r="J44" s="109">
        <f t="shared" si="16"/>
        <v>-5.5795447116982408E-3</v>
      </c>
      <c r="K44" s="109">
        <f t="shared" si="16"/>
        <v>-4.7808490970705437E-3</v>
      </c>
      <c r="L44" s="109">
        <f t="shared" si="16"/>
        <v>-5.2112852210476337E-3</v>
      </c>
      <c r="M44" s="109">
        <f t="shared" si="16"/>
        <v>1.4563659945434106E-2</v>
      </c>
      <c r="N44" s="109">
        <f t="shared" si="16"/>
        <v>-1.6613934537917676E-2</v>
      </c>
      <c r="O44" s="109">
        <f t="shared" si="16"/>
        <v>6.1792478466642905E-3</v>
      </c>
      <c r="P44" s="109">
        <f t="shared" si="16"/>
        <v>-1.4136661207553238E-3</v>
      </c>
      <c r="Q44" s="109">
        <f t="shared" si="16"/>
        <v>3.1827611186900924E-2</v>
      </c>
      <c r="R44" s="109">
        <f t="shared" si="16"/>
        <v>1.8303777255702328E-3</v>
      </c>
      <c r="S44" s="109">
        <f t="shared" si="16"/>
        <v>-1.1318444727634459E-3</v>
      </c>
      <c r="T44" s="109">
        <f t="shared" si="16"/>
        <v>-2.9953333815056896E-3</v>
      </c>
      <c r="U44" s="109">
        <f t="shared" si="16"/>
        <v>2.0952353443609334E-3</v>
      </c>
      <c r="V44" s="109">
        <f t="shared" si="16"/>
        <v>0</v>
      </c>
      <c r="W44" s="109">
        <f t="shared" si="16"/>
        <v>-2.7513360695880411E-3</v>
      </c>
      <c r="X44" s="109">
        <f t="shared" si="16"/>
        <v>4.2373996413648625E-3</v>
      </c>
      <c r="Y44" s="109">
        <f t="shared" si="16"/>
        <v>1.5533623558727283E-2</v>
      </c>
      <c r="Z44" s="109">
        <f t="shared" si="16"/>
        <v>0</v>
      </c>
      <c r="AA44" s="109">
        <f t="shared" si="16"/>
        <v>-1.0265973886125848E-3</v>
      </c>
      <c r="AB44" s="109">
        <f t="shared" si="16"/>
        <v>-1.3433165262073982E-3</v>
      </c>
      <c r="AC44" s="109">
        <f t="shared" si="16"/>
        <v>-2.1970772056400498E-2</v>
      </c>
      <c r="AD44" s="109">
        <f t="shared" si="16"/>
        <v>0</v>
      </c>
      <c r="AE44" s="109">
        <f t="shared" si="16"/>
        <v>-1.5862738597692033E-2</v>
      </c>
      <c r="AF44" s="109">
        <f t="shared" si="16"/>
        <v>-4.511133000430944E-3</v>
      </c>
      <c r="AG44" s="109">
        <f t="shared" si="16"/>
        <v>7.3074525762756401E-2</v>
      </c>
      <c r="AH44" s="109">
        <f t="shared" si="16"/>
        <v>1.3724351050947339E-3</v>
      </c>
      <c r="AI44" s="109">
        <f t="shared" si="16"/>
        <v>0</v>
      </c>
      <c r="AJ44" s="109">
        <f t="shared" si="16"/>
        <v>0</v>
      </c>
      <c r="AK44" s="109">
        <f t="shared" si="16"/>
        <v>6.6256328102144227E-3</v>
      </c>
      <c r="AL44" s="109">
        <f t="shared" si="16"/>
        <v>3.087964016542565E-3</v>
      </c>
      <c r="AM44" s="109">
        <f t="shared" si="16"/>
        <v>0</v>
      </c>
      <c r="AN44" s="109">
        <f t="shared" si="16"/>
        <v>0</v>
      </c>
      <c r="AO44" s="109">
        <f t="shared" si="16"/>
        <v>2.1365065702629057E-3</v>
      </c>
      <c r="AP44" s="109">
        <f t="shared" si="16"/>
        <v>-4.0430960176826215E-5</v>
      </c>
      <c r="AQ44" s="109">
        <f t="shared" si="16"/>
        <v>-4.416048069301529E-5</v>
      </c>
      <c r="AR44" s="109">
        <f t="shared" si="16"/>
        <v>2.3633462967413715E-4</v>
      </c>
      <c r="AS44" s="109">
        <f t="shared" si="16"/>
        <v>-9.0263223858616363E-5</v>
      </c>
      <c r="AT44" s="109">
        <f t="shared" si="16"/>
        <v>4.8790123193804928E-3</v>
      </c>
      <c r="AU44" s="109">
        <f t="shared" si="16"/>
        <v>0</v>
      </c>
      <c r="AV44" s="109">
        <f t="shared" si="16"/>
        <v>0</v>
      </c>
      <c r="AW44" s="109">
        <f t="shared" si="16"/>
        <v>-3.0326192514434115E-3</v>
      </c>
      <c r="AX44" s="109">
        <f t="shared" si="16"/>
        <v>-5.9119081067027478E-3</v>
      </c>
      <c r="AY44" s="109">
        <f t="shared" si="16"/>
        <v>-3.2970817659545965E-3</v>
      </c>
      <c r="AZ44" s="109">
        <f t="shared" si="16"/>
        <v>-6.0663163069329398E-4</v>
      </c>
      <c r="BA44" s="109">
        <f t="shared" si="16"/>
        <v>-5.0107243613933192E-3</v>
      </c>
      <c r="BB44" s="109">
        <f t="shared" si="16"/>
        <v>-1.9695140128216651E-3</v>
      </c>
      <c r="BC44" s="109">
        <f t="shared" si="16"/>
        <v>-1.862668790922048E-3</v>
      </c>
      <c r="BD44" s="109">
        <f t="shared" si="16"/>
        <v>-3.3924123431547674E-4</v>
      </c>
      <c r="BE44" s="109">
        <f t="shared" si="16"/>
        <v>-4.1185355304728657E-3</v>
      </c>
      <c r="BF44" s="109">
        <f t="shared" si="16"/>
        <v>-6.4822305249813991E-4</v>
      </c>
      <c r="BG44" s="109">
        <f t="shared" si="16"/>
        <v>-5.2949108269653104E-4</v>
      </c>
      <c r="BH44" s="109">
        <f t="shared" si="16"/>
        <v>-3.2933608513160061E-4</v>
      </c>
      <c r="BI44" s="109">
        <f t="shared" si="16"/>
        <v>8.8466420993716093E-4</v>
      </c>
      <c r="BJ44" s="109">
        <f t="shared" si="16"/>
        <v>4.1077364172056055E-4</v>
      </c>
      <c r="BK44" s="109">
        <f t="shared" si="16"/>
        <v>-7.0035762509764788E-4</v>
      </c>
      <c r="BL44" s="109">
        <f t="shared" si="16"/>
        <v>-2.6963707923477416E-4</v>
      </c>
      <c r="BM44" s="109">
        <f t="shared" si="16"/>
        <v>-1.7797979069322472E-3</v>
      </c>
      <c r="BN44" s="109">
        <f t="shared" si="16"/>
        <v>-4.4608172124151169E-4</v>
      </c>
      <c r="BO44" s="109">
        <f t="shared" si="16"/>
        <v>-5.8682813830159553E-3</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80" t="s">
        <v>697</v>
      </c>
      <c r="B45" s="279"/>
      <c r="C45" s="279"/>
      <c r="D45" s="279"/>
      <c r="E45" s="279"/>
      <c r="F45" s="279"/>
      <c r="G45" s="279"/>
      <c r="H45" s="279"/>
      <c r="I45" s="279"/>
      <c r="J45" s="279"/>
      <c r="K45" s="279"/>
      <c r="L45" s="279"/>
      <c r="M45" s="279"/>
      <c r="N45" s="279"/>
      <c r="O45" s="279"/>
      <c r="P45" s="279"/>
      <c r="Q45" s="279"/>
      <c r="R45" s="279"/>
      <c r="S45" s="279"/>
      <c r="T45" s="279"/>
      <c r="U45" s="279"/>
      <c r="V45" s="279"/>
      <c r="W45" s="279"/>
      <c r="X45" s="279"/>
      <c r="Y45" s="279"/>
      <c r="Z45" s="279"/>
      <c r="AA45" s="279"/>
      <c r="AB45" s="279"/>
      <c r="AC45" s="279"/>
      <c r="AD45" s="279"/>
      <c r="AE45" s="279"/>
      <c r="AF45" s="279"/>
      <c r="AG45" s="279"/>
    </row>
    <row r="46" spans="1:89" s="57" customFormat="1" x14ac:dyDescent="0.25">
      <c r="A46" s="57" t="s">
        <v>698</v>
      </c>
      <c r="E46" s="57">
        <f>E43/资产资本表!E70</f>
        <v>0.16580019320843828</v>
      </c>
      <c r="F46" s="57">
        <f>F43/资产资本表!F70</f>
        <v>6.9705383152224368E-2</v>
      </c>
      <c r="G46" s="57">
        <f>G43/资产资本表!G70</f>
        <v>9.5102689661594283E-2</v>
      </c>
      <c r="H46" s="57">
        <f>H43/资产资本表!H70</f>
        <v>5.3697866206198312E-2</v>
      </c>
      <c r="I46" s="57">
        <f>I43/资产资本表!I70</f>
        <v>7.9519123654490598E-2</v>
      </c>
      <c r="J46" s="57">
        <f>J43/资产资本表!J70</f>
        <v>0.18484878890702219</v>
      </c>
      <c r="K46" s="57">
        <f>K43/资产资本表!K70</f>
        <v>0.23380384375074734</v>
      </c>
      <c r="L46" s="57">
        <f>L43/资产资本表!L70</f>
        <v>0.21276912566704925</v>
      </c>
      <c r="M46" s="57">
        <f>M43/资产资本表!M70</f>
        <v>0.15626669323973055</v>
      </c>
      <c r="N46" s="57">
        <f>N43/资产资本表!N70</f>
        <v>0.2061101179314567</v>
      </c>
      <c r="O46" s="57">
        <f>O43/资产资本表!O70</f>
        <v>0.26771112022130494</v>
      </c>
      <c r="P46" s="57">
        <f>P43/资产资本表!P70</f>
        <v>0.38845428190122766</v>
      </c>
      <c r="Q46" s="57">
        <f>Q43/资产资本表!Q70</f>
        <v>0.37887076939287817</v>
      </c>
      <c r="R46" s="57">
        <f>R43/资产资本表!R70</f>
        <v>0.30269995872383626</v>
      </c>
      <c r="S46" s="57">
        <f>S43/资产资本表!S70</f>
        <v>0.30879012011886431</v>
      </c>
      <c r="T46" s="57">
        <f>T43/资产资本表!T70</f>
        <v>0.23450310565824328</v>
      </c>
      <c r="U46" s="57">
        <f>U43/资产资本表!U70</f>
        <v>0.23100614786124335</v>
      </c>
      <c r="V46" s="57">
        <f>V43/资产资本表!V70</f>
        <v>0.17175646545084811</v>
      </c>
      <c r="W46" s="57">
        <f>W43/资产资本表!W70</f>
        <v>0.22177169301792965</v>
      </c>
      <c r="X46" s="57">
        <f>X43/资产资本表!X70</f>
        <v>0.15697734481476153</v>
      </c>
      <c r="Y46" s="57">
        <f>Y43/资产资本表!Y70</f>
        <v>0.1550494869726366</v>
      </c>
      <c r="Z46" s="57">
        <f>Z43/资产资本表!Z70</f>
        <v>0.11665698954836798</v>
      </c>
      <c r="AA46" s="57">
        <f>AA43/资产资本表!AA70</f>
        <v>0.14883132724566106</v>
      </c>
      <c r="AB46" s="57">
        <f>AB43/资产资本表!AB70</f>
        <v>8.7103029494449771E-2</v>
      </c>
      <c r="AC46" s="57">
        <f>AC43/资产资本表!AC70</f>
        <v>0.11245498749023397</v>
      </c>
      <c r="AD46" s="57">
        <f>AD43/资产资本表!AD70</f>
        <v>0.22333366036029431</v>
      </c>
      <c r="AE46" s="57">
        <f>AE43/资产资本表!AE70</f>
        <v>0.14575104725528926</v>
      </c>
      <c r="AF46" s="57">
        <f>AF43/资产资本表!AF70</f>
        <v>0.1113390054094513</v>
      </c>
      <c r="AG46" s="57">
        <f>AG43/资产资本表!AG70</f>
        <v>0.13064700462914747</v>
      </c>
      <c r="AH46" s="57">
        <f>AH43/资产资本表!AH70</f>
        <v>0.11927647193795983</v>
      </c>
      <c r="AI46" s="57">
        <f>AI43/资产资本表!AI70</f>
        <v>8.8486732235610155E-2</v>
      </c>
      <c r="AJ46" s="57">
        <f>AJ43/资产资本表!AJ70</f>
        <v>0.16228631046454703</v>
      </c>
      <c r="AK46" s="57">
        <f>AK43/资产资本表!AK70</f>
        <v>0.14188731984572397</v>
      </c>
      <c r="AL46" s="57">
        <f>AL43/资产资本表!AL70</f>
        <v>0.1006491181367362</v>
      </c>
      <c r="AM46" s="57">
        <f>AM43/资产资本表!AM70</f>
        <v>0.12558334644296285</v>
      </c>
      <c r="AN46" s="57">
        <f>AN43/资产资本表!AN70</f>
        <v>8.807227658645285E-2</v>
      </c>
      <c r="AO46" s="57">
        <f>AO43/资产资本表!AO70</f>
        <v>7.4213044673451287E-2</v>
      </c>
      <c r="AP46" s="57">
        <f>AP43/资产资本表!AP70</f>
        <v>8.3766548971537041E-2</v>
      </c>
      <c r="AQ46" s="57">
        <f>AQ43/资产资本表!AQ70</f>
        <v>7.7599734886286506E-2</v>
      </c>
      <c r="AR46" s="57">
        <f>AR43/资产资本表!AR70</f>
        <v>5.6774302540718351E-2</v>
      </c>
      <c r="AS46" s="57">
        <f>AS43/资产资本表!AS70</f>
        <v>7.5394763889038818E-2</v>
      </c>
      <c r="AT46" s="57">
        <f>AT43/资产资本表!AT70</f>
        <v>0.10550820570640783</v>
      </c>
      <c r="AU46" s="57">
        <f>AU43/资产资本表!AU70</f>
        <v>8.9206186292956763E-2</v>
      </c>
      <c r="AV46" s="57">
        <f>AV43/资产资本表!AV70</f>
        <v>0.10774280849788262</v>
      </c>
      <c r="AW46" s="57">
        <f>AW43/资产资本表!AW70</f>
        <v>7.2602172293326106E-2</v>
      </c>
      <c r="AX46" s="57">
        <f>AX43/资产资本表!AX70</f>
        <v>7.9493006573079519E-2</v>
      </c>
      <c r="AY46" s="57">
        <f>AY43/资产资本表!AY70</f>
        <v>5.8427405090800542E-2</v>
      </c>
      <c r="AZ46" s="57">
        <f>AZ43/资产资本表!AZ70</f>
        <v>7.1059587525123299E-2</v>
      </c>
      <c r="BA46" s="57">
        <f>BA43/资产资本表!BA70</f>
        <v>5.2830815677267752E-2</v>
      </c>
      <c r="BB46" s="57">
        <f>BB43/资产资本表!BB70</f>
        <v>9.3377774002303848E-2</v>
      </c>
      <c r="BC46" s="57">
        <f>BC43/资产资本表!BC70</f>
        <v>7.8403716754928868E-2</v>
      </c>
      <c r="BD46" s="57">
        <f>BD43/资产资本表!BD70</f>
        <v>0.24882327323761513</v>
      </c>
      <c r="BE46" s="57">
        <f>BE43/资产资本表!BE70</f>
        <v>0.24458941518018645</v>
      </c>
      <c r="BF46" s="57">
        <f>BF43/资产资本表!BF70</f>
        <v>0.25497698784831768</v>
      </c>
      <c r="BG46" s="57">
        <f>BG43/资产资本表!BG70</f>
        <v>0.26780304336499672</v>
      </c>
      <c r="BH46" s="57">
        <f>BH43/资产资本表!BH70</f>
        <v>0.26697107858532626</v>
      </c>
      <c r="BI46" s="57">
        <f>BI43/资产资本表!BI70</f>
        <v>0.24091271130044378</v>
      </c>
      <c r="BJ46" s="57">
        <f>BJ43/资产资本表!BJ70</f>
        <v>0.22132002187745281</v>
      </c>
      <c r="BK46" s="57">
        <f>BK43/资产资本表!BK70</f>
        <v>0.21319919274351376</v>
      </c>
      <c r="BL46" s="57">
        <f>BL43/资产资本表!BL70</f>
        <v>0.66794768526532411</v>
      </c>
      <c r="BM46" s="57">
        <f>BM43/资产资本表!BM70</f>
        <v>0.62751719497123837</v>
      </c>
      <c r="BN46" s="57">
        <f>BN43/资产资本表!BN70</f>
        <v>0.60895538266895854</v>
      </c>
      <c r="BO46" s="57">
        <f>BO43/资产资本表!BO70</f>
        <v>0.3640276703506003</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37437</v>
      </c>
      <c r="BO48" s="1">
        <v>37256</v>
      </c>
      <c r="BP48" s="1">
        <v>36891</v>
      </c>
      <c r="BQ48" s="1">
        <v>25569</v>
      </c>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6" t="s">
        <v>464</v>
      </c>
      <c r="E49" s="75">
        <f>利润表!E4</f>
        <v>6761550874.3699999</v>
      </c>
      <c r="F49" s="75">
        <f>利润表!F4</f>
        <v>4918489181.8699999</v>
      </c>
      <c r="G49" s="75">
        <f>利润表!G4</f>
        <v>3213661518.3800001</v>
      </c>
      <c r="H49" s="75">
        <f>利润表!H4</f>
        <v>1583747526.6900001</v>
      </c>
      <c r="I49" s="75">
        <f>利润表!I4</f>
        <v>6166683056.1199999</v>
      </c>
      <c r="J49" s="75">
        <f>利润表!J4</f>
        <v>4534592334.7799997</v>
      </c>
      <c r="K49" s="75">
        <f>利润表!K4</f>
        <v>2984650287.6599998</v>
      </c>
      <c r="L49" s="75">
        <f>利润表!L4</f>
        <v>1442696919.48</v>
      </c>
      <c r="M49" s="75">
        <f>利润表!M4</f>
        <v>5619735354.2299995</v>
      </c>
      <c r="N49" s="75">
        <f>利润表!N4</f>
        <v>4196487790.0300002</v>
      </c>
      <c r="O49" s="75">
        <f>利润表!O4</f>
        <v>2773932728.75</v>
      </c>
      <c r="P49" s="75">
        <f>利润表!P4</f>
        <v>1389542513.23</v>
      </c>
      <c r="Q49" s="75">
        <f>利润表!Q4</f>
        <v>5527678576.3100004</v>
      </c>
      <c r="R49" s="75">
        <f>利润表!R4</f>
        <v>4079988837.6900001</v>
      </c>
      <c r="S49" s="75">
        <f>利润表!S4</f>
        <v>2681437778.79</v>
      </c>
      <c r="T49" s="75">
        <f>利润表!T4</f>
        <v>1288196061.04</v>
      </c>
      <c r="U49" s="75">
        <f>利润表!U4</f>
        <v>5141313419.2600002</v>
      </c>
      <c r="V49" s="75">
        <f>利润表!V4</f>
        <v>3796730790.04</v>
      </c>
      <c r="W49" s="75">
        <f>利润表!W4</f>
        <v>2462324707.5300002</v>
      </c>
      <c r="X49" s="75">
        <f>利润表!X4</f>
        <v>1184294457.5799999</v>
      </c>
      <c r="Y49" s="75">
        <f>利润表!Y4</f>
        <v>4673315397</v>
      </c>
      <c r="Z49" s="75">
        <f>利润表!Z4</f>
        <v>3460081754.52</v>
      </c>
      <c r="AA49" s="75">
        <f>利润表!AA4</f>
        <v>2289404113.9400001</v>
      </c>
      <c r="AB49" s="75">
        <f>利润表!AB4</f>
        <v>1111786173.6600001</v>
      </c>
      <c r="AC49" s="75">
        <f>利润表!AC4</f>
        <v>4239351634.9299998</v>
      </c>
      <c r="AD49" s="75">
        <f>利润表!AD4</f>
        <v>3105533447.9099998</v>
      </c>
      <c r="AE49" s="75">
        <f>利润表!AE4</f>
        <v>2028306165.1800001</v>
      </c>
      <c r="AF49" s="75">
        <f>利润表!AF4</f>
        <v>986571753.74000001</v>
      </c>
      <c r="AG49" s="75">
        <f>利润表!AG4</f>
        <v>3865479479.1999998</v>
      </c>
      <c r="AH49" s="75">
        <f>利润表!AH4</f>
        <v>2735574710.4200001</v>
      </c>
      <c r="AI49" s="75">
        <f>利润表!AI4</f>
        <v>1772855408.4400001</v>
      </c>
      <c r="AJ49" s="75">
        <f>利润表!AJ4</f>
        <v>866730658.66999996</v>
      </c>
      <c r="AK49" s="75">
        <f>利润表!AK4</f>
        <v>3306089482.5799999</v>
      </c>
      <c r="AL49" s="75">
        <f>利润表!AL4</f>
        <v>2349252600.0599999</v>
      </c>
      <c r="AM49" s="75">
        <f>利润表!AM4</f>
        <v>1549833425.46</v>
      </c>
      <c r="AN49" s="75">
        <f>利润表!AN4</f>
        <v>768414498.45000005</v>
      </c>
      <c r="AO49" s="75">
        <f>利润表!AO4</f>
        <v>3049701649.1599998</v>
      </c>
      <c r="AP49" s="75">
        <f>利润表!AP4</f>
        <v>2265222000.3400002</v>
      </c>
      <c r="AQ49" s="75">
        <f>利润表!AQ4</f>
        <v>1511455848.98</v>
      </c>
      <c r="AR49" s="75">
        <f>利润表!AR4</f>
        <v>754796835.00999999</v>
      </c>
      <c r="AS49" s="75">
        <f>利润表!AS4</f>
        <v>2683440041.75</v>
      </c>
      <c r="AT49" s="75">
        <f>利润表!AT4</f>
        <v>1953381247.0799999</v>
      </c>
      <c r="AU49" s="75">
        <f>利润表!AU4</f>
        <v>1274734794.4300001</v>
      </c>
      <c r="AV49" s="75">
        <f>利润表!AV4</f>
        <v>621061130.22000003</v>
      </c>
      <c r="AW49" s="75">
        <f>利润表!AW4</f>
        <v>2409797561.5500002</v>
      </c>
      <c r="AX49" s="75">
        <f>利润表!AX4</f>
        <v>1782559040.05</v>
      </c>
      <c r="AY49" s="75">
        <f>利润表!AY4</f>
        <v>1187910368.9100001</v>
      </c>
      <c r="AZ49" s="75">
        <f>利润表!AZ4</f>
        <v>589704365.50999999</v>
      </c>
      <c r="BA49" s="75">
        <f>利润表!BA4</f>
        <v>2149308234.9299998</v>
      </c>
      <c r="BB49" s="75">
        <f>利润表!BB4</f>
        <v>1520411535.9000001</v>
      </c>
      <c r="BC49" s="75">
        <f>利润表!BC4</f>
        <v>979579514.60000002</v>
      </c>
      <c r="BD49" s="75">
        <f>利润表!BD4</f>
        <v>446053032.56999999</v>
      </c>
      <c r="BE49" s="75">
        <f>利润表!BE4</f>
        <v>1540782654.2</v>
      </c>
      <c r="BF49" s="75">
        <f>利润表!BF4</f>
        <v>1093635054.0999999</v>
      </c>
      <c r="BG49" s="75">
        <f>利润表!BG4</f>
        <v>714288559.48000002</v>
      </c>
      <c r="BH49" s="75">
        <f>利润表!BH4</f>
        <v>349186247.05000001</v>
      </c>
      <c r="BI49" s="75">
        <f>利润表!BI4</f>
        <v>1061851063.5700001</v>
      </c>
      <c r="BJ49" s="75">
        <f>利润表!BJ4</f>
        <v>698265414.20000005</v>
      </c>
      <c r="BK49" s="75">
        <f>利润表!BK4</f>
        <v>395320373.35000002</v>
      </c>
      <c r="BL49" s="75">
        <f>利润表!BL4</f>
        <v>246816885.5</v>
      </c>
      <c r="BM49" s="75">
        <f>利润表!BM4</f>
        <v>939655600.10000002</v>
      </c>
      <c r="BN49" s="75">
        <f>利润表!BN4</f>
        <v>432349125.27999997</v>
      </c>
      <c r="BO49" s="75">
        <f>利润表!BO4</f>
        <v>838384482.12</v>
      </c>
      <c r="BP49" s="75">
        <f>利润表!BP4</f>
        <v>780254893.07000005</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6" t="s">
        <v>465</v>
      </c>
      <c r="E50" s="75">
        <f>资产资本表!E50</f>
        <v>-3056356317.8100004</v>
      </c>
      <c r="F50" s="75">
        <f>资产资本表!F50</f>
        <v>-1843789960.8500004</v>
      </c>
      <c r="G50" s="75">
        <f>资产资本表!G50</f>
        <v>-2563885843.0799994</v>
      </c>
      <c r="H50" s="75">
        <f>资产资本表!H50</f>
        <v>-1843114663.0799999</v>
      </c>
      <c r="I50" s="75">
        <f>资产资本表!I50</f>
        <v>-1907505687.26</v>
      </c>
      <c r="J50" s="75">
        <f>资产资本表!J50</f>
        <v>-1637706442.7599998</v>
      </c>
      <c r="K50" s="75">
        <f>资产资本表!K50</f>
        <v>-1766059397.0599999</v>
      </c>
      <c r="L50" s="75">
        <f>资产资本表!L50</f>
        <v>-1311664691.8699999</v>
      </c>
      <c r="M50" s="75">
        <f>资产资本表!M50</f>
        <v>-1651290155.6500001</v>
      </c>
      <c r="N50" s="75">
        <f>资产资本表!N50</f>
        <v>-1196877369.9399998</v>
      </c>
      <c r="O50" s="75">
        <f>资产资本表!O50</f>
        <v>-1451531910.6899998</v>
      </c>
      <c r="P50" s="75">
        <f>资产资本表!P50</f>
        <v>-1066419450.74</v>
      </c>
      <c r="Q50" s="75">
        <f>资产资本表!Q50</f>
        <v>-1314697724.9399998</v>
      </c>
      <c r="R50" s="75">
        <f>资产资本表!R50</f>
        <v>-1064838870.54</v>
      </c>
      <c r="S50" s="75">
        <f>资产资本表!S50</f>
        <v>-1110978059.8299999</v>
      </c>
      <c r="T50" s="75">
        <f>资产资本表!T50</f>
        <v>-857653224.3599999</v>
      </c>
      <c r="U50" s="75">
        <f>资产资本表!U50</f>
        <v>-1173724521.79</v>
      </c>
      <c r="V50" s="75">
        <f>资产资本表!V50</f>
        <v>-1148829884.0000002</v>
      </c>
      <c r="W50" s="75">
        <f>资产资本表!W50</f>
        <v>-998187118.05999982</v>
      </c>
      <c r="X50" s="75">
        <f>资产资本表!X50</f>
        <v>-746399459.63999987</v>
      </c>
      <c r="Y50" s="75">
        <f>资产资本表!Y50</f>
        <v>-959428425.03999996</v>
      </c>
      <c r="Z50" s="75">
        <f>资产资本表!Z50</f>
        <v>-1033392695.1999998</v>
      </c>
      <c r="AA50" s="75">
        <f>资产资本表!AA50</f>
        <v>-1054380518.9800001</v>
      </c>
      <c r="AB50" s="75">
        <f>资产资本表!AB50</f>
        <v>-828335351.69000006</v>
      </c>
      <c r="AC50" s="75">
        <f>资产资本表!AC50</f>
        <v>-975340563.35000002</v>
      </c>
      <c r="AD50" s="75">
        <f>资产资本表!AD50</f>
        <v>-1312875850.6899998</v>
      </c>
      <c r="AE50" s="75">
        <f>资产资本表!AE50</f>
        <v>-1387654665.6599998</v>
      </c>
      <c r="AF50" s="75">
        <f>资产资本表!AF50</f>
        <v>-1366453297.2700002</v>
      </c>
      <c r="AG50" s="75">
        <f>资产资本表!AG50</f>
        <v>-1670160948.8600001</v>
      </c>
      <c r="AH50" s="75">
        <f>资产资本表!AH50</f>
        <v>-1557889973.1600001</v>
      </c>
      <c r="AI50" s="75">
        <f>资产资本表!AI50</f>
        <v>-1094935659.3000002</v>
      </c>
      <c r="AJ50" s="75">
        <f>资产资本表!AJ50</f>
        <v>-1935377590.23</v>
      </c>
      <c r="AK50" s="75">
        <f>资产资本表!AK50</f>
        <v>-2023623644.25</v>
      </c>
      <c r="AL50" s="75">
        <f>资产资本表!AL50</f>
        <v>-76586599.579999924</v>
      </c>
      <c r="AM50" s="75">
        <f>资产资本表!AM50</f>
        <v>-303585216.32000017</v>
      </c>
      <c r="AN50" s="75">
        <f>资产资本表!AN50</f>
        <v>-258969261.82999992</v>
      </c>
      <c r="AO50" s="75">
        <f>资产资本表!AO50</f>
        <v>-401545210.75999987</v>
      </c>
      <c r="AP50" s="75">
        <f>资产资本表!AP50</f>
        <v>-545710214.23000026</v>
      </c>
      <c r="AQ50" s="75">
        <f>资产资本表!AQ50</f>
        <v>-630897949.3499999</v>
      </c>
      <c r="AR50" s="75">
        <f>资产资本表!AR50</f>
        <v>-737612910.92000008</v>
      </c>
      <c r="AS50" s="75">
        <f>资产资本表!AS50</f>
        <v>-976242145.91000009</v>
      </c>
      <c r="AT50" s="75">
        <f>资产资本表!AT50</f>
        <v>-1417885050.8600004</v>
      </c>
      <c r="AU50" s="75">
        <f>资产资本表!AU50</f>
        <v>-1077580947.28</v>
      </c>
      <c r="AV50" s="75">
        <f>资产资本表!AV50</f>
        <v>-1333918496.3499999</v>
      </c>
      <c r="AW50" s="75">
        <f>资产资本表!AW50</f>
        <v>99418420.100000024</v>
      </c>
      <c r="AX50" s="75">
        <f>资产资本表!AX50</f>
        <v>-550544170.1500001</v>
      </c>
      <c r="AY50" s="75">
        <f>资产资本表!AY50</f>
        <v>476145313.38000011</v>
      </c>
      <c r="AZ50" s="75">
        <f>资产资本表!AZ50</f>
        <v>337069986.41999996</v>
      </c>
      <c r="BA50" s="75">
        <f>资产资本表!BA50</f>
        <v>321878662.73999989</v>
      </c>
      <c r="BB50" s="75">
        <f>资产资本表!BB50</f>
        <v>-591714010.57000017</v>
      </c>
      <c r="BC50" s="75">
        <f>资产资本表!BC50</f>
        <v>-545427242.92999995</v>
      </c>
      <c r="BD50" s="75">
        <f>资产资本表!BD50</f>
        <v>-2867695510</v>
      </c>
      <c r="BE50" s="75">
        <f>资产资本表!BE50</f>
        <v>-2953251908.6500001</v>
      </c>
      <c r="BF50" s="75">
        <f>资产资本表!BF50</f>
        <v>-2230839794.52</v>
      </c>
      <c r="BG50" s="75">
        <f>资产资本表!BG50</f>
        <v>139812950.54999995</v>
      </c>
      <c r="BH50" s="75">
        <f>资产资本表!BH50</f>
        <v>89247939.5</v>
      </c>
      <c r="BI50" s="75">
        <f>资产资本表!BI50</f>
        <v>75408847.150000036</v>
      </c>
      <c r="BJ50" s="75">
        <f>资产资本表!BJ50</f>
        <v>66701192.799999952</v>
      </c>
      <c r="BK50" s="75">
        <f>资产资本表!BK50</f>
        <v>-19874.680000007153</v>
      </c>
      <c r="BL50" s="75">
        <f>资产资本表!BL50</f>
        <v>98136749.879999876</v>
      </c>
      <c r="BM50" s="75">
        <f>资产资本表!BM50</f>
        <v>120597558.45999998</v>
      </c>
      <c r="BN50" s="75">
        <f>资产资本表!BN50</f>
        <v>82555644.789999992</v>
      </c>
      <c r="BO50" s="75">
        <f>资产资本表!BO50</f>
        <v>300560985.86000001</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2" t="s">
        <v>466</v>
      </c>
      <c r="E51" s="44">
        <f>E49/E50</f>
        <v>-2.2122914252402732</v>
      </c>
      <c r="F51" s="44">
        <f t="shared" ref="F51:BQ51" si="18">F49/F50</f>
        <v>-2.6675973328342351</v>
      </c>
      <c r="G51" s="44">
        <f t="shared" si="18"/>
        <v>-1.2534339339069107</v>
      </c>
      <c r="H51" s="44">
        <f t="shared" si="18"/>
        <v>-0.85927780751492933</v>
      </c>
      <c r="I51" s="44">
        <f t="shared" si="18"/>
        <v>-3.2328517274189696</v>
      </c>
      <c r="J51" s="44">
        <f t="shared" si="18"/>
        <v>-2.7688676165539934</v>
      </c>
      <c r="K51" s="44">
        <f t="shared" si="18"/>
        <v>-1.6900056094538023</v>
      </c>
      <c r="L51" s="44">
        <f t="shared" si="18"/>
        <v>-1.0998976555686588</v>
      </c>
      <c r="M51" s="44">
        <f t="shared" si="18"/>
        <v>-3.403239179378438</v>
      </c>
      <c r="N51" s="44">
        <f t="shared" si="18"/>
        <v>-3.5061969550317196</v>
      </c>
      <c r="O51" s="44">
        <f t="shared" si="18"/>
        <v>-1.9110380614583831</v>
      </c>
      <c r="P51" s="44">
        <f t="shared" si="18"/>
        <v>-1.3029980954171283</v>
      </c>
      <c r="Q51" s="44">
        <f t="shared" si="18"/>
        <v>-4.2045243339584184</v>
      </c>
      <c r="R51" s="44">
        <f t="shared" si="18"/>
        <v>-3.8315551306095359</v>
      </c>
      <c r="S51" s="44">
        <f t="shared" si="18"/>
        <v>-2.4135830181923748</v>
      </c>
      <c r="T51" s="44">
        <f t="shared" si="18"/>
        <v>-1.5020010704224669</v>
      </c>
      <c r="U51" s="44">
        <f t="shared" si="18"/>
        <v>-4.3803408072442673</v>
      </c>
      <c r="V51" s="44">
        <f t="shared" si="18"/>
        <v>-3.304867711850016</v>
      </c>
      <c r="W51" s="44">
        <f t="shared" si="18"/>
        <v>-2.4667967187510755</v>
      </c>
      <c r="X51" s="44">
        <f t="shared" si="18"/>
        <v>-1.5866764669835154</v>
      </c>
      <c r="Y51" s="44">
        <f t="shared" si="18"/>
        <v>-4.8709369818860253</v>
      </c>
      <c r="Z51" s="44">
        <f t="shared" si="18"/>
        <v>-3.3482738658708495</v>
      </c>
      <c r="AA51" s="44">
        <f t="shared" si="18"/>
        <v>-2.1713262647860305</v>
      </c>
      <c r="AB51" s="44">
        <f t="shared" si="18"/>
        <v>-1.3421933174670058</v>
      </c>
      <c r="AC51" s="44">
        <f t="shared" si="18"/>
        <v>-4.3465347328210244</v>
      </c>
      <c r="AD51" s="44">
        <f t="shared" si="18"/>
        <v>-2.3654433481108241</v>
      </c>
      <c r="AE51" s="44">
        <f t="shared" si="18"/>
        <v>-1.4616793467236979</v>
      </c>
      <c r="AF51" s="44">
        <f t="shared" si="18"/>
        <v>-0.72199449166030394</v>
      </c>
      <c r="AG51" s="44">
        <f t="shared" si="18"/>
        <v>-2.314435313457937</v>
      </c>
      <c r="AH51" s="44">
        <f t="shared" si="18"/>
        <v>-1.7559485955681469</v>
      </c>
      <c r="AI51" s="44">
        <f t="shared" si="18"/>
        <v>-1.6191411736223831</v>
      </c>
      <c r="AJ51" s="44">
        <f t="shared" si="18"/>
        <v>-0.44783543172420315</v>
      </c>
      <c r="AK51" s="44">
        <f t="shared" si="18"/>
        <v>-1.6337472098500363</v>
      </c>
      <c r="AL51" s="44">
        <f t="shared" si="18"/>
        <v>-30.67446019203458</v>
      </c>
      <c r="AM51" s="44">
        <f t="shared" si="18"/>
        <v>-5.1051017709188002</v>
      </c>
      <c r="AN51" s="44">
        <f t="shared" si="18"/>
        <v>-2.9672034936502421</v>
      </c>
      <c r="AO51" s="44">
        <f t="shared" si="18"/>
        <v>-7.5949147628678366</v>
      </c>
      <c r="AP51" s="44">
        <f t="shared" si="18"/>
        <v>-4.1509613367531326</v>
      </c>
      <c r="AQ51" s="44">
        <f t="shared" si="18"/>
        <v>-2.395721606857685</v>
      </c>
      <c r="AR51" s="44">
        <f t="shared" si="18"/>
        <v>-1.0232966693445849</v>
      </c>
      <c r="AS51" s="44">
        <f t="shared" si="18"/>
        <v>-2.7487443079489693</v>
      </c>
      <c r="AT51" s="44">
        <f t="shared" si="18"/>
        <v>-1.377672503067298</v>
      </c>
      <c r="AU51" s="44">
        <f t="shared" si="18"/>
        <v>-1.1829596631674404</v>
      </c>
      <c r="AV51" s="44">
        <f t="shared" si="18"/>
        <v>-0.46559151246452396</v>
      </c>
      <c r="AW51" s="44">
        <f t="shared" si="18"/>
        <v>24.238944444360563</v>
      </c>
      <c r="AX51" s="44">
        <f t="shared" si="18"/>
        <v>-3.23781294344526</v>
      </c>
      <c r="AY51" s="44">
        <f t="shared" si="18"/>
        <v>2.4948483908775922</v>
      </c>
      <c r="AZ51" s="44">
        <f t="shared" si="18"/>
        <v>1.7495012586947138</v>
      </c>
      <c r="BA51" s="44">
        <f t="shared" si="18"/>
        <v>6.6773864928913325</v>
      </c>
      <c r="BB51" s="44">
        <f t="shared" si="18"/>
        <v>-2.5695040319146445</v>
      </c>
      <c r="BC51" s="44">
        <f t="shared" si="18"/>
        <v>-1.795985674162079</v>
      </c>
      <c r="BD51" s="44">
        <f t="shared" si="18"/>
        <v>-0.15554407049652214</v>
      </c>
      <c r="BE51" s="44">
        <f t="shared" si="18"/>
        <v>-0.52172408648482937</v>
      </c>
      <c r="BF51" s="44">
        <f t="shared" si="18"/>
        <v>-0.49023468954896987</v>
      </c>
      <c r="BG51" s="44">
        <f t="shared" si="18"/>
        <v>5.108886956967237</v>
      </c>
      <c r="BH51" s="44">
        <f t="shared" si="18"/>
        <v>3.9125412755327535</v>
      </c>
      <c r="BI51" s="44">
        <f t="shared" si="18"/>
        <v>14.081253111558802</v>
      </c>
      <c r="BJ51" s="44">
        <f t="shared" si="18"/>
        <v>10.468559629716255</v>
      </c>
      <c r="BK51" s="44">
        <f t="shared" si="18"/>
        <v>-19890.65350233854</v>
      </c>
      <c r="BL51" s="44">
        <f t="shared" si="18"/>
        <v>2.5150301574262848</v>
      </c>
      <c r="BM51" s="44">
        <f t="shared" si="18"/>
        <v>7.791663546917218</v>
      </c>
      <c r="BN51" s="44">
        <f t="shared" si="18"/>
        <v>5.2370631515238388</v>
      </c>
      <c r="BO51" s="44">
        <f t="shared" si="18"/>
        <v>2.7893988959382634</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6" t="s">
        <v>467</v>
      </c>
      <c r="E52" s="75">
        <f>资产资本表!E68</f>
        <v>18008607027.469997</v>
      </c>
      <c r="F52" s="75">
        <f>资产资本表!F68</f>
        <v>17418505411.499996</v>
      </c>
      <c r="G52" s="75">
        <f>资产资本表!G68</f>
        <v>16642185109.350002</v>
      </c>
      <c r="H52" s="75">
        <f>资产资本表!H68</f>
        <v>16060724738.549999</v>
      </c>
      <c r="I52" s="75">
        <f>资产资本表!I68</f>
        <v>15340854021.51</v>
      </c>
      <c r="J52" s="75">
        <f>资产资本表!J68</f>
        <v>13023685338.540001</v>
      </c>
      <c r="K52" s="75">
        <f>资产资本表!K68</f>
        <v>12283898099.049999</v>
      </c>
      <c r="L52" s="75">
        <f>资产资本表!L68</f>
        <v>11884189349.230001</v>
      </c>
      <c r="M52" s="75">
        <f>资产资本表!M68</f>
        <v>9801515508.0500011</v>
      </c>
      <c r="N52" s="75">
        <f>资产资本表!N68</f>
        <v>8595460150.3899994</v>
      </c>
      <c r="O52" s="75">
        <f>资产资本表!O68</f>
        <v>8225281732.7400017</v>
      </c>
      <c r="P52" s="75">
        <f>资产资本表!P68</f>
        <v>6589938435.7300005</v>
      </c>
      <c r="Q52" s="75">
        <f>资产资本表!Q68</f>
        <v>6728921162.8100004</v>
      </c>
      <c r="R52" s="75">
        <f>资产资本表!R68</f>
        <v>6835982821.1000004</v>
      </c>
      <c r="S52" s="75">
        <f>资产资本表!S68</f>
        <v>6955336766.3099995</v>
      </c>
      <c r="T52" s="75">
        <f>资产资本表!T68</f>
        <v>7116285323.3500004</v>
      </c>
      <c r="U52" s="75">
        <f>资产资本表!U68</f>
        <v>7261735265.7699995</v>
      </c>
      <c r="V52" s="75">
        <f>资产资本表!V68</f>
        <v>7525378871.249999</v>
      </c>
      <c r="W52" s="75">
        <f>资产资本表!W68</f>
        <v>7647567472.1999998</v>
      </c>
      <c r="X52" s="75">
        <f>资产资本表!X68</f>
        <v>7784935643.9300003</v>
      </c>
      <c r="Y52" s="75">
        <f>资产资本表!Y68</f>
        <v>7960960371.5</v>
      </c>
      <c r="Z52" s="75">
        <f>资产资本表!Z68</f>
        <v>8194142228.9099998</v>
      </c>
      <c r="AA52" s="75">
        <f>资产资本表!AA68</f>
        <v>8336496698.9299994</v>
      </c>
      <c r="AB52" s="75">
        <f>资产资本表!AB68</f>
        <v>8480990083.0100002</v>
      </c>
      <c r="AC52" s="75">
        <f>资产资本表!AC68</f>
        <v>8636250232.6700001</v>
      </c>
      <c r="AD52" s="75">
        <f>资产资本表!AD68</f>
        <v>8639366411.2099991</v>
      </c>
      <c r="AE52" s="75">
        <f>资产资本表!AE68</f>
        <v>8753949893.6900005</v>
      </c>
      <c r="AF52" s="75">
        <f>资产资本表!AF68</f>
        <v>8885379518.8899994</v>
      </c>
      <c r="AG52" s="75">
        <f>资产资本表!AG68</f>
        <v>9028929537.9899998</v>
      </c>
      <c r="AH52" s="75">
        <f>资产资本表!AH68</f>
        <v>8546966886.1299992</v>
      </c>
      <c r="AI52" s="75">
        <f>资产资本表!AI68</f>
        <v>8654855627.3799992</v>
      </c>
      <c r="AJ52" s="75">
        <f>资产资本表!AJ68</f>
        <v>8770509291.0899982</v>
      </c>
      <c r="AK52" s="75">
        <f>资产资本表!AK68</f>
        <v>8872163668.9399986</v>
      </c>
      <c r="AL52" s="75">
        <f>资产资本表!AL68</f>
        <v>7037213843.1599998</v>
      </c>
      <c r="AM52" s="75">
        <f>资产资本表!AM68</f>
        <v>7030612675.9300013</v>
      </c>
      <c r="AN52" s="75">
        <f>资产资本表!AN68</f>
        <v>7134120837.1199999</v>
      </c>
      <c r="AO52" s="75">
        <f>资产资本表!AO68</f>
        <v>7247281341.2999992</v>
      </c>
      <c r="AP52" s="75">
        <f>资产资本表!AP68</f>
        <v>7339895799.7699995</v>
      </c>
      <c r="AQ52" s="75">
        <f>资产资本表!AQ68</f>
        <v>7429572252.3100014</v>
      </c>
      <c r="AR52" s="75">
        <f>资产资本表!AR68</f>
        <v>7517007727.1900005</v>
      </c>
      <c r="AS52" s="75">
        <f>资产资本表!AS68</f>
        <v>7640240439.9499998</v>
      </c>
      <c r="AT52" s="75">
        <f>资产资本表!AT68</f>
        <v>5711857124.6300001</v>
      </c>
      <c r="AU52" s="75">
        <f>资产资本表!AU68</f>
        <v>5725790775.3099995</v>
      </c>
      <c r="AV52" s="75">
        <f>资产资本表!AV68</f>
        <v>5819210389.9099998</v>
      </c>
      <c r="AW52" s="75">
        <f>资产资本表!AW68</f>
        <v>5910402317.3000002</v>
      </c>
      <c r="AX52" s="75">
        <f>资产资本表!AX68</f>
        <v>6000163247.8800001</v>
      </c>
      <c r="AY52" s="75">
        <f>资产资本表!AY68</f>
        <v>6086082074.6000004</v>
      </c>
      <c r="AZ52" s="75">
        <f>资产资本表!AZ68</f>
        <v>6166335699.0799999</v>
      </c>
      <c r="BA52" s="75">
        <f>资产资本表!BA68</f>
        <v>6233645868.25</v>
      </c>
      <c r="BB52" s="75">
        <f>资产资本表!BB68</f>
        <v>6185780553.0500002</v>
      </c>
      <c r="BC52" s="75">
        <f>资产资本表!BC68</f>
        <v>6258470282.2400007</v>
      </c>
      <c r="BD52" s="75">
        <f>资产资本表!BD68</f>
        <v>5870410094.6900005</v>
      </c>
      <c r="BE52" s="75">
        <f>资产资本表!BE68</f>
        <v>5931620142.3899994</v>
      </c>
      <c r="BF52" s="75">
        <f>资产资本表!BF68</f>
        <v>5160087011.7900009</v>
      </c>
      <c r="BG52" s="75">
        <f>资产资本表!BG68</f>
        <v>2781603970.1599998</v>
      </c>
      <c r="BH52" s="75">
        <f>资产资本表!BH68</f>
        <v>2789484591.9400005</v>
      </c>
      <c r="BI52" s="75">
        <f>资产资本表!BI68</f>
        <v>2796916857.8499999</v>
      </c>
      <c r="BJ52" s="75">
        <f>资产资本表!BJ68</f>
        <v>2799758108.6099997</v>
      </c>
      <c r="BK52" s="75">
        <f>资产资本表!BK68</f>
        <v>2806986344.9900002</v>
      </c>
      <c r="BL52" s="75">
        <f>资产资本表!BL68</f>
        <v>316218148.47000003</v>
      </c>
      <c r="BM52" s="75">
        <f>资产资本表!BM68</f>
        <v>325888513.78000003</v>
      </c>
      <c r="BN52" s="75">
        <f>资产资本表!BN68</f>
        <v>343208530.81</v>
      </c>
      <c r="BO52" s="75">
        <f>资产资本表!BO68</f>
        <v>360013767.79999995</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2" t="s">
        <v>468</v>
      </c>
      <c r="E53" s="44">
        <f>E49/E52</f>
        <v>0.37546218117015129</v>
      </c>
      <c r="F53" s="44">
        <f t="shared" ref="F53:BQ53" si="20">F49/F52</f>
        <v>0.28237148168996917</v>
      </c>
      <c r="G53" s="44">
        <f t="shared" si="20"/>
        <v>0.19310333933099227</v>
      </c>
      <c r="H53" s="44">
        <f t="shared" si="20"/>
        <v>9.8609966391403611E-2</v>
      </c>
      <c r="I53" s="44">
        <f t="shared" si="20"/>
        <v>0.40197781997491516</v>
      </c>
      <c r="J53" s="44">
        <f t="shared" si="20"/>
        <v>0.34818042795929088</v>
      </c>
      <c r="K53" s="44">
        <f t="shared" si="20"/>
        <v>0.24297256974891576</v>
      </c>
      <c r="L53" s="44">
        <f t="shared" si="20"/>
        <v>0.12139632557886458</v>
      </c>
      <c r="M53" s="44">
        <f t="shared" si="20"/>
        <v>0.57335371755668818</v>
      </c>
      <c r="N53" s="44">
        <f t="shared" si="20"/>
        <v>0.48822142347313358</v>
      </c>
      <c r="O53" s="44">
        <f t="shared" si="20"/>
        <v>0.33724470709721804</v>
      </c>
      <c r="P53" s="44">
        <f t="shared" si="20"/>
        <v>0.21085819340830814</v>
      </c>
      <c r="Q53" s="44">
        <f t="shared" si="20"/>
        <v>0.82148065678951121</v>
      </c>
      <c r="R53" s="44">
        <f t="shared" si="20"/>
        <v>0.59684012445096746</v>
      </c>
      <c r="S53" s="44">
        <f t="shared" si="20"/>
        <v>0.38552235051769862</v>
      </c>
      <c r="T53" s="44">
        <f t="shared" si="20"/>
        <v>0.181020856037512</v>
      </c>
      <c r="U53" s="44">
        <f t="shared" si="20"/>
        <v>0.70800066803520967</v>
      </c>
      <c r="V53" s="44">
        <f t="shared" si="20"/>
        <v>0.50452354027583279</v>
      </c>
      <c r="W53" s="44">
        <f t="shared" si="20"/>
        <v>0.32197489155615849</v>
      </c>
      <c r="X53" s="44">
        <f t="shared" si="20"/>
        <v>0.15212642875261367</v>
      </c>
      <c r="Y53" s="44">
        <f t="shared" si="20"/>
        <v>0.58702909936976067</v>
      </c>
      <c r="Z53" s="44">
        <f t="shared" si="20"/>
        <v>0.42226283823978322</v>
      </c>
      <c r="AA53" s="44">
        <f t="shared" si="20"/>
        <v>0.27462424524606938</v>
      </c>
      <c r="AB53" s="44">
        <f t="shared" si="20"/>
        <v>0.13109155449753981</v>
      </c>
      <c r="AC53" s="44">
        <f t="shared" si="20"/>
        <v>0.49087874027700024</v>
      </c>
      <c r="AD53" s="44">
        <f t="shared" si="20"/>
        <v>0.35946310181732988</v>
      </c>
      <c r="AE53" s="44">
        <f t="shared" si="20"/>
        <v>0.23170182486902724</v>
      </c>
      <c r="AF53" s="44">
        <f t="shared" si="20"/>
        <v>0.11103315864478087</v>
      </c>
      <c r="AG53" s="44">
        <f t="shared" si="20"/>
        <v>0.42812156888982922</v>
      </c>
      <c r="AH53" s="44">
        <f t="shared" si="20"/>
        <v>0.32006380121342054</v>
      </c>
      <c r="AI53" s="44">
        <f t="shared" si="20"/>
        <v>0.204839397069952</v>
      </c>
      <c r="AJ53" s="44">
        <f t="shared" si="20"/>
        <v>9.8823298613971683E-2</v>
      </c>
      <c r="AK53" s="44">
        <f t="shared" si="20"/>
        <v>0.37263621433789385</v>
      </c>
      <c r="AL53" s="44">
        <f t="shared" si="20"/>
        <v>0.33383277138059636</v>
      </c>
      <c r="AM53" s="44">
        <f t="shared" si="20"/>
        <v>0.22044073495415389</v>
      </c>
      <c r="AN53" s="44">
        <f t="shared" si="20"/>
        <v>0.10770976774766884</v>
      </c>
      <c r="AO53" s="44">
        <f t="shared" si="20"/>
        <v>0.42080630039580497</v>
      </c>
      <c r="AP53" s="44">
        <f t="shared" si="20"/>
        <v>0.30861773274914645</v>
      </c>
      <c r="AQ53" s="44">
        <f t="shared" si="20"/>
        <v>0.20343780202286321</v>
      </c>
      <c r="AR53" s="44">
        <f t="shared" si="20"/>
        <v>0.10041187429937062</v>
      </c>
      <c r="AS53" s="44">
        <f t="shared" si="20"/>
        <v>0.35122455410154096</v>
      </c>
      <c r="AT53" s="44">
        <f t="shared" si="20"/>
        <v>0.3419870638319818</v>
      </c>
      <c r="AU53" s="44">
        <f t="shared" si="20"/>
        <v>0.22263034827027622</v>
      </c>
      <c r="AV53" s="44">
        <f t="shared" si="20"/>
        <v>0.10672601411642815</v>
      </c>
      <c r="AW53" s="44">
        <f t="shared" si="20"/>
        <v>0.40772140916641492</v>
      </c>
      <c r="AX53" s="44">
        <f t="shared" si="20"/>
        <v>0.29708509025647267</v>
      </c>
      <c r="AY53" s="44">
        <f t="shared" si="20"/>
        <v>0.19518474354259738</v>
      </c>
      <c r="AZ53" s="44">
        <f t="shared" si="20"/>
        <v>9.5632867603685973E-2</v>
      </c>
      <c r="BA53" s="44">
        <f t="shared" si="20"/>
        <v>0.34479152014026504</v>
      </c>
      <c r="BB53" s="44">
        <f t="shared" si="20"/>
        <v>0.24579137957785074</v>
      </c>
      <c r="BC53" s="44">
        <f t="shared" si="20"/>
        <v>0.15652059855262168</v>
      </c>
      <c r="BD53" s="44">
        <f t="shared" si="20"/>
        <v>7.5983283173601646E-2</v>
      </c>
      <c r="BE53" s="44">
        <f t="shared" si="20"/>
        <v>0.25975747219362227</v>
      </c>
      <c r="BF53" s="44">
        <f t="shared" si="20"/>
        <v>0.21194120401481853</v>
      </c>
      <c r="BG53" s="44">
        <f t="shared" si="20"/>
        <v>0.25679017111803792</v>
      </c>
      <c r="BH53" s="44">
        <f t="shared" si="20"/>
        <v>0.12517948586593616</v>
      </c>
      <c r="BI53" s="44">
        <f t="shared" si="20"/>
        <v>0.37965056436688249</v>
      </c>
      <c r="BJ53" s="44">
        <f t="shared" si="20"/>
        <v>0.24940205086026843</v>
      </c>
      <c r="BK53" s="44">
        <f t="shared" si="20"/>
        <v>0.14083444832411834</v>
      </c>
      <c r="BL53" s="44">
        <f t="shared" si="20"/>
        <v>0.78052726162051955</v>
      </c>
      <c r="BM53" s="44">
        <f t="shared" si="20"/>
        <v>2.883365201187607</v>
      </c>
      <c r="BN53" s="44">
        <f t="shared" si="20"/>
        <v>1.2597272109164097</v>
      </c>
      <c r="BO53" s="44">
        <f t="shared" si="20"/>
        <v>2.328756722953305</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6" t="s">
        <v>469</v>
      </c>
      <c r="E54" s="75">
        <f>资产资本表!E17</f>
        <v>3011437530.1999998</v>
      </c>
      <c r="F54" s="75">
        <f>资产资本表!F17</f>
        <v>1180652859.0199997</v>
      </c>
      <c r="G54" s="75">
        <f>资产资本表!G17</f>
        <v>1493889252.21</v>
      </c>
      <c r="H54" s="75">
        <f>资产资本表!H17</f>
        <v>813929129.69000006</v>
      </c>
      <c r="I54" s="75">
        <f>资产资本表!I17</f>
        <v>1170610445.5599999</v>
      </c>
      <c r="J54" s="75">
        <f>资产资本表!J17</f>
        <v>2605949119.7399998</v>
      </c>
      <c r="K54" s="75">
        <f>资产资本表!K17</f>
        <v>3244056293.1599998</v>
      </c>
      <c r="L54" s="75">
        <f>资产资本表!L17</f>
        <v>2884980245.04</v>
      </c>
      <c r="M54" s="75">
        <f>资产资本表!M17</f>
        <v>1528127586.9300003</v>
      </c>
      <c r="N54" s="75">
        <f>资产资本表!N17</f>
        <v>1944821223.79</v>
      </c>
      <c r="O54" s="75">
        <f>资产资本表!O17</f>
        <v>2509907999.2999997</v>
      </c>
      <c r="P54" s="75">
        <f>资产资本表!P17</f>
        <v>3565980717.3600001</v>
      </c>
      <c r="Q54" s="75">
        <f>资产资本表!Q17</f>
        <v>3357835137.5600004</v>
      </c>
      <c r="R54" s="75">
        <f>资产资本表!R17</f>
        <v>2544307916.3599997</v>
      </c>
      <c r="S54" s="75">
        <f>资产资本表!S17</f>
        <v>2650928704.8899999</v>
      </c>
      <c r="T54" s="75">
        <f>资产资本表!T17</f>
        <v>1944355391.6099999</v>
      </c>
      <c r="U54" s="75">
        <f>资产资本表!U17</f>
        <v>1855396028.55</v>
      </c>
      <c r="V54" s="75">
        <f>资产资本表!V17</f>
        <v>1339938790.28</v>
      </c>
      <c r="W54" s="75">
        <f>资产资本表!W17</f>
        <v>1919067633.49</v>
      </c>
      <c r="X54" s="75">
        <f>资产资本表!X17</f>
        <v>1323925160.4300001</v>
      </c>
      <c r="Y54" s="75">
        <f>资产资本表!Y17</f>
        <v>1297891950.8099999</v>
      </c>
      <c r="Z54" s="75">
        <f>资产资本表!Z17</f>
        <v>955099867.87</v>
      </c>
      <c r="AA54" s="75">
        <f>资产资本表!AA17</f>
        <v>1285801049.8</v>
      </c>
      <c r="AB54" s="75">
        <f>资产资本表!AB17</f>
        <v>736981925.47000003</v>
      </c>
      <c r="AC54" s="75">
        <f>资产资本表!AC17</f>
        <v>990977105.09000003</v>
      </c>
      <c r="AD54" s="75">
        <f>资产资本表!AD17</f>
        <v>2127294429.4100001</v>
      </c>
      <c r="AE54" s="75">
        <f>资产资本表!AE17</f>
        <v>1269011644.8699999</v>
      </c>
      <c r="AF54" s="75">
        <f>资产资本表!AF17</f>
        <v>950980607.22000003</v>
      </c>
      <c r="AG54" s="75">
        <f>资产资本表!AG17</f>
        <v>1116611175.47</v>
      </c>
      <c r="AH54" s="75">
        <f>资产资本表!AH17</f>
        <v>966764613.48000002</v>
      </c>
      <c r="AI54" s="75">
        <f>资产资本表!AI17</f>
        <v>748395614.03999996</v>
      </c>
      <c r="AJ54" s="75">
        <f>资产资本表!AJ17</f>
        <v>1353080287.71</v>
      </c>
      <c r="AK54" s="75">
        <f>资产资本表!AK17</f>
        <v>1157096238.6500001</v>
      </c>
      <c r="AL54" s="75">
        <f>资产资本表!AL17</f>
        <v>795704976.13999999</v>
      </c>
      <c r="AM54" s="75">
        <f>资产资本表!AM17</f>
        <v>987589575.78999996</v>
      </c>
      <c r="AN54" s="75">
        <f>资产资本表!AN17</f>
        <v>678418073.44000006</v>
      </c>
      <c r="AO54" s="75">
        <f>资产资本表!AO17</f>
        <v>560744939.38999999</v>
      </c>
      <c r="AP54" s="75">
        <f>资产资本表!AP17</f>
        <v>634816597.60000002</v>
      </c>
      <c r="AQ54" s="75">
        <f>资产资本表!AQ17</f>
        <v>584527936.80999994</v>
      </c>
      <c r="AR54" s="75">
        <f>资产资本表!AR17</f>
        <v>417065471.07999998</v>
      </c>
      <c r="AS54" s="75">
        <f>资产资本表!AS17</f>
        <v>555649909.46000004</v>
      </c>
      <c r="AT54" s="75">
        <f>资产资本表!AT17</f>
        <v>524216565.25999999</v>
      </c>
      <c r="AU54" s="75">
        <f>资产资本表!AU17</f>
        <v>469982296.10999995</v>
      </c>
      <c r="AV54" s="75">
        <f>资产资本表!AV17</f>
        <v>560071595.25999999</v>
      </c>
      <c r="AW54" s="75">
        <f>资产资本表!AW17</f>
        <v>483154127.57999998</v>
      </c>
      <c r="AX54" s="75">
        <f>资产资本表!AX17</f>
        <v>484368658.55000001</v>
      </c>
      <c r="AY54" s="75">
        <f>资产资本表!AY17</f>
        <v>417219445.72000003</v>
      </c>
      <c r="AZ54" s="75">
        <f>资产资本表!AZ17</f>
        <v>509947858.29000002</v>
      </c>
      <c r="BA54" s="75">
        <f>资产资本表!BA17</f>
        <v>375604503.80000001</v>
      </c>
      <c r="BB54" s="75">
        <f>资产资本表!BB17</f>
        <v>593098637.54999995</v>
      </c>
      <c r="BC54" s="75">
        <f>资产资本表!BC17</f>
        <v>500049319.87</v>
      </c>
      <c r="BD54" s="75">
        <f>资产资本表!BD17</f>
        <v>1049840141.4</v>
      </c>
      <c r="BE54" s="75">
        <f>资产资本表!BE17</f>
        <v>1018152193.03</v>
      </c>
      <c r="BF54" s="75">
        <f>资产资本表!BF17</f>
        <v>1064764938.53</v>
      </c>
      <c r="BG54" s="75">
        <f>资产资本表!BG17</f>
        <v>1114295564.6700001</v>
      </c>
      <c r="BH54" s="75">
        <f>资产资本表!BH17</f>
        <v>1088642828.8099999</v>
      </c>
      <c r="BI54" s="75">
        <f>资产资本表!BI17</f>
        <v>947158565.73000002</v>
      </c>
      <c r="BJ54" s="75">
        <f>资产资本表!BJ17</f>
        <v>863301615.00999999</v>
      </c>
      <c r="BK54" s="75">
        <f>资产资本表!BK17</f>
        <v>797269155.94000006</v>
      </c>
      <c r="BL54" s="75">
        <f>资产资本表!BL17</f>
        <v>1049445262.8200001</v>
      </c>
      <c r="BM54" s="75">
        <f>资产资本表!BM17</f>
        <v>934224940.50999999</v>
      </c>
      <c r="BN54" s="75">
        <f>资产资本表!BN17</f>
        <v>823708768.09000003</v>
      </c>
      <c r="BO54" s="75">
        <f>资产资本表!BO17</f>
        <v>390586106.44</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2" t="s">
        <v>470</v>
      </c>
      <c r="E55" s="44">
        <f>E49/E54</f>
        <v>2.2452901003465087</v>
      </c>
      <c r="F55" s="44">
        <f t="shared" ref="F55:BQ55" si="22">F49/F54</f>
        <v>4.1659062986156563</v>
      </c>
      <c r="G55" s="44">
        <f t="shared" si="22"/>
        <v>2.1512046583278095</v>
      </c>
      <c r="H55" s="44">
        <f t="shared" si="22"/>
        <v>1.9458051922692576</v>
      </c>
      <c r="I55" s="44">
        <f t="shared" si="22"/>
        <v>5.2679207498186678</v>
      </c>
      <c r="J55" s="44">
        <f t="shared" si="22"/>
        <v>1.7400924294456004</v>
      </c>
      <c r="K55" s="44">
        <f t="shared" si="22"/>
        <v>0.92003652771163369</v>
      </c>
      <c r="L55" s="44">
        <f t="shared" si="22"/>
        <v>0.50007168054628992</v>
      </c>
      <c r="M55" s="44">
        <f t="shared" si="22"/>
        <v>3.6775302025140557</v>
      </c>
      <c r="N55" s="44">
        <f t="shared" si="22"/>
        <v>2.1577756035858302</v>
      </c>
      <c r="O55" s="44">
        <f t="shared" si="22"/>
        <v>1.10519299094773</v>
      </c>
      <c r="P55" s="44">
        <f t="shared" si="22"/>
        <v>0.38966630034351923</v>
      </c>
      <c r="Q55" s="44">
        <f t="shared" si="22"/>
        <v>1.6462030891506887</v>
      </c>
      <c r="R55" s="44">
        <f t="shared" si="22"/>
        <v>1.6035751063994699</v>
      </c>
      <c r="S55" s="44">
        <f t="shared" si="22"/>
        <v>1.0115088247540276</v>
      </c>
      <c r="T55" s="44">
        <f t="shared" si="22"/>
        <v>0.6625311743926221</v>
      </c>
      <c r="U55" s="44">
        <f t="shared" si="22"/>
        <v>2.771005941668399</v>
      </c>
      <c r="V55" s="44">
        <f t="shared" si="22"/>
        <v>2.8335106182325069</v>
      </c>
      <c r="W55" s="44">
        <f t="shared" si="22"/>
        <v>1.2830838603911201</v>
      </c>
      <c r="X55" s="44">
        <f t="shared" si="22"/>
        <v>0.89453278249908841</v>
      </c>
      <c r="Y55" s="44">
        <f t="shared" si="22"/>
        <v>3.6006968022903876</v>
      </c>
      <c r="Z55" s="44">
        <f t="shared" si="22"/>
        <v>3.6227434124103102</v>
      </c>
      <c r="AA55" s="44">
        <f t="shared" si="22"/>
        <v>1.7805274885225095</v>
      </c>
      <c r="AB55" s="44">
        <f t="shared" si="22"/>
        <v>1.5085664047337033</v>
      </c>
      <c r="AC55" s="44">
        <f t="shared" si="22"/>
        <v>4.2779511384826439</v>
      </c>
      <c r="AD55" s="44">
        <f t="shared" si="22"/>
        <v>1.4598512575296463</v>
      </c>
      <c r="AE55" s="44">
        <f t="shared" si="22"/>
        <v>1.5983353449745403</v>
      </c>
      <c r="AF55" s="44">
        <f t="shared" si="22"/>
        <v>1.0374257332376562</v>
      </c>
      <c r="AG55" s="44">
        <f t="shared" si="22"/>
        <v>3.4617954433179983</v>
      </c>
      <c r="AH55" s="44">
        <f t="shared" si="22"/>
        <v>2.8296181637978335</v>
      </c>
      <c r="AI55" s="44">
        <f t="shared" si="22"/>
        <v>2.3688746635883482</v>
      </c>
      <c r="AJ55" s="44">
        <f t="shared" si="22"/>
        <v>0.64056114521990781</v>
      </c>
      <c r="AK55" s="44">
        <f t="shared" si="22"/>
        <v>2.857229478541266</v>
      </c>
      <c r="AL55" s="44">
        <f t="shared" si="22"/>
        <v>2.9524166248856809</v>
      </c>
      <c r="AM55" s="44">
        <f t="shared" si="22"/>
        <v>1.5693092185792319</v>
      </c>
      <c r="AN55" s="44">
        <f t="shared" si="22"/>
        <v>1.1326562904694775</v>
      </c>
      <c r="AO55" s="44">
        <f t="shared" si="22"/>
        <v>5.4386610291616417</v>
      </c>
      <c r="AP55" s="44">
        <f t="shared" si="22"/>
        <v>3.5683093493521474</v>
      </c>
      <c r="AQ55" s="44">
        <f t="shared" si="22"/>
        <v>2.5857717891613738</v>
      </c>
      <c r="AR55" s="44">
        <f t="shared" si="22"/>
        <v>1.8097802080221059</v>
      </c>
      <c r="AS55" s="44">
        <f t="shared" si="22"/>
        <v>4.8293718689846648</v>
      </c>
      <c r="AT55" s="44">
        <f t="shared" si="22"/>
        <v>3.7262867611044785</v>
      </c>
      <c r="AU55" s="44">
        <f t="shared" si="22"/>
        <v>2.712303856934319</v>
      </c>
      <c r="AV55" s="44">
        <f t="shared" si="22"/>
        <v>1.1088959616523439</v>
      </c>
      <c r="AW55" s="44">
        <f t="shared" si="22"/>
        <v>4.9876373272853582</v>
      </c>
      <c r="AX55" s="44">
        <f t="shared" si="22"/>
        <v>3.6801700700170126</v>
      </c>
      <c r="AY55" s="44">
        <f t="shared" si="22"/>
        <v>2.8472075812765882</v>
      </c>
      <c r="AZ55" s="44">
        <f t="shared" si="22"/>
        <v>1.1564012985316698</v>
      </c>
      <c r="BA55" s="44">
        <f t="shared" si="22"/>
        <v>5.722264278477482</v>
      </c>
      <c r="BB55" s="44">
        <f t="shared" si="22"/>
        <v>2.5635053592107182</v>
      </c>
      <c r="BC55" s="44">
        <f t="shared" si="22"/>
        <v>1.9589657973230832</v>
      </c>
      <c r="BD55" s="44">
        <f t="shared" si="22"/>
        <v>0.42487709793147371</v>
      </c>
      <c r="BE55" s="44">
        <f t="shared" si="22"/>
        <v>1.5133127097773689</v>
      </c>
      <c r="BF55" s="44">
        <f t="shared" si="22"/>
        <v>1.0271140742198532</v>
      </c>
      <c r="BG55" s="44">
        <f t="shared" si="22"/>
        <v>0.64102252770927737</v>
      </c>
      <c r="BH55" s="44">
        <f t="shared" si="22"/>
        <v>0.32075372914704903</v>
      </c>
      <c r="BI55" s="44">
        <f t="shared" si="22"/>
        <v>1.1210911266495316</v>
      </c>
      <c r="BJ55" s="44">
        <f t="shared" si="22"/>
        <v>0.80883135402441209</v>
      </c>
      <c r="BK55" s="44">
        <f t="shared" si="22"/>
        <v>0.49584305426177877</v>
      </c>
      <c r="BL55" s="44">
        <f t="shared" si="22"/>
        <v>0.23518795524100986</v>
      </c>
      <c r="BM55" s="44">
        <f t="shared" si="22"/>
        <v>1.0058130107156371</v>
      </c>
      <c r="BN55" s="44">
        <f t="shared" si="22"/>
        <v>0.52488105265957385</v>
      </c>
      <c r="BO55" s="44">
        <f t="shared" si="22"/>
        <v>2.1464779937040301</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6" t="s">
        <v>444</v>
      </c>
      <c r="E56" s="75">
        <f>资产资本表!E19</f>
        <v>199363756.19</v>
      </c>
      <c r="F56" s="75">
        <f>资产资本表!F19</f>
        <v>182388942.75999999</v>
      </c>
      <c r="G56" s="75">
        <f>资产资本表!G19</f>
        <v>135981855.31</v>
      </c>
      <c r="H56" s="75">
        <f>资产资本表!H19</f>
        <v>126030121.05</v>
      </c>
      <c r="I56" s="75">
        <f>资产资本表!I19</f>
        <v>117159760.76000001</v>
      </c>
      <c r="J56" s="75">
        <f>资产资本表!J19</f>
        <v>105806328.04000001</v>
      </c>
      <c r="K56" s="75">
        <f>资产资本表!K19</f>
        <v>113224597.06</v>
      </c>
      <c r="L56" s="75">
        <f>资产资本表!L19</f>
        <v>101700344.11</v>
      </c>
      <c r="M56" s="75">
        <f>资产资本表!M19</f>
        <v>100618863.61</v>
      </c>
      <c r="N56" s="75">
        <f>资产资本表!N19</f>
        <v>92431767.959999993</v>
      </c>
      <c r="O56" s="75">
        <f>资产资本表!O19</f>
        <v>91776405.010000005</v>
      </c>
      <c r="P56" s="75">
        <f>资产资本表!P19</f>
        <v>90424122.680000007</v>
      </c>
      <c r="Q56" s="75">
        <f>资产资本表!Q19</f>
        <v>90686742.560000002</v>
      </c>
      <c r="R56" s="75">
        <f>资产资本表!R19</f>
        <v>89927265.230000004</v>
      </c>
      <c r="S56" s="75">
        <f>资产资本表!S19</f>
        <v>89600938.909999996</v>
      </c>
      <c r="T56" s="75">
        <f>资产资本表!T19</f>
        <v>88396907.709999993</v>
      </c>
      <c r="U56" s="75">
        <f>资产资本表!U19</f>
        <v>88396907.709999993</v>
      </c>
      <c r="V56" s="75">
        <f>资产资本表!V19</f>
        <v>84900000</v>
      </c>
      <c r="W56" s="75">
        <f>资产资本表!W19</f>
        <v>84900000</v>
      </c>
      <c r="X56" s="75">
        <f>资产资本表!X19</f>
        <v>71400000</v>
      </c>
      <c r="Y56" s="75">
        <f>资产资本表!Y19</f>
        <v>71400000</v>
      </c>
      <c r="Z56" s="75">
        <f>资产资本表!Z19</f>
        <v>71400000</v>
      </c>
      <c r="AA56" s="75">
        <f>资产资本表!AA19</f>
        <v>71400000</v>
      </c>
      <c r="AB56" s="75">
        <f>资产资本表!AB19</f>
        <v>71400000</v>
      </c>
      <c r="AC56" s="75">
        <f>资产资本表!AC19</f>
        <v>71400000</v>
      </c>
      <c r="AD56" s="75">
        <f>资产资本表!AD19</f>
        <v>71400000</v>
      </c>
      <c r="AE56" s="75">
        <f>资产资本表!AE19</f>
        <v>71400000</v>
      </c>
      <c r="AF56" s="75">
        <f>资产资本表!AF19</f>
        <v>71400000</v>
      </c>
      <c r="AG56" s="75">
        <f>资产资本表!AG19</f>
        <v>71400000</v>
      </c>
      <c r="AH56" s="75">
        <f>资产资本表!AH19</f>
        <v>149400000</v>
      </c>
      <c r="AI56" s="75">
        <f>资产资本表!AI19</f>
        <v>149400000</v>
      </c>
      <c r="AJ56" s="75">
        <f>资产资本表!AJ19</f>
        <v>149400000</v>
      </c>
      <c r="AK56" s="75">
        <f>资产资本表!AK19</f>
        <v>149400000</v>
      </c>
      <c r="AL56" s="75">
        <f>资产资本表!AL19</f>
        <v>149400000</v>
      </c>
      <c r="AM56" s="75">
        <f>资产资本表!AM19</f>
        <v>149400000</v>
      </c>
      <c r="AN56" s="75">
        <f>资产资本表!AN19</f>
        <v>149400000</v>
      </c>
      <c r="AO56" s="75">
        <f>资产资本表!AO19</f>
        <v>149400000</v>
      </c>
      <c r="AP56" s="75">
        <f>资产资本表!AP19</f>
        <v>149400000</v>
      </c>
      <c r="AQ56" s="75">
        <f>资产资本表!AQ19</f>
        <v>149400000</v>
      </c>
      <c r="AR56" s="75">
        <f>资产资本表!AR19</f>
        <v>149565157.53999999</v>
      </c>
      <c r="AS56" s="75">
        <f>资产资本表!AS19</f>
        <v>150225787.72</v>
      </c>
      <c r="AT56" s="75">
        <f>资产资本表!AT19</f>
        <v>150302311.50999999</v>
      </c>
      <c r="AU56" s="75">
        <f>资产资本表!AU19</f>
        <v>150302311.50999999</v>
      </c>
      <c r="AV56" s="75">
        <f>资产资本表!AV19</f>
        <v>152863688.18000001</v>
      </c>
      <c r="AW56" s="75">
        <f>资产资本表!AW19</f>
        <v>161841545.03</v>
      </c>
      <c r="AX56" s="75">
        <f>资产资本表!AX19</f>
        <v>159235799.11000001</v>
      </c>
      <c r="AY56" s="75">
        <f>资产资本表!AY19</f>
        <v>161370819.78999999</v>
      </c>
      <c r="AZ56" s="75">
        <f>资产资本表!AZ19</f>
        <v>162987834.63</v>
      </c>
      <c r="BA56" s="75">
        <f>资产资本表!BA19</f>
        <v>178443266.62</v>
      </c>
      <c r="BB56" s="75">
        <f>资产资本表!BB19</f>
        <v>164438763.06</v>
      </c>
      <c r="BC56" s="75">
        <f>资产资本表!BC19</f>
        <v>164785381.40000001</v>
      </c>
      <c r="BD56" s="75">
        <f>资产资本表!BD19</f>
        <v>166665316.06999999</v>
      </c>
      <c r="BE56" s="75">
        <f>资产资本表!BE19</f>
        <v>166178896.41999999</v>
      </c>
      <c r="BF56" s="75">
        <f>资产资本表!BF19</f>
        <v>174069628.75</v>
      </c>
      <c r="BG56" s="75">
        <f>资产资本表!BG19</f>
        <v>121467921.09</v>
      </c>
      <c r="BH56" s="75">
        <f>资产资本表!BH19</f>
        <v>106672040.59</v>
      </c>
      <c r="BI56" s="75">
        <f>资产资本表!BI19</f>
        <v>107118691.08</v>
      </c>
      <c r="BJ56" s="75">
        <f>资产资本表!BJ19</f>
        <v>102198220.47</v>
      </c>
      <c r="BK56" s="75">
        <f>资产资本表!BK19</f>
        <v>102625599.48999999</v>
      </c>
      <c r="BL56" s="75">
        <f>资产资本表!BL19</f>
        <v>103052978.54000001</v>
      </c>
      <c r="BM56" s="75">
        <f>资产资本表!BM19</f>
        <v>103480357.58</v>
      </c>
      <c r="BN56" s="75">
        <f>资产资本表!BN19</f>
        <v>98086814.290000007</v>
      </c>
      <c r="BO56" s="75">
        <f>资产资本表!BO19</f>
        <v>21796330.390000001</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4" t="s">
        <v>471</v>
      </c>
      <c r="E57" s="116">
        <f>E49/E56</f>
        <v>33.915647475692758</v>
      </c>
      <c r="F57" s="116">
        <f t="shared" ref="F57:BQ57" si="24">F49/F56</f>
        <v>26.967035980586218</v>
      </c>
      <c r="G57" s="116">
        <f t="shared" si="24"/>
        <v>23.633017148161162</v>
      </c>
      <c r="H57" s="116">
        <f t="shared" si="24"/>
        <v>12.56642073732262</v>
      </c>
      <c r="I57" s="116">
        <f t="shared" si="24"/>
        <v>52.634821171685019</v>
      </c>
      <c r="J57" s="116">
        <f t="shared" si="24"/>
        <v>42.857477608198444</v>
      </c>
      <c r="K57" s="116">
        <f t="shared" si="24"/>
        <v>26.360440797845129</v>
      </c>
      <c r="L57" s="116">
        <f t="shared" si="24"/>
        <v>14.185762419049105</v>
      </c>
      <c r="M57" s="116">
        <f t="shared" si="24"/>
        <v>55.851707648102305</v>
      </c>
      <c r="N57" s="116">
        <f t="shared" si="24"/>
        <v>45.400925273289566</v>
      </c>
      <c r="O57" s="116">
        <f t="shared" si="24"/>
        <v>30.224900707842618</v>
      </c>
      <c r="P57" s="116">
        <f t="shared" si="24"/>
        <v>15.366944926271746</v>
      </c>
      <c r="Q57" s="116">
        <f t="shared" si="24"/>
        <v>60.953546464112847</v>
      </c>
      <c r="R57" s="116">
        <f t="shared" si="24"/>
        <v>45.369875612862558</v>
      </c>
      <c r="S57" s="116">
        <f t="shared" si="24"/>
        <v>29.926447327559597</v>
      </c>
      <c r="T57" s="116">
        <f t="shared" si="24"/>
        <v>14.572863399997322</v>
      </c>
      <c r="U57" s="116">
        <f t="shared" si="24"/>
        <v>58.161688598054702</v>
      </c>
      <c r="V57" s="116">
        <f t="shared" si="24"/>
        <v>44.720032862661952</v>
      </c>
      <c r="W57" s="116">
        <f t="shared" si="24"/>
        <v>29.002646731802123</v>
      </c>
      <c r="X57" s="116">
        <f t="shared" si="24"/>
        <v>16.586757108963585</v>
      </c>
      <c r="Y57" s="116">
        <f t="shared" si="24"/>
        <v>65.452596596638656</v>
      </c>
      <c r="Z57" s="116">
        <f t="shared" si="24"/>
        <v>48.460528774789914</v>
      </c>
      <c r="AA57" s="116">
        <f t="shared" si="24"/>
        <v>32.064483388515406</v>
      </c>
      <c r="AB57" s="116">
        <f t="shared" si="24"/>
        <v>15.571234925210085</v>
      </c>
      <c r="AC57" s="116">
        <f t="shared" si="24"/>
        <v>59.374672758123246</v>
      </c>
      <c r="AD57" s="116">
        <f t="shared" si="24"/>
        <v>43.494866217226885</v>
      </c>
      <c r="AE57" s="116">
        <f t="shared" si="24"/>
        <v>28.40764937226891</v>
      </c>
      <c r="AF57" s="116">
        <f t="shared" si="24"/>
        <v>13.817531564985995</v>
      </c>
      <c r="AG57" s="116">
        <f t="shared" si="24"/>
        <v>54.138368056022408</v>
      </c>
      <c r="AH57" s="116">
        <f t="shared" si="24"/>
        <v>18.310406361579652</v>
      </c>
      <c r="AI57" s="116">
        <f t="shared" si="24"/>
        <v>11.866502064524767</v>
      </c>
      <c r="AJ57" s="116">
        <f t="shared" si="24"/>
        <v>5.8014100312583663</v>
      </c>
      <c r="AK57" s="116">
        <f t="shared" si="24"/>
        <v>22.129113002543505</v>
      </c>
      <c r="AL57" s="116">
        <f t="shared" si="24"/>
        <v>15.724582329718874</v>
      </c>
      <c r="AM57" s="116">
        <f t="shared" si="24"/>
        <v>10.373717707228916</v>
      </c>
      <c r="AN57" s="116">
        <f t="shared" si="24"/>
        <v>5.1433366696787148</v>
      </c>
      <c r="AO57" s="116">
        <f t="shared" si="24"/>
        <v>20.412996312985275</v>
      </c>
      <c r="AP57" s="116">
        <f t="shared" si="24"/>
        <v>15.162128516331995</v>
      </c>
      <c r="AQ57" s="116">
        <f t="shared" si="24"/>
        <v>10.116839685274432</v>
      </c>
      <c r="AR57" s="116">
        <f t="shared" si="24"/>
        <v>5.0466087652007836</v>
      </c>
      <c r="AS57" s="116">
        <f t="shared" si="24"/>
        <v>17.862712404288136</v>
      </c>
      <c r="AT57" s="116">
        <f t="shared" si="24"/>
        <v>12.996348675249992</v>
      </c>
      <c r="AU57" s="116">
        <f t="shared" si="24"/>
        <v>8.4811389899694838</v>
      </c>
      <c r="AV57" s="116">
        <f t="shared" si="24"/>
        <v>4.0628427693612119</v>
      </c>
      <c r="AW57" s="116">
        <f t="shared" si="24"/>
        <v>14.889857614145393</v>
      </c>
      <c r="AX57" s="116">
        <f t="shared" si="24"/>
        <v>11.194461609845717</v>
      </c>
      <c r="AY57" s="116">
        <f t="shared" si="24"/>
        <v>7.3613703546644178</v>
      </c>
      <c r="AZ57" s="116">
        <f t="shared" si="24"/>
        <v>3.6180882263310794</v>
      </c>
      <c r="BA57" s="116">
        <f t="shared" si="24"/>
        <v>12.044770731007814</v>
      </c>
      <c r="BB57" s="116">
        <f t="shared" si="24"/>
        <v>9.2460652683530355</v>
      </c>
      <c r="BC57" s="116">
        <f t="shared" si="24"/>
        <v>5.9445777670178694</v>
      </c>
      <c r="BD57" s="116">
        <f t="shared" si="24"/>
        <v>2.6763398833543519</v>
      </c>
      <c r="BE57" s="116">
        <f t="shared" si="24"/>
        <v>9.2718310651542133</v>
      </c>
      <c r="BF57" s="116">
        <f t="shared" si="24"/>
        <v>6.2827447955937572</v>
      </c>
      <c r="BG57" s="116">
        <f t="shared" si="24"/>
        <v>5.8804707701447994</v>
      </c>
      <c r="BH57" s="116">
        <f t="shared" si="24"/>
        <v>3.2734561476340085</v>
      </c>
      <c r="BI57" s="116">
        <f t="shared" si="24"/>
        <v>9.9128457682233293</v>
      </c>
      <c r="BJ57" s="116">
        <f t="shared" si="24"/>
        <v>6.8324615730953351</v>
      </c>
      <c r="BK57" s="116">
        <f t="shared" si="24"/>
        <v>3.8520639617654138</v>
      </c>
      <c r="BL57" s="116">
        <f t="shared" si="24"/>
        <v>2.395048537138575</v>
      </c>
      <c r="BM57" s="116">
        <f t="shared" si="24"/>
        <v>9.0805213866173418</v>
      </c>
      <c r="BN57" s="116">
        <f t="shared" si="24"/>
        <v>4.4078210553533914</v>
      </c>
      <c r="BO57" s="116">
        <f t="shared" si="24"/>
        <v>38.464478520872703</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80" t="s">
        <v>695</v>
      </c>
      <c r="B58" s="279"/>
      <c r="C58" s="279"/>
      <c r="D58" s="279"/>
      <c r="E58" s="279"/>
      <c r="F58" s="279"/>
      <c r="G58" s="279"/>
      <c r="H58" s="279"/>
      <c r="I58" s="279"/>
      <c r="J58" s="279"/>
      <c r="K58" s="279"/>
      <c r="L58" s="279"/>
      <c r="M58" s="279"/>
      <c r="N58" s="279"/>
      <c r="O58" s="279"/>
      <c r="P58" s="279"/>
      <c r="Q58" s="279"/>
      <c r="R58" s="279"/>
      <c r="S58" s="279"/>
      <c r="T58" s="279"/>
      <c r="U58" s="279"/>
      <c r="V58" s="279"/>
      <c r="W58" s="279"/>
      <c r="X58" s="279"/>
      <c r="Y58" s="279"/>
      <c r="Z58" s="279"/>
      <c r="AA58" s="279"/>
      <c r="AB58" s="279"/>
      <c r="AC58" s="279"/>
      <c r="AD58" s="279"/>
      <c r="AE58" s="279"/>
      <c r="AF58" s="279"/>
      <c r="AG58" s="279"/>
    </row>
    <row r="61" spans="1:89" s="118" customFormat="1" x14ac:dyDescent="0.25">
      <c r="A61" s="117"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37437</v>
      </c>
      <c r="BO61" s="1">
        <v>37256</v>
      </c>
      <c r="BP61" s="1">
        <v>36891</v>
      </c>
      <c r="BQ61" s="1">
        <v>25569</v>
      </c>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6" t="s">
        <v>473</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6" t="s">
        <v>464</v>
      </c>
      <c r="E63" s="75">
        <f>E49</f>
        <v>6761550874.3699999</v>
      </c>
      <c r="F63" s="75">
        <f t="shared" ref="F63:BQ63" si="26">F49</f>
        <v>4918489181.8699999</v>
      </c>
      <c r="G63" s="75">
        <f t="shared" si="26"/>
        <v>3213661518.3800001</v>
      </c>
      <c r="H63" s="75">
        <f t="shared" si="26"/>
        <v>1583747526.6900001</v>
      </c>
      <c r="I63" s="75">
        <f t="shared" si="26"/>
        <v>6166683056.1199999</v>
      </c>
      <c r="J63" s="75">
        <f t="shared" si="26"/>
        <v>4534592334.7799997</v>
      </c>
      <c r="K63" s="75">
        <f t="shared" si="26"/>
        <v>2984650287.6599998</v>
      </c>
      <c r="L63" s="75">
        <f t="shared" si="26"/>
        <v>1442696919.48</v>
      </c>
      <c r="M63" s="75">
        <f t="shared" si="26"/>
        <v>5619735354.2299995</v>
      </c>
      <c r="N63" s="75">
        <f t="shared" si="26"/>
        <v>4196487790.0300002</v>
      </c>
      <c r="O63" s="75">
        <f t="shared" si="26"/>
        <v>2773932728.75</v>
      </c>
      <c r="P63" s="75">
        <f t="shared" si="26"/>
        <v>1389542513.23</v>
      </c>
      <c r="Q63" s="75">
        <f t="shared" si="26"/>
        <v>5527678576.3100004</v>
      </c>
      <c r="R63" s="75">
        <f t="shared" si="26"/>
        <v>4079988837.6900001</v>
      </c>
      <c r="S63" s="75">
        <f t="shared" si="26"/>
        <v>2681437778.79</v>
      </c>
      <c r="T63" s="75">
        <f t="shared" si="26"/>
        <v>1288196061.04</v>
      </c>
      <c r="U63" s="75">
        <f t="shared" si="26"/>
        <v>5141313419.2600002</v>
      </c>
      <c r="V63" s="75">
        <f t="shared" si="26"/>
        <v>3796730790.04</v>
      </c>
      <c r="W63" s="75">
        <f t="shared" si="26"/>
        <v>2462324707.5300002</v>
      </c>
      <c r="X63" s="75">
        <f t="shared" si="26"/>
        <v>1184294457.5799999</v>
      </c>
      <c r="Y63" s="75">
        <f t="shared" si="26"/>
        <v>4673315397</v>
      </c>
      <c r="Z63" s="75">
        <f t="shared" si="26"/>
        <v>3460081754.52</v>
      </c>
      <c r="AA63" s="75">
        <f t="shared" si="26"/>
        <v>2289404113.9400001</v>
      </c>
      <c r="AB63" s="75">
        <f t="shared" si="26"/>
        <v>1111786173.6600001</v>
      </c>
      <c r="AC63" s="75">
        <f t="shared" si="26"/>
        <v>4239351634.9299998</v>
      </c>
      <c r="AD63" s="75">
        <f t="shared" si="26"/>
        <v>3105533447.9099998</v>
      </c>
      <c r="AE63" s="75">
        <f t="shared" si="26"/>
        <v>2028306165.1800001</v>
      </c>
      <c r="AF63" s="75">
        <f t="shared" si="26"/>
        <v>986571753.74000001</v>
      </c>
      <c r="AG63" s="75">
        <f t="shared" si="26"/>
        <v>3865479479.1999998</v>
      </c>
      <c r="AH63" s="75">
        <f t="shared" si="26"/>
        <v>2735574710.4200001</v>
      </c>
      <c r="AI63" s="75">
        <f t="shared" si="26"/>
        <v>1772855408.4400001</v>
      </c>
      <c r="AJ63" s="75">
        <f t="shared" si="26"/>
        <v>866730658.66999996</v>
      </c>
      <c r="AK63" s="75">
        <f t="shared" si="26"/>
        <v>3306089482.5799999</v>
      </c>
      <c r="AL63" s="75">
        <f t="shared" si="26"/>
        <v>2349252600.0599999</v>
      </c>
      <c r="AM63" s="75">
        <f t="shared" si="26"/>
        <v>1549833425.46</v>
      </c>
      <c r="AN63" s="75">
        <f t="shared" si="26"/>
        <v>768414498.45000005</v>
      </c>
      <c r="AO63" s="75">
        <f t="shared" si="26"/>
        <v>3049701649.1599998</v>
      </c>
      <c r="AP63" s="75">
        <f t="shared" si="26"/>
        <v>2265222000.3400002</v>
      </c>
      <c r="AQ63" s="75">
        <f t="shared" si="26"/>
        <v>1511455848.98</v>
      </c>
      <c r="AR63" s="75">
        <f t="shared" si="26"/>
        <v>754796835.00999999</v>
      </c>
      <c r="AS63" s="75">
        <f t="shared" si="26"/>
        <v>2683440041.75</v>
      </c>
      <c r="AT63" s="75">
        <f t="shared" si="26"/>
        <v>1953381247.0799999</v>
      </c>
      <c r="AU63" s="75">
        <f t="shared" si="26"/>
        <v>1274734794.4300001</v>
      </c>
      <c r="AV63" s="75">
        <f t="shared" si="26"/>
        <v>621061130.22000003</v>
      </c>
      <c r="AW63" s="75">
        <f t="shared" si="26"/>
        <v>2409797561.5500002</v>
      </c>
      <c r="AX63" s="75">
        <f t="shared" si="26"/>
        <v>1782559040.05</v>
      </c>
      <c r="AY63" s="75">
        <f t="shared" si="26"/>
        <v>1187910368.9100001</v>
      </c>
      <c r="AZ63" s="75">
        <f t="shared" si="26"/>
        <v>589704365.50999999</v>
      </c>
      <c r="BA63" s="75">
        <f t="shared" si="26"/>
        <v>2149308234.9299998</v>
      </c>
      <c r="BB63" s="75">
        <f t="shared" si="26"/>
        <v>1520411535.9000001</v>
      </c>
      <c r="BC63" s="75">
        <f t="shared" si="26"/>
        <v>979579514.60000002</v>
      </c>
      <c r="BD63" s="75">
        <f t="shared" si="26"/>
        <v>446053032.56999999</v>
      </c>
      <c r="BE63" s="75">
        <f t="shared" si="26"/>
        <v>1540782654.2</v>
      </c>
      <c r="BF63" s="75">
        <f t="shared" si="26"/>
        <v>1093635054.0999999</v>
      </c>
      <c r="BG63" s="75">
        <f t="shared" si="26"/>
        <v>714288559.48000002</v>
      </c>
      <c r="BH63" s="75">
        <f t="shared" si="26"/>
        <v>349186247.05000001</v>
      </c>
      <c r="BI63" s="75">
        <f t="shared" si="26"/>
        <v>1061851063.5700001</v>
      </c>
      <c r="BJ63" s="75">
        <f t="shared" si="26"/>
        <v>698265414.20000005</v>
      </c>
      <c r="BK63" s="75">
        <f t="shared" si="26"/>
        <v>395320373.35000002</v>
      </c>
      <c r="BL63" s="75">
        <f t="shared" si="26"/>
        <v>246816885.5</v>
      </c>
      <c r="BM63" s="75">
        <f t="shared" si="26"/>
        <v>939655600.10000002</v>
      </c>
      <c r="BN63" s="75">
        <f t="shared" si="26"/>
        <v>432349125.27999997</v>
      </c>
      <c r="BO63" s="75">
        <f t="shared" si="26"/>
        <v>838384482.12</v>
      </c>
      <c r="BP63" s="75">
        <f t="shared" si="26"/>
        <v>780254893.07000005</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6" t="s">
        <v>474</v>
      </c>
      <c r="E64" s="75">
        <f>资产资本表!E22+资产资本表!E23-资产资本表!E37</f>
        <v>848606966.37</v>
      </c>
      <c r="F64" s="75">
        <f>资产资本表!F22+资产资本表!F23-资产资本表!F37</f>
        <v>920035332.25</v>
      </c>
      <c r="G64" s="75">
        <f>资产资本表!G22+资产资本表!G23-资产资本表!G37</f>
        <v>723412802.67999995</v>
      </c>
      <c r="H64" s="75">
        <f>资产资本表!H22+资产资本表!H23-资产资本表!H37</f>
        <v>1105276430.3</v>
      </c>
      <c r="I64" s="75">
        <f>资产资本表!I22+资产资本表!I23-资产资本表!I37</f>
        <v>740828138.91999996</v>
      </c>
      <c r="J64" s="75">
        <f>资产资本表!J22+资产资本表!J23-资产资本表!J37</f>
        <v>781235766.07999992</v>
      </c>
      <c r="K64" s="75">
        <f>资产资本表!K22+资产资本表!K23-资产资本表!K37</f>
        <v>567434677.16000009</v>
      </c>
      <c r="L64" s="75">
        <f>资产资本表!L22+资产资本表!L23-资产资本表!L37</f>
        <v>862884865.79000008</v>
      </c>
      <c r="M64" s="75">
        <f>资产资本表!M22+资产资本表!M23-资产资本表!M37</f>
        <v>517766275.71999997</v>
      </c>
      <c r="N64" s="75">
        <f>资产资本表!N22+资产资本表!N23-资产资本表!N37</f>
        <v>739053577.84000003</v>
      </c>
      <c r="O64" s="75">
        <f>资产资本表!O22+资产资本表!O23-资产资本表!O37</f>
        <v>611318049.06000006</v>
      </c>
      <c r="P64" s="75">
        <f>资产资本表!P22+资产资本表!P23-资产资本表!P37</f>
        <v>970938857.95000005</v>
      </c>
      <c r="Q64" s="75">
        <f>资产资本表!Q22+资产资本表!Q23-资产资本表!Q37</f>
        <v>565291979.72000003</v>
      </c>
      <c r="R64" s="75">
        <f>资产资本表!R22+资产资本表!R23-资产资本表!R37</f>
        <v>767752683.67000008</v>
      </c>
      <c r="S64" s="75">
        <f>资产资本表!S22+资产资本表!S23-资产资本表!S37</f>
        <v>588042862.65999997</v>
      </c>
      <c r="T64" s="75">
        <f>资产资本表!T22+资产资本表!T23-资产资本表!T37</f>
        <v>820142537.68000007</v>
      </c>
      <c r="U64" s="75">
        <f>资产资本表!U22+资产资本表!U23-资产资本表!U37</f>
        <v>492774605.15999997</v>
      </c>
      <c r="V64" s="75">
        <f>资产资本表!V22+资产资本表!V23-资产资本表!V37</f>
        <v>732179968.90999997</v>
      </c>
      <c r="W64" s="75">
        <f>资产资本表!W22+资产资本表!W23-资产资本表!W37</f>
        <v>651313347.74000001</v>
      </c>
      <c r="X64" s="75">
        <f>资产资本表!X22+资产资本表!X23-资产资本表!X37</f>
        <v>843578404.25</v>
      </c>
      <c r="Y64" s="75">
        <f>资产资本表!Y22+资产资本表!Y23-资产资本表!Y37</f>
        <v>535564835.38999999</v>
      </c>
      <c r="Z64" s="75">
        <f>资产资本表!Z22+资产资本表!Z23-资产资本表!Z37</f>
        <v>804568942.34000003</v>
      </c>
      <c r="AA64" s="75">
        <f>资产资本表!AA22+资产资本表!AA23-资产资本表!AA37</f>
        <v>659027391.94000006</v>
      </c>
      <c r="AB64" s="75">
        <f>资产资本表!AB22+资产资本表!AB23-资产资本表!AB37</f>
        <v>860394269.44000006</v>
      </c>
      <c r="AC64" s="75">
        <f>资产资本表!AC22+资产资本表!AC23-资产资本表!AC37</f>
        <v>637717147.55999994</v>
      </c>
      <c r="AD64" s="75">
        <f>资产资本表!AD22+资产资本表!AD23-资产资本表!AD37</f>
        <v>875923040.00999999</v>
      </c>
      <c r="AE64" s="75">
        <f>资产资本表!AE22+资产资本表!AE23-资产资本表!AE37</f>
        <v>801611755.95000005</v>
      </c>
      <c r="AF64" s="75">
        <f>资产资本表!AF22+资产资本表!AF23-资产资本表!AF37</f>
        <v>955131842.13999999</v>
      </c>
      <c r="AG64" s="75">
        <f>资产资本表!AG22+资产资本表!AG23-资产资本表!AG37</f>
        <v>733167019.42999995</v>
      </c>
      <c r="AH64" s="75">
        <f>资产资本表!AH22+资产资本表!AH23-资产资本表!AH37</f>
        <v>667059797.60000002</v>
      </c>
      <c r="AI64" s="75">
        <f>资产资本表!AI22+资产资本表!AI23-资产资本表!AI37</f>
        <v>984340031.8900001</v>
      </c>
      <c r="AJ64" s="75">
        <f>资产资本表!AJ22+资产资本表!AJ23-资产资本表!AJ37</f>
        <v>1027456203.5599999</v>
      </c>
      <c r="AK64" s="75">
        <f>资产资本表!AK22+资产资本表!AK23-资产资本表!AK37</f>
        <v>939779219.28999996</v>
      </c>
      <c r="AL64" s="75">
        <f>资产资本表!AL22+资产资本表!AL23-资产资本表!AL37</f>
        <v>1043905023.1199999</v>
      </c>
      <c r="AM64" s="75">
        <f>资产资本表!AM22+资产资本表!AM23-资产资本表!AM37</f>
        <v>1215294281.9099998</v>
      </c>
      <c r="AN64" s="75">
        <f>资产资本表!AN22+资产资本表!AN23-资产资本表!AN37</f>
        <v>1179694820.28</v>
      </c>
      <c r="AO64" s="75">
        <f>资产资本表!AO22+资产资本表!AO23-资产资本表!AO37</f>
        <v>928748868.78000009</v>
      </c>
      <c r="AP64" s="75">
        <f>资产资本表!AP22+资产资本表!AP23-资产资本表!AP37</f>
        <v>1088123270.5799999</v>
      </c>
      <c r="AQ64" s="75">
        <f>资产资本表!AQ22+资产资本表!AQ23-资产资本表!AQ37</f>
        <v>1023395640.1600001</v>
      </c>
      <c r="AR64" s="75">
        <f>资产资本表!AR22+资产资本表!AR23-资产资本表!AR37</f>
        <v>848246835.1099999</v>
      </c>
      <c r="AS64" s="75">
        <f>资产资本表!AS22+资产资本表!AS23-资产资本表!AS37</f>
        <v>652293438.0999999</v>
      </c>
      <c r="AT64" s="75">
        <f>资产资本表!AT22+资产资本表!AT23-资产资本表!AT37</f>
        <v>858647709.48000002</v>
      </c>
      <c r="AU64" s="75">
        <f>资产资本表!AU22+资产资本表!AU23-资产资本表!AU37</f>
        <v>1080176771.8500001</v>
      </c>
      <c r="AV64" s="75">
        <f>资产资本表!AV22+资产资本表!AV23-资产资本表!AV37</f>
        <v>1036358825.73</v>
      </c>
      <c r="AW64" s="75">
        <f>资产资本表!AW22+资产资本表!AW23-资产资本表!AW37</f>
        <v>827641307.75</v>
      </c>
      <c r="AX64" s="75">
        <f>资产资本表!AX22+资产资本表!AX23-资产资本表!AX37</f>
        <v>1153314117.47</v>
      </c>
      <c r="AY64" s="75">
        <f>资产资本表!AY22+资产资本表!AY23-资产资本表!AY37</f>
        <v>1097831885.0900002</v>
      </c>
      <c r="AZ64" s="75">
        <f>资产资本表!AZ22+资产资本表!AZ23-资产资本表!AZ37</f>
        <v>1050263108.4</v>
      </c>
      <c r="BA64" s="75">
        <f>资产资本表!BA22+资产资本表!BA23-资产资本表!BA37</f>
        <v>919654247.74000001</v>
      </c>
      <c r="BB64" s="75">
        <f>资产资本表!BB22+资产资本表!BB23-资产资本表!BB37</f>
        <v>805295387.29999995</v>
      </c>
      <c r="BC64" s="75">
        <f>资产资本表!BC22+资产资本表!BC23-资产资本表!BC37</f>
        <v>830308046.59000003</v>
      </c>
      <c r="BD64" s="75">
        <f>资产资本表!BD22+资产资本表!BD23-资产资本表!BD37</f>
        <v>724184967.90999997</v>
      </c>
      <c r="BE64" s="75">
        <f>资产资本表!BE22+资产资本表!BE23-资产资本表!BE37</f>
        <v>531827575.99999994</v>
      </c>
      <c r="BF64" s="75">
        <f>资产资本表!BF22+资产资本表!BF23-资产资本表!BF37</f>
        <v>485083917.74000001</v>
      </c>
      <c r="BG64" s="75">
        <f>资产资本表!BG22+资产资本表!BG23-资产资本表!BG37</f>
        <v>529781853.56</v>
      </c>
      <c r="BH64" s="75">
        <f>资产资本表!BH22+资产资本表!BH23-资产资本表!BH37</f>
        <v>478103552.45999998</v>
      </c>
      <c r="BI64" s="75">
        <f>资产资本表!BI22+资产资本表!BI23-资产资本表!BI37</f>
        <v>391414543.5</v>
      </c>
      <c r="BJ64" s="75">
        <f>资产资本表!BJ22+资产资本表!BJ23-资产资本表!BJ37</f>
        <v>319938063.14999998</v>
      </c>
      <c r="BK64" s="75">
        <f>资产资本表!BK22+资产资本表!BK23-资产资本表!BK37</f>
        <v>214778245.96000001</v>
      </c>
      <c r="BL64" s="75">
        <f>资产资本表!BL22+资产资本表!BL23-资产资本表!BL37</f>
        <v>272661316.91999996</v>
      </c>
      <c r="BM64" s="75">
        <f>资产资本表!BM22+资产资本表!BM23-资产资本表!BM37</f>
        <v>238346814</v>
      </c>
      <c r="BN64" s="75">
        <f>资产资本表!BN22+资产资本表!BN23-资产资本表!BN37</f>
        <v>113153021.84</v>
      </c>
      <c r="BO64" s="75">
        <f>资产资本表!BO22+资产资本表!BO23-资产资本表!BO37</f>
        <v>132114980.42999999</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4" customFormat="1" x14ac:dyDescent="0.25">
      <c r="A65" s="153" t="s">
        <v>693</v>
      </c>
      <c r="E65" s="154">
        <f>E63/(E64+I64)*2</f>
        <v>8.5081182010715981</v>
      </c>
      <c r="F65" s="154">
        <f t="shared" ref="F65:BQ65" si="28">F63/(F64+J64)*2</f>
        <v>5.7821345307024643</v>
      </c>
      <c r="G65" s="154">
        <f t="shared" si="28"/>
        <v>4.9791498508845242</v>
      </c>
      <c r="H65" s="154">
        <f t="shared" si="28"/>
        <v>1.6093676161972228</v>
      </c>
      <c r="I65" s="154">
        <f t="shared" si="28"/>
        <v>9.7993173724418252</v>
      </c>
      <c r="J65" s="154">
        <f t="shared" si="28"/>
        <v>5.9654332945434589</v>
      </c>
      <c r="K65" s="154">
        <f t="shared" si="28"/>
        <v>5.0640820950312699</v>
      </c>
      <c r="L65" s="154">
        <f t="shared" si="28"/>
        <v>1.573430314815303</v>
      </c>
      <c r="M65" s="154">
        <f t="shared" si="28"/>
        <v>10.377531081090265</v>
      </c>
      <c r="N65" s="154">
        <f t="shared" si="28"/>
        <v>5.5700429407887082</v>
      </c>
      <c r="O65" s="154">
        <f t="shared" si="28"/>
        <v>4.6256847319993293</v>
      </c>
      <c r="P65" s="154">
        <f t="shared" si="28"/>
        <v>1.5516240820995613</v>
      </c>
      <c r="Q65" s="154">
        <f t="shared" si="28"/>
        <v>10.448640294101942</v>
      </c>
      <c r="R65" s="154">
        <f t="shared" si="28"/>
        <v>5.4402293738616923</v>
      </c>
      <c r="S65" s="154">
        <f t="shared" si="28"/>
        <v>4.3271462333247523</v>
      </c>
      <c r="T65" s="154">
        <f t="shared" si="28"/>
        <v>1.5485722738401402</v>
      </c>
      <c r="U65" s="154">
        <f t="shared" si="28"/>
        <v>9.9992535859758629</v>
      </c>
      <c r="V65" s="154">
        <f t="shared" si="28"/>
        <v>4.941250665278452</v>
      </c>
      <c r="W65" s="154">
        <f t="shared" si="28"/>
        <v>3.7582968047400063</v>
      </c>
      <c r="X65" s="154">
        <f t="shared" si="28"/>
        <v>1.3900392604482059</v>
      </c>
      <c r="Y65" s="154">
        <f t="shared" si="28"/>
        <v>7.9662271558109428</v>
      </c>
      <c r="Z65" s="154">
        <f t="shared" si="28"/>
        <v>4.117939021263787</v>
      </c>
      <c r="AA65" s="154">
        <f t="shared" si="28"/>
        <v>3.1347976907879151</v>
      </c>
      <c r="AB65" s="154">
        <f t="shared" si="28"/>
        <v>1.2247537136135649</v>
      </c>
      <c r="AC65" s="154">
        <f t="shared" si="28"/>
        <v>6.1848429459043048</v>
      </c>
      <c r="AD65" s="154">
        <f t="shared" si="28"/>
        <v>4.0253635649250761</v>
      </c>
      <c r="AE65" s="154">
        <f t="shared" si="28"/>
        <v>2.2714008059905275</v>
      </c>
      <c r="AF65" s="154">
        <f t="shared" si="28"/>
        <v>0.99523625785977887</v>
      </c>
      <c r="AG65" s="154">
        <f t="shared" si="28"/>
        <v>4.6211640155962757</v>
      </c>
      <c r="AH65" s="154">
        <f t="shared" si="28"/>
        <v>3.1976983714590097</v>
      </c>
      <c r="AI65" s="154">
        <f t="shared" si="28"/>
        <v>1.6119546756635978</v>
      </c>
      <c r="AJ65" s="154">
        <f t="shared" si="28"/>
        <v>0.78538409860333203</v>
      </c>
      <c r="AK65" s="154">
        <f t="shared" si="28"/>
        <v>3.5387099650130009</v>
      </c>
      <c r="AL65" s="154">
        <f t="shared" si="28"/>
        <v>2.2037724424219727</v>
      </c>
      <c r="AM65" s="154">
        <f t="shared" si="28"/>
        <v>1.3845896300162464</v>
      </c>
      <c r="AN65" s="154">
        <f t="shared" si="28"/>
        <v>0.75782702762444498</v>
      </c>
      <c r="AO65" s="154">
        <f t="shared" si="28"/>
        <v>3.8578368660839004</v>
      </c>
      <c r="AP65" s="154">
        <f t="shared" si="28"/>
        <v>2.3271581747845711</v>
      </c>
      <c r="AQ65" s="154">
        <f t="shared" si="28"/>
        <v>1.4370371472363792</v>
      </c>
      <c r="AR65" s="154">
        <f t="shared" si="28"/>
        <v>0.80101301900321631</v>
      </c>
      <c r="AS65" s="154">
        <f t="shared" si="28"/>
        <v>3.6264302183252917</v>
      </c>
      <c r="AT65" s="154">
        <f t="shared" si="28"/>
        <v>1.9417677024630191</v>
      </c>
      <c r="AU65" s="154">
        <f t="shared" si="28"/>
        <v>1.1705507141747933</v>
      </c>
      <c r="AV65" s="154">
        <f t="shared" si="28"/>
        <v>0.59527902018239487</v>
      </c>
      <c r="AW65" s="154">
        <f t="shared" si="28"/>
        <v>2.7583170505738654</v>
      </c>
      <c r="AX65" s="154">
        <f t="shared" si="28"/>
        <v>1.8202291326665714</v>
      </c>
      <c r="AY65" s="154">
        <f t="shared" si="28"/>
        <v>1.2321827367321483</v>
      </c>
      <c r="AZ65" s="154">
        <f t="shared" si="28"/>
        <v>0.66466229514734743</v>
      </c>
      <c r="BA65" s="154">
        <f t="shared" si="28"/>
        <v>2.9615365480663431</v>
      </c>
      <c r="BB65" s="154">
        <f t="shared" si="28"/>
        <v>2.3565342840845847</v>
      </c>
      <c r="BC65" s="154">
        <f t="shared" si="28"/>
        <v>1.4404628907132759</v>
      </c>
      <c r="BD65" s="154">
        <f t="shared" si="28"/>
        <v>0.74200663985834081</v>
      </c>
      <c r="BE65" s="154">
        <f t="shared" si="28"/>
        <v>3.3377650816763893</v>
      </c>
      <c r="BF65" s="154">
        <f t="shared" si="28"/>
        <v>2.7170315346940486</v>
      </c>
      <c r="BG65" s="154">
        <f t="shared" si="28"/>
        <v>1.918686107247715</v>
      </c>
      <c r="BH65" s="154">
        <f t="shared" si="28"/>
        <v>0.93021466851097234</v>
      </c>
      <c r="BI65" s="154">
        <f t="shared" si="28"/>
        <v>3.3722331512536479</v>
      </c>
      <c r="BJ65" s="154">
        <f t="shared" si="28"/>
        <v>3.2245660942945658</v>
      </c>
      <c r="BK65" s="154">
        <f t="shared" si="28"/>
        <v>2.2792049153796685</v>
      </c>
      <c r="BL65" s="154">
        <f t="shared" si="28"/>
        <v>1.8104283239592596</v>
      </c>
      <c r="BM65" s="154">
        <f t="shared" si="28"/>
        <v>7.8847758384553028</v>
      </c>
      <c r="BN65" s="154">
        <f t="shared" si="28"/>
        <v>7.6418485030182906</v>
      </c>
      <c r="BO65" s="154">
        <f t="shared" si="28"/>
        <v>12.691739867670963</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2" customFormat="1" x14ac:dyDescent="0.25">
      <c r="A66" s="147" t="s">
        <v>475</v>
      </c>
      <c r="E66" s="82">
        <f>E62/E65</f>
        <v>42.900203238129464</v>
      </c>
      <c r="F66" s="82">
        <f t="shared" ref="F66:BQ66" si="30">F62/F65</f>
        <v>63.125476943141379</v>
      </c>
      <c r="G66" s="82">
        <f t="shared" si="30"/>
        <v>73.305686900577882</v>
      </c>
      <c r="H66" s="82">
        <f t="shared" si="30"/>
        <v>226.79715704884075</v>
      </c>
      <c r="I66" s="82">
        <f t="shared" si="30"/>
        <v>37.247492465798985</v>
      </c>
      <c r="J66" s="82">
        <f t="shared" si="30"/>
        <v>61.185832106087418</v>
      </c>
      <c r="K66" s="82">
        <f t="shared" si="30"/>
        <v>72.076240698808448</v>
      </c>
      <c r="L66" s="82">
        <f t="shared" si="30"/>
        <v>231.97722616831967</v>
      </c>
      <c r="M66" s="82">
        <f t="shared" si="30"/>
        <v>35.172142308982906</v>
      </c>
      <c r="N66" s="82">
        <f t="shared" si="30"/>
        <v>65.529117796768119</v>
      </c>
      <c r="O66" s="82">
        <f t="shared" si="30"/>
        <v>78.907236689742675</v>
      </c>
      <c r="P66" s="82">
        <f t="shared" si="30"/>
        <v>235.2373904290688</v>
      </c>
      <c r="Q66" s="82">
        <f t="shared" si="30"/>
        <v>34.932774956951626</v>
      </c>
      <c r="R66" s="82">
        <f t="shared" si="30"/>
        <v>67.092759315202997</v>
      </c>
      <c r="S66" s="82">
        <f t="shared" si="30"/>
        <v>84.351205232912392</v>
      </c>
      <c r="T66" s="82">
        <f t="shared" si="30"/>
        <v>235.70097835658339</v>
      </c>
      <c r="U66" s="82">
        <f t="shared" si="30"/>
        <v>36.502724614557152</v>
      </c>
      <c r="V66" s="82">
        <f t="shared" si="30"/>
        <v>73.867938448217004</v>
      </c>
      <c r="W66" s="82">
        <f t="shared" si="30"/>
        <v>97.118460558957949</v>
      </c>
      <c r="X66" s="82">
        <f t="shared" si="30"/>
        <v>262.58251143374827</v>
      </c>
      <c r="Y66" s="82">
        <f t="shared" si="30"/>
        <v>45.818427325883086</v>
      </c>
      <c r="Z66" s="82">
        <f t="shared" si="30"/>
        <v>88.636572352152569</v>
      </c>
      <c r="AA66" s="82">
        <f t="shared" si="30"/>
        <v>116.43494604854681</v>
      </c>
      <c r="AB66" s="82">
        <f t="shared" si="30"/>
        <v>298.01910044680625</v>
      </c>
      <c r="AC66" s="82">
        <f t="shared" si="30"/>
        <v>59.015241485106493</v>
      </c>
      <c r="AD66" s="82">
        <f t="shared" si="30"/>
        <v>90.67503943753556</v>
      </c>
      <c r="AE66" s="82">
        <f t="shared" si="30"/>
        <v>160.69378818452446</v>
      </c>
      <c r="AF66" s="82">
        <f t="shared" si="30"/>
        <v>366.74708856057947</v>
      </c>
      <c r="AG66" s="82">
        <f t="shared" si="30"/>
        <v>78.984428764730509</v>
      </c>
      <c r="AH66" s="82">
        <f t="shared" si="30"/>
        <v>114.14459952126815</v>
      </c>
      <c r="AI66" s="82">
        <f t="shared" si="30"/>
        <v>226.43316559117238</v>
      </c>
      <c r="AJ66" s="82">
        <f t="shared" si="30"/>
        <v>464.74075633704393</v>
      </c>
      <c r="AK66" s="82">
        <f t="shared" si="30"/>
        <v>103.14493236482551</v>
      </c>
      <c r="AL66" s="82">
        <f t="shared" si="30"/>
        <v>165.62508586361147</v>
      </c>
      <c r="AM66" s="82">
        <f t="shared" si="30"/>
        <v>263.61601451234122</v>
      </c>
      <c r="AN66" s="82">
        <f t="shared" si="30"/>
        <v>481.64025126441175</v>
      </c>
      <c r="AO66" s="82">
        <f t="shared" si="30"/>
        <v>94.612606149547318</v>
      </c>
      <c r="AP66" s="82">
        <f t="shared" si="30"/>
        <v>156.84365762279509</v>
      </c>
      <c r="AQ66" s="82">
        <f t="shared" si="30"/>
        <v>253.99482588320376</v>
      </c>
      <c r="AR66" s="82">
        <f t="shared" si="30"/>
        <v>455.67299324823387</v>
      </c>
      <c r="AS66" s="82">
        <f t="shared" si="30"/>
        <v>100.64994444276368</v>
      </c>
      <c r="AT66" s="82">
        <f t="shared" si="30"/>
        <v>187.97305132690116</v>
      </c>
      <c r="AU66" s="82">
        <f t="shared" si="30"/>
        <v>311.81904002964552</v>
      </c>
      <c r="AV66" s="82">
        <f t="shared" si="30"/>
        <v>613.15784300303937</v>
      </c>
      <c r="AW66" s="82">
        <f t="shared" si="30"/>
        <v>132.32706512982693</v>
      </c>
      <c r="AX66" s="82">
        <f t="shared" si="30"/>
        <v>200.52420513965069</v>
      </c>
      <c r="AY66" s="82">
        <f t="shared" si="30"/>
        <v>296.22229651424152</v>
      </c>
      <c r="AZ66" s="82">
        <f t="shared" si="30"/>
        <v>549.15105409896012</v>
      </c>
      <c r="BA66" s="82">
        <f t="shared" si="30"/>
        <v>123.24683287745245</v>
      </c>
      <c r="BB66" s="82">
        <f t="shared" si="30"/>
        <v>154.88847434349435</v>
      </c>
      <c r="BC66" s="82">
        <f t="shared" si="30"/>
        <v>253.39076928199273</v>
      </c>
      <c r="BD66" s="82">
        <f t="shared" si="30"/>
        <v>491.909344732661</v>
      </c>
      <c r="BE66" s="82">
        <f t="shared" si="30"/>
        <v>109.35461036601147</v>
      </c>
      <c r="BF66" s="82">
        <f t="shared" si="30"/>
        <v>134.33778568238105</v>
      </c>
      <c r="BG66" s="82">
        <f t="shared" si="30"/>
        <v>190.23434767220945</v>
      </c>
      <c r="BH66" s="82">
        <f t="shared" si="30"/>
        <v>392.38254604635341</v>
      </c>
      <c r="BI66" s="82">
        <f t="shared" si="30"/>
        <v>108.23688150515603</v>
      </c>
      <c r="BJ66" s="82">
        <f t="shared" si="30"/>
        <v>113.19352412897295</v>
      </c>
      <c r="BK66" s="82">
        <f t="shared" si="30"/>
        <v>160.14356477429698</v>
      </c>
      <c r="BL66" s="82">
        <f t="shared" si="30"/>
        <v>201.60974901330238</v>
      </c>
      <c r="BM66" s="82">
        <f t="shared" si="30"/>
        <v>46.291740878648326</v>
      </c>
      <c r="BN66" s="82">
        <f t="shared" si="30"/>
        <v>47.76331274505592</v>
      </c>
      <c r="BO66" s="82">
        <f t="shared" si="30"/>
        <v>28.758862362893705</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6" t="s">
        <v>476</v>
      </c>
      <c r="E67" s="75">
        <f>股权价值增加表!E5</f>
        <v>4018885671.1100001</v>
      </c>
      <c r="F67" s="75">
        <f>股权价值增加表!F5</f>
        <v>3002665926.9299998</v>
      </c>
      <c r="G67" s="75">
        <f>股权价值增加表!G5</f>
        <v>1945463196.1800001</v>
      </c>
      <c r="H67" s="75">
        <f>股权价值增加表!H5</f>
        <v>971224272.83000004</v>
      </c>
      <c r="I67" s="75">
        <f>股权价值增加表!I5</f>
        <v>3724036883.98</v>
      </c>
      <c r="J67" s="75">
        <f>股权价值增加表!J5</f>
        <v>2749765918.6599998</v>
      </c>
      <c r="K67" s="75">
        <f>股权价值增加表!K5</f>
        <v>1815901788.3</v>
      </c>
      <c r="L67" s="75">
        <f>股权价值增加表!L5</f>
        <v>867913057.74000001</v>
      </c>
      <c r="M67" s="75">
        <f>股权价值增加表!M5</f>
        <v>3366175400.3800001</v>
      </c>
      <c r="N67" s="75">
        <f>股权价值增加表!N5</f>
        <v>2517395939.8499999</v>
      </c>
      <c r="O67" s="75">
        <f>股权价值增加表!O5</f>
        <v>1668575136.21</v>
      </c>
      <c r="P67" s="75">
        <f>股权价值增加表!P5</f>
        <v>838067151.16999996</v>
      </c>
      <c r="Q67" s="75">
        <f>股权价值增加表!Q5</f>
        <v>3392685032.23</v>
      </c>
      <c r="R67" s="75">
        <f>股权价值增加表!R5</f>
        <v>2677452727.9299998</v>
      </c>
      <c r="S67" s="75">
        <f>股权价值增加表!S5</f>
        <v>1743613893.3199999</v>
      </c>
      <c r="T67" s="75">
        <f>股权价值增加表!T5</f>
        <v>824476872.63</v>
      </c>
      <c r="U67" s="75">
        <f>股权价值增加表!U5</f>
        <v>3261251903.25</v>
      </c>
      <c r="V67" s="75">
        <f>股权价值增加表!V5</f>
        <v>2498174227.54</v>
      </c>
      <c r="W67" s="75">
        <f>股权价值增加表!W5</f>
        <v>1592668691.73</v>
      </c>
      <c r="X67" s="75">
        <f>股权价值增加表!X5</f>
        <v>755928102.26999998</v>
      </c>
      <c r="Y67" s="75">
        <f>股权价值增加表!Y5</f>
        <v>2852876091.1100001</v>
      </c>
      <c r="Z67" s="75">
        <f>股权价值增加表!Z5</f>
        <v>2168564062.7800002</v>
      </c>
      <c r="AA67" s="75">
        <f>股权价值增加表!AA5</f>
        <v>1442906245.6199999</v>
      </c>
      <c r="AB67" s="75">
        <f>股权价值增加表!AB5</f>
        <v>699965846.80999994</v>
      </c>
      <c r="AC67" s="75">
        <f>股权价值增加表!AC5</f>
        <v>2654413969.4099998</v>
      </c>
      <c r="AD67" s="75">
        <f>股权价值增加表!AD5</f>
        <v>1917839834.2</v>
      </c>
      <c r="AE67" s="75">
        <f>股权价值增加表!AE5</f>
        <v>1256174881.8900001</v>
      </c>
      <c r="AF67" s="75">
        <f>股权价值增加表!AF5</f>
        <v>593893100.21000004</v>
      </c>
      <c r="AG67" s="75">
        <f>股权价值增加表!AG5</f>
        <v>2452525912.1199999</v>
      </c>
      <c r="AH67" s="75">
        <f>股权价值增加表!AH5</f>
        <v>1660920523.8699999</v>
      </c>
      <c r="AI67" s="75">
        <f>股权价值增加表!AI5</f>
        <v>1083542723.5899999</v>
      </c>
      <c r="AJ67" s="75">
        <f>股权价值增加表!AJ5</f>
        <v>506191413.54000002</v>
      </c>
      <c r="AK67" s="75">
        <f>股权价值增加表!AK5</f>
        <v>1899423599.27</v>
      </c>
      <c r="AL67" s="75">
        <f>股权价值增加表!AL5</f>
        <v>1352172928.6800001</v>
      </c>
      <c r="AM67" s="75">
        <f>股权价值增加表!AM5</f>
        <v>884672269.42999995</v>
      </c>
      <c r="AN67" s="75">
        <f>股权价值增加表!AN5</f>
        <v>460544269.88999999</v>
      </c>
      <c r="AO67" s="75">
        <f>股权价值增加表!AO5</f>
        <v>1763487215.6800001</v>
      </c>
      <c r="AP67" s="75">
        <f>股权价值增加表!AP5</f>
        <v>1279522189.3599999</v>
      </c>
      <c r="AQ67" s="75">
        <f>股权价值增加表!AQ5</f>
        <v>847681923.76999998</v>
      </c>
      <c r="AR67" s="75">
        <f>股权价值增加表!AR5</f>
        <v>411365648.81</v>
      </c>
      <c r="AS67" s="75">
        <f>股权价值增加表!AS5</f>
        <v>1428817493.7</v>
      </c>
      <c r="AT67" s="75">
        <f>股权价值增加表!AT5</f>
        <v>1011694595.3</v>
      </c>
      <c r="AU67" s="75">
        <f>股权价值增加表!AU5</f>
        <v>669408137.97000003</v>
      </c>
      <c r="AV67" s="75">
        <f>股权价值增加表!AV5</f>
        <v>319436716.14999998</v>
      </c>
      <c r="AW67" s="75">
        <f>股权价值增加表!AW5</f>
        <v>1261005099.5</v>
      </c>
      <c r="AX67" s="75">
        <f>股权价值增加表!AX5</f>
        <v>929014676.63999999</v>
      </c>
      <c r="AY67" s="75">
        <f>股权价值增加表!AY5</f>
        <v>634601482.57000005</v>
      </c>
      <c r="AZ67" s="75">
        <f>股权价值增加表!AZ5</f>
        <v>304009835.44</v>
      </c>
      <c r="BA67" s="75">
        <f>股权价值增加表!BA5</f>
        <v>1186017320.75</v>
      </c>
      <c r="BB67" s="75">
        <f>股权价值增加表!BB5</f>
        <v>809111428.25</v>
      </c>
      <c r="BC67" s="75">
        <f>股权价值增加表!BC5</f>
        <v>495517793.13999999</v>
      </c>
      <c r="BD67" s="75">
        <f>股权价值增加表!BD5</f>
        <v>223402857.93000001</v>
      </c>
      <c r="BE67" s="75">
        <f>股权价值增加表!BE5</f>
        <v>702627418.32000005</v>
      </c>
      <c r="BF67" s="75">
        <f>股权价值增加表!BF5</f>
        <v>425396369.06</v>
      </c>
      <c r="BG67" s="75">
        <f>股权价值增加表!BG5</f>
        <v>216560112.52000001</v>
      </c>
      <c r="BH67" s="75">
        <f>股权价值增加表!BH5</f>
        <v>103015076.8</v>
      </c>
      <c r="BI67" s="75">
        <f>股权价值增加表!BI5</f>
        <v>378786711.06999999</v>
      </c>
      <c r="BJ67" s="75">
        <f>股权价值增加表!BJ5</f>
        <v>253324099.94</v>
      </c>
      <c r="BK67" s="75">
        <f>股权价值增加表!BK5</f>
        <v>166822223.65000001</v>
      </c>
      <c r="BL67" s="75">
        <f>股权价值增加表!BL5</f>
        <v>87977754.920000002</v>
      </c>
      <c r="BM67" s="75">
        <f>股权价值增加表!BM5</f>
        <v>366154973.02999997</v>
      </c>
      <c r="BN67" s="75">
        <f>股权价值增加表!BN5</f>
        <v>166437524.66</v>
      </c>
      <c r="BO67" s="75">
        <f>股权价值增加表!BO5</f>
        <v>343845482.26999998</v>
      </c>
      <c r="BP67" s="75">
        <f>股权价值增加表!BP5</f>
        <v>313875163.81999999</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6" t="s">
        <v>477</v>
      </c>
      <c r="E68" s="75">
        <f>资产资本表!E26</f>
        <v>79148787.310000002</v>
      </c>
      <c r="F68" s="75">
        <f>资产资本表!F26</f>
        <v>71474017.950000003</v>
      </c>
      <c r="G68" s="75">
        <f>资产资本表!G26</f>
        <v>70876801.890000001</v>
      </c>
      <c r="H68" s="75">
        <f>资产资本表!H26</f>
        <v>80187849.689999998</v>
      </c>
      <c r="I68" s="75">
        <f>资产资本表!I26</f>
        <v>71754827.349999994</v>
      </c>
      <c r="J68" s="75">
        <f>资产资本表!J26</f>
        <v>67993801.489999995</v>
      </c>
      <c r="K68" s="75">
        <f>资产资本表!K26</f>
        <v>68514692.730000004</v>
      </c>
      <c r="L68" s="75">
        <f>资产资本表!L26</f>
        <v>72342541.420000002</v>
      </c>
      <c r="M68" s="75">
        <f>资产资本表!M26</f>
        <v>73358739.790000007</v>
      </c>
      <c r="N68" s="75">
        <f>资产资本表!N26</f>
        <v>69821217.659999996</v>
      </c>
      <c r="O68" s="75">
        <f>资产资本表!O26</f>
        <v>69825242.069999993</v>
      </c>
      <c r="P68" s="75">
        <f>资产资本表!P26</f>
        <v>67006081.200000003</v>
      </c>
      <c r="Q68" s="75">
        <f>资产资本表!Q26</f>
        <v>64862770.700000003</v>
      </c>
      <c r="R68" s="75">
        <f>资产资本表!R26</f>
        <v>63264645.82</v>
      </c>
      <c r="S68" s="75">
        <f>资产资本表!S26</f>
        <v>59364863.170000002</v>
      </c>
      <c r="T68" s="75">
        <f>资产资本表!T26</f>
        <v>53525338.32</v>
      </c>
      <c r="U68" s="75">
        <f>资产资本表!U26</f>
        <v>52728719.520000003</v>
      </c>
      <c r="V68" s="75">
        <f>资产资本表!V26</f>
        <v>62116239.270000003</v>
      </c>
      <c r="W68" s="75">
        <f>资产资本表!W26</f>
        <v>56598672.490000002</v>
      </c>
      <c r="X68" s="75">
        <f>资产资本表!X26</f>
        <v>55976182.25</v>
      </c>
      <c r="Y68" s="75">
        <f>资产资本表!Y26</f>
        <v>54686335.329999998</v>
      </c>
      <c r="Z68" s="75">
        <f>资产资本表!Z26</f>
        <v>44721411.130000003</v>
      </c>
      <c r="AA68" s="75">
        <f>资产资本表!AA26</f>
        <v>47577707.799999997</v>
      </c>
      <c r="AB68" s="75">
        <f>资产资本表!AB26</f>
        <v>45756144.789999999</v>
      </c>
      <c r="AC68" s="75">
        <f>资产资本表!AC26</f>
        <v>43153683.420000002</v>
      </c>
      <c r="AD68" s="75">
        <f>资产资本表!AD26</f>
        <v>42294242.909999996</v>
      </c>
      <c r="AE68" s="75">
        <f>资产资本表!AE26</f>
        <v>44050116.390000001</v>
      </c>
      <c r="AF68" s="75">
        <f>资产资本表!AF26</f>
        <v>37867571.469999999</v>
      </c>
      <c r="AG68" s="75">
        <f>资产资本表!AG26</f>
        <v>31807821.579999998</v>
      </c>
      <c r="AH68" s="75">
        <f>资产资本表!AH26</f>
        <v>28608479.899999999</v>
      </c>
      <c r="AI68" s="75">
        <f>资产资本表!AI26</f>
        <v>26948127.77</v>
      </c>
      <c r="AJ68" s="75">
        <f>资产资本表!AJ26</f>
        <v>26696324.02</v>
      </c>
      <c r="AK68" s="75">
        <f>资产资本表!AK26</f>
        <v>25991163.460000001</v>
      </c>
      <c r="AL68" s="75">
        <f>资产资本表!AL26</f>
        <v>27653653.690000001</v>
      </c>
      <c r="AM68" s="75">
        <f>资产资本表!AM26</f>
        <v>29418361.690000001</v>
      </c>
      <c r="AN68" s="75">
        <f>资产资本表!AN26</f>
        <v>30980621.489999998</v>
      </c>
      <c r="AO68" s="75">
        <f>资产资本表!AO26</f>
        <v>29258612.16</v>
      </c>
      <c r="AP68" s="75">
        <f>资产资本表!AP26</f>
        <v>24417478.210000001</v>
      </c>
      <c r="AQ68" s="75">
        <f>资产资本表!AQ26</f>
        <v>21673637.079999998</v>
      </c>
      <c r="AR68" s="75">
        <f>资产资本表!AR26</f>
        <v>20265747.760000002</v>
      </c>
      <c r="AS68" s="75">
        <f>资产资本表!AS26</f>
        <v>28059017.120000001</v>
      </c>
      <c r="AT68" s="75">
        <f>资产资本表!AT26</f>
        <v>29501988.68</v>
      </c>
      <c r="AU68" s="75">
        <f>资产资本表!AU26</f>
        <v>25267886.050000001</v>
      </c>
      <c r="AV68" s="75">
        <f>资产资本表!AV26</f>
        <v>25807123.25</v>
      </c>
      <c r="AW68" s="75">
        <f>资产资本表!AW26</f>
        <v>26823802.629999999</v>
      </c>
      <c r="AX68" s="75">
        <f>资产资本表!AX26</f>
        <v>26656300.170000002</v>
      </c>
      <c r="AY68" s="75">
        <f>资产资本表!AY26</f>
        <v>26678391.969999999</v>
      </c>
      <c r="AZ68" s="75">
        <f>资产资本表!AZ26</f>
        <v>23334071.149999999</v>
      </c>
      <c r="BA68" s="75">
        <f>资产资本表!BA26</f>
        <v>30206592.789999999</v>
      </c>
      <c r="BB68" s="75">
        <f>资产资本表!BB26</f>
        <v>26950714.239999998</v>
      </c>
      <c r="BC68" s="75">
        <f>资产资本表!BC26</f>
        <v>22741853.620000001</v>
      </c>
      <c r="BD68" s="75">
        <f>资产资本表!BD26</f>
        <v>21847556.370000001</v>
      </c>
      <c r="BE68" s="75">
        <f>资产资本表!BE26</f>
        <v>20420305.530000001</v>
      </c>
      <c r="BF68" s="75">
        <f>资产资本表!BF26</f>
        <v>17983790.41</v>
      </c>
      <c r="BG68" s="75">
        <f>资产资本表!BG26</f>
        <v>15942963.779999999</v>
      </c>
      <c r="BH68" s="75">
        <f>资产资本表!BH26</f>
        <v>16511887.57</v>
      </c>
      <c r="BI68" s="75">
        <f>资产资本表!BI26</f>
        <v>14804201.789999999</v>
      </c>
      <c r="BJ68" s="75">
        <f>资产资本表!BJ26</f>
        <v>17291820.800000001</v>
      </c>
      <c r="BK68" s="75">
        <f>资产资本表!BK26</f>
        <v>16540681.689999999</v>
      </c>
      <c r="BL68" s="75">
        <f>资产资本表!BL26</f>
        <v>16204439.9</v>
      </c>
      <c r="BM68" s="75">
        <f>资产资本表!BM26</f>
        <v>16743899.869999999</v>
      </c>
      <c r="BN68" s="75">
        <f>资产资本表!BN26</f>
        <v>16371309.98</v>
      </c>
      <c r="BO68" s="75">
        <f>资产资本表!BO26</f>
        <v>13337807.710000001</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4" customFormat="1" x14ac:dyDescent="0.25">
      <c r="A69" s="153" t="s">
        <v>478</v>
      </c>
      <c r="E69" s="154">
        <f>E67/(E68+I68)*2</f>
        <v>53.264273094649546</v>
      </c>
      <c r="F69" s="154">
        <f t="shared" ref="F69:BQ69" si="32">F67/(F68+J68)*2</f>
        <v>43.058906907507321</v>
      </c>
      <c r="G69" s="154">
        <f t="shared" si="32"/>
        <v>27.913657163711385</v>
      </c>
      <c r="H69" s="154">
        <f t="shared" si="32"/>
        <v>12.734829639682552</v>
      </c>
      <c r="I69" s="154">
        <f t="shared" si="32"/>
        <v>51.325826487156675</v>
      </c>
      <c r="J69" s="154">
        <f t="shared" si="32"/>
        <v>39.905170504923163</v>
      </c>
      <c r="K69" s="154">
        <f t="shared" si="32"/>
        <v>26.252748939419043</v>
      </c>
      <c r="L69" s="154">
        <f t="shared" si="32"/>
        <v>12.45671527169344</v>
      </c>
      <c r="M69" s="154">
        <f t="shared" si="32"/>
        <v>48.706968813273598</v>
      </c>
      <c r="N69" s="154">
        <f t="shared" si="32"/>
        <v>37.83115462489841</v>
      </c>
      <c r="O69" s="154">
        <f t="shared" si="32"/>
        <v>25.831314760681437</v>
      </c>
      <c r="P69" s="154">
        <f t="shared" si="32"/>
        <v>13.906202291609747</v>
      </c>
      <c r="Q69" s="154">
        <f t="shared" si="32"/>
        <v>57.702900539531917</v>
      </c>
      <c r="R69" s="154">
        <f t="shared" si="32"/>
        <v>42.709105554775597</v>
      </c>
      <c r="S69" s="154">
        <f t="shared" si="32"/>
        <v>30.071761496341392</v>
      </c>
      <c r="T69" s="154">
        <f t="shared" si="32"/>
        <v>15.058729200074341</v>
      </c>
      <c r="U69" s="154">
        <f t="shared" si="32"/>
        <v>60.722436120415018</v>
      </c>
      <c r="V69" s="154">
        <f t="shared" si="32"/>
        <v>46.765802471073435</v>
      </c>
      <c r="W69" s="154">
        <f t="shared" si="32"/>
        <v>30.576387609099566</v>
      </c>
      <c r="X69" s="154">
        <f t="shared" si="32"/>
        <v>14.861118864857533</v>
      </c>
      <c r="Y69" s="154">
        <f t="shared" si="32"/>
        <v>58.317161577812968</v>
      </c>
      <c r="Z69" s="154">
        <f t="shared" si="32"/>
        <v>49.843079080532767</v>
      </c>
      <c r="AA69" s="154">
        <f t="shared" si="32"/>
        <v>31.49493635531454</v>
      </c>
      <c r="AB69" s="154">
        <f t="shared" si="32"/>
        <v>16.740845255757115</v>
      </c>
      <c r="AC69" s="154">
        <f t="shared" si="32"/>
        <v>70.820722433734488</v>
      </c>
      <c r="AD69" s="154">
        <f t="shared" si="32"/>
        <v>54.097776733886192</v>
      </c>
      <c r="AE69" s="154">
        <f t="shared" si="32"/>
        <v>35.386083043381007</v>
      </c>
      <c r="AF69" s="154">
        <f t="shared" si="32"/>
        <v>18.397065285566153</v>
      </c>
      <c r="AG69" s="154">
        <f t="shared" si="32"/>
        <v>84.863978508367239</v>
      </c>
      <c r="AH69" s="154">
        <f t="shared" si="32"/>
        <v>59.042216065734515</v>
      </c>
      <c r="AI69" s="154">
        <f t="shared" si="32"/>
        <v>38.446344059050432</v>
      </c>
      <c r="AJ69" s="154">
        <f t="shared" si="32"/>
        <v>17.55264288231896</v>
      </c>
      <c r="AK69" s="154">
        <f t="shared" si="32"/>
        <v>68.757694595321496</v>
      </c>
      <c r="AL69" s="154">
        <f t="shared" si="32"/>
        <v>51.935607287230873</v>
      </c>
      <c r="AM69" s="154">
        <f t="shared" si="32"/>
        <v>34.630560194464671</v>
      </c>
      <c r="AN69" s="154">
        <f t="shared" si="32"/>
        <v>17.973732642142252</v>
      </c>
      <c r="AO69" s="154">
        <f t="shared" si="32"/>
        <v>61.533850504013728</v>
      </c>
      <c r="AP69" s="154">
        <f t="shared" si="32"/>
        <v>47.460491105015073</v>
      </c>
      <c r="AQ69" s="154">
        <f t="shared" si="32"/>
        <v>36.11650697496232</v>
      </c>
      <c r="AR69" s="154">
        <f t="shared" si="32"/>
        <v>17.857174506043442</v>
      </c>
      <c r="AS69" s="154">
        <f t="shared" si="32"/>
        <v>52.067933105787631</v>
      </c>
      <c r="AT69" s="154">
        <f t="shared" si="32"/>
        <v>36.030107612511415</v>
      </c>
      <c r="AU69" s="154">
        <f t="shared" si="32"/>
        <v>25.773093414402823</v>
      </c>
      <c r="AV69" s="154">
        <f t="shared" si="32"/>
        <v>13.000771350807867</v>
      </c>
      <c r="AW69" s="154">
        <f t="shared" si="32"/>
        <v>44.222211338825048</v>
      </c>
      <c r="AX69" s="154">
        <f t="shared" si="32"/>
        <v>34.660190904670081</v>
      </c>
      <c r="AY69" s="154">
        <f t="shared" si="32"/>
        <v>25.681842532098191</v>
      </c>
      <c r="AZ69" s="154">
        <f t="shared" si="32"/>
        <v>13.45723260214244</v>
      </c>
      <c r="BA69" s="154">
        <f t="shared" si="32"/>
        <v>46.853248376129237</v>
      </c>
      <c r="BB69" s="154">
        <f t="shared" si="32"/>
        <v>36.01292301104737</v>
      </c>
      <c r="BC69" s="154">
        <f t="shared" si="32"/>
        <v>25.618205096658929</v>
      </c>
      <c r="BD69" s="154">
        <f t="shared" si="32"/>
        <v>11.647867381990002</v>
      </c>
      <c r="BE69" s="154">
        <f t="shared" si="32"/>
        <v>39.894236812848632</v>
      </c>
      <c r="BF69" s="154">
        <f t="shared" si="32"/>
        <v>24.118440728216655</v>
      </c>
      <c r="BG69" s="154">
        <f t="shared" si="32"/>
        <v>13.333485782561093</v>
      </c>
      <c r="BH69" s="154">
        <f t="shared" si="32"/>
        <v>6.2974719209827006</v>
      </c>
      <c r="BI69" s="154">
        <f t="shared" si="32"/>
        <v>24.013280745209823</v>
      </c>
      <c r="BJ69" s="154">
        <f t="shared" si="32"/>
        <v>15.05053713485885</v>
      </c>
      <c r="BK69" s="154">
        <f t="shared" si="32"/>
        <v>11.166710700575111</v>
      </c>
      <c r="BL69" s="154">
        <f t="shared" si="32"/>
        <v>10.858475265164827</v>
      </c>
      <c r="BM69" s="154">
        <f t="shared" si="32"/>
        <v>43.735924829082244</v>
      </c>
      <c r="BN69" s="154">
        <f t="shared" si="32"/>
        <v>20.33282918267729</v>
      </c>
      <c r="BO69" s="154">
        <f t="shared" si="32"/>
        <v>51.559520086978367</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2" customFormat="1" x14ac:dyDescent="0.25">
      <c r="A70" s="147" t="s">
        <v>479</v>
      </c>
      <c r="E70" s="82">
        <f>E62/E69</f>
        <v>6.8526233212908458</v>
      </c>
      <c r="F70" s="82">
        <f t="shared" ref="F70:BQ70" si="34">F62/F69</f>
        <v>8.4767595420858726</v>
      </c>
      <c r="G70" s="82">
        <f t="shared" si="34"/>
        <v>13.076036502823831</v>
      </c>
      <c r="H70" s="82">
        <f t="shared" si="34"/>
        <v>28.661553419029371</v>
      </c>
      <c r="I70" s="82">
        <f t="shared" si="34"/>
        <v>7.1114295663867075</v>
      </c>
      <c r="J70" s="82">
        <f t="shared" si="34"/>
        <v>9.1466843865500937</v>
      </c>
      <c r="K70" s="82">
        <f t="shared" si="34"/>
        <v>13.903305929686661</v>
      </c>
      <c r="L70" s="82">
        <f t="shared" si="34"/>
        <v>29.301464474300353</v>
      </c>
      <c r="M70" s="82">
        <f t="shared" si="34"/>
        <v>7.4937941919417987</v>
      </c>
      <c r="N70" s="82">
        <f t="shared" si="34"/>
        <v>9.6481326995971948</v>
      </c>
      <c r="O70" s="82">
        <f t="shared" si="34"/>
        <v>14.130136362845017</v>
      </c>
      <c r="P70" s="82">
        <f t="shared" si="34"/>
        <v>26.247281058195259</v>
      </c>
      <c r="Q70" s="82">
        <f t="shared" si="34"/>
        <v>6.3255052447483235</v>
      </c>
      <c r="R70" s="82">
        <f t="shared" si="34"/>
        <v>8.5461869373938892</v>
      </c>
      <c r="S70" s="82">
        <f t="shared" si="34"/>
        <v>12.137632843503592</v>
      </c>
      <c r="T70" s="82">
        <f t="shared" si="34"/>
        <v>24.238433080940062</v>
      </c>
      <c r="U70" s="82">
        <f t="shared" si="34"/>
        <v>6.0109577829879948</v>
      </c>
      <c r="V70" s="82">
        <f t="shared" si="34"/>
        <v>7.8048484301272802</v>
      </c>
      <c r="W70" s="82">
        <f t="shared" si="34"/>
        <v>11.937315966369278</v>
      </c>
      <c r="X70" s="82">
        <f t="shared" si="34"/>
        <v>24.560734849051293</v>
      </c>
      <c r="Y70" s="82">
        <f t="shared" si="34"/>
        <v>6.2588780064849026</v>
      </c>
      <c r="Z70" s="82">
        <f t="shared" si="34"/>
        <v>7.3229825832039781</v>
      </c>
      <c r="AA70" s="82">
        <f t="shared" si="34"/>
        <v>11.589164552745919</v>
      </c>
      <c r="AB70" s="82">
        <f t="shared" si="34"/>
        <v>21.802961225896155</v>
      </c>
      <c r="AC70" s="82">
        <f t="shared" si="34"/>
        <v>5.1538587500504969</v>
      </c>
      <c r="AD70" s="82">
        <f t="shared" si="34"/>
        <v>6.7470425225694797</v>
      </c>
      <c r="AE70" s="82">
        <f t="shared" si="34"/>
        <v>10.314789561549778</v>
      </c>
      <c r="AF70" s="82">
        <f t="shared" si="34"/>
        <v>19.840120928764073</v>
      </c>
      <c r="AG70" s="82">
        <f t="shared" si="34"/>
        <v>4.3010003350716408</v>
      </c>
      <c r="AH70" s="82">
        <f t="shared" si="34"/>
        <v>6.1820172805442821</v>
      </c>
      <c r="AI70" s="82">
        <f t="shared" si="34"/>
        <v>9.4937505485408433</v>
      </c>
      <c r="AJ70" s="82">
        <f t="shared" si="34"/>
        <v>20.794589307554929</v>
      </c>
      <c r="AK70" s="82">
        <f t="shared" si="34"/>
        <v>5.3084967747716751</v>
      </c>
      <c r="AL70" s="82">
        <f t="shared" si="34"/>
        <v>7.0279336098134078</v>
      </c>
      <c r="AM70" s="82">
        <f t="shared" si="34"/>
        <v>10.539823726511401</v>
      </c>
      <c r="AN70" s="82">
        <f t="shared" si="34"/>
        <v>20.307412337056796</v>
      </c>
      <c r="AO70" s="82">
        <f t="shared" si="34"/>
        <v>5.9316944577715285</v>
      </c>
      <c r="AP70" s="82">
        <f t="shared" si="34"/>
        <v>7.6906073136152404</v>
      </c>
      <c r="AQ70" s="82">
        <f t="shared" si="34"/>
        <v>10.106182202310853</v>
      </c>
      <c r="AR70" s="82">
        <f t="shared" si="34"/>
        <v>20.439963773466641</v>
      </c>
      <c r="AS70" s="82">
        <f t="shared" si="34"/>
        <v>7.0100727689424698</v>
      </c>
      <c r="AT70" s="82">
        <f t="shared" si="34"/>
        <v>10.130416592851201</v>
      </c>
      <c r="AU70" s="82">
        <f t="shared" si="34"/>
        <v>14.162056301554644</v>
      </c>
      <c r="AV70" s="82">
        <f t="shared" si="34"/>
        <v>28.075257240588186</v>
      </c>
      <c r="AW70" s="82">
        <f t="shared" si="34"/>
        <v>8.2537708755316572</v>
      </c>
      <c r="AX70" s="82">
        <f t="shared" si="34"/>
        <v>10.530813318481181</v>
      </c>
      <c r="AY70" s="82">
        <f t="shared" si="34"/>
        <v>14.212375905031285</v>
      </c>
      <c r="AZ70" s="82">
        <f t="shared" si="34"/>
        <v>27.122961368884319</v>
      </c>
      <c r="BA70" s="82">
        <f t="shared" si="34"/>
        <v>7.7902816272171211</v>
      </c>
      <c r="BB70" s="82">
        <f t="shared" si="34"/>
        <v>10.135250612343578</v>
      </c>
      <c r="BC70" s="82">
        <f t="shared" si="34"/>
        <v>14.247680453132235</v>
      </c>
      <c r="BD70" s="82">
        <f t="shared" si="34"/>
        <v>31.33620842596174</v>
      </c>
      <c r="BE70" s="82">
        <f t="shared" si="34"/>
        <v>9.1491911905041228</v>
      </c>
      <c r="BF70" s="82">
        <f t="shared" si="34"/>
        <v>15.133648319685072</v>
      </c>
      <c r="BG70" s="82">
        <f t="shared" si="34"/>
        <v>27.374687006257929</v>
      </c>
      <c r="BH70" s="82">
        <f t="shared" si="34"/>
        <v>57.959766169635088</v>
      </c>
      <c r="BI70" s="82">
        <f t="shared" si="34"/>
        <v>15.199922237731316</v>
      </c>
      <c r="BJ70" s="82">
        <f t="shared" si="34"/>
        <v>24.251626153236497</v>
      </c>
      <c r="BK70" s="82">
        <f t="shared" si="34"/>
        <v>32.686438270600284</v>
      </c>
      <c r="BL70" s="82">
        <f t="shared" si="34"/>
        <v>33.614295846025435</v>
      </c>
      <c r="BM70" s="82">
        <f t="shared" si="34"/>
        <v>8.3455420555619053</v>
      </c>
      <c r="BN70" s="82">
        <f t="shared" si="34"/>
        <v>17.951264761077351</v>
      </c>
      <c r="BO70" s="82">
        <f t="shared" si="34"/>
        <v>7.0791970015287768</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6" t="s">
        <v>480</v>
      </c>
      <c r="E71" s="75">
        <f>资产资本表!E35+资产资本表!E36-资产资本表!E24</f>
        <v>260537771.74000001</v>
      </c>
      <c r="F71" s="75">
        <f>资产资本表!F35+资产资本表!F36-资产资本表!F24</f>
        <v>173908131.5</v>
      </c>
      <c r="G71" s="75">
        <f>资产资本表!G35+资产资本表!G36-资产资本表!G24</f>
        <v>154744490.04000002</v>
      </c>
      <c r="H71" s="75">
        <f>资产资本表!H35+资产资本表!H36-资产资本表!H24</f>
        <v>140954767.11000001</v>
      </c>
      <c r="I71" s="75">
        <f>资产资本表!I35+资产资本表!I36-资产资本表!I24</f>
        <v>185053427.19999999</v>
      </c>
      <c r="J71" s="75">
        <f>资产资本表!J35+资产资本表!J36-资产资本表!J24</f>
        <v>66657414.150000006</v>
      </c>
      <c r="K71" s="75">
        <f>资产资本表!K35+资产资本表!K36-资产资本表!K24</f>
        <v>83981692.159999996</v>
      </c>
      <c r="L71" s="75">
        <f>资产资本表!L35+资产资本表!L36-资产资本表!L24</f>
        <v>95729226.969999999</v>
      </c>
      <c r="M71" s="75">
        <f>资产资本表!M35+资产资本表!M36-资产资本表!M24</f>
        <v>106873619.52</v>
      </c>
      <c r="N71" s="75">
        <f>资产资本表!N35+资产资本表!N36-资产资本表!N24</f>
        <v>86811427.719999999</v>
      </c>
      <c r="O71" s="75">
        <f>资产资本表!O35+资产资本表!O36-资产资本表!O24</f>
        <v>94319058.090000004</v>
      </c>
      <c r="P71" s="75">
        <f>资产资本表!P35+资产资本表!P36-资产资本表!P24</f>
        <v>97494962.210000008</v>
      </c>
      <c r="Q71" s="75">
        <f>资产资本表!Q35+资产资本表!Q36-资产资本表!Q24</f>
        <v>96161088.730000004</v>
      </c>
      <c r="R71" s="75">
        <f>资产资本表!R35+资产资本表!R36-资产资本表!R24</f>
        <v>78252761.950000003</v>
      </c>
      <c r="S71" s="75">
        <f>资产资本表!S35+资产资本表!S36-资产资本表!S24</f>
        <v>78427596.090000004</v>
      </c>
      <c r="T71" s="75">
        <f>资产资本表!T35+资产资本表!T36-资产资本表!T24</f>
        <v>90334597.039999992</v>
      </c>
      <c r="U71" s="75">
        <f>资产资本表!U35+资产资本表!U36-资产资本表!U24</f>
        <v>108242399.03</v>
      </c>
      <c r="V71" s="75">
        <f>资产资本表!V35+资产资本表!V36-资产资本表!V24</f>
        <v>89884308.379999995</v>
      </c>
      <c r="W71" s="75">
        <f>资产资本表!W35+资产资本表!W36-资产资本表!W24</f>
        <v>95668442.429999992</v>
      </c>
      <c r="X71" s="75">
        <f>资产资本表!X35+资产资本表!X36-资产资本表!X24</f>
        <v>83883296.359999999</v>
      </c>
      <c r="Y71" s="75">
        <f>资产资本表!Y35+资产资本表!Y36-资产资本表!Y24</f>
        <v>105856546.67</v>
      </c>
      <c r="Z71" s="75">
        <f>资产资本表!Z35+资产资本表!Z36-资产资本表!Z24</f>
        <v>68137995.859999985</v>
      </c>
      <c r="AA71" s="75">
        <f>资产资本表!AA35+资产资本表!AA36-资产资本表!AA24</f>
        <v>77204122.5</v>
      </c>
      <c r="AB71" s="75">
        <f>资产资本表!AB35+资产资本表!AB36-资产资本表!AB24</f>
        <v>93618379.989999995</v>
      </c>
      <c r="AC71" s="75">
        <f>资产资本表!AC35+资产资本表!AC36-资产资本表!AC24</f>
        <v>75696564.409999996</v>
      </c>
      <c r="AD71" s="75">
        <f>资产资本表!AD35+资产资本表!AD36-资产资本表!AD24</f>
        <v>53852237.559999995</v>
      </c>
      <c r="AE71" s="75">
        <f>资产资本表!AE35+资产资本表!AE36-资产资本表!AE24</f>
        <v>54307139.559999995</v>
      </c>
      <c r="AF71" s="75">
        <f>资产资本表!AF35+资产资本表!AF36-资产资本表!AF24</f>
        <v>57035908.590000004</v>
      </c>
      <c r="AG71" s="75">
        <f>资产资本表!AG35+资产资本表!AG36-资产资本表!AG24</f>
        <v>78245521.439999998</v>
      </c>
      <c r="AH71" s="75">
        <f>资产资本表!AH35+资产资本表!AH36-资产资本表!AH24</f>
        <v>31167397.160000004</v>
      </c>
      <c r="AI71" s="75">
        <f>资产资本表!AI35+资产资本表!AI36-资产资本表!AI24</f>
        <v>27529729.379999999</v>
      </c>
      <c r="AJ71" s="75">
        <f>资产资本表!AJ35+资产资本表!AJ36-资产资本表!AJ24</f>
        <v>24999311.049999997</v>
      </c>
      <c r="AK71" s="75">
        <f>资产资本表!AK35+资产资本表!AK36-资产资本表!AK24</f>
        <v>41997966.510000005</v>
      </c>
      <c r="AL71" s="75">
        <f>资产资本表!AL35+资产资本表!AL36-资产资本表!AL24</f>
        <v>45317160.949999988</v>
      </c>
      <c r="AM71" s="75">
        <f>资产资本表!AM35+资产资本表!AM36-资产资本表!AM24</f>
        <v>388173152.62</v>
      </c>
      <c r="AN71" s="75">
        <f>资产资本表!AN35+资产资本表!AN36-资产资本表!AN24</f>
        <v>383354096.53000003</v>
      </c>
      <c r="AO71" s="75">
        <f>资产资本表!AO35+资产资本表!AO36-资产资本表!AO24</f>
        <v>101891062.19000001</v>
      </c>
      <c r="AP71" s="75">
        <f>资产资本表!AP35+资产资本表!AP36-资产资本表!AP24</f>
        <v>19299849.280000001</v>
      </c>
      <c r="AQ71" s="75">
        <f>资产资本表!AQ35+资产资本表!AQ36-资产资本表!AQ24</f>
        <v>32281047.640000001</v>
      </c>
      <c r="AR71" s="75">
        <f>资产资本表!AR35+资产资本表!AR36-资产资本表!AR24</f>
        <v>36609817.57</v>
      </c>
      <c r="AS71" s="75">
        <f>资产资本表!AS35+资产资本表!AS36-资产资本表!AS24</f>
        <v>67862718.00999999</v>
      </c>
      <c r="AT71" s="75">
        <f>资产资本表!AT35+资产资本表!AT36-资产资本表!AT24</f>
        <v>97544100.439999998</v>
      </c>
      <c r="AU71" s="75">
        <f>资产资本表!AU35+资产资本表!AU36-资产资本表!AU24</f>
        <v>91639953.299999997</v>
      </c>
      <c r="AV71" s="75">
        <f>资产资本表!AV35+资产资本表!AV36-资产资本表!AV24</f>
        <v>364316533.5</v>
      </c>
      <c r="AW71" s="75">
        <f>资产资本表!AW35+资产资本表!AW36-资产资本表!AW24</f>
        <v>248891251.81</v>
      </c>
      <c r="AX71" s="75">
        <f>资产资本表!AX35+资产资本表!AX36-资产资本表!AX24</f>
        <v>147042605.75</v>
      </c>
      <c r="AY71" s="75">
        <f>资产资本表!AY35+资产资本表!AY36-资产资本表!AY24</f>
        <v>110924700.17</v>
      </c>
      <c r="AZ71" s="75">
        <f>资产资本表!AZ35+资产资本表!AZ36-资产资本表!AZ24</f>
        <v>182466780.41999999</v>
      </c>
      <c r="BA71" s="75">
        <f>资产资本表!BA35+资产资本表!BA36-资产资本表!BA24</f>
        <v>146877415.06999999</v>
      </c>
      <c r="BB71" s="75">
        <f>资产资本表!BB35+资产资本表!BB36-资产资本表!BB24</f>
        <v>429140007.67999995</v>
      </c>
      <c r="BC71" s="75">
        <f>资产资本表!BC35+资产资本表!BC36-资产资本表!BC24</f>
        <v>452070296.79000002</v>
      </c>
      <c r="BD71" s="75">
        <f>资产资本表!BD35+资产资本表!BD36-资产资本表!BD24</f>
        <v>14245523.670000002</v>
      </c>
      <c r="BE71" s="75">
        <f>资产资本表!BE35+资产资本表!BE36-资产资本表!BE24</f>
        <v>34479559.219999999</v>
      </c>
      <c r="BF71" s="75">
        <f>资产资本表!BF35+资产资本表!BF36-资产资本表!BF24</f>
        <v>33225960.869999997</v>
      </c>
      <c r="BG71" s="75">
        <f>资产资本表!BG35+资产资本表!BG36-资产资本表!BG24</f>
        <v>-14456161.260000002</v>
      </c>
      <c r="BH71" s="75">
        <f>资产资本表!BH35+资产资本表!BH36-资产资本表!BH24</f>
        <v>5051060.51</v>
      </c>
      <c r="BI71" s="75">
        <f>资产资本表!BI35+资产资本表!BI36-资产资本表!BI24</f>
        <v>7957622.379999999</v>
      </c>
      <c r="BJ71" s="75">
        <f>资产资本表!BJ35+资产资本表!BJ36-资产资本表!BJ24</f>
        <v>3622443.9700000007</v>
      </c>
      <c r="BK71" s="75">
        <f>资产资本表!BK35+资产资本表!BK36-资产资本表!BK24</f>
        <v>3952218.0699999994</v>
      </c>
      <c r="BL71" s="75">
        <f>资产资本表!BL35+资产资本表!BL36-资产资本表!BL24</f>
        <v>22595279.5</v>
      </c>
      <c r="BM71" s="75">
        <f>资产资本表!BM35+资产资本表!BM36-资产资本表!BM24</f>
        <v>26825692.010000002</v>
      </c>
      <c r="BN71" s="75">
        <f>资产资本表!BN35+资产资本表!BN36-资产资本表!BN24</f>
        <v>6387224.9999999981</v>
      </c>
      <c r="BO71" s="75">
        <f>资产资本表!BO35+资产资本表!BO36-资产资本表!BO24</f>
        <v>4024379.7300000004</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4" customFormat="1" x14ac:dyDescent="0.25">
      <c r="A72" s="153" t="s">
        <v>481</v>
      </c>
      <c r="E72" s="154">
        <f>E67/(E71+I71)*2</f>
        <v>18.038442772973859</v>
      </c>
      <c r="F72" s="154">
        <f t="shared" ref="F72:BQ72" si="36">F67/(F71+J71)*2</f>
        <v>24.963391318710229</v>
      </c>
      <c r="G72" s="154">
        <f t="shared" si="36"/>
        <v>16.298699859826268</v>
      </c>
      <c r="H72" s="154">
        <f t="shared" si="36"/>
        <v>8.2069282006600144</v>
      </c>
      <c r="I72" s="154">
        <f t="shared" si="36"/>
        <v>25.513476231970291</v>
      </c>
      <c r="J72" s="154">
        <f t="shared" si="36"/>
        <v>35.83484289259529</v>
      </c>
      <c r="K72" s="154">
        <f t="shared" si="36"/>
        <v>20.368975293192857</v>
      </c>
      <c r="L72" s="154">
        <f t="shared" si="36"/>
        <v>8.9834824658675263</v>
      </c>
      <c r="M72" s="154">
        <f t="shared" si="36"/>
        <v>33.158620310722171</v>
      </c>
      <c r="N72" s="154">
        <f t="shared" si="36"/>
        <v>30.502024029352867</v>
      </c>
      <c r="O72" s="154">
        <f t="shared" si="36"/>
        <v>19.318176020606039</v>
      </c>
      <c r="P72" s="154">
        <f t="shared" si="36"/>
        <v>8.9236982135973353</v>
      </c>
      <c r="Q72" s="154">
        <f t="shared" si="36"/>
        <v>33.195960298030876</v>
      </c>
      <c r="R72" s="154">
        <f t="shared" si="36"/>
        <v>31.848452250000616</v>
      </c>
      <c r="S72" s="154">
        <f t="shared" si="36"/>
        <v>20.030483268230086</v>
      </c>
      <c r="T72" s="154">
        <f t="shared" si="36"/>
        <v>9.4648931466186603</v>
      </c>
      <c r="U72" s="154">
        <f t="shared" si="36"/>
        <v>30.464903903074195</v>
      </c>
      <c r="V72" s="154">
        <f t="shared" si="36"/>
        <v>31.617995188145603</v>
      </c>
      <c r="W72" s="154">
        <f t="shared" si="36"/>
        <v>18.425927704316848</v>
      </c>
      <c r="X72" s="154">
        <f t="shared" si="36"/>
        <v>8.5174193034600041</v>
      </c>
      <c r="Y72" s="154">
        <f t="shared" si="36"/>
        <v>31.427454744665898</v>
      </c>
      <c r="Z72" s="154">
        <f t="shared" si="36"/>
        <v>35.553076701047935</v>
      </c>
      <c r="AA72" s="154">
        <f t="shared" si="36"/>
        <v>21.943462833801959</v>
      </c>
      <c r="AB72" s="154">
        <f t="shared" si="36"/>
        <v>9.2923454540533204</v>
      </c>
      <c r="AC72" s="154">
        <f t="shared" si="36"/>
        <v>34.485877656568078</v>
      </c>
      <c r="AD72" s="154">
        <f t="shared" si="36"/>
        <v>45.115221690051506</v>
      </c>
      <c r="AE72" s="154">
        <f t="shared" si="36"/>
        <v>30.6994854070232</v>
      </c>
      <c r="AF72" s="154">
        <f t="shared" si="36"/>
        <v>14.478978731725622</v>
      </c>
      <c r="AG72" s="154">
        <f t="shared" si="36"/>
        <v>40.792660857273475</v>
      </c>
      <c r="AH72" s="154">
        <f t="shared" si="36"/>
        <v>43.431525654662643</v>
      </c>
      <c r="AI72" s="154">
        <f t="shared" si="36"/>
        <v>5.2130633224236336</v>
      </c>
      <c r="AJ72" s="154">
        <f t="shared" si="36"/>
        <v>2.4791830024870438</v>
      </c>
      <c r="AK72" s="154">
        <f t="shared" si="36"/>
        <v>26.401229008643657</v>
      </c>
      <c r="AL72" s="154">
        <f t="shared" si="36"/>
        <v>41.851918677977508</v>
      </c>
      <c r="AM72" s="154">
        <f t="shared" si="36"/>
        <v>4.2081742500511936</v>
      </c>
      <c r="AN72" s="154">
        <f t="shared" si="36"/>
        <v>2.1932563938354814</v>
      </c>
      <c r="AO72" s="154">
        <f t="shared" si="36"/>
        <v>20.777000825575726</v>
      </c>
      <c r="AP72" s="154">
        <f t="shared" si="36"/>
        <v>21.901385436322443</v>
      </c>
      <c r="AQ72" s="154">
        <f t="shared" si="36"/>
        <v>13.681005113579257</v>
      </c>
      <c r="AR72" s="154">
        <f t="shared" si="36"/>
        <v>2.0520758873151612</v>
      </c>
      <c r="AS72" s="154">
        <f t="shared" si="36"/>
        <v>9.0216232775989909</v>
      </c>
      <c r="AT72" s="154">
        <f t="shared" si="36"/>
        <v>8.2726866971592052</v>
      </c>
      <c r="AU72" s="154">
        <f t="shared" si="36"/>
        <v>6.6093281972231148</v>
      </c>
      <c r="AV72" s="154">
        <f t="shared" si="36"/>
        <v>1.1684215959696855</v>
      </c>
      <c r="AW72" s="154">
        <f t="shared" si="36"/>
        <v>6.3724352381960854</v>
      </c>
      <c r="AX72" s="154">
        <f t="shared" si="36"/>
        <v>3.2247230478184687</v>
      </c>
      <c r="AY72" s="154">
        <f t="shared" si="36"/>
        <v>2.2543769873503425</v>
      </c>
      <c r="AZ72" s="154">
        <f t="shared" si="36"/>
        <v>3.0909081853965694</v>
      </c>
      <c r="BA72" s="154">
        <f t="shared" si="36"/>
        <v>13.079368195165097</v>
      </c>
      <c r="BB72" s="154">
        <f t="shared" si="36"/>
        <v>3.4998744859506381</v>
      </c>
      <c r="BC72" s="154">
        <f t="shared" si="36"/>
        <v>2.2646333969074015</v>
      </c>
      <c r="BD72" s="154">
        <f t="shared" si="36"/>
        <v>23.154653263611966</v>
      </c>
      <c r="BE72" s="154">
        <f t="shared" si="36"/>
        <v>33.113764478647667</v>
      </c>
      <c r="BF72" s="154">
        <f t="shared" si="36"/>
        <v>23.088997795542024</v>
      </c>
      <c r="BG72" s="154">
        <f t="shared" si="36"/>
        <v>-41.234060124424566</v>
      </c>
      <c r="BH72" s="154">
        <f t="shared" si="36"/>
        <v>7.4523482502738707</v>
      </c>
      <c r="BI72" s="154">
        <f t="shared" si="36"/>
        <v>21.779794002546172</v>
      </c>
      <c r="BJ72" s="154">
        <f t="shared" si="36"/>
        <v>50.615879645818104</v>
      </c>
      <c r="BK72" s="154">
        <f t="shared" si="36"/>
        <v>41.827914063813026</v>
      </c>
      <c r="BL72" s="154">
        <f t="shared" si="36"/>
        <v>7.7872685681980611</v>
      </c>
      <c r="BM72" s="154">
        <f t="shared" si="36"/>
        <v>27.298827772532825</v>
      </c>
      <c r="BN72" s="154">
        <f t="shared" si="36"/>
        <v>52.115754387860157</v>
      </c>
      <c r="BO72" s="154">
        <f t="shared" si="36"/>
        <v>170.88123156310598</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2" customFormat="1" x14ac:dyDescent="0.25">
      <c r="A73" s="147" t="s">
        <v>482</v>
      </c>
      <c r="E73" s="82">
        <f>E62/E72</f>
        <v>20.234562627926074</v>
      </c>
      <c r="F73" s="82">
        <f t="shared" ref="F73:BQ73" si="38">F62/F72</f>
        <v>14.621410822752678</v>
      </c>
      <c r="G73" s="82">
        <f t="shared" si="38"/>
        <v>22.394424287772033</v>
      </c>
      <c r="H73" s="82">
        <f t="shared" si="38"/>
        <v>44.474618404806577</v>
      </c>
      <c r="I73" s="82">
        <f t="shared" si="38"/>
        <v>14.306164972636216</v>
      </c>
      <c r="J73" s="82">
        <f t="shared" si="38"/>
        <v>10.185617419727032</v>
      </c>
      <c r="K73" s="82">
        <f t="shared" si="38"/>
        <v>17.919409039785126</v>
      </c>
      <c r="L73" s="82">
        <f t="shared" si="38"/>
        <v>40.630123271994641</v>
      </c>
      <c r="M73" s="82">
        <f t="shared" si="38"/>
        <v>11.007695633282234</v>
      </c>
      <c r="N73" s="82">
        <f t="shared" si="38"/>
        <v>11.966419003825822</v>
      </c>
      <c r="O73" s="82">
        <f t="shared" si="38"/>
        <v>18.894123317370489</v>
      </c>
      <c r="P73" s="82">
        <f t="shared" si="38"/>
        <v>40.902324491861165</v>
      </c>
      <c r="Q73" s="82">
        <f t="shared" si="38"/>
        <v>10.995313788878436</v>
      </c>
      <c r="R73" s="82">
        <f t="shared" si="38"/>
        <v>11.460525526793628</v>
      </c>
      <c r="S73" s="82">
        <f t="shared" si="38"/>
        <v>18.222226349322213</v>
      </c>
      <c r="T73" s="82">
        <f t="shared" si="38"/>
        <v>38.563562667413365</v>
      </c>
      <c r="U73" s="82">
        <f t="shared" si="38"/>
        <v>11.980999551525521</v>
      </c>
      <c r="V73" s="82">
        <f t="shared" si="38"/>
        <v>11.544058939475324</v>
      </c>
      <c r="W73" s="82">
        <f t="shared" si="38"/>
        <v>19.809043314247205</v>
      </c>
      <c r="X73" s="82">
        <f t="shared" si="38"/>
        <v>42.853355810688718</v>
      </c>
      <c r="Y73" s="82">
        <f t="shared" si="38"/>
        <v>11.614049020687892</v>
      </c>
      <c r="Z73" s="82">
        <f t="shared" si="38"/>
        <v>10.266340746516645</v>
      </c>
      <c r="AA73" s="82">
        <f t="shared" si="38"/>
        <v>16.633655442829646</v>
      </c>
      <c r="AB73" s="82">
        <f t="shared" si="38"/>
        <v>39.27964170130879</v>
      </c>
      <c r="AC73" s="82">
        <f t="shared" si="38"/>
        <v>10.584042651745683</v>
      </c>
      <c r="AD73" s="82">
        <f t="shared" si="38"/>
        <v>8.0903957982874601</v>
      </c>
      <c r="AE73" s="82">
        <f t="shared" si="38"/>
        <v>11.889450105131013</v>
      </c>
      <c r="AF73" s="82">
        <f t="shared" si="38"/>
        <v>25.208960297747385</v>
      </c>
      <c r="AG73" s="82">
        <f t="shared" si="38"/>
        <v>8.9476879499739521</v>
      </c>
      <c r="AH73" s="82">
        <f t="shared" si="38"/>
        <v>8.4040335792536212</v>
      </c>
      <c r="AI73" s="82">
        <f t="shared" si="38"/>
        <v>70.016414040086104</v>
      </c>
      <c r="AJ73" s="82">
        <f t="shared" si="38"/>
        <v>147.22592064960219</v>
      </c>
      <c r="AK73" s="82">
        <f t="shared" si="38"/>
        <v>13.825113970281476</v>
      </c>
      <c r="AL73" s="82">
        <f t="shared" si="38"/>
        <v>8.7212250126076807</v>
      </c>
      <c r="AM73" s="82">
        <f t="shared" si="38"/>
        <v>86.735952057013719</v>
      </c>
      <c r="AN73" s="82">
        <f t="shared" si="38"/>
        <v>166.41921164615971</v>
      </c>
      <c r="AO73" s="82">
        <f t="shared" si="38"/>
        <v>17.56750182878649</v>
      </c>
      <c r="AP73" s="82">
        <f t="shared" si="38"/>
        <v>16.665612367821456</v>
      </c>
      <c r="AQ73" s="82">
        <f t="shared" si="38"/>
        <v>26.679326333831611</v>
      </c>
      <c r="AR73" s="82">
        <f t="shared" si="38"/>
        <v>177.86866570395148</v>
      </c>
      <c r="AS73" s="82">
        <f t="shared" si="38"/>
        <v>40.458350871988621</v>
      </c>
      <c r="AT73" s="82">
        <f t="shared" si="38"/>
        <v>44.121095523336933</v>
      </c>
      <c r="AU73" s="82">
        <f t="shared" si="38"/>
        <v>55.224977351458115</v>
      </c>
      <c r="AV73" s="82">
        <f t="shared" si="38"/>
        <v>312.38724212135315</v>
      </c>
      <c r="AW73" s="82">
        <f t="shared" si="38"/>
        <v>57.277945770591231</v>
      </c>
      <c r="AX73" s="82">
        <f t="shared" si="38"/>
        <v>113.18801478065635</v>
      </c>
      <c r="AY73" s="82">
        <f t="shared" si="38"/>
        <v>161.9072595435774</v>
      </c>
      <c r="AZ73" s="82">
        <f t="shared" si="38"/>
        <v>118.08826988924933</v>
      </c>
      <c r="BA73" s="82">
        <f t="shared" si="38"/>
        <v>27.90654675008885</v>
      </c>
      <c r="BB73" s="82">
        <f t="shared" si="38"/>
        <v>104.28945422620163</v>
      </c>
      <c r="BC73" s="82">
        <f t="shared" si="38"/>
        <v>161.17398979386527</v>
      </c>
      <c r="BD73" s="82">
        <f t="shared" si="38"/>
        <v>15.763570105953836</v>
      </c>
      <c r="BE73" s="82">
        <f t="shared" si="38"/>
        <v>11.02260663342455</v>
      </c>
      <c r="BF73" s="82">
        <f t="shared" si="38"/>
        <v>15.808395116676456</v>
      </c>
      <c r="BG73" s="82">
        <f t="shared" si="38"/>
        <v>-8.8519054126274614</v>
      </c>
      <c r="BH73" s="82">
        <f t="shared" si="38"/>
        <v>48.977850704519398</v>
      </c>
      <c r="BI73" s="82">
        <f t="shared" si="38"/>
        <v>16.758652536260424</v>
      </c>
      <c r="BJ73" s="82">
        <f t="shared" si="38"/>
        <v>7.2111756736041706</v>
      </c>
      <c r="BK73" s="82">
        <f t="shared" si="38"/>
        <v>8.7262300348794071</v>
      </c>
      <c r="BL73" s="82">
        <f t="shared" si="38"/>
        <v>46.871376889529749</v>
      </c>
      <c r="BM73" s="82">
        <f t="shared" si="38"/>
        <v>13.37053748393002</v>
      </c>
      <c r="BN73" s="82">
        <f t="shared" si="38"/>
        <v>7.0036403442146682</v>
      </c>
      <c r="BO73" s="82">
        <f t="shared" si="38"/>
        <v>2.1359864782178053</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5" customFormat="1" x14ac:dyDescent="0.25">
      <c r="A74" s="254" t="s">
        <v>483</v>
      </c>
      <c r="E74" s="255">
        <f>E66+E70</f>
        <v>49.752826559420313</v>
      </c>
      <c r="F74" s="255">
        <f t="shared" ref="F74:BQ74" si="40">F66+F70</f>
        <v>71.602236485227252</v>
      </c>
      <c r="G74" s="255">
        <f t="shared" si="40"/>
        <v>86.381723403401708</v>
      </c>
      <c r="H74" s="255">
        <f t="shared" si="40"/>
        <v>255.45871046787011</v>
      </c>
      <c r="I74" s="255">
        <f t="shared" si="40"/>
        <v>44.358922032185689</v>
      </c>
      <c r="J74" s="255">
        <f t="shared" si="40"/>
        <v>70.332516492637509</v>
      </c>
      <c r="K74" s="255">
        <f t="shared" si="40"/>
        <v>85.979546628495115</v>
      </c>
      <c r="L74" s="255">
        <f t="shared" si="40"/>
        <v>261.27869064262001</v>
      </c>
      <c r="M74" s="255">
        <f t="shared" si="40"/>
        <v>42.665936500924701</v>
      </c>
      <c r="N74" s="255">
        <f t="shared" si="40"/>
        <v>75.177250496365318</v>
      </c>
      <c r="O74" s="255">
        <f t="shared" si="40"/>
        <v>93.037373052587697</v>
      </c>
      <c r="P74" s="255">
        <f t="shared" si="40"/>
        <v>261.48467148726405</v>
      </c>
      <c r="Q74" s="255">
        <f t="shared" si="40"/>
        <v>41.258280201699947</v>
      </c>
      <c r="R74" s="255">
        <f t="shared" si="40"/>
        <v>75.638946252596881</v>
      </c>
      <c r="S74" s="255">
        <f t="shared" si="40"/>
        <v>96.488838076415988</v>
      </c>
      <c r="T74" s="255">
        <f t="shared" si="40"/>
        <v>259.93941143752346</v>
      </c>
      <c r="U74" s="255">
        <f t="shared" si="40"/>
        <v>42.513682397545146</v>
      </c>
      <c r="V74" s="255">
        <f t="shared" si="40"/>
        <v>81.672786878344283</v>
      </c>
      <c r="W74" s="255">
        <f t="shared" si="40"/>
        <v>109.05577652532723</v>
      </c>
      <c r="X74" s="255">
        <f t="shared" si="40"/>
        <v>287.14324628279957</v>
      </c>
      <c r="Y74" s="255">
        <f t="shared" si="40"/>
        <v>52.077305332367985</v>
      </c>
      <c r="Z74" s="255">
        <f t="shared" si="40"/>
        <v>95.95955493535655</v>
      </c>
      <c r="AA74" s="255">
        <f t="shared" si="40"/>
        <v>128.02411060129273</v>
      </c>
      <c r="AB74" s="255">
        <f t="shared" si="40"/>
        <v>319.82206167270238</v>
      </c>
      <c r="AC74" s="255">
        <f t="shared" si="40"/>
        <v>64.169100235156989</v>
      </c>
      <c r="AD74" s="255">
        <f t="shared" si="40"/>
        <v>97.422081960105032</v>
      </c>
      <c r="AE74" s="255">
        <f t="shared" si="40"/>
        <v>171.00857774607425</v>
      </c>
      <c r="AF74" s="255">
        <f t="shared" si="40"/>
        <v>386.58720948934354</v>
      </c>
      <c r="AG74" s="255">
        <f t="shared" si="40"/>
        <v>83.285429099802144</v>
      </c>
      <c r="AH74" s="255">
        <f t="shared" si="40"/>
        <v>120.32661680181243</v>
      </c>
      <c r="AI74" s="255">
        <f t="shared" si="40"/>
        <v>235.92691613971323</v>
      </c>
      <c r="AJ74" s="255">
        <f t="shared" si="40"/>
        <v>485.53534564459886</v>
      </c>
      <c r="AK74" s="255">
        <f t="shared" si="40"/>
        <v>108.45342913959718</v>
      </c>
      <c r="AL74" s="255">
        <f t="shared" si="40"/>
        <v>172.65301947342488</v>
      </c>
      <c r="AM74" s="255">
        <f t="shared" si="40"/>
        <v>274.15583823885265</v>
      </c>
      <c r="AN74" s="255">
        <f t="shared" si="40"/>
        <v>501.94766360146855</v>
      </c>
      <c r="AO74" s="255">
        <f t="shared" si="40"/>
        <v>100.54430060731885</v>
      </c>
      <c r="AP74" s="255">
        <f t="shared" si="40"/>
        <v>164.53426493641032</v>
      </c>
      <c r="AQ74" s="255">
        <f t="shared" si="40"/>
        <v>264.10100808551459</v>
      </c>
      <c r="AR74" s="255">
        <f t="shared" si="40"/>
        <v>476.11295702170048</v>
      </c>
      <c r="AS74" s="255">
        <f t="shared" si="40"/>
        <v>107.66001721170615</v>
      </c>
      <c r="AT74" s="255">
        <f t="shared" si="40"/>
        <v>198.10346791975235</v>
      </c>
      <c r="AU74" s="255">
        <f t="shared" si="40"/>
        <v>325.98109633120015</v>
      </c>
      <c r="AV74" s="255">
        <f t="shared" si="40"/>
        <v>641.23310024362752</v>
      </c>
      <c r="AW74" s="255">
        <f t="shared" si="40"/>
        <v>140.58083600535861</v>
      </c>
      <c r="AX74" s="255">
        <f t="shared" si="40"/>
        <v>211.05501845813188</v>
      </c>
      <c r="AY74" s="255">
        <f t="shared" si="40"/>
        <v>310.43467241927283</v>
      </c>
      <c r="AZ74" s="255">
        <f t="shared" si="40"/>
        <v>576.27401546784449</v>
      </c>
      <c r="BA74" s="255">
        <f t="shared" si="40"/>
        <v>131.03711450466957</v>
      </c>
      <c r="BB74" s="255">
        <f t="shared" si="40"/>
        <v>165.02372495583793</v>
      </c>
      <c r="BC74" s="255">
        <f t="shared" si="40"/>
        <v>267.63844973512499</v>
      </c>
      <c r="BD74" s="255">
        <f t="shared" si="40"/>
        <v>523.24555315862278</v>
      </c>
      <c r="BE74" s="255">
        <f t="shared" si="40"/>
        <v>118.5038015565156</v>
      </c>
      <c r="BF74" s="255">
        <f t="shared" si="40"/>
        <v>149.47143400206613</v>
      </c>
      <c r="BG74" s="255">
        <f t="shared" si="40"/>
        <v>217.60903467846737</v>
      </c>
      <c r="BH74" s="255">
        <f t="shared" si="40"/>
        <v>450.3423122159885</v>
      </c>
      <c r="BI74" s="255">
        <f t="shared" si="40"/>
        <v>123.43680374288735</v>
      </c>
      <c r="BJ74" s="255">
        <f t="shared" si="40"/>
        <v>137.44515028220945</v>
      </c>
      <c r="BK74" s="255">
        <f t="shared" si="40"/>
        <v>192.83000304489727</v>
      </c>
      <c r="BL74" s="255">
        <f t="shared" si="40"/>
        <v>235.22404485932782</v>
      </c>
      <c r="BM74" s="255">
        <f t="shared" si="40"/>
        <v>54.637282934210234</v>
      </c>
      <c r="BN74" s="255">
        <f t="shared" si="40"/>
        <v>65.714577506133267</v>
      </c>
      <c r="BO74" s="255">
        <f t="shared" si="40"/>
        <v>35.838059364422485</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484</v>
      </c>
      <c r="E75" s="255">
        <f>E74-E73</f>
        <v>29.518263931494239</v>
      </c>
      <c r="F75" s="255">
        <f t="shared" ref="F75:BQ75" si="42">F74-F73</f>
        <v>56.980825662474572</v>
      </c>
      <c r="G75" s="255">
        <f t="shared" si="42"/>
        <v>63.987299115629675</v>
      </c>
      <c r="H75" s="255">
        <f t="shared" si="42"/>
        <v>210.98409206306354</v>
      </c>
      <c r="I75" s="255">
        <f t="shared" si="42"/>
        <v>30.052757059549471</v>
      </c>
      <c r="J75" s="255">
        <f t="shared" si="42"/>
        <v>60.146899072910479</v>
      </c>
      <c r="K75" s="255">
        <f t="shared" si="42"/>
        <v>68.060137588709992</v>
      </c>
      <c r="L75" s="255">
        <f t="shared" si="42"/>
        <v>220.64856737062536</v>
      </c>
      <c r="M75" s="255">
        <f t="shared" si="42"/>
        <v>31.658240867642469</v>
      </c>
      <c r="N75" s="255">
        <f t="shared" si="42"/>
        <v>63.210831492539498</v>
      </c>
      <c r="O75" s="255">
        <f t="shared" si="42"/>
        <v>74.143249735217211</v>
      </c>
      <c r="P75" s="255">
        <f t="shared" si="42"/>
        <v>220.58234699540287</v>
      </c>
      <c r="Q75" s="255">
        <f t="shared" si="42"/>
        <v>30.262966412821513</v>
      </c>
      <c r="R75" s="255">
        <f t="shared" si="42"/>
        <v>64.17842072580325</v>
      </c>
      <c r="S75" s="255">
        <f t="shared" si="42"/>
        <v>78.266611727093775</v>
      </c>
      <c r="T75" s="255">
        <f t="shared" si="42"/>
        <v>221.37584877011011</v>
      </c>
      <c r="U75" s="255">
        <f t="shared" si="42"/>
        <v>30.532682846019625</v>
      </c>
      <c r="V75" s="255">
        <f t="shared" si="42"/>
        <v>70.128727938868963</v>
      </c>
      <c r="W75" s="255">
        <f t="shared" si="42"/>
        <v>89.246733211080027</v>
      </c>
      <c r="X75" s="255">
        <f t="shared" si="42"/>
        <v>244.28989047211084</v>
      </c>
      <c r="Y75" s="255">
        <f t="shared" si="42"/>
        <v>40.463256311680091</v>
      </c>
      <c r="Z75" s="255">
        <f t="shared" si="42"/>
        <v>85.693214188839903</v>
      </c>
      <c r="AA75" s="255">
        <f t="shared" si="42"/>
        <v>111.39045515846308</v>
      </c>
      <c r="AB75" s="255">
        <f t="shared" si="42"/>
        <v>280.5424199713936</v>
      </c>
      <c r="AC75" s="255">
        <f t="shared" si="42"/>
        <v>53.585057583411306</v>
      </c>
      <c r="AD75" s="255">
        <f t="shared" si="42"/>
        <v>89.331686161817572</v>
      </c>
      <c r="AE75" s="255">
        <f t="shared" si="42"/>
        <v>159.11912764094325</v>
      </c>
      <c r="AF75" s="255">
        <f t="shared" si="42"/>
        <v>361.37824919159613</v>
      </c>
      <c r="AG75" s="255">
        <f t="shared" si="42"/>
        <v>74.33774114982819</v>
      </c>
      <c r="AH75" s="255">
        <f t="shared" si="42"/>
        <v>111.92258322255881</v>
      </c>
      <c r="AI75" s="255">
        <f t="shared" si="42"/>
        <v>165.91050209962714</v>
      </c>
      <c r="AJ75" s="255">
        <f t="shared" si="42"/>
        <v>338.30942499499668</v>
      </c>
      <c r="AK75" s="255">
        <f t="shared" si="42"/>
        <v>94.628315169315698</v>
      </c>
      <c r="AL75" s="255">
        <f t="shared" si="42"/>
        <v>163.9317944608172</v>
      </c>
      <c r="AM75" s="255">
        <f t="shared" si="42"/>
        <v>187.41988618183893</v>
      </c>
      <c r="AN75" s="255">
        <f t="shared" si="42"/>
        <v>335.52845195530881</v>
      </c>
      <c r="AO75" s="255">
        <f t="shared" si="42"/>
        <v>82.976798778532356</v>
      </c>
      <c r="AP75" s="255">
        <f t="shared" si="42"/>
        <v>147.86865256858886</v>
      </c>
      <c r="AQ75" s="255">
        <f t="shared" si="42"/>
        <v>237.42168175168297</v>
      </c>
      <c r="AR75" s="255">
        <f t="shared" si="42"/>
        <v>298.244291317749</v>
      </c>
      <c r="AS75" s="255">
        <f t="shared" si="42"/>
        <v>67.201666339717519</v>
      </c>
      <c r="AT75" s="255">
        <f t="shared" si="42"/>
        <v>153.98237239641543</v>
      </c>
      <c r="AU75" s="255">
        <f t="shared" si="42"/>
        <v>270.75611897974204</v>
      </c>
      <c r="AV75" s="255">
        <f t="shared" si="42"/>
        <v>328.84585812227436</v>
      </c>
      <c r="AW75" s="255">
        <f t="shared" si="42"/>
        <v>83.302890234767375</v>
      </c>
      <c r="AX75" s="255">
        <f t="shared" si="42"/>
        <v>97.867003677475537</v>
      </c>
      <c r="AY75" s="255">
        <f t="shared" si="42"/>
        <v>148.52741287569543</v>
      </c>
      <c r="AZ75" s="255">
        <f t="shared" si="42"/>
        <v>458.18574557859517</v>
      </c>
      <c r="BA75" s="255">
        <f t="shared" si="42"/>
        <v>103.13056775458072</v>
      </c>
      <c r="BB75" s="255">
        <f t="shared" si="42"/>
        <v>60.734270729636307</v>
      </c>
      <c r="BC75" s="255">
        <f t="shared" si="42"/>
        <v>106.46445994125972</v>
      </c>
      <c r="BD75" s="255">
        <f t="shared" si="42"/>
        <v>507.48198305266897</v>
      </c>
      <c r="BE75" s="255">
        <f t="shared" si="42"/>
        <v>107.48119492309105</v>
      </c>
      <c r="BF75" s="255">
        <f t="shared" si="42"/>
        <v>133.66303888538968</v>
      </c>
      <c r="BG75" s="255">
        <f t="shared" si="42"/>
        <v>226.46094009109484</v>
      </c>
      <c r="BH75" s="255">
        <f t="shared" si="42"/>
        <v>401.36446151146913</v>
      </c>
      <c r="BI75" s="255">
        <f t="shared" si="42"/>
        <v>106.67815120662692</v>
      </c>
      <c r="BJ75" s="255">
        <f t="shared" si="42"/>
        <v>130.23397460860528</v>
      </c>
      <c r="BK75" s="255">
        <f t="shared" si="42"/>
        <v>184.10377301001785</v>
      </c>
      <c r="BL75" s="255">
        <f t="shared" si="42"/>
        <v>188.35266796979806</v>
      </c>
      <c r="BM75" s="255">
        <f t="shared" si="42"/>
        <v>41.266745450280212</v>
      </c>
      <c r="BN75" s="255">
        <f t="shared" si="42"/>
        <v>58.710937161918601</v>
      </c>
      <c r="BO75" s="255">
        <f t="shared" si="42"/>
        <v>33.702072886204682</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19" customFormat="1" x14ac:dyDescent="0.25">
      <c r="A76" s="148" t="s">
        <v>485</v>
      </c>
      <c r="E76" s="119">
        <f>E71-E64-E68</f>
        <v>-667217981.94000006</v>
      </c>
      <c r="F76" s="119">
        <f t="shared" ref="F76:BQ76" si="44">F71-F64-F68</f>
        <v>-817601218.70000005</v>
      </c>
      <c r="G76" s="119">
        <f t="shared" si="44"/>
        <v>-639545114.52999985</v>
      </c>
      <c r="H76" s="119">
        <f t="shared" si="44"/>
        <v>-1044509512.8799999</v>
      </c>
      <c r="I76" s="119">
        <f t="shared" si="44"/>
        <v>-627529539.07000005</v>
      </c>
      <c r="J76" s="119">
        <f t="shared" si="44"/>
        <v>-782572153.41999996</v>
      </c>
      <c r="K76" s="119">
        <f t="shared" si="44"/>
        <v>-551967677.73000014</v>
      </c>
      <c r="L76" s="119">
        <f t="shared" si="44"/>
        <v>-839498180.24000001</v>
      </c>
      <c r="M76" s="119">
        <f t="shared" si="44"/>
        <v>-484251395.99000001</v>
      </c>
      <c r="N76" s="119">
        <f t="shared" si="44"/>
        <v>-722063367.77999997</v>
      </c>
      <c r="O76" s="119">
        <f t="shared" si="44"/>
        <v>-586824233.03999996</v>
      </c>
      <c r="P76" s="119">
        <f t="shared" si="44"/>
        <v>-940449976.94000006</v>
      </c>
      <c r="Q76" s="119">
        <f t="shared" si="44"/>
        <v>-533993661.69</v>
      </c>
      <c r="R76" s="119">
        <f t="shared" si="44"/>
        <v>-752764567.54000008</v>
      </c>
      <c r="S76" s="119">
        <f t="shared" si="44"/>
        <v>-568980129.73999989</v>
      </c>
      <c r="T76" s="119">
        <f t="shared" si="44"/>
        <v>-783333278.96000016</v>
      </c>
      <c r="U76" s="119">
        <f t="shared" si="44"/>
        <v>-437260925.64999998</v>
      </c>
      <c r="V76" s="119">
        <f t="shared" si="44"/>
        <v>-704411899.79999995</v>
      </c>
      <c r="W76" s="119">
        <f t="shared" si="44"/>
        <v>-612243577.80000007</v>
      </c>
      <c r="X76" s="119">
        <f t="shared" si="44"/>
        <v>-815671290.13999999</v>
      </c>
      <c r="Y76" s="119">
        <f t="shared" si="44"/>
        <v>-484394624.04999995</v>
      </c>
      <c r="Z76" s="119">
        <f t="shared" si="44"/>
        <v>-781152357.61000001</v>
      </c>
      <c r="AA76" s="119">
        <f t="shared" si="44"/>
        <v>-629400977.24000001</v>
      </c>
      <c r="AB76" s="119">
        <f t="shared" si="44"/>
        <v>-812532034.24000001</v>
      </c>
      <c r="AC76" s="119">
        <f t="shared" si="44"/>
        <v>-605174266.56999993</v>
      </c>
      <c r="AD76" s="119">
        <f t="shared" si="44"/>
        <v>-864365045.36000001</v>
      </c>
      <c r="AE76" s="119">
        <f t="shared" si="44"/>
        <v>-791354732.78000009</v>
      </c>
      <c r="AF76" s="119">
        <f t="shared" si="44"/>
        <v>-935963505.01999998</v>
      </c>
      <c r="AG76" s="119">
        <f t="shared" si="44"/>
        <v>-686729319.57000005</v>
      </c>
      <c r="AH76" s="119">
        <f t="shared" si="44"/>
        <v>-664500880.34000003</v>
      </c>
      <c r="AI76" s="119">
        <f t="shared" si="44"/>
        <v>-983758430.28000009</v>
      </c>
      <c r="AJ76" s="119">
        <f t="shared" si="44"/>
        <v>-1029153216.53</v>
      </c>
      <c r="AK76" s="119">
        <f t="shared" si="44"/>
        <v>-923772416.24000001</v>
      </c>
      <c r="AL76" s="119">
        <f t="shared" si="44"/>
        <v>-1026241515.8599999</v>
      </c>
      <c r="AM76" s="119">
        <f t="shared" si="44"/>
        <v>-856539490.9799999</v>
      </c>
      <c r="AN76" s="119">
        <f t="shared" si="44"/>
        <v>-827321345.24000001</v>
      </c>
      <c r="AO76" s="119">
        <f t="shared" si="44"/>
        <v>-856116418.75</v>
      </c>
      <c r="AP76" s="119">
        <f t="shared" si="44"/>
        <v>-1093240899.51</v>
      </c>
      <c r="AQ76" s="119">
        <f t="shared" si="44"/>
        <v>-1012788229.6000001</v>
      </c>
      <c r="AR76" s="119">
        <f t="shared" si="44"/>
        <v>-831902765.29999983</v>
      </c>
      <c r="AS76" s="119">
        <f t="shared" si="44"/>
        <v>-612489737.20999992</v>
      </c>
      <c r="AT76" s="119">
        <f t="shared" si="44"/>
        <v>-790605597.71999991</v>
      </c>
      <c r="AU76" s="119">
        <f t="shared" si="44"/>
        <v>-1013804704.6000001</v>
      </c>
      <c r="AV76" s="119">
        <f t="shared" si="44"/>
        <v>-697849415.48000002</v>
      </c>
      <c r="AW76" s="119">
        <f t="shared" si="44"/>
        <v>-605573858.57000005</v>
      </c>
      <c r="AX76" s="119">
        <f t="shared" si="44"/>
        <v>-1032927811.89</v>
      </c>
      <c r="AY76" s="119">
        <f t="shared" si="44"/>
        <v>-1013585576.8900002</v>
      </c>
      <c r="AZ76" s="119">
        <f t="shared" si="44"/>
        <v>-891130399.13</v>
      </c>
      <c r="BA76" s="119">
        <f t="shared" si="44"/>
        <v>-802983425.46000004</v>
      </c>
      <c r="BB76" s="119">
        <f t="shared" si="44"/>
        <v>-403106093.86000001</v>
      </c>
      <c r="BC76" s="119">
        <f t="shared" si="44"/>
        <v>-400979603.42000002</v>
      </c>
      <c r="BD76" s="119">
        <f t="shared" si="44"/>
        <v>-731787000.61000001</v>
      </c>
      <c r="BE76" s="119">
        <f t="shared" si="44"/>
        <v>-517768322.30999994</v>
      </c>
      <c r="BF76" s="119">
        <f t="shared" si="44"/>
        <v>-469841747.28000003</v>
      </c>
      <c r="BG76" s="119">
        <f t="shared" si="44"/>
        <v>-560180978.60000002</v>
      </c>
      <c r="BH76" s="119">
        <f t="shared" si="44"/>
        <v>-489564379.51999998</v>
      </c>
      <c r="BI76" s="119">
        <f t="shared" si="44"/>
        <v>-398261122.91000003</v>
      </c>
      <c r="BJ76" s="119">
        <f t="shared" si="44"/>
        <v>-333607439.97999996</v>
      </c>
      <c r="BK76" s="119">
        <f t="shared" si="44"/>
        <v>-227366709.58000001</v>
      </c>
      <c r="BL76" s="119">
        <f t="shared" si="44"/>
        <v>-266270477.31999996</v>
      </c>
      <c r="BM76" s="119">
        <f t="shared" si="44"/>
        <v>-228265021.86000001</v>
      </c>
      <c r="BN76" s="119">
        <f t="shared" si="44"/>
        <v>-123137106.82000001</v>
      </c>
      <c r="BO76" s="119">
        <f t="shared" si="44"/>
        <v>-141428408.41</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80" t="s">
        <v>692</v>
      </c>
      <c r="B77" s="279"/>
      <c r="C77" s="279"/>
      <c r="D77" s="279"/>
      <c r="E77" s="279"/>
      <c r="F77" s="279"/>
      <c r="G77" s="279"/>
      <c r="H77" s="279"/>
      <c r="I77" s="279"/>
      <c r="J77" s="279"/>
      <c r="K77" s="279"/>
      <c r="L77" s="279"/>
      <c r="M77" s="279"/>
      <c r="N77" s="279"/>
      <c r="O77" s="279"/>
      <c r="P77" s="279"/>
      <c r="Q77" s="279"/>
      <c r="R77" s="279"/>
      <c r="S77" s="279"/>
      <c r="T77" s="279"/>
      <c r="U77" s="279"/>
      <c r="V77" s="279"/>
      <c r="W77" s="279"/>
      <c r="X77" s="279"/>
      <c r="Y77" s="279"/>
      <c r="Z77" s="279"/>
      <c r="AA77" s="279"/>
      <c r="AB77" s="279"/>
      <c r="AC77" s="279"/>
      <c r="AD77" s="279"/>
      <c r="AE77" s="279"/>
      <c r="AF77" s="279"/>
      <c r="AG77" s="279"/>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37437</v>
      </c>
      <c r="BO80" s="1">
        <v>37256</v>
      </c>
      <c r="BP80" s="1">
        <v>36891</v>
      </c>
      <c r="BQ80" s="1">
        <v>25569</v>
      </c>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581</v>
      </c>
      <c r="E81" s="75">
        <f>股权价值增加表!E4</f>
        <v>6761550874.3699999</v>
      </c>
      <c r="F81" s="75">
        <f>股权价值增加表!F4</f>
        <v>4918489181.8699999</v>
      </c>
      <c r="G81" s="75">
        <f>股权价值增加表!G4</f>
        <v>3213661518.3800001</v>
      </c>
      <c r="H81" s="75">
        <f>股权价值增加表!H4</f>
        <v>1583747526.6900001</v>
      </c>
      <c r="I81" s="75">
        <f>股权价值增加表!I4</f>
        <v>6166683056.1199999</v>
      </c>
      <c r="J81" s="75">
        <f>股权价值增加表!J4</f>
        <v>4534592334.7799997</v>
      </c>
      <c r="K81" s="75">
        <f>股权价值增加表!K4</f>
        <v>2984650287.6599998</v>
      </c>
      <c r="L81" s="75">
        <f>股权价值增加表!L4</f>
        <v>1442696919.48</v>
      </c>
      <c r="M81" s="75">
        <f>股权价值增加表!M4</f>
        <v>5619735354.2299995</v>
      </c>
      <c r="N81" s="75">
        <f>股权价值增加表!N4</f>
        <v>4196487790.0300002</v>
      </c>
      <c r="O81" s="75">
        <f>股权价值增加表!O4</f>
        <v>2773932728.75</v>
      </c>
      <c r="P81" s="75">
        <f>股权价值增加表!P4</f>
        <v>1389542513.23</v>
      </c>
      <c r="Q81" s="75">
        <f>股权价值增加表!Q4</f>
        <v>5527678576.3100004</v>
      </c>
      <c r="R81" s="75">
        <f>股权价值增加表!R4</f>
        <v>4079988837.6900001</v>
      </c>
      <c r="S81" s="75">
        <f>股权价值增加表!S4</f>
        <v>2681437778.79</v>
      </c>
      <c r="T81" s="75">
        <f>股权价值增加表!T4</f>
        <v>1288196061.04</v>
      </c>
      <c r="U81" s="75">
        <f>股权价值增加表!U4</f>
        <v>5141313419.2600002</v>
      </c>
      <c r="V81" s="75">
        <f>股权价值增加表!V4</f>
        <v>3796730790.04</v>
      </c>
      <c r="W81" s="75">
        <f>股权价值增加表!W4</f>
        <v>2462324707.5300002</v>
      </c>
      <c r="X81" s="75">
        <f>股权价值增加表!X4</f>
        <v>1184294457.5799999</v>
      </c>
      <c r="Y81" s="75">
        <f>股权价值增加表!Y4</f>
        <v>4673315397</v>
      </c>
      <c r="Z81" s="75">
        <f>股权价值增加表!Z4</f>
        <v>3460081754.52</v>
      </c>
      <c r="AA81" s="75">
        <f>股权价值增加表!AA4</f>
        <v>2289404113.9400001</v>
      </c>
      <c r="AB81" s="75">
        <f>股权价值增加表!AB4</f>
        <v>1111786173.6600001</v>
      </c>
      <c r="AC81" s="75">
        <f>股权价值增加表!AC4</f>
        <v>4239351634.9299998</v>
      </c>
      <c r="AD81" s="75">
        <f>股权价值增加表!AD4</f>
        <v>3105533447.9099998</v>
      </c>
      <c r="AE81" s="75">
        <f>股权价值增加表!AE4</f>
        <v>2028306165.1800001</v>
      </c>
      <c r="AF81" s="75">
        <f>股权价值增加表!AF4</f>
        <v>986571753.74000001</v>
      </c>
      <c r="AG81" s="75">
        <f>股权价值增加表!AG4</f>
        <v>3865479479.1999998</v>
      </c>
      <c r="AH81" s="75">
        <f>股权价值增加表!AH4</f>
        <v>2735574710.4200001</v>
      </c>
      <c r="AI81" s="75">
        <f>股权价值增加表!AI4</f>
        <v>1772855408.4400001</v>
      </c>
      <c r="AJ81" s="75">
        <f>股权价值增加表!AJ4</f>
        <v>866730658.66999996</v>
      </c>
      <c r="AK81" s="75">
        <f>股权价值增加表!AK4</f>
        <v>3306089482.5799999</v>
      </c>
      <c r="AL81" s="75">
        <f>股权价值增加表!AL4</f>
        <v>2349252600.0599999</v>
      </c>
      <c r="AM81" s="75">
        <f>股权价值增加表!AM4</f>
        <v>1549833425.46</v>
      </c>
      <c r="AN81" s="75">
        <f>股权价值增加表!AN4</f>
        <v>768414498.45000005</v>
      </c>
      <c r="AO81" s="75">
        <f>股权价值增加表!AO4</f>
        <v>3049701649.1599998</v>
      </c>
      <c r="AP81" s="75">
        <f>股权价值增加表!AP4</f>
        <v>2265222000.3400002</v>
      </c>
      <c r="AQ81" s="75">
        <f>股权价值增加表!AQ4</f>
        <v>1511455848.98</v>
      </c>
      <c r="AR81" s="75">
        <f>股权价值增加表!AR4</f>
        <v>754796835.00999999</v>
      </c>
      <c r="AS81" s="75">
        <f>股权价值增加表!AS4</f>
        <v>2683440041.75</v>
      </c>
      <c r="AT81" s="75">
        <f>股权价值增加表!AT4</f>
        <v>1953381247.0799999</v>
      </c>
      <c r="AU81" s="75">
        <f>股权价值增加表!AU4</f>
        <v>1274734794.4300001</v>
      </c>
      <c r="AV81" s="75">
        <f>股权价值增加表!AV4</f>
        <v>621061130.22000003</v>
      </c>
      <c r="AW81" s="75">
        <f>股权价值增加表!AW4</f>
        <v>2409797561.5500002</v>
      </c>
      <c r="AX81" s="75">
        <f>股权价值增加表!AX4</f>
        <v>1782559040.05</v>
      </c>
      <c r="AY81" s="75">
        <f>股权价值增加表!AY4</f>
        <v>1187910368.9100001</v>
      </c>
      <c r="AZ81" s="75">
        <f>股权价值增加表!AZ4</f>
        <v>589704365.50999999</v>
      </c>
      <c r="BA81" s="75">
        <f>股权价值增加表!BA4</f>
        <v>2149308234.9299998</v>
      </c>
      <c r="BB81" s="75">
        <f>股权价值增加表!BB4</f>
        <v>1520411535.9000001</v>
      </c>
      <c r="BC81" s="75">
        <f>股权价值增加表!BC4</f>
        <v>979579514.60000002</v>
      </c>
      <c r="BD81" s="75">
        <f>股权价值增加表!BD4</f>
        <v>446053032.56999999</v>
      </c>
      <c r="BE81" s="75">
        <f>股权价值增加表!BE4</f>
        <v>1540782654.2</v>
      </c>
      <c r="BF81" s="75">
        <f>股权价值增加表!BF4</f>
        <v>1093635054.0999999</v>
      </c>
      <c r="BG81" s="75">
        <f>股权价值增加表!BG4</f>
        <v>714288559.48000002</v>
      </c>
      <c r="BH81" s="75">
        <f>股权价值增加表!BH4</f>
        <v>349186247.05000001</v>
      </c>
      <c r="BI81" s="75">
        <f>股权价值增加表!BI4</f>
        <v>1061851063.5700001</v>
      </c>
      <c r="BJ81" s="75">
        <f>股权价值增加表!BJ4</f>
        <v>698265414.20000005</v>
      </c>
      <c r="BK81" s="75">
        <f>股权价值增加表!BK4</f>
        <v>395320373.35000002</v>
      </c>
      <c r="BL81" s="75">
        <f>股权价值增加表!BL4</f>
        <v>246816885.5</v>
      </c>
      <c r="BM81" s="75">
        <f>股权价值增加表!BM4</f>
        <v>939655600.10000002</v>
      </c>
      <c r="BN81" s="75">
        <f>股权价值增加表!BN4</f>
        <v>432349125.27999997</v>
      </c>
      <c r="BO81" s="75">
        <f>股权价值增加表!BO4</f>
        <v>838384482.12</v>
      </c>
      <c r="BP81" s="75">
        <f>股权价值增加表!BP4</f>
        <v>780254893.07000005</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582</v>
      </c>
      <c r="E82" s="75">
        <f>投资和筹资活动现金流表!E34</f>
        <v>18232497870.599998</v>
      </c>
      <c r="F82" s="75">
        <f>投资和筹资活动现金流表!F34</f>
        <v>17625421343.450001</v>
      </c>
      <c r="G82" s="75">
        <f>投资和筹资活动现金流表!G34</f>
        <v>16802693953.85</v>
      </c>
      <c r="H82" s="75">
        <f>投资和筹资活动现金流表!H34</f>
        <v>16211928071.440001</v>
      </c>
      <c r="I82" s="75">
        <f>投资和筹资活动现金流表!I34</f>
        <v>15481032918.609999</v>
      </c>
      <c r="J82" s="75">
        <f>投资和筹资活动现金流表!J34</f>
        <v>13151218455.370001</v>
      </c>
      <c r="K82" s="75">
        <f>投资和筹资活动现金流表!K34</f>
        <v>12418526373.58</v>
      </c>
      <c r="L82" s="75">
        <f>投资和筹资活动现金流表!L34</f>
        <v>12007185667.030001</v>
      </c>
      <c r="M82" s="75">
        <f>投资和筹资活动现金流表!M34</f>
        <v>9928707830.3299999</v>
      </c>
      <c r="N82" s="75">
        <f>投资和筹资活动现金流表!N34</f>
        <v>8710588041.1200008</v>
      </c>
      <c r="O82" s="75">
        <f>投资和筹资活动现金流表!O34</f>
        <v>8355694419.2199993</v>
      </c>
      <c r="P82" s="75">
        <f>投资和筹资活动现金流表!P34</f>
        <v>6712213502.0500002</v>
      </c>
      <c r="Q82" s="75">
        <f>投资和筹资活动现金流表!Q34</f>
        <v>6853074405.6399994</v>
      </c>
      <c r="R82" s="75">
        <f>投资和筹资活动现金流表!R34</f>
        <v>6936645320.4200001</v>
      </c>
      <c r="S82" s="75">
        <f>投资和筹资活动现金流表!S34</f>
        <v>7053195752.4800005</v>
      </c>
      <c r="T82" s="75">
        <f>投资和筹资活动现金流表!T34</f>
        <v>7212310288.7200003</v>
      </c>
      <c r="U82" s="75">
        <f>投资和筹资活动现金流表!U34</f>
        <v>7359701562.0100002</v>
      </c>
      <c r="V82" s="75">
        <f>投资和筹资活动现金流表!V34</f>
        <v>7622128871.25</v>
      </c>
      <c r="W82" s="75">
        <f>投资和筹资活动现金流表!W34</f>
        <v>7744757472.1999998</v>
      </c>
      <c r="X82" s="75">
        <f>投资和筹资活动现金流表!X34</f>
        <v>7872255643.9300003</v>
      </c>
      <c r="Y82" s="75">
        <f>投资和筹资活动现金流表!AZ34</f>
        <v>6329323533.71</v>
      </c>
      <c r="Z82" s="75">
        <f>投资和筹资活动现金流表!BA34</f>
        <v>6412089134.8699999</v>
      </c>
      <c r="AA82" s="75">
        <f>投资和筹资活动现金流表!BB34</f>
        <v>6350219316.1099997</v>
      </c>
      <c r="AB82" s="75">
        <f>投资和筹资活动现金流表!BC34</f>
        <v>6423255663.6400003</v>
      </c>
      <c r="AC82" s="75">
        <f>投资和筹资活动现金流表!BD34</f>
        <v>6037075410.7600002</v>
      </c>
      <c r="AD82" s="75">
        <f>投资和筹资活动现金流表!BE34</f>
        <v>6097799038.8100004</v>
      </c>
      <c r="AE82" s="75">
        <f>投资和筹资活动现金流表!BF34</f>
        <v>5334156640.54</v>
      </c>
      <c r="AF82" s="75">
        <f>投资和筹资活动现金流表!BG34</f>
        <v>2903071891.25</v>
      </c>
      <c r="AG82" s="75">
        <f>投资和筹资活动现金流表!BH34</f>
        <v>2896156632.5300002</v>
      </c>
      <c r="AH82" s="75">
        <f>投资和筹资活动现金流表!BI34</f>
        <v>2904035548.9299998</v>
      </c>
      <c r="AI82" s="75">
        <f>投资和筹资活动现金流表!BJ34</f>
        <v>2901956329.0799999</v>
      </c>
      <c r="AJ82" s="75">
        <f>投资和筹资活动现金流表!BK34</f>
        <v>2909611944.48</v>
      </c>
      <c r="AK82" s="75">
        <f>投资和筹资活动现金流表!BL34</f>
        <v>419271127.00999999</v>
      </c>
      <c r="AL82" s="75">
        <f>投资和筹资活动现金流表!BM34</f>
        <v>429368871.36000001</v>
      </c>
      <c r="AM82" s="75">
        <f>投资和筹资活动现金流表!BN34</f>
        <v>441295345.10000002</v>
      </c>
      <c r="AN82" s="75">
        <f>投资和筹资活动现金流表!BO34</f>
        <v>381810098.19</v>
      </c>
      <c r="AO82" s="75">
        <f>投资和筹资活动现金流表!BP34</f>
        <v>3523637936.8200002</v>
      </c>
      <c r="AP82" s="75">
        <f>投资和筹资活动现金流表!BQ34</f>
        <v>7489295799.7700005</v>
      </c>
      <c r="AQ82" s="75">
        <f>投资和筹资活动现金流表!BR34</f>
        <v>7578972252.3100004</v>
      </c>
      <c r="AR82" s="75">
        <f>投资和筹资活动现金流表!BS34</f>
        <v>7666572884.7299995</v>
      </c>
      <c r="AS82" s="75">
        <f>投资和筹资活动现金流表!AS34</f>
        <v>7790466227.6700001</v>
      </c>
      <c r="AT82" s="75">
        <f>投资和筹资活动现金流表!AT34</f>
        <v>5862159436.1400003</v>
      </c>
      <c r="AU82" s="75">
        <f>投资和筹资活动现金流表!AU34</f>
        <v>5917454932.8400002</v>
      </c>
      <c r="AV82" s="75">
        <f>投资和筹资活动现金流表!AV34</f>
        <v>6014014902.8299999</v>
      </c>
      <c r="AW82" s="75">
        <f>投资和筹资活动现金流表!AW34</f>
        <v>6072243862.3299999</v>
      </c>
      <c r="AX82" s="75">
        <f>投资和筹资活动现金流表!AX34</f>
        <v>6159399046.9899998</v>
      </c>
      <c r="AY82" s="75">
        <f>投资和筹资活动现金流表!AY34</f>
        <v>6247452894.3900003</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4" customFormat="1" x14ac:dyDescent="0.25">
      <c r="A83" s="250" t="s">
        <v>583</v>
      </c>
      <c r="E83" s="154">
        <f>E81/E82</f>
        <v>0.37085159270870049</v>
      </c>
      <c r="F83" s="154">
        <f t="shared" ref="F83:BQ83" si="46">F81/F82</f>
        <v>0.27905654486369597</v>
      </c>
      <c r="G83" s="154">
        <f t="shared" si="46"/>
        <v>0.19125870691965166</v>
      </c>
      <c r="H83" s="154">
        <f t="shared" si="46"/>
        <v>9.7690263595483995E-2</v>
      </c>
      <c r="I83" s="154">
        <f t="shared" si="46"/>
        <v>0.39833795900704605</v>
      </c>
      <c r="J83" s="154">
        <f t="shared" si="46"/>
        <v>0.34480397007840763</v>
      </c>
      <c r="K83" s="154">
        <f t="shared" si="46"/>
        <v>0.2403385230964073</v>
      </c>
      <c r="L83" s="154">
        <f t="shared" si="46"/>
        <v>0.12015279512512558</v>
      </c>
      <c r="M83" s="154">
        <f t="shared" si="46"/>
        <v>0.56600873449644218</v>
      </c>
      <c r="N83" s="154">
        <f t="shared" si="46"/>
        <v>0.48176859819562984</v>
      </c>
      <c r="O83" s="154">
        <f t="shared" si="46"/>
        <v>0.33198111246975753</v>
      </c>
      <c r="P83" s="154">
        <f t="shared" si="46"/>
        <v>0.20701703138698063</v>
      </c>
      <c r="Q83" s="154">
        <f t="shared" si="46"/>
        <v>0.80659835996538809</v>
      </c>
      <c r="R83" s="154">
        <f t="shared" si="46"/>
        <v>0.58817896104322731</v>
      </c>
      <c r="S83" s="154">
        <f t="shared" si="46"/>
        <v>0.38017345227476063</v>
      </c>
      <c r="T83" s="154">
        <f t="shared" si="46"/>
        <v>0.17861073767926056</v>
      </c>
      <c r="U83" s="154">
        <f t="shared" si="46"/>
        <v>0.69857634524189338</v>
      </c>
      <c r="V83" s="154">
        <f t="shared" si="46"/>
        <v>0.4981194695304792</v>
      </c>
      <c r="W83" s="154">
        <f t="shared" si="46"/>
        <v>0.31793438546895447</v>
      </c>
      <c r="X83" s="154">
        <f t="shared" si="46"/>
        <v>0.15043902423229419</v>
      </c>
      <c r="Y83" s="154">
        <f t="shared" si="46"/>
        <v>0.73835937949923169</v>
      </c>
      <c r="Z83" s="154">
        <f t="shared" si="46"/>
        <v>0.5396184740638591</v>
      </c>
      <c r="AA83" s="154">
        <f t="shared" si="46"/>
        <v>0.36052362918111575</v>
      </c>
      <c r="AB83" s="154">
        <f t="shared" si="46"/>
        <v>0.17308764151386136</v>
      </c>
      <c r="AC83" s="154">
        <f t="shared" si="46"/>
        <v>0.70221942687250827</v>
      </c>
      <c r="AD83" s="154">
        <f t="shared" si="46"/>
        <v>0.50928760166488729</v>
      </c>
      <c r="AE83" s="154">
        <f t="shared" si="46"/>
        <v>0.38024870693985952</v>
      </c>
      <c r="AF83" s="154">
        <f t="shared" si="46"/>
        <v>0.3398371761696895</v>
      </c>
      <c r="AG83" s="154">
        <f t="shared" si="46"/>
        <v>1.3346928255821671</v>
      </c>
      <c r="AH83" s="154">
        <f t="shared" si="46"/>
        <v>0.94199077949577115</v>
      </c>
      <c r="AI83" s="154">
        <f t="shared" si="46"/>
        <v>0.61091732865671489</v>
      </c>
      <c r="AJ83" s="154">
        <f t="shared" si="46"/>
        <v>0.29788531089663928</v>
      </c>
      <c r="AK83" s="154">
        <f t="shared" si="46"/>
        <v>7.8853259134658868</v>
      </c>
      <c r="AL83" s="154">
        <f t="shared" si="46"/>
        <v>5.4714087507528992</v>
      </c>
      <c r="AM83" s="154">
        <f t="shared" si="46"/>
        <v>3.5120094573143503</v>
      </c>
      <c r="AN83" s="154">
        <f t="shared" si="46"/>
        <v>2.0125567712659458</v>
      </c>
      <c r="AO83" s="154">
        <f t="shared" si="46"/>
        <v>0.86549801762898582</v>
      </c>
      <c r="AP83" s="154">
        <f t="shared" si="46"/>
        <v>0.30246128086028679</v>
      </c>
      <c r="AQ83" s="154">
        <f t="shared" si="46"/>
        <v>0.1994275475173197</v>
      </c>
      <c r="AR83" s="154">
        <f t="shared" si="46"/>
        <v>9.8452965406926066E-2</v>
      </c>
      <c r="AS83" s="154">
        <f t="shared" si="46"/>
        <v>0.34445179060259823</v>
      </c>
      <c r="AT83" s="154">
        <f t="shared" si="46"/>
        <v>0.33321871715693629</v>
      </c>
      <c r="AU83" s="154">
        <f t="shared" si="46"/>
        <v>0.21541943435101227</v>
      </c>
      <c r="AV83" s="154">
        <f t="shared" si="46"/>
        <v>0.10326897093782539</v>
      </c>
      <c r="AW83" s="154">
        <f t="shared" si="46"/>
        <v>0.39685454276622695</v>
      </c>
      <c r="AX83" s="154">
        <f t="shared" si="46"/>
        <v>0.28940470108380267</v>
      </c>
      <c r="AY83" s="154">
        <f t="shared" si="46"/>
        <v>0.19014314937479609</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5" customFormat="1" x14ac:dyDescent="0.25">
      <c r="A84" s="69" t="s">
        <v>584</v>
      </c>
      <c r="E84" s="75">
        <f>资产资本表!E52</f>
        <v>8603487459.7000008</v>
      </c>
      <c r="F84" s="75">
        <f>资产资本表!F52</f>
        <v>6820651352.54</v>
      </c>
      <c r="G84" s="75">
        <f>资产资本表!G52</f>
        <v>6892944250.2700005</v>
      </c>
      <c r="H84" s="75">
        <f>资产资本表!H52</f>
        <v>6982823988.5100002</v>
      </c>
      <c r="I84" s="75">
        <f>资产资本表!I52</f>
        <v>7015958657</v>
      </c>
      <c r="J84" s="75">
        <f>资产资本表!J52</f>
        <v>7121957028.8699999</v>
      </c>
      <c r="K84" s="75">
        <f>资产资本表!K52</f>
        <v>7219270043.6199999</v>
      </c>
      <c r="L84" s="75">
        <f>资产资本表!L52</f>
        <v>7301861890.9099998</v>
      </c>
      <c r="M84" s="75">
        <f>资产资本表!M52</f>
        <v>7399321845.1300001</v>
      </c>
      <c r="N84" s="75">
        <f>资产资本表!N52</f>
        <v>6198758922.4300003</v>
      </c>
      <c r="O84" s="75">
        <f>资产资本表!O52</f>
        <v>6287816541.5799999</v>
      </c>
      <c r="P84" s="75">
        <f>资产资本表!P52</f>
        <v>6393351995.7399998</v>
      </c>
      <c r="Q84" s="75">
        <f>资产资本表!Q52</f>
        <v>6534008834.7399998</v>
      </c>
      <c r="R84" s="75">
        <f>资产资本表!R52</f>
        <v>6701316113.8100004</v>
      </c>
      <c r="S84" s="75">
        <f>资产资本表!S52</f>
        <v>6829912982.1400003</v>
      </c>
      <c r="T84" s="75">
        <f>资产资本表!T52</f>
        <v>7007296271.4799995</v>
      </c>
      <c r="U84" s="75">
        <f>资产资本表!U52</f>
        <v>7157583148.54</v>
      </c>
      <c r="V84" s="75">
        <f>资产资本表!V52</f>
        <v>7349867366.9799995</v>
      </c>
      <c r="W84" s="75">
        <f>资产资本表!W52</f>
        <v>7495389943.5600004</v>
      </c>
      <c r="X84" s="75">
        <f>资产资本表!X52</f>
        <v>7650104976.1300001</v>
      </c>
      <c r="Y84" s="75">
        <f>资产资本表!Y52</f>
        <v>7828188364.5600004</v>
      </c>
      <c r="Z84" s="75">
        <f>资产资本表!Z52</f>
        <v>7971168153.7600002</v>
      </c>
      <c r="AA84" s="75">
        <f>资产资本表!AA52</f>
        <v>8124608680.3000002</v>
      </c>
      <c r="AB84" s="75">
        <f>资产资本表!AB52</f>
        <v>8272458240.5799999</v>
      </c>
      <c r="AC84" s="75">
        <f>资产资本表!AC52</f>
        <v>8409646564.9700003</v>
      </c>
      <c r="AD84" s="75">
        <f>资产资本表!AD52</f>
        <v>8072113244.3000002</v>
      </c>
      <c r="AE84" s="75">
        <f>资产资本表!AE52</f>
        <v>8205825703.5799999</v>
      </c>
      <c r="AF84" s="75">
        <f>资产资本表!AF52</f>
        <v>8336942320.3100004</v>
      </c>
      <c r="AG84" s="75">
        <f>资产资本表!AG52</f>
        <v>8493606648.6199999</v>
      </c>
      <c r="AH84" s="75">
        <f>资产资本表!AH52</f>
        <v>8229523090.0100002</v>
      </c>
      <c r="AI84" s="75">
        <f>资产资本表!AI52</f>
        <v>8322920967.3699999</v>
      </c>
      <c r="AJ84" s="75">
        <f>资产资本表!AJ52</f>
        <v>6618114496.2600002</v>
      </c>
      <c r="AK84" s="75">
        <f>资产资本表!AK52</f>
        <v>6723331067.0500002</v>
      </c>
      <c r="AL84" s="75">
        <f>资产资本表!AL52</f>
        <v>6811901391.2299995</v>
      </c>
      <c r="AM84" s="75">
        <f>资产资本表!AM52</f>
        <v>6887834895.04</v>
      </c>
      <c r="AN84" s="75">
        <f>资产资本表!AN52</f>
        <v>6993197084.3699999</v>
      </c>
      <c r="AO84" s="75">
        <f>资产资本表!AO52</f>
        <v>7100304503.6099997</v>
      </c>
      <c r="AP84" s="75">
        <f>资产资本表!AP52</f>
        <v>7207110624.3599997</v>
      </c>
      <c r="AQ84" s="75">
        <f>资产资本表!AQ52</f>
        <v>7296759047.4700003</v>
      </c>
      <c r="AR84" s="75">
        <f>资产资本表!AR52</f>
        <v>7404783094.5100002</v>
      </c>
      <c r="AS84" s="75">
        <f>资产资本表!AS52</f>
        <v>7503091099.54</v>
      </c>
      <c r="AT84" s="75">
        <f>资产资本表!AT52</f>
        <v>5578045219.0600004</v>
      </c>
      <c r="AU84" s="75">
        <f>资产资本表!AU52</f>
        <v>5567832036.8000002</v>
      </c>
      <c r="AV84" s="75">
        <f>资产资本表!AV52</f>
        <v>5659280072.0500002</v>
      </c>
      <c r="AW84" s="75">
        <f>资产资本表!AW52</f>
        <v>5779098508.0299997</v>
      </c>
      <c r="AX84" s="75">
        <f>资产资本表!AX52</f>
        <v>5816969600.5900002</v>
      </c>
      <c r="AY84" s="75">
        <f>资产资本表!AY52</f>
        <v>5902521307.1700001</v>
      </c>
      <c r="AZ84" s="75">
        <f>资产资本表!AZ52</f>
        <v>5986295329.3400002</v>
      </c>
      <c r="BA84" s="75">
        <f>资产资本表!BA52</f>
        <v>6036917234.96</v>
      </c>
      <c r="BB84" s="75">
        <f>资产资本表!BB52</f>
        <v>6046021039.0100002</v>
      </c>
      <c r="BC84" s="75">
        <f>资产资本表!BC52</f>
        <v>6111353174.9200001</v>
      </c>
      <c r="BD84" s="75">
        <f>资产资本表!BD52</f>
        <v>5756415416.46</v>
      </c>
      <c r="BE84" s="75">
        <f>资产资本表!BE52</f>
        <v>5814684973.4799995</v>
      </c>
      <c r="BF84" s="75">
        <f>资产资本表!BF52</f>
        <v>5062240099.5100002</v>
      </c>
      <c r="BG84" s="75">
        <f>资产资本表!BG52</f>
        <v>219218680.94999999</v>
      </c>
      <c r="BH84" s="75">
        <f>资产资本表!BH52</f>
        <v>226924695.55000001</v>
      </c>
      <c r="BI84" s="75">
        <f>资产资本表!BI52</f>
        <v>233581290.53999999</v>
      </c>
      <c r="BJ84" s="75">
        <f>资产资本表!BJ52</f>
        <v>235392971.25</v>
      </c>
      <c r="BK84" s="75">
        <f>资产资本表!BK52</f>
        <v>241433677.91999999</v>
      </c>
      <c r="BL84" s="75">
        <f>资产资本表!BL52</f>
        <v>249561160.59999999</v>
      </c>
      <c r="BM84" s="75">
        <f>资产资本表!BM52</f>
        <v>257653081.69999999</v>
      </c>
      <c r="BN84" s="75">
        <f>资产资本表!BN52</f>
        <v>277053806.48000002</v>
      </c>
      <c r="BO84" s="75">
        <f>资产资本表!BO52</f>
        <v>295895549.43000001</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4" customFormat="1" x14ac:dyDescent="0.25">
      <c r="A85" s="250" t="s">
        <v>585</v>
      </c>
      <c r="E85" s="154">
        <f>E81/E84</f>
        <v>0.78590814550984089</v>
      </c>
      <c r="F85" s="154">
        <f t="shared" ref="F85:BQ85" si="48">F81/F84</f>
        <v>0.72111722585532279</v>
      </c>
      <c r="G85" s="154">
        <f t="shared" si="48"/>
        <v>0.46622479476083378</v>
      </c>
      <c r="H85" s="154">
        <f t="shared" si="48"/>
        <v>0.2268061645683756</v>
      </c>
      <c r="I85" s="154">
        <f t="shared" si="48"/>
        <v>0.87895088292279822</v>
      </c>
      <c r="J85" s="154">
        <f t="shared" si="48"/>
        <v>0.63670593860624258</v>
      </c>
      <c r="K85" s="154">
        <f t="shared" si="48"/>
        <v>0.41342826485590078</v>
      </c>
      <c r="L85" s="154">
        <f t="shared" si="48"/>
        <v>0.19757932168999198</v>
      </c>
      <c r="M85" s="154">
        <f t="shared" si="48"/>
        <v>0.75949329842014268</v>
      </c>
      <c r="N85" s="154">
        <f t="shared" si="48"/>
        <v>0.67698838469829026</v>
      </c>
      <c r="O85" s="154">
        <f t="shared" si="48"/>
        <v>0.44115993372366546</v>
      </c>
      <c r="P85" s="154">
        <f t="shared" si="48"/>
        <v>0.21734178161250561</v>
      </c>
      <c r="Q85" s="154">
        <f t="shared" si="48"/>
        <v>0.84598578240672928</v>
      </c>
      <c r="R85" s="154">
        <f t="shared" si="48"/>
        <v>0.6088339616276276</v>
      </c>
      <c r="S85" s="154">
        <f t="shared" si="48"/>
        <v>0.3926020413147096</v>
      </c>
      <c r="T85" s="154">
        <f t="shared" si="48"/>
        <v>0.18383639154562564</v>
      </c>
      <c r="U85" s="154">
        <f t="shared" si="48"/>
        <v>0.71830299593637592</v>
      </c>
      <c r="V85" s="154">
        <f t="shared" si="48"/>
        <v>0.51657133393960086</v>
      </c>
      <c r="W85" s="154">
        <f t="shared" si="48"/>
        <v>0.32851188878380061</v>
      </c>
      <c r="X85" s="154">
        <f t="shared" si="48"/>
        <v>0.15480760868971832</v>
      </c>
      <c r="Y85" s="154">
        <f t="shared" si="48"/>
        <v>0.59698555775141637</v>
      </c>
      <c r="Z85" s="154">
        <f t="shared" si="48"/>
        <v>0.43407461588774532</v>
      </c>
      <c r="AA85" s="154">
        <f t="shared" si="48"/>
        <v>0.28178638553893576</v>
      </c>
      <c r="AB85" s="154">
        <f t="shared" si="48"/>
        <v>0.13439610588859865</v>
      </c>
      <c r="AC85" s="154">
        <f t="shared" si="48"/>
        <v>0.50410580304157204</v>
      </c>
      <c r="AD85" s="154">
        <f t="shared" si="48"/>
        <v>0.38472372152396711</v>
      </c>
      <c r="AE85" s="154">
        <f t="shared" si="48"/>
        <v>0.24717880179871479</v>
      </c>
      <c r="AF85" s="154">
        <f t="shared" si="48"/>
        <v>0.11833736108939703</v>
      </c>
      <c r="AG85" s="154">
        <f t="shared" si="48"/>
        <v>0.45510460268701569</v>
      </c>
      <c r="AH85" s="154">
        <f t="shared" si="48"/>
        <v>0.33240987120393095</v>
      </c>
      <c r="AI85" s="154">
        <f t="shared" si="48"/>
        <v>0.21300880008238421</v>
      </c>
      <c r="AJ85" s="154">
        <f t="shared" si="48"/>
        <v>0.13096338226843959</v>
      </c>
      <c r="AK85" s="154">
        <f t="shared" si="48"/>
        <v>0.49173385180786799</v>
      </c>
      <c r="AL85" s="154">
        <f t="shared" si="48"/>
        <v>0.34487472221552584</v>
      </c>
      <c r="AM85" s="154">
        <f t="shared" si="48"/>
        <v>0.22501024619159365</v>
      </c>
      <c r="AN85" s="154">
        <f t="shared" si="48"/>
        <v>0.10988028639539259</v>
      </c>
      <c r="AO85" s="154">
        <f t="shared" si="48"/>
        <v>0.42951702248959089</v>
      </c>
      <c r="AP85" s="154">
        <f t="shared" si="48"/>
        <v>0.31430376449107922</v>
      </c>
      <c r="AQ85" s="154">
        <f t="shared" si="48"/>
        <v>0.20714070988873698</v>
      </c>
      <c r="AR85" s="154">
        <f t="shared" si="48"/>
        <v>0.10193368602108223</v>
      </c>
      <c r="AS85" s="154">
        <f t="shared" si="48"/>
        <v>0.35764460355739469</v>
      </c>
      <c r="AT85" s="154">
        <f t="shared" si="48"/>
        <v>0.35019100246899387</v>
      </c>
      <c r="AU85" s="154">
        <f t="shared" si="48"/>
        <v>0.22894634500552002</v>
      </c>
      <c r="AV85" s="154">
        <f t="shared" si="48"/>
        <v>0.10974207360531439</v>
      </c>
      <c r="AW85" s="154">
        <f t="shared" si="48"/>
        <v>0.41698502944734556</v>
      </c>
      <c r="AX85" s="154">
        <f t="shared" si="48"/>
        <v>0.30644118199778791</v>
      </c>
      <c r="AY85" s="154">
        <f t="shared" si="48"/>
        <v>0.20125473625431958</v>
      </c>
      <c r="AZ85" s="154">
        <f t="shared" si="48"/>
        <v>9.850906663754859E-2</v>
      </c>
      <c r="BA85" s="154">
        <f t="shared" si="48"/>
        <v>0.35602744766538791</v>
      </c>
      <c r="BB85" s="154">
        <f t="shared" si="48"/>
        <v>0.25147308057481693</v>
      </c>
      <c r="BC85" s="154">
        <f t="shared" si="48"/>
        <v>0.16028848056434294</v>
      </c>
      <c r="BD85" s="154">
        <f t="shared" si="48"/>
        <v>7.7487985195534667E-2</v>
      </c>
      <c r="BE85" s="154">
        <f t="shared" si="48"/>
        <v>0.26498127778672509</v>
      </c>
      <c r="BF85" s="154">
        <f t="shared" si="48"/>
        <v>0.21603776837962671</v>
      </c>
      <c r="BG85" s="154">
        <f t="shared" si="48"/>
        <v>3.2583380047018755</v>
      </c>
      <c r="BH85" s="154">
        <f t="shared" si="48"/>
        <v>1.538775875422784</v>
      </c>
      <c r="BI85" s="154">
        <f t="shared" si="48"/>
        <v>4.5459594007515847</v>
      </c>
      <c r="BJ85" s="154">
        <f t="shared" si="48"/>
        <v>2.9663817508739654</v>
      </c>
      <c r="BK85" s="154">
        <f t="shared" si="48"/>
        <v>1.6373870321479798</v>
      </c>
      <c r="BL85" s="154">
        <f t="shared" si="48"/>
        <v>0.98900359698038687</v>
      </c>
      <c r="BM85" s="154">
        <f t="shared" si="48"/>
        <v>3.6469798610602067</v>
      </c>
      <c r="BN85" s="154">
        <f t="shared" si="48"/>
        <v>1.560524039619035</v>
      </c>
      <c r="BO85" s="154">
        <f t="shared" si="48"/>
        <v>2.8333798319543044</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5" customFormat="1" x14ac:dyDescent="0.25">
      <c r="A86" s="69" t="s">
        <v>586</v>
      </c>
      <c r="E86" s="75">
        <f>资产资本表!E53</f>
        <v>9093831977.4500008</v>
      </c>
      <c r="F86" s="75">
        <f>资产资本表!F53</f>
        <v>10222274379.129999</v>
      </c>
      <c r="G86" s="75">
        <f>资产资本表!G53</f>
        <v>9374748126.2800007</v>
      </c>
      <c r="H86" s="75">
        <f>资产资本表!H53</f>
        <v>8716116991.5799999</v>
      </c>
      <c r="I86" s="75">
        <f>资产资本表!I53</f>
        <v>7948043436.4700003</v>
      </c>
      <c r="J86" s="75">
        <f>资产资本表!J53</f>
        <v>5605191680.3299999</v>
      </c>
      <c r="K86" s="75">
        <f>资产资本表!K53</f>
        <v>4766309036.4499998</v>
      </c>
      <c r="L86" s="75">
        <f>资产资本表!L53</f>
        <v>4290151696.1500001</v>
      </c>
      <c r="M86" s="75">
        <f>资产资本表!M53</f>
        <v>2106170337.25</v>
      </c>
      <c r="N86" s="75">
        <f>资产资本表!N53</f>
        <v>2207704318.8000002</v>
      </c>
      <c r="O86" s="75">
        <f>资产资本表!O53</f>
        <v>1774476781.4300001</v>
      </c>
      <c r="P86" s="75">
        <f>资产资本表!P53</f>
        <v>16199619.300000001</v>
      </c>
      <c r="Q86" s="75">
        <f>资产资本表!Q53</f>
        <v>13910736.41</v>
      </c>
      <c r="R86" s="75">
        <f>资产资本表!R53</f>
        <v>7967184.9000000004</v>
      </c>
      <c r="S86" s="75">
        <f>资产资本表!S53</f>
        <v>15712946.23</v>
      </c>
      <c r="T86" s="75">
        <f>资产资本表!T53</f>
        <v>13635684.43</v>
      </c>
      <c r="U86" s="75">
        <f>资产资本表!U53</f>
        <v>9585270</v>
      </c>
      <c r="V86" s="75">
        <f>资产资本表!V53</f>
        <v>71593575.569999993</v>
      </c>
      <c r="W86" s="75">
        <f>资产资本表!W53</f>
        <v>48850460.579999998</v>
      </c>
      <c r="X86" s="75">
        <f>资产资本表!X53</f>
        <v>42903240.469999999</v>
      </c>
      <c r="Y86" s="75">
        <f>资产资本表!Y53</f>
        <v>36782712.590000004</v>
      </c>
      <c r="Z86" s="75">
        <f>资产资本表!Z53</f>
        <v>87104331.849999994</v>
      </c>
      <c r="AA86" s="75">
        <f>资产资本表!AA53</f>
        <v>79021950.540000007</v>
      </c>
      <c r="AB86" s="75">
        <f>资产资本表!AB53</f>
        <v>87637949.290000007</v>
      </c>
      <c r="AC86" s="75">
        <f>资产资本表!AC53</f>
        <v>103240907.25</v>
      </c>
      <c r="AD86" s="75">
        <f>资产资本表!AD53</f>
        <v>428980511.29000002</v>
      </c>
      <c r="AE86" s="75">
        <f>资产资本表!AE53</f>
        <v>415025616.94999999</v>
      </c>
      <c r="AF86" s="75">
        <f>资产资本表!AF53</f>
        <v>420621516.19999999</v>
      </c>
      <c r="AG86" s="75">
        <f>资产资本表!AG53</f>
        <v>410837028.81</v>
      </c>
      <c r="AH86" s="75">
        <f>资产资本表!AH53</f>
        <v>176312113.53</v>
      </c>
      <c r="AI86" s="75">
        <f>资产资本表!AI53</f>
        <v>189955032.40000001</v>
      </c>
      <c r="AJ86" s="75">
        <f>资产资本表!AJ53</f>
        <v>2013718655.01</v>
      </c>
      <c r="AK86" s="75">
        <f>资产资本表!AK53</f>
        <v>2011890180.51</v>
      </c>
      <c r="AL86" s="75">
        <f>资产资本表!AL53</f>
        <v>107546146.05</v>
      </c>
      <c r="AM86" s="75">
        <f>资产资本表!AM53</f>
        <v>23926506.719999999</v>
      </c>
      <c r="AN86" s="75">
        <f>资产资本表!AN53</f>
        <v>21862083.100000001</v>
      </c>
      <c r="AO86" s="75">
        <f>资产资本表!AO53</f>
        <v>27747466.859999999</v>
      </c>
      <c r="AP86" s="75">
        <f>资产资本表!AP53</f>
        <v>2813543.1</v>
      </c>
      <c r="AQ86" s="75">
        <f>资产资本表!AQ53</f>
        <v>1927543.1</v>
      </c>
      <c r="AR86" s="75">
        <f>资产资本表!AR53</f>
        <v>3327543.1</v>
      </c>
      <c r="AS86" s="75">
        <f>资产资本表!AS53</f>
        <v>10379126.800000001</v>
      </c>
      <c r="AT86" s="75">
        <f>资产资本表!AT53</f>
        <v>22656754.199999999</v>
      </c>
      <c r="AU86" s="75">
        <f>资产资本表!AU53</f>
        <v>22656754.199999999</v>
      </c>
      <c r="AV86" s="75">
        <f>资产资本表!AV53</f>
        <v>21534077.59</v>
      </c>
      <c r="AW86" s="75">
        <f>资产资本表!AW53</f>
        <v>20964439.59</v>
      </c>
      <c r="AX86" s="75">
        <f>资产资本表!AX53</f>
        <v>62908890.109999999</v>
      </c>
      <c r="AY86" s="75">
        <f>资产资本表!AY53</f>
        <v>62012981.509999998</v>
      </c>
      <c r="AZ86" s="75">
        <f>资产资本表!AZ53</f>
        <v>60016603.950000003</v>
      </c>
      <c r="BA86" s="75">
        <f>资产资本表!BA53</f>
        <v>75565270.569999993</v>
      </c>
      <c r="BB86" s="75">
        <f>资产资本表!BB53</f>
        <v>52773412.890000001</v>
      </c>
      <c r="BC86" s="75">
        <f>资产资本表!BC53</f>
        <v>43447645.100000001</v>
      </c>
      <c r="BD86" s="75">
        <f>资产资本表!BD53</f>
        <v>27075932.940000001</v>
      </c>
      <c r="BE86" s="75">
        <f>资产资本表!BE53</f>
        <v>34133853.090000004</v>
      </c>
      <c r="BF86" s="75">
        <f>资产资本表!BF53</f>
        <v>25110832.949999999</v>
      </c>
      <c r="BG86" s="75">
        <f>资产资本表!BG53</f>
        <v>2500044073.6399999</v>
      </c>
      <c r="BH86" s="75">
        <f>资产资本表!BH53</f>
        <v>2500273960.96</v>
      </c>
      <c r="BI86" s="75">
        <f>资产资本表!BI53</f>
        <v>2500150296.5999999</v>
      </c>
      <c r="BJ86" s="75">
        <f>资产资本表!BJ53</f>
        <v>2500122219.8899999</v>
      </c>
      <c r="BK86" s="75">
        <f>资产资本表!BK53</f>
        <v>0</v>
      </c>
      <c r="BL86" s="75">
        <f>资产资本表!BL53</f>
        <v>97098.6</v>
      </c>
      <c r="BM86" s="75">
        <f>资产资本表!BM53</f>
        <v>0</v>
      </c>
      <c r="BN86" s="75">
        <f>资产资本表!BN53</f>
        <v>433916.08</v>
      </c>
      <c r="BO86" s="75">
        <f>资产资本表!BO53</f>
        <v>3983020.15</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3" t="s">
        <v>587</v>
      </c>
      <c r="E87" s="54">
        <f>E81/E86</f>
        <v>0.74353153776500769</v>
      </c>
      <c r="F87" s="54">
        <f t="shared" ref="F87:BQ87" si="50">F81/F86</f>
        <v>0.48115409540480408</v>
      </c>
      <c r="G87" s="54">
        <f t="shared" si="50"/>
        <v>0.34279977180093213</v>
      </c>
      <c r="H87" s="54">
        <f t="shared" si="50"/>
        <v>0.18170333512273207</v>
      </c>
      <c r="I87" s="54">
        <f t="shared" si="50"/>
        <v>0.77587435265185667</v>
      </c>
      <c r="J87" s="54">
        <f t="shared" si="50"/>
        <v>0.80899862009946999</v>
      </c>
      <c r="K87" s="54">
        <f t="shared" si="50"/>
        <v>0.6261973919095688</v>
      </c>
      <c r="L87" s="54">
        <f t="shared" si="50"/>
        <v>0.33628109718700211</v>
      </c>
      <c r="M87" s="54">
        <f t="shared" si="50"/>
        <v>2.6682245281108732</v>
      </c>
      <c r="N87" s="54">
        <f t="shared" si="50"/>
        <v>1.900837786244403</v>
      </c>
      <c r="O87" s="54">
        <f t="shared" si="50"/>
        <v>1.5632397999113672</v>
      </c>
      <c r="P87" s="54">
        <f t="shared" si="50"/>
        <v>85.776244953484806</v>
      </c>
      <c r="Q87" s="54">
        <f t="shared" si="50"/>
        <v>397.36778941022294</v>
      </c>
      <c r="R87" s="54">
        <f t="shared" si="50"/>
        <v>512.09917792795295</v>
      </c>
      <c r="S87" s="54">
        <f t="shared" si="50"/>
        <v>170.65149587735846</v>
      </c>
      <c r="T87" s="54">
        <f t="shared" si="50"/>
        <v>94.472416669149922</v>
      </c>
      <c r="U87" s="54">
        <f t="shared" si="50"/>
        <v>536.37648384030922</v>
      </c>
      <c r="V87" s="54">
        <f t="shared" si="50"/>
        <v>53.031724701719632</v>
      </c>
      <c r="W87" s="54">
        <f t="shared" si="50"/>
        <v>50.405352954606684</v>
      </c>
      <c r="X87" s="54">
        <f t="shared" si="50"/>
        <v>27.603846343683884</v>
      </c>
      <c r="Y87" s="54">
        <f t="shared" si="50"/>
        <v>127.05195098282445</v>
      </c>
      <c r="Z87" s="54">
        <f t="shared" si="50"/>
        <v>39.723417665134185</v>
      </c>
      <c r="AA87" s="54">
        <f t="shared" si="50"/>
        <v>28.971748967157296</v>
      </c>
      <c r="AB87" s="54">
        <f t="shared" si="50"/>
        <v>12.686127216202003</v>
      </c>
      <c r="AC87" s="54">
        <f t="shared" si="50"/>
        <v>41.062711940958849</v>
      </c>
      <c r="AD87" s="54">
        <f t="shared" si="50"/>
        <v>7.2393345762287851</v>
      </c>
      <c r="AE87" s="54">
        <f t="shared" si="50"/>
        <v>4.8871830613394627</v>
      </c>
      <c r="AF87" s="54">
        <f t="shared" si="50"/>
        <v>2.3455094800022027</v>
      </c>
      <c r="AG87" s="54">
        <f t="shared" si="50"/>
        <v>9.4087903673056452</v>
      </c>
      <c r="AH87" s="54">
        <f t="shared" si="50"/>
        <v>15.515523327638713</v>
      </c>
      <c r="AI87" s="54">
        <f t="shared" si="50"/>
        <v>9.3330268013473283</v>
      </c>
      <c r="AJ87" s="54">
        <f t="shared" si="50"/>
        <v>0.43041298570365372</v>
      </c>
      <c r="AK87" s="54">
        <f t="shared" si="50"/>
        <v>1.6432753211917013</v>
      </c>
      <c r="AL87" s="54">
        <f t="shared" si="50"/>
        <v>21.844135623119339</v>
      </c>
      <c r="AM87" s="54">
        <f t="shared" si="50"/>
        <v>64.774747254036257</v>
      </c>
      <c r="AN87" s="54">
        <f t="shared" si="50"/>
        <v>35.148274523300117</v>
      </c>
      <c r="AO87" s="54">
        <f t="shared" si="50"/>
        <v>109.90919151457273</v>
      </c>
      <c r="AP87" s="54">
        <f t="shared" si="50"/>
        <v>805.11366623102379</v>
      </c>
      <c r="AQ87" s="54">
        <f t="shared" si="50"/>
        <v>784.13595471872975</v>
      </c>
      <c r="AR87" s="54">
        <f t="shared" si="50"/>
        <v>226.833075433343</v>
      </c>
      <c r="AS87" s="54">
        <f t="shared" si="50"/>
        <v>258.54198464460421</v>
      </c>
      <c r="AT87" s="54">
        <f t="shared" si="50"/>
        <v>86.21628808066427</v>
      </c>
      <c r="AU87" s="54">
        <f t="shared" si="50"/>
        <v>56.262904349732501</v>
      </c>
      <c r="AV87" s="54">
        <f t="shared" si="50"/>
        <v>28.840851326197903</v>
      </c>
      <c r="AW87" s="54">
        <f t="shared" si="50"/>
        <v>114.94691051505471</v>
      </c>
      <c r="AX87" s="54">
        <f t="shared" si="50"/>
        <v>28.33556651425717</v>
      </c>
      <c r="AY87" s="54">
        <f t="shared" si="50"/>
        <v>19.155833826800308</v>
      </c>
      <c r="AZ87" s="54">
        <f t="shared" si="50"/>
        <v>9.825687004904248</v>
      </c>
      <c r="BA87" s="54">
        <f t="shared" si="50"/>
        <v>28.443069398381695</v>
      </c>
      <c r="BB87" s="54">
        <f t="shared" si="50"/>
        <v>28.810180214592524</v>
      </c>
      <c r="BC87" s="54">
        <f t="shared" si="50"/>
        <v>22.546205032410377</v>
      </c>
      <c r="BD87" s="54">
        <f t="shared" si="50"/>
        <v>16.474151917810147</v>
      </c>
      <c r="BE87" s="54">
        <f t="shared" si="50"/>
        <v>45.139429473064503</v>
      </c>
      <c r="BF87" s="54">
        <f t="shared" si="50"/>
        <v>43.552320875919008</v>
      </c>
      <c r="BG87" s="54">
        <f t="shared" si="50"/>
        <v>0.28571038687330591</v>
      </c>
      <c r="BH87" s="54">
        <f t="shared" si="50"/>
        <v>0.13965919435321686</v>
      </c>
      <c r="BI87" s="54">
        <f t="shared" si="50"/>
        <v>0.42471489214629643</v>
      </c>
      <c r="BJ87" s="54">
        <f t="shared" si="50"/>
        <v>0.27929251163997987</v>
      </c>
      <c r="BK87" s="54" t="e">
        <f t="shared" si="50"/>
        <v>#DIV/0!</v>
      </c>
      <c r="BL87" s="54">
        <f t="shared" si="50"/>
        <v>2541.9201255218918</v>
      </c>
      <c r="BM87" s="54" t="e">
        <f t="shared" si="50"/>
        <v>#DIV/0!</v>
      </c>
      <c r="BN87" s="54">
        <f t="shared" si="50"/>
        <v>996.38880697852903</v>
      </c>
      <c r="BO87" s="54">
        <f t="shared" si="50"/>
        <v>210.489641163377</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588</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163800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2500122219.8899999</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589</v>
      </c>
      <c r="E89" s="75">
        <f>资产资本表!E55</f>
        <v>0</v>
      </c>
      <c r="F89" s="75">
        <f>资产资本表!F55</f>
        <v>0</v>
      </c>
      <c r="G89" s="75">
        <f>资产资本表!G55</f>
        <v>0</v>
      </c>
      <c r="H89" s="75">
        <f>资产资本表!H55</f>
        <v>0</v>
      </c>
      <c r="I89" s="75">
        <f>资产资本表!I55</f>
        <v>0</v>
      </c>
      <c r="J89" s="75">
        <f>资产资本表!J55</f>
        <v>568057.24</v>
      </c>
      <c r="K89" s="75">
        <f>资产资本表!K55</f>
        <v>546668.44999999995</v>
      </c>
      <c r="L89" s="75">
        <f>资产资本表!L55</f>
        <v>46551.54</v>
      </c>
      <c r="M89" s="75">
        <f>资产资本表!M55</f>
        <v>0</v>
      </c>
      <c r="N89" s="75">
        <f>资产资本表!N55</f>
        <v>99836.89</v>
      </c>
      <c r="O89" s="75">
        <f>资产资本表!O55</f>
        <v>99970.35</v>
      </c>
      <c r="P89" s="75">
        <f>资产资本表!P55</f>
        <v>75288.62</v>
      </c>
      <c r="Q89" s="75">
        <f>资产资本表!Q55</f>
        <v>0</v>
      </c>
      <c r="R89" s="75">
        <f>资产资本表!R55</f>
        <v>151471.22</v>
      </c>
      <c r="S89" s="75">
        <f>资产资本表!S55</f>
        <v>64696.53</v>
      </c>
      <c r="T89" s="75">
        <f>资产资本表!T55</f>
        <v>27216.83</v>
      </c>
      <c r="U89" s="75">
        <f>资产资本表!U55</f>
        <v>0</v>
      </c>
      <c r="V89" s="75">
        <f>资产资本表!V55</f>
        <v>4004.29</v>
      </c>
      <c r="W89" s="75">
        <f>资产资本表!W55</f>
        <v>69708.81</v>
      </c>
      <c r="X89" s="75">
        <f>资产资本表!X55</f>
        <v>0</v>
      </c>
      <c r="Y89" s="75">
        <f>资产资本表!Y55</f>
        <v>0</v>
      </c>
      <c r="Z89" s="75">
        <f>资产资本表!Z55</f>
        <v>163474.51</v>
      </c>
      <c r="AA89" s="75">
        <f>资产资本表!AA55</f>
        <v>315694.67</v>
      </c>
      <c r="AB89" s="75">
        <f>资产资本表!AB55</f>
        <v>61594.93</v>
      </c>
      <c r="AC89" s="75">
        <f>资产资本表!AC55</f>
        <v>0</v>
      </c>
      <c r="AD89" s="75">
        <f>资产资本表!AD55</f>
        <v>515044.62</v>
      </c>
      <c r="AE89" s="75">
        <f>资产资本表!AE55</f>
        <v>484853.4</v>
      </c>
      <c r="AF89" s="75">
        <f>资产资本表!AF55</f>
        <v>457936.21</v>
      </c>
      <c r="AG89" s="75">
        <f>资产资本表!AG55</f>
        <v>0</v>
      </c>
      <c r="AH89" s="75">
        <f>资产资本表!AH55</f>
        <v>208533.5</v>
      </c>
      <c r="AI89" s="75">
        <f>资产资本表!AI55</f>
        <v>81313.63</v>
      </c>
      <c r="AJ89" s="75">
        <f>资产资本表!AJ55</f>
        <v>109873.63</v>
      </c>
      <c r="AK89" s="75">
        <f>资产资本表!AK55</f>
        <v>0</v>
      </c>
      <c r="AL89" s="75">
        <f>资产资本表!AL55</f>
        <v>109264.33</v>
      </c>
      <c r="AM89" s="75">
        <f>资产资本表!AM55</f>
        <v>13865.6</v>
      </c>
      <c r="AN89" s="75">
        <f>资产资本表!AN55</f>
        <v>1323.6</v>
      </c>
      <c r="AO89" s="75">
        <f>资产资本表!AO55</f>
        <v>0</v>
      </c>
      <c r="AP89" s="75">
        <f>资产资本表!AP55</f>
        <v>0</v>
      </c>
      <c r="AQ89" s="75">
        <f>资产资本表!AQ55</f>
        <v>460697.63</v>
      </c>
      <c r="AR89" s="75">
        <f>资产资本表!AR55</f>
        <v>-25884.6</v>
      </c>
      <c r="AS89" s="75">
        <f>资产资本表!AS55</f>
        <v>0</v>
      </c>
      <c r="AT89" s="75">
        <f>资产资本表!AT55</f>
        <v>1055430.42</v>
      </c>
      <c r="AU89" s="75">
        <f>资产资本表!AU55</f>
        <v>117461.77</v>
      </c>
      <c r="AV89" s="75">
        <f>资产资本表!AV55</f>
        <v>178880.58</v>
      </c>
      <c r="AW89" s="75">
        <f>资产资本表!AW55</f>
        <v>0</v>
      </c>
      <c r="AX89" s="75">
        <f>资产资本表!AX55</f>
        <v>1618553.51</v>
      </c>
      <c r="AY89" s="75">
        <f>资产资本表!AY55</f>
        <v>1852428.04</v>
      </c>
      <c r="AZ89" s="75">
        <f>资产资本表!AZ55</f>
        <v>-499401.36</v>
      </c>
      <c r="BA89" s="75">
        <f>资产资本表!BA55</f>
        <v>0</v>
      </c>
      <c r="BB89" s="75">
        <f>资产资本表!BB55</f>
        <v>-557354.99</v>
      </c>
      <c r="BC89" s="75">
        <f>资产资本表!BC55</f>
        <v>0</v>
      </c>
      <c r="BD89" s="75">
        <f>资产资本表!BD55</f>
        <v>-38886.980000000003</v>
      </c>
      <c r="BE89" s="75">
        <f>资产资本表!BE55</f>
        <v>0</v>
      </c>
      <c r="BF89" s="75">
        <f>资产资本表!BF55</f>
        <v>0</v>
      </c>
      <c r="BG89" s="75">
        <f>资产资本表!BG55</f>
        <v>28832.62</v>
      </c>
      <c r="BH89" s="75">
        <f>资产资本表!BH55</f>
        <v>7742.32</v>
      </c>
      <c r="BI89" s="75">
        <f>资产资本表!BI55</f>
        <v>0</v>
      </c>
      <c r="BJ89" s="75">
        <f>资产资本表!BJ55</f>
        <v>65108.34</v>
      </c>
      <c r="BK89" s="75">
        <f>资产资本表!BK55</f>
        <v>70849.8</v>
      </c>
      <c r="BL89" s="75">
        <f>资产资本表!BL55</f>
        <v>51161.96</v>
      </c>
      <c r="BM89" s="75">
        <f>资产资本表!BM55</f>
        <v>0</v>
      </c>
      <c r="BN89" s="75">
        <f>资产资本表!BN55</f>
        <v>0</v>
      </c>
      <c r="BO89" s="75">
        <f>资产资本表!BO55</f>
        <v>115469.25</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590</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591</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592</v>
      </c>
      <c r="E92" s="75">
        <f>资产资本表!E58</f>
        <v>27944563.260000002</v>
      </c>
      <c r="F92" s="75">
        <f>资产资本表!F58</f>
        <v>22525769.120000001</v>
      </c>
      <c r="G92" s="75">
        <f>资产资本表!G58</f>
        <v>21438822.09</v>
      </c>
      <c r="H92" s="75">
        <f>资产资本表!H58</f>
        <v>21725423.510000002</v>
      </c>
      <c r="I92" s="75">
        <f>资产资本表!I58</f>
        <v>22305920.23</v>
      </c>
      <c r="J92" s="75">
        <f>资产资本表!J58</f>
        <v>22312321.550000001</v>
      </c>
      <c r="K92" s="75">
        <f>资产资本表!K58</f>
        <v>22892818.27</v>
      </c>
      <c r="L92" s="75">
        <f>资产资本表!L58</f>
        <v>22237427.149999999</v>
      </c>
      <c r="M92" s="75">
        <f>资产资本表!M58</f>
        <v>22801650.309999999</v>
      </c>
      <c r="N92" s="75">
        <f>资产资本表!N58</f>
        <v>20398259.789999999</v>
      </c>
      <c r="O92" s="75">
        <f>资产资本表!O58</f>
        <v>20613316.469999999</v>
      </c>
      <c r="P92" s="75">
        <f>资产资本表!P58</f>
        <v>20828373.149999999</v>
      </c>
      <c r="Q92" s="75">
        <f>资产资本表!Q58</f>
        <v>21215658.449999999</v>
      </c>
      <c r="R92" s="75">
        <f>资产资本表!R58</f>
        <v>19660759.82</v>
      </c>
      <c r="S92" s="75">
        <f>资产资本表!S58</f>
        <v>19907755.02</v>
      </c>
      <c r="T92" s="75">
        <f>资产资本表!T58</f>
        <v>20097340.68</v>
      </c>
      <c r="U92" s="75">
        <f>资产资本表!U58</f>
        <v>20286926.34</v>
      </c>
      <c r="V92" s="75">
        <f>资产资本表!V58</f>
        <v>20216836.170000002</v>
      </c>
      <c r="W92" s="75">
        <f>资产资本表!W58</f>
        <v>20540724.329999998</v>
      </c>
      <c r="X92" s="75">
        <f>资产资本表!X58</f>
        <v>21200055.489999998</v>
      </c>
      <c r="Y92" s="75">
        <f>资产资本表!Y58</f>
        <v>21536069.649999999</v>
      </c>
      <c r="Z92" s="75">
        <f>资产资本表!Z58</f>
        <v>22020004.649999999</v>
      </c>
      <c r="AA92" s="75">
        <f>资产资本表!AA58</f>
        <v>22521542.07</v>
      </c>
      <c r="AB92" s="75">
        <f>资产资本表!AB58</f>
        <v>22598528.289999999</v>
      </c>
      <c r="AC92" s="75">
        <f>资产资本表!AC58</f>
        <v>23029009.289999999</v>
      </c>
      <c r="AD92" s="75">
        <f>资产资本表!AD58</f>
        <v>23518204.609999999</v>
      </c>
      <c r="AE92" s="75">
        <f>资产资本表!AE58</f>
        <v>23999199.23</v>
      </c>
      <c r="AF92" s="75">
        <f>资产资本表!AF58</f>
        <v>24480193.850000001</v>
      </c>
      <c r="AG92" s="75">
        <f>资产资本表!AG58</f>
        <v>24952979.469999999</v>
      </c>
      <c r="AH92" s="75">
        <f>资产资本表!AH58</f>
        <v>23744751.190000001</v>
      </c>
      <c r="AI92" s="75">
        <f>资产资本表!AI58</f>
        <v>25629982.960000001</v>
      </c>
      <c r="AJ92" s="75">
        <f>资产资本表!AJ58</f>
        <v>27335218.73</v>
      </c>
      <c r="AK92" s="75">
        <f>资产资本表!AK58</f>
        <v>29033786.489999998</v>
      </c>
      <c r="AL92" s="75">
        <f>资产资本表!AL58</f>
        <v>26913139.18</v>
      </c>
      <c r="AM92" s="75">
        <f>资产资本表!AM58</f>
        <v>27784703.379999999</v>
      </c>
      <c r="AN92" s="75">
        <f>资产资本表!AN58</f>
        <v>28656267.579999998</v>
      </c>
      <c r="AO92" s="75">
        <f>资产资本表!AO58</f>
        <v>29527831.780000001</v>
      </c>
      <c r="AP92" s="75">
        <f>资产资本表!AP58</f>
        <v>30520624.98</v>
      </c>
      <c r="AQ92" s="75">
        <f>资产资本表!AQ58</f>
        <v>31392189.18</v>
      </c>
      <c r="AR92" s="75">
        <f>资产资本表!AR58</f>
        <v>33000101.579999998</v>
      </c>
      <c r="AS92" s="75">
        <f>资产资本表!AS58</f>
        <v>30274852.579999998</v>
      </c>
      <c r="AT92" s="75">
        <f>资产资本表!AT58</f>
        <v>31033700.780000001</v>
      </c>
      <c r="AU92" s="75">
        <f>资产资本表!AU58</f>
        <v>54551686.740000002</v>
      </c>
      <c r="AV92" s="75">
        <f>资产资本表!AV58</f>
        <v>55543675.950000003</v>
      </c>
      <c r="AW92" s="75">
        <f>资产资本表!AW58</f>
        <v>56535665.159999996</v>
      </c>
      <c r="AX92" s="75">
        <f>资产资本表!AX58</f>
        <v>57768154.350000001</v>
      </c>
      <c r="AY92" s="75">
        <f>资产资本表!AY58</f>
        <v>58639893.57</v>
      </c>
      <c r="AZ92" s="75">
        <f>资产资本表!AZ58</f>
        <v>59339404.170000002</v>
      </c>
      <c r="BA92" s="75">
        <f>资产资本表!BA58</f>
        <v>60503622</v>
      </c>
      <c r="BB92" s="75">
        <f>资产资本表!BB58</f>
        <v>48881103.409999996</v>
      </c>
      <c r="BC92" s="75">
        <f>资产资本表!BC58</f>
        <v>49443275.920000002</v>
      </c>
      <c r="BD92" s="75">
        <f>资产资本表!BD58</f>
        <v>49833219.43</v>
      </c>
      <c r="BE92" s="75">
        <f>资产资本表!BE58</f>
        <v>50223162.939999998</v>
      </c>
      <c r="BF92" s="75">
        <f>资产资本表!BF58</f>
        <v>50408439.770000003</v>
      </c>
      <c r="BG92" s="75">
        <f>资产资本表!BG58</f>
        <v>50901383.299999997</v>
      </c>
      <c r="BH92" s="75">
        <f>资产资本表!BH58</f>
        <v>51166326.829999998</v>
      </c>
      <c r="BI92" s="75">
        <f>资产资本表!BI58</f>
        <v>51545270.359999999</v>
      </c>
      <c r="BJ92" s="75">
        <f>资产资本表!BJ58</f>
        <v>51924213.890000001</v>
      </c>
      <c r="BK92" s="75">
        <f>资产资本表!BK58</f>
        <v>52303157.420000002</v>
      </c>
      <c r="BL92" s="75">
        <f>资产资本表!BL58</f>
        <v>52682100.950000003</v>
      </c>
      <c r="BM92" s="75">
        <f>资产资本表!BM58</f>
        <v>53061044.479999997</v>
      </c>
      <c r="BN92" s="75">
        <f>资产资本表!BN58</f>
        <v>53594318.600000001</v>
      </c>
      <c r="BO92" s="75">
        <f>资产资本表!BO58</f>
        <v>52670611.759999998</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4" customFormat="1" x14ac:dyDescent="0.25">
      <c r="A93" s="250" t="s">
        <v>691</v>
      </c>
      <c r="E93" s="154">
        <f>E81/E92</f>
        <v>241.96301840395984</v>
      </c>
      <c r="F93" s="154">
        <f t="shared" ref="F93:BQ93" si="52">F81/F92</f>
        <v>218.34944483662539</v>
      </c>
      <c r="G93" s="154">
        <f t="shared" si="52"/>
        <v>149.89916446384393</v>
      </c>
      <c r="H93" s="154">
        <f t="shared" si="52"/>
        <v>72.898349988943437</v>
      </c>
      <c r="I93" s="154">
        <f t="shared" si="52"/>
        <v>276.45947768728303</v>
      </c>
      <c r="J93" s="154">
        <f t="shared" si="52"/>
        <v>203.23265441555989</v>
      </c>
      <c r="K93" s="154">
        <f t="shared" si="52"/>
        <v>130.37496093572929</v>
      </c>
      <c r="L93" s="154">
        <f t="shared" si="52"/>
        <v>64.876971141870612</v>
      </c>
      <c r="M93" s="154">
        <f t="shared" si="52"/>
        <v>246.46178139857631</v>
      </c>
      <c r="N93" s="154">
        <f t="shared" si="52"/>
        <v>205.72773526922515</v>
      </c>
      <c r="O93" s="154">
        <f t="shared" si="52"/>
        <v>134.56993845639047</v>
      </c>
      <c r="P93" s="154">
        <f t="shared" si="52"/>
        <v>66.71392447326113</v>
      </c>
      <c r="Q93" s="154">
        <f t="shared" si="52"/>
        <v>260.54711379038065</v>
      </c>
      <c r="R93" s="154">
        <f t="shared" si="52"/>
        <v>207.51938760472584</v>
      </c>
      <c r="S93" s="154">
        <f t="shared" si="52"/>
        <v>134.6931271806458</v>
      </c>
      <c r="T93" s="154">
        <f t="shared" si="52"/>
        <v>64.097836701447605</v>
      </c>
      <c r="U93" s="154">
        <f t="shared" si="52"/>
        <v>253.42988548850818</v>
      </c>
      <c r="V93" s="154">
        <f t="shared" si="52"/>
        <v>187.80044306210547</v>
      </c>
      <c r="W93" s="154">
        <f t="shared" si="52"/>
        <v>119.87526184428377</v>
      </c>
      <c r="X93" s="154">
        <f t="shared" si="52"/>
        <v>55.862799894020469</v>
      </c>
      <c r="Y93" s="154">
        <f t="shared" si="52"/>
        <v>216.99945593368753</v>
      </c>
      <c r="Z93" s="154">
        <f t="shared" si="52"/>
        <v>157.1335614826948</v>
      </c>
      <c r="AA93" s="154">
        <f t="shared" si="52"/>
        <v>101.65396786881743</v>
      </c>
      <c r="AB93" s="154">
        <f t="shared" si="52"/>
        <v>49.197282203194312</v>
      </c>
      <c r="AC93" s="154">
        <f t="shared" si="52"/>
        <v>184.0874516808187</v>
      </c>
      <c r="AD93" s="154">
        <f t="shared" si="52"/>
        <v>132.04806656837738</v>
      </c>
      <c r="AE93" s="154">
        <f t="shared" si="52"/>
        <v>84.515576779934094</v>
      </c>
      <c r="AF93" s="154">
        <f t="shared" si="52"/>
        <v>40.300814600779802</v>
      </c>
      <c r="AG93" s="154">
        <f t="shared" si="52"/>
        <v>154.91053819233557</v>
      </c>
      <c r="AH93" s="154">
        <f t="shared" si="52"/>
        <v>115.20755423085147</v>
      </c>
      <c r="AI93" s="154">
        <f t="shared" si="52"/>
        <v>69.171150492251442</v>
      </c>
      <c r="AJ93" s="154">
        <f t="shared" si="52"/>
        <v>31.707471128400954</v>
      </c>
      <c r="AK93" s="154">
        <f t="shared" si="52"/>
        <v>113.87042071548967</v>
      </c>
      <c r="AL93" s="154">
        <f t="shared" si="52"/>
        <v>87.290173931319146</v>
      </c>
      <c r="AM93" s="154">
        <f t="shared" si="52"/>
        <v>55.780096129282491</v>
      </c>
      <c r="AN93" s="154">
        <f t="shared" si="52"/>
        <v>26.814884258908087</v>
      </c>
      <c r="AO93" s="154">
        <f t="shared" si="52"/>
        <v>103.28227524059675</v>
      </c>
      <c r="AP93" s="154">
        <f t="shared" si="52"/>
        <v>74.219384492433818</v>
      </c>
      <c r="AQ93" s="154">
        <f t="shared" si="52"/>
        <v>48.147513393011479</v>
      </c>
      <c r="AR93" s="154">
        <f t="shared" si="52"/>
        <v>22.872560958038118</v>
      </c>
      <c r="AS93" s="154">
        <f t="shared" si="52"/>
        <v>88.635940824455702</v>
      </c>
      <c r="AT93" s="154">
        <f t="shared" si="52"/>
        <v>62.943870630436614</v>
      </c>
      <c r="AU93" s="154">
        <f t="shared" si="52"/>
        <v>23.367468003428414</v>
      </c>
      <c r="AV93" s="154">
        <f t="shared" si="52"/>
        <v>11.181491314674142</v>
      </c>
      <c r="AW93" s="154">
        <f t="shared" si="52"/>
        <v>42.624377987419088</v>
      </c>
      <c r="AX93" s="154">
        <f t="shared" si="52"/>
        <v>30.857122927106289</v>
      </c>
      <c r="AY93" s="154">
        <f t="shared" si="52"/>
        <v>20.25771700100308</v>
      </c>
      <c r="AZ93" s="154">
        <f t="shared" si="52"/>
        <v>9.9378208082536599</v>
      </c>
      <c r="BA93" s="154">
        <f t="shared" si="52"/>
        <v>35.52362922884187</v>
      </c>
      <c r="BB93" s="154">
        <f t="shared" si="52"/>
        <v>31.104280178523087</v>
      </c>
      <c r="BC93" s="154">
        <f t="shared" si="52"/>
        <v>19.812188743014826</v>
      </c>
      <c r="BD93" s="154">
        <f t="shared" si="52"/>
        <v>8.9509174336320818</v>
      </c>
      <c r="BE93" s="154">
        <f t="shared" si="52"/>
        <v>30.678725990251223</v>
      </c>
      <c r="BF93" s="154">
        <f t="shared" si="52"/>
        <v>21.695475184115182</v>
      </c>
      <c r="BG93" s="154">
        <f t="shared" si="52"/>
        <v>14.032792689938548</v>
      </c>
      <c r="BH93" s="154">
        <f t="shared" si="52"/>
        <v>6.8245322399274526</v>
      </c>
      <c r="BI93" s="154">
        <f t="shared" si="52"/>
        <v>20.600358794393181</v>
      </c>
      <c r="BJ93" s="154">
        <f t="shared" si="52"/>
        <v>13.447780175916691</v>
      </c>
      <c r="BK93" s="154">
        <f t="shared" si="52"/>
        <v>7.5582506458555594</v>
      </c>
      <c r="BL93" s="154">
        <f t="shared" si="52"/>
        <v>4.6850235857953191</v>
      </c>
      <c r="BM93" s="154">
        <f t="shared" si="52"/>
        <v>17.708954079375108</v>
      </c>
      <c r="BN93" s="154">
        <f t="shared" si="52"/>
        <v>8.0670701032105292</v>
      </c>
      <c r="BO93" s="154">
        <f t="shared" si="52"/>
        <v>15.917500368900216</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5" customFormat="1" x14ac:dyDescent="0.25">
      <c r="A94" s="69" t="s">
        <v>593</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594</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595</v>
      </c>
      <c r="E96" s="75">
        <f>资产资本表!E61</f>
        <v>22744096.449999999</v>
      </c>
      <c r="F96" s="75">
        <f>资产资本表!F61</f>
        <v>29239827.600000001</v>
      </c>
      <c r="G96" s="75">
        <f>资产资本表!G61</f>
        <v>29239827.600000001</v>
      </c>
      <c r="H96" s="75">
        <f>资产资本表!H61</f>
        <v>16991161.719999999</v>
      </c>
      <c r="I96" s="75">
        <f>资产资本表!I61</f>
        <v>29224071.850000001</v>
      </c>
      <c r="J96" s="75">
        <f>资产资本表!J61</f>
        <v>35117004.840000004</v>
      </c>
      <c r="K96" s="75">
        <f>资产资本表!K61</f>
        <v>36017175.229999997</v>
      </c>
      <c r="L96" s="75">
        <f>资产资本表!L61</f>
        <v>30921722.670000002</v>
      </c>
      <c r="M96" s="75">
        <f>资产资本表!M61</f>
        <v>39262022.600000001</v>
      </c>
      <c r="N96" s="75">
        <f>资产资本表!N61</f>
        <v>2193929.0699999998</v>
      </c>
      <c r="O96" s="75">
        <f>资产资本表!O61</f>
        <v>2606925.54</v>
      </c>
      <c r="P96" s="75">
        <f>资产资本表!P61</f>
        <v>21783922.010000002</v>
      </c>
      <c r="Q96" s="75">
        <f>资产资本表!Q61</f>
        <v>3432919.59</v>
      </c>
      <c r="R96" s="75">
        <f>资产资本表!R61</f>
        <v>21971376.920000002</v>
      </c>
      <c r="S96" s="75">
        <f>资产资本表!S61</f>
        <v>4062632.25</v>
      </c>
      <c r="T96" s="75">
        <f>资产资本表!T61</f>
        <v>3848167.26</v>
      </c>
      <c r="U96" s="75">
        <f>资产资本表!U61</f>
        <v>4840609.09</v>
      </c>
      <c r="V96" s="75">
        <f>资产资本表!V61</f>
        <v>3625368.05</v>
      </c>
      <c r="W96" s="75">
        <f>资产资本表!W61</f>
        <v>4628222.4800000004</v>
      </c>
      <c r="X96" s="75">
        <f>资产资本表!X61</f>
        <v>5631076.9100000001</v>
      </c>
      <c r="Y96" s="75">
        <f>资产资本表!Y61</f>
        <v>4571183.74</v>
      </c>
      <c r="Z96" s="75">
        <f>资产资本表!Z61</f>
        <v>6609693.6100000003</v>
      </c>
      <c r="AA96" s="75">
        <f>资产资本表!AA61</f>
        <v>7471491.3700000001</v>
      </c>
      <c r="AB96" s="75">
        <f>资产资本表!AB61</f>
        <v>7108713.0700000003</v>
      </c>
      <c r="AC96" s="75">
        <f>资产资本表!AC61</f>
        <v>7684383.7000000002</v>
      </c>
      <c r="AD96" s="75">
        <f>资产资本表!AD61</f>
        <v>7440967.0300000003</v>
      </c>
      <c r="AE96" s="75">
        <f>资产资本表!AE61</f>
        <v>7997461.4500000002</v>
      </c>
      <c r="AF96" s="75">
        <f>资产资本表!AF61</f>
        <v>9155795.8300000001</v>
      </c>
      <c r="AG96" s="75">
        <f>资产资本表!AG61</f>
        <v>10359334.75</v>
      </c>
      <c r="AH96" s="75">
        <f>资产资本表!AH61</f>
        <v>15295647.67</v>
      </c>
      <c r="AI96" s="75">
        <f>资产资本表!AI61</f>
        <v>17516881.850000001</v>
      </c>
      <c r="AJ96" s="75">
        <f>资产资本表!AJ61</f>
        <v>19725802.899999999</v>
      </c>
      <c r="AK96" s="75">
        <f>资产资本表!AK61</f>
        <v>18542553.829999998</v>
      </c>
      <c r="AL96" s="75">
        <f>资产资本表!AL61</f>
        <v>20635689.550000001</v>
      </c>
      <c r="AM96" s="75">
        <f>资产资本表!AM61</f>
        <v>21873553.059999999</v>
      </c>
      <c r="AN96" s="75">
        <f>资产资本表!AN61</f>
        <v>23099569.030000001</v>
      </c>
      <c r="AO96" s="75">
        <f>资产资本表!AO61</f>
        <v>24139169.719999999</v>
      </c>
      <c r="AP96" s="75">
        <f>资产资本表!AP61</f>
        <v>45741879.259999998</v>
      </c>
      <c r="AQ96" s="75">
        <f>资产资本表!AQ61</f>
        <v>46477873.659999996</v>
      </c>
      <c r="AR96" s="75">
        <f>资产资本表!AR61</f>
        <v>24548119</v>
      </c>
      <c r="AS96" s="75">
        <f>资产资本表!AS61</f>
        <v>46482555.329999998</v>
      </c>
      <c r="AT96" s="75">
        <f>资产资本表!AT61</f>
        <v>49513090.68</v>
      </c>
      <c r="AU96" s="75">
        <f>资产资本表!AU61</f>
        <v>51755798.109999999</v>
      </c>
      <c r="AV96" s="75">
        <f>资产资本表!AV61</f>
        <v>54402599.439999998</v>
      </c>
      <c r="AW96" s="75">
        <f>资产资本表!AW61</f>
        <v>53803704.520000003</v>
      </c>
      <c r="AX96" s="75">
        <f>资产资本表!AX61</f>
        <v>60898049.32</v>
      </c>
      <c r="AY96" s="75">
        <f>资产资本表!AY61</f>
        <v>61055464.310000002</v>
      </c>
      <c r="AZ96" s="75">
        <f>资产资本表!AZ61</f>
        <v>61183762.979999997</v>
      </c>
      <c r="BA96" s="75">
        <f>资产资本表!BA61</f>
        <v>60659740.719999999</v>
      </c>
      <c r="BB96" s="75">
        <f>资产资本表!BB61</f>
        <v>38662352.729999997</v>
      </c>
      <c r="BC96" s="75">
        <f>资产资本表!BC61</f>
        <v>54062386.299999997</v>
      </c>
      <c r="BD96" s="75">
        <f>资产资本表!BD61</f>
        <v>37124412.840000004</v>
      </c>
      <c r="BE96" s="75">
        <f>资产资本表!BE61</f>
        <v>32578152.879999999</v>
      </c>
      <c r="BF96" s="75">
        <f>资产资本表!BF61</f>
        <v>22247043.559999999</v>
      </c>
      <c r="BG96" s="75">
        <f>资产资本表!BG61</f>
        <v>11410999.65</v>
      </c>
      <c r="BH96" s="75">
        <f>资产资本表!BH61</f>
        <v>11111866.279999999</v>
      </c>
      <c r="BI96" s="75">
        <f>资产资本表!BI61</f>
        <v>11640000.35</v>
      </c>
      <c r="BJ96" s="75">
        <f>资产资本表!BJ61</f>
        <v>12253595.24</v>
      </c>
      <c r="BK96" s="75">
        <f>资产资本表!BK61</f>
        <v>13056439.960000001</v>
      </c>
      <c r="BL96" s="75">
        <f>资产资本表!BL61</f>
        <v>13826626.359999999</v>
      </c>
      <c r="BM96" s="75">
        <f>资产资本表!BM61</f>
        <v>15174387.6</v>
      </c>
      <c r="BN96" s="75">
        <f>资产资本表!BN61</f>
        <v>12126489.65</v>
      </c>
      <c r="BO96" s="75">
        <f>资产资本表!BO61</f>
        <v>7349117.21</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596</v>
      </c>
      <c r="E97" s="75">
        <f>资产资本表!E62</f>
        <v>277171417.5</v>
      </c>
      <c r="F97" s="75">
        <f>资产资本表!F62</f>
        <v>348341072.30000001</v>
      </c>
      <c r="G97" s="75">
        <f>资产资本表!G62</f>
        <v>348341072.30000001</v>
      </c>
      <c r="H97" s="75">
        <f>资产资本表!H62</f>
        <v>348240385.06999999</v>
      </c>
      <c r="I97" s="75">
        <f>资产资本表!I62</f>
        <v>348341072.30000001</v>
      </c>
      <c r="J97" s="75">
        <f>资产资本表!J62</f>
        <v>258030973</v>
      </c>
      <c r="K97" s="75">
        <f>资产资本表!K62</f>
        <v>258030973</v>
      </c>
      <c r="L97" s="75">
        <f>资产资本表!L62</f>
        <v>258030973</v>
      </c>
      <c r="M97" s="75">
        <f>资产资本表!M62</f>
        <v>258030973</v>
      </c>
      <c r="N97" s="75">
        <f>资产资本表!N62</f>
        <v>170237006.18000001</v>
      </c>
      <c r="O97" s="75">
        <f>资产资本表!O62</f>
        <v>158168478.84</v>
      </c>
      <c r="P97" s="75">
        <f>资产资本表!P62</f>
        <v>169550180.55000001</v>
      </c>
      <c r="Q97" s="75">
        <f>资产资本表!Q62</f>
        <v>169550180.55000001</v>
      </c>
      <c r="R97" s="75">
        <f>资产资本表!R62</f>
        <v>95651148.519999996</v>
      </c>
      <c r="S97" s="75">
        <f>资产资本表!S62</f>
        <v>93933801.400000006</v>
      </c>
      <c r="T97" s="75">
        <f>资产资本表!T62</f>
        <v>79008700.329999998</v>
      </c>
      <c r="U97" s="75">
        <f>资产资本表!U62</f>
        <v>79008700.329999998</v>
      </c>
      <c r="V97" s="75">
        <f>资产资本表!V62</f>
        <v>91921720.189999998</v>
      </c>
      <c r="W97" s="75">
        <f>资产资本表!W62</f>
        <v>90378412.439999998</v>
      </c>
      <c r="X97" s="75">
        <f>资产资本表!X62</f>
        <v>81016294.930000007</v>
      </c>
      <c r="Y97" s="75">
        <f>资产资本表!Y62</f>
        <v>83932040.959999993</v>
      </c>
      <c r="Z97" s="75">
        <f>资产资本表!Z62</f>
        <v>116836570.53</v>
      </c>
      <c r="AA97" s="75">
        <f>资产资本表!AA62</f>
        <v>114297339.98</v>
      </c>
      <c r="AB97" s="75">
        <f>资产资本表!AB62</f>
        <v>102975056.84999999</v>
      </c>
      <c r="AC97" s="75">
        <f>资产资本表!AC62</f>
        <v>104829367.45999999</v>
      </c>
      <c r="AD97" s="75">
        <f>资产资本表!AD62</f>
        <v>119748439.36</v>
      </c>
      <c r="AE97" s="75">
        <f>资产资本表!AE62</f>
        <v>117967059.08</v>
      </c>
      <c r="AF97" s="75">
        <f>资产资本表!AF62</f>
        <v>116351756.48999999</v>
      </c>
      <c r="AG97" s="75">
        <f>资产资本表!AG62</f>
        <v>113233546.34</v>
      </c>
      <c r="AH97" s="75">
        <f>资产资本表!AH62</f>
        <v>101882750.23</v>
      </c>
      <c r="AI97" s="75">
        <f>资产资本表!AI62</f>
        <v>98751449.170000002</v>
      </c>
      <c r="AJ97" s="75">
        <f>资产资本表!AJ62</f>
        <v>91505244.560000002</v>
      </c>
      <c r="AK97" s="75">
        <f>资产资本表!AK62</f>
        <v>89366081.060000002</v>
      </c>
      <c r="AL97" s="75">
        <f>资产资本表!AL62</f>
        <v>70108212.819999993</v>
      </c>
      <c r="AM97" s="75">
        <f>资产资本表!AM62</f>
        <v>69179152.129999995</v>
      </c>
      <c r="AN97" s="75">
        <f>资产资本表!AN62</f>
        <v>67304509.439999998</v>
      </c>
      <c r="AO97" s="75">
        <f>资产资本表!AO62</f>
        <v>65562369.329999998</v>
      </c>
      <c r="AP97" s="75">
        <f>资产资本表!AP62</f>
        <v>53709128.07</v>
      </c>
      <c r="AQ97" s="75">
        <f>资产资本表!AQ62</f>
        <v>52554901.270000003</v>
      </c>
      <c r="AR97" s="75">
        <f>资产资本表!AR62</f>
        <v>51374753.600000001</v>
      </c>
      <c r="AS97" s="75">
        <f>资产资本表!AS62</f>
        <v>50012805.700000003</v>
      </c>
      <c r="AT97" s="75">
        <f>资产资本表!AT62</f>
        <v>29552929.489999998</v>
      </c>
      <c r="AU97" s="75">
        <f>资产资本表!AU62</f>
        <v>28877037.690000001</v>
      </c>
      <c r="AV97" s="75">
        <f>资产资本表!AV62</f>
        <v>28271084.300000001</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597</v>
      </c>
      <c r="E98" s="75">
        <f>资产资本表!E63</f>
        <v>24527086.940000001</v>
      </c>
      <c r="F98" s="75">
        <f>资产资本表!F63</f>
        <v>24526989.190000001</v>
      </c>
      <c r="G98" s="75">
        <f>资产资本表!G63</f>
        <v>24526989.190000001</v>
      </c>
      <c r="H98" s="75">
        <f>资产资本表!H63</f>
        <v>25173211.84</v>
      </c>
      <c r="I98" s="75">
        <f>资产资本表!I63</f>
        <v>23019136.34</v>
      </c>
      <c r="J98" s="75">
        <f>资产资本表!J63</f>
        <v>21726788.789999999</v>
      </c>
      <c r="K98" s="75">
        <f>资产资本表!K63</f>
        <v>21403677.469999999</v>
      </c>
      <c r="L98" s="75">
        <f>资产资本表!L63</f>
        <v>21295973.690000001</v>
      </c>
      <c r="M98" s="75">
        <f>资产资本表!M63</f>
        <v>26573458.670000002</v>
      </c>
      <c r="N98" s="75">
        <f>资产资本表!N63</f>
        <v>22696122.77</v>
      </c>
      <c r="O98" s="75">
        <f>资产资本表!O63</f>
        <v>38636281.469999999</v>
      </c>
      <c r="P98" s="75">
        <f>资产资本表!P63</f>
        <v>31850943.640000001</v>
      </c>
      <c r="Q98" s="75">
        <f>资产资本表!Q63</f>
        <v>33466500.27</v>
      </c>
      <c r="R98" s="75">
        <f>资产资本表!R63</f>
        <v>10735234.09</v>
      </c>
      <c r="S98" s="75">
        <f>资产资本表!S63</f>
        <v>8258047.2599999998</v>
      </c>
      <c r="T98" s="75">
        <f>资产资本表!T63</f>
        <v>7628057.6600000001</v>
      </c>
      <c r="U98" s="75">
        <f>资产资本表!U63</f>
        <v>9569388.5299999993</v>
      </c>
      <c r="V98" s="75">
        <f>资产资本表!V63</f>
        <v>11850000</v>
      </c>
      <c r="W98" s="75">
        <f>资产资本表!W63</f>
        <v>12290000</v>
      </c>
      <c r="X98" s="75">
        <f>资产资本表!X63</f>
        <v>15920000</v>
      </c>
      <c r="Y98" s="75">
        <f>资产资本表!Y63</f>
        <v>14050000</v>
      </c>
      <c r="Z98" s="75">
        <f>资产资本表!Z63</f>
        <v>9760000</v>
      </c>
      <c r="AA98" s="75">
        <f>资产资本表!AA63</f>
        <v>11740000</v>
      </c>
      <c r="AB98" s="75">
        <f>资产资本表!AB63</f>
        <v>11850000</v>
      </c>
      <c r="AC98" s="75">
        <f>资产资本表!AC63</f>
        <v>12180000</v>
      </c>
      <c r="AD98" s="75">
        <f>资产资本表!AD63</f>
        <v>12950000</v>
      </c>
      <c r="AE98" s="75">
        <f>资产资本表!AE63</f>
        <v>17350000</v>
      </c>
      <c r="AF98" s="75">
        <f>资产资本表!AF63</f>
        <v>22630000</v>
      </c>
      <c r="AG98" s="75">
        <f>资产资本表!AG63</f>
        <v>24060000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598</v>
      </c>
      <c r="E99" s="92">
        <f>资产资本表!E64</f>
        <v>7954600.0499999998</v>
      </c>
      <c r="F99" s="92">
        <f>资产资本表!F64</f>
        <v>0</v>
      </c>
      <c r="G99" s="92">
        <f>资产资本表!G64</f>
        <v>0</v>
      </c>
      <c r="H99" s="92">
        <f>资产资本表!H64</f>
        <v>0</v>
      </c>
      <c r="I99" s="92">
        <f>资产资本表!I64</f>
        <v>0</v>
      </c>
      <c r="J99" s="92">
        <f>资产资本表!J64</f>
        <v>2235061.5</v>
      </c>
      <c r="K99" s="92">
        <f>资产资本表!K64</f>
        <v>2235061.5</v>
      </c>
      <c r="L99" s="92">
        <f>资产资本表!L64</f>
        <v>2235061.5</v>
      </c>
      <c r="M99" s="92">
        <f>资产资本表!M64</f>
        <v>2502138.4300000002</v>
      </c>
      <c r="N99" s="92">
        <f>资产资本表!N64</f>
        <v>18764000</v>
      </c>
      <c r="O99" s="92">
        <f>资产资本表!O64</f>
        <v>20136000</v>
      </c>
      <c r="P99" s="92">
        <f>资产资本表!P64</f>
        <v>0</v>
      </c>
      <c r="Q99" s="92">
        <f>资产资本表!Q64</f>
        <v>20269333.34</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80596</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6" customFormat="1" x14ac:dyDescent="0.25">
      <c r="A100" s="87" t="s">
        <v>688</v>
      </c>
      <c r="E100" s="196">
        <f>(E84+I84)/2</f>
        <v>7809723058.3500004</v>
      </c>
      <c r="F100" s="196">
        <f t="shared" ref="F100:BQ100" si="54">(F84+J84)/2</f>
        <v>6971304190.7049999</v>
      </c>
      <c r="G100" s="196">
        <f t="shared" si="54"/>
        <v>7056107146.9449997</v>
      </c>
      <c r="H100" s="196">
        <f t="shared" si="54"/>
        <v>7142342939.71</v>
      </c>
      <c r="I100" s="196">
        <f t="shared" si="54"/>
        <v>7207640251.0650005</v>
      </c>
      <c r="J100" s="196">
        <f t="shared" si="54"/>
        <v>6660357975.6499996</v>
      </c>
      <c r="K100" s="196">
        <f t="shared" si="54"/>
        <v>6753543292.6000004</v>
      </c>
      <c r="L100" s="196">
        <f t="shared" si="54"/>
        <v>6847606943.3249998</v>
      </c>
      <c r="M100" s="196">
        <f t="shared" si="54"/>
        <v>6966665339.9349995</v>
      </c>
      <c r="N100" s="196">
        <f t="shared" si="54"/>
        <v>6450037518.1200008</v>
      </c>
      <c r="O100" s="196">
        <f t="shared" si="54"/>
        <v>6558864761.8600006</v>
      </c>
      <c r="P100" s="196">
        <f t="shared" si="54"/>
        <v>6700324133.6099997</v>
      </c>
      <c r="Q100" s="196">
        <f t="shared" si="54"/>
        <v>6845795991.6399994</v>
      </c>
      <c r="R100" s="196">
        <f t="shared" si="54"/>
        <v>7025591740.3950005</v>
      </c>
      <c r="S100" s="196">
        <f t="shared" si="54"/>
        <v>7162651462.8500004</v>
      </c>
      <c r="T100" s="196">
        <f t="shared" si="54"/>
        <v>7328700623.8050003</v>
      </c>
      <c r="U100" s="196">
        <f t="shared" si="54"/>
        <v>7492885756.5500002</v>
      </c>
      <c r="V100" s="196">
        <f t="shared" si="54"/>
        <v>7660517760.3699999</v>
      </c>
      <c r="W100" s="196">
        <f t="shared" si="54"/>
        <v>7809999311.9300003</v>
      </c>
      <c r="X100" s="196">
        <f t="shared" si="54"/>
        <v>7961281608.3549995</v>
      </c>
      <c r="Y100" s="196">
        <f t="shared" si="54"/>
        <v>8118917464.7650003</v>
      </c>
      <c r="Z100" s="196">
        <f t="shared" si="54"/>
        <v>8021640699.0300007</v>
      </c>
      <c r="AA100" s="196">
        <f t="shared" si="54"/>
        <v>8165217191.9400005</v>
      </c>
      <c r="AB100" s="196">
        <f t="shared" si="54"/>
        <v>8304700280.4449997</v>
      </c>
      <c r="AC100" s="196">
        <f t="shared" si="54"/>
        <v>8451626606.7950001</v>
      </c>
      <c r="AD100" s="196">
        <f t="shared" si="54"/>
        <v>8150818167.1550007</v>
      </c>
      <c r="AE100" s="196">
        <f t="shared" si="54"/>
        <v>8264373335.4750004</v>
      </c>
      <c r="AF100" s="196">
        <f t="shared" si="54"/>
        <v>7477528408.2849998</v>
      </c>
      <c r="AG100" s="196">
        <f t="shared" si="54"/>
        <v>7608468857.835</v>
      </c>
      <c r="AH100" s="196">
        <f t="shared" si="54"/>
        <v>7520712240.6199999</v>
      </c>
      <c r="AI100" s="196">
        <f t="shared" si="54"/>
        <v>7605377931.2049999</v>
      </c>
      <c r="AJ100" s="196">
        <f t="shared" si="54"/>
        <v>6805655790.3150005</v>
      </c>
      <c r="AK100" s="196">
        <f t="shared" si="54"/>
        <v>6911817785.3299999</v>
      </c>
      <c r="AL100" s="196">
        <f t="shared" si="54"/>
        <v>7009506007.7950001</v>
      </c>
      <c r="AM100" s="196">
        <f t="shared" si="54"/>
        <v>7092296971.2550001</v>
      </c>
      <c r="AN100" s="196">
        <f t="shared" si="54"/>
        <v>7198990089.4400005</v>
      </c>
      <c r="AO100" s="196">
        <f t="shared" si="54"/>
        <v>7301697801.5749998</v>
      </c>
      <c r="AP100" s="196">
        <f t="shared" si="54"/>
        <v>6392577921.71</v>
      </c>
      <c r="AQ100" s="196">
        <f t="shared" si="54"/>
        <v>6432295542.1350002</v>
      </c>
      <c r="AR100" s="196">
        <f t="shared" si="54"/>
        <v>6532031583.2800007</v>
      </c>
      <c r="AS100" s="196">
        <f t="shared" si="54"/>
        <v>6641094803.7849998</v>
      </c>
      <c r="AT100" s="196">
        <f t="shared" si="54"/>
        <v>5697507409.8250008</v>
      </c>
      <c r="AU100" s="196">
        <f t="shared" si="54"/>
        <v>5735176671.9850006</v>
      </c>
      <c r="AV100" s="196">
        <f t="shared" si="54"/>
        <v>5822787700.6949997</v>
      </c>
      <c r="AW100" s="196">
        <f t="shared" si="54"/>
        <v>5908007871.4949999</v>
      </c>
      <c r="AX100" s="196">
        <f t="shared" si="54"/>
        <v>5931495319.8000002</v>
      </c>
      <c r="AY100" s="196">
        <f t="shared" si="54"/>
        <v>6006937241.0450001</v>
      </c>
      <c r="AZ100" s="196">
        <f t="shared" si="54"/>
        <v>5871355372.8999996</v>
      </c>
      <c r="BA100" s="196">
        <f t="shared" si="54"/>
        <v>5925801104.2199993</v>
      </c>
      <c r="BB100" s="196">
        <f t="shared" si="54"/>
        <v>5554130569.2600002</v>
      </c>
      <c r="BC100" s="196">
        <f t="shared" si="54"/>
        <v>3165285927.9349999</v>
      </c>
      <c r="BD100" s="196">
        <f t="shared" si="54"/>
        <v>2991670056.0050001</v>
      </c>
      <c r="BE100" s="196">
        <f t="shared" si="54"/>
        <v>3024133132.0099998</v>
      </c>
      <c r="BF100" s="196">
        <f t="shared" si="54"/>
        <v>2648816535.3800001</v>
      </c>
      <c r="BG100" s="196">
        <f t="shared" si="54"/>
        <v>230326179.435</v>
      </c>
      <c r="BH100" s="196">
        <f t="shared" si="54"/>
        <v>238242928.07499999</v>
      </c>
      <c r="BI100" s="196">
        <f t="shared" si="54"/>
        <v>245617186.12</v>
      </c>
      <c r="BJ100" s="196">
        <f t="shared" si="54"/>
        <v>256223388.86500001</v>
      </c>
      <c r="BK100" s="196">
        <f t="shared" si="54"/>
        <v>268664613.67500001</v>
      </c>
      <c r="BL100" s="196">
        <f t="shared" si="54"/>
        <v>124780580.3</v>
      </c>
      <c r="BM100" s="196">
        <f t="shared" si="54"/>
        <v>128826540.84999999</v>
      </c>
      <c r="BN100" s="196">
        <f t="shared" si="54"/>
        <v>138526903.24000001</v>
      </c>
      <c r="BO100" s="196">
        <f t="shared" si="54"/>
        <v>147947774.715</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689</v>
      </c>
      <c r="E101" s="251">
        <f>E100/E84</f>
        <v>0.90773922725312151</v>
      </c>
      <c r="F101" s="251">
        <f t="shared" ref="F101:BQ101" si="56">F100/F84</f>
        <v>1.0220877494506293</v>
      </c>
      <c r="G101" s="251">
        <f t="shared" si="56"/>
        <v>1.0236710019334057</v>
      </c>
      <c r="H101" s="251">
        <f t="shared" si="56"/>
        <v>1.0228444754532668</v>
      </c>
      <c r="I101" s="251">
        <f t="shared" si="56"/>
        <v>1.0273207986871125</v>
      </c>
      <c r="J101" s="251">
        <f t="shared" si="56"/>
        <v>0.93518648717637098</v>
      </c>
      <c r="K101" s="251">
        <f t="shared" si="56"/>
        <v>0.93548838757852204</v>
      </c>
      <c r="L101" s="251">
        <f t="shared" si="56"/>
        <v>0.93778916194642126</v>
      </c>
      <c r="M101" s="251">
        <f t="shared" si="56"/>
        <v>0.94152754613860168</v>
      </c>
      <c r="N101" s="251">
        <f t="shared" si="56"/>
        <v>1.040536920185871</v>
      </c>
      <c r="O101" s="251">
        <f t="shared" si="56"/>
        <v>1.0431068906809886</v>
      </c>
      <c r="P101" s="251">
        <f t="shared" si="56"/>
        <v>1.0480142713985623</v>
      </c>
      <c r="Q101" s="251">
        <f t="shared" si="56"/>
        <v>1.0477175903470302</v>
      </c>
      <c r="R101" s="251">
        <f t="shared" si="56"/>
        <v>1.0483898417979025</v>
      </c>
      <c r="S101" s="251">
        <f t="shared" si="56"/>
        <v>1.0487178213807555</v>
      </c>
      <c r="T101" s="251">
        <f t="shared" si="56"/>
        <v>1.0458670990740224</v>
      </c>
      <c r="U101" s="251">
        <f t="shared" si="56"/>
        <v>1.0468457859380083</v>
      </c>
      <c r="V101" s="251">
        <f t="shared" si="56"/>
        <v>1.0422661223501295</v>
      </c>
      <c r="W101" s="251">
        <f t="shared" si="56"/>
        <v>1.0419737159425988</v>
      </c>
      <c r="X101" s="251">
        <f t="shared" si="56"/>
        <v>1.040676125778135</v>
      </c>
      <c r="Y101" s="251">
        <f t="shared" si="56"/>
        <v>1.0371387461141326</v>
      </c>
      <c r="Z101" s="251">
        <f t="shared" si="56"/>
        <v>1.0063318881619869</v>
      </c>
      <c r="AA101" s="251">
        <f t="shared" si="56"/>
        <v>1.0049982113893638</v>
      </c>
      <c r="AB101" s="251">
        <f t="shared" si="56"/>
        <v>1.0038975161828969</v>
      </c>
      <c r="AC101" s="251">
        <f t="shared" si="56"/>
        <v>1.004991891335822</v>
      </c>
      <c r="AD101" s="251">
        <f t="shared" si="56"/>
        <v>1.0097502253094104</v>
      </c>
      <c r="AE101" s="251">
        <f t="shared" si="56"/>
        <v>1.0071348861174882</v>
      </c>
      <c r="AF101" s="251">
        <f t="shared" si="56"/>
        <v>0.89691497445876001</v>
      </c>
      <c r="AG101" s="251">
        <f t="shared" si="56"/>
        <v>0.89578775808639399</v>
      </c>
      <c r="AH101" s="251">
        <f t="shared" si="56"/>
        <v>0.91386975385603553</v>
      </c>
      <c r="AI101" s="251">
        <f t="shared" si="56"/>
        <v>0.91378711404588286</v>
      </c>
      <c r="AJ101" s="251">
        <f t="shared" si="56"/>
        <v>1.0283375716997618</v>
      </c>
      <c r="AK101" s="251">
        <f t="shared" si="56"/>
        <v>1.028034722134054</v>
      </c>
      <c r="AL101" s="251">
        <f t="shared" si="56"/>
        <v>1.0290087312214189</v>
      </c>
      <c r="AM101" s="251">
        <f t="shared" si="56"/>
        <v>1.029684520510536</v>
      </c>
      <c r="AN101" s="251">
        <f t="shared" si="56"/>
        <v>1.0294275997926547</v>
      </c>
      <c r="AO101" s="251">
        <f t="shared" si="56"/>
        <v>1.0283640367624525</v>
      </c>
      <c r="AP101" s="251">
        <f t="shared" si="56"/>
        <v>0.88698207296875908</v>
      </c>
      <c r="AQ101" s="251">
        <f t="shared" si="56"/>
        <v>0.88152774406950785</v>
      </c>
      <c r="AR101" s="251">
        <f t="shared" si="56"/>
        <v>0.88213678914145799</v>
      </c>
      <c r="AS101" s="251">
        <f t="shared" si="56"/>
        <v>0.8851145102306105</v>
      </c>
      <c r="AT101" s="251">
        <f t="shared" si="56"/>
        <v>1.021416497370226</v>
      </c>
      <c r="AU101" s="251">
        <f t="shared" si="56"/>
        <v>1.030055618430828</v>
      </c>
      <c r="AV101" s="251">
        <f t="shared" si="56"/>
        <v>1.0288919485452803</v>
      </c>
      <c r="AW101" s="251">
        <f t="shared" si="56"/>
        <v>1.0223061370706663</v>
      </c>
      <c r="AX101" s="251">
        <f t="shared" si="56"/>
        <v>1.0196882100257811</v>
      </c>
      <c r="AY101" s="251">
        <f t="shared" si="56"/>
        <v>1.0176900562388758</v>
      </c>
      <c r="AZ101" s="251">
        <f t="shared" si="56"/>
        <v>0.98079948446969245</v>
      </c>
      <c r="BA101" s="251">
        <f t="shared" si="56"/>
        <v>0.98159389529203356</v>
      </c>
      <c r="BB101" s="251">
        <f t="shared" si="56"/>
        <v>0.91864228282100979</v>
      </c>
      <c r="BC101" s="251">
        <f t="shared" si="56"/>
        <v>0.51793536346824443</v>
      </c>
      <c r="BD101" s="251">
        <f t="shared" si="56"/>
        <v>0.51971059063085745</v>
      </c>
      <c r="BE101" s="251">
        <f t="shared" si="56"/>
        <v>0.52008546392498756</v>
      </c>
      <c r="BF101" s="251">
        <f t="shared" si="56"/>
        <v>0.52324988212953238</v>
      </c>
      <c r="BG101" s="251">
        <f t="shared" si="56"/>
        <v>1.0506685764044601</v>
      </c>
      <c r="BH101" s="251">
        <f t="shared" si="56"/>
        <v>1.049876601123416</v>
      </c>
      <c r="BI101" s="251">
        <f t="shared" si="56"/>
        <v>1.0515276525451807</v>
      </c>
      <c r="BJ101" s="251">
        <f t="shared" si="56"/>
        <v>1.0884920968726675</v>
      </c>
      <c r="BK101" s="251">
        <f t="shared" si="56"/>
        <v>1.1127884725511372</v>
      </c>
      <c r="BL101" s="251">
        <f t="shared" si="56"/>
        <v>0.5</v>
      </c>
      <c r="BM101" s="251">
        <f t="shared" si="56"/>
        <v>0.5</v>
      </c>
      <c r="BN101" s="251">
        <f t="shared" si="56"/>
        <v>0.5</v>
      </c>
      <c r="BO101" s="251">
        <f t="shared" si="56"/>
        <v>0.5</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9" t="s">
        <v>690</v>
      </c>
      <c r="B102" s="290"/>
      <c r="C102" s="290"/>
      <c r="D102" s="290"/>
      <c r="E102" s="290"/>
      <c r="F102" s="290"/>
      <c r="G102" s="290"/>
      <c r="H102" s="290"/>
      <c r="I102" s="290"/>
      <c r="J102" s="290"/>
      <c r="K102" s="290"/>
      <c r="L102" s="290"/>
      <c r="M102" s="290"/>
      <c r="N102" s="290"/>
      <c r="O102" s="290"/>
      <c r="P102" s="290"/>
      <c r="Q102" s="290"/>
      <c r="R102" s="290"/>
      <c r="S102" s="290"/>
      <c r="T102" s="290"/>
      <c r="U102" s="290"/>
      <c r="V102" s="290"/>
      <c r="W102" s="290"/>
      <c r="X102" s="290"/>
      <c r="Y102" s="290"/>
      <c r="Z102" s="290"/>
      <c r="AA102" s="290"/>
      <c r="AB102" s="290"/>
      <c r="AC102" s="290"/>
      <c r="AD102" s="290"/>
      <c r="AE102" s="290"/>
      <c r="AF102" s="290"/>
      <c r="AG102" s="290"/>
      <c r="AH102" s="290"/>
      <c r="AI102" s="290"/>
      <c r="AJ102" s="290"/>
      <c r="AK102" s="290"/>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19.33203125" hidden="1" customWidth="1"/>
    <col min="9" max="9" width="21.44140625" bestFit="1" customWidth="1"/>
    <col min="10" max="10" width="21.44140625" hidden="1" customWidth="1"/>
    <col min="11" max="12" width="19.33203125" hidden="1" customWidth="1"/>
    <col min="13" max="13" width="21.44140625" bestFit="1" customWidth="1"/>
    <col min="14" max="14" width="21.44140625" hidden="1" customWidth="1"/>
    <col min="15" max="16" width="19.33203125" hidden="1" customWidth="1"/>
    <col min="17" max="17" width="21.44140625" bestFit="1" customWidth="1"/>
    <col min="18" max="18" width="21.44140625" hidden="1" customWidth="1"/>
    <col min="19" max="20" width="19.33203125" hidden="1" customWidth="1"/>
    <col min="21" max="21" width="21.44140625" bestFit="1" customWidth="1"/>
    <col min="22" max="22" width="21.44140625" hidden="1" customWidth="1"/>
    <col min="23" max="24" width="19.33203125" hidden="1" customWidth="1"/>
    <col min="25" max="25" width="21.44140625" bestFit="1" customWidth="1"/>
    <col min="26" max="26" width="21.44140625" hidden="1" customWidth="1"/>
    <col min="27" max="28" width="19.33203125" hidden="1" customWidth="1"/>
    <col min="29" max="29" width="19.33203125" bestFit="1" customWidth="1"/>
    <col min="30" max="31" width="19.33203125" hidden="1" customWidth="1"/>
    <col min="32" max="32" width="17.77734375" hidden="1" customWidth="1"/>
    <col min="33" max="33" width="21.44140625" bestFit="1" customWidth="1"/>
    <col min="34" max="34" width="21.44140625" hidden="1" customWidth="1"/>
    <col min="35" max="35" width="19.33203125" hidden="1" customWidth="1"/>
    <col min="36" max="36" width="19" hidden="1" customWidth="1"/>
    <col min="37" max="37" width="19.33203125" bestFit="1" customWidth="1"/>
    <col min="38" max="39" width="19.33203125" hidden="1" customWidth="1"/>
    <col min="40" max="40" width="19"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9" hidden="1" customWidth="1"/>
    <col min="49" max="49" width="19.33203125" bestFit="1" customWidth="1"/>
    <col min="50" max="51" width="19.33203125" hidden="1" customWidth="1"/>
    <col min="52" max="52" width="17.77734375" hidden="1" customWidth="1"/>
    <col min="53" max="53" width="19.33203125" bestFit="1" customWidth="1"/>
    <col min="54" max="54" width="19.33203125" hidden="1" customWidth="1"/>
    <col min="55" max="55" width="19" hidden="1" customWidth="1"/>
    <col min="56" max="56" width="17.77734375" hidden="1" customWidth="1"/>
    <col min="57" max="57" width="19.33203125" bestFit="1" customWidth="1"/>
    <col min="58" max="58" width="19.33203125" hidden="1" customWidth="1"/>
    <col min="59" max="60" width="19" hidden="1" customWidth="1"/>
    <col min="61" max="61" width="19.33203125" bestFit="1" customWidth="1"/>
    <col min="62" max="64" width="19" hidden="1" customWidth="1"/>
    <col min="65" max="65" width="19" bestFit="1" customWidth="1"/>
    <col min="66" max="66" width="19" hidden="1" customWidth="1"/>
    <col min="67" max="68" width="17.21875" hidden="1" customWidth="1"/>
    <col min="69" max="69" width="11.664062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7029230708.5799999</v>
      </c>
      <c r="F2" s="26">
        <f>现金流量表!F4</f>
        <v>4715182016.2399998</v>
      </c>
      <c r="G2" s="26">
        <f>现金流量表!G4</f>
        <v>3790812156.7399998</v>
      </c>
      <c r="H2" s="26">
        <f>现金流量表!H4</f>
        <v>1427502353.99</v>
      </c>
      <c r="I2" s="26">
        <f>现金流量表!I4</f>
        <v>6260336625.1099997</v>
      </c>
      <c r="J2" s="26">
        <f>现金流量表!J4</f>
        <v>4398519488.8999996</v>
      </c>
      <c r="K2" s="26">
        <f>现金流量表!K4</f>
        <v>3105419322.5900002</v>
      </c>
      <c r="L2" s="26">
        <f>现金流量表!L4</f>
        <v>1169156787.8</v>
      </c>
      <c r="M2" s="26">
        <f>现金流量表!M4</f>
        <v>5880646332.3500004</v>
      </c>
      <c r="N2" s="26">
        <f>现金流量表!N4</f>
        <v>4183998348.0799999</v>
      </c>
      <c r="O2" s="26">
        <f>现金流量表!O4</f>
        <v>3034521738.8899999</v>
      </c>
      <c r="P2" s="26">
        <f>现金流量表!P4</f>
        <v>1136842589.3499999</v>
      </c>
      <c r="Q2" s="26">
        <f>现金流量表!Q4</f>
        <v>5804854455.4399996</v>
      </c>
      <c r="R2" s="26">
        <f>现金流量表!R4</f>
        <v>3967893767.79</v>
      </c>
      <c r="S2" s="26">
        <f>现金流量表!S4</f>
        <v>2639611629.7600002</v>
      </c>
      <c r="T2" s="26">
        <f>现金流量表!T4</f>
        <v>1053263138.72</v>
      </c>
      <c r="U2" s="26">
        <f>现金流量表!U4</f>
        <v>5450411411.21</v>
      </c>
      <c r="V2" s="26">
        <f>现金流量表!V4</f>
        <v>3841975921.4400001</v>
      </c>
      <c r="W2" s="26">
        <f>现金流量表!W4</f>
        <v>2623965119.3600001</v>
      </c>
      <c r="X2" s="26">
        <f>现金流量表!X4</f>
        <v>986263766.64999998</v>
      </c>
      <c r="Y2" s="26">
        <f>现金流量表!Y4</f>
        <v>4764511540.46</v>
      </c>
      <c r="Z2" s="26">
        <f>现金流量表!Z4</f>
        <v>3574576602.6399999</v>
      </c>
      <c r="AA2" s="26">
        <f>现金流量表!AA4</f>
        <v>2389596853.48</v>
      </c>
      <c r="AB2" s="26">
        <f>现金流量表!AB4</f>
        <v>943985409.41999996</v>
      </c>
      <c r="AC2" s="26">
        <f>现金流量表!AC4</f>
        <v>4208520955.9299998</v>
      </c>
      <c r="AD2" s="26">
        <f>现金流量表!AD4</f>
        <v>2933914184.46</v>
      </c>
      <c r="AE2" s="26">
        <f>现金流量表!AE4</f>
        <v>1934560081.8</v>
      </c>
      <c r="AF2" s="26">
        <f>现金流量表!AF4</f>
        <v>816087556.67999995</v>
      </c>
      <c r="AG2" s="26">
        <f>现金流量表!AG4</f>
        <v>4059509993.1100001</v>
      </c>
      <c r="AH2" s="26">
        <f>现金流量表!AH4</f>
        <v>3110527481.6799998</v>
      </c>
      <c r="AI2" s="26">
        <f>现金流量表!AI4</f>
        <v>1836845159.1900001</v>
      </c>
      <c r="AJ2" s="26">
        <f>现金流量表!AJ4</f>
        <v>802230754.64999998</v>
      </c>
      <c r="AK2" s="26">
        <f>现金流量表!AK4</f>
        <v>3203297230.4000001</v>
      </c>
      <c r="AL2" s="26">
        <f>现金流量表!AL4</f>
        <v>2212156675.0999999</v>
      </c>
      <c r="AM2" s="26">
        <f>现金流量表!AM4</f>
        <v>1407964880.26</v>
      </c>
      <c r="AN2" s="26">
        <f>现金流量表!AN4</f>
        <v>614599246.90999997</v>
      </c>
      <c r="AO2" s="26">
        <f>现金流量表!AO4</f>
        <v>2881747433.27</v>
      </c>
      <c r="AP2" s="26">
        <f>现金流量表!AP4</f>
        <v>1910389033</v>
      </c>
      <c r="AQ2" s="26">
        <f>现金流量表!AQ4</f>
        <v>1211026390.8599999</v>
      </c>
      <c r="AR2" s="26">
        <f>现金流量表!AR4</f>
        <v>584478223.75</v>
      </c>
      <c r="AS2" s="26">
        <f>现金流量表!AS4</f>
        <v>2816124417.9400001</v>
      </c>
      <c r="AT2" s="26">
        <f>现金流量表!AT4</f>
        <v>2118946847.98</v>
      </c>
      <c r="AU2" s="26">
        <f>现金流量表!AU4</f>
        <v>1198379204.76</v>
      </c>
      <c r="AV2" s="26">
        <f>现金流量表!AV4</f>
        <v>541363650.22000003</v>
      </c>
      <c r="AW2" s="26">
        <f>现金流量表!AW4</f>
        <v>2706181816.02</v>
      </c>
      <c r="AX2" s="26">
        <f>现金流量表!AX4</f>
        <v>1687642501.01</v>
      </c>
      <c r="AY2" s="26">
        <f>现金流量表!AY4</f>
        <v>1153450640.8800001</v>
      </c>
      <c r="AZ2" s="26">
        <f>现金流量表!AZ4</f>
        <v>526804356.55000001</v>
      </c>
      <c r="BA2" s="26">
        <f>现金流量表!BA4</f>
        <v>1744977492.04</v>
      </c>
      <c r="BB2" s="26">
        <f>现金流量表!BB4</f>
        <v>1335199097.3900001</v>
      </c>
      <c r="BC2" s="26">
        <f>现金流量表!BC4</f>
        <v>678861702.76999998</v>
      </c>
      <c r="BD2" s="26">
        <f>现金流量表!BD4</f>
        <v>313972736.26999998</v>
      </c>
      <c r="BE2" s="26">
        <f>现金流量表!BE4</f>
        <v>1291210398.6300001</v>
      </c>
      <c r="BF2" s="26">
        <f>现金流量表!BF4</f>
        <v>951130490.48000002</v>
      </c>
      <c r="BG2" s="26">
        <f>现金流量表!BG4</f>
        <v>706769181.01999998</v>
      </c>
      <c r="BH2" s="26">
        <f>现金流量表!BH4</f>
        <v>274425034.69999999</v>
      </c>
      <c r="BI2" s="26">
        <f>现金流量表!BI4</f>
        <v>952285720.61000001</v>
      </c>
      <c r="BJ2" s="26">
        <f>现金流量表!BJ4</f>
        <v>709574550.54999995</v>
      </c>
      <c r="BK2" s="26">
        <f>现金流量表!BK4</f>
        <v>421242492.20999998</v>
      </c>
      <c r="BL2" s="26">
        <f>现金流量表!BL4</f>
        <v>329966569.63</v>
      </c>
      <c r="BM2" s="26">
        <f>现金流量表!BM4</f>
        <v>834657884.22000003</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6761550874.3699999</v>
      </c>
      <c r="F3" s="26">
        <f>利润表!F3</f>
        <v>4918489181.8699999</v>
      </c>
      <c r="G3" s="26">
        <f>利润表!G3</f>
        <v>3213661518.3800001</v>
      </c>
      <c r="H3" s="26">
        <f>利润表!H3</f>
        <v>1583747526.6900001</v>
      </c>
      <c r="I3" s="26">
        <f>利润表!I3</f>
        <v>6166683056.1199999</v>
      </c>
      <c r="J3" s="26">
        <f>利润表!J3</f>
        <v>4534592334.7799997</v>
      </c>
      <c r="K3" s="26">
        <f>利润表!K3</f>
        <v>2984650287.6599998</v>
      </c>
      <c r="L3" s="26">
        <f>利润表!L3</f>
        <v>1442696919.48</v>
      </c>
      <c r="M3" s="26">
        <f>利润表!M3</f>
        <v>5619735354.2299995</v>
      </c>
      <c r="N3" s="26">
        <f>利润表!N3</f>
        <v>4196487790.0300002</v>
      </c>
      <c r="O3" s="26">
        <f>利润表!O3</f>
        <v>2773932728.75</v>
      </c>
      <c r="P3" s="26">
        <f>利润表!P3</f>
        <v>1389542513.23</v>
      </c>
      <c r="Q3" s="26">
        <f>利润表!Q3</f>
        <v>5527678576.3100004</v>
      </c>
      <c r="R3" s="26">
        <f>利润表!R3</f>
        <v>4079988837.6900001</v>
      </c>
      <c r="S3" s="26">
        <f>利润表!S3</f>
        <v>2681437778.79</v>
      </c>
      <c r="T3" s="26">
        <f>利润表!T3</f>
        <v>1288196061.04</v>
      </c>
      <c r="U3" s="26">
        <f>利润表!U3</f>
        <v>5141313419.2600002</v>
      </c>
      <c r="V3" s="26">
        <f>利润表!V3</f>
        <v>3796730790.04</v>
      </c>
      <c r="W3" s="26">
        <f>利润表!W3</f>
        <v>2462324707.5300002</v>
      </c>
      <c r="X3" s="26">
        <f>利润表!X3</f>
        <v>1184294457.5799999</v>
      </c>
      <c r="Y3" s="26">
        <f>利润表!Y3</f>
        <v>4673315397</v>
      </c>
      <c r="Z3" s="26">
        <f>利润表!Z3</f>
        <v>3460081754.52</v>
      </c>
      <c r="AA3" s="26">
        <f>利润表!AA3</f>
        <v>2289404113.9400001</v>
      </c>
      <c r="AB3" s="26">
        <f>利润表!AB3</f>
        <v>1111786173.6600001</v>
      </c>
      <c r="AC3" s="26">
        <f>利润表!AC3</f>
        <v>4239351634.9299998</v>
      </c>
      <c r="AD3" s="26">
        <f>利润表!AD3</f>
        <v>3105533447.9099998</v>
      </c>
      <c r="AE3" s="26">
        <f>利润表!AE3</f>
        <v>2028306165.1800001</v>
      </c>
      <c r="AF3" s="26">
        <f>利润表!AF3</f>
        <v>986571753.74000001</v>
      </c>
      <c r="AG3" s="26">
        <f>利润表!AG3</f>
        <v>3865479479.1999998</v>
      </c>
      <c r="AH3" s="26">
        <f>利润表!AH3</f>
        <v>2735574710.4200001</v>
      </c>
      <c r="AI3" s="26">
        <f>利润表!AI3</f>
        <v>1772855408.4400001</v>
      </c>
      <c r="AJ3" s="26">
        <f>利润表!AJ3</f>
        <v>866730658.66999996</v>
      </c>
      <c r="AK3" s="26">
        <f>利润表!AK3</f>
        <v>3306089482.5799999</v>
      </c>
      <c r="AL3" s="26">
        <f>利润表!AL3</f>
        <v>2349252600.0599999</v>
      </c>
      <c r="AM3" s="26">
        <f>利润表!AM3</f>
        <v>1549833425.46</v>
      </c>
      <c r="AN3" s="26">
        <f>利润表!AN3</f>
        <v>768414498.45000005</v>
      </c>
      <c r="AO3" s="26">
        <f>利润表!AO3</f>
        <v>3049701649.1599998</v>
      </c>
      <c r="AP3" s="26">
        <f>利润表!AP3</f>
        <v>2265222000.3400002</v>
      </c>
      <c r="AQ3" s="26">
        <f>利润表!AQ3</f>
        <v>1511455848.98</v>
      </c>
      <c r="AR3" s="26">
        <f>利润表!AR3</f>
        <v>754796835.00999999</v>
      </c>
      <c r="AS3" s="26">
        <f>利润表!AS3</f>
        <v>2683440041.75</v>
      </c>
      <c r="AT3" s="26">
        <f>利润表!AT3</f>
        <v>1953381247.0799999</v>
      </c>
      <c r="AU3" s="26">
        <f>利润表!AU3</f>
        <v>1274734794.4300001</v>
      </c>
      <c r="AV3" s="26">
        <f>利润表!AV3</f>
        <v>621061130.22000003</v>
      </c>
      <c r="AW3" s="26">
        <f>利润表!AW3</f>
        <v>2409797561.5500002</v>
      </c>
      <c r="AX3" s="26">
        <f>利润表!AX3</f>
        <v>1782559040.05</v>
      </c>
      <c r="AY3" s="26">
        <f>利润表!AY3</f>
        <v>1187910368.9100001</v>
      </c>
      <c r="AZ3" s="26">
        <f>利润表!AZ3</f>
        <v>589704365.50999999</v>
      </c>
      <c r="BA3" s="26">
        <f>利润表!BA3</f>
        <v>2149308234.9299998</v>
      </c>
      <c r="BB3" s="26">
        <f>利润表!BB3</f>
        <v>1520411535.9000001</v>
      </c>
      <c r="BC3" s="26">
        <f>利润表!BC3</f>
        <v>979579514.60000002</v>
      </c>
      <c r="BD3" s="26">
        <f>利润表!BD3</f>
        <v>446053032.56999999</v>
      </c>
      <c r="BE3" s="26">
        <f>利润表!BE3</f>
        <v>1540782654.2</v>
      </c>
      <c r="BF3" s="26">
        <f>利润表!BF3</f>
        <v>1093635054.0999999</v>
      </c>
      <c r="BG3" s="26">
        <f>利润表!BG3</f>
        <v>714288559.48000002</v>
      </c>
      <c r="BH3" s="26">
        <f>利润表!BH3</f>
        <v>349186247.05000001</v>
      </c>
      <c r="BI3" s="26">
        <f>利润表!BI3</f>
        <v>1074704071.1199999</v>
      </c>
      <c r="BJ3" s="26">
        <f>利润表!BJ3</f>
        <v>707547899.46000004</v>
      </c>
      <c r="BK3" s="26">
        <f>利润表!BK3</f>
        <v>403001804.17000002</v>
      </c>
      <c r="BL3" s="26">
        <f>利润表!BL3</f>
        <v>251104992.19</v>
      </c>
      <c r="BM3" s="26">
        <f>利润表!BM3</f>
        <v>953267504.29999995</v>
      </c>
      <c r="BN3" s="26">
        <f>利润表!BN3</f>
        <v>438115290.63</v>
      </c>
      <c r="BO3" s="26">
        <f>利润表!BO3</f>
        <v>851587747.67999995</v>
      </c>
      <c r="BP3" s="26">
        <f>利润表!BP3</f>
        <v>783349967.97000003</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0.88853720191413921</v>
      </c>
      <c r="F5" s="28">
        <f t="shared" ref="F5:BQ5" si="2">(F2/(1+F4))/F3</f>
        <v>0.81937154893125186</v>
      </c>
      <c r="G5" s="28">
        <f t="shared" si="2"/>
        <v>1.0081990190458361</v>
      </c>
      <c r="H5" s="28">
        <f t="shared" si="2"/>
        <v>0.77038003941997812</v>
      </c>
      <c r="I5" s="28">
        <f t="shared" si="2"/>
        <v>0.86768121784471663</v>
      </c>
      <c r="J5" s="28">
        <f t="shared" si="2"/>
        <v>0.82905321780454788</v>
      </c>
      <c r="K5" s="28">
        <f t="shared" si="2"/>
        <v>0.88928493907510664</v>
      </c>
      <c r="L5" s="28">
        <f t="shared" si="2"/>
        <v>0.69264673149239286</v>
      </c>
      <c r="M5" s="28">
        <f t="shared" si="2"/>
        <v>0.89438258737037402</v>
      </c>
      <c r="N5" s="28">
        <f t="shared" si="2"/>
        <v>0.85215712355149631</v>
      </c>
      <c r="O5" s="28">
        <f t="shared" si="2"/>
        <v>0.93499323071412355</v>
      </c>
      <c r="P5" s="28">
        <f t="shared" si="2"/>
        <v>0.69926635819090377</v>
      </c>
      <c r="Q5" s="28">
        <f t="shared" si="2"/>
        <v>0.89755835039717924</v>
      </c>
      <c r="R5" s="28">
        <f t="shared" si="2"/>
        <v>0.83121849828697636</v>
      </c>
      <c r="S5" s="28">
        <f t="shared" si="2"/>
        <v>0.84136888570737023</v>
      </c>
      <c r="T5" s="28">
        <f t="shared" si="2"/>
        <v>0.69882600336637413</v>
      </c>
      <c r="U5" s="28">
        <f t="shared" si="2"/>
        <v>0.90608584066889697</v>
      </c>
      <c r="V5" s="28">
        <f t="shared" si="2"/>
        <v>0.86488621010716338</v>
      </c>
      <c r="W5" s="28">
        <f t="shared" si="2"/>
        <v>0.91080807635314598</v>
      </c>
      <c r="X5" s="28">
        <f t="shared" si="2"/>
        <v>0.71178285005129038</v>
      </c>
      <c r="Y5" s="28">
        <f t="shared" si="2"/>
        <v>0.87137968228666685</v>
      </c>
      <c r="Z5" s="28">
        <f t="shared" si="2"/>
        <v>0.88298308948307425</v>
      </c>
      <c r="AA5" s="28">
        <f t="shared" si="2"/>
        <v>0.89210570585764026</v>
      </c>
      <c r="AB5" s="28">
        <f t="shared" si="2"/>
        <v>0.72570171798444105</v>
      </c>
      <c r="AC5" s="28">
        <f t="shared" si="2"/>
        <v>0.84848504389733725</v>
      </c>
      <c r="AD5" s="28">
        <f t="shared" si="2"/>
        <v>0.80746802542556151</v>
      </c>
      <c r="AE5" s="28">
        <f t="shared" si="2"/>
        <v>0.81519751986647426</v>
      </c>
      <c r="AF5" s="28">
        <f t="shared" si="2"/>
        <v>0.70700456359198516</v>
      </c>
      <c r="AG5" s="28">
        <f t="shared" si="2"/>
        <v>0.89760317690157831</v>
      </c>
      <c r="AH5" s="28">
        <f t="shared" si="2"/>
        <v>0.97185080964365822</v>
      </c>
      <c r="AI5" s="28">
        <f t="shared" si="2"/>
        <v>0.88555057566385498</v>
      </c>
      <c r="AJ5" s="28">
        <f t="shared" si="2"/>
        <v>0.79109617827391121</v>
      </c>
      <c r="AK5" s="28">
        <f t="shared" si="2"/>
        <v>0.82812667204252266</v>
      </c>
      <c r="AL5" s="28">
        <f t="shared" si="2"/>
        <v>0.80482286191441554</v>
      </c>
      <c r="AM5" s="28">
        <f t="shared" si="2"/>
        <v>0.77646330681623765</v>
      </c>
      <c r="AN5" s="28">
        <f t="shared" si="2"/>
        <v>0.68361346993332306</v>
      </c>
      <c r="AO5" s="28">
        <f t="shared" si="2"/>
        <v>0.80763047589467418</v>
      </c>
      <c r="AP5" s="28">
        <f t="shared" si="2"/>
        <v>0.72081727047996236</v>
      </c>
      <c r="AQ5" s="28">
        <f t="shared" si="2"/>
        <v>0.68481344792958587</v>
      </c>
      <c r="AR5" s="28">
        <f t="shared" si="2"/>
        <v>0.66183907274405041</v>
      </c>
      <c r="AS5" s="28">
        <f t="shared" si="2"/>
        <v>0.89696207461657373</v>
      </c>
      <c r="AT5" s="28">
        <f t="shared" si="2"/>
        <v>0.9271439892962261</v>
      </c>
      <c r="AU5" s="28">
        <f t="shared" si="2"/>
        <v>0.80350496043539821</v>
      </c>
      <c r="AV5" s="28">
        <f t="shared" si="2"/>
        <v>0.7450216283590374</v>
      </c>
      <c r="AW5" s="28">
        <f t="shared" si="2"/>
        <v>0.95982166636457278</v>
      </c>
      <c r="AX5" s="28">
        <f t="shared" si="2"/>
        <v>0.80919030205152453</v>
      </c>
      <c r="AY5" s="28">
        <f t="shared" si="2"/>
        <v>0.82990709940513729</v>
      </c>
      <c r="AZ5" s="28">
        <f t="shared" si="2"/>
        <v>0.76353535794841165</v>
      </c>
      <c r="BA5" s="28">
        <f t="shared" si="2"/>
        <v>0.69391338554514781</v>
      </c>
      <c r="BB5" s="28">
        <f t="shared" si="2"/>
        <v>0.75058349847333772</v>
      </c>
      <c r="BC5" s="28">
        <f t="shared" si="2"/>
        <v>0.59231912155505229</v>
      </c>
      <c r="BD5" s="28">
        <f t="shared" si="2"/>
        <v>0.60161627978758758</v>
      </c>
      <c r="BE5" s="28">
        <f t="shared" si="2"/>
        <v>0.71625847312040214</v>
      </c>
      <c r="BF5" s="28">
        <f t="shared" si="2"/>
        <v>0.74333027283429254</v>
      </c>
      <c r="BG5" s="28">
        <f t="shared" si="2"/>
        <v>0.84570334366517486</v>
      </c>
      <c r="BH5" s="28">
        <f t="shared" si="2"/>
        <v>0.67170833241841943</v>
      </c>
      <c r="BI5" s="28">
        <f t="shared" si="2"/>
        <v>0.75734282692030985</v>
      </c>
      <c r="BJ5" s="28">
        <f t="shared" si="2"/>
        <v>0.8571490005014788</v>
      </c>
      <c r="BK5" s="28">
        <f t="shared" si="2"/>
        <v>0.893386368008242</v>
      </c>
      <c r="BL5" s="28">
        <f t="shared" si="2"/>
        <v>1.1231266516281604</v>
      </c>
      <c r="BM5" s="28">
        <f t="shared" si="2"/>
        <v>0.74835531874076611</v>
      </c>
      <c r="BN5" s="28">
        <f t="shared" si="2"/>
        <v>0</v>
      </c>
      <c r="BO5" s="28">
        <f t="shared" si="2"/>
        <v>0</v>
      </c>
      <c r="BP5" s="28">
        <f t="shared" si="2"/>
        <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1857078960.4200001</v>
      </c>
      <c r="F6" s="26">
        <f>现金流量表!F8</f>
        <v>1219479815.6600001</v>
      </c>
      <c r="G6" s="26">
        <f>现金流量表!G8</f>
        <v>844553167.47000003</v>
      </c>
      <c r="H6" s="26">
        <f>现金流量表!H8</f>
        <v>466667351.06999999</v>
      </c>
      <c r="I6" s="26">
        <f>现金流量表!I8</f>
        <v>1671800500.5799999</v>
      </c>
      <c r="J6" s="26">
        <f>现金流量表!J8</f>
        <v>1203998042.3</v>
      </c>
      <c r="K6" s="26">
        <f>现金流量表!K8</f>
        <v>818185077.20000005</v>
      </c>
      <c r="L6" s="26">
        <f>现金流量表!L8</f>
        <v>450909493.82999998</v>
      </c>
      <c r="M6" s="26">
        <f>现金流量表!M8</f>
        <v>1405719517.2</v>
      </c>
      <c r="N6" s="26">
        <f>现金流量表!N8</f>
        <v>1127880921.3599999</v>
      </c>
      <c r="O6" s="26">
        <f>现金流量表!O8</f>
        <v>730180150.47000003</v>
      </c>
      <c r="P6" s="26">
        <f>现金流量表!P8</f>
        <v>321888499.16000003</v>
      </c>
      <c r="Q6" s="26">
        <f>现金流量表!Q8</f>
        <v>1312132076.8299999</v>
      </c>
      <c r="R6" s="26">
        <f>现金流量表!R8</f>
        <v>1106687192.29</v>
      </c>
      <c r="S6" s="26">
        <f>现金流量表!S8</f>
        <v>709428820.03999996</v>
      </c>
      <c r="T6" s="26">
        <f>现金流量表!T8</f>
        <v>333649909</v>
      </c>
      <c r="U6" s="26">
        <f>现金流量表!U8</f>
        <v>1241180395.8499999</v>
      </c>
      <c r="V6" s="26">
        <f>现金流量表!V8</f>
        <v>922489266.64999998</v>
      </c>
      <c r="W6" s="26">
        <f>现金流量表!W8</f>
        <v>636466577.73000002</v>
      </c>
      <c r="X6" s="26">
        <f>现金流量表!X8</f>
        <v>254485814.84999999</v>
      </c>
      <c r="Y6" s="26">
        <f>现金流量表!Y8</f>
        <v>988278326.88</v>
      </c>
      <c r="Z6" s="26">
        <f>现金流量表!Z8</f>
        <v>925813333.74000001</v>
      </c>
      <c r="AA6" s="26">
        <f>现金流量表!AA8</f>
        <v>540976082.16999996</v>
      </c>
      <c r="AB6" s="26">
        <f>现金流量表!AB8</f>
        <v>203965122.03999999</v>
      </c>
      <c r="AC6" s="26">
        <f>现金流量表!AC8</f>
        <v>1080771340.3699999</v>
      </c>
      <c r="AD6" s="26">
        <f>现金流量表!AD8</f>
        <v>789151223.75999999</v>
      </c>
      <c r="AE6" s="26">
        <f>现金流量表!AE8</f>
        <v>518781923.56999999</v>
      </c>
      <c r="AF6" s="26">
        <f>现金流量表!AF8</f>
        <v>247539446.50999999</v>
      </c>
      <c r="AG6" s="26">
        <f>现金流量表!AG8</f>
        <v>861619540.16999996</v>
      </c>
      <c r="AH6" s="26">
        <f>现金流量表!AH8</f>
        <v>530456217.83999997</v>
      </c>
      <c r="AI6" s="26">
        <f>现金流量表!AI8</f>
        <v>387494281.66000003</v>
      </c>
      <c r="AJ6" s="26">
        <f>现金流量表!AJ8</f>
        <v>193719791.72999999</v>
      </c>
      <c r="AK6" s="26">
        <f>现金流量表!AK8</f>
        <v>625794097.24000001</v>
      </c>
      <c r="AL6" s="26">
        <f>现金流量表!AL8</f>
        <v>637608561.52999997</v>
      </c>
      <c r="AM6" s="26">
        <f>现金流量表!AM8</f>
        <v>283793028.91000003</v>
      </c>
      <c r="AN6" s="26">
        <f>现金流量表!AN8</f>
        <v>151018096.34</v>
      </c>
      <c r="AO6" s="26">
        <f>现金流量表!AO8</f>
        <v>617234738.15999997</v>
      </c>
      <c r="AP6" s="26">
        <f>现金流量表!AP8</f>
        <v>326271784.36000001</v>
      </c>
      <c r="AQ6" s="26">
        <f>现金流量表!AQ8</f>
        <v>204361430</v>
      </c>
      <c r="AR6" s="26">
        <f>现金流量表!AR8</f>
        <v>157138013.19</v>
      </c>
      <c r="AS6" s="26">
        <f>现金流量表!AS8</f>
        <v>566170896.11000001</v>
      </c>
      <c r="AT6" s="26">
        <f>现金流量表!AT8</f>
        <v>277003226.93000001</v>
      </c>
      <c r="AU6" s="26">
        <f>现金流量表!AU8</f>
        <v>239275765.80000001</v>
      </c>
      <c r="AV6" s="26">
        <f>现金流量表!AV8</f>
        <v>111572632.72</v>
      </c>
      <c r="AW6" s="26">
        <f>现金流量表!AW8</f>
        <v>635848315.63</v>
      </c>
      <c r="AX6" s="26">
        <f>现金流量表!AX8</f>
        <v>344396955.37</v>
      </c>
      <c r="AY6" s="26">
        <f>现金流量表!AY8</f>
        <v>248782103</v>
      </c>
      <c r="AZ6" s="26">
        <f>现金流量表!AZ8</f>
        <v>127508787.73999999</v>
      </c>
      <c r="BA6" s="26">
        <f>现金流量表!BA8</f>
        <v>390692149.77999997</v>
      </c>
      <c r="BB6" s="26">
        <f>现金流量表!BB8</f>
        <v>315344535.75999999</v>
      </c>
      <c r="BC6" s="26">
        <f>现金流量表!BC8</f>
        <v>187862185.24000001</v>
      </c>
      <c r="BD6" s="26">
        <f>现金流量表!BD8</f>
        <v>82458809.390000001</v>
      </c>
      <c r="BE6" s="26">
        <f>现金流量表!BE8</f>
        <v>305358830.06</v>
      </c>
      <c r="BF6" s="26">
        <f>现金流量表!BF8</f>
        <v>240198401.34</v>
      </c>
      <c r="BG6" s="26">
        <f>现金流量表!BG8</f>
        <v>149749110.90000001</v>
      </c>
      <c r="BH6" s="26">
        <f>现金流量表!BH8</f>
        <v>69674307.909999996</v>
      </c>
      <c r="BI6" s="26">
        <f>现金流量表!BI8</f>
        <v>249691303.58000001</v>
      </c>
      <c r="BJ6" s="26">
        <f>现金流量表!BJ8</f>
        <v>137993335.81999999</v>
      </c>
      <c r="BK6" s="26">
        <f>现金流量表!BK8</f>
        <v>83903547.859999999</v>
      </c>
      <c r="BL6" s="26">
        <f>现金流量表!BL8</f>
        <v>90260441.670000002</v>
      </c>
      <c r="BM6" s="26">
        <f>现金流量表!BM8</f>
        <v>233403275.22999999</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2234283118.1500001</v>
      </c>
      <c r="F7" s="26">
        <f>现金流量表!F9</f>
        <v>1308161410.46</v>
      </c>
      <c r="G7" s="26">
        <f>现金流量表!G9</f>
        <v>962170247.53999996</v>
      </c>
      <c r="H7" s="26">
        <f>现金流量表!H9</f>
        <v>409709267.54000002</v>
      </c>
      <c r="I7" s="26">
        <f>现金流量表!I9</f>
        <v>2042518276.95</v>
      </c>
      <c r="J7" s="26">
        <f>现金流量表!J9</f>
        <v>1281291601.27</v>
      </c>
      <c r="K7" s="26">
        <f>现金流量表!K9</f>
        <v>910265331.5</v>
      </c>
      <c r="L7" s="26">
        <f>现金流量表!L9</f>
        <v>437397520.60000002</v>
      </c>
      <c r="M7" s="26">
        <f>现金流量表!M9</f>
        <v>1919347958.8299999</v>
      </c>
      <c r="N7" s="26">
        <f>现金流量表!N9</f>
        <v>1228553937.5999999</v>
      </c>
      <c r="O7" s="26">
        <f>现金流量表!O9</f>
        <v>836934004.44000006</v>
      </c>
      <c r="P7" s="26">
        <f>现金流量表!P9</f>
        <v>405515350.81</v>
      </c>
      <c r="Q7" s="26">
        <f>现金流量表!Q9</f>
        <v>1703017071.3900001</v>
      </c>
      <c r="R7" s="26">
        <f>现金流量表!R9</f>
        <v>1233575920.04</v>
      </c>
      <c r="S7" s="26">
        <f>现金流量表!S9</f>
        <v>761729090.63999999</v>
      </c>
      <c r="T7" s="26">
        <f>现金流量表!T9</f>
        <v>411911623.63</v>
      </c>
      <c r="U7" s="26">
        <f>现金流量表!U9</f>
        <v>1581717785.48</v>
      </c>
      <c r="V7" s="26">
        <f>现金流量表!V9</f>
        <v>995604126.85000002</v>
      </c>
      <c r="W7" s="26">
        <f>现金流量表!W9</f>
        <v>704223452.83000004</v>
      </c>
      <c r="X7" s="26">
        <f>现金流量表!X9</f>
        <v>335833447.93000001</v>
      </c>
      <c r="Y7" s="26">
        <f>现金流量表!Y9</f>
        <v>1348056880.5599999</v>
      </c>
      <c r="Z7" s="26">
        <f>现金流量表!Z9</f>
        <v>930856968.38999999</v>
      </c>
      <c r="AA7" s="26">
        <f>现金流量表!AA9</f>
        <v>628217914.58000004</v>
      </c>
      <c r="AB7" s="26">
        <f>现金流量表!AB9</f>
        <v>308259256.44999999</v>
      </c>
      <c r="AC7" s="26">
        <f>现金流量表!AC9</f>
        <v>1248008345.24</v>
      </c>
      <c r="AD7" s="26">
        <f>现金流量表!AD9</f>
        <v>853453947.42999995</v>
      </c>
      <c r="AE7" s="26">
        <f>现金流量表!AE9</f>
        <v>582516904.72000003</v>
      </c>
      <c r="AF7" s="26">
        <f>现金流量表!AF9</f>
        <v>299094837.64999998</v>
      </c>
      <c r="AG7" s="26">
        <f>现金流量表!AG9</f>
        <v>1104257677.8699999</v>
      </c>
      <c r="AH7" s="26">
        <f>现金流量表!AH9</f>
        <v>700617567.50999999</v>
      </c>
      <c r="AI7" s="26">
        <f>现金流量表!AI9</f>
        <v>481144948.43000001</v>
      </c>
      <c r="AJ7" s="26">
        <f>现金流量表!AJ9</f>
        <v>228871812.38</v>
      </c>
      <c r="AK7" s="26">
        <f>现金流量表!AK9</f>
        <v>990315327.80999994</v>
      </c>
      <c r="AL7" s="26">
        <f>现金流量表!AL9</f>
        <v>634877571.98000002</v>
      </c>
      <c r="AM7" s="26">
        <f>现金流量表!AM9</f>
        <v>441327623.58999997</v>
      </c>
      <c r="AN7" s="26">
        <f>现金流量表!AN9</f>
        <v>201182100.83000001</v>
      </c>
      <c r="AO7" s="26">
        <f>现金流量表!AO9</f>
        <v>816255263.5</v>
      </c>
      <c r="AP7" s="26">
        <f>现金流量表!AP9</f>
        <v>483457809.72000003</v>
      </c>
      <c r="AQ7" s="26">
        <f>现金流量表!AQ9</f>
        <v>337890574.06999999</v>
      </c>
      <c r="AR7" s="26">
        <f>现金流量表!AR9</f>
        <v>184802965.16999999</v>
      </c>
      <c r="AS7" s="26">
        <f>现金流量表!AS9</f>
        <v>708636557.77999997</v>
      </c>
      <c r="AT7" s="26">
        <f>现金流量表!AT9</f>
        <v>397733325.35000002</v>
      </c>
      <c r="AU7" s="26">
        <f>现金流量表!AU9</f>
        <v>289641114.51999998</v>
      </c>
      <c r="AV7" s="26">
        <f>现金流量表!AV9</f>
        <v>145483670.72</v>
      </c>
      <c r="AW7" s="26">
        <f>现金流量表!AW9</f>
        <v>665075846.10000002</v>
      </c>
      <c r="AX7" s="26">
        <f>现金流量表!AX9</f>
        <v>353061338.12</v>
      </c>
      <c r="AY7" s="26">
        <f>现金流量表!AY9</f>
        <v>248287511.69999999</v>
      </c>
      <c r="AZ7" s="26">
        <f>现金流量表!AZ9</f>
        <v>133421835.53</v>
      </c>
      <c r="BA7" s="26">
        <f>现金流量表!BA9</f>
        <v>507697724.41000003</v>
      </c>
      <c r="BB7" s="26">
        <f>现金流量表!BB9</f>
        <v>279392779.06</v>
      </c>
      <c r="BC7" s="26">
        <f>现金流量表!BC9</f>
        <v>175507665.13999999</v>
      </c>
      <c r="BD7" s="26">
        <f>现金流量表!BD9</f>
        <v>109966285.3</v>
      </c>
      <c r="BE7" s="26">
        <f>现金流量表!BE9</f>
        <v>292267778.94999999</v>
      </c>
      <c r="BF7" s="26">
        <f>现金流量表!BF9</f>
        <v>232862208.21000001</v>
      </c>
      <c r="BG7" s="26">
        <f>现金流量表!BG9</f>
        <v>123482605.36</v>
      </c>
      <c r="BH7" s="26">
        <f>现金流量表!BH9</f>
        <v>54238408.710000001</v>
      </c>
      <c r="BI7" s="26">
        <f>现金流量表!BI9</f>
        <v>232404146.40000001</v>
      </c>
      <c r="BJ7" s="26">
        <f>现金流量表!BJ9</f>
        <v>128610098.27</v>
      </c>
      <c r="BK7" s="26">
        <f>现金流量表!BK9</f>
        <v>95167261.170000002</v>
      </c>
      <c r="BL7" s="26">
        <f>现金流量表!BL9</f>
        <v>52033189.939999998</v>
      </c>
      <c r="BM7" s="26">
        <f>现金流量表!BM9</f>
        <v>157541341.87</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491</v>
      </c>
      <c r="E8" s="58">
        <f>利润表!E6</f>
        <v>4018885671.1100001</v>
      </c>
      <c r="F8" s="58">
        <f>利润表!F6</f>
        <v>3002665926.9299998</v>
      </c>
      <c r="G8" s="58">
        <f>利润表!G6</f>
        <v>1945463196.1800001</v>
      </c>
      <c r="H8" s="58">
        <f>利润表!H6</f>
        <v>971224272.83000004</v>
      </c>
      <c r="I8" s="58">
        <f>利润表!I6</f>
        <v>3724036883.98</v>
      </c>
      <c r="J8" s="58">
        <f>利润表!J6</f>
        <v>2749765918.6599998</v>
      </c>
      <c r="K8" s="58">
        <f>利润表!K6</f>
        <v>1815901788.3</v>
      </c>
      <c r="L8" s="58">
        <f>利润表!L6</f>
        <v>867913057.74000001</v>
      </c>
      <c r="M8" s="58">
        <f>利润表!M6</f>
        <v>3366175400.3800001</v>
      </c>
      <c r="N8" s="58">
        <f>利润表!N6</f>
        <v>2517395939.8499999</v>
      </c>
      <c r="O8" s="58">
        <f>利润表!O6</f>
        <v>1668575136.21</v>
      </c>
      <c r="P8" s="58">
        <f>利润表!P6</f>
        <v>838067151.16999996</v>
      </c>
      <c r="Q8" s="58">
        <f>利润表!Q6</f>
        <v>3392685032.23</v>
      </c>
      <c r="R8" s="58">
        <f>利润表!R6</f>
        <v>2677452727.9299998</v>
      </c>
      <c r="S8" s="58">
        <f>利润表!S6</f>
        <v>1743613893.3199999</v>
      </c>
      <c r="T8" s="58">
        <f>利润表!T6</f>
        <v>824476872.63</v>
      </c>
      <c r="U8" s="58">
        <f>利润表!U6</f>
        <v>3261251903.25</v>
      </c>
      <c r="V8" s="58">
        <f>利润表!V6</f>
        <v>2498174227.54</v>
      </c>
      <c r="W8" s="58">
        <f>利润表!W6</f>
        <v>1592668691.73</v>
      </c>
      <c r="X8" s="58">
        <f>利润表!X6</f>
        <v>755928102.26999998</v>
      </c>
      <c r="Y8" s="58">
        <f>利润表!Y6</f>
        <v>2852876091.1100001</v>
      </c>
      <c r="Z8" s="58">
        <f>利润表!Z6</f>
        <v>2168564062.7800002</v>
      </c>
      <c r="AA8" s="58">
        <f>利润表!AA6</f>
        <v>1442906245.6199999</v>
      </c>
      <c r="AB8" s="58">
        <f>利润表!AB6</f>
        <v>699965846.80999994</v>
      </c>
      <c r="AC8" s="58">
        <f>利润表!AC6</f>
        <v>2654413969.4099998</v>
      </c>
      <c r="AD8" s="58">
        <f>利润表!AD6</f>
        <v>1917839834.2</v>
      </c>
      <c r="AE8" s="58">
        <f>利润表!AE6</f>
        <v>1256174881.8900001</v>
      </c>
      <c r="AF8" s="58">
        <f>利润表!AF6</f>
        <v>593893100.21000004</v>
      </c>
      <c r="AG8" s="58">
        <f>利润表!AG6</f>
        <v>2452525912.1199999</v>
      </c>
      <c r="AH8" s="58">
        <f>利润表!AH6</f>
        <v>1660920523.8699999</v>
      </c>
      <c r="AI8" s="58">
        <f>利润表!AI6</f>
        <v>1083542723.5899999</v>
      </c>
      <c r="AJ8" s="58">
        <f>利润表!AJ6</f>
        <v>506191413.54000002</v>
      </c>
      <c r="AK8" s="58">
        <f>利润表!AK6</f>
        <v>1899423599.27</v>
      </c>
      <c r="AL8" s="58">
        <f>利润表!AL6</f>
        <v>1352172928.6800001</v>
      </c>
      <c r="AM8" s="58">
        <f>利润表!AM6</f>
        <v>884672269.42999995</v>
      </c>
      <c r="AN8" s="58">
        <f>利润表!AN6</f>
        <v>460544269.88999999</v>
      </c>
      <c r="AO8" s="58">
        <f>利润表!AO6</f>
        <v>1763487215.6800001</v>
      </c>
      <c r="AP8" s="58">
        <f>利润表!AP6</f>
        <v>1279522189.3599999</v>
      </c>
      <c r="AQ8" s="58">
        <f>利润表!AQ6</f>
        <v>847681923.76999998</v>
      </c>
      <c r="AR8" s="58">
        <f>利润表!AR6</f>
        <v>411365648.81</v>
      </c>
      <c r="AS8" s="58">
        <f>利润表!AS6</f>
        <v>1428817493.7</v>
      </c>
      <c r="AT8" s="58">
        <f>利润表!AT6</f>
        <v>1011694595.3</v>
      </c>
      <c r="AU8" s="58">
        <f>利润表!AU6</f>
        <v>669408137.97000003</v>
      </c>
      <c r="AV8" s="58">
        <f>利润表!AV6</f>
        <v>319436716.14999998</v>
      </c>
      <c r="AW8" s="58">
        <f>利润表!AW6</f>
        <v>1261005099.5</v>
      </c>
      <c r="AX8" s="58">
        <f>利润表!AX6</f>
        <v>929014676.63999999</v>
      </c>
      <c r="AY8" s="58">
        <f>利润表!AY6</f>
        <v>634601482.57000005</v>
      </c>
      <c r="AZ8" s="58">
        <f>利润表!AZ6</f>
        <v>304009835.44</v>
      </c>
      <c r="BA8" s="58">
        <f>利润表!BA6</f>
        <v>1186017320.75</v>
      </c>
      <c r="BB8" s="58">
        <f>利润表!BB6</f>
        <v>809111428.25</v>
      </c>
      <c r="BC8" s="58">
        <f>利润表!BC6</f>
        <v>495517793.13999999</v>
      </c>
      <c r="BD8" s="58">
        <f>利润表!BD6</f>
        <v>223402857.93000001</v>
      </c>
      <c r="BE8" s="58">
        <f>利润表!BE6</f>
        <v>702627418.32000005</v>
      </c>
      <c r="BF8" s="58">
        <f>利润表!BF6</f>
        <v>425396369.06</v>
      </c>
      <c r="BG8" s="58">
        <f>利润表!BG6</f>
        <v>216560112.52000001</v>
      </c>
      <c r="BH8" s="58">
        <f>利润表!BH6</f>
        <v>103015076.8</v>
      </c>
      <c r="BI8" s="58">
        <f>利润表!BI6</f>
        <v>378786711.06999999</v>
      </c>
      <c r="BJ8" s="58">
        <f>利润表!BJ6</f>
        <v>253324099.94</v>
      </c>
      <c r="BK8" s="58">
        <f>利润表!BK6</f>
        <v>166822223.65000001</v>
      </c>
      <c r="BL8" s="58">
        <f>利润表!BL6</f>
        <v>87977754.920000002</v>
      </c>
      <c r="BM8" s="58">
        <f>利润表!BM6</f>
        <v>366154973.02999997</v>
      </c>
      <c r="BN8" s="58">
        <f>利润表!BN6</f>
        <v>166437524.66</v>
      </c>
      <c r="BO8" s="58">
        <f>利润表!BO6</f>
        <v>343845482.26999998</v>
      </c>
      <c r="BP8" s="58">
        <f>利润表!BP6</f>
        <v>313875163.81999999</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492</v>
      </c>
      <c r="E9" s="58">
        <f>利润表!E7</f>
        <v>88497276.790000007</v>
      </c>
      <c r="F9" s="58">
        <f>利润表!F7</f>
        <v>34517828.649999999</v>
      </c>
      <c r="G9" s="58">
        <f>利润表!G7</f>
        <v>24856226</v>
      </c>
      <c r="H9" s="58">
        <f>利润表!H7</f>
        <v>13498270.630000001</v>
      </c>
      <c r="I9" s="58">
        <f>利润表!I7</f>
        <v>66248735.149999999</v>
      </c>
      <c r="J9" s="58">
        <f>利润表!J7</f>
        <v>15786416.99</v>
      </c>
      <c r="K9" s="58">
        <f>利润表!K7</f>
        <v>12429837.359999999</v>
      </c>
      <c r="L9" s="58">
        <f>利润表!L7</f>
        <v>10726445.859999999</v>
      </c>
      <c r="M9" s="58">
        <f>利润表!M7</f>
        <v>45668378.630000003</v>
      </c>
      <c r="N9" s="58">
        <f>利润表!N7</f>
        <v>34357856.170000002</v>
      </c>
      <c r="O9" s="58">
        <f>利润表!O7</f>
        <v>23760269.260000002</v>
      </c>
      <c r="P9" s="58">
        <f>利润表!P7</f>
        <v>12043357.199999999</v>
      </c>
      <c r="Q9" s="58">
        <f>利润表!Q7</f>
        <v>46645736.369999997</v>
      </c>
      <c r="R9" s="58">
        <f>利润表!R7</f>
        <v>35792743.100000001</v>
      </c>
      <c r="S9" s="58">
        <f>利润表!S7</f>
        <v>24157734.989999998</v>
      </c>
      <c r="T9" s="58">
        <f>利润表!T7</f>
        <v>12220718.98</v>
      </c>
      <c r="U9" s="58">
        <f>利润表!U7</f>
        <v>47792552.579999998</v>
      </c>
      <c r="V9" s="58">
        <f>利润表!V7</f>
        <v>35097895.82</v>
      </c>
      <c r="W9" s="58">
        <f>利润表!W7</f>
        <v>24011125.850000001</v>
      </c>
      <c r="X9" s="58">
        <f>利润表!X7</f>
        <v>12174046.9</v>
      </c>
      <c r="Y9" s="58">
        <f>利润表!Y7</f>
        <v>166424816.94</v>
      </c>
      <c r="Z9" s="58">
        <f>利润表!Z7</f>
        <v>139283693.12</v>
      </c>
      <c r="AA9" s="58">
        <f>利润表!AA7</f>
        <v>92408832.439999998</v>
      </c>
      <c r="AB9" s="58">
        <f>利润表!AB7</f>
        <v>45573545.920000002</v>
      </c>
      <c r="AC9" s="58">
        <f>利润表!AC7</f>
        <v>169200364.30000001</v>
      </c>
      <c r="AD9" s="58">
        <f>利润表!AD7</f>
        <v>122723176.72</v>
      </c>
      <c r="AE9" s="58">
        <f>利润表!AE7</f>
        <v>80552794.989999995</v>
      </c>
      <c r="AF9" s="58">
        <f>利润表!AF7</f>
        <v>39214724.990000002</v>
      </c>
      <c r="AG9" s="58">
        <f>利润表!AG7</f>
        <v>152582492.87</v>
      </c>
      <c r="AH9" s="58">
        <f>利润表!AH7</f>
        <v>106783888.64</v>
      </c>
      <c r="AI9" s="58">
        <f>利润表!AI7</f>
        <v>69099331.670000002</v>
      </c>
      <c r="AJ9" s="58">
        <f>利润表!AJ7</f>
        <v>34029503.170000002</v>
      </c>
      <c r="AK9" s="58">
        <f>利润表!AK7</f>
        <v>127395848.56</v>
      </c>
      <c r="AL9" s="58">
        <f>利润表!AL7</f>
        <v>90368840.230000004</v>
      </c>
      <c r="AM9" s="58">
        <f>利润表!AM7</f>
        <v>59840232.649999999</v>
      </c>
      <c r="AN9" s="58">
        <f>利润表!AN7</f>
        <v>29863950.399999999</v>
      </c>
      <c r="AO9" s="58">
        <f>利润表!AO7</f>
        <v>118431827.86</v>
      </c>
      <c r="AP9" s="58">
        <f>利润表!AP7</f>
        <v>86587155.549999997</v>
      </c>
      <c r="AQ9" s="58">
        <f>利润表!AQ7</f>
        <v>58295818.299999997</v>
      </c>
      <c r="AR9" s="58">
        <f>利润表!AR7</f>
        <v>27824671.039999999</v>
      </c>
      <c r="AS9" s="58">
        <f>利润表!AS7</f>
        <v>102107616.62</v>
      </c>
      <c r="AT9" s="58">
        <f>利润表!AT7</f>
        <v>70643760.450000003</v>
      </c>
      <c r="AU9" s="58">
        <f>利润表!AU7</f>
        <v>46694223.850000001</v>
      </c>
      <c r="AV9" s="58">
        <f>利润表!AV7</f>
        <v>22359372.82</v>
      </c>
      <c r="AW9" s="58">
        <f>利润表!AW7</f>
        <v>87761551.019999996</v>
      </c>
      <c r="AX9" s="58">
        <f>利润表!AX7</f>
        <v>61597734.390000001</v>
      </c>
      <c r="AY9" s="58">
        <f>利润表!AY7</f>
        <v>40658815.710000001</v>
      </c>
      <c r="AZ9" s="58">
        <f>利润表!AZ7</f>
        <v>19622694.5</v>
      </c>
      <c r="BA9" s="58">
        <f>利润表!BA7</f>
        <v>76417388.680000007</v>
      </c>
      <c r="BB9" s="58">
        <f>利润表!BB7</f>
        <v>53116111.219999999</v>
      </c>
      <c r="BC9" s="58">
        <f>利润表!BC7</f>
        <v>34727464.689999998</v>
      </c>
      <c r="BD9" s="58">
        <f>利润表!BD7</f>
        <v>14936893.83</v>
      </c>
      <c r="BE9" s="58">
        <f>利润表!BE7</f>
        <v>53465533.909999996</v>
      </c>
      <c r="BF9" s="58">
        <f>利润表!BF7</f>
        <v>36805575.740000002</v>
      </c>
      <c r="BG9" s="58">
        <f>利润表!BG7</f>
        <v>23550724.350000001</v>
      </c>
      <c r="BH9" s="58">
        <f>利润表!BH7</f>
        <v>11140954.43</v>
      </c>
      <c r="BI9" s="58">
        <f>利润表!BI7</f>
        <v>33658697.229999997</v>
      </c>
      <c r="BJ9" s="58">
        <f>利润表!BJ7</f>
        <v>22267457.57</v>
      </c>
      <c r="BK9" s="58">
        <f>利润表!BK7</f>
        <v>12810024.34</v>
      </c>
      <c r="BL9" s="58">
        <f>利润表!BL7</f>
        <v>8041250.4400000004</v>
      </c>
      <c r="BM9" s="58">
        <f>利润表!BM7</f>
        <v>32429301.510000002</v>
      </c>
      <c r="BN9" s="58">
        <f>利润表!BN7</f>
        <v>14596900.119999999</v>
      </c>
      <c r="BO9" s="58">
        <f>利润表!BO7</f>
        <v>29422726.68</v>
      </c>
      <c r="BP9" s="58">
        <f>利润表!BP7</f>
        <v>26973430.960000001</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493</v>
      </c>
      <c r="E10" s="58">
        <f>利润表!E8</f>
        <v>88346033.540000007</v>
      </c>
      <c r="F10" s="58">
        <f>利润表!F8</f>
        <v>51892699.420000002</v>
      </c>
      <c r="G10" s="58">
        <f>利润表!G8</f>
        <v>35551715.840000004</v>
      </c>
      <c r="H10" s="58">
        <f>利润表!H8</f>
        <v>17129339.449999999</v>
      </c>
      <c r="I10" s="58">
        <f>利润表!I8</f>
        <v>100995007.13</v>
      </c>
      <c r="J10" s="58">
        <f>利润表!J8</f>
        <v>61680867.380000003</v>
      </c>
      <c r="K10" s="58">
        <f>利润表!K8</f>
        <v>40640309.130000003</v>
      </c>
      <c r="L10" s="58">
        <f>利润表!L8</f>
        <v>20076273.859999999</v>
      </c>
      <c r="M10" s="58">
        <f>利润表!M8</f>
        <v>102912919.31</v>
      </c>
      <c r="N10" s="58">
        <f>利润表!N8</f>
        <v>64985735.950000003</v>
      </c>
      <c r="O10" s="58">
        <f>利润表!O8</f>
        <v>41442020.189999998</v>
      </c>
      <c r="P10" s="58">
        <f>利润表!P8</f>
        <v>21367767.329999998</v>
      </c>
      <c r="Q10" s="58">
        <f>利润表!Q8</f>
        <v>92682716.930000007</v>
      </c>
      <c r="R10" s="58">
        <f>利润表!R8</f>
        <v>61917201.149999999</v>
      </c>
      <c r="S10" s="58">
        <f>利润表!S8</f>
        <v>39927187.939999998</v>
      </c>
      <c r="T10" s="58">
        <f>利润表!T8</f>
        <v>18053894.469999999</v>
      </c>
      <c r="U10" s="58">
        <f>利润表!U8</f>
        <v>83407246.450000003</v>
      </c>
      <c r="V10" s="58">
        <f>利润表!V8</f>
        <v>57642664.75</v>
      </c>
      <c r="W10" s="58">
        <f>利润表!W8</f>
        <v>36701262.729999997</v>
      </c>
      <c r="X10" s="58">
        <f>利润表!X8</f>
        <v>17373827.649999999</v>
      </c>
      <c r="Y10" s="58">
        <f>利润表!Y8</f>
        <v>81942323.430000007</v>
      </c>
      <c r="Z10" s="58">
        <f>利润表!Z8</f>
        <v>52502798.219999999</v>
      </c>
      <c r="AA10" s="58">
        <f>利润表!AA8</f>
        <v>34749475.560000002</v>
      </c>
      <c r="AB10" s="58">
        <f>利润表!AB8</f>
        <v>16458861.560000001</v>
      </c>
      <c r="AC10" s="58">
        <f>利润表!AC8</f>
        <v>79814451.209999993</v>
      </c>
      <c r="AD10" s="58">
        <f>利润表!AD8</f>
        <v>48924578.799999997</v>
      </c>
      <c r="AE10" s="58">
        <f>利润表!AE8</f>
        <v>30216828.109999999</v>
      </c>
      <c r="AF10" s="58">
        <f>利润表!AF8</f>
        <v>15557984.369999999</v>
      </c>
      <c r="AG10" s="58">
        <f>利润表!AG8</f>
        <v>67428980.969999999</v>
      </c>
      <c r="AH10" s="58">
        <f>利润表!AH8</f>
        <v>43454439.25</v>
      </c>
      <c r="AI10" s="58">
        <f>利润表!AI8</f>
        <v>29674073.93</v>
      </c>
      <c r="AJ10" s="58">
        <f>利润表!AJ8</f>
        <v>12812477.4</v>
      </c>
      <c r="AK10" s="58">
        <f>利润表!AK8</f>
        <v>65774131.609999999</v>
      </c>
      <c r="AL10" s="58">
        <f>利润表!AL8</f>
        <v>42380496.229999997</v>
      </c>
      <c r="AM10" s="58">
        <f>利润表!AM8</f>
        <v>26870669.620000001</v>
      </c>
      <c r="AN10" s="58">
        <f>利润表!AN8</f>
        <v>12569236.4</v>
      </c>
      <c r="AO10" s="58">
        <f>利润表!AO8</f>
        <v>75545843.230000004</v>
      </c>
      <c r="AP10" s="58">
        <f>利润表!AP8</f>
        <v>46665882.57</v>
      </c>
      <c r="AQ10" s="58">
        <f>利润表!AQ8</f>
        <v>33802889.579999998</v>
      </c>
      <c r="AR10" s="58">
        <f>利润表!AR8</f>
        <v>29765027.510000002</v>
      </c>
      <c r="AS10" s="58">
        <f>利润表!AS8</f>
        <v>137147759.13999999</v>
      </c>
      <c r="AT10" s="58">
        <f>利润表!AT8</f>
        <v>78003260.709999993</v>
      </c>
      <c r="AU10" s="58">
        <f>利润表!AU8</f>
        <v>59803642.780000001</v>
      </c>
      <c r="AV10" s="58">
        <f>利润表!AV8</f>
        <v>35355127.969999999</v>
      </c>
      <c r="AW10" s="58">
        <f>利润表!AW8</f>
        <v>124460487.72</v>
      </c>
      <c r="AX10" s="58">
        <f>利润表!AX8</f>
        <v>78190214.439999998</v>
      </c>
      <c r="AY10" s="58">
        <f>利润表!AY8</f>
        <v>54991117.420000002</v>
      </c>
      <c r="AZ10" s="58">
        <f>利润表!AZ8</f>
        <v>31669450.59</v>
      </c>
      <c r="BA10" s="58">
        <f>利润表!BA8</f>
        <v>130997928.13</v>
      </c>
      <c r="BB10" s="58">
        <f>利润表!BB8</f>
        <v>86596110.730000004</v>
      </c>
      <c r="BC10" s="58">
        <f>利润表!BC8</f>
        <v>51132273.850000001</v>
      </c>
      <c r="BD10" s="58">
        <f>利润表!BD8</f>
        <v>32506050.199999999</v>
      </c>
      <c r="BE10" s="58">
        <f>利润表!BE8</f>
        <v>119220500.42</v>
      </c>
      <c r="BF10" s="58">
        <f>利润表!BF8</f>
        <v>68503698.090000004</v>
      </c>
      <c r="BG10" s="58">
        <f>利润表!BG8</f>
        <v>42265455.289999999</v>
      </c>
      <c r="BH10" s="58">
        <f>利润表!BH8</f>
        <v>21236144.390000001</v>
      </c>
      <c r="BI10" s="58">
        <f>利润表!BI8</f>
        <v>87086378.620000005</v>
      </c>
      <c r="BJ10" s="58">
        <f>利润表!BJ8</f>
        <v>60305886.82</v>
      </c>
      <c r="BK10" s="58">
        <f>利润表!BK8</f>
        <v>42042691.340000004</v>
      </c>
      <c r="BL10" s="58">
        <f>利润表!BL8</f>
        <v>21612863.420000002</v>
      </c>
      <c r="BM10" s="58">
        <f>利润表!BM8</f>
        <v>95786708.530000001</v>
      </c>
      <c r="BN10" s="58">
        <f>利润表!BN8</f>
        <v>44661365.219999999</v>
      </c>
      <c r="BO10" s="58">
        <f>利润表!BO8</f>
        <v>80849191.870000005</v>
      </c>
      <c r="BP10" s="58">
        <f>利润表!BP8</f>
        <v>68453581.040000007</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494</v>
      </c>
      <c r="E11" s="58">
        <f>利润表!E9</f>
        <v>423106162.88999999</v>
      </c>
      <c r="F11" s="58">
        <f>利润表!F9</f>
        <v>284589272.5</v>
      </c>
      <c r="G11" s="58">
        <f>利润表!G9</f>
        <v>188651299.72999999</v>
      </c>
      <c r="H11" s="58">
        <f>利润表!H9</f>
        <v>73484374.579999998</v>
      </c>
      <c r="I11" s="58">
        <f>利润表!I9</f>
        <v>392988817.47000003</v>
      </c>
      <c r="J11" s="58">
        <f>利润表!J9</f>
        <v>327590784.36000001</v>
      </c>
      <c r="K11" s="58">
        <f>利润表!K9</f>
        <v>216845498.27000001</v>
      </c>
      <c r="L11" s="58">
        <f>利润表!L9</f>
        <v>89286502.950000003</v>
      </c>
      <c r="M11" s="58">
        <f>利润表!M9</f>
        <v>455666559.31999999</v>
      </c>
      <c r="N11" s="58">
        <f>利润表!N9</f>
        <v>322818634.85000002</v>
      </c>
      <c r="O11" s="58">
        <f>利润表!O9</f>
        <v>209557360.25999999</v>
      </c>
      <c r="P11" s="58">
        <f>利润表!P9</f>
        <v>84681239.599999994</v>
      </c>
      <c r="Q11" s="58">
        <f>利润表!Q9</f>
        <v>455870489.81</v>
      </c>
      <c r="R11" s="58">
        <f>利润表!R9</f>
        <v>281980813.13</v>
      </c>
      <c r="S11" s="58">
        <f>利润表!S9</f>
        <v>179989960.66999999</v>
      </c>
      <c r="T11" s="58">
        <f>利润表!T9</f>
        <v>86358624.719999999</v>
      </c>
      <c r="U11" s="58">
        <f>利润表!U9</f>
        <v>436353452.29000002</v>
      </c>
      <c r="V11" s="58">
        <f>利润表!V9</f>
        <v>262839330.08000001</v>
      </c>
      <c r="W11" s="58">
        <f>利润表!W9</f>
        <v>164194897.00999999</v>
      </c>
      <c r="X11" s="58">
        <f>利润表!X9</f>
        <v>76310427.370000005</v>
      </c>
      <c r="Y11" s="58">
        <f>利润表!Y9</f>
        <v>387062971.48000002</v>
      </c>
      <c r="Z11" s="58">
        <f>利润表!Z9</f>
        <v>260234192.06</v>
      </c>
      <c r="AA11" s="58">
        <f>利润表!AA9</f>
        <v>155355234.15000001</v>
      </c>
      <c r="AB11" s="58">
        <f>利润表!AB9</f>
        <v>85626509.780000001</v>
      </c>
      <c r="AC11" s="58">
        <f>利润表!AC9</f>
        <v>338756450.43000001</v>
      </c>
      <c r="AD11" s="58">
        <f>利润表!AD9</f>
        <v>245199400.41999999</v>
      </c>
      <c r="AE11" s="58">
        <f>利润表!AE9</f>
        <v>158370424.96000001</v>
      </c>
      <c r="AF11" s="58">
        <f>利润表!AF9</f>
        <v>89286653.439999998</v>
      </c>
      <c r="AG11" s="58">
        <f>利润表!AG9</f>
        <v>311857687.66000003</v>
      </c>
      <c r="AH11" s="58">
        <f>利润表!AH9</f>
        <v>198214841.53</v>
      </c>
      <c r="AI11" s="58">
        <f>利润表!AI9</f>
        <v>126727324.89</v>
      </c>
      <c r="AJ11" s="58">
        <f>利润表!AJ9</f>
        <v>63373600.039999999</v>
      </c>
      <c r="AK11" s="58">
        <f>利润表!AK9</f>
        <v>311473450.31999999</v>
      </c>
      <c r="AL11" s="58">
        <f>利润表!AL9</f>
        <v>185716818.49000001</v>
      </c>
      <c r="AM11" s="58">
        <f>利润表!AM9</f>
        <v>120528199.76000001</v>
      </c>
      <c r="AN11" s="58">
        <f>利润表!AN9</f>
        <v>55646948.100000001</v>
      </c>
      <c r="AO11" s="58">
        <f>利润表!AO9</f>
        <v>264302441.94999999</v>
      </c>
      <c r="AP11" s="58">
        <f>利润表!AP9</f>
        <v>202891718.09</v>
      </c>
      <c r="AQ11" s="58">
        <f>利润表!AQ9</f>
        <v>131828549.09999999</v>
      </c>
      <c r="AR11" s="58">
        <f>利润表!AR9</f>
        <v>62528258.32</v>
      </c>
      <c r="AS11" s="58">
        <f>利润表!AS9</f>
        <v>316943006.45999998</v>
      </c>
      <c r="AT11" s="58">
        <f>利润表!AT9</f>
        <v>197815182.84</v>
      </c>
      <c r="AU11" s="58">
        <f>利润表!AU9</f>
        <v>130839109.81999999</v>
      </c>
      <c r="AV11" s="58">
        <f>利润表!AV9</f>
        <v>65076056.170000002</v>
      </c>
      <c r="AW11" s="58">
        <f>利润表!AW9</f>
        <v>310538507.25999999</v>
      </c>
      <c r="AX11" s="58">
        <f>利润表!AX9</f>
        <v>223543034.24000001</v>
      </c>
      <c r="AY11" s="58">
        <f>利润表!AY9</f>
        <v>161455075.41</v>
      </c>
      <c r="AZ11" s="58">
        <f>利润表!AZ9</f>
        <v>73114370.700000003</v>
      </c>
      <c r="BA11" s="58">
        <f>利润表!BA9</f>
        <v>265805389.63</v>
      </c>
      <c r="BB11" s="58">
        <f>利润表!BB9</f>
        <v>200453074.44999999</v>
      </c>
      <c r="BC11" s="58">
        <f>利润表!BC9</f>
        <v>153442825.65000001</v>
      </c>
      <c r="BD11" s="58">
        <f>利润表!BD9</f>
        <v>64704028.07</v>
      </c>
      <c r="BE11" s="58">
        <f>利润表!BE9</f>
        <v>208076532.65000001</v>
      </c>
      <c r="BF11" s="58">
        <f>利润表!BF9</f>
        <v>131649559.81999999</v>
      </c>
      <c r="BG11" s="58">
        <f>利润表!BG9</f>
        <v>85028547.609999999</v>
      </c>
      <c r="BH11" s="58">
        <f>利润表!BH9</f>
        <v>26984979.5</v>
      </c>
      <c r="BI11" s="58">
        <f>利润表!BI9</f>
        <v>128960330.62</v>
      </c>
      <c r="BJ11" s="58">
        <f>利润表!BJ9</f>
        <v>75597284.420000002</v>
      </c>
      <c r="BK11" s="58">
        <f>利润表!BK9</f>
        <v>55702496.810000002</v>
      </c>
      <c r="BL11" s="58">
        <f>利润表!BL9</f>
        <v>27066088.969999999</v>
      </c>
      <c r="BM11" s="58">
        <f>利润表!BM9</f>
        <v>96118093.340000004</v>
      </c>
      <c r="BN11" s="58">
        <f>利润表!BN9</f>
        <v>43744713.18</v>
      </c>
      <c r="BO11" s="58">
        <f>利润表!BO9</f>
        <v>87647162.879999995</v>
      </c>
      <c r="BP11" s="58">
        <f>利润表!BP9</f>
        <v>65587939.369999997</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495</v>
      </c>
      <c r="E12" s="58">
        <f>SUM(E8:E11)</f>
        <v>4618835144.3299999</v>
      </c>
      <c r="F12" s="58">
        <f t="shared" ref="F12:BQ12" si="4">SUM(F8:F11)</f>
        <v>3373665727.5</v>
      </c>
      <c r="G12" s="58">
        <f t="shared" si="4"/>
        <v>2194522437.75</v>
      </c>
      <c r="H12" s="58">
        <f t="shared" si="4"/>
        <v>1075336257.49</v>
      </c>
      <c r="I12" s="58">
        <f t="shared" si="4"/>
        <v>4284269443.7300005</v>
      </c>
      <c r="J12" s="58">
        <f t="shared" si="4"/>
        <v>3154823987.3899999</v>
      </c>
      <c r="K12" s="58">
        <f t="shared" si="4"/>
        <v>2085817433.0599999</v>
      </c>
      <c r="L12" s="58">
        <f t="shared" si="4"/>
        <v>988002280.41000009</v>
      </c>
      <c r="M12" s="58">
        <f t="shared" si="4"/>
        <v>3970423257.6400003</v>
      </c>
      <c r="N12" s="58">
        <f t="shared" si="4"/>
        <v>2939558166.8199997</v>
      </c>
      <c r="O12" s="58">
        <f t="shared" si="4"/>
        <v>1943334785.9200001</v>
      </c>
      <c r="P12" s="58">
        <f t="shared" si="4"/>
        <v>956159515.30000007</v>
      </c>
      <c r="Q12" s="58">
        <f t="shared" si="4"/>
        <v>3987883975.3399997</v>
      </c>
      <c r="R12" s="58">
        <f t="shared" si="4"/>
        <v>3057143485.3099999</v>
      </c>
      <c r="S12" s="58">
        <f t="shared" si="4"/>
        <v>1987688776.9200001</v>
      </c>
      <c r="T12" s="58">
        <f t="shared" si="4"/>
        <v>941110110.80000007</v>
      </c>
      <c r="U12" s="58">
        <f t="shared" si="4"/>
        <v>3828805154.5699997</v>
      </c>
      <c r="V12" s="58">
        <f t="shared" si="4"/>
        <v>2853754118.1900001</v>
      </c>
      <c r="W12" s="58">
        <f t="shared" si="4"/>
        <v>1817575977.3199999</v>
      </c>
      <c r="X12" s="58">
        <f t="shared" si="4"/>
        <v>861786404.18999994</v>
      </c>
      <c r="Y12" s="58">
        <f t="shared" si="4"/>
        <v>3488306202.96</v>
      </c>
      <c r="Z12" s="58">
        <f t="shared" si="4"/>
        <v>2620584746.1799998</v>
      </c>
      <c r="AA12" s="58">
        <f t="shared" si="4"/>
        <v>1725419787.77</v>
      </c>
      <c r="AB12" s="58">
        <f t="shared" si="4"/>
        <v>847624764.06999981</v>
      </c>
      <c r="AC12" s="58">
        <f t="shared" si="4"/>
        <v>3242185235.3499999</v>
      </c>
      <c r="AD12" s="58">
        <f t="shared" si="4"/>
        <v>2334686990.1399999</v>
      </c>
      <c r="AE12" s="58">
        <f t="shared" si="4"/>
        <v>1525314929.95</v>
      </c>
      <c r="AF12" s="58">
        <f t="shared" si="4"/>
        <v>737952463.00999999</v>
      </c>
      <c r="AG12" s="58">
        <f t="shared" si="4"/>
        <v>2984395073.6199994</v>
      </c>
      <c r="AH12" s="58">
        <f t="shared" si="4"/>
        <v>2009373693.29</v>
      </c>
      <c r="AI12" s="58">
        <f t="shared" si="4"/>
        <v>1309043454.0800002</v>
      </c>
      <c r="AJ12" s="58">
        <f t="shared" si="4"/>
        <v>616406994.14999998</v>
      </c>
      <c r="AK12" s="58">
        <f t="shared" si="4"/>
        <v>2404067029.7599998</v>
      </c>
      <c r="AL12" s="58">
        <f t="shared" si="4"/>
        <v>1670639083.6300001</v>
      </c>
      <c r="AM12" s="58">
        <f t="shared" si="4"/>
        <v>1091911371.46</v>
      </c>
      <c r="AN12" s="58">
        <f t="shared" si="4"/>
        <v>558624404.78999996</v>
      </c>
      <c r="AO12" s="58">
        <f t="shared" si="4"/>
        <v>2221767328.7199998</v>
      </c>
      <c r="AP12" s="58">
        <f t="shared" si="4"/>
        <v>1615666945.5699997</v>
      </c>
      <c r="AQ12" s="58">
        <f t="shared" si="4"/>
        <v>1071609180.75</v>
      </c>
      <c r="AR12" s="58">
        <f t="shared" si="4"/>
        <v>531483605.68000001</v>
      </c>
      <c r="AS12" s="58">
        <f t="shared" si="4"/>
        <v>1985015875.9200001</v>
      </c>
      <c r="AT12" s="58">
        <f t="shared" si="4"/>
        <v>1358156799.3</v>
      </c>
      <c r="AU12" s="58">
        <f t="shared" si="4"/>
        <v>906745114.42000008</v>
      </c>
      <c r="AV12" s="58">
        <f t="shared" si="4"/>
        <v>442227273.10999995</v>
      </c>
      <c r="AW12" s="58">
        <f t="shared" si="4"/>
        <v>1783765645.5</v>
      </c>
      <c r="AX12" s="58">
        <f t="shared" si="4"/>
        <v>1292345659.71</v>
      </c>
      <c r="AY12" s="58">
        <f t="shared" si="4"/>
        <v>891706491.11000001</v>
      </c>
      <c r="AZ12" s="58">
        <f t="shared" si="4"/>
        <v>428416351.22999996</v>
      </c>
      <c r="BA12" s="58">
        <f t="shared" si="4"/>
        <v>1659238027.1900001</v>
      </c>
      <c r="BB12" s="58">
        <f t="shared" si="4"/>
        <v>1149276724.6500001</v>
      </c>
      <c r="BC12" s="58">
        <f t="shared" si="4"/>
        <v>734820357.32999992</v>
      </c>
      <c r="BD12" s="58">
        <f t="shared" si="4"/>
        <v>335549830.03000003</v>
      </c>
      <c r="BE12" s="58">
        <f t="shared" si="4"/>
        <v>1083389985.3</v>
      </c>
      <c r="BF12" s="58">
        <f t="shared" si="4"/>
        <v>662355202.71000004</v>
      </c>
      <c r="BG12" s="58">
        <f t="shared" si="4"/>
        <v>367404839.77000004</v>
      </c>
      <c r="BH12" s="58">
        <f t="shared" si="4"/>
        <v>162377155.12</v>
      </c>
      <c r="BI12" s="58">
        <f t="shared" si="4"/>
        <v>628492117.53999996</v>
      </c>
      <c r="BJ12" s="58">
        <f t="shared" si="4"/>
        <v>411494728.75</v>
      </c>
      <c r="BK12" s="58">
        <f t="shared" si="4"/>
        <v>277377436.13999999</v>
      </c>
      <c r="BL12" s="58">
        <f t="shared" si="4"/>
        <v>144697957.75</v>
      </c>
      <c r="BM12" s="58">
        <f t="shared" si="4"/>
        <v>590489076.40999997</v>
      </c>
      <c r="BN12" s="58">
        <f t="shared" si="4"/>
        <v>269440503.18000001</v>
      </c>
      <c r="BO12" s="58">
        <f t="shared" si="4"/>
        <v>541764563.70000005</v>
      </c>
      <c r="BP12" s="58">
        <f t="shared" si="4"/>
        <v>474890115.19</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0.82737962569614365</v>
      </c>
      <c r="F13" s="28">
        <f t="shared" ref="F13:BQ13" si="6">(F6/(1+F4)+F7)/F12</f>
        <v>0.69670561372919637</v>
      </c>
      <c r="G13" s="28">
        <f t="shared" si="6"/>
        <v>0.76736994466254149</v>
      </c>
      <c r="H13" s="28">
        <f t="shared" si="6"/>
        <v>0.75192317354558469</v>
      </c>
      <c r="I13" s="28">
        <f t="shared" si="6"/>
        <v>0.81026827077027674</v>
      </c>
      <c r="J13" s="28">
        <f t="shared" si="6"/>
        <v>0.73232287009245445</v>
      </c>
      <c r="K13" s="28">
        <f t="shared" si="6"/>
        <v>0.77167291382976211</v>
      </c>
      <c r="L13" s="28">
        <f t="shared" si="6"/>
        <v>0.8327817320702845</v>
      </c>
      <c r="M13" s="28">
        <f t="shared" si="6"/>
        <v>0.78601635874597187</v>
      </c>
      <c r="N13" s="28">
        <f t="shared" si="6"/>
        <v>0.74587900652398886</v>
      </c>
      <c r="O13" s="28">
        <f t="shared" si="6"/>
        <v>0.75181055457752333</v>
      </c>
      <c r="P13" s="28">
        <f t="shared" si="6"/>
        <v>0.71184118891174231</v>
      </c>
      <c r="Q13" s="28">
        <f t="shared" si="6"/>
        <v>0.70826972309198077</v>
      </c>
      <c r="R13" s="28">
        <f t="shared" si="6"/>
        <v>0.71290811819902222</v>
      </c>
      <c r="S13" s="28">
        <f t="shared" si="6"/>
        <v>0.68827601451646614</v>
      </c>
      <c r="T13" s="28">
        <f t="shared" si="6"/>
        <v>0.74070236630504416</v>
      </c>
      <c r="U13" s="28">
        <f t="shared" si="6"/>
        <v>0.69017764654250646</v>
      </c>
      <c r="V13" s="28">
        <f t="shared" si="6"/>
        <v>0.62516124992564581</v>
      </c>
      <c r="W13" s="28">
        <f t="shared" si="6"/>
        <v>0.68674542158333141</v>
      </c>
      <c r="X13" s="28">
        <f t="shared" si="6"/>
        <v>0.64208797992308753</v>
      </c>
      <c r="Y13" s="28">
        <f t="shared" si="6"/>
        <v>0.62859711379867367</v>
      </c>
      <c r="Z13" s="28">
        <f t="shared" si="6"/>
        <v>0.65716264987857653</v>
      </c>
      <c r="AA13" s="28">
        <f t="shared" si="6"/>
        <v>0.63207263653382628</v>
      </c>
      <c r="AB13" s="28">
        <f t="shared" si="6"/>
        <v>0.5693420497408902</v>
      </c>
      <c r="AC13" s="28">
        <f t="shared" si="6"/>
        <v>0.66983974570965055</v>
      </c>
      <c r="AD13" s="28">
        <f t="shared" si="6"/>
        <v>0.65445268651378152</v>
      </c>
      <c r="AE13" s="28">
        <f t="shared" si="6"/>
        <v>0.67259569683243203</v>
      </c>
      <c r="AF13" s="28">
        <f t="shared" si="6"/>
        <v>0.69200529810733002</v>
      </c>
      <c r="AG13" s="28">
        <f t="shared" si="6"/>
        <v>0.61676976066293732</v>
      </c>
      <c r="AH13" s="28">
        <f t="shared" si="6"/>
        <v>0.57430778263537341</v>
      </c>
      <c r="AI13" s="28">
        <f t="shared" si="6"/>
        <v>0.62055743040815137</v>
      </c>
      <c r="AJ13" s="28">
        <f t="shared" si="6"/>
        <v>0.63990883894499784</v>
      </c>
      <c r="AK13" s="28">
        <f t="shared" si="6"/>
        <v>0.63441745122224735</v>
      </c>
      <c r="AL13" s="28">
        <f t="shared" si="6"/>
        <v>0.70622204762544361</v>
      </c>
      <c r="AM13" s="28">
        <f t="shared" si="6"/>
        <v>0.62631985143912772</v>
      </c>
      <c r="AN13" s="28">
        <f t="shared" si="6"/>
        <v>0.59119758108535481</v>
      </c>
      <c r="AO13" s="28">
        <f t="shared" si="6"/>
        <v>0.60483665610953108</v>
      </c>
      <c r="AP13" s="28">
        <f t="shared" si="6"/>
        <v>0.47183151500838627</v>
      </c>
      <c r="AQ13" s="28">
        <f t="shared" si="6"/>
        <v>0.47830727112673527</v>
      </c>
      <c r="AR13" s="28">
        <f t="shared" si="6"/>
        <v>0.60041167016093988</v>
      </c>
      <c r="AS13" s="28">
        <f t="shared" si="6"/>
        <v>0.6007726794826036</v>
      </c>
      <c r="AT13" s="28">
        <f t="shared" si="6"/>
        <v>0.46716860710706148</v>
      </c>
      <c r="AU13" s="28">
        <f t="shared" si="6"/>
        <v>0.54497157823071929</v>
      </c>
      <c r="AV13" s="28">
        <f t="shared" si="6"/>
        <v>0.54461791461491471</v>
      </c>
      <c r="AW13" s="28">
        <f t="shared" si="6"/>
        <v>0.67751946449798361</v>
      </c>
      <c r="AX13" s="28">
        <f t="shared" si="6"/>
        <v>0.50096327199055268</v>
      </c>
      <c r="AY13" s="28">
        <f t="shared" si="6"/>
        <v>0.51689854494007181</v>
      </c>
      <c r="AZ13" s="28">
        <f t="shared" si="6"/>
        <v>0.56581338386664615</v>
      </c>
      <c r="BA13" s="28">
        <f t="shared" si="6"/>
        <v>0.5072344202339728</v>
      </c>
      <c r="BB13" s="28">
        <f t="shared" si="6"/>
        <v>0.47762041249594023</v>
      </c>
      <c r="BC13" s="28">
        <f t="shared" si="6"/>
        <v>0.45735482431615759</v>
      </c>
      <c r="BD13" s="28">
        <f t="shared" si="6"/>
        <v>0.53775589797531764</v>
      </c>
      <c r="BE13" s="28">
        <f t="shared" si="6"/>
        <v>0.51067320124759419</v>
      </c>
      <c r="BF13" s="28">
        <f t="shared" si="6"/>
        <v>0.66151814817844368</v>
      </c>
      <c r="BG13" s="28">
        <f t="shared" si="6"/>
        <v>0.68445831740906971</v>
      </c>
      <c r="BH13" s="28">
        <f t="shared" si="6"/>
        <v>0.70077037097536954</v>
      </c>
      <c r="BI13" s="28">
        <f t="shared" si="6"/>
        <v>0.70934146115654828</v>
      </c>
      <c r="BJ13" s="28">
        <f t="shared" si="6"/>
        <v>0.59916471126454507</v>
      </c>
      <c r="BK13" s="28">
        <f t="shared" si="6"/>
        <v>0.60163399575929211</v>
      </c>
      <c r="BL13" s="28">
        <f t="shared" si="6"/>
        <v>0.89274837454314826</v>
      </c>
      <c r="BM13" s="28">
        <f t="shared" si="6"/>
        <v>0.60463662235668325</v>
      </c>
      <c r="BN13" s="28">
        <f t="shared" si="6"/>
        <v>0</v>
      </c>
      <c r="BO13" s="28">
        <f t="shared" si="6"/>
        <v>0</v>
      </c>
      <c r="BP13" s="28">
        <f t="shared" si="6"/>
        <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2153068900.1399999</v>
      </c>
      <c r="F14" s="26">
        <f>现金流量表!F13</f>
        <v>1591489962.48</v>
      </c>
      <c r="G14" s="26">
        <f>现金流量表!G13</f>
        <v>1607753054.48</v>
      </c>
      <c r="H14" s="26">
        <f>现金流量表!H13</f>
        <v>443738332.73000002</v>
      </c>
      <c r="I14" s="26">
        <f>现金流量表!I13</f>
        <v>1956099715.6600001</v>
      </c>
      <c r="J14" s="26">
        <f>现金流量表!J13</f>
        <v>1314892443.8099999</v>
      </c>
      <c r="K14" s="26">
        <f>现金流量表!K13</f>
        <v>1003813192.8200001</v>
      </c>
      <c r="L14" s="26">
        <f>现金流量表!L13</f>
        <v>90069986.540000007</v>
      </c>
      <c r="M14" s="26">
        <f>现金流量表!M13</f>
        <v>1739112381.8800001</v>
      </c>
      <c r="N14" s="26">
        <f>现金流量表!N13</f>
        <v>1209008984.1199999</v>
      </c>
      <c r="O14" s="26">
        <f>现金流量表!O13</f>
        <v>1064719807.89</v>
      </c>
      <c r="P14" s="26">
        <f>现金流量表!P13</f>
        <v>224087496.09</v>
      </c>
      <c r="Q14" s="26">
        <f>现金流量表!Q13</f>
        <v>1823799354.1500001</v>
      </c>
      <c r="R14" s="26">
        <f>现金流量表!R13</f>
        <v>1141974147.04</v>
      </c>
      <c r="S14" s="26">
        <f>现金流量表!S13</f>
        <v>827492221.07000005</v>
      </c>
      <c r="T14" s="26">
        <f>现金流量表!T13</f>
        <v>110414871.86</v>
      </c>
      <c r="U14" s="26">
        <f>现金流量表!U13</f>
        <v>1965968927.28</v>
      </c>
      <c r="V14" s="26">
        <f>现金流量表!V13</f>
        <v>1425917380.5599999</v>
      </c>
      <c r="W14" s="26">
        <f>现金流量表!W13</f>
        <v>895776602.70000005</v>
      </c>
      <c r="X14" s="26">
        <f>现金流量表!X13</f>
        <v>216988976.31999999</v>
      </c>
      <c r="Y14" s="26">
        <f>现金流量表!Y13</f>
        <v>1796659660.9200001</v>
      </c>
      <c r="Z14" s="26">
        <f>现金流量表!Z13</f>
        <v>1231863627.05</v>
      </c>
      <c r="AA14" s="26">
        <f>现金流量表!AA13</f>
        <v>878603093.71000004</v>
      </c>
      <c r="AB14" s="26">
        <f>现金流量表!AB13</f>
        <v>265016285.38</v>
      </c>
      <c r="AC14" s="26">
        <f>现金流量表!AC13</f>
        <v>1310123346.8800001</v>
      </c>
      <c r="AD14" s="26">
        <f>现金流量表!AD13</f>
        <v>759127008.41999996</v>
      </c>
      <c r="AE14" s="26">
        <f>现金流量表!AE13</f>
        <v>452665299.04000002</v>
      </c>
      <c r="AF14" s="26">
        <f>现金流量表!AF13</f>
        <v>60278942.149999999</v>
      </c>
      <c r="AG14" s="26">
        <f>现金流量表!AG13</f>
        <v>1646454332.71</v>
      </c>
      <c r="AH14" s="26">
        <f>现金流量表!AH13</f>
        <v>1581501597.6300001</v>
      </c>
      <c r="AI14" s="26">
        <f>现金流量表!AI13</f>
        <v>674812182.05999994</v>
      </c>
      <c r="AJ14" s="26">
        <f>现金流量表!AJ13</f>
        <v>214291040.36000001</v>
      </c>
      <c r="AK14" s="26">
        <f>现金流量表!AK13</f>
        <v>1155240866.8299999</v>
      </c>
      <c r="AL14" s="26">
        <f>现金流量表!AL13</f>
        <v>630370222.09000003</v>
      </c>
      <c r="AM14" s="26">
        <f>现金流量表!AM13</f>
        <v>471014601.11000001</v>
      </c>
      <c r="AN14" s="26">
        <f>现金流量表!AN13</f>
        <v>149132306.81999999</v>
      </c>
      <c r="AO14" s="26">
        <f>现金流量表!AO13</f>
        <v>996375080.46000004</v>
      </c>
      <c r="AP14" s="26">
        <f>现金流量表!AP13</f>
        <v>526013901.83999997</v>
      </c>
      <c r="AQ14" s="26">
        <f>现金流量表!AQ13</f>
        <v>227605028.86000001</v>
      </c>
      <c r="AR14" s="26">
        <f>现金流量表!AR13</f>
        <v>77241738.450000003</v>
      </c>
      <c r="AS14" s="26">
        <f>现金流量表!AS13</f>
        <v>1143664416.49</v>
      </c>
      <c r="AT14" s="26">
        <f>现金流量表!AT13</f>
        <v>907792375.77999997</v>
      </c>
      <c r="AU14" s="26">
        <f>现金流量表!AU13</f>
        <v>244059635.19999999</v>
      </c>
      <c r="AV14" s="26">
        <f>现金流量表!AV13</f>
        <v>168491635.71000001</v>
      </c>
      <c r="AW14" s="26">
        <f>现金流量表!AW13</f>
        <v>1041718763.71</v>
      </c>
      <c r="AX14" s="26">
        <f>现金流量表!AX13</f>
        <v>606963883.08000004</v>
      </c>
      <c r="AY14" s="26">
        <f>现金流量表!AY13</f>
        <v>360662052.42000002</v>
      </c>
      <c r="AZ14" s="26">
        <f>现金流量表!AZ13</f>
        <v>176842749.96000001</v>
      </c>
      <c r="BA14" s="26">
        <f>现金流量表!BA13</f>
        <v>465104333.38</v>
      </c>
      <c r="BB14" s="26">
        <f>现金流量表!BB13</f>
        <v>461333359.82999998</v>
      </c>
      <c r="BC14" s="26">
        <f>现金流量表!BC13</f>
        <v>182709932.55000001</v>
      </c>
      <c r="BD14" s="26">
        <f>现金流量表!BD13</f>
        <v>81641987.799999997</v>
      </c>
      <c r="BE14" s="26">
        <f>现金流量表!BE13</f>
        <v>291479375.66000003</v>
      </c>
      <c r="BF14" s="26">
        <f>现金流量表!BF13</f>
        <v>275925669.52999997</v>
      </c>
      <c r="BG14" s="26">
        <f>现金流量表!BG13</f>
        <v>198410515.18000001</v>
      </c>
      <c r="BH14" s="26">
        <f>现金流量表!BH13</f>
        <v>142955995.03999999</v>
      </c>
      <c r="BI14" s="26">
        <f>现金流量表!BI13</f>
        <v>381992837.72000003</v>
      </c>
      <c r="BJ14" s="26">
        <f>现金流量表!BJ13</f>
        <v>276182380.85000002</v>
      </c>
      <c r="BK14" s="26">
        <f>现金流量表!BK13</f>
        <v>210184480.28</v>
      </c>
      <c r="BL14" s="26">
        <f>现金流量表!BL13</f>
        <v>113662704.92</v>
      </c>
      <c r="BM14" s="26">
        <f>现金流量表!BM13</f>
        <v>284358823.68000001</v>
      </c>
      <c r="BN14" s="26">
        <f>现金流量表!BN13</f>
        <v>124769472.61</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1551194361.6703229</v>
      </c>
      <c r="F15" s="26">
        <f>股权价值增加表!F17</f>
        <v>1120839555.780117</v>
      </c>
      <c r="G15" s="26">
        <f>股权价值增加表!G17</f>
        <v>759581085.38976228</v>
      </c>
      <c r="H15" s="26">
        <f>股权价值增加表!H17</f>
        <v>404074235.20721805</v>
      </c>
      <c r="I15" s="26">
        <f>股权价值增加表!I17</f>
        <v>1351979179.41695</v>
      </c>
      <c r="J15" s="26">
        <f>股权价值增加表!J17</f>
        <v>1037031649.8165784</v>
      </c>
      <c r="K15" s="26">
        <f>股权价值增加表!K17</f>
        <v>672587360.72893238</v>
      </c>
      <c r="L15" s="26">
        <f>股权价值增加表!L17</f>
        <v>333970418.855169</v>
      </c>
      <c r="M15" s="26">
        <f>股权价值增加表!M17</f>
        <v>1237978362.1763356</v>
      </c>
      <c r="N15" s="26">
        <f>股权价值增加表!N17</f>
        <v>932172698.65544367</v>
      </c>
      <c r="O15" s="26">
        <f>股权价值增加表!O17</f>
        <v>632925015.42150402</v>
      </c>
      <c r="P15" s="26">
        <f>股权价值增加表!P17</f>
        <v>316320435.554874</v>
      </c>
      <c r="Q15" s="26">
        <f>股权价值增加表!Q17</f>
        <v>1136647136.3612013</v>
      </c>
      <c r="R15" s="26">
        <f>股权价值增加表!R17</f>
        <v>782926792.63099265</v>
      </c>
      <c r="S15" s="26">
        <f>股权价值增加表!S17</f>
        <v>546291402.80499661</v>
      </c>
      <c r="T15" s="26">
        <f>股权价值增加表!T17</f>
        <v>261745421.59678024</v>
      </c>
      <c r="U15" s="26">
        <f>股权价值增加表!U17</f>
        <v>944429273.81328082</v>
      </c>
      <c r="V15" s="26">
        <f>股权价值增加表!V17</f>
        <v>717700833.35298574</v>
      </c>
      <c r="W15" s="26">
        <f>股权价值增加表!W17</f>
        <v>489518973.53236234</v>
      </c>
      <c r="X15" s="26">
        <f>股权价值增加表!X17</f>
        <v>240248930.50691202</v>
      </c>
      <c r="Y15" s="26">
        <f>股权价值增加表!Y17</f>
        <v>822645029.4970901</v>
      </c>
      <c r="Z15" s="26">
        <f>股权价值增加表!Z17</f>
        <v>646307386.62399971</v>
      </c>
      <c r="AA15" s="26">
        <f>股权价值增加表!AA17</f>
        <v>436027357.87625539</v>
      </c>
      <c r="AB15" s="26">
        <f>股权价值增加表!AB17</f>
        <v>206400399.81846446</v>
      </c>
      <c r="AC15" s="26">
        <f>股权价值增加表!AC17</f>
        <v>759223243.76394987</v>
      </c>
      <c r="AD15" s="26">
        <f>股权价值增加表!AD17</f>
        <v>552661630.99391448</v>
      </c>
      <c r="AE15" s="26">
        <f>股权价值增加表!AE17</f>
        <v>353962103.98085904</v>
      </c>
      <c r="AF15" s="26">
        <f>股权价值增加表!AF17</f>
        <v>182232859.24908486</v>
      </c>
      <c r="AG15" s="26">
        <f>股权价值增加表!AG17</f>
        <v>669639566.71135592</v>
      </c>
      <c r="AH15" s="26">
        <f>股权价值增加表!AH17</f>
        <v>533902725.65194821</v>
      </c>
      <c r="AI15" s="26">
        <f>股权价值增加表!AI17</f>
        <v>334195805.56039202</v>
      </c>
      <c r="AJ15" s="26">
        <f>股权价值增加表!AJ17</f>
        <v>182151280.48639029</v>
      </c>
      <c r="AK15" s="26">
        <f>股权价值增加表!AK17</f>
        <v>607280874.68394041</v>
      </c>
      <c r="AL15" s="26">
        <f>股权价值增加表!AL17</f>
        <v>458898585.5407393</v>
      </c>
      <c r="AM15" s="26">
        <f>股权价值增加表!AM17</f>
        <v>313904009.09812629</v>
      </c>
      <c r="AN15" s="26">
        <f>股权价值增加表!AN17</f>
        <v>148435316.80734849</v>
      </c>
      <c r="AO15" s="26">
        <f>股权价值增加表!AO17</f>
        <v>575788815.01414335</v>
      </c>
      <c r="AP15" s="26">
        <f>股权价值增加表!AP17</f>
        <v>466326802.2297821</v>
      </c>
      <c r="AQ15" s="26">
        <f>股权价值增加表!AQ17</f>
        <v>316724182.06819969</v>
      </c>
      <c r="AR15" s="26">
        <f>股权价值增加表!AR17</f>
        <v>167058058.52202147</v>
      </c>
      <c r="AS15" s="26">
        <f>股权价值增加表!AS17</f>
        <v>458706374.87980783</v>
      </c>
      <c r="AT15" s="26">
        <f>股权价值增加表!AT17</f>
        <v>388813519.65412438</v>
      </c>
      <c r="AU15" s="26">
        <f>股权价值增加表!AU17</f>
        <v>234322936.1465652</v>
      </c>
      <c r="AV15" s="26">
        <f>股权价值增加表!AV17</f>
        <v>117753496.9886069</v>
      </c>
      <c r="AW15" s="26">
        <f>股权价值增加表!AW17</f>
        <v>403157953.43067563</v>
      </c>
      <c r="AX15" s="26">
        <f>股权价值增加表!AX17</f>
        <v>326615011.46807033</v>
      </c>
      <c r="AY15" s="26">
        <f>股权价值增加表!AY17</f>
        <v>197068770.34483141</v>
      </c>
      <c r="AZ15" s="26">
        <f>股权价值增加表!AZ17</f>
        <v>109752551.03043367</v>
      </c>
      <c r="BA15" s="26">
        <f>股权价值增加表!BA17</f>
        <v>321986603.1734947</v>
      </c>
      <c r="BB15" s="26">
        <f>股权价值增加表!BB17</f>
        <v>232156691.51561767</v>
      </c>
      <c r="BC15" s="26">
        <f>股权价值增加表!BC17</f>
        <v>149537739.6520133</v>
      </c>
      <c r="BD15" s="26">
        <f>股权价值增加表!BD17</f>
        <v>72689536.720258355</v>
      </c>
      <c r="BE15" s="26">
        <f>股权价值增加表!BE17</f>
        <v>309892039.70070088</v>
      </c>
      <c r="BF15" s="26">
        <f>股权价值增加表!BF17</f>
        <v>286848213.69710016</v>
      </c>
      <c r="BG15" s="26">
        <f>股权价值增加表!BG17</f>
        <v>231394675.75912696</v>
      </c>
      <c r="BH15" s="26">
        <f>股权价值增加表!BH17</f>
        <v>126248719.45772703</v>
      </c>
      <c r="BI15" s="26">
        <f>股权价值增加表!BI17</f>
        <v>282989185.31673062</v>
      </c>
      <c r="BJ15" s="26">
        <f>股权价值增加表!BJ17</f>
        <v>186519071.24332774</v>
      </c>
      <c r="BK15" s="26">
        <f>股权价值增加表!BK17</f>
        <v>76394854.373993993</v>
      </c>
      <c r="BL15" s="26">
        <f>股权价值增加表!BL17</f>
        <v>67301806.93909964</v>
      </c>
      <c r="BM15" s="26">
        <f>股权价值增加表!BM17</f>
        <v>277309593.2524597</v>
      </c>
      <c r="BN15" s="26">
        <f>股权价值增加表!BN17</f>
        <v>132748619.24619257</v>
      </c>
      <c r="BO15" s="26">
        <f>股权价值增加表!BO17</f>
        <v>280543031.96774328</v>
      </c>
      <c r="BP15" s="26">
        <f>股权价值增加表!BP17</f>
        <v>192645016.99542958</v>
      </c>
      <c r="BQ15" s="26" t="e">
        <f>股权价值增加表!BQ17</f>
        <v>#DIV/0!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1.388007172628954</v>
      </c>
      <c r="F16" s="28">
        <f t="shared" ref="F16:BQ16" si="8">F14/F15</f>
        <v>1.419908812347638</v>
      </c>
      <c r="G16" s="28">
        <f t="shared" si="8"/>
        <v>2.1166312397774059</v>
      </c>
      <c r="H16" s="28">
        <f t="shared" si="8"/>
        <v>1.0981604221868819</v>
      </c>
      <c r="I16" s="28">
        <f t="shared" si="8"/>
        <v>1.446841597445</v>
      </c>
      <c r="J16" s="28">
        <f t="shared" si="8"/>
        <v>1.2679385861005952</v>
      </c>
      <c r="K16" s="28">
        <f t="shared" si="8"/>
        <v>1.4924651449472583</v>
      </c>
      <c r="L16" s="28">
        <f t="shared" si="8"/>
        <v>0.26969450422811286</v>
      </c>
      <c r="M16" s="28">
        <f t="shared" si="8"/>
        <v>1.4048003058976599</v>
      </c>
      <c r="N16" s="28">
        <f t="shared" si="8"/>
        <v>1.2969796110354466</v>
      </c>
      <c r="O16" s="28">
        <f t="shared" si="8"/>
        <v>1.6822210877238546</v>
      </c>
      <c r="P16" s="28">
        <f t="shared" si="8"/>
        <v>0.70841928279757382</v>
      </c>
      <c r="Q16" s="28">
        <f t="shared" si="8"/>
        <v>1.6045431302353073</v>
      </c>
      <c r="R16" s="28">
        <f t="shared" si="8"/>
        <v>1.4585963308299155</v>
      </c>
      <c r="S16" s="28">
        <f t="shared" si="8"/>
        <v>1.514745091760817</v>
      </c>
      <c r="T16" s="28">
        <f t="shared" si="8"/>
        <v>0.42184069996874485</v>
      </c>
      <c r="U16" s="28">
        <f t="shared" si="8"/>
        <v>2.0816475958460003</v>
      </c>
      <c r="V16" s="28">
        <f t="shared" si="8"/>
        <v>1.9867851816450284</v>
      </c>
      <c r="W16" s="28">
        <f t="shared" si="8"/>
        <v>1.8299119158468733</v>
      </c>
      <c r="X16" s="28">
        <f t="shared" si="8"/>
        <v>0.9031839428469679</v>
      </c>
      <c r="Y16" s="28">
        <f t="shared" si="8"/>
        <v>2.1840035452695279</v>
      </c>
      <c r="Z16" s="28">
        <f t="shared" si="8"/>
        <v>1.9060027048192434</v>
      </c>
      <c r="AA16" s="28">
        <f t="shared" si="8"/>
        <v>2.015018273140897</v>
      </c>
      <c r="AB16" s="28">
        <f t="shared" si="8"/>
        <v>1.2839911434914371</v>
      </c>
      <c r="AC16" s="28">
        <f t="shared" si="8"/>
        <v>1.7256101649165665</v>
      </c>
      <c r="AD16" s="28">
        <f t="shared" si="8"/>
        <v>1.3735837008528622</v>
      </c>
      <c r="AE16" s="28">
        <f t="shared" si="8"/>
        <v>1.2788524363175287</v>
      </c>
      <c r="AF16" s="28">
        <f t="shared" si="8"/>
        <v>0.33077976386030233</v>
      </c>
      <c r="AG16" s="28">
        <f t="shared" si="8"/>
        <v>2.4587172182728776</v>
      </c>
      <c r="AH16" s="28">
        <f t="shared" si="8"/>
        <v>2.9621530695480711</v>
      </c>
      <c r="AI16" s="28">
        <f t="shared" si="8"/>
        <v>2.0192120033596761</v>
      </c>
      <c r="AJ16" s="28">
        <f t="shared" si="8"/>
        <v>1.1764454237586932</v>
      </c>
      <c r="AK16" s="28">
        <f t="shared" si="8"/>
        <v>1.9023172225393159</v>
      </c>
      <c r="AL16" s="28">
        <f t="shared" si="8"/>
        <v>1.3736591089013896</v>
      </c>
      <c r="AM16" s="28">
        <f t="shared" si="8"/>
        <v>1.5005052100585341</v>
      </c>
      <c r="AN16" s="28">
        <f t="shared" si="8"/>
        <v>1.0046955807259543</v>
      </c>
      <c r="AO16" s="28">
        <f t="shared" si="8"/>
        <v>1.7304523020919149</v>
      </c>
      <c r="AP16" s="28">
        <f t="shared" si="8"/>
        <v>1.1279941434307845</v>
      </c>
      <c r="AQ16" s="28">
        <f t="shared" si="8"/>
        <v>0.71862220110174668</v>
      </c>
      <c r="AR16" s="28">
        <f t="shared" si="8"/>
        <v>0.46236463618316292</v>
      </c>
      <c r="AS16" s="28">
        <f t="shared" si="8"/>
        <v>2.4932385489294058</v>
      </c>
      <c r="AT16" s="28">
        <f t="shared" si="8"/>
        <v>2.3347757469635879</v>
      </c>
      <c r="AU16" s="28">
        <f t="shared" si="8"/>
        <v>1.0415524797254361</v>
      </c>
      <c r="AV16" s="28">
        <f t="shared" si="8"/>
        <v>1.430884347547676</v>
      </c>
      <c r="AW16" s="28">
        <f t="shared" si="8"/>
        <v>2.5838973405968715</v>
      </c>
      <c r="AX16" s="28">
        <f t="shared" si="8"/>
        <v>1.8583465602264164</v>
      </c>
      <c r="AY16" s="28">
        <f t="shared" si="8"/>
        <v>1.8301329621578939</v>
      </c>
      <c r="AZ16" s="28">
        <f t="shared" si="8"/>
        <v>1.6112860092970656</v>
      </c>
      <c r="BA16" s="28">
        <f t="shared" si="8"/>
        <v>1.4444834933998474</v>
      </c>
      <c r="BB16" s="28">
        <f t="shared" si="8"/>
        <v>1.9871637419460948</v>
      </c>
      <c r="BC16" s="28">
        <f t="shared" si="8"/>
        <v>1.2218315789390768</v>
      </c>
      <c r="BD16" s="28">
        <f t="shared" si="8"/>
        <v>1.1231601064427561</v>
      </c>
      <c r="BE16" s="28">
        <f t="shared" si="8"/>
        <v>0.94058361725430528</v>
      </c>
      <c r="BF16" s="28">
        <f t="shared" si="8"/>
        <v>0.96192221653981103</v>
      </c>
      <c r="BG16" s="28">
        <f t="shared" si="8"/>
        <v>0.85745497180988639</v>
      </c>
      <c r="BH16" s="28">
        <f t="shared" si="8"/>
        <v>1.1323361983712414</v>
      </c>
      <c r="BI16" s="28">
        <f t="shared" si="8"/>
        <v>1.3498495968758004</v>
      </c>
      <c r="BJ16" s="28">
        <f t="shared" si="8"/>
        <v>1.4807192584060209</v>
      </c>
      <c r="BK16" s="28">
        <f t="shared" si="8"/>
        <v>2.7512910653776976</v>
      </c>
      <c r="BL16" s="28">
        <f t="shared" si="8"/>
        <v>1.688850717230395</v>
      </c>
      <c r="BM16" s="28">
        <f t="shared" si="8"/>
        <v>1.0254200741664308</v>
      </c>
      <c r="BN16" s="28">
        <f t="shared" si="8"/>
        <v>0.93989280881788584</v>
      </c>
      <c r="BO16" s="28">
        <f t="shared" si="8"/>
        <v>0</v>
      </c>
      <c r="BP16" s="28">
        <f t="shared" si="8"/>
        <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1558638537.4899998</v>
      </c>
      <c r="F17" s="26">
        <f>股权价值增加表!F42</f>
        <v>1153608734.4799998</v>
      </c>
      <c r="G17" s="26">
        <f>股权价值增加表!G42</f>
        <v>779333927.83999991</v>
      </c>
      <c r="H17" s="26">
        <f>股权价值增加表!H42</f>
        <v>417235013.08000004</v>
      </c>
      <c r="I17" s="26">
        <f>股权价值增加表!I42</f>
        <v>1374558875.6599998</v>
      </c>
      <c r="J17" s="26">
        <f>股权价值增加表!J42</f>
        <v>1045153400.5299997</v>
      </c>
      <c r="K17" s="26">
        <f>股权价值增加表!K42</f>
        <v>682567915.74000001</v>
      </c>
      <c r="L17" s="26">
        <f>股权价值增加表!L42</f>
        <v>329492443.56999999</v>
      </c>
      <c r="M17" s="26">
        <f>股权价值增加表!M42</f>
        <v>1270582077.7699995</v>
      </c>
      <c r="N17" s="26">
        <f>股权价值增加表!N42</f>
        <v>930955515.78000069</v>
      </c>
      <c r="O17" s="26">
        <f>股权价值增加表!O42</f>
        <v>665052992.55000007</v>
      </c>
      <c r="P17" s="26">
        <f>股权价值增加表!P42</f>
        <v>319023507.04000002</v>
      </c>
      <c r="Q17" s="26">
        <f>股权价值增加表!Q42</f>
        <v>1225695593.1100006</v>
      </c>
      <c r="R17" s="26">
        <f>股权价值增加表!R42</f>
        <v>799185451.88000011</v>
      </c>
      <c r="S17" s="26">
        <f>股权价值增加表!S42</f>
        <v>553694670.00999999</v>
      </c>
      <c r="T17" s="26">
        <f>股权价值增加表!T42</f>
        <v>260190718.06999999</v>
      </c>
      <c r="U17" s="26">
        <f>股权价值增加表!U42</f>
        <v>933736350.64000046</v>
      </c>
      <c r="V17" s="26">
        <f>股权价值增加表!V42</f>
        <v>707267177.96000004</v>
      </c>
      <c r="W17" s="26">
        <f>股权价值增加表!W42</f>
        <v>473652761.39000028</v>
      </c>
      <c r="X17" s="26">
        <f>股权价值增加表!X42</f>
        <v>236758687.44999993</v>
      </c>
      <c r="Y17" s="26">
        <f>股权价值增加表!Y42</f>
        <v>790879243.43999958</v>
      </c>
      <c r="Z17" s="26">
        <f>股权价值增加表!Z42</f>
        <v>608419202.33999968</v>
      </c>
      <c r="AA17" s="26">
        <f>股权价值增加表!AA42</f>
        <v>407326352.71000016</v>
      </c>
      <c r="AB17" s="26">
        <f>股权价值增加表!AB42</f>
        <v>189848853.21000019</v>
      </c>
      <c r="AC17" s="26">
        <f>股权价值增加表!AC42</f>
        <v>685152420.36999977</v>
      </c>
      <c r="AD17" s="26">
        <f>股权价值增加表!AD42</f>
        <v>516053775.40999985</v>
      </c>
      <c r="AE17" s="26">
        <f>股权价值增加表!AE42</f>
        <v>318859572.69999993</v>
      </c>
      <c r="AF17" s="26">
        <f>股权价值增加表!AF42</f>
        <v>166957892.83999994</v>
      </c>
      <c r="AG17" s="26">
        <f>股权价值增加表!AG42</f>
        <v>687437412.00999999</v>
      </c>
      <c r="AH17" s="26">
        <f>股权价值增加表!AH42</f>
        <v>484984203.71000034</v>
      </c>
      <c r="AI17" s="26">
        <f>股权价值增加表!AI42</f>
        <v>292537697.19000006</v>
      </c>
      <c r="AJ17" s="26">
        <f>股权价值增加表!AJ42</f>
        <v>166953807.40999997</v>
      </c>
      <c r="AK17" s="26">
        <f>股权价值增加表!AK42</f>
        <v>557682710.93999994</v>
      </c>
      <c r="AL17" s="26">
        <f>股权价值增加表!AL42</f>
        <v>400267874.43999982</v>
      </c>
      <c r="AM17" s="26">
        <f>股权价值增加表!AM42</f>
        <v>269309766.39000005</v>
      </c>
      <c r="AN17" s="26">
        <f>股权价值增加表!AN42</f>
        <v>128730371.03000008</v>
      </c>
      <c r="AO17" s="26">
        <f>股权价值增加表!AO42</f>
        <v>499490221.19999993</v>
      </c>
      <c r="AP17" s="26">
        <f>股权价值增加表!AP42</f>
        <v>404477056.48000008</v>
      </c>
      <c r="AQ17" s="26">
        <f>股权价值增加表!AQ42</f>
        <v>270937349.97000003</v>
      </c>
      <c r="AR17" s="26">
        <f>股权价值增加表!AR42</f>
        <v>143947088.66999996</v>
      </c>
      <c r="AS17" s="26">
        <f>股权价值增加表!AS42</f>
        <v>392337364.1500001</v>
      </c>
      <c r="AT17" s="26">
        <f>股权价值增加表!AT42</f>
        <v>338280716.21999997</v>
      </c>
      <c r="AU17" s="26">
        <f>股权价值增加表!AU42</f>
        <v>197252285.10000008</v>
      </c>
      <c r="AV17" s="26">
        <f>股权价值增加表!AV42</f>
        <v>101218384.32000004</v>
      </c>
      <c r="AW17" s="26">
        <f>股权价值增加表!AW42</f>
        <v>303077076.85000014</v>
      </c>
      <c r="AX17" s="26">
        <f>股权价值增加表!AX42</f>
        <v>242277318</v>
      </c>
      <c r="AY17" s="26">
        <f>股权价值增加表!AY42</f>
        <v>143404641.57000011</v>
      </c>
      <c r="AZ17" s="26">
        <f>股权价值增加表!AZ42</f>
        <v>81740732.359999985</v>
      </c>
      <c r="BA17" s="26">
        <f>股权价值增加表!BA42</f>
        <v>260855435.77999979</v>
      </c>
      <c r="BB17" s="26">
        <f>股权价值增加表!BB42</f>
        <v>196514334.60000008</v>
      </c>
      <c r="BC17" s="26">
        <f>股权价值增加表!BC42</f>
        <v>130561358.67000005</v>
      </c>
      <c r="BD17" s="26">
        <f>股权价值增加表!BD42</f>
        <v>61824644.440000013</v>
      </c>
      <c r="BE17" s="26">
        <f>股权价值增加表!BE42</f>
        <v>300180629.66999996</v>
      </c>
      <c r="BF17" s="26">
        <f>股权价值增加表!BF42</f>
        <v>277743555.59999996</v>
      </c>
      <c r="BG17" s="26">
        <f>股权价值增加表!BG42</f>
        <v>234393483.71000004</v>
      </c>
      <c r="BH17" s="26">
        <f>股权价值增加表!BH42</f>
        <v>127236038.12</v>
      </c>
      <c r="BI17" s="26">
        <f>股权价值增加表!BI42</f>
        <v>299296867.95000005</v>
      </c>
      <c r="BJ17" s="26">
        <f>股权价值增加表!BJ42</f>
        <v>200038541.68000004</v>
      </c>
      <c r="BK17" s="26">
        <f>股权价值增加表!BK42</f>
        <v>86985533.440000013</v>
      </c>
      <c r="BL17" s="26">
        <f>股权价值增加表!BL42</f>
        <v>70719094.739999995</v>
      </c>
      <c r="BM17" s="26">
        <f>股权价值增加表!BM42</f>
        <v>282978140.46000004</v>
      </c>
      <c r="BN17" s="26">
        <f>股权价值增加表!BN42</f>
        <v>134844986.12999994</v>
      </c>
      <c r="BO17" s="26">
        <f>股权价值增加表!BO42</f>
        <v>287774054.81</v>
      </c>
      <c r="BP17" s="26">
        <f>股权价值增加表!BP42</f>
        <v>198834245.46000007</v>
      </c>
      <c r="BQ17" s="26">
        <f>股权价值增加表!BQ42</f>
        <v>0</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1.381377945143881</v>
      </c>
      <c r="F18" s="28">
        <f t="shared" ref="F18:BQ18" si="10">F14/F17</f>
        <v>1.3795751669628087</v>
      </c>
      <c r="G18" s="28">
        <f t="shared" si="10"/>
        <v>2.062983526119599</v>
      </c>
      <c r="H18" s="28">
        <f t="shared" si="10"/>
        <v>1.0635213220826178</v>
      </c>
      <c r="I18" s="28">
        <f t="shared" si="10"/>
        <v>1.4230745225232866</v>
      </c>
      <c r="J18" s="28">
        <f t="shared" si="10"/>
        <v>1.2580856007770869</v>
      </c>
      <c r="K18" s="28">
        <f t="shared" si="10"/>
        <v>1.4706422169458768</v>
      </c>
      <c r="L18" s="28">
        <f t="shared" si="10"/>
        <v>0.27335979412488354</v>
      </c>
      <c r="M18" s="28">
        <f t="shared" si="10"/>
        <v>1.36875248935694</v>
      </c>
      <c r="N18" s="28">
        <f t="shared" si="10"/>
        <v>1.2986753541140279</v>
      </c>
      <c r="O18" s="28">
        <f t="shared" si="10"/>
        <v>1.6009548409181125</v>
      </c>
      <c r="P18" s="28">
        <f t="shared" si="10"/>
        <v>0.70241687883489823</v>
      </c>
      <c r="Q18" s="28">
        <f t="shared" si="10"/>
        <v>1.4879708831475928</v>
      </c>
      <c r="R18" s="28">
        <f t="shared" si="10"/>
        <v>1.4289225915632289</v>
      </c>
      <c r="S18" s="28">
        <f t="shared" si="10"/>
        <v>1.4944919391314624</v>
      </c>
      <c r="T18" s="28">
        <f t="shared" si="10"/>
        <v>0.4243613018904645</v>
      </c>
      <c r="U18" s="28">
        <f t="shared" si="10"/>
        <v>2.1054861213580129</v>
      </c>
      <c r="V18" s="28">
        <f t="shared" si="10"/>
        <v>2.0160943770539901</v>
      </c>
      <c r="W18" s="28">
        <f t="shared" si="10"/>
        <v>1.8912095013891999</v>
      </c>
      <c r="X18" s="28">
        <f t="shared" si="10"/>
        <v>0.91649847638991067</v>
      </c>
      <c r="Y18" s="28">
        <f t="shared" si="10"/>
        <v>2.2717243824800222</v>
      </c>
      <c r="Z18" s="28">
        <f t="shared" si="10"/>
        <v>2.0246955097935979</v>
      </c>
      <c r="AA18" s="28">
        <f t="shared" si="10"/>
        <v>2.1570003705002847</v>
      </c>
      <c r="AB18" s="28">
        <f t="shared" si="10"/>
        <v>1.3959330325100978</v>
      </c>
      <c r="AC18" s="28">
        <f t="shared" si="10"/>
        <v>1.9121633492478944</v>
      </c>
      <c r="AD18" s="28">
        <f t="shared" si="10"/>
        <v>1.4710230688979666</v>
      </c>
      <c r="AE18" s="28">
        <f t="shared" si="10"/>
        <v>1.4196384170215635</v>
      </c>
      <c r="AF18" s="28">
        <f t="shared" si="10"/>
        <v>0.36104278225268971</v>
      </c>
      <c r="AG18" s="28">
        <f t="shared" si="10"/>
        <v>2.3950607050843042</v>
      </c>
      <c r="AH18" s="28">
        <f t="shared" si="10"/>
        <v>3.2609342439030651</v>
      </c>
      <c r="AI18" s="28">
        <f t="shared" si="10"/>
        <v>2.3067529024189888</v>
      </c>
      <c r="AJ18" s="28">
        <f t="shared" si="10"/>
        <v>1.2835349111491106</v>
      </c>
      <c r="AK18" s="28">
        <f t="shared" si="10"/>
        <v>2.0715020282461118</v>
      </c>
      <c r="AL18" s="28">
        <f t="shared" si="10"/>
        <v>1.5748708860832961</v>
      </c>
      <c r="AM18" s="28">
        <f t="shared" si="10"/>
        <v>1.7489696249184732</v>
      </c>
      <c r="AN18" s="28">
        <f t="shared" si="10"/>
        <v>1.1584857996350009</v>
      </c>
      <c r="AO18" s="28">
        <f t="shared" si="10"/>
        <v>1.9947839580648035</v>
      </c>
      <c r="AP18" s="28">
        <f t="shared" si="10"/>
        <v>1.3004789602102176</v>
      </c>
      <c r="AQ18" s="28">
        <f t="shared" si="10"/>
        <v>0.84006516224212702</v>
      </c>
      <c r="AR18" s="28">
        <f t="shared" si="10"/>
        <v>0.53659812896304837</v>
      </c>
      <c r="AS18" s="28">
        <f t="shared" si="10"/>
        <v>2.9150025488083497</v>
      </c>
      <c r="AT18" s="28">
        <f t="shared" si="10"/>
        <v>2.6835475161688485</v>
      </c>
      <c r="AU18" s="28">
        <f t="shared" si="10"/>
        <v>1.2372968712442047</v>
      </c>
      <c r="AV18" s="28">
        <f t="shared" si="10"/>
        <v>1.6646347088224294</v>
      </c>
      <c r="AW18" s="28">
        <f t="shared" si="10"/>
        <v>3.4371413850793169</v>
      </c>
      <c r="AX18" s="28">
        <f t="shared" si="10"/>
        <v>2.5052443542403751</v>
      </c>
      <c r="AY18" s="28">
        <f t="shared" si="10"/>
        <v>2.5149956686998172</v>
      </c>
      <c r="AZ18" s="28">
        <f t="shared" si="10"/>
        <v>2.1634593287120878</v>
      </c>
      <c r="BA18" s="28">
        <f t="shared" si="10"/>
        <v>1.7829965167843371</v>
      </c>
      <c r="BB18" s="28">
        <f t="shared" si="10"/>
        <v>2.3475812121748385</v>
      </c>
      <c r="BC18" s="28">
        <f t="shared" si="10"/>
        <v>1.3994181311471179</v>
      </c>
      <c r="BD18" s="28">
        <f t="shared" si="10"/>
        <v>1.3205411618538696</v>
      </c>
      <c r="BE18" s="28">
        <f t="shared" si="10"/>
        <v>0.9710132728432026</v>
      </c>
      <c r="BF18" s="28">
        <f t="shared" si="10"/>
        <v>0.99345480378087303</v>
      </c>
      <c r="BG18" s="28">
        <f t="shared" si="10"/>
        <v>0.8464847744038847</v>
      </c>
      <c r="BH18" s="28">
        <f t="shared" si="10"/>
        <v>1.1235495630976347</v>
      </c>
      <c r="BI18" s="28">
        <f t="shared" si="10"/>
        <v>1.276300819104512</v>
      </c>
      <c r="BJ18" s="28">
        <f t="shared" si="10"/>
        <v>1.3806458421987831</v>
      </c>
      <c r="BK18" s="28">
        <f t="shared" si="10"/>
        <v>2.4163153569090761</v>
      </c>
      <c r="BL18" s="28">
        <f t="shared" si="10"/>
        <v>1.6072420799203235</v>
      </c>
      <c r="BM18" s="28">
        <f t="shared" si="10"/>
        <v>1.0048791161669082</v>
      </c>
      <c r="BN18" s="28">
        <f t="shared" si="10"/>
        <v>0.925280770096365</v>
      </c>
      <c r="BO18" s="28">
        <f t="shared" si="10"/>
        <v>0</v>
      </c>
      <c r="BP18" s="28">
        <f t="shared" si="10"/>
        <v>0</v>
      </c>
      <c r="BQ18" s="28" t="e">
        <f t="shared" si="10"/>
        <v>#DIV/0!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18778746.5</v>
      </c>
      <c r="F19" s="26">
        <f>现金流量表!F48</f>
        <v>0</v>
      </c>
      <c r="G19" s="26">
        <f>现金流量表!G48</f>
        <v>2316763.0299999998</v>
      </c>
      <c r="H19" s="26">
        <f>现金流量表!H48</f>
        <v>0</v>
      </c>
      <c r="I19" s="26">
        <f>现金流量表!I48</f>
        <v>19264380.059999999</v>
      </c>
      <c r="J19" s="26">
        <f>现金流量表!J48</f>
        <v>0</v>
      </c>
      <c r="K19" s="26">
        <f>现金流量表!K48</f>
        <v>1861728.29</v>
      </c>
      <c r="L19" s="26">
        <f>现金流量表!L48</f>
        <v>0</v>
      </c>
      <c r="M19" s="26">
        <f>现金流量表!M48</f>
        <v>-32346015.109999999</v>
      </c>
      <c r="N19" s="26">
        <f>现金流量表!N48</f>
        <v>0</v>
      </c>
      <c r="O19" s="26">
        <f>现金流量表!O48</f>
        <v>4584363.67</v>
      </c>
      <c r="P19" s="26">
        <f>现金流量表!P48</f>
        <v>0</v>
      </c>
      <c r="Q19" s="26">
        <f>现金流量表!Q48</f>
        <v>9538268.1899999995</v>
      </c>
      <c r="R19" s="26">
        <f>现金流量表!R48</f>
        <v>0</v>
      </c>
      <c r="S19" s="26">
        <f>现金流量表!S48</f>
        <v>5290955.2</v>
      </c>
      <c r="T19" s="26">
        <f>现金流量表!T48</f>
        <v>0</v>
      </c>
      <c r="U19" s="26">
        <f>现金流量表!U48</f>
        <v>-4057640.07</v>
      </c>
      <c r="V19" s="26">
        <f>现金流量表!V48</f>
        <v>0</v>
      </c>
      <c r="W19" s="26">
        <f>现金流量表!W48</f>
        <v>7400979.79</v>
      </c>
      <c r="X19" s="26">
        <f>现金流量表!X48</f>
        <v>0</v>
      </c>
      <c r="Y19" s="26">
        <f>现金流量表!Y48</f>
        <v>-11440237.9</v>
      </c>
      <c r="Z19" s="26">
        <f>现金流量表!Z48</f>
        <v>0</v>
      </c>
      <c r="AA19" s="26">
        <f>现金流量表!AA48</f>
        <v>6693247.29</v>
      </c>
      <c r="AB19" s="26">
        <f>现金流量表!AB48</f>
        <v>0</v>
      </c>
      <c r="AC19" s="26">
        <f>现金流量表!AC48</f>
        <v>-21689827.030000001</v>
      </c>
      <c r="AD19" s="26">
        <f>现金流量表!AD48</f>
        <v>0</v>
      </c>
      <c r="AE19" s="26">
        <f>现金流量表!AE48</f>
        <v>9212405.5299999993</v>
      </c>
      <c r="AF19" s="26">
        <f>现金流量表!AF48</f>
        <v>0</v>
      </c>
      <c r="AG19" s="26">
        <f>现金流量表!AG48</f>
        <v>-576863.06999999995</v>
      </c>
      <c r="AH19" s="26">
        <f>现金流量表!AH48</f>
        <v>0</v>
      </c>
      <c r="AI19" s="26">
        <f>现金流量表!AI48</f>
        <v>13628950.09</v>
      </c>
      <c r="AJ19" s="26">
        <f>现金流量表!AJ48</f>
        <v>0</v>
      </c>
      <c r="AK19" s="26">
        <f>现金流量表!AK48</f>
        <v>79162009.390000001</v>
      </c>
      <c r="AL19" s="26">
        <f>现金流量表!AL48</f>
        <v>0</v>
      </c>
      <c r="AM19" s="26">
        <f>现金流量表!AM48</f>
        <v>38756508.899999999</v>
      </c>
      <c r="AN19" s="26">
        <f>现金流量表!AN48</f>
        <v>0</v>
      </c>
      <c r="AO19" s="26">
        <f>现金流量表!AO48</f>
        <v>22697326.989999998</v>
      </c>
      <c r="AP19" s="26">
        <f>现金流量表!AP48</f>
        <v>0</v>
      </c>
      <c r="AQ19" s="26">
        <f>现金流量表!AQ48</f>
        <v>7249583.5</v>
      </c>
      <c r="AR19" s="26">
        <f>现金流量表!AR48</f>
        <v>0</v>
      </c>
      <c r="AS19" s="26">
        <f>现金流量表!AS48</f>
        <v>2744457.39</v>
      </c>
      <c r="AT19" s="26">
        <f>现金流量表!AT48</f>
        <v>0</v>
      </c>
      <c r="AU19" s="26">
        <f>现金流量表!AU48</f>
        <v>3860779.94</v>
      </c>
      <c r="AV19" s="26">
        <f>现金流量表!AV48</f>
        <v>0</v>
      </c>
      <c r="AW19" s="26">
        <f>现金流量表!AW48</f>
        <v>-4674788.8600000003</v>
      </c>
      <c r="AX19" s="26">
        <f>现金流量表!AX48</f>
        <v>1353612.08</v>
      </c>
      <c r="AY19" s="26">
        <f>现金流量表!AY48</f>
        <v>1353612.08</v>
      </c>
      <c r="AZ19" s="26">
        <f>现金流量表!AZ48</f>
        <v>0</v>
      </c>
      <c r="BA19" s="26">
        <f>现金流量表!BA48</f>
        <v>10407751.460000001</v>
      </c>
      <c r="BB19" s="26">
        <f>现金流量表!BB48</f>
        <v>0</v>
      </c>
      <c r="BC19" s="26">
        <f>现金流量表!BC48</f>
        <v>17210796.75</v>
      </c>
      <c r="BD19" s="26">
        <f>现金流量表!BD48</f>
        <v>0</v>
      </c>
      <c r="BE19" s="26">
        <f>现金流量表!BE48</f>
        <v>2234817.5699999998</v>
      </c>
      <c r="BF19" s="26">
        <f>现金流量表!BF48</f>
        <v>12961853.65</v>
      </c>
      <c r="BG19" s="26">
        <f>现金流量表!BG48</f>
        <v>0</v>
      </c>
      <c r="BH19" s="26">
        <f>现金流量表!BH48</f>
        <v>0</v>
      </c>
      <c r="BI19" s="26">
        <f>现金流量表!BI48</f>
        <v>8185649.8899999997</v>
      </c>
      <c r="BJ19" s="26">
        <f>现金流量表!BJ48</f>
        <v>0</v>
      </c>
      <c r="BK19" s="26">
        <f>现金流量表!BK48</f>
        <v>0</v>
      </c>
      <c r="BL19" s="26">
        <f>现金流量表!BL48</f>
        <v>0</v>
      </c>
      <c r="BM19" s="26">
        <f>现金流量表!BM48</f>
        <v>6873878.5300000003</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602740417.44000006</v>
      </c>
      <c r="F20" s="26">
        <f>现金流量表!F49</f>
        <v>0</v>
      </c>
      <c r="G20" s="26">
        <f>现金流量表!G49</f>
        <v>298861050.58999997</v>
      </c>
      <c r="H20" s="26">
        <f>现金流量表!H49</f>
        <v>0</v>
      </c>
      <c r="I20" s="26">
        <f>现金流量表!I49</f>
        <v>578699065.53999996</v>
      </c>
      <c r="J20" s="26">
        <f>现金流量表!J49</f>
        <v>0</v>
      </c>
      <c r="K20" s="26">
        <f>现金流量表!K49</f>
        <v>257941781.93000001</v>
      </c>
      <c r="L20" s="26">
        <f>现金流量表!L49</f>
        <v>0</v>
      </c>
      <c r="M20" s="26">
        <f>现金流量表!M49</f>
        <v>554001669.40999997</v>
      </c>
      <c r="N20" s="26">
        <f>现金流量表!N49</f>
        <v>0</v>
      </c>
      <c r="O20" s="26">
        <f>现金流量表!O49</f>
        <v>261301133.19</v>
      </c>
      <c r="P20" s="26">
        <f>现金流量表!P49</f>
        <v>0</v>
      </c>
      <c r="Q20" s="26">
        <f>现金流量表!Q49</f>
        <v>669341948.50999999</v>
      </c>
      <c r="R20" s="26">
        <f>现金流量表!R49</f>
        <v>0</v>
      </c>
      <c r="S20" s="26">
        <f>现金流量表!S49</f>
        <v>346822215.80000001</v>
      </c>
      <c r="T20" s="26">
        <f>现金流量表!T49</f>
        <v>0</v>
      </c>
      <c r="U20" s="26">
        <f>现金流量表!U49</f>
        <v>670561998.42999995</v>
      </c>
      <c r="V20" s="26">
        <f>现金流量表!V49</f>
        <v>0</v>
      </c>
      <c r="W20" s="26">
        <f>现金流量表!W49</f>
        <v>354147725.81999999</v>
      </c>
      <c r="X20" s="26">
        <f>现金流量表!X49</f>
        <v>0</v>
      </c>
      <c r="Y20" s="26">
        <f>现金流量表!Y49</f>
        <v>685319190.36000001</v>
      </c>
      <c r="Z20" s="26">
        <f>现金流量表!Z49</f>
        <v>0</v>
      </c>
      <c r="AA20" s="26">
        <f>现金流量表!AA49</f>
        <v>356830938.12</v>
      </c>
      <c r="AB20" s="26">
        <f>现金流量表!AB49</f>
        <v>0</v>
      </c>
      <c r="AC20" s="26">
        <f>现金流量表!AC49</f>
        <v>668498798.09000003</v>
      </c>
      <c r="AD20" s="26">
        <f>现金流量表!AD49</f>
        <v>0</v>
      </c>
      <c r="AE20" s="26">
        <f>现金流量表!AE49</f>
        <v>322032594.37</v>
      </c>
      <c r="AF20" s="26">
        <f>现金流量表!AF49</f>
        <v>0</v>
      </c>
      <c r="AG20" s="26">
        <f>现金流量表!AG49</f>
        <v>603370677.09000003</v>
      </c>
      <c r="AH20" s="26">
        <f>现金流量表!AH49</f>
        <v>0</v>
      </c>
      <c r="AI20" s="26">
        <f>现金流量表!AI49</f>
        <v>259177568.11000001</v>
      </c>
      <c r="AJ20" s="26">
        <f>现金流量表!AJ49</f>
        <v>0</v>
      </c>
      <c r="AK20" s="26">
        <f>现金流量表!AK49</f>
        <v>481542632.08999997</v>
      </c>
      <c r="AL20" s="26">
        <f>现金流量表!AL49</f>
        <v>0</v>
      </c>
      <c r="AM20" s="26">
        <f>现金流量表!AM49</f>
        <v>226635929.24000001</v>
      </c>
      <c r="AN20" s="26">
        <f>现金流量表!AN49</f>
        <v>0</v>
      </c>
      <c r="AO20" s="26">
        <f>现金流量表!AO49</f>
        <v>451601595.08999997</v>
      </c>
      <c r="AP20" s="26">
        <f>现金流量表!AP49</f>
        <v>0</v>
      </c>
      <c r="AQ20" s="26">
        <f>现金流量表!AQ49</f>
        <v>224857555.62</v>
      </c>
      <c r="AR20" s="26">
        <f>现金流量表!AR49</f>
        <v>0</v>
      </c>
      <c r="AS20" s="26">
        <f>现金流量表!AS49</f>
        <v>378140494.27999997</v>
      </c>
      <c r="AT20" s="26">
        <f>现金流量表!AT49</f>
        <v>0</v>
      </c>
      <c r="AU20" s="26">
        <f>现金流量表!AU49</f>
        <v>188541210.53999999</v>
      </c>
      <c r="AV20" s="26">
        <f>现金流量表!AV49</f>
        <v>0</v>
      </c>
      <c r="AW20" s="26">
        <f>现金流量表!AW49</f>
        <v>367626722.87</v>
      </c>
      <c r="AX20" s="26">
        <f>现金流量表!AX49</f>
        <v>275652970.64999998</v>
      </c>
      <c r="AY20" s="26">
        <f>现金流量表!AY49</f>
        <v>183641321.5</v>
      </c>
      <c r="AZ20" s="26">
        <f>现金流量表!AZ49</f>
        <v>92274277.849999994</v>
      </c>
      <c r="BA20" s="26">
        <f>现金流量表!BA49</f>
        <v>364538167.36000001</v>
      </c>
      <c r="BB20" s="26">
        <f>现金流量表!BB49</f>
        <v>265159596.05000001</v>
      </c>
      <c r="BC20" s="26">
        <f>现金流量表!BC49</f>
        <v>173397518.30000001</v>
      </c>
      <c r="BD20" s="26">
        <f>现金流量表!BD49</f>
        <v>82462455.340000004</v>
      </c>
      <c r="BE20" s="26">
        <f>现金流量表!BE49</f>
        <v>124650766.03</v>
      </c>
      <c r="BF20" s="26">
        <f>现金流量表!BF49</f>
        <v>46326515.770000003</v>
      </c>
      <c r="BG20" s="26">
        <f>现金流量表!BG49</f>
        <v>18857970.699999999</v>
      </c>
      <c r="BH20" s="26">
        <f>现金流量表!BH49</f>
        <v>10015518</v>
      </c>
      <c r="BI20" s="26">
        <f>现金流量表!BI49</f>
        <v>37052146.119999997</v>
      </c>
      <c r="BJ20" s="26">
        <f>现金流量表!BJ49</f>
        <v>25413169.170000002</v>
      </c>
      <c r="BK20" s="26">
        <f>现金流量表!BK49</f>
        <v>18914811.73</v>
      </c>
      <c r="BL20" s="26">
        <f>现金流量表!BL49</f>
        <v>6591475.3899999997</v>
      </c>
      <c r="BM20" s="26">
        <f>现金流量表!BM49</f>
        <v>39291961.590000004</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1348925.1</v>
      </c>
      <c r="F21" s="26">
        <f>现金流量表!F50</f>
        <v>0</v>
      </c>
      <c r="G21" s="26">
        <f>现金流量表!G50</f>
        <v>867098.14</v>
      </c>
      <c r="H21" s="26">
        <f>现金流量表!H50</f>
        <v>0</v>
      </c>
      <c r="I21" s="26">
        <f>现金流量表!I50</f>
        <v>1146673.48</v>
      </c>
      <c r="J21" s="26">
        <f>现金流量表!J50</f>
        <v>0</v>
      </c>
      <c r="K21" s="26">
        <f>现金流量表!K50</f>
        <v>559775.43999999994</v>
      </c>
      <c r="L21" s="26">
        <f>现金流量表!L50</f>
        <v>0</v>
      </c>
      <c r="M21" s="26">
        <f>现金流量表!M50</f>
        <v>898760.6</v>
      </c>
      <c r="N21" s="26">
        <f>现金流量表!N50</f>
        <v>0</v>
      </c>
      <c r="O21" s="26">
        <f>现金流量表!O50</f>
        <v>374208.38</v>
      </c>
      <c r="P21" s="26">
        <f>现金流量表!P50</f>
        <v>0</v>
      </c>
      <c r="Q21" s="26">
        <f>现金流量表!Q50</f>
        <v>748416.75</v>
      </c>
      <c r="R21" s="26">
        <f>现金流量表!R50</f>
        <v>0</v>
      </c>
      <c r="S21" s="26">
        <f>现金流量表!S50</f>
        <v>379171.32</v>
      </c>
      <c r="T21" s="26">
        <f>现金流量表!T50</f>
        <v>0</v>
      </c>
      <c r="U21" s="26">
        <f>现金流量表!U50</f>
        <v>901574.31</v>
      </c>
      <c r="V21" s="26">
        <f>现金流量表!V50</f>
        <v>0</v>
      </c>
      <c r="W21" s="26">
        <f>现金流量表!W50</f>
        <v>647776.31999999995</v>
      </c>
      <c r="X21" s="26">
        <f>现金流量表!X50</f>
        <v>0</v>
      </c>
      <c r="Y21" s="26">
        <f>现金流量表!Y50</f>
        <v>1903795.64</v>
      </c>
      <c r="Z21" s="26">
        <f>现金流量表!Z50</f>
        <v>0</v>
      </c>
      <c r="AA21" s="26">
        <f>现金流量表!AA50</f>
        <v>918323.22</v>
      </c>
      <c r="AB21" s="26">
        <f>现金流量表!AB50</f>
        <v>0</v>
      </c>
      <c r="AC21" s="26">
        <f>现金流量表!AC50</f>
        <v>1923970.18</v>
      </c>
      <c r="AD21" s="26">
        <f>现金流量表!AD50</f>
        <v>0</v>
      </c>
      <c r="AE21" s="26">
        <f>现金流量表!AE50</f>
        <v>953780.24</v>
      </c>
      <c r="AF21" s="26">
        <f>现金流量表!AF50</f>
        <v>0</v>
      </c>
      <c r="AG21" s="26">
        <f>现金流量表!AG50</f>
        <v>4916504.0199999996</v>
      </c>
      <c r="AH21" s="26">
        <f>现金流量表!AH50</f>
        <v>0</v>
      </c>
      <c r="AI21" s="26">
        <f>现金流量表!AI50</f>
        <v>3403803.53</v>
      </c>
      <c r="AJ21" s="26">
        <f>现金流量表!AJ50</f>
        <v>0</v>
      </c>
      <c r="AK21" s="26">
        <f>现金流量表!AK50</f>
        <v>3874162.57</v>
      </c>
      <c r="AL21" s="26">
        <f>现金流量表!AL50</f>
        <v>0</v>
      </c>
      <c r="AM21" s="26">
        <f>现金流量表!AM50</f>
        <v>1743128.4</v>
      </c>
      <c r="AN21" s="26">
        <f>现金流量表!AN50</f>
        <v>0</v>
      </c>
      <c r="AO21" s="26">
        <f>现金流量表!AO50</f>
        <v>3607485.8</v>
      </c>
      <c r="AP21" s="26">
        <f>现金流量表!AP50</f>
        <v>0</v>
      </c>
      <c r="AQ21" s="26">
        <f>现金流量表!AQ50</f>
        <v>1743128.4</v>
      </c>
      <c r="AR21" s="26">
        <f>现金流量表!AR50</f>
        <v>0</v>
      </c>
      <c r="AS21" s="26">
        <f>现金流量表!AS50</f>
        <v>3657102.16</v>
      </c>
      <c r="AT21" s="26">
        <f>现金流量表!AT50</f>
        <v>0</v>
      </c>
      <c r="AU21" s="26">
        <f>现金流量表!AU50</f>
        <v>2328435.66</v>
      </c>
      <c r="AV21" s="26">
        <f>现金流量表!AV50</f>
        <v>0</v>
      </c>
      <c r="AW21" s="26">
        <f>现金流量表!AW50</f>
        <v>3967956.84</v>
      </c>
      <c r="AX21" s="26">
        <f>现金流量表!AX50</f>
        <v>3252153.51</v>
      </c>
      <c r="AY21" s="26">
        <f>现金流量表!AY50</f>
        <v>2208185.67</v>
      </c>
      <c r="AZ21" s="26">
        <f>现金流量表!AZ50</f>
        <v>1164217.83</v>
      </c>
      <c r="BA21" s="26">
        <f>现金流量表!BA50</f>
        <v>1760455.89</v>
      </c>
      <c r="BB21" s="26">
        <f>现金流量表!BB50</f>
        <v>1686516.78</v>
      </c>
      <c r="BC21" s="26">
        <f>现金流量表!BC50</f>
        <v>779887.02</v>
      </c>
      <c r="BD21" s="26">
        <f>现金流量表!BD50</f>
        <v>389943.51</v>
      </c>
      <c r="BE21" s="26">
        <f>现金流量表!BE50</f>
        <v>1542107.42</v>
      </c>
      <c r="BF21" s="26">
        <f>现金流量表!BF50</f>
        <v>1211273.92</v>
      </c>
      <c r="BG21" s="26">
        <f>现金流量表!BG50</f>
        <v>763887.06</v>
      </c>
      <c r="BH21" s="26">
        <f>现金流量表!BH50</f>
        <v>378943.53</v>
      </c>
      <c r="BI21" s="26">
        <f>现金流量表!BI50</f>
        <v>1515774.12</v>
      </c>
      <c r="BJ21" s="26">
        <f>现金流量表!BJ50</f>
        <v>1136830.5900000001</v>
      </c>
      <c r="BK21" s="26">
        <f>现金流量表!BK50</f>
        <v>757887.06</v>
      </c>
      <c r="BL21" s="26">
        <f>现金流量表!BL50</f>
        <v>378943.53</v>
      </c>
      <c r="BM21" s="26">
        <f>现金流量表!BM50</f>
        <v>1433274.12</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9381141.8499999996</v>
      </c>
      <c r="F22" s="26">
        <f>现金流量表!F51</f>
        <v>0</v>
      </c>
      <c r="G22" s="26">
        <f>现金流量表!G51</f>
        <v>15755.75</v>
      </c>
      <c r="H22" s="26">
        <f>现金流量表!H51</f>
        <v>0</v>
      </c>
      <c r="I22" s="26">
        <f>现金流量表!I51</f>
        <v>9440144.1099999994</v>
      </c>
      <c r="J22" s="26">
        <f>现金流量表!J51</f>
        <v>0</v>
      </c>
      <c r="K22" s="26">
        <f>现金流量表!K51</f>
        <v>6758183.5099999998</v>
      </c>
      <c r="L22" s="26">
        <f>现金流量表!L51</f>
        <v>0</v>
      </c>
      <c r="M22" s="26">
        <f>现金流量表!M51</f>
        <v>8266296.9900000002</v>
      </c>
      <c r="N22" s="26">
        <f>现金流量表!N51</f>
        <v>0</v>
      </c>
      <c r="O22" s="26">
        <f>现金流量表!O51</f>
        <v>825994.05</v>
      </c>
      <c r="P22" s="26">
        <f>现金流量表!P51</f>
        <v>0</v>
      </c>
      <c r="Q22" s="26">
        <f>现金流量表!Q51</f>
        <v>3594146.29</v>
      </c>
      <c r="R22" s="26">
        <f>现金流量表!R51</f>
        <v>0</v>
      </c>
      <c r="S22" s="26">
        <f>现金流量表!S51</f>
        <v>1802763.16</v>
      </c>
      <c r="T22" s="26">
        <f>现金流量表!T51</f>
        <v>0</v>
      </c>
      <c r="U22" s="26">
        <f>现金流量表!U51</f>
        <v>4569235.32</v>
      </c>
      <c r="V22" s="26">
        <f>现金流量表!V51</f>
        <v>0</v>
      </c>
      <c r="W22" s="26">
        <f>现金流量表!W51</f>
        <v>2005708.86</v>
      </c>
      <c r="X22" s="26">
        <f>现金流量表!X51</f>
        <v>0</v>
      </c>
      <c r="Y22" s="26">
        <f>现金流量表!Y51</f>
        <v>3990590.36</v>
      </c>
      <c r="Z22" s="26">
        <f>现金流量表!Z51</f>
        <v>0</v>
      </c>
      <c r="AA22" s="26">
        <f>现金流量表!AA51</f>
        <v>1411892.33</v>
      </c>
      <c r="AB22" s="26">
        <f>现金流量表!AB51</f>
        <v>0</v>
      </c>
      <c r="AC22" s="26">
        <f>现金流量表!AC51</f>
        <v>4592925.83</v>
      </c>
      <c r="AD22" s="26">
        <f>现金流量表!AD51</f>
        <v>0</v>
      </c>
      <c r="AE22" s="26">
        <f>现金流量表!AE51</f>
        <v>2361873.2999999998</v>
      </c>
      <c r="AF22" s="26">
        <f>现金流量表!AF51</f>
        <v>0</v>
      </c>
      <c r="AG22" s="26">
        <f>现金流量表!AG51</f>
        <v>12388219.08</v>
      </c>
      <c r="AH22" s="26">
        <f>现金流量表!AH51</f>
        <v>0</v>
      </c>
      <c r="AI22" s="26">
        <f>现金流量表!AI51</f>
        <v>5352984.46</v>
      </c>
      <c r="AJ22" s="26">
        <f>现金流量表!AJ51</f>
        <v>0</v>
      </c>
      <c r="AK22" s="26">
        <f>现金流量表!AK51</f>
        <v>9637201.8699999992</v>
      </c>
      <c r="AL22" s="26">
        <f>现金流量表!AL51</f>
        <v>0</v>
      </c>
      <c r="AM22" s="26">
        <f>现金流量表!AM51</f>
        <v>4523927.51</v>
      </c>
      <c r="AN22" s="26">
        <f>现金流量表!AN51</f>
        <v>0</v>
      </c>
      <c r="AO22" s="26">
        <f>现金流量表!AO51</f>
        <v>10650859.42</v>
      </c>
      <c r="AP22" s="26">
        <f>现金流量表!AP51</f>
        <v>0</v>
      </c>
      <c r="AQ22" s="26">
        <f>现金流量表!AQ51</f>
        <v>5020764.6900000004</v>
      </c>
      <c r="AR22" s="26">
        <f>现金流量表!AR51</f>
        <v>0</v>
      </c>
      <c r="AS22" s="26">
        <f>现金流量表!AS51</f>
        <v>10528653.810000001</v>
      </c>
      <c r="AT22" s="26">
        <f>现金流量表!AT51</f>
        <v>0</v>
      </c>
      <c r="AU22" s="26">
        <f>现金流量表!AU51</f>
        <v>2047906.41</v>
      </c>
      <c r="AV22" s="26">
        <f>现金流量表!AV51</f>
        <v>0</v>
      </c>
      <c r="AW22" s="26">
        <f>现金流量表!AW51</f>
        <v>6856036.2000000002</v>
      </c>
      <c r="AX22" s="26">
        <f>现金流量表!AX51</f>
        <v>447590.8</v>
      </c>
      <c r="AY22" s="26">
        <f>现金流量表!AY51</f>
        <v>447590.8</v>
      </c>
      <c r="AZ22" s="26">
        <f>现金流量表!AZ51</f>
        <v>231472.72</v>
      </c>
      <c r="BA22" s="26">
        <f>现金流量表!BA51</f>
        <v>10781792.43</v>
      </c>
      <c r="BB22" s="26">
        <f>现金流量表!BB51</f>
        <v>5618148.6200000001</v>
      </c>
      <c r="BC22" s="26">
        <f>现金流量表!BC51</f>
        <v>5233003.3899999997</v>
      </c>
      <c r="BD22" s="26">
        <f>现金流量表!BD51</f>
        <v>0</v>
      </c>
      <c r="BE22" s="26">
        <f>现金流量表!BE51</f>
        <v>7545930.1399999997</v>
      </c>
      <c r="BF22" s="26">
        <f>现金流量表!BF51</f>
        <v>5878366.6699999999</v>
      </c>
      <c r="BG22" s="26">
        <f>现金流量表!BG51</f>
        <v>3707989.21</v>
      </c>
      <c r="BH22" s="26">
        <f>现金流量表!BH51</f>
        <v>1939657.63</v>
      </c>
      <c r="BI22" s="26">
        <f>现金流量表!BI51</f>
        <v>7484230.4299999997</v>
      </c>
      <c r="BJ22" s="26">
        <f>现金流量表!BJ51</f>
        <v>2920792.36</v>
      </c>
      <c r="BK22" s="26">
        <f>现金流量表!BK51</f>
        <v>2117947.64</v>
      </c>
      <c r="BL22" s="26">
        <f>现金流量表!BL51</f>
        <v>1347761.24</v>
      </c>
      <c r="BM22" s="26">
        <f>现金流量表!BM51</f>
        <v>5066096.38</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-1333193.6000000001</v>
      </c>
      <c r="F23" s="26">
        <f>现金流量表!F54</f>
        <v>0</v>
      </c>
      <c r="G23" s="26">
        <f>现金流量表!G54</f>
        <v>0</v>
      </c>
      <c r="H23" s="26">
        <f>现金流量表!H54</f>
        <v>0</v>
      </c>
      <c r="I23" s="26">
        <f>现金流量表!I54</f>
        <v>232597.95</v>
      </c>
      <c r="J23" s="26">
        <f>现金流量表!J54</f>
        <v>0</v>
      </c>
      <c r="K23" s="26">
        <f>现金流量表!K54</f>
        <v>0</v>
      </c>
      <c r="L23" s="26">
        <f>现金流量表!L54</f>
        <v>0</v>
      </c>
      <c r="M23" s="26">
        <f>现金流量表!M54</f>
        <v>-1082361.19</v>
      </c>
      <c r="N23" s="26">
        <f>现金流量表!N54</f>
        <v>0</v>
      </c>
      <c r="O23" s="26">
        <f>现金流量表!O54</f>
        <v>0</v>
      </c>
      <c r="P23" s="26">
        <f>现金流量表!P54</f>
        <v>0</v>
      </c>
      <c r="Q23" s="26">
        <f>现金流量表!Q54</f>
        <v>35966308.520000003</v>
      </c>
      <c r="R23" s="26">
        <f>现金流量表!R54</f>
        <v>0</v>
      </c>
      <c r="S23" s="26">
        <f>现金流量表!S54</f>
        <v>0</v>
      </c>
      <c r="T23" s="26">
        <f>现金流量表!T54</f>
        <v>0</v>
      </c>
      <c r="U23" s="26">
        <f>现金流量表!U54</f>
        <v>55824037.210000001</v>
      </c>
      <c r="V23" s="26">
        <f>现金流量表!V54</f>
        <v>0</v>
      </c>
      <c r="W23" s="26">
        <f>现金流量表!W54</f>
        <v>0</v>
      </c>
      <c r="X23" s="26">
        <f>现金流量表!X54</f>
        <v>0</v>
      </c>
      <c r="Y23" s="26">
        <f>现金流量表!Y54</f>
        <v>111713937.40000001</v>
      </c>
      <c r="Z23" s="26">
        <f>现金流量表!Z54</f>
        <v>0</v>
      </c>
      <c r="AA23" s="26">
        <f>现金流量表!AA54</f>
        <v>0</v>
      </c>
      <c r="AB23" s="26">
        <f>现金流量表!AB54</f>
        <v>0</v>
      </c>
      <c r="AC23" s="26">
        <f>现金流量表!AC54</f>
        <v>2194934.7999999998</v>
      </c>
      <c r="AD23" s="26">
        <f>现金流量表!AD54</f>
        <v>0</v>
      </c>
      <c r="AE23" s="26">
        <f>现金流量表!AE54</f>
        <v>0</v>
      </c>
      <c r="AF23" s="26">
        <f>现金流量表!AF54</f>
        <v>0</v>
      </c>
      <c r="AG23" s="26">
        <f>现金流量表!AG54</f>
        <v>0</v>
      </c>
      <c r="AH23" s="26">
        <f>现金流量表!AH54</f>
        <v>0</v>
      </c>
      <c r="AI23" s="26">
        <f>现金流量表!AI54</f>
        <v>11090.98</v>
      </c>
      <c r="AJ23" s="26">
        <f>现金流量表!AJ54</f>
        <v>0</v>
      </c>
      <c r="AK23" s="26">
        <f>现金流量表!AK54</f>
        <v>-17671.34</v>
      </c>
      <c r="AL23" s="26">
        <f>现金流量表!AL54</f>
        <v>0</v>
      </c>
      <c r="AM23" s="26">
        <f>现金流量表!AM54</f>
        <v>-2500</v>
      </c>
      <c r="AN23" s="26">
        <f>现金流量表!AN54</f>
        <v>0</v>
      </c>
      <c r="AO23" s="26">
        <f>现金流量表!AO54</f>
        <v>-158555.29</v>
      </c>
      <c r="AP23" s="26">
        <f>现金流量表!AP54</f>
        <v>0</v>
      </c>
      <c r="AQ23" s="26">
        <f>现金流量表!AQ54</f>
        <v>-99752</v>
      </c>
      <c r="AR23" s="26">
        <f>现金流量表!AR54</f>
        <v>0</v>
      </c>
      <c r="AS23" s="26">
        <f>现金流量表!AS54</f>
        <v>-3255083.53</v>
      </c>
      <c r="AT23" s="26">
        <f>现金流量表!AT54</f>
        <v>0</v>
      </c>
      <c r="AU23" s="26">
        <f>现金流量表!AU54</f>
        <v>109004.2</v>
      </c>
      <c r="AV23" s="26">
        <f>现金流量表!AV54</f>
        <v>0</v>
      </c>
      <c r="AW23" s="26">
        <f>现金流量表!AW54</f>
        <v>-1079085.8600000001</v>
      </c>
      <c r="AX23" s="26">
        <f>现金流量表!AX54</f>
        <v>-894832.11</v>
      </c>
      <c r="AY23" s="26">
        <f>现金流量表!AY54</f>
        <v>-385014.11</v>
      </c>
      <c r="AZ23" s="26">
        <f>现金流量表!AZ54</f>
        <v>-428601.89</v>
      </c>
      <c r="BA23" s="26">
        <f>现金流量表!BA54</f>
        <v>-785708.5</v>
      </c>
      <c r="BB23" s="26">
        <f>现金流量表!BB54</f>
        <v>-860001.45</v>
      </c>
      <c r="BC23" s="26">
        <f>现金流量表!BC54</f>
        <v>-757259.59</v>
      </c>
      <c r="BD23" s="26">
        <f>现金流量表!BD54</f>
        <v>-315107.46000000002</v>
      </c>
      <c r="BE23" s="26">
        <f>现金流量表!BE54</f>
        <v>1905251.57</v>
      </c>
      <c r="BF23" s="26">
        <f>现金流量表!BF54</f>
        <v>2528176.2000000002</v>
      </c>
      <c r="BG23" s="26">
        <f>现金流量表!BG54</f>
        <v>3295457.57</v>
      </c>
      <c r="BH23" s="26">
        <f>现金流量表!BH54</f>
        <v>1989257.14</v>
      </c>
      <c r="BI23" s="26">
        <f>现金流量表!BI54</f>
        <v>337437.76</v>
      </c>
      <c r="BJ23" s="26">
        <f>现金流量表!BJ54</f>
        <v>-216016.53</v>
      </c>
      <c r="BK23" s="26">
        <f>现金流量表!BK54</f>
        <v>-201206.53</v>
      </c>
      <c r="BL23" s="26">
        <f>现金流量表!BL54</f>
        <v>-950</v>
      </c>
      <c r="BM23" s="26">
        <f>现金流量表!BM54</f>
        <v>-520360.84</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831440.32</v>
      </c>
      <c r="F24" s="26">
        <f>现金流量表!F55</f>
        <v>0</v>
      </c>
      <c r="G24" s="26">
        <f>现金流量表!G55</f>
        <v>1944667.32</v>
      </c>
      <c r="H24" s="26">
        <f>现金流量表!H55</f>
        <v>0</v>
      </c>
      <c r="I24" s="26">
        <f>现金流量表!I55</f>
        <v>904204.62</v>
      </c>
      <c r="J24" s="26">
        <f>现金流量表!J55</f>
        <v>0</v>
      </c>
      <c r="K24" s="26">
        <f>现金流量表!K55</f>
        <v>31460.06</v>
      </c>
      <c r="L24" s="26">
        <f>现金流量表!L55</f>
        <v>0</v>
      </c>
      <c r="M24" s="26">
        <f>现金流量表!M55</f>
        <v>0</v>
      </c>
      <c r="N24" s="26">
        <f>现金流量表!N55</f>
        <v>0</v>
      </c>
      <c r="O24" s="26">
        <f>现金流量表!O55</f>
        <v>-300373.88</v>
      </c>
      <c r="P24" s="26">
        <f>现金流量表!P55</f>
        <v>0</v>
      </c>
      <c r="Q24" s="26">
        <f>现金流量表!Q55</f>
        <v>0</v>
      </c>
      <c r="R24" s="26">
        <f>现金流量表!R55</f>
        <v>0</v>
      </c>
      <c r="S24" s="26">
        <f>现金流量表!S55</f>
        <v>-45262.78</v>
      </c>
      <c r="T24" s="26">
        <f>现金流量表!T55</f>
        <v>0</v>
      </c>
      <c r="U24" s="26">
        <f>现金流量表!U55</f>
        <v>0</v>
      </c>
      <c r="V24" s="26">
        <f>现金流量表!V55</f>
        <v>0</v>
      </c>
      <c r="W24" s="26">
        <f>现金流量表!W55</f>
        <v>-115027.89</v>
      </c>
      <c r="X24" s="26">
        <f>现金流量表!X55</f>
        <v>0</v>
      </c>
      <c r="Y24" s="26">
        <f>现金流量表!Y55</f>
        <v>9487.25</v>
      </c>
      <c r="Z24" s="26">
        <f>现金流量表!Z55</f>
        <v>0</v>
      </c>
      <c r="AA24" s="26">
        <f>现金流量表!AA55</f>
        <v>49772.82</v>
      </c>
      <c r="AB24" s="26">
        <f>现金流量表!AB55</f>
        <v>0</v>
      </c>
      <c r="AC24" s="26">
        <f>现金流量表!AC55</f>
        <v>0</v>
      </c>
      <c r="AD24" s="26">
        <f>现金流量表!AD55</f>
        <v>0</v>
      </c>
      <c r="AE24" s="26">
        <f>现金流量表!AE55</f>
        <v>115929.99</v>
      </c>
      <c r="AF24" s="26">
        <f>现金流量表!AF55</f>
        <v>0</v>
      </c>
      <c r="AG24" s="26">
        <f>现金流量表!AG55</f>
        <v>282642.39</v>
      </c>
      <c r="AH24" s="26">
        <f>现金流量表!AH55</f>
        <v>0</v>
      </c>
      <c r="AI24" s="26">
        <f>现金流量表!AI55</f>
        <v>33996.94</v>
      </c>
      <c r="AJ24" s="26">
        <f>现金流量表!AJ55</f>
        <v>0</v>
      </c>
      <c r="AK24" s="26">
        <f>现金流量表!AK55</f>
        <v>37267.9</v>
      </c>
      <c r="AL24" s="26">
        <f>现金流量表!AL55</f>
        <v>0</v>
      </c>
      <c r="AM24" s="26">
        <f>现金流量表!AM55</f>
        <v>-27568.19</v>
      </c>
      <c r="AN24" s="26">
        <f>现金流量表!AN55</f>
        <v>0</v>
      </c>
      <c r="AO24" s="26">
        <f>现金流量表!AO55</f>
        <v>8620.3799999999992</v>
      </c>
      <c r="AP24" s="26">
        <f>现金流量表!AP55</f>
        <v>0</v>
      </c>
      <c r="AQ24" s="26">
        <f>现金流量表!AQ55</f>
        <v>1790</v>
      </c>
      <c r="AR24" s="26">
        <f>现金流量表!AR55</f>
        <v>0</v>
      </c>
      <c r="AS24" s="26">
        <f>现金流量表!AS55</f>
        <v>161892.99</v>
      </c>
      <c r="AT24" s="26">
        <f>现金流量表!AT55</f>
        <v>0</v>
      </c>
      <c r="AU24" s="26">
        <f>现金流量表!AU55</f>
        <v>0</v>
      </c>
      <c r="AV24" s="26">
        <f>现金流量表!AV55</f>
        <v>0</v>
      </c>
      <c r="AW24" s="26">
        <f>现金流量表!AW55</f>
        <v>122936.25</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11071.69</v>
      </c>
      <c r="BG24" s="26">
        <f>现金流量表!BG55</f>
        <v>0</v>
      </c>
      <c r="BH24" s="26">
        <f>现金流量表!BH55</f>
        <v>0</v>
      </c>
      <c r="BI24" s="26">
        <f>现金流量表!BI55</f>
        <v>1086887.46</v>
      </c>
      <c r="BJ24" s="26">
        <f>现金流量表!BJ55</f>
        <v>25093.32</v>
      </c>
      <c r="BK24" s="26">
        <f>现金流量表!BK55</f>
        <v>0</v>
      </c>
      <c r="BL24" s="26">
        <f>现金流量表!BL55</f>
        <v>0</v>
      </c>
      <c r="BM24" s="26">
        <f>现金流量表!BM55</f>
        <v>161381.81</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631747477.61000013</v>
      </c>
      <c r="F25" s="28">
        <f t="shared" ref="F25:BQ25" si="12">SUM(F19:F24)</f>
        <v>0</v>
      </c>
      <c r="G25" s="28">
        <f t="shared" si="12"/>
        <v>304005334.82999992</v>
      </c>
      <c r="H25" s="28">
        <f t="shared" si="12"/>
        <v>0</v>
      </c>
      <c r="I25" s="28">
        <f t="shared" si="12"/>
        <v>609687065.75999999</v>
      </c>
      <c r="J25" s="28">
        <f t="shared" si="12"/>
        <v>0</v>
      </c>
      <c r="K25" s="28">
        <f t="shared" si="12"/>
        <v>267152929.22999999</v>
      </c>
      <c r="L25" s="28">
        <f t="shared" si="12"/>
        <v>0</v>
      </c>
      <c r="M25" s="28">
        <f t="shared" si="12"/>
        <v>529738350.69999999</v>
      </c>
      <c r="N25" s="28">
        <f t="shared" si="12"/>
        <v>0</v>
      </c>
      <c r="O25" s="28">
        <f t="shared" si="12"/>
        <v>266785325.41</v>
      </c>
      <c r="P25" s="28">
        <f t="shared" si="12"/>
        <v>0</v>
      </c>
      <c r="Q25" s="28">
        <f t="shared" si="12"/>
        <v>719189088.25999999</v>
      </c>
      <c r="R25" s="28">
        <f t="shared" si="12"/>
        <v>0</v>
      </c>
      <c r="S25" s="28">
        <f t="shared" si="12"/>
        <v>354249842.70000005</v>
      </c>
      <c r="T25" s="28">
        <f t="shared" si="12"/>
        <v>0</v>
      </c>
      <c r="U25" s="28">
        <f t="shared" si="12"/>
        <v>727799205.19999993</v>
      </c>
      <c r="V25" s="28">
        <f t="shared" si="12"/>
        <v>0</v>
      </c>
      <c r="W25" s="28">
        <f t="shared" si="12"/>
        <v>364087162.90000004</v>
      </c>
      <c r="X25" s="28">
        <f t="shared" si="12"/>
        <v>0</v>
      </c>
      <c r="Y25" s="28">
        <f t="shared" si="12"/>
        <v>791496763.11000001</v>
      </c>
      <c r="Z25" s="28">
        <f t="shared" si="12"/>
        <v>0</v>
      </c>
      <c r="AA25" s="28">
        <f t="shared" si="12"/>
        <v>365904173.78000003</v>
      </c>
      <c r="AB25" s="28">
        <f t="shared" si="12"/>
        <v>0</v>
      </c>
      <c r="AC25" s="28">
        <f t="shared" si="12"/>
        <v>655520801.87</v>
      </c>
      <c r="AD25" s="28">
        <f t="shared" si="12"/>
        <v>0</v>
      </c>
      <c r="AE25" s="28">
        <f t="shared" si="12"/>
        <v>334676583.43000001</v>
      </c>
      <c r="AF25" s="28">
        <f t="shared" si="12"/>
        <v>0</v>
      </c>
      <c r="AG25" s="28">
        <f t="shared" si="12"/>
        <v>620381179.50999999</v>
      </c>
      <c r="AH25" s="28">
        <f t="shared" si="12"/>
        <v>0</v>
      </c>
      <c r="AI25" s="28">
        <f t="shared" si="12"/>
        <v>281608394.10999995</v>
      </c>
      <c r="AJ25" s="28">
        <f t="shared" si="12"/>
        <v>0</v>
      </c>
      <c r="AK25" s="28">
        <f t="shared" si="12"/>
        <v>574235602.48000002</v>
      </c>
      <c r="AL25" s="28">
        <f t="shared" si="12"/>
        <v>0</v>
      </c>
      <c r="AM25" s="28">
        <f t="shared" si="12"/>
        <v>271629425.86000001</v>
      </c>
      <c r="AN25" s="28">
        <f t="shared" si="12"/>
        <v>0</v>
      </c>
      <c r="AO25" s="28">
        <f t="shared" si="12"/>
        <v>488407332.38999999</v>
      </c>
      <c r="AP25" s="28">
        <f t="shared" si="12"/>
        <v>0</v>
      </c>
      <c r="AQ25" s="28">
        <f t="shared" si="12"/>
        <v>238773070.21000001</v>
      </c>
      <c r="AR25" s="28">
        <f t="shared" si="12"/>
        <v>0</v>
      </c>
      <c r="AS25" s="28">
        <f t="shared" si="12"/>
        <v>391977517.10000002</v>
      </c>
      <c r="AT25" s="28">
        <f t="shared" si="12"/>
        <v>0</v>
      </c>
      <c r="AU25" s="28">
        <f t="shared" si="12"/>
        <v>196887336.74999997</v>
      </c>
      <c r="AV25" s="28">
        <f t="shared" si="12"/>
        <v>0</v>
      </c>
      <c r="AW25" s="28">
        <f t="shared" si="12"/>
        <v>372819777.43999994</v>
      </c>
      <c r="AX25" s="28">
        <f t="shared" si="12"/>
        <v>279811494.92999995</v>
      </c>
      <c r="AY25" s="28">
        <f t="shared" si="12"/>
        <v>187265695.94</v>
      </c>
      <c r="AZ25" s="28">
        <f t="shared" si="12"/>
        <v>93241366.50999999</v>
      </c>
      <c r="BA25" s="28">
        <f t="shared" si="12"/>
        <v>386702458.63999999</v>
      </c>
      <c r="BB25" s="28">
        <f t="shared" si="12"/>
        <v>271604260</v>
      </c>
      <c r="BC25" s="28">
        <f t="shared" si="12"/>
        <v>195863945.87</v>
      </c>
      <c r="BD25" s="28">
        <f t="shared" si="12"/>
        <v>82537291.390000015</v>
      </c>
      <c r="BE25" s="28">
        <f t="shared" si="12"/>
        <v>137878872.72999999</v>
      </c>
      <c r="BF25" s="28">
        <f t="shared" si="12"/>
        <v>68917257.900000006</v>
      </c>
      <c r="BG25" s="28">
        <f t="shared" si="12"/>
        <v>26625304.539999999</v>
      </c>
      <c r="BH25" s="28">
        <f t="shared" si="12"/>
        <v>14323376.300000001</v>
      </c>
      <c r="BI25" s="28">
        <f t="shared" si="12"/>
        <v>55662125.779999994</v>
      </c>
      <c r="BJ25" s="28">
        <f t="shared" si="12"/>
        <v>29279868.91</v>
      </c>
      <c r="BK25" s="28">
        <f t="shared" si="12"/>
        <v>21589439.899999999</v>
      </c>
      <c r="BL25" s="28">
        <f t="shared" si="12"/>
        <v>8317230.1600000001</v>
      </c>
      <c r="BM25" s="28">
        <f t="shared" si="12"/>
        <v>52306231.590000004</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1521321422.5299997</v>
      </c>
      <c r="F26" s="28">
        <f t="shared" ref="F26:BQ26" si="14">F14-F25</f>
        <v>1591489962.48</v>
      </c>
      <c r="G26" s="28">
        <f t="shared" si="14"/>
        <v>1303747719.6500001</v>
      </c>
      <c r="H26" s="28">
        <f t="shared" si="14"/>
        <v>443738332.73000002</v>
      </c>
      <c r="I26" s="28">
        <f t="shared" si="14"/>
        <v>1346412649.9000001</v>
      </c>
      <c r="J26" s="28">
        <f t="shared" si="14"/>
        <v>1314892443.8099999</v>
      </c>
      <c r="K26" s="28">
        <f t="shared" si="14"/>
        <v>736660263.59000003</v>
      </c>
      <c r="L26" s="28">
        <f t="shared" si="14"/>
        <v>90069986.540000007</v>
      </c>
      <c r="M26" s="28">
        <f t="shared" si="14"/>
        <v>1209374031.1800001</v>
      </c>
      <c r="N26" s="28">
        <f t="shared" si="14"/>
        <v>1209008984.1199999</v>
      </c>
      <c r="O26" s="28">
        <f t="shared" si="14"/>
        <v>797934482.48000002</v>
      </c>
      <c r="P26" s="28">
        <f t="shared" si="14"/>
        <v>224087496.09</v>
      </c>
      <c r="Q26" s="28">
        <f t="shared" si="14"/>
        <v>1104610265.8900001</v>
      </c>
      <c r="R26" s="28">
        <f t="shared" si="14"/>
        <v>1141974147.04</v>
      </c>
      <c r="S26" s="28">
        <f t="shared" si="14"/>
        <v>473242378.37</v>
      </c>
      <c r="T26" s="28">
        <f t="shared" si="14"/>
        <v>110414871.86</v>
      </c>
      <c r="U26" s="28">
        <f t="shared" si="14"/>
        <v>1238169722.0799999</v>
      </c>
      <c r="V26" s="28">
        <f t="shared" si="14"/>
        <v>1425917380.5599999</v>
      </c>
      <c r="W26" s="28">
        <f t="shared" si="14"/>
        <v>531689439.80000001</v>
      </c>
      <c r="X26" s="28">
        <f t="shared" si="14"/>
        <v>216988976.31999999</v>
      </c>
      <c r="Y26" s="28">
        <f t="shared" si="14"/>
        <v>1005162897.8100001</v>
      </c>
      <c r="Z26" s="28">
        <f t="shared" si="14"/>
        <v>1231863627.05</v>
      </c>
      <c r="AA26" s="28">
        <f t="shared" si="14"/>
        <v>512698919.93000001</v>
      </c>
      <c r="AB26" s="28">
        <f t="shared" si="14"/>
        <v>265016285.38</v>
      </c>
      <c r="AC26" s="28">
        <f t="shared" si="14"/>
        <v>654602545.01000011</v>
      </c>
      <c r="AD26" s="28">
        <f t="shared" si="14"/>
        <v>759127008.41999996</v>
      </c>
      <c r="AE26" s="28">
        <f t="shared" si="14"/>
        <v>117988715.61000001</v>
      </c>
      <c r="AF26" s="28">
        <f t="shared" si="14"/>
        <v>60278942.149999999</v>
      </c>
      <c r="AG26" s="28">
        <f t="shared" si="14"/>
        <v>1026073153.2</v>
      </c>
      <c r="AH26" s="28">
        <f t="shared" si="14"/>
        <v>1581501597.6300001</v>
      </c>
      <c r="AI26" s="28">
        <f t="shared" si="14"/>
        <v>393203787.94999999</v>
      </c>
      <c r="AJ26" s="28">
        <f t="shared" si="14"/>
        <v>214291040.36000001</v>
      </c>
      <c r="AK26" s="28">
        <f t="shared" si="14"/>
        <v>581005264.3499999</v>
      </c>
      <c r="AL26" s="28">
        <f t="shared" si="14"/>
        <v>630370222.09000003</v>
      </c>
      <c r="AM26" s="28">
        <f t="shared" si="14"/>
        <v>199385175.25</v>
      </c>
      <c r="AN26" s="28">
        <f t="shared" si="14"/>
        <v>149132306.81999999</v>
      </c>
      <c r="AO26" s="28">
        <f t="shared" si="14"/>
        <v>507967748.07000005</v>
      </c>
      <c r="AP26" s="28">
        <f t="shared" si="14"/>
        <v>526013901.83999997</v>
      </c>
      <c r="AQ26" s="28">
        <f t="shared" si="14"/>
        <v>-11168041.349999994</v>
      </c>
      <c r="AR26" s="28">
        <f t="shared" si="14"/>
        <v>77241738.450000003</v>
      </c>
      <c r="AS26" s="28">
        <f t="shared" si="14"/>
        <v>751686899.38999999</v>
      </c>
      <c r="AT26" s="28">
        <f t="shared" si="14"/>
        <v>907792375.77999997</v>
      </c>
      <c r="AU26" s="28">
        <f t="shared" si="14"/>
        <v>47172298.450000018</v>
      </c>
      <c r="AV26" s="28">
        <f t="shared" si="14"/>
        <v>168491635.71000001</v>
      </c>
      <c r="AW26" s="28">
        <f t="shared" si="14"/>
        <v>668898986.2700001</v>
      </c>
      <c r="AX26" s="28">
        <f t="shared" si="14"/>
        <v>327152388.1500001</v>
      </c>
      <c r="AY26" s="28">
        <f t="shared" si="14"/>
        <v>173396356.48000002</v>
      </c>
      <c r="AZ26" s="28">
        <f t="shared" si="14"/>
        <v>83601383.450000018</v>
      </c>
      <c r="BA26" s="28">
        <f t="shared" si="14"/>
        <v>78401874.74000001</v>
      </c>
      <c r="BB26" s="28">
        <f t="shared" si="14"/>
        <v>189729099.82999998</v>
      </c>
      <c r="BC26" s="28">
        <f t="shared" si="14"/>
        <v>-13154013.319999993</v>
      </c>
      <c r="BD26" s="28">
        <f t="shared" si="14"/>
        <v>-895303.59000001848</v>
      </c>
      <c r="BE26" s="28">
        <f t="shared" si="14"/>
        <v>153600502.93000004</v>
      </c>
      <c r="BF26" s="28">
        <f t="shared" si="14"/>
        <v>207008411.62999997</v>
      </c>
      <c r="BG26" s="28">
        <f t="shared" si="14"/>
        <v>171785210.64000002</v>
      </c>
      <c r="BH26" s="28">
        <f t="shared" si="14"/>
        <v>128632618.73999999</v>
      </c>
      <c r="BI26" s="28">
        <f t="shared" si="14"/>
        <v>326330711.94000006</v>
      </c>
      <c r="BJ26" s="28">
        <f t="shared" si="14"/>
        <v>246902511.94000003</v>
      </c>
      <c r="BK26" s="28">
        <f t="shared" si="14"/>
        <v>188595040.38</v>
      </c>
      <c r="BL26" s="28">
        <f t="shared" si="14"/>
        <v>105345474.76000001</v>
      </c>
      <c r="BM26" s="28">
        <f t="shared" si="14"/>
        <v>232052592.09</v>
      </c>
      <c r="BN26" s="28">
        <f t="shared" si="14"/>
        <v>124769472.61</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1520489982.2099998</v>
      </c>
      <c r="F27" s="26">
        <f t="shared" ref="F27:BQ27" si="16">F26-F24</f>
        <v>1591489962.48</v>
      </c>
      <c r="G27" s="26">
        <f t="shared" si="16"/>
        <v>1301803052.3300002</v>
      </c>
      <c r="H27" s="26">
        <f t="shared" si="16"/>
        <v>443738332.73000002</v>
      </c>
      <c r="I27" s="26">
        <f t="shared" si="16"/>
        <v>1345508445.2800002</v>
      </c>
      <c r="J27" s="26">
        <f t="shared" si="16"/>
        <v>1314892443.8099999</v>
      </c>
      <c r="K27" s="26">
        <f t="shared" si="16"/>
        <v>736628803.53000009</v>
      </c>
      <c r="L27" s="26">
        <f t="shared" si="16"/>
        <v>90069986.540000007</v>
      </c>
      <c r="M27" s="26">
        <f t="shared" si="16"/>
        <v>1209374031.1800001</v>
      </c>
      <c r="N27" s="26">
        <f t="shared" si="16"/>
        <v>1209008984.1199999</v>
      </c>
      <c r="O27" s="26">
        <f t="shared" si="16"/>
        <v>798234856.36000001</v>
      </c>
      <c r="P27" s="26">
        <f t="shared" si="16"/>
        <v>224087496.09</v>
      </c>
      <c r="Q27" s="26">
        <f t="shared" si="16"/>
        <v>1104610265.8900001</v>
      </c>
      <c r="R27" s="26">
        <f t="shared" si="16"/>
        <v>1141974147.04</v>
      </c>
      <c r="S27" s="26">
        <f t="shared" si="16"/>
        <v>473287641.14999998</v>
      </c>
      <c r="T27" s="26">
        <f t="shared" si="16"/>
        <v>110414871.86</v>
      </c>
      <c r="U27" s="26">
        <f t="shared" si="16"/>
        <v>1238169722.0799999</v>
      </c>
      <c r="V27" s="26">
        <f t="shared" si="16"/>
        <v>1425917380.5599999</v>
      </c>
      <c r="W27" s="26">
        <f t="shared" si="16"/>
        <v>531804467.69</v>
      </c>
      <c r="X27" s="26">
        <f t="shared" si="16"/>
        <v>216988976.31999999</v>
      </c>
      <c r="Y27" s="26">
        <f t="shared" si="16"/>
        <v>1005153410.5600001</v>
      </c>
      <c r="Z27" s="26">
        <f t="shared" si="16"/>
        <v>1231863627.05</v>
      </c>
      <c r="AA27" s="26">
        <f t="shared" si="16"/>
        <v>512649147.11000001</v>
      </c>
      <c r="AB27" s="26">
        <f t="shared" si="16"/>
        <v>265016285.38</v>
      </c>
      <c r="AC27" s="26">
        <f t="shared" si="16"/>
        <v>654602545.01000011</v>
      </c>
      <c r="AD27" s="26">
        <f t="shared" si="16"/>
        <v>759127008.41999996</v>
      </c>
      <c r="AE27" s="26">
        <f t="shared" si="16"/>
        <v>117872785.62000002</v>
      </c>
      <c r="AF27" s="26">
        <f t="shared" si="16"/>
        <v>60278942.149999999</v>
      </c>
      <c r="AG27" s="26">
        <f t="shared" si="16"/>
        <v>1025790510.8100001</v>
      </c>
      <c r="AH27" s="26">
        <f t="shared" si="16"/>
        <v>1581501597.6300001</v>
      </c>
      <c r="AI27" s="26">
        <f t="shared" si="16"/>
        <v>393169791.00999999</v>
      </c>
      <c r="AJ27" s="26">
        <f t="shared" si="16"/>
        <v>214291040.36000001</v>
      </c>
      <c r="AK27" s="26">
        <f t="shared" si="16"/>
        <v>580967996.44999993</v>
      </c>
      <c r="AL27" s="26">
        <f t="shared" si="16"/>
        <v>630370222.09000003</v>
      </c>
      <c r="AM27" s="26">
        <f t="shared" si="16"/>
        <v>199412743.44</v>
      </c>
      <c r="AN27" s="26">
        <f t="shared" si="16"/>
        <v>149132306.81999999</v>
      </c>
      <c r="AO27" s="26">
        <f t="shared" si="16"/>
        <v>507959127.69000006</v>
      </c>
      <c r="AP27" s="26">
        <f t="shared" si="16"/>
        <v>526013901.83999997</v>
      </c>
      <c r="AQ27" s="26">
        <f t="shared" si="16"/>
        <v>-11169831.349999994</v>
      </c>
      <c r="AR27" s="26">
        <f t="shared" si="16"/>
        <v>77241738.450000003</v>
      </c>
      <c r="AS27" s="26">
        <f t="shared" si="16"/>
        <v>751525006.39999998</v>
      </c>
      <c r="AT27" s="26">
        <f t="shared" si="16"/>
        <v>907792375.77999997</v>
      </c>
      <c r="AU27" s="26">
        <f t="shared" si="16"/>
        <v>47172298.450000018</v>
      </c>
      <c r="AV27" s="26">
        <f t="shared" si="16"/>
        <v>168491635.71000001</v>
      </c>
      <c r="AW27" s="26">
        <f t="shared" si="16"/>
        <v>668776050.0200001</v>
      </c>
      <c r="AX27" s="26">
        <f t="shared" si="16"/>
        <v>327152388.1500001</v>
      </c>
      <c r="AY27" s="26">
        <f t="shared" si="16"/>
        <v>173396356.48000002</v>
      </c>
      <c r="AZ27" s="26">
        <f t="shared" si="16"/>
        <v>83601383.450000018</v>
      </c>
      <c r="BA27" s="26">
        <f t="shared" si="16"/>
        <v>78401874.74000001</v>
      </c>
      <c r="BB27" s="26">
        <f t="shared" si="16"/>
        <v>189729099.82999998</v>
      </c>
      <c r="BC27" s="26">
        <f t="shared" si="16"/>
        <v>-13154013.319999993</v>
      </c>
      <c r="BD27" s="26">
        <f t="shared" si="16"/>
        <v>-895303.59000001848</v>
      </c>
      <c r="BE27" s="26">
        <f t="shared" si="16"/>
        <v>153600502.93000004</v>
      </c>
      <c r="BF27" s="26">
        <f t="shared" si="16"/>
        <v>206997339.93999997</v>
      </c>
      <c r="BG27" s="26">
        <f t="shared" si="16"/>
        <v>171785210.64000002</v>
      </c>
      <c r="BH27" s="26">
        <f t="shared" si="16"/>
        <v>128632618.73999999</v>
      </c>
      <c r="BI27" s="26">
        <f t="shared" si="16"/>
        <v>325243824.48000008</v>
      </c>
      <c r="BJ27" s="26">
        <f t="shared" si="16"/>
        <v>246877418.62000003</v>
      </c>
      <c r="BK27" s="26">
        <f t="shared" si="16"/>
        <v>188595040.38</v>
      </c>
      <c r="BL27" s="26">
        <f t="shared" si="16"/>
        <v>105345474.76000001</v>
      </c>
      <c r="BM27" s="26">
        <f t="shared" si="16"/>
        <v>231891210.28</v>
      </c>
      <c r="BN27" s="26">
        <f t="shared" si="16"/>
        <v>124769472.61</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0.13004863517864129</v>
      </c>
      <c r="F28" s="63">
        <f t="shared" ref="F28:BQ28" si="18">(F27-J27)/J27</f>
        <v>0.21035752389643211</v>
      </c>
      <c r="G28" s="63">
        <f t="shared" si="18"/>
        <v>0.76724429738781275</v>
      </c>
      <c r="H28" s="63">
        <f t="shared" si="18"/>
        <v>3.9265948600196157</v>
      </c>
      <c r="I28" s="63">
        <f t="shared" si="18"/>
        <v>0.11256601397929161</v>
      </c>
      <c r="J28" s="63">
        <f t="shared" si="18"/>
        <v>8.7578720324455933E-2</v>
      </c>
      <c r="K28" s="63">
        <f t="shared" si="18"/>
        <v>-7.7177853534143206E-2</v>
      </c>
      <c r="L28" s="63">
        <f t="shared" si="18"/>
        <v>-0.59805884705041601</v>
      </c>
      <c r="M28" s="63">
        <f t="shared" si="18"/>
        <v>9.4842288293953442E-2</v>
      </c>
      <c r="N28" s="63">
        <f t="shared" si="18"/>
        <v>5.8700835963541205E-2</v>
      </c>
      <c r="O28" s="63">
        <f t="shared" si="18"/>
        <v>0.68657447809209515</v>
      </c>
      <c r="P28" s="63">
        <f t="shared" si="18"/>
        <v>1.0295046520013234</v>
      </c>
      <c r="Q28" s="63">
        <f t="shared" si="18"/>
        <v>-0.10786845600264998</v>
      </c>
      <c r="R28" s="63">
        <f t="shared" si="18"/>
        <v>-0.19913021426843613</v>
      </c>
      <c r="S28" s="63">
        <f t="shared" si="18"/>
        <v>-0.11003447713438674</v>
      </c>
      <c r="T28" s="63">
        <f t="shared" si="18"/>
        <v>-0.49114985593937288</v>
      </c>
      <c r="U28" s="63">
        <f t="shared" si="18"/>
        <v>0.23182163943529746</v>
      </c>
      <c r="V28" s="63">
        <f t="shared" si="18"/>
        <v>0.15752860077110106</v>
      </c>
      <c r="W28" s="63">
        <f t="shared" si="18"/>
        <v>3.736536125727679E-2</v>
      </c>
      <c r="X28" s="63">
        <f t="shared" si="18"/>
        <v>-0.18122399154125524</v>
      </c>
      <c r="Y28" s="63">
        <f t="shared" si="18"/>
        <v>0.53551711373906241</v>
      </c>
      <c r="Z28" s="63">
        <f t="shared" si="18"/>
        <v>0.62273718809442014</v>
      </c>
      <c r="AA28" s="63">
        <f t="shared" si="18"/>
        <v>3.3491730887118059</v>
      </c>
      <c r="AB28" s="63">
        <f t="shared" si="18"/>
        <v>3.3964986100871712</v>
      </c>
      <c r="AC28" s="63">
        <f t="shared" si="18"/>
        <v>-0.36185552692127843</v>
      </c>
      <c r="AD28" s="63">
        <f t="shared" si="18"/>
        <v>-0.51999605339785349</v>
      </c>
      <c r="AE28" s="63">
        <f t="shared" si="18"/>
        <v>-0.70019877336658864</v>
      </c>
      <c r="AF28" s="63">
        <f t="shared" si="18"/>
        <v>-0.71870526155114145</v>
      </c>
      <c r="AG28" s="63">
        <f t="shared" si="18"/>
        <v>0.76565751827653916</v>
      </c>
      <c r="AH28" s="63">
        <f t="shared" si="18"/>
        <v>1.5088456627702251</v>
      </c>
      <c r="AI28" s="63">
        <f t="shared" si="18"/>
        <v>0.97163824250930231</v>
      </c>
      <c r="AJ28" s="63">
        <f t="shared" si="18"/>
        <v>0.43691896765632038</v>
      </c>
      <c r="AK28" s="63">
        <f t="shared" si="18"/>
        <v>0.14372980970342186</v>
      </c>
      <c r="AL28" s="63">
        <f t="shared" si="18"/>
        <v>0.19839080276198212</v>
      </c>
      <c r="AM28" s="63">
        <f t="shared" si="18"/>
        <v>-18.852798058584842</v>
      </c>
      <c r="AN28" s="63">
        <f t="shared" si="18"/>
        <v>0.93072178090005153</v>
      </c>
      <c r="AO28" s="63">
        <f t="shared" si="18"/>
        <v>-0.32409550798148923</v>
      </c>
      <c r="AP28" s="63">
        <f t="shared" si="18"/>
        <v>-0.42055703939126554</v>
      </c>
      <c r="AQ28" s="63">
        <f t="shared" si="18"/>
        <v>-1.236787939469165</v>
      </c>
      <c r="AR28" s="63">
        <f t="shared" si="18"/>
        <v>-0.54156930031265826</v>
      </c>
      <c r="AS28" s="63">
        <f t="shared" si="18"/>
        <v>0.12373193743634393</v>
      </c>
      <c r="AT28" s="63">
        <f t="shared" si="18"/>
        <v>1.7748303502029616</v>
      </c>
      <c r="AU28" s="63">
        <f t="shared" si="18"/>
        <v>-0.72795103998946487</v>
      </c>
      <c r="AV28" s="63">
        <f t="shared" si="18"/>
        <v>1.0154168359040472</v>
      </c>
      <c r="AW28" s="63">
        <f t="shared" si="18"/>
        <v>7.5301027843763526</v>
      </c>
      <c r="AX28" s="63">
        <f t="shared" si="18"/>
        <v>0.72431318360300745</v>
      </c>
      <c r="AY28" s="63">
        <f t="shared" si="18"/>
        <v>-14.182011623506559</v>
      </c>
      <c r="AZ28" s="63">
        <f t="shared" si="18"/>
        <v>-94.377692643897802</v>
      </c>
      <c r="BA28" s="63">
        <f t="shared" si="18"/>
        <v>-0.4895727992783338</v>
      </c>
      <c r="BB28" s="63">
        <f t="shared" si="18"/>
        <v>-8.3422521830499557E-2</v>
      </c>
      <c r="BC28" s="63">
        <f t="shared" si="18"/>
        <v>-1.0765724434076347</v>
      </c>
      <c r="BD28" s="63">
        <f t="shared" si="18"/>
        <v>-1.0069601598627924</v>
      </c>
      <c r="BE28" s="63">
        <f t="shared" si="18"/>
        <v>-0.52773737310592583</v>
      </c>
      <c r="BF28" s="63">
        <f t="shared" si="18"/>
        <v>-0.16153797663197578</v>
      </c>
      <c r="BG28" s="63">
        <f t="shared" si="18"/>
        <v>-8.9131875929132964E-2</v>
      </c>
      <c r="BH28" s="63">
        <f t="shared" si="18"/>
        <v>0.2210550005403952</v>
      </c>
      <c r="BI28" s="63">
        <f t="shared" si="18"/>
        <v>0.40257073171199664</v>
      </c>
      <c r="BJ28" s="63">
        <f t="shared" si="18"/>
        <v>0.9786684471423609</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80" t="s">
        <v>738</v>
      </c>
      <c r="B29" s="279"/>
      <c r="C29" s="279"/>
      <c r="D29" s="279"/>
      <c r="E29" s="279"/>
      <c r="F29" s="279"/>
      <c r="G29" s="279"/>
      <c r="H29" s="279"/>
      <c r="I29" s="279"/>
      <c r="J29" s="279"/>
      <c r="K29" s="279"/>
      <c r="L29" s="279"/>
      <c r="M29" s="279"/>
      <c r="N29" s="279"/>
      <c r="O29" s="279"/>
      <c r="P29" s="279"/>
      <c r="Q29" s="279"/>
      <c r="R29" s="279"/>
      <c r="S29" s="279"/>
      <c r="T29" s="279"/>
      <c r="U29" s="279"/>
      <c r="V29" s="279"/>
      <c r="W29" s="279"/>
      <c r="X29" s="279"/>
      <c r="Y29" s="279"/>
      <c r="Z29" s="279"/>
      <c r="AA29" s="279"/>
      <c r="AB29" s="279"/>
      <c r="AC29" s="279"/>
    </row>
    <row r="30" spans="1:90" x14ac:dyDescent="0.25">
      <c r="A30" s="110" t="s">
        <v>569</v>
      </c>
      <c r="B30" s="95"/>
      <c r="C30" s="95"/>
      <c r="D30" s="95"/>
      <c r="E30" s="95" t="s">
        <v>568</v>
      </c>
      <c r="F30" s="95"/>
      <c r="G30" s="95"/>
      <c r="H30" s="95"/>
      <c r="I30" s="95" t="s">
        <v>602</v>
      </c>
      <c r="M30" s="95" t="s">
        <v>570</v>
      </c>
      <c r="Q30" s="113" t="s">
        <v>608</v>
      </c>
      <c r="R30" s="113"/>
      <c r="S30" s="113"/>
      <c r="T30" s="113"/>
      <c r="U30" s="113" t="s">
        <v>605</v>
      </c>
      <c r="V30" s="113"/>
      <c r="W30" s="113"/>
      <c r="X30" s="113"/>
      <c r="Y30" s="113" t="s">
        <v>606</v>
      </c>
      <c r="Z30" s="113"/>
      <c r="AA30" s="113"/>
      <c r="AB30" s="113"/>
      <c r="AC30" s="113" t="s">
        <v>607</v>
      </c>
    </row>
    <row r="31" spans="1:90" s="63" customFormat="1" x14ac:dyDescent="0.25">
      <c r="A31" s="110" t="s">
        <v>571</v>
      </c>
      <c r="B31" s="111"/>
      <c r="C31" s="111"/>
      <c r="D31" s="111"/>
      <c r="E31" s="111">
        <f>POWER(E27/U27,1/5)-1</f>
        <v>4.1935119669183729E-2</v>
      </c>
      <c r="F31" s="111"/>
      <c r="G31" s="111"/>
      <c r="H31" s="111"/>
      <c r="I31" s="111">
        <f>POWER(E27/Y27,1/6)-1</f>
        <v>7.1417006048637433E-2</v>
      </c>
      <c r="M31" s="111">
        <f>POWER(E27/AC27,1/7)-1</f>
        <v>0.12794144174412492</v>
      </c>
      <c r="Q31" s="114" t="s">
        <v>604</v>
      </c>
      <c r="R31" s="114"/>
      <c r="S31" s="114"/>
      <c r="T31" s="114"/>
      <c r="U31" s="114">
        <f>POWER(E14/U14,1/5)-1</f>
        <v>1.8348095905336148E-2</v>
      </c>
      <c r="V31" s="114"/>
      <c r="W31" s="114"/>
      <c r="X31" s="114"/>
      <c r="Y31" s="114">
        <f>POWER(E14/Y14,1/6)-1</f>
        <v>3.0620282644340913E-2</v>
      </c>
      <c r="Z31" s="114"/>
      <c r="AA31" s="114"/>
      <c r="AB31" s="114"/>
      <c r="AC31" s="114">
        <f>POWER(E14/AC14,1/7)-1</f>
        <v>7.3546400852189997E-2</v>
      </c>
    </row>
    <row r="32" spans="1:90" s="66" customFormat="1" x14ac:dyDescent="0.25">
      <c r="A32" s="46" t="s">
        <v>513</v>
      </c>
      <c r="E32" s="66">
        <v>0.17</v>
      </c>
    </row>
    <row r="39" spans="1:13" ht="43.2" x14ac:dyDescent="0.25">
      <c r="A39" s="67" t="s">
        <v>514</v>
      </c>
    </row>
    <row r="41" spans="1:13" ht="111" customHeight="1" x14ac:dyDescent="0.25">
      <c r="A41" s="280" t="s">
        <v>737</v>
      </c>
      <c r="B41" s="279"/>
      <c r="C41" s="279"/>
      <c r="D41" s="279"/>
      <c r="E41" s="279"/>
      <c r="F41" s="279"/>
      <c r="G41" s="279"/>
      <c r="H41" s="279"/>
      <c r="I41" s="279"/>
      <c r="J41" s="279"/>
      <c r="K41" s="279"/>
      <c r="L41" s="279"/>
      <c r="M41" s="279"/>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275">
        <f>自由现金流分析表!E1</f>
        <v>43100</v>
      </c>
      <c r="C1" t="s">
        <v>751</v>
      </c>
      <c r="D1" s="261">
        <v>0.08</v>
      </c>
      <c r="E1" s="262" t="s">
        <v>752</v>
      </c>
      <c r="F1" s="63">
        <f>平均资本成本表!E13</f>
        <v>8.7183220113057999E-2</v>
      </c>
    </row>
    <row r="2" spans="1:10" x14ac:dyDescent="0.25">
      <c r="A2" s="69" t="s">
        <v>516</v>
      </c>
      <c r="B2" s="70">
        <f>(自由现金流分析表!E27+自由现金流分析表!I27+自由现金流分析表!M27)/3</f>
        <v>1358457486.2233334</v>
      </c>
      <c r="C2" t="s">
        <v>549</v>
      </c>
      <c r="D2" s="63"/>
      <c r="E2" s="63"/>
      <c r="F2" s="56"/>
    </row>
    <row r="3" spans="1:10" s="63" customFormat="1" x14ac:dyDescent="0.25">
      <c r="A3" s="71" t="s">
        <v>517</v>
      </c>
      <c r="B3" s="97">
        <v>0.02</v>
      </c>
      <c r="D3" s="189"/>
      <c r="E3" s="189"/>
      <c r="F3" s="259"/>
    </row>
    <row r="4" spans="1:10" s="63" customFormat="1" x14ac:dyDescent="0.25">
      <c r="A4" s="71" t="s">
        <v>518</v>
      </c>
      <c r="B4" s="97">
        <f>MIN(平均资本成本表!E13,D1)</f>
        <v>0.08</v>
      </c>
      <c r="D4" s="189"/>
      <c r="E4" s="189"/>
      <c r="F4" s="260"/>
    </row>
    <row r="5" spans="1:10" x14ac:dyDescent="0.25">
      <c r="A5" s="69" t="s">
        <v>519</v>
      </c>
      <c r="B5" s="70">
        <f>B2*(1+B3)/(B4-B3)</f>
        <v>23093777265.796669</v>
      </c>
      <c r="D5" s="63"/>
      <c r="E5" s="63"/>
    </row>
    <row r="6" spans="1:10" x14ac:dyDescent="0.25">
      <c r="A6" s="69" t="s">
        <v>520</v>
      </c>
      <c r="B6" s="70">
        <f>资产资本表!E17</f>
        <v>3011437530.1999998</v>
      </c>
      <c r="D6" s="189"/>
      <c r="E6" s="189"/>
      <c r="F6" s="189"/>
      <c r="G6" s="189"/>
    </row>
    <row r="7" spans="1:10" x14ac:dyDescent="0.25">
      <c r="A7" s="69" t="s">
        <v>521</v>
      </c>
      <c r="B7" s="70">
        <f>资产资本表!E19</f>
        <v>199363756.19</v>
      </c>
      <c r="D7" s="189"/>
      <c r="E7" s="189"/>
      <c r="F7" s="189"/>
      <c r="G7" s="189"/>
    </row>
    <row r="8" spans="1:10" x14ac:dyDescent="0.25">
      <c r="A8" s="69" t="s">
        <v>522</v>
      </c>
      <c r="B8" s="196">
        <f>资产资本表!E89</f>
        <v>3062861637.4699998</v>
      </c>
      <c r="C8" s="272" t="s">
        <v>749</v>
      </c>
      <c r="D8" s="273">
        <f>B2/B4</f>
        <v>16980718577.791666</v>
      </c>
      <c r="E8" s="63"/>
      <c r="F8" s="189"/>
      <c r="G8" s="189"/>
    </row>
    <row r="9" spans="1:10" x14ac:dyDescent="0.25">
      <c r="A9" s="69" t="s">
        <v>523</v>
      </c>
      <c r="B9" s="196">
        <f>B5+B6+B7-B8</f>
        <v>23241716914.716667</v>
      </c>
      <c r="C9" s="272" t="s">
        <v>750</v>
      </c>
      <c r="D9" s="273">
        <f>(D8+资产资本结构分析表!$E$2+资产资本结构分析表!$E$3)/B55</f>
        <v>9.7543574223099831</v>
      </c>
      <c r="E9" s="189"/>
      <c r="F9" s="189"/>
      <c r="G9" s="189"/>
    </row>
    <row r="10" spans="1:10" x14ac:dyDescent="0.25">
      <c r="A10" s="69" t="s">
        <v>524</v>
      </c>
      <c r="B10" s="72">
        <f>资产资本表!E103/资产资本表!E107</f>
        <v>6.1980925265857981E-3</v>
      </c>
      <c r="D10" s="189"/>
      <c r="E10" s="189"/>
      <c r="F10" s="189"/>
      <c r="G10" s="189"/>
    </row>
    <row r="11" spans="1:10" x14ac:dyDescent="0.25">
      <c r="A11" s="69" t="s">
        <v>550</v>
      </c>
      <c r="B11" s="196">
        <f>B9*(1-B10)</f>
        <v>23097662602.80254</v>
      </c>
      <c r="C11" s="269" t="s">
        <v>746</v>
      </c>
      <c r="D11" s="270">
        <f>资产资本结构分析表!E2</f>
        <v>3011437530.1999998</v>
      </c>
      <c r="E11" s="63"/>
      <c r="F11" s="189"/>
      <c r="G11" s="189"/>
    </row>
    <row r="12" spans="1:10" x14ac:dyDescent="0.25">
      <c r="A12" s="69" t="s">
        <v>525</v>
      </c>
      <c r="B12" s="268">
        <f>B55</f>
        <v>2070000000</v>
      </c>
      <c r="C12" s="269" t="s">
        <v>747</v>
      </c>
      <c r="D12" s="271">
        <f>D11/B55</f>
        <v>1.454800739227053</v>
      </c>
      <c r="E12" s="189"/>
      <c r="F12" s="189"/>
      <c r="G12" s="189"/>
    </row>
    <row r="13" spans="1:10" ht="15" thickBot="1" x14ac:dyDescent="0.3">
      <c r="A13" s="73" t="s">
        <v>526</v>
      </c>
      <c r="B13" s="74">
        <f>B11/B12</f>
        <v>11.158291112464996</v>
      </c>
      <c r="D13" s="189"/>
      <c r="E13" s="189"/>
    </row>
    <row r="14" spans="1:10" s="16" customFormat="1" ht="53.25" customHeight="1" x14ac:dyDescent="0.25">
      <c r="A14" s="280" t="s">
        <v>739</v>
      </c>
      <c r="B14" s="279"/>
      <c r="C14" s="279"/>
      <c r="D14" s="279"/>
      <c r="E14" s="279"/>
      <c r="F14" s="279"/>
      <c r="G14" s="279"/>
      <c r="H14" s="279"/>
      <c r="I14" s="279"/>
    </row>
    <row r="16" spans="1:10" x14ac:dyDescent="0.25">
      <c r="A16" s="87"/>
      <c r="B16" s="75"/>
      <c r="C16" s="76"/>
      <c r="D16" s="76"/>
      <c r="E16" s="76"/>
      <c r="F16" s="76"/>
      <c r="G16" s="76"/>
      <c r="H16" s="76"/>
      <c r="I16" s="77"/>
      <c r="J16" s="76"/>
    </row>
    <row r="17" spans="1:10" s="63" customFormat="1" x14ac:dyDescent="0.25">
      <c r="A17" s="89"/>
      <c r="B17" s="89"/>
      <c r="C17" s="89" t="s">
        <v>542</v>
      </c>
      <c r="D17" s="89">
        <v>0.1</v>
      </c>
      <c r="E17" s="89"/>
      <c r="F17" s="89"/>
      <c r="G17" s="89"/>
      <c r="H17" s="89" t="s">
        <v>543</v>
      </c>
      <c r="I17" s="89">
        <v>0</v>
      </c>
      <c r="J17" s="77"/>
    </row>
    <row r="18" spans="1:10" s="2" customFormat="1" x14ac:dyDescent="0.25">
      <c r="A18" s="301" t="s">
        <v>527</v>
      </c>
      <c r="B18" s="301"/>
      <c r="C18" s="65" t="s">
        <v>541</v>
      </c>
      <c r="D18" s="96">
        <v>1</v>
      </c>
      <c r="E18" s="96">
        <v>2</v>
      </c>
      <c r="F18" s="96">
        <v>3</v>
      </c>
      <c r="G18" s="96">
        <v>4</v>
      </c>
      <c r="H18" s="96">
        <v>5</v>
      </c>
      <c r="I18" s="95">
        <v>6</v>
      </c>
      <c r="J18" s="79"/>
    </row>
    <row r="19" spans="1:10" s="26" customFormat="1" x14ac:dyDescent="0.25">
      <c r="A19" s="98" t="s">
        <v>528</v>
      </c>
      <c r="B19" s="93"/>
      <c r="C19" s="88">
        <f>B2</f>
        <v>1358457486.2233334</v>
      </c>
      <c r="D19" s="88">
        <f>C19*(1+$D$17)</f>
        <v>1494303234.8456669</v>
      </c>
      <c r="E19" s="88">
        <f>D19*(1+$D$17)</f>
        <v>1643733558.3302338</v>
      </c>
      <c r="F19" s="88">
        <f>E19*(1+$D$17)</f>
        <v>1808106914.1632574</v>
      </c>
      <c r="G19" s="88">
        <f>F19*(1+$D$17)</f>
        <v>1988917605.5795832</v>
      </c>
      <c r="H19" s="88">
        <f>G19*(1+$D$17)</f>
        <v>2187809366.1375418</v>
      </c>
      <c r="I19" s="88">
        <f>H19*(1+I17)</f>
        <v>2187809366.1375418</v>
      </c>
      <c r="J19" s="75"/>
    </row>
    <row r="20" spans="1:10" s="26" customFormat="1" x14ac:dyDescent="0.25">
      <c r="A20" s="98" t="s">
        <v>529</v>
      </c>
      <c r="B20" s="94">
        <f>B4</f>
        <v>0.08</v>
      </c>
      <c r="C20" s="88"/>
      <c r="D20" s="88">
        <f t="shared" ref="D20:I20" si="0">(1+$B$20)^D18</f>
        <v>1.08</v>
      </c>
      <c r="E20" s="88">
        <f t="shared" si="0"/>
        <v>1.1664000000000001</v>
      </c>
      <c r="F20" s="88">
        <f t="shared" si="0"/>
        <v>1.2597120000000002</v>
      </c>
      <c r="G20" s="88">
        <f t="shared" si="0"/>
        <v>1.3604889600000003</v>
      </c>
      <c r="H20" s="88">
        <f t="shared" si="0"/>
        <v>1.4693280768000003</v>
      </c>
      <c r="I20" s="88">
        <f t="shared" si="0"/>
        <v>1.5868743229440005</v>
      </c>
      <c r="J20" s="75"/>
    </row>
    <row r="21" spans="1:10" s="26" customFormat="1" x14ac:dyDescent="0.25">
      <c r="A21" s="302" t="s">
        <v>530</v>
      </c>
      <c r="B21" s="302"/>
      <c r="C21" s="88"/>
      <c r="D21" s="88">
        <f>D19/D20</f>
        <v>1383614106.3385804</v>
      </c>
      <c r="E21" s="88">
        <f>E19/E20</f>
        <v>1409236589.789295</v>
      </c>
      <c r="F21" s="88">
        <f>F19/F20</f>
        <v>1435333563.6742821</v>
      </c>
      <c r="G21" s="88">
        <f>G19/G20</f>
        <v>1461913814.8534353</v>
      </c>
      <c r="H21" s="88">
        <f>H19/H20</f>
        <v>1488986292.9062769</v>
      </c>
      <c r="I21" s="88">
        <f>I19/((B20-I17)*I20)</f>
        <v>17233637649.378201</v>
      </c>
      <c r="J21" s="75"/>
    </row>
    <row r="22" spans="1:10" s="26" customFormat="1" x14ac:dyDescent="0.25">
      <c r="A22" s="302" t="s">
        <v>548</v>
      </c>
      <c r="B22" s="302"/>
      <c r="C22" s="88"/>
      <c r="D22" s="298">
        <f>SUM(D21:H21)</f>
        <v>7179084367.5618696</v>
      </c>
      <c r="E22" s="299"/>
      <c r="F22" s="299"/>
      <c r="G22" s="299"/>
      <c r="H22" s="300"/>
      <c r="I22" s="88">
        <f>I21</f>
        <v>17233637649.378201</v>
      </c>
      <c r="J22" s="75"/>
    </row>
    <row r="23" spans="1:10" x14ac:dyDescent="0.25">
      <c r="A23" s="91" t="s">
        <v>531</v>
      </c>
      <c r="B23" s="75">
        <f>D22+I22</f>
        <v>24412722016.940071</v>
      </c>
      <c r="C23" s="76"/>
      <c r="D23" s="76"/>
      <c r="E23" s="76"/>
      <c r="F23" s="76"/>
      <c r="G23" s="76"/>
      <c r="H23" s="76"/>
      <c r="I23" s="78"/>
      <c r="J23" s="76"/>
    </row>
    <row r="24" spans="1:10" x14ac:dyDescent="0.25">
      <c r="A24" s="91" t="s">
        <v>532</v>
      </c>
      <c r="B24" s="75">
        <f>B23</f>
        <v>24412722016.940071</v>
      </c>
      <c r="C24" s="76"/>
      <c r="D24" s="76"/>
      <c r="E24" s="76"/>
      <c r="F24" s="76"/>
      <c r="G24" s="76"/>
      <c r="H24" s="76"/>
      <c r="I24" s="78"/>
      <c r="J24" s="76"/>
    </row>
    <row r="25" spans="1:10" x14ac:dyDescent="0.25">
      <c r="A25" s="69" t="s">
        <v>533</v>
      </c>
      <c r="B25" s="70">
        <f>资产资本表!E17</f>
        <v>3011437530.1999998</v>
      </c>
      <c r="C25" s="76"/>
      <c r="D25" s="76"/>
      <c r="E25" s="76"/>
      <c r="F25" s="76"/>
      <c r="G25" s="76"/>
      <c r="H25" s="76"/>
      <c r="I25" s="78"/>
      <c r="J25" s="76"/>
    </row>
    <row r="26" spans="1:10" x14ac:dyDescent="0.25">
      <c r="A26" s="69" t="s">
        <v>534</v>
      </c>
      <c r="B26" s="70">
        <f>资产资本表!E19</f>
        <v>199363756.19</v>
      </c>
      <c r="C26" s="76"/>
      <c r="D26" s="76"/>
      <c r="E26" s="76"/>
      <c r="F26" s="76"/>
      <c r="G26" s="76"/>
      <c r="H26" s="76"/>
      <c r="I26" s="78"/>
      <c r="J26" s="76"/>
    </row>
    <row r="27" spans="1:10" x14ac:dyDescent="0.25">
      <c r="A27" s="69" t="s">
        <v>535</v>
      </c>
      <c r="B27" s="70">
        <f>资产资本表!E89</f>
        <v>3062861637.4699998</v>
      </c>
      <c r="C27" s="76"/>
      <c r="D27" s="76"/>
      <c r="E27" s="76"/>
      <c r="F27" s="76"/>
      <c r="G27" s="76"/>
      <c r="H27" s="76"/>
      <c r="I27" s="78"/>
      <c r="J27" s="76"/>
    </row>
    <row r="28" spans="1:10" s="2" customFormat="1" x14ac:dyDescent="0.25">
      <c r="A28" s="81" t="s">
        <v>536</v>
      </c>
      <c r="B28" s="82">
        <f>B24+B25+B26-B27</f>
        <v>24560661665.860069</v>
      </c>
      <c r="C28" s="79"/>
      <c r="D28" s="79"/>
      <c r="E28" s="79"/>
      <c r="F28" s="79"/>
      <c r="G28" s="79"/>
      <c r="H28" s="79"/>
      <c r="I28" s="80"/>
      <c r="J28" s="79"/>
    </row>
    <row r="29" spans="1:10" x14ac:dyDescent="0.25">
      <c r="A29" s="69" t="s">
        <v>537</v>
      </c>
      <c r="B29" s="77">
        <f>资产资本表!E103/资产资本表!E107</f>
        <v>6.1980925265857981E-3</v>
      </c>
      <c r="C29" s="303" t="s">
        <v>544</v>
      </c>
      <c r="D29" s="303"/>
      <c r="E29" s="303"/>
      <c r="F29" s="76"/>
      <c r="G29" s="76"/>
      <c r="H29" s="76"/>
      <c r="I29" s="78"/>
      <c r="J29" s="76"/>
    </row>
    <row r="30" spans="1:10" s="2" customFormat="1" x14ac:dyDescent="0.25">
      <c r="A30" s="81" t="s">
        <v>538</v>
      </c>
      <c r="B30" s="82">
        <f>B28*(1-B29)</f>
        <v>24408432412.3409</v>
      </c>
      <c r="C30" s="90">
        <v>0.4</v>
      </c>
      <c r="D30" s="90">
        <v>0.3</v>
      </c>
      <c r="E30" s="90">
        <v>0.2</v>
      </c>
      <c r="F30" s="79"/>
      <c r="G30" s="79"/>
      <c r="H30" s="79"/>
      <c r="I30" s="80"/>
      <c r="J30" s="79"/>
    </row>
    <row r="31" spans="1:10" x14ac:dyDescent="0.25">
      <c r="A31" s="69" t="s">
        <v>748</v>
      </c>
      <c r="B31" s="100">
        <f>B55</f>
        <v>2070000000</v>
      </c>
      <c r="C31" s="214">
        <f>$B$32*(1-C30)</f>
        <v>7.074907945606058</v>
      </c>
      <c r="D31" s="214">
        <f>$B$32*(1-D30)</f>
        <v>8.2540592698737338</v>
      </c>
      <c r="E31" s="214">
        <f>$B$32*(1-E30)</f>
        <v>9.4332105941414124</v>
      </c>
      <c r="F31" s="76"/>
      <c r="G31" s="76"/>
      <c r="H31" s="76"/>
      <c r="I31" s="78"/>
      <c r="J31" s="76"/>
    </row>
    <row r="32" spans="1:10" s="2" customFormat="1" ht="15" thickBot="1" x14ac:dyDescent="0.3">
      <c r="A32" s="83" t="s">
        <v>539</v>
      </c>
      <c r="B32" s="84">
        <f>B30/B31</f>
        <v>11.791513242676764</v>
      </c>
      <c r="C32" s="85"/>
      <c r="D32" s="85"/>
      <c r="E32" s="85"/>
      <c r="F32" s="85"/>
      <c r="G32" s="85"/>
      <c r="H32" s="85"/>
      <c r="I32" s="86"/>
      <c r="J32" s="79"/>
    </row>
    <row r="33" spans="1:19" ht="63" customHeight="1" x14ac:dyDescent="0.25">
      <c r="A33" s="304" t="s">
        <v>740</v>
      </c>
      <c r="B33" s="305"/>
      <c r="C33" s="305"/>
      <c r="D33" s="305"/>
      <c r="E33" s="305"/>
      <c r="F33" s="305"/>
      <c r="G33" s="305"/>
      <c r="H33" s="305"/>
      <c r="I33" s="305"/>
    </row>
    <row r="37" spans="1:19" s="63" customFormat="1" x14ac:dyDescent="0.25">
      <c r="A37" s="203"/>
      <c r="B37" s="203"/>
      <c r="C37" s="213" t="s">
        <v>542</v>
      </c>
      <c r="D37" s="213">
        <v>0.15</v>
      </c>
      <c r="E37" s="213"/>
      <c r="F37" s="213"/>
      <c r="G37" s="213"/>
      <c r="H37" s="213" t="s">
        <v>637</v>
      </c>
      <c r="I37" s="213">
        <v>0.09</v>
      </c>
      <c r="J37" s="213"/>
      <c r="K37" s="213"/>
      <c r="L37" s="213"/>
      <c r="M37" s="213"/>
      <c r="N37" s="213"/>
      <c r="O37" s="213"/>
      <c r="P37" s="213"/>
      <c r="Q37" s="213"/>
      <c r="R37" s="213" t="s">
        <v>547</v>
      </c>
      <c r="S37" s="213">
        <v>0.02</v>
      </c>
    </row>
    <row r="38" spans="1:19" s="24" customFormat="1" x14ac:dyDescent="0.25">
      <c r="A38" s="312" t="s">
        <v>545</v>
      </c>
      <c r="B38" s="313"/>
      <c r="C38" s="215" t="s">
        <v>541</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8" t="s">
        <v>528</v>
      </c>
      <c r="B39" s="93"/>
      <c r="C39" s="88">
        <f>B2</f>
        <v>1358457486.2233334</v>
      </c>
      <c r="D39" s="88">
        <f>$C$39*(1+$D$37)^D38</f>
        <v>1562226109.1568332</v>
      </c>
      <c r="E39" s="88">
        <f>$C$39*(1+$D$37)^E38</f>
        <v>1796560025.5303581</v>
      </c>
      <c r="F39" s="88">
        <f>$C$39*(1+$D$37)^F38</f>
        <v>2066044029.3599114</v>
      </c>
      <c r="G39" s="88">
        <f>$C$39*(1+$D$37)^G38</f>
        <v>2375950633.7638984</v>
      </c>
      <c r="H39" s="88">
        <f>$C$39*(1+$D$37)^H38</f>
        <v>2732343228.8284831</v>
      </c>
      <c r="I39" s="88">
        <f>H39*(1+$I$37)</f>
        <v>2978254119.4230466</v>
      </c>
      <c r="J39" s="88">
        <f t="shared" ref="J39:N39" si="1">I39*(1+$I$37)</f>
        <v>3246296990.1711211</v>
      </c>
      <c r="K39" s="88">
        <f t="shared" si="1"/>
        <v>3538463719.2865224</v>
      </c>
      <c r="L39" s="88">
        <f t="shared" si="1"/>
        <v>3856925454.0223098</v>
      </c>
      <c r="M39" s="88">
        <f t="shared" si="1"/>
        <v>4204048744.8843179</v>
      </c>
      <c r="N39" s="88">
        <f t="shared" si="1"/>
        <v>4582413131.9239073</v>
      </c>
      <c r="O39" s="88">
        <f t="shared" ref="O39" si="2">N39*(1+$I$37)</f>
        <v>4994830313.7970591</v>
      </c>
      <c r="P39" s="88">
        <f t="shared" ref="P39" si="3">O39*(1+$I$37)</f>
        <v>5444365042.0387945</v>
      </c>
      <c r="Q39" s="88">
        <f t="shared" ref="Q39" si="4">P39*(1+$I$37)</f>
        <v>5934357895.8222866</v>
      </c>
      <c r="R39" s="88">
        <f t="shared" ref="R39" si="5">Q39*(1+$I$37)</f>
        <v>6468450106.4462929</v>
      </c>
      <c r="S39" s="88">
        <f>R39*(1+S37)</f>
        <v>6597819108.5752192</v>
      </c>
    </row>
    <row r="40" spans="1:19" s="23" customFormat="1" x14ac:dyDescent="0.25">
      <c r="A40" s="209" t="s">
        <v>529</v>
      </c>
      <c r="B40" s="208">
        <f>B4</f>
        <v>0.08</v>
      </c>
      <c r="C40" s="214"/>
      <c r="D40" s="214">
        <f>(1+$B$40)^D38</f>
        <v>1.08</v>
      </c>
      <c r="E40" s="214">
        <f t="shared" ref="E40:R40" si="6">(1+$B$40)^E38</f>
        <v>1.1664000000000001</v>
      </c>
      <c r="F40" s="214">
        <f t="shared" si="6"/>
        <v>1.2597120000000002</v>
      </c>
      <c r="G40" s="214">
        <f t="shared" si="6"/>
        <v>1.3604889600000003</v>
      </c>
      <c r="H40" s="214">
        <f t="shared" si="6"/>
        <v>1.4693280768000003</v>
      </c>
      <c r="I40" s="214">
        <f t="shared" si="6"/>
        <v>1.5868743229440005</v>
      </c>
      <c r="J40" s="214">
        <f t="shared" si="6"/>
        <v>1.7138242687795207</v>
      </c>
      <c r="K40" s="214">
        <f t="shared" si="6"/>
        <v>1.8509302102818823</v>
      </c>
      <c r="L40" s="214">
        <f t="shared" si="6"/>
        <v>1.9990046271044331</v>
      </c>
      <c r="M40" s="214">
        <f t="shared" si="6"/>
        <v>2.1589249972727877</v>
      </c>
      <c r="N40" s="214">
        <f t="shared" si="6"/>
        <v>2.3316389970546108</v>
      </c>
      <c r="O40" s="214">
        <f t="shared" si="6"/>
        <v>2.5181701168189798</v>
      </c>
      <c r="P40" s="214">
        <f t="shared" si="6"/>
        <v>2.7196237261644982</v>
      </c>
      <c r="Q40" s="214">
        <f t="shared" si="6"/>
        <v>2.9371936242576586</v>
      </c>
      <c r="R40" s="214">
        <f t="shared" si="6"/>
        <v>3.1721691141982715</v>
      </c>
      <c r="S40" s="182">
        <f>(1+$B$40)^S38</f>
        <v>3.4259426433341331</v>
      </c>
    </row>
    <row r="41" spans="1:19" s="192" customFormat="1" x14ac:dyDescent="0.25">
      <c r="A41" s="314" t="s">
        <v>530</v>
      </c>
      <c r="B41" s="315"/>
      <c r="C41" s="88"/>
      <c r="D41" s="88">
        <f t="shared" ref="D41:R41" si="7">D39/D40</f>
        <v>1446505656.6266973</v>
      </c>
      <c r="E41" s="88">
        <f t="shared" si="7"/>
        <v>1540260652.8895388</v>
      </c>
      <c r="F41" s="88">
        <f t="shared" si="7"/>
        <v>1640092361.8731196</v>
      </c>
      <c r="G41" s="88">
        <f t="shared" si="7"/>
        <v>1746394644.5871181</v>
      </c>
      <c r="H41" s="88">
        <f t="shared" si="7"/>
        <v>1859586890.0696163</v>
      </c>
      <c r="I41" s="88">
        <f t="shared" si="7"/>
        <v>1876805287.1998904</v>
      </c>
      <c r="J41" s="88">
        <f t="shared" si="7"/>
        <v>1894183113.9332228</v>
      </c>
      <c r="K41" s="88">
        <f t="shared" si="7"/>
        <v>1911721846.4696417</v>
      </c>
      <c r="L41" s="88">
        <f t="shared" si="7"/>
        <v>1929422974.6776941</v>
      </c>
      <c r="M41" s="88">
        <f t="shared" si="7"/>
        <v>1947288002.2210062</v>
      </c>
      <c r="N41" s="88">
        <f t="shared" si="7"/>
        <v>1965318446.6860158</v>
      </c>
      <c r="O41" s="88">
        <f t="shared" si="7"/>
        <v>1983515839.7108862</v>
      </c>
      <c r="P41" s="88">
        <f t="shared" si="7"/>
        <v>2001881727.1156166</v>
      </c>
      <c r="Q41" s="88">
        <f t="shared" si="7"/>
        <v>2020417669.0333536</v>
      </c>
      <c r="R41" s="88">
        <f t="shared" si="7"/>
        <v>2039125240.0429218</v>
      </c>
      <c r="S41" s="88">
        <f>S39/((B40-S37)*S40)</f>
        <v>32097341741.416363</v>
      </c>
    </row>
    <row r="42" spans="1:19" s="23" customFormat="1" x14ac:dyDescent="0.25">
      <c r="A42" s="316" t="s">
        <v>548</v>
      </c>
      <c r="B42" s="317"/>
      <c r="C42" s="214"/>
      <c r="D42" s="309">
        <f>SUM(D41:H41)</f>
        <v>8232840206.0460901</v>
      </c>
      <c r="E42" s="310"/>
      <c r="F42" s="310"/>
      <c r="G42" s="310"/>
      <c r="H42" s="311"/>
      <c r="I42" s="309">
        <f>SUM(I41:R41)</f>
        <v>19569680147.090248</v>
      </c>
      <c r="J42" s="310"/>
      <c r="K42" s="310"/>
      <c r="L42" s="310"/>
      <c r="M42" s="310"/>
      <c r="N42" s="310"/>
      <c r="O42" s="310"/>
      <c r="P42" s="310"/>
      <c r="Q42" s="310"/>
      <c r="R42" s="311"/>
      <c r="S42" s="214">
        <f>S41</f>
        <v>32097341741.416363</v>
      </c>
    </row>
    <row r="43" spans="1:19" x14ac:dyDescent="0.25">
      <c r="A43" s="205" t="s">
        <v>546</v>
      </c>
      <c r="B43" s="196">
        <f>D42+I42+S42</f>
        <v>59899862094.552704</v>
      </c>
      <c r="C43" s="197"/>
      <c r="D43" s="197"/>
      <c r="E43" s="197"/>
      <c r="F43" s="197"/>
      <c r="G43" s="197"/>
      <c r="H43" s="197"/>
      <c r="I43" s="197"/>
      <c r="J43" s="197"/>
      <c r="K43" s="197"/>
      <c r="L43" s="197"/>
      <c r="M43" s="197"/>
      <c r="N43" s="197"/>
      <c r="O43" s="197"/>
      <c r="P43" s="197"/>
      <c r="Q43" s="197"/>
      <c r="R43" s="197"/>
      <c r="S43" s="199"/>
    </row>
    <row r="44" spans="1:19" x14ac:dyDescent="0.25">
      <c r="A44" s="205" t="s">
        <v>532</v>
      </c>
      <c r="B44" s="196">
        <f>B43</f>
        <v>59899862094.552704</v>
      </c>
      <c r="C44" s="197"/>
      <c r="D44" s="197"/>
      <c r="E44" s="197"/>
      <c r="F44" s="197"/>
      <c r="G44" s="197"/>
      <c r="H44" s="197"/>
      <c r="I44" s="197"/>
      <c r="J44" s="197"/>
      <c r="K44" s="197"/>
      <c r="L44" s="197"/>
      <c r="M44" s="197"/>
      <c r="N44" s="197"/>
      <c r="O44" s="197"/>
      <c r="P44" s="197"/>
      <c r="Q44" s="197"/>
      <c r="R44" s="197"/>
      <c r="S44" s="199"/>
    </row>
    <row r="45" spans="1:19" x14ac:dyDescent="0.25">
      <c r="A45" s="195" t="s">
        <v>533</v>
      </c>
      <c r="B45" s="196">
        <f>资产资本表!E17</f>
        <v>3011437530.1999998</v>
      </c>
      <c r="C45" s="197"/>
      <c r="D45" s="197"/>
      <c r="E45" s="197"/>
      <c r="F45" s="197"/>
      <c r="G45" s="197"/>
      <c r="H45" s="197"/>
      <c r="I45" s="197"/>
      <c r="J45" s="197"/>
      <c r="K45" s="197"/>
      <c r="L45" s="197"/>
      <c r="M45" s="197"/>
      <c r="N45" s="197"/>
      <c r="O45" s="197"/>
      <c r="P45" s="197"/>
      <c r="Q45" s="197"/>
      <c r="R45" s="197"/>
      <c r="S45" s="199"/>
    </row>
    <row r="46" spans="1:19" x14ac:dyDescent="0.25">
      <c r="A46" s="195" t="s">
        <v>534</v>
      </c>
      <c r="B46" s="196">
        <f>资产资本表!E19</f>
        <v>199363756.19</v>
      </c>
      <c r="C46" s="197"/>
      <c r="D46" s="197"/>
      <c r="E46" s="197"/>
      <c r="F46" s="197"/>
      <c r="G46" s="197"/>
      <c r="H46" s="197"/>
      <c r="I46" s="197"/>
      <c r="J46" s="197"/>
      <c r="K46" s="197"/>
      <c r="L46" s="197"/>
      <c r="M46" s="197"/>
      <c r="N46" s="197"/>
      <c r="O46" s="197"/>
      <c r="P46" s="197"/>
      <c r="Q46" s="197"/>
      <c r="R46" s="197"/>
      <c r="S46" s="199"/>
    </row>
    <row r="47" spans="1:19" x14ac:dyDescent="0.25">
      <c r="A47" s="195" t="s">
        <v>535</v>
      </c>
      <c r="B47" s="196">
        <f>资产资本表!E89</f>
        <v>3062861637.4699998</v>
      </c>
      <c r="C47" s="197"/>
      <c r="D47" s="197"/>
      <c r="E47" s="197"/>
      <c r="F47" s="197"/>
      <c r="G47" s="197"/>
      <c r="H47" s="197"/>
      <c r="I47" s="197"/>
      <c r="J47" s="197"/>
      <c r="K47" s="197"/>
      <c r="L47" s="197"/>
      <c r="M47" s="197"/>
      <c r="N47" s="197"/>
      <c r="O47" s="197"/>
      <c r="P47" s="197"/>
      <c r="Q47" s="197"/>
      <c r="R47" s="197"/>
      <c r="S47" s="199"/>
    </row>
    <row r="48" spans="1:19" x14ac:dyDescent="0.25">
      <c r="A48" s="200" t="s">
        <v>536</v>
      </c>
      <c r="B48" s="196">
        <f>B44+B45+B46-B47</f>
        <v>60047801743.472702</v>
      </c>
      <c r="C48" s="197"/>
      <c r="D48" s="197"/>
      <c r="E48" s="197"/>
      <c r="F48" s="197"/>
      <c r="G48" s="197"/>
      <c r="H48" s="197"/>
      <c r="I48" s="197"/>
      <c r="J48" s="197"/>
      <c r="K48" s="197"/>
      <c r="L48" s="197"/>
      <c r="M48" s="197"/>
      <c r="N48" s="197"/>
      <c r="O48" s="197"/>
      <c r="P48" s="197"/>
      <c r="Q48" s="197"/>
      <c r="R48" s="197"/>
      <c r="S48" s="199"/>
    </row>
    <row r="49" spans="1:74" x14ac:dyDescent="0.25">
      <c r="A49" s="195" t="s">
        <v>537</v>
      </c>
      <c r="B49" s="198">
        <f>资产资本表!E103/资产资本表!E107</f>
        <v>6.1980925265857981E-3</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538</v>
      </c>
      <c r="B50" s="196">
        <f>B48*(1-B49)</f>
        <v>59675619912.248581</v>
      </c>
      <c r="C50" s="306" t="s">
        <v>544</v>
      </c>
      <c r="D50" s="307"/>
      <c r="E50" s="308"/>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540</v>
      </c>
      <c r="B51" s="210">
        <f>B55</f>
        <v>2070000000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539</v>
      </c>
      <c r="B52" s="206">
        <f>B50/B51</f>
        <v>28.828801889975161</v>
      </c>
      <c r="C52" s="207">
        <f>$B$52*(1-C51)</f>
        <v>17.297281133985095</v>
      </c>
      <c r="D52" s="207">
        <f>$B$52*(1-D51)</f>
        <v>20.18016132298261</v>
      </c>
      <c r="E52" s="207">
        <f>$B$52*(1-E51)</f>
        <v>23.063041511980131</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2" customFormat="1" x14ac:dyDescent="0.25">
      <c r="A54" s="194">
        <v>600004</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1" customFormat="1" x14ac:dyDescent="0.25">
      <c r="A55" s="211" t="s">
        <v>551</v>
      </c>
      <c r="B55" s="99">
        <v>2070000000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3"/>
      <c r="B56" s="92"/>
    </row>
    <row r="57" spans="1:74" ht="52.8" customHeight="1" x14ac:dyDescent="0.25">
      <c r="A57" s="296" t="s">
        <v>741</v>
      </c>
      <c r="B57" s="297"/>
      <c r="C57" s="297"/>
      <c r="D57" s="297"/>
      <c r="E57" s="297"/>
      <c r="F57" s="297"/>
      <c r="G57" s="297"/>
      <c r="H57" s="297"/>
      <c r="I57" s="297"/>
    </row>
    <row r="60" spans="1:74" s="155" customFormat="1" ht="51" customHeight="1" x14ac:dyDescent="0.25">
      <c r="A60" s="294" t="s">
        <v>609</v>
      </c>
      <c r="B60" s="295"/>
      <c r="C60" s="295"/>
      <c r="D60" s="295"/>
      <c r="E60" s="295"/>
      <c r="F60" s="295"/>
      <c r="G60" s="295"/>
      <c r="H60" s="295"/>
      <c r="I60" s="295"/>
    </row>
    <row r="63" spans="1:74" s="4" customFormat="1" x14ac:dyDescent="0.25">
      <c r="A63" s="177" t="s">
        <v>611</v>
      </c>
      <c r="B63" s="176" t="s">
        <v>612</v>
      </c>
      <c r="C63" s="95" t="s">
        <v>613</v>
      </c>
      <c r="D63" s="95" t="s">
        <v>614</v>
      </c>
      <c r="E63" s="95" t="s">
        <v>629</v>
      </c>
      <c r="F63" s="95" t="s">
        <v>615</v>
      </c>
      <c r="G63" s="95" t="s">
        <v>616</v>
      </c>
      <c r="H63" s="95" t="s">
        <v>625</v>
      </c>
      <c r="I63" s="95" t="s">
        <v>618</v>
      </c>
      <c r="J63" s="95" t="s">
        <v>624</v>
      </c>
      <c r="K63" s="95" t="s">
        <v>620</v>
      </c>
      <c r="L63" s="95" t="s">
        <v>626</v>
      </c>
    </row>
    <row r="64" spans="1:74" s="26" customFormat="1" x14ac:dyDescent="0.25">
      <c r="A64" s="178">
        <f>股权价值增加表!M1</f>
        <v>42369</v>
      </c>
      <c r="B64" s="166">
        <v>42366</v>
      </c>
      <c r="C64" s="165">
        <v>17.39</v>
      </c>
      <c r="D64" s="165">
        <v>3.4</v>
      </c>
      <c r="E64" s="167">
        <f>股权价值增加表!M42/100000000</f>
        <v>12.705820777699994</v>
      </c>
      <c r="F64" s="167">
        <v>0</v>
      </c>
      <c r="G64" s="165">
        <v>16.47</v>
      </c>
      <c r="H64" s="167">
        <f>G64*D64</f>
        <v>55.997999999999998</v>
      </c>
      <c r="I64" s="167">
        <f>C64*D64</f>
        <v>59.125999999999998</v>
      </c>
      <c r="J64" s="167">
        <f>H64/E64</f>
        <v>4.4072713585164189</v>
      </c>
      <c r="K64" s="167">
        <f>I64/E64</f>
        <v>4.6534577367699166</v>
      </c>
      <c r="L64" s="263">
        <v>0</v>
      </c>
    </row>
    <row r="65" spans="1:12" s="26" customFormat="1" x14ac:dyDescent="0.25">
      <c r="A65" s="178">
        <f>股权价值增加表!I1</f>
        <v>42735</v>
      </c>
      <c r="B65" s="166">
        <v>42543</v>
      </c>
      <c r="C65" s="165">
        <v>23.13</v>
      </c>
      <c r="D65" s="165">
        <v>3.64</v>
      </c>
      <c r="E65" s="167">
        <f>股权价值增加表!I42/100000000</f>
        <v>13.745588756599998</v>
      </c>
      <c r="F65" s="167">
        <f>(E65-E64)/E64*100</f>
        <v>8.1833987515777213</v>
      </c>
      <c r="G65" s="165">
        <v>23.11</v>
      </c>
      <c r="H65" s="167">
        <f t="shared" ref="H65:H66" si="8">G65*D65</f>
        <v>84.120400000000004</v>
      </c>
      <c r="I65" s="167">
        <f t="shared" ref="I65:I66" si="9">C65*D65</f>
        <v>84.193200000000004</v>
      </c>
      <c r="J65" s="167">
        <f t="shared" ref="J65:J66" si="10">H65/E65</f>
        <v>6.1198106163047594</v>
      </c>
      <c r="K65" s="167">
        <f t="shared" ref="K65:K66" si="11">I65/E65</f>
        <v>6.1251068608883203</v>
      </c>
      <c r="L65" s="263">
        <f>K65/F65</f>
        <v>0.74847958004092474</v>
      </c>
    </row>
    <row r="66" spans="1:12" s="26" customFormat="1" x14ac:dyDescent="0.25">
      <c r="A66" s="178">
        <f>股权价值增加表!E1</f>
        <v>43100</v>
      </c>
      <c r="B66" s="166">
        <v>42872</v>
      </c>
      <c r="C66" s="165">
        <v>16.399999999999999</v>
      </c>
      <c r="D66" s="165">
        <v>9.09</v>
      </c>
      <c r="E66" s="167">
        <f>股权价值增加表!E42/100000000</f>
        <v>15.586385374899997</v>
      </c>
      <c r="F66" s="167">
        <f t="shared" ref="F66" si="12">(E66-E65)/E65*100</f>
        <v>13.391908130643973</v>
      </c>
      <c r="G66" s="165">
        <v>15.76</v>
      </c>
      <c r="H66" s="167">
        <f t="shared" si="8"/>
        <v>143.25839999999999</v>
      </c>
      <c r="I66" s="167">
        <f t="shared" si="9"/>
        <v>149.07599999999999</v>
      </c>
      <c r="J66" s="167">
        <f t="shared" si="10"/>
        <v>9.1912522726853947</v>
      </c>
      <c r="K66" s="167">
        <f t="shared" si="11"/>
        <v>9.5645010959416545</v>
      </c>
      <c r="L66" s="263">
        <f t="shared" ref="L66" si="13">K66/F66</f>
        <v>0.71420002307630293</v>
      </c>
    </row>
    <row r="67" spans="1:12" s="26" customFormat="1" x14ac:dyDescent="0.25">
      <c r="A67" s="161"/>
      <c r="B67" s="162"/>
      <c r="C67" s="82"/>
      <c r="D67" s="82"/>
      <c r="E67" s="82"/>
      <c r="F67" s="164"/>
      <c r="G67" s="82"/>
      <c r="H67" s="164"/>
      <c r="I67" s="164"/>
      <c r="J67" s="164"/>
      <c r="K67" s="164"/>
      <c r="L67" s="264"/>
    </row>
    <row r="68" spans="1:12" s="156" customFormat="1" ht="15" thickBot="1" x14ac:dyDescent="0.3">
      <c r="A68" s="163"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8" t="s">
        <v>628</v>
      </c>
      <c r="B69" s="169">
        <v>43305</v>
      </c>
      <c r="C69" s="170">
        <v>11.65</v>
      </c>
      <c r="D69" s="170">
        <v>9.09</v>
      </c>
      <c r="E69" s="170">
        <v>4.33</v>
      </c>
      <c r="F69" s="171">
        <f>(E69-E66)/E66*100</f>
        <v>-72.219344666192171</v>
      </c>
      <c r="G69" s="170">
        <v>10.119999999999999</v>
      </c>
      <c r="H69" s="171">
        <f>G69*D69</f>
        <v>91.990799999999993</v>
      </c>
      <c r="I69" s="171">
        <f>C69*D69</f>
        <v>105.8985</v>
      </c>
      <c r="J69" s="171">
        <f>H69/E69</f>
        <v>21.244988452655885</v>
      </c>
      <c r="K69" s="171">
        <f>I69/E69</f>
        <v>24.456928406466513</v>
      </c>
      <c r="L69" s="266">
        <f>K69/F69</f>
        <v>-0.33864788609630603</v>
      </c>
    </row>
    <row r="70" spans="1:12" s="26" customFormat="1" ht="15" thickBot="1" x14ac:dyDescent="0.3">
      <c r="A70" s="172" t="s">
        <v>627</v>
      </c>
      <c r="B70" s="173">
        <v>43305</v>
      </c>
      <c r="C70" s="174">
        <v>11.65</v>
      </c>
      <c r="D70" s="174">
        <v>9.09</v>
      </c>
      <c r="E70" s="174">
        <v>3.86</v>
      </c>
      <c r="F70" s="175">
        <f>(E70-E66)/E66*100</f>
        <v>-75.234796861778705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7">
        <f t="shared" ref="L70" si="18">K70/F70</f>
        <v>-0.3646563253169775</v>
      </c>
    </row>
    <row r="71" spans="1:12" s="87" customFormat="1" ht="138" customHeight="1" x14ac:dyDescent="0.25">
      <c r="A71" s="292" t="s">
        <v>630</v>
      </c>
      <c r="B71" s="293"/>
      <c r="C71" s="293"/>
      <c r="D71" s="293"/>
      <c r="E71" s="293"/>
      <c r="F71" s="293"/>
      <c r="G71" s="293"/>
      <c r="H71" s="293"/>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2019-02-09T03:09:49Z</dcterms:modified>
</cp:coreProperties>
</file>